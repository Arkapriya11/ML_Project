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0" i="41"/>
  <c r="I110" i="40"/>
  <c r="E110" i="40"/>
  <c r="E112" i="40"/>
  <c r="P110" i="21"/>
  <c r="P111" i="21" s="1"/>
  <c r="C110" i="21"/>
  <c r="C112" i="21" s="1"/>
  <c r="D110" i="21"/>
  <c r="D111" i="21"/>
  <c r="B110" i="21"/>
  <c r="B111" i="21"/>
  <c r="H110" i="21"/>
  <c r="H112" i="21" s="1"/>
  <c r="G110" i="21"/>
  <c r="G111" i="21" s="1"/>
  <c r="G110" i="33"/>
  <c r="H110" i="33"/>
  <c r="I110" i="33"/>
  <c r="J110" i="33"/>
  <c r="I110" i="32"/>
  <c r="Q110" i="32"/>
  <c r="Q112" i="32" s="1"/>
  <c r="Q110" i="31"/>
  <c r="Q111" i="31" s="1"/>
  <c r="Q112" i="31"/>
  <c r="P110" i="31"/>
  <c r="P112" i="31"/>
  <c r="I110" i="31"/>
  <c r="I111" i="31" s="1"/>
  <c r="H110" i="31"/>
  <c r="G110" i="31"/>
  <c r="G112" i="31"/>
  <c r="E110" i="31"/>
  <c r="E111" i="31" s="1"/>
  <c r="C110" i="31"/>
  <c r="D110" i="31"/>
  <c r="B110" i="31"/>
  <c r="B111" i="31" s="1"/>
  <c r="I110" i="30"/>
  <c r="J110" i="29"/>
  <c r="Q110" i="29"/>
  <c r="Q111" i="29" s="1"/>
  <c r="J110" i="28"/>
  <c r="J111" i="28" s="1"/>
  <c r="Q110" i="27"/>
  <c r="Q111" i="27" s="1"/>
  <c r="C110" i="26"/>
  <c r="D110" i="26"/>
  <c r="D112" i="26"/>
  <c r="E110" i="26"/>
  <c r="E112" i="26"/>
  <c r="F110" i="26"/>
  <c r="G110" i="26"/>
  <c r="G112" i="26" s="1"/>
  <c r="H110" i="26"/>
  <c r="I110" i="26"/>
  <c r="I112" i="26"/>
  <c r="B110" i="26"/>
  <c r="B112" i="26"/>
  <c r="Q110" i="26"/>
  <c r="Q112" i="26" s="1"/>
  <c r="Q110" i="25"/>
  <c r="Q112" i="25" s="1"/>
  <c r="C110" i="25"/>
  <c r="D110" i="25"/>
  <c r="D112" i="25" s="1"/>
  <c r="E110" i="25"/>
  <c r="F110" i="25"/>
  <c r="G110" i="25"/>
  <c r="H110" i="25"/>
  <c r="I110" i="25"/>
  <c r="J110" i="25"/>
  <c r="K110" i="25"/>
  <c r="L110" i="25"/>
  <c r="M110" i="25"/>
  <c r="N110" i="25"/>
  <c r="O110" i="25"/>
  <c r="P110" i="25"/>
  <c r="P111" i="25" s="1"/>
  <c r="B110" i="25"/>
  <c r="B111" i="25"/>
  <c r="Q110" i="24"/>
  <c r="Q111" i="24"/>
  <c r="Q110" i="23"/>
  <c r="Q112" i="23" s="1"/>
  <c r="G110" i="22"/>
  <c r="H110" i="22"/>
  <c r="H112" i="22"/>
  <c r="Q110" i="22"/>
  <c r="Q112" i="22" s="1"/>
  <c r="Q110" i="21"/>
  <c r="Q111" i="21" s="1"/>
  <c r="H110" i="20"/>
  <c r="H111" i="20" s="1"/>
  <c r="G110" i="20"/>
  <c r="G112" i="20"/>
  <c r="Q110" i="20"/>
  <c r="Q111" i="20" s="1"/>
  <c r="Q110" i="19"/>
  <c r="Q111" i="19" s="1"/>
  <c r="Q110" i="18"/>
  <c r="Q111" i="18" s="1"/>
  <c r="H110" i="18"/>
  <c r="I110" i="18"/>
  <c r="J110" i="18"/>
  <c r="Q110" i="17"/>
  <c r="Q111" i="17"/>
  <c r="Q110" i="16"/>
  <c r="Q111" i="16" s="1"/>
  <c r="Q110" i="15"/>
  <c r="Q111" i="15" s="1"/>
  <c r="Q110" i="14"/>
  <c r="Q111" i="14"/>
  <c r="I110" i="14"/>
  <c r="I110" i="13"/>
  <c r="I111" i="13" s="1"/>
  <c r="Q110" i="13"/>
  <c r="Q112" i="13" s="1"/>
  <c r="Q110" i="12"/>
  <c r="Q111" i="12"/>
  <c r="F110" i="12"/>
  <c r="I110" i="12"/>
  <c r="I112" i="12"/>
  <c r="H110" i="12"/>
  <c r="G110" i="12"/>
  <c r="G112" i="12" s="1"/>
  <c r="H110" i="11"/>
  <c r="I110" i="11"/>
  <c r="C110" i="11"/>
  <c r="D110" i="11"/>
  <c r="D112" i="11"/>
  <c r="B110" i="11"/>
  <c r="B112" i="11"/>
  <c r="Q110" i="9"/>
  <c r="Q112" i="9"/>
  <c r="P110" i="9"/>
  <c r="P112" i="9"/>
  <c r="E110" i="9"/>
  <c r="E112" i="9"/>
  <c r="C110" i="8"/>
  <c r="C112" i="8" s="1"/>
  <c r="D110" i="8"/>
  <c r="D112" i="8" s="1"/>
  <c r="E110" i="8"/>
  <c r="F110" i="8"/>
  <c r="F111" i="8" s="1"/>
  <c r="G110" i="8"/>
  <c r="H110" i="8"/>
  <c r="I110" i="8"/>
  <c r="J110" i="8"/>
  <c r="J111" i="8" s="1"/>
  <c r="K110" i="8"/>
  <c r="L110" i="8"/>
  <c r="M110" i="8"/>
  <c r="N110" i="8"/>
  <c r="N111" i="8" s="1"/>
  <c r="O110" i="8"/>
  <c r="O112" i="8" s="1"/>
  <c r="P110" i="8"/>
  <c r="P112" i="8"/>
  <c r="Q110" i="8"/>
  <c r="Q111" i="8" s="1"/>
  <c r="B110" i="8"/>
  <c r="B111" i="8" s="1"/>
  <c r="I110" i="3"/>
  <c r="I112" i="3" s="1"/>
  <c r="H110" i="3"/>
  <c r="H112" i="3" s="1"/>
  <c r="G110" i="3"/>
  <c r="G111" i="3" s="1"/>
  <c r="C110" i="3"/>
  <c r="D110" i="3"/>
  <c r="D111" i="3" s="1"/>
  <c r="B110" i="3"/>
  <c r="B111" i="3" s="1"/>
  <c r="I110" i="2"/>
  <c r="I111" i="2"/>
  <c r="H110" i="2"/>
  <c r="G110" i="2"/>
  <c r="G112" i="2" s="1"/>
  <c r="O39" i="39"/>
  <c r="Q110" i="44"/>
  <c r="Q112" i="44" s="1"/>
  <c r="P110" i="44"/>
  <c r="P112" i="44" s="1"/>
  <c r="O110" i="44"/>
  <c r="O112" i="44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/>
  <c r="E110" i="44"/>
  <c r="E112" i="44"/>
  <c r="D110" i="44"/>
  <c r="D112" i="44"/>
  <c r="C110" i="44"/>
  <c r="C112" i="44" s="1"/>
  <c r="B110" i="44"/>
  <c r="B112" i="44"/>
  <c r="Q109" i="44"/>
  <c r="Q39" i="39"/>
  <c r="P109" i="44"/>
  <c r="P39" i="39" s="1"/>
  <c r="O109" i="44"/>
  <c r="N109" i="44"/>
  <c r="N39" i="39" s="1"/>
  <c r="M109" i="44"/>
  <c r="M39" i="39"/>
  <c r="L109" i="44"/>
  <c r="L39" i="39" s="1"/>
  <c r="K109" i="44"/>
  <c r="K39" i="39" s="1"/>
  <c r="J109" i="44"/>
  <c r="J39" i="39" s="1"/>
  <c r="I109" i="44"/>
  <c r="I39" i="39" s="1"/>
  <c r="H109" i="44"/>
  <c r="H39" i="39" s="1"/>
  <c r="G109" i="44"/>
  <c r="G39" i="39" s="1"/>
  <c r="F109" i="44"/>
  <c r="F39" i="39" s="1"/>
  <c r="E109" i="44"/>
  <c r="E39" i="39" s="1"/>
  <c r="D109" i="44"/>
  <c r="D39" i="39"/>
  <c r="C109" i="44"/>
  <c r="C39" i="39" s="1"/>
  <c r="B109" i="44"/>
  <c r="B39" i="39" s="1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1" i="41"/>
  <c r="J110" i="41"/>
  <c r="J112" i="41"/>
  <c r="H110" i="41"/>
  <c r="H112" i="41"/>
  <c r="J110" i="40"/>
  <c r="J111" i="40" s="1"/>
  <c r="H110" i="40"/>
  <c r="H111" i="40"/>
  <c r="I111" i="40"/>
  <c r="G112" i="33"/>
  <c r="H112" i="33"/>
  <c r="I112" i="33"/>
  <c r="J112" i="33"/>
  <c r="J110" i="32"/>
  <c r="J111" i="32" s="1"/>
  <c r="I112" i="32"/>
  <c r="H110" i="32"/>
  <c r="H111" i="32"/>
  <c r="H112" i="31"/>
  <c r="J110" i="31"/>
  <c r="J111" i="31" s="1"/>
  <c r="J110" i="30"/>
  <c r="J112" i="30"/>
  <c r="I112" i="30"/>
  <c r="H110" i="30"/>
  <c r="H112" i="30"/>
  <c r="J112" i="29"/>
  <c r="I110" i="29"/>
  <c r="I112" i="29" s="1"/>
  <c r="H110" i="29"/>
  <c r="H112" i="29" s="1"/>
  <c r="I110" i="28"/>
  <c r="I112" i="28" s="1"/>
  <c r="H110" i="28"/>
  <c r="H111" i="28" s="1"/>
  <c r="I110" i="27"/>
  <c r="I112" i="27" s="1"/>
  <c r="C110" i="27"/>
  <c r="C111" i="27" s="1"/>
  <c r="D110" i="27"/>
  <c r="D111" i="27" s="1"/>
  <c r="E110" i="27"/>
  <c r="F110" i="27"/>
  <c r="F112" i="27"/>
  <c r="G110" i="27"/>
  <c r="G111" i="27" s="1"/>
  <c r="H110" i="27"/>
  <c r="J110" i="27"/>
  <c r="J112" i="27" s="1"/>
  <c r="K110" i="27"/>
  <c r="K112" i="27" s="1"/>
  <c r="L110" i="27"/>
  <c r="M110" i="27"/>
  <c r="M112" i="27" s="1"/>
  <c r="N110" i="27"/>
  <c r="O110" i="27"/>
  <c r="P110" i="27"/>
  <c r="J110" i="26"/>
  <c r="J111" i="26" s="1"/>
  <c r="H111" i="26"/>
  <c r="F112" i="26"/>
  <c r="C112" i="26"/>
  <c r="O111" i="25"/>
  <c r="N111" i="25"/>
  <c r="M112" i="25"/>
  <c r="L112" i="25"/>
  <c r="K111" i="25"/>
  <c r="J112" i="25"/>
  <c r="I111" i="25"/>
  <c r="H111" i="25"/>
  <c r="G111" i="25"/>
  <c r="F112" i="25"/>
  <c r="E111" i="25"/>
  <c r="C111" i="25"/>
  <c r="J110" i="24"/>
  <c r="J111" i="24"/>
  <c r="I110" i="24"/>
  <c r="I112" i="24" s="1"/>
  <c r="H110" i="24"/>
  <c r="H111" i="24"/>
  <c r="J110" i="23"/>
  <c r="J112" i="23"/>
  <c r="I110" i="23"/>
  <c r="I111" i="23"/>
  <c r="H110" i="23"/>
  <c r="J110" i="22"/>
  <c r="J112" i="22" s="1"/>
  <c r="I110" i="22"/>
  <c r="I112" i="22" s="1"/>
  <c r="G111" i="22"/>
  <c r="J110" i="21"/>
  <c r="J111" i="21"/>
  <c r="I110" i="21"/>
  <c r="I111" i="21" s="1"/>
  <c r="I110" i="20"/>
  <c r="I111" i="20"/>
  <c r="J110" i="20"/>
  <c r="J111" i="20"/>
  <c r="J110" i="19"/>
  <c r="J111" i="19"/>
  <c r="I110" i="19"/>
  <c r="I111" i="19" s="1"/>
  <c r="H110" i="19"/>
  <c r="H112" i="19"/>
  <c r="J110" i="17"/>
  <c r="J112" i="17"/>
  <c r="I110" i="17"/>
  <c r="I111" i="17"/>
  <c r="H110" i="17"/>
  <c r="H112" i="17" s="1"/>
  <c r="H110" i="16"/>
  <c r="H111" i="16"/>
  <c r="I110" i="16"/>
  <c r="I111" i="16"/>
  <c r="J110" i="16"/>
  <c r="J112" i="16"/>
  <c r="H110" i="15"/>
  <c r="H111" i="15" s="1"/>
  <c r="I110" i="15"/>
  <c r="I112" i="15"/>
  <c r="J110" i="15"/>
  <c r="J112" i="15"/>
  <c r="J110" i="14"/>
  <c r="J111" i="14"/>
  <c r="I111" i="14"/>
  <c r="H110" i="14"/>
  <c r="H111" i="14"/>
  <c r="C112" i="11"/>
  <c r="J110" i="13"/>
  <c r="J112" i="13"/>
  <c r="H110" i="13"/>
  <c r="H112" i="13"/>
  <c r="F111" i="12"/>
  <c r="J110" i="12"/>
  <c r="J111" i="12"/>
  <c r="H111" i="12"/>
  <c r="J110" i="11"/>
  <c r="J111" i="11"/>
  <c r="I111" i="11"/>
  <c r="H111" i="11"/>
  <c r="G110" i="11"/>
  <c r="G112" i="11" s="1"/>
  <c r="J110" i="10"/>
  <c r="J112" i="10"/>
  <c r="I110" i="10"/>
  <c r="I112" i="10"/>
  <c r="H110" i="10"/>
  <c r="H112" i="10"/>
  <c r="J110" i="9"/>
  <c r="J112" i="9" s="1"/>
  <c r="I110" i="9"/>
  <c r="I111" i="9"/>
  <c r="H110" i="9"/>
  <c r="H111" i="9"/>
  <c r="I111" i="8"/>
  <c r="H111" i="8"/>
  <c r="L112" i="8"/>
  <c r="K111" i="8"/>
  <c r="G111" i="8"/>
  <c r="B2" i="23"/>
  <c r="C110" i="2"/>
  <c r="C111" i="2"/>
  <c r="D110" i="2"/>
  <c r="E110" i="2"/>
  <c r="E111" i="2" s="1"/>
  <c r="F110" i="2"/>
  <c r="F112" i="2"/>
  <c r="J110" i="2"/>
  <c r="K110" i="2"/>
  <c r="K111" i="2"/>
  <c r="L110" i="2"/>
  <c r="L112" i="2"/>
  <c r="M110" i="2"/>
  <c r="M112" i="2" s="1"/>
  <c r="N110" i="2"/>
  <c r="N112" i="2" s="1"/>
  <c r="O110" i="2"/>
  <c r="P110" i="2"/>
  <c r="P112" i="2" s="1"/>
  <c r="Q110" i="2"/>
  <c r="C111" i="3"/>
  <c r="E110" i="3"/>
  <c r="E111" i="3"/>
  <c r="F110" i="3"/>
  <c r="F111" i="3" s="1"/>
  <c r="J110" i="3"/>
  <c r="J111" i="3" s="1"/>
  <c r="K110" i="3"/>
  <c r="K111" i="3" s="1"/>
  <c r="L110" i="3"/>
  <c r="L111" i="3"/>
  <c r="M110" i="3"/>
  <c r="M112" i="3" s="1"/>
  <c r="N110" i="3"/>
  <c r="N111" i="3" s="1"/>
  <c r="O110" i="3"/>
  <c r="O112" i="3" s="1"/>
  <c r="P110" i="3"/>
  <c r="Q110" i="3"/>
  <c r="Q110" i="41"/>
  <c r="Q111" i="41" s="1"/>
  <c r="P110" i="41"/>
  <c r="P112" i="41" s="1"/>
  <c r="O110" i="41"/>
  <c r="O112" i="41" s="1"/>
  <c r="N110" i="41"/>
  <c r="N112" i="41"/>
  <c r="M110" i="41"/>
  <c r="M112" i="41" s="1"/>
  <c r="L110" i="41"/>
  <c r="L112" i="41" s="1"/>
  <c r="K110" i="41"/>
  <c r="K112" i="41" s="1"/>
  <c r="G110" i="41"/>
  <c r="G112" i="41"/>
  <c r="F110" i="41"/>
  <c r="F112" i="41" s="1"/>
  <c r="E110" i="41"/>
  <c r="E112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/>
  <c r="P110" i="40"/>
  <c r="P112" i="40"/>
  <c r="O110" i="40"/>
  <c r="O112" i="40"/>
  <c r="N110" i="40"/>
  <c r="N112" i="40" s="1"/>
  <c r="M110" i="40"/>
  <c r="M112" i="40" s="1"/>
  <c r="L110" i="40"/>
  <c r="L112" i="40"/>
  <c r="K110" i="40"/>
  <c r="K112" i="40"/>
  <c r="G110" i="40"/>
  <c r="G112" i="40" s="1"/>
  <c r="F110" i="40"/>
  <c r="F112" i="40"/>
  <c r="D110" i="40"/>
  <c r="D112" i="40"/>
  <c r="C110" i="40"/>
  <c r="C112" i="40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/>
  <c r="O108" i="40"/>
  <c r="N108" i="40"/>
  <c r="M108" i="40"/>
  <c r="L108" i="40"/>
  <c r="K108" i="40"/>
  <c r="J108" i="40"/>
  <c r="J37" i="39" s="1"/>
  <c r="I108" i="40"/>
  <c r="H108" i="40"/>
  <c r="H37" i="39"/>
  <c r="G108" i="40"/>
  <c r="G37" i="39" s="1"/>
  <c r="F108" i="40"/>
  <c r="F37" i="39" s="1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/>
  <c r="O110" i="33"/>
  <c r="O112" i="33"/>
  <c r="N110" i="33"/>
  <c r="N112" i="33" s="1"/>
  <c r="M110" i="33"/>
  <c r="M112" i="33" s="1"/>
  <c r="L110" i="33"/>
  <c r="L112" i="33"/>
  <c r="K110" i="33"/>
  <c r="K111" i="33"/>
  <c r="F110" i="33"/>
  <c r="F112" i="33" s="1"/>
  <c r="E110" i="33"/>
  <c r="E112" i="33" s="1"/>
  <c r="D110" i="33"/>
  <c r="D112" i="33"/>
  <c r="C110" i="33"/>
  <c r="C112" i="33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J108" i="33"/>
  <c r="I108" i="33"/>
  <c r="I36" i="39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P110" i="32"/>
  <c r="P112" i="32"/>
  <c r="O110" i="32"/>
  <c r="O112" i="32" s="1"/>
  <c r="N110" i="32"/>
  <c r="N111" i="32" s="1"/>
  <c r="M110" i="32"/>
  <c r="M112" i="32"/>
  <c r="L110" i="32"/>
  <c r="L112" i="32"/>
  <c r="K110" i="32"/>
  <c r="K112" i="32" s="1"/>
  <c r="G110" i="32"/>
  <c r="G112" i="32" s="1"/>
  <c r="F110" i="32"/>
  <c r="F112" i="32"/>
  <c r="E110" i="32"/>
  <c r="E111" i="32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/>
  <c r="P108" i="32"/>
  <c r="O108" i="32"/>
  <c r="O35" i="39"/>
  <c r="N108" i="32"/>
  <c r="M108" i="32"/>
  <c r="L108" i="32"/>
  <c r="K108" i="32"/>
  <c r="J108" i="32"/>
  <c r="J35" i="39" s="1"/>
  <c r="I108" i="32"/>
  <c r="I35" i="39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O110" i="31"/>
  <c r="O112" i="31"/>
  <c r="N110" i="31"/>
  <c r="N112" i="31" s="1"/>
  <c r="M110" i="31"/>
  <c r="M111" i="31" s="1"/>
  <c r="L110" i="31"/>
  <c r="L112" i="31" s="1"/>
  <c r="K110" i="31"/>
  <c r="K111" i="31"/>
  <c r="F110" i="31"/>
  <c r="F112" i="31" s="1"/>
  <c r="D112" i="31"/>
  <c r="C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/>
  <c r="O108" i="31"/>
  <c r="O34" i="39" s="1"/>
  <c r="N108" i="31"/>
  <c r="N34" i="39" s="1"/>
  <c r="M108" i="31"/>
  <c r="L108" i="31"/>
  <c r="K108" i="31"/>
  <c r="J108" i="31"/>
  <c r="I108" i="31"/>
  <c r="H108" i="31"/>
  <c r="G108" i="31"/>
  <c r="F108" i="31"/>
  <c r="E108" i="31"/>
  <c r="E34" i="39" s="1"/>
  <c r="D108" i="31"/>
  <c r="D34" i="39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/>
  <c r="O110" i="30"/>
  <c r="O112" i="30" s="1"/>
  <c r="N110" i="30"/>
  <c r="N111" i="30" s="1"/>
  <c r="M110" i="30"/>
  <c r="M112" i="30" s="1"/>
  <c r="L110" i="30"/>
  <c r="L112" i="30"/>
  <c r="K110" i="30"/>
  <c r="K112" i="30" s="1"/>
  <c r="G110" i="30"/>
  <c r="G111" i="30" s="1"/>
  <c r="F110" i="30"/>
  <c r="F112" i="30" s="1"/>
  <c r="E110" i="30"/>
  <c r="E112" i="30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J33" i="39" s="1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P110" i="29"/>
  <c r="P112" i="29" s="1"/>
  <c r="O110" i="29"/>
  <c r="O112" i="29" s="1"/>
  <c r="N110" i="29"/>
  <c r="N112" i="29" s="1"/>
  <c r="M110" i="29"/>
  <c r="M112" i="29"/>
  <c r="L110" i="29"/>
  <c r="L112" i="29" s="1"/>
  <c r="K110" i="29"/>
  <c r="K112" i="29" s="1"/>
  <c r="G110" i="29"/>
  <c r="G111" i="29" s="1"/>
  <c r="F110" i="29"/>
  <c r="F111" i="29"/>
  <c r="E110" i="29"/>
  <c r="E112" i="29" s="1"/>
  <c r="D110" i="29"/>
  <c r="D112" i="29" s="1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 s="1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 s="1"/>
  <c r="O110" i="28"/>
  <c r="O112" i="28"/>
  <c r="N110" i="28"/>
  <c r="N112" i="28"/>
  <c r="M110" i="28"/>
  <c r="M112" i="28"/>
  <c r="L110" i="28"/>
  <c r="L112" i="28"/>
  <c r="K110" i="28"/>
  <c r="K112" i="28"/>
  <c r="G110" i="28"/>
  <c r="G112" i="28"/>
  <c r="F110" i="28"/>
  <c r="F112" i="28"/>
  <c r="E110" i="28"/>
  <c r="E112" i="28" s="1"/>
  <c r="D110" i="28"/>
  <c r="D112" i="28"/>
  <c r="C110" i="28"/>
  <c r="C112" i="28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 s="1"/>
  <c r="J108" i="28"/>
  <c r="I108" i="28"/>
  <c r="H108" i="28"/>
  <c r="H31" i="39"/>
  <c r="G108" i="28"/>
  <c r="F108" i="28"/>
  <c r="E108" i="28"/>
  <c r="E31" i="39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P112" i="27"/>
  <c r="O112" i="27"/>
  <c r="N112" i="27"/>
  <c r="L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 s="1"/>
  <c r="N108" i="27"/>
  <c r="N30" i="39"/>
  <c r="M108" i="27"/>
  <c r="L108" i="27"/>
  <c r="K108" i="27"/>
  <c r="K30" i="39" s="1"/>
  <c r="J108" i="27"/>
  <c r="J30" i="39" s="1"/>
  <c r="I108" i="27"/>
  <c r="H108" i="27"/>
  <c r="H30" i="39"/>
  <c r="G108" i="27"/>
  <c r="G30" i="39" s="1"/>
  <c r="F108" i="27"/>
  <c r="E108" i="27"/>
  <c r="E30" i="39" s="1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0" i="26"/>
  <c r="P111" i="26" s="1"/>
  <c r="O110" i="26"/>
  <c r="O111" i="26" s="1"/>
  <c r="N110" i="26"/>
  <c r="N112" i="26" s="1"/>
  <c r="M110" i="26"/>
  <c r="M111" i="26" s="1"/>
  <c r="L110" i="26"/>
  <c r="L112" i="26" s="1"/>
  <c r="K110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D29" i="39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/>
  <c r="D108" i="25"/>
  <c r="D28" i="39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2" i="24"/>
  <c r="P110" i="24"/>
  <c r="P112" i="24"/>
  <c r="O110" i="24"/>
  <c r="O112" i="24"/>
  <c r="N110" i="24"/>
  <c r="N112" i="24"/>
  <c r="M110" i="24"/>
  <c r="M112" i="24"/>
  <c r="L110" i="24"/>
  <c r="L112" i="24"/>
  <c r="K110" i="24"/>
  <c r="K112" i="24" s="1"/>
  <c r="G110" i="24"/>
  <c r="G112" i="24"/>
  <c r="F110" i="24"/>
  <c r="F112" i="24" s="1"/>
  <c r="E110" i="24"/>
  <c r="E112" i="24"/>
  <c r="D110" i="24"/>
  <c r="D112" i="24"/>
  <c r="C110" i="24"/>
  <c r="C112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/>
  <c r="M108" i="24"/>
  <c r="L108" i="24"/>
  <c r="K108" i="24"/>
  <c r="K27" i="39" s="1"/>
  <c r="J108" i="24"/>
  <c r="I108" i="24"/>
  <c r="H108" i="24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P110" i="23"/>
  <c r="P112" i="23"/>
  <c r="O110" i="23"/>
  <c r="O112" i="23" s="1"/>
  <c r="N110" i="23"/>
  <c r="N112" i="23" s="1"/>
  <c r="M110" i="23"/>
  <c r="M112" i="23" s="1"/>
  <c r="L110" i="23"/>
  <c r="L112" i="23" s="1"/>
  <c r="K110" i="23"/>
  <c r="K112" i="23" s="1"/>
  <c r="H112" i="23"/>
  <c r="G110" i="23"/>
  <c r="G111" i="23"/>
  <c r="F110" i="23"/>
  <c r="F111" i="23" s="1"/>
  <c r="E110" i="23"/>
  <c r="E112" i="23" s="1"/>
  <c r="D110" i="23"/>
  <c r="D112" i="23"/>
  <c r="C110" i="23"/>
  <c r="C112" i="23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/>
  <c r="O108" i="23"/>
  <c r="O26" i="39"/>
  <c r="N108" i="23"/>
  <c r="N26" i="39" s="1"/>
  <c r="M108" i="23"/>
  <c r="M26" i="39" s="1"/>
  <c r="L108" i="23"/>
  <c r="K108" i="23"/>
  <c r="J108" i="23"/>
  <c r="J26" i="39"/>
  <c r="I108" i="23"/>
  <c r="I26" i="39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P110" i="22"/>
  <c r="P112" i="22" s="1"/>
  <c r="O110" i="22"/>
  <c r="O111" i="22"/>
  <c r="N110" i="22"/>
  <c r="N112" i="22"/>
  <c r="M110" i="22"/>
  <c r="M112" i="22"/>
  <c r="L110" i="22"/>
  <c r="L111" i="22"/>
  <c r="K110" i="22"/>
  <c r="K112" i="22"/>
  <c r="F110" i="22"/>
  <c r="F111" i="22"/>
  <c r="E110" i="22"/>
  <c r="E112" i="22" s="1"/>
  <c r="D110" i="22"/>
  <c r="D112" i="22" s="1"/>
  <c r="C110" i="22"/>
  <c r="C112" i="22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/>
  <c r="L108" i="22"/>
  <c r="K108" i="22"/>
  <c r="K25" i="39"/>
  <c r="J108" i="22"/>
  <c r="I108" i="22"/>
  <c r="H108" i="22"/>
  <c r="G108" i="22"/>
  <c r="F108" i="22"/>
  <c r="E108" i="22"/>
  <c r="D108" i="22"/>
  <c r="D25" i="39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O110" i="21"/>
  <c r="O112" i="21" s="1"/>
  <c r="N110" i="21"/>
  <c r="N112" i="21" s="1"/>
  <c r="M110" i="21"/>
  <c r="M112" i="21"/>
  <c r="L110" i="21"/>
  <c r="L112" i="21"/>
  <c r="K110" i="21"/>
  <c r="K112" i="21"/>
  <c r="F110" i="21"/>
  <c r="F112" i="21"/>
  <c r="E110" i="21"/>
  <c r="E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/>
  <c r="P108" i="21"/>
  <c r="O108" i="21"/>
  <c r="O24" i="39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P110" i="20"/>
  <c r="P111" i="20"/>
  <c r="O110" i="20"/>
  <c r="O112" i="20"/>
  <c r="N110" i="20"/>
  <c r="N111" i="20"/>
  <c r="M110" i="20"/>
  <c r="M112" i="20" s="1"/>
  <c r="L110" i="20"/>
  <c r="L112" i="20" s="1"/>
  <c r="K110" i="20"/>
  <c r="K112" i="20"/>
  <c r="F110" i="20"/>
  <c r="F112" i="20"/>
  <c r="E110" i="20"/>
  <c r="E112" i="20"/>
  <c r="D110" i="20"/>
  <c r="D112" i="20"/>
  <c r="C110" i="20"/>
  <c r="C112" i="20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H23" i="39"/>
  <c r="G108" i="20"/>
  <c r="F108" i="20"/>
  <c r="F23" i="39" s="1"/>
  <c r="E108" i="20"/>
  <c r="E23" i="39" s="1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/>
  <c r="O110" i="19"/>
  <c r="O112" i="19"/>
  <c r="N110" i="19"/>
  <c r="N112" i="19"/>
  <c r="M110" i="19"/>
  <c r="M111" i="19"/>
  <c r="L110" i="19"/>
  <c r="L112" i="19" s="1"/>
  <c r="K110" i="19"/>
  <c r="K111" i="19" s="1"/>
  <c r="G110" i="19"/>
  <c r="G112" i="19"/>
  <c r="F110" i="19"/>
  <c r="F112" i="19"/>
  <c r="E110" i="19"/>
  <c r="E111" i="19"/>
  <c r="D110" i="19"/>
  <c r="D112" i="19"/>
  <c r="C110" i="19"/>
  <c r="C111" i="19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 s="1"/>
  <c r="J108" i="19"/>
  <c r="I108" i="19"/>
  <c r="I22" i="39" s="1"/>
  <c r="H108" i="19"/>
  <c r="G108" i="19"/>
  <c r="H22" i="39" s="1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P110" i="18"/>
  <c r="P112" i="18"/>
  <c r="O110" i="18"/>
  <c r="O112" i="18" s="1"/>
  <c r="N110" i="18"/>
  <c r="N112" i="18"/>
  <c r="M110" i="18"/>
  <c r="M111" i="18"/>
  <c r="L110" i="18"/>
  <c r="L112" i="18" s="1"/>
  <c r="K110" i="18"/>
  <c r="K112" i="18" s="1"/>
  <c r="J111" i="18"/>
  <c r="I112" i="18"/>
  <c r="H112" i="18"/>
  <c r="G110" i="18"/>
  <c r="G112" i="18" s="1"/>
  <c r="F110" i="18"/>
  <c r="F112" i="18" s="1"/>
  <c r="E110" i="18"/>
  <c r="E112" i="18" s="1"/>
  <c r="D110" i="18"/>
  <c r="D112" i="18" s="1"/>
  <c r="C110" i="18"/>
  <c r="C111" i="18" s="1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I21" i="39" s="1"/>
  <c r="H108" i="18"/>
  <c r="H21" i="39" s="1"/>
  <c r="G108" i="18"/>
  <c r="F108" i="18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/>
  <c r="P110" i="17"/>
  <c r="P112" i="17"/>
  <c r="O110" i="17"/>
  <c r="O112" i="17"/>
  <c r="N110" i="17"/>
  <c r="N111" i="17"/>
  <c r="M110" i="17"/>
  <c r="M112" i="17"/>
  <c r="L110" i="17"/>
  <c r="L112" i="17" s="1"/>
  <c r="K110" i="17"/>
  <c r="K111" i="17" s="1"/>
  <c r="G110" i="17"/>
  <c r="G112" i="17"/>
  <c r="F110" i="17"/>
  <c r="F111" i="17"/>
  <c r="E110" i="17"/>
  <c r="E111" i="17"/>
  <c r="D110" i="17"/>
  <c r="D111" i="17"/>
  <c r="C110" i="17"/>
  <c r="C111" i="17"/>
  <c r="B110" i="17"/>
  <c r="B111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/>
  <c r="K108" i="17"/>
  <c r="K20" i="39"/>
  <c r="J108" i="17"/>
  <c r="J20" i="39"/>
  <c r="I108" i="17"/>
  <c r="I20" i="39"/>
  <c r="H108" i="17"/>
  <c r="H20" i="39" s="1"/>
  <c r="G108" i="17"/>
  <c r="G20" i="39" s="1"/>
  <c r="F108" i="17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/>
  <c r="O110" i="16"/>
  <c r="O112" i="16"/>
  <c r="N110" i="16"/>
  <c r="N112" i="16" s="1"/>
  <c r="M110" i="16"/>
  <c r="M112" i="16" s="1"/>
  <c r="L110" i="16"/>
  <c r="L112" i="16"/>
  <c r="K110" i="16"/>
  <c r="K112" i="16"/>
  <c r="G110" i="16"/>
  <c r="G112" i="16"/>
  <c r="F110" i="16"/>
  <c r="F112" i="16"/>
  <c r="E110" i="16"/>
  <c r="E111" i="16"/>
  <c r="D110" i="16"/>
  <c r="D112" i="16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/>
  <c r="N108" i="16"/>
  <c r="M108" i="16"/>
  <c r="M19" i="39" s="1"/>
  <c r="L108" i="16"/>
  <c r="K108" i="16"/>
  <c r="J108" i="16"/>
  <c r="J19" i="39" s="1"/>
  <c r="I108" i="16"/>
  <c r="I19" i="39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/>
  <c r="O110" i="15"/>
  <c r="O112" i="15" s="1"/>
  <c r="N110" i="15"/>
  <c r="N112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 s="1"/>
  <c r="M108" i="15"/>
  <c r="L108" i="15"/>
  <c r="K108" i="15"/>
  <c r="K18" i="39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 s="1"/>
  <c r="N110" i="14"/>
  <c r="N112" i="14" s="1"/>
  <c r="M110" i="14"/>
  <c r="M112" i="14" s="1"/>
  <c r="L110" i="14"/>
  <c r="L112" i="14" s="1"/>
  <c r="K110" i="14"/>
  <c r="K112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I108" i="14"/>
  <c r="H108" i="14"/>
  <c r="G108" i="14"/>
  <c r="G17" i="39"/>
  <c r="F108" i="14"/>
  <c r="F17" i="39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P110" i="13"/>
  <c r="P111" i="13"/>
  <c r="O110" i="13"/>
  <c r="O111" i="13" s="1"/>
  <c r="N110" i="13"/>
  <c r="N112" i="13" s="1"/>
  <c r="M110" i="13"/>
  <c r="M111" i="13"/>
  <c r="L110" i="13"/>
  <c r="L112" i="13"/>
  <c r="K110" i="13"/>
  <c r="K112" i="13"/>
  <c r="G110" i="13"/>
  <c r="G112" i="13"/>
  <c r="F110" i="13"/>
  <c r="F112" i="13"/>
  <c r="E110" i="13"/>
  <c r="E112" i="13"/>
  <c r="D110" i="13"/>
  <c r="D111" i="13" s="1"/>
  <c r="C110" i="13"/>
  <c r="C112" i="13" s="1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L16" i="39"/>
  <c r="K108" i="13"/>
  <c r="J108" i="13"/>
  <c r="I108" i="13"/>
  <c r="H108" i="13"/>
  <c r="H16" i="39"/>
  <c r="G108" i="13"/>
  <c r="G16" i="39" s="1"/>
  <c r="F108" i="13"/>
  <c r="F16" i="39" s="1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P110" i="12"/>
  <c r="P112" i="12" s="1"/>
  <c r="O110" i="12"/>
  <c r="O111" i="12" s="1"/>
  <c r="N110" i="12"/>
  <c r="N112" i="12"/>
  <c r="M110" i="12"/>
  <c r="M111" i="12" s="1"/>
  <c r="L110" i="12"/>
  <c r="L112" i="12" s="1"/>
  <c r="K110" i="12"/>
  <c r="K111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/>
  <c r="N108" i="12"/>
  <c r="M108" i="12"/>
  <c r="L108" i="12"/>
  <c r="K108" i="12"/>
  <c r="J108" i="12"/>
  <c r="I108" i="12"/>
  <c r="I15" i="39" s="1"/>
  <c r="H108" i="12"/>
  <c r="H15" i="39" s="1"/>
  <c r="G108" i="12"/>
  <c r="G15" i="39" s="1"/>
  <c r="F108" i="12"/>
  <c r="E108" i="12"/>
  <c r="E15" i="39" s="1"/>
  <c r="D108" i="12"/>
  <c r="D15" i="39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/>
  <c r="M110" i="11"/>
  <c r="M112" i="11" s="1"/>
  <c r="L110" i="11"/>
  <c r="L112" i="11" s="1"/>
  <c r="K110" i="11"/>
  <c r="K112" i="11" s="1"/>
  <c r="F110" i="11"/>
  <c r="F112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C14" i="39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1" i="10"/>
  <c r="N110" i="10"/>
  <c r="N112" i="10"/>
  <c r="M110" i="10"/>
  <c r="M111" i="10" s="1"/>
  <c r="L110" i="10"/>
  <c r="L111" i="10"/>
  <c r="K110" i="10"/>
  <c r="K112" i="10"/>
  <c r="G110" i="10"/>
  <c r="G112" i="10"/>
  <c r="F110" i="10"/>
  <c r="F112" i="10"/>
  <c r="E110" i="10"/>
  <c r="E112" i="10"/>
  <c r="D110" i="10"/>
  <c r="D112" i="10"/>
  <c r="C110" i="10"/>
  <c r="C112" i="10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M108" i="10"/>
  <c r="M13" i="39"/>
  <c r="L108" i="10"/>
  <c r="L13" i="39"/>
  <c r="K108" i="10"/>
  <c r="K13" i="39"/>
  <c r="J108" i="10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C108" i="10"/>
  <c r="C13" i="39"/>
  <c r="B108" i="10"/>
  <c r="B13" i="39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O110" i="9"/>
  <c r="O112" i="9" s="1"/>
  <c r="N110" i="9"/>
  <c r="N112" i="9"/>
  <c r="M110" i="9"/>
  <c r="M112" i="9"/>
  <c r="L110" i="9"/>
  <c r="L112" i="9"/>
  <c r="K110" i="9"/>
  <c r="K112" i="9"/>
  <c r="G110" i="9"/>
  <c r="G112" i="9"/>
  <c r="F110" i="9"/>
  <c r="F111" i="9"/>
  <c r="D110" i="9"/>
  <c r="D111" i="9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/>
  <c r="P108" i="9"/>
  <c r="P12" i="39"/>
  <c r="O108" i="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/>
  <c r="F108" i="9"/>
  <c r="E108" i="9"/>
  <c r="E12" i="39" s="1"/>
  <c r="D108" i="9"/>
  <c r="C108" i="9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E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/>
  <c r="O108" i="8"/>
  <c r="O11" i="39"/>
  <c r="N108" i="8"/>
  <c r="M108" i="8"/>
  <c r="M11" i="39" s="1"/>
  <c r="L108" i="8"/>
  <c r="L11" i="39" s="1"/>
  <c r="K108" i="8"/>
  <c r="K11" i="39" s="1"/>
  <c r="J108" i="8"/>
  <c r="I108" i="8"/>
  <c r="I11" i="39" s="1"/>
  <c r="H108" i="8"/>
  <c r="H11" i="39"/>
  <c r="G108" i="8"/>
  <c r="G11" i="39"/>
  <c r="F108" i="8"/>
  <c r="F11" i="39"/>
  <c r="E108" i="8"/>
  <c r="E11" i="39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K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/>
  <c r="N108" i="3"/>
  <c r="N10" i="39"/>
  <c r="M108" i="3"/>
  <c r="M10" i="39"/>
  <c r="L108" i="3"/>
  <c r="L10" i="39"/>
  <c r="K108" i="3"/>
  <c r="K10" i="39" s="1"/>
  <c r="J108" i="3"/>
  <c r="J10" i="39"/>
  <c r="I108" i="3"/>
  <c r="I10" i="39"/>
  <c r="H108" i="3"/>
  <c r="H10" i="39"/>
  <c r="G108" i="3"/>
  <c r="G10" i="39"/>
  <c r="F108" i="3"/>
  <c r="F10" i="39"/>
  <c r="E108" i="3"/>
  <c r="E10" i="39"/>
  <c r="D108" i="3"/>
  <c r="D10" i="39"/>
  <c r="C108" i="3"/>
  <c r="C10" i="39" s="1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F27" i="39"/>
  <c r="C27" i="39"/>
  <c r="N109" i="2"/>
  <c r="O109" i="2"/>
  <c r="P109" i="2"/>
  <c r="N108" i="2"/>
  <c r="N9" i="39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I37" i="39"/>
  <c r="E37" i="39"/>
  <c r="C37" i="39"/>
  <c r="B37" i="39"/>
  <c r="A37" i="39"/>
  <c r="A26" i="39"/>
  <c r="C26" i="39"/>
  <c r="D26" i="39"/>
  <c r="H26" i="39"/>
  <c r="K26" i="39"/>
  <c r="L26" i="39"/>
  <c r="O25" i="39"/>
  <c r="N25" i="39"/>
  <c r="L25" i="39"/>
  <c r="J25" i="39"/>
  <c r="H25" i="39"/>
  <c r="G25" i="39"/>
  <c r="F25" i="39"/>
  <c r="E25" i="39"/>
  <c r="C25" i="39"/>
  <c r="G24" i="39"/>
  <c r="E24" i="39"/>
  <c r="A24" i="39"/>
  <c r="Q23" i="39"/>
  <c r="M23" i="39"/>
  <c r="L23" i="39"/>
  <c r="K23" i="39"/>
  <c r="I23" i="39"/>
  <c r="B23" i="39"/>
  <c r="Q22" i="39"/>
  <c r="N22" i="39"/>
  <c r="M22" i="39"/>
  <c r="L22" i="39"/>
  <c r="C22" i="39"/>
  <c r="Q21" i="39"/>
  <c r="P21" i="39"/>
  <c r="M21" i="39"/>
  <c r="L21" i="39"/>
  <c r="K21" i="39"/>
  <c r="J21" i="39"/>
  <c r="G21" i="39"/>
  <c r="F21" i="39"/>
  <c r="D21" i="39"/>
  <c r="C21" i="39"/>
  <c r="B21" i="39"/>
  <c r="M20" i="39"/>
  <c r="E20" i="39"/>
  <c r="A20" i="39"/>
  <c r="L19" i="39"/>
  <c r="K19" i="39"/>
  <c r="G19" i="39"/>
  <c r="M18" i="39"/>
  <c r="L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P16" i="39"/>
  <c r="J16" i="39"/>
  <c r="I16" i="39"/>
  <c r="E16" i="39"/>
  <c r="D16" i="39"/>
  <c r="C16" i="39"/>
  <c r="B16" i="39"/>
  <c r="N15" i="39"/>
  <c r="M15" i="39"/>
  <c r="L15" i="39"/>
  <c r="F15" i="39"/>
  <c r="C15" i="39"/>
  <c r="I14" i="39"/>
  <c r="H14" i="39"/>
  <c r="F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M29" i="39"/>
  <c r="K29" i="39"/>
  <c r="J29" i="39"/>
  <c r="I29" i="39"/>
  <c r="H29" i="39"/>
  <c r="G29" i="39"/>
  <c r="F29" i="39"/>
  <c r="E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G26" i="39"/>
  <c r="I25" i="39"/>
  <c r="P24" i="39"/>
  <c r="H24" i="39"/>
  <c r="N23" i="39"/>
  <c r="O22" i="39"/>
  <c r="D22" i="39"/>
  <c r="O21" i="39"/>
  <c r="P20" i="39"/>
  <c r="F20" i="39"/>
  <c r="D20" i="39"/>
  <c r="F18" i="39"/>
  <c r="E17" i="39"/>
  <c r="M16" i="39"/>
  <c r="K16" i="39"/>
  <c r="K15" i="39"/>
  <c r="J15" i="39"/>
  <c r="O12" i="39"/>
  <c r="N11" i="39"/>
  <c r="P10" i="39"/>
  <c r="P36" i="39"/>
  <c r="E26" i="39"/>
  <c r="P23" i="39"/>
  <c r="P18" i="39"/>
  <c r="Q17" i="39"/>
  <c r="P15" i="39"/>
  <c r="B2" i="2"/>
  <c r="A9" i="39" s="1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0" i="5"/>
  <c r="D21" i="5"/>
  <c r="D22" i="5"/>
  <c r="D23" i="5"/>
  <c r="D11" i="5"/>
  <c r="D44" i="5" s="1"/>
  <c r="D12" i="5"/>
  <c r="D13" i="5"/>
  <c r="D24" i="5" s="1"/>
  <c r="D14" i="5"/>
  <c r="D15" i="5"/>
  <c r="D16" i="5"/>
  <c r="D17" i="5"/>
  <c r="D18" i="5"/>
  <c r="D19" i="5"/>
  <c r="H111" i="2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O111" i="32"/>
  <c r="M111" i="32"/>
  <c r="L111" i="32"/>
  <c r="K111" i="32"/>
  <c r="G111" i="32"/>
  <c r="F111" i="32"/>
  <c r="D111" i="32"/>
  <c r="O111" i="31"/>
  <c r="N111" i="31"/>
  <c r="L111" i="31"/>
  <c r="F111" i="31"/>
  <c r="D111" i="31"/>
  <c r="C111" i="31"/>
  <c r="P111" i="30"/>
  <c r="O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N111" i="21"/>
  <c r="M111" i="21"/>
  <c r="L111" i="21"/>
  <c r="K111" i="21"/>
  <c r="E111" i="21"/>
  <c r="O111" i="20"/>
  <c r="M111" i="20"/>
  <c r="L111" i="20"/>
  <c r="K111" i="20"/>
  <c r="F111" i="20"/>
  <c r="E111" i="20"/>
  <c r="D111" i="20"/>
  <c r="B111" i="20"/>
  <c r="P111" i="19"/>
  <c r="O111" i="19"/>
  <c r="N111" i="19"/>
  <c r="L111" i="19"/>
  <c r="H111" i="19"/>
  <c r="G111" i="19"/>
  <c r="F111" i="19"/>
  <c r="D111" i="19"/>
  <c r="B111" i="19"/>
  <c r="P111" i="18"/>
  <c r="O111" i="18"/>
  <c r="N111" i="18"/>
  <c r="L111" i="18"/>
  <c r="I111" i="18"/>
  <c r="H111" i="18"/>
  <c r="G111" i="18"/>
  <c r="F111" i="18"/>
  <c r="E111" i="18"/>
  <c r="D111" i="18"/>
  <c r="P111" i="17"/>
  <c r="O111" i="17"/>
  <c r="G111" i="17"/>
  <c r="O111" i="16"/>
  <c r="N111" i="16"/>
  <c r="L111" i="16"/>
  <c r="G111" i="16"/>
  <c r="F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N111" i="13"/>
  <c r="L111" i="13"/>
  <c r="K111" i="13"/>
  <c r="G111" i="13"/>
  <c r="F111" i="13"/>
  <c r="E111" i="13"/>
  <c r="C111" i="13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N111" i="9"/>
  <c r="M111" i="9"/>
  <c r="K111" i="9"/>
  <c r="C111" i="9"/>
  <c r="M111" i="8"/>
  <c r="E111" i="8"/>
  <c r="Q111" i="3"/>
  <c r="P111" i="3"/>
  <c r="O111" i="3"/>
  <c r="C112" i="17"/>
  <c r="D112" i="3"/>
  <c r="M111" i="2"/>
  <c r="K112" i="2"/>
  <c r="Q111" i="2"/>
  <c r="J112" i="2"/>
  <c r="D111" i="2"/>
  <c r="L112" i="10"/>
  <c r="M112" i="10"/>
  <c r="E111" i="10"/>
  <c r="L111" i="9"/>
  <c r="G111" i="9"/>
  <c r="E112" i="2"/>
  <c r="C112" i="2"/>
  <c r="N111" i="2"/>
  <c r="N112" i="3"/>
  <c r="L111" i="2"/>
  <c r="F112" i="3"/>
  <c r="M111" i="3"/>
  <c r="E112" i="3"/>
  <c r="J111" i="10"/>
  <c r="I111" i="10"/>
  <c r="I112" i="9"/>
  <c r="H112" i="9"/>
  <c r="B111" i="9"/>
  <c r="J112" i="8"/>
  <c r="P111" i="8"/>
  <c r="L111" i="8"/>
  <c r="O111" i="8"/>
  <c r="I112" i="8"/>
  <c r="H112" i="8"/>
  <c r="G112" i="8"/>
  <c r="F112" i="8"/>
  <c r="J111" i="13"/>
  <c r="P112" i="13"/>
  <c r="F112" i="12"/>
  <c r="J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I111" i="15"/>
  <c r="Q112" i="14"/>
  <c r="I112" i="14"/>
  <c r="H112" i="14"/>
  <c r="B112" i="14"/>
  <c r="J112" i="14"/>
  <c r="B112" i="18"/>
  <c r="J112" i="18"/>
  <c r="J111" i="17"/>
  <c r="I112" i="17"/>
  <c r="H111" i="17"/>
  <c r="N112" i="17"/>
  <c r="M111" i="17"/>
  <c r="K112" i="17"/>
  <c r="F112" i="17"/>
  <c r="D112" i="17"/>
  <c r="I112" i="20"/>
  <c r="J112" i="20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D111" i="25"/>
  <c r="K112" i="25"/>
  <c r="C112" i="25"/>
  <c r="I112" i="25"/>
  <c r="J112" i="24"/>
  <c r="I111" i="24"/>
  <c r="H112" i="24"/>
  <c r="J111" i="23"/>
  <c r="O111" i="23"/>
  <c r="I112" i="23"/>
  <c r="G112" i="23"/>
  <c r="J111" i="22"/>
  <c r="H111" i="22"/>
  <c r="O112" i="22"/>
  <c r="J112" i="21"/>
  <c r="D112" i="27"/>
  <c r="C112" i="27"/>
  <c r="H111" i="27"/>
  <c r="J112" i="26"/>
  <c r="I111" i="26"/>
  <c r="G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J111" i="30"/>
  <c r="H111" i="30"/>
  <c r="I111" i="30"/>
  <c r="G112" i="30"/>
  <c r="J111" i="29"/>
  <c r="I111" i="29"/>
  <c r="H111" i="29"/>
  <c r="O111" i="29"/>
  <c r="G112" i="29"/>
  <c r="I111" i="28"/>
  <c r="H112" i="28"/>
  <c r="B111" i="28"/>
  <c r="J112" i="40"/>
  <c r="H112" i="40"/>
  <c r="I112" i="40"/>
  <c r="D111" i="40"/>
  <c r="G111" i="33"/>
  <c r="J111" i="33"/>
  <c r="H111" i="33"/>
  <c r="J111" i="41"/>
  <c r="H111" i="41"/>
  <c r="I112" i="41"/>
  <c r="Q112" i="41"/>
  <c r="P111" i="2"/>
  <c r="F111" i="2"/>
  <c r="B111" i="2"/>
  <c r="J112" i="3"/>
  <c r="L112" i="3"/>
  <c r="C112" i="3"/>
  <c r="K112" i="8"/>
  <c r="Q112" i="8"/>
  <c r="F112" i="9"/>
  <c r="J111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N112" i="20"/>
  <c r="F111" i="21"/>
  <c r="D112" i="21"/>
  <c r="O111" i="21"/>
  <c r="I112" i="21"/>
  <c r="I111" i="22"/>
  <c r="L112" i="22"/>
  <c r="F112" i="22"/>
  <c r="G112" i="22"/>
  <c r="F112" i="23"/>
  <c r="G111" i="24"/>
  <c r="M111" i="25"/>
  <c r="E112" i="25"/>
  <c r="O112" i="26"/>
  <c r="M112" i="26"/>
  <c r="F111" i="27"/>
  <c r="G112" i="27"/>
  <c r="P112" i="28"/>
  <c r="F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I112" i="13"/>
  <c r="Q111" i="13"/>
  <c r="Q112" i="12"/>
  <c r="I111" i="12"/>
  <c r="G111" i="12"/>
  <c r="B111" i="11"/>
  <c r="Q111" i="9"/>
  <c r="P111" i="9"/>
  <c r="E111" i="9"/>
  <c r="D111" i="8"/>
  <c r="C111" i="8"/>
  <c r="B112" i="8"/>
  <c r="I111" i="3"/>
  <c r="G112" i="3"/>
  <c r="B112" i="3"/>
  <c r="H111" i="3"/>
  <c r="I112" i="2"/>
  <c r="G111" i="2"/>
  <c r="Q111" i="32"/>
  <c r="P111" i="31"/>
  <c r="I112" i="31"/>
  <c r="G111" i="31"/>
  <c r="E112" i="31"/>
  <c r="B112" i="31"/>
  <c r="C111" i="30"/>
  <c r="N112" i="30"/>
  <c r="Q112" i="29"/>
  <c r="J112" i="28"/>
  <c r="Q112" i="27"/>
  <c r="B111" i="26"/>
  <c r="Q111" i="26"/>
  <c r="Q111" i="25"/>
  <c r="B112" i="25"/>
  <c r="Q111" i="23"/>
  <c r="Q111" i="22"/>
  <c r="Q112" i="21"/>
  <c r="H112" i="20"/>
  <c r="G111" i="20"/>
  <c r="Q112" i="20"/>
  <c r="Q112" i="19"/>
  <c r="G22" i="39"/>
  <c r="Q112" i="18"/>
  <c r="Q112" i="17"/>
  <c r="B112" i="17"/>
  <c r="L111" i="17"/>
  <c r="E112" i="17"/>
  <c r="Q112" i="16"/>
  <c r="E112" i="16"/>
  <c r="Q112" i="15"/>
  <c r="P112" i="21"/>
  <c r="C111" i="21"/>
  <c r="B112" i="21"/>
  <c r="H111" i="21"/>
  <c r="G112" i="21"/>
  <c r="C45" i="39" l="1"/>
  <c r="C43" i="39"/>
  <c r="C42" i="39"/>
  <c r="C44" i="39"/>
  <c r="C41" i="39"/>
  <c r="O45" i="39"/>
  <c r="D42" i="39"/>
  <c r="D43" i="39"/>
  <c r="D44" i="39"/>
  <c r="D45" i="39"/>
  <c r="D41" i="39"/>
  <c r="Q41" i="39"/>
  <c r="Q44" i="39"/>
  <c r="Q42" i="39"/>
  <c r="Q45" i="39"/>
  <c r="Q43" i="39"/>
  <c r="M42" i="39"/>
  <c r="M45" i="39"/>
  <c r="M44" i="39"/>
  <c r="M41" i="39"/>
  <c r="M43" i="39"/>
  <c r="L45" i="39"/>
  <c r="L41" i="39"/>
  <c r="L42" i="39"/>
  <c r="L44" i="39"/>
  <c r="L43" i="39"/>
  <c r="K42" i="39"/>
  <c r="K44" i="39"/>
  <c r="K45" i="39"/>
  <c r="K43" i="39"/>
  <c r="K41" i="39"/>
  <c r="I45" i="39"/>
  <c r="I43" i="39"/>
  <c r="I41" i="39"/>
  <c r="I42" i="39"/>
  <c r="I44" i="39"/>
  <c r="J42" i="39"/>
  <c r="J43" i="39"/>
  <c r="J45" i="39"/>
  <c r="J41" i="39"/>
  <c r="J44" i="39"/>
  <c r="H45" i="39"/>
  <c r="H43" i="39"/>
  <c r="H41" i="39"/>
  <c r="H44" i="39"/>
  <c r="H42" i="39"/>
  <c r="G44" i="39"/>
  <c r="G41" i="39"/>
  <c r="G43" i="39"/>
  <c r="G42" i="39"/>
  <c r="G45" i="39"/>
  <c r="E42" i="39"/>
  <c r="E45" i="39"/>
  <c r="E43" i="39"/>
  <c r="E41" i="39"/>
  <c r="E44" i="39"/>
  <c r="O43" i="39"/>
  <c r="O41" i="39"/>
  <c r="O44" i="39"/>
  <c r="O42" i="39"/>
  <c r="P45" i="39"/>
  <c r="P44" i="39"/>
  <c r="P43" i="39"/>
  <c r="P42" i="39"/>
  <c r="P41" i="39"/>
  <c r="F43" i="39"/>
  <c r="F45" i="39"/>
  <c r="F41" i="39"/>
  <c r="F42" i="39"/>
  <c r="F44" i="39"/>
  <c r="B42" i="39"/>
  <c r="B44" i="39"/>
  <c r="B45" i="39"/>
  <c r="B41" i="39"/>
  <c r="B43" i="39"/>
  <c r="N45" i="39"/>
  <c r="N41" i="39"/>
  <c r="N44" i="39"/>
  <c r="N43" i="39"/>
  <c r="N42" i="39"/>
  <c r="I46" i="39" l="1"/>
  <c r="I47" i="39"/>
  <c r="P46" i="39"/>
  <c r="P47" i="39"/>
  <c r="K46" i="39"/>
  <c r="K47" i="39"/>
  <c r="N46" i="39"/>
  <c r="N47" i="39"/>
  <c r="B47" i="39"/>
  <c r="B46" i="39"/>
  <c r="H47" i="39"/>
  <c r="H46" i="39"/>
  <c r="D46" i="39"/>
  <c r="D47" i="39"/>
  <c r="Q46" i="39"/>
  <c r="Q47" i="39"/>
  <c r="J46" i="39"/>
  <c r="J47" i="39"/>
  <c r="L47" i="39"/>
  <c r="L46" i="39"/>
  <c r="O46" i="39"/>
  <c r="O47" i="39"/>
  <c r="E47" i="39"/>
  <c r="E46" i="39"/>
  <c r="F46" i="39"/>
  <c r="F47" i="39"/>
  <c r="G46" i="39"/>
  <c r="G47" i="39"/>
  <c r="M46" i="39"/>
  <c r="M47" i="39"/>
  <c r="C47" i="39"/>
  <c r="C46" i="39"/>
</calcChain>
</file>

<file path=xl/sharedStrings.xml><?xml version="1.0" encoding="utf-8"?>
<sst xmlns="http://schemas.openxmlformats.org/spreadsheetml/2006/main" count="6052" uniqueCount="3225">
  <si>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</si>
  <si>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</si>
  <si>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</si>
  <si>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</si>
  <si>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</si>
  <si>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</si>
  <si>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</si>
  <si>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</si>
  <si>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</si>
  <si>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</si>
  <si>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</si>
  <si>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</si>
  <si>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</si>
  <si>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</si>
  <si>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</si>
  <si>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</si>
  <si>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</si>
  <si>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</si>
  <si>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</si>
  <si>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</si>
  <si>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</si>
  <si>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</si>
  <si>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</si>
  <si>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</si>
  <si>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</si>
  <si>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</si>
  <si>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</si>
  <si>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</si>
  <si>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</si>
  <si>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</si>
  <si>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</si>
  <si>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</si>
  <si>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</si>
  <si>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</si>
  <si>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</si>
  <si>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</si>
  <si>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</si>
  <si>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</si>
  <si>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</si>
  <si>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</si>
  <si>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</si>
  <si>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</si>
  <si>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</si>
  <si>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</si>
  <si>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</si>
  <si>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</si>
  <si>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</si>
  <si>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</si>
  <si>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</si>
  <si>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</si>
  <si>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</si>
  <si>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</si>
  <si>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</si>
  <si>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</si>
  <si>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</si>
  <si>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</si>
  <si>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</si>
  <si>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</si>
  <si>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</si>
  <si>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</si>
  <si>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</si>
  <si>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</si>
  <si>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</si>
  <si>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</si>
  <si>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</si>
  <si>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</si>
  <si>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</si>
  <si>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</si>
  <si>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</si>
  <si>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</si>
  <si>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</si>
  <si>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</si>
  <si>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</si>
  <si>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</si>
  <si>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</si>
  <si>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</si>
  <si>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</si>
  <si>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</si>
  <si>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</si>
  <si>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</si>
  <si>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</si>
  <si>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</si>
  <si>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</si>
  <si>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</si>
  <si>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</si>
  <si>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</si>
  <si>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</si>
  <si>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</si>
  <si>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</si>
  <si>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</si>
  <si>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</si>
  <si>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</si>
  <si>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</si>
  <si>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</si>
  <si>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</si>
  <si>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</si>
  <si>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</si>
  <si>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</si>
  <si>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</si>
  <si>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</si>
  <si>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</si>
  <si>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</si>
  <si>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</si>
  <si>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</si>
  <si>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</si>
  <si>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</si>
  <si>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</si>
  <si>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</si>
  <si>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</si>
  <si>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</si>
  <si>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</si>
  <si>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</si>
  <si>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</si>
  <si>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</si>
  <si>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</si>
  <si>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</si>
  <si>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</si>
  <si>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</si>
  <si>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</si>
  <si>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</si>
  <si>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</si>
  <si>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</si>
  <si>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</si>
  <si>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</si>
  <si>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</si>
  <si>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</si>
  <si>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</si>
  <si>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</si>
  <si>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</si>
  <si>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</si>
  <si>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</si>
  <si>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</si>
  <si>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</si>
  <si>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</si>
  <si>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</si>
  <si>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</si>
  <si>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</si>
  <si>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</si>
  <si>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</si>
  <si>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</si>
  <si>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</si>
  <si>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</si>
  <si>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</si>
  <si>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</si>
  <si>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</si>
  <si>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</si>
  <si>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</si>
  <si>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</si>
  <si>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</si>
  <si>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</si>
  <si>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</si>
  <si>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</si>
  <si>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</si>
  <si>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</si>
  <si>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</si>
  <si>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</si>
  <si>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</si>
  <si>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</si>
  <si>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</si>
  <si>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</si>
  <si>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</si>
  <si>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</si>
  <si>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</si>
  <si>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</si>
  <si>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</si>
  <si>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</si>
  <si>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</si>
  <si>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</si>
  <si>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</si>
  <si>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</si>
  <si>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</si>
  <si>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</si>
  <si>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</si>
  <si>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</si>
  <si>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</si>
  <si>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</si>
  <si>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</si>
  <si>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</si>
  <si>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</si>
  <si>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</si>
  <si>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</si>
  <si>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</si>
  <si>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</si>
  <si>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</si>
  <si>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</si>
  <si>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</si>
  <si>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</si>
  <si>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</si>
  <si>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</si>
  <si>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</si>
  <si>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</si>
  <si>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</si>
  <si>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</si>
  <si>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</si>
  <si>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</si>
  <si>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</si>
  <si>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</si>
  <si>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</si>
  <si>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</si>
  <si>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</si>
  <si>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</si>
  <si>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</si>
  <si>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</si>
  <si>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</si>
  <si>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</si>
  <si>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</si>
  <si>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</si>
  <si>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</si>
  <si>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</si>
  <si>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</si>
  <si>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</si>
  <si>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</si>
  <si>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</si>
  <si>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</si>
  <si>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</si>
  <si>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</si>
  <si>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</si>
  <si>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</si>
  <si>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</si>
  <si>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</si>
  <si>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</si>
  <si>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</si>
  <si>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</si>
  <si>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</si>
  <si>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</si>
  <si>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</si>
  <si>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</si>
  <si>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</si>
  <si>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</si>
  <si>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</si>
  <si>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</si>
  <si>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</si>
  <si>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</si>
  <si>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</si>
  <si>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</si>
  <si>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</si>
  <si>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</si>
  <si>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</si>
  <si>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</si>
  <si>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</si>
  <si>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</si>
  <si>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</si>
  <si>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</si>
  <si>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</si>
  <si>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</si>
  <si>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</si>
  <si>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</si>
  <si>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</si>
  <si>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01-12-2023 00:15</t>
  </si>
  <si>
    <t>01-12-2023 00:30</t>
  </si>
  <si>
    <t>01-12-2023 00:45</t>
  </si>
  <si>
    <t>01-12-2023 01:00</t>
  </si>
  <si>
    <t>01-12-2023 01:15</t>
  </si>
  <si>
    <t>01-12-2023 01:30</t>
  </si>
  <si>
    <t>01-12-2023 01:45</t>
  </si>
  <si>
    <t>01-12-2023 02:00</t>
  </si>
  <si>
    <t>01-12-2023 02:15</t>
  </si>
  <si>
    <t>01-12-2023 02:30</t>
  </si>
  <si>
    <t>01-12-2023 02:45</t>
  </si>
  <si>
    <t>01-12-2023 03:00</t>
  </si>
  <si>
    <t>01-12-2023 03:15</t>
  </si>
  <si>
    <t>01-12-2023 03:30</t>
  </si>
  <si>
    <t>01-12-2023 03:45</t>
  </si>
  <si>
    <t>01-12-2023 04:00</t>
  </si>
  <si>
    <t>01-12-2023 04:15</t>
  </si>
  <si>
    <t>01-12-2023 04:30</t>
  </si>
  <si>
    <t>01-12-2023 04:45</t>
  </si>
  <si>
    <t>01-12-2023 05:00</t>
  </si>
  <si>
    <t>01-12-2023 05:15</t>
  </si>
  <si>
    <t>01-12-2023 05:30</t>
  </si>
  <si>
    <t>01-12-2023 05:45</t>
  </si>
  <si>
    <t>01-12-2023 06:00</t>
  </si>
  <si>
    <t>01-12-2023 06:15</t>
  </si>
  <si>
    <t>01-12-2023 06:30</t>
  </si>
  <si>
    <t>01-12-2023 06:45</t>
  </si>
  <si>
    <t>01-12-2023 07:00</t>
  </si>
  <si>
    <t>01-12-2023 07:15</t>
  </si>
  <si>
    <t>01-12-2023 07:30</t>
  </si>
  <si>
    <t>01-12-2023 07:45</t>
  </si>
  <si>
    <t>01-12-2023 08:00</t>
  </si>
  <si>
    <t>01-12-2023 08:15</t>
  </si>
  <si>
    <t>01-12-2023 08:30</t>
  </si>
  <si>
    <t>01-12-2023 08:45</t>
  </si>
  <si>
    <t>01-12-2023 09:00</t>
  </si>
  <si>
    <t>01-12-2023 09:15</t>
  </si>
  <si>
    <t>01-12-2023 09:30</t>
  </si>
  <si>
    <t>01-12-2023 09:45</t>
  </si>
  <si>
    <t>01-12-2023 10:00</t>
  </si>
  <si>
    <t>01-12-2023 10:15</t>
  </si>
  <si>
    <t>01-12-2023 10:30</t>
  </si>
  <si>
    <t>01-12-2023 10:45</t>
  </si>
  <si>
    <t>01-12-2023 11:00</t>
  </si>
  <si>
    <t>01-12-2023 11:15</t>
  </si>
  <si>
    <t>01-12-2023 11:30</t>
  </si>
  <si>
    <t>01-12-2023 11:45</t>
  </si>
  <si>
    <t>01-12-2023 12:00</t>
  </si>
  <si>
    <t>01-12-2023 12:15</t>
  </si>
  <si>
    <t>01-12-2023 12:30</t>
  </si>
  <si>
    <t>01-12-2023 12:45</t>
  </si>
  <si>
    <t>01-12-2023 13:00</t>
  </si>
  <si>
    <t>01-12-2023 13:15</t>
  </si>
  <si>
    <t>01-12-2023 13:30</t>
  </si>
  <si>
    <t>01-12-2023 13:45</t>
  </si>
  <si>
    <t>01-12-2023 14:00</t>
  </si>
  <si>
    <t>01-12-2023 14:15</t>
  </si>
  <si>
    <t>01-12-2023 14:30</t>
  </si>
  <si>
    <t>01-12-2023 14:45</t>
  </si>
  <si>
    <t>01-12-2023 15:00</t>
  </si>
  <si>
    <t>01-12-2023 15:15</t>
  </si>
  <si>
    <t>01-12-2023 15:30</t>
  </si>
  <si>
    <t>01-12-2023 15:45</t>
  </si>
  <si>
    <t>01-12-2023 16:00</t>
  </si>
  <si>
    <t>01-12-2023 16:15</t>
  </si>
  <si>
    <t>01-12-2023 16:30</t>
  </si>
  <si>
    <t>01-12-2023 16:45</t>
  </si>
  <si>
    <t>01-12-2023 17:00</t>
  </si>
  <si>
    <t>01-12-2023 17:15</t>
  </si>
  <si>
    <t>01-12-2023 17:30</t>
  </si>
  <si>
    <t>01-12-2023 17:45</t>
  </si>
  <si>
    <t>01-12-2023 18:00</t>
  </si>
  <si>
    <t>01-12-2023 18:15</t>
  </si>
  <si>
    <t>01-12-2023 18:30</t>
  </si>
  <si>
    <t>01-12-2023 18:45</t>
  </si>
  <si>
    <t>01-12-2023 19:00</t>
  </si>
  <si>
    <t>01-12-2023 19:15</t>
  </si>
  <si>
    <t>01-12-2023 19:30</t>
  </si>
  <si>
    <t>01-12-2023 19:45</t>
  </si>
  <si>
    <t>01-12-2023 20:00</t>
  </si>
  <si>
    <t>01-12-2023 20:15</t>
  </si>
  <si>
    <t>01-12-2023 20:30</t>
  </si>
  <si>
    <t>01-12-2023 20:45</t>
  </si>
  <si>
    <t>01-12-2023 21:00</t>
  </si>
  <si>
    <t>01-12-2023 21:15</t>
  </si>
  <si>
    <t>01-12-2023 21:30</t>
  </si>
  <si>
    <t>01-12-2023 21:45</t>
  </si>
  <si>
    <t>01-12-2023 22:00</t>
  </si>
  <si>
    <t>01-12-2023 22:15</t>
  </si>
  <si>
    <t>01-12-2023 22:30</t>
  </si>
  <si>
    <t>01-12-2023 22:45</t>
  </si>
  <si>
    <t>01-12-2023 23:00</t>
  </si>
  <si>
    <t>01-12-2023 23:15</t>
  </si>
  <si>
    <t>01-12-2023 23:30</t>
  </si>
  <si>
    <t>01-12-2023 23:45</t>
  </si>
  <si>
    <t>01-12-2023 24:00</t>
  </si>
  <si>
    <t>02-12-2023 00:15</t>
  </si>
  <si>
    <t>02-12-2023 00:30</t>
  </si>
  <si>
    <t>02-12-2023 00:45</t>
  </si>
  <si>
    <t>02-12-2023 01:00</t>
  </si>
  <si>
    <t>02-12-2023 01:15</t>
  </si>
  <si>
    <t>02-12-2023 01:30</t>
  </si>
  <si>
    <t>02-12-2023 01:45</t>
  </si>
  <si>
    <t>02-12-2023 02:00</t>
  </si>
  <si>
    <t>02-12-2023 02:15</t>
  </si>
  <si>
    <t>02-12-2023 02:30</t>
  </si>
  <si>
    <t>02-12-2023 02:45</t>
  </si>
  <si>
    <t>02-12-2023 03:00</t>
  </si>
  <si>
    <t>02-12-2023 03:15</t>
  </si>
  <si>
    <t>02-12-2023 03:30</t>
  </si>
  <si>
    <t>02-12-2023 03:45</t>
  </si>
  <si>
    <t>02-12-2023 04:00</t>
  </si>
  <si>
    <t>02-12-2023 04:15</t>
  </si>
  <si>
    <t>02-12-2023 04:30</t>
  </si>
  <si>
    <t>02-12-2023 04:45</t>
  </si>
  <si>
    <t>02-12-2023 05:00</t>
  </si>
  <si>
    <t>02-12-2023 05:15</t>
  </si>
  <si>
    <t>02-12-2023 05:30</t>
  </si>
  <si>
    <t>02-12-2023 05:45</t>
  </si>
  <si>
    <t>02-12-2023 06:00</t>
  </si>
  <si>
    <t>02-12-2023 06:15</t>
  </si>
  <si>
    <t>02-12-2023 06:30</t>
  </si>
  <si>
    <t>02-12-2023 06:45</t>
  </si>
  <si>
    <t>02-12-2023 07:00</t>
  </si>
  <si>
    <t>02-12-2023 07:15</t>
  </si>
  <si>
    <t>02-12-2023 07:30</t>
  </si>
  <si>
    <t>02-12-2023 07:45</t>
  </si>
  <si>
    <t>02-12-2023 08:00</t>
  </si>
  <si>
    <t>02-12-2023 08:15</t>
  </si>
  <si>
    <t>02-12-2023 08:30</t>
  </si>
  <si>
    <t>02-12-2023 08:45</t>
  </si>
  <si>
    <t>02-12-2023 09:00</t>
  </si>
  <si>
    <t>02-12-2023 09:15</t>
  </si>
  <si>
    <t>02-12-2023 09:30</t>
  </si>
  <si>
    <t>02-12-2023 09:45</t>
  </si>
  <si>
    <t>02-12-2023 10:00</t>
  </si>
  <si>
    <t>02-12-2023 10:15</t>
  </si>
  <si>
    <t>02-12-2023 10:30</t>
  </si>
  <si>
    <t>02-12-2023 10:45</t>
  </si>
  <si>
    <t>02-12-2023 11:00</t>
  </si>
  <si>
    <t>02-12-2023 11:15</t>
  </si>
  <si>
    <t>02-12-2023 11:30</t>
  </si>
  <si>
    <t>02-12-2023 11:45</t>
  </si>
  <si>
    <t>02-12-2023 12:00</t>
  </si>
  <si>
    <t>02-12-2023 12:15</t>
  </si>
  <si>
    <t>02-12-2023 12:30</t>
  </si>
  <si>
    <t>02-12-2023 12:45</t>
  </si>
  <si>
    <t>02-12-2023 13:00</t>
  </si>
  <si>
    <t>02-12-2023 13:15</t>
  </si>
  <si>
    <t>02-12-2023 13:30</t>
  </si>
  <si>
    <t>02-12-2023 13:45</t>
  </si>
  <si>
    <t>02-12-2023 14:00</t>
  </si>
  <si>
    <t>02-12-2023 14:15</t>
  </si>
  <si>
    <t>02-12-2023 14:30</t>
  </si>
  <si>
    <t>02-12-2023 14:45</t>
  </si>
  <si>
    <t>02-12-2023 15:00</t>
  </si>
  <si>
    <t>02-12-2023 15:15</t>
  </si>
  <si>
    <t>02-12-2023 15:30</t>
  </si>
  <si>
    <t>02-12-2023 15:45</t>
  </si>
  <si>
    <t>02-12-2023 16:00</t>
  </si>
  <si>
    <t>02-12-2023 16:15</t>
  </si>
  <si>
    <t>02-12-2023 16:30</t>
  </si>
  <si>
    <t>02-12-2023 16:45</t>
  </si>
  <si>
    <t>02-12-2023 17:00</t>
  </si>
  <si>
    <t>02-12-2023 17:15</t>
  </si>
  <si>
    <t>02-12-2023 17:30</t>
  </si>
  <si>
    <t>02-12-2023 17:45</t>
  </si>
  <si>
    <t>02-12-2023 18:00</t>
  </si>
  <si>
    <t>02-12-2023 18:15</t>
  </si>
  <si>
    <t>02-12-2023 18:30</t>
  </si>
  <si>
    <t>02-12-2023 18:45</t>
  </si>
  <si>
    <t>02-12-2023 19:00</t>
  </si>
  <si>
    <t>02-12-2023 19:15</t>
  </si>
  <si>
    <t>02-12-2023 19:30</t>
  </si>
  <si>
    <t>02-12-2023 19:45</t>
  </si>
  <si>
    <t>02-12-2023 20:00</t>
  </si>
  <si>
    <t>02-12-2023 20:15</t>
  </si>
  <si>
    <t>02-12-2023 20:30</t>
  </si>
  <si>
    <t>02-12-2023 20:45</t>
  </si>
  <si>
    <t>02-12-2023 21:00</t>
  </si>
  <si>
    <t>02-12-2023 21:15</t>
  </si>
  <si>
    <t>02-12-2023 21:30</t>
  </si>
  <si>
    <t>02-12-2023 21:45</t>
  </si>
  <si>
    <t>02-12-2023 22:00</t>
  </si>
  <si>
    <t>02-12-2023 22:15</t>
  </si>
  <si>
    <t>02-12-2023 22:30</t>
  </si>
  <si>
    <t>02-12-2023 22:45</t>
  </si>
  <si>
    <t>02-12-2023 23:00</t>
  </si>
  <si>
    <t>02-12-2023 23:15</t>
  </si>
  <si>
    <t>02-12-2023 23:30</t>
  </si>
  <si>
    <t>02-12-2023 23:45</t>
  </si>
  <si>
    <t>02-12-2023 24:00</t>
  </si>
  <si>
    <t>03-12-2023 00:15</t>
  </si>
  <si>
    <t>03-12-2023 00:30</t>
  </si>
  <si>
    <t>03-12-2023 00:45</t>
  </si>
  <si>
    <t>03-12-2023 01:00</t>
  </si>
  <si>
    <t>03-12-2023 01:15</t>
  </si>
  <si>
    <t>03-12-2023 01:30</t>
  </si>
  <si>
    <t>03-12-2023 01:45</t>
  </si>
  <si>
    <t>03-12-2023 02:00</t>
  </si>
  <si>
    <t>03-12-2023 02:15</t>
  </si>
  <si>
    <t>03-12-2023 02:30</t>
  </si>
  <si>
    <t>03-12-2023 02:45</t>
  </si>
  <si>
    <t>03-12-2023 03:00</t>
  </si>
  <si>
    <t>03-12-2023 03:15</t>
  </si>
  <si>
    <t>03-12-2023 03:30</t>
  </si>
  <si>
    <t>03-12-2023 03:45</t>
  </si>
  <si>
    <t>03-12-2023 04:00</t>
  </si>
  <si>
    <t>03-12-2023 04:15</t>
  </si>
  <si>
    <t>03-12-2023 04:30</t>
  </si>
  <si>
    <t>03-12-2023 04:45</t>
  </si>
  <si>
    <t>03-12-2023 05:00</t>
  </si>
  <si>
    <t>03-12-2023 05:15</t>
  </si>
  <si>
    <t>03-12-2023 05:30</t>
  </si>
  <si>
    <t>03-12-2023 05:45</t>
  </si>
  <si>
    <t>03-12-2023 06:00</t>
  </si>
  <si>
    <t>03-12-2023 06:15</t>
  </si>
  <si>
    <t>03-12-2023 06:30</t>
  </si>
  <si>
    <t>03-12-2023 06:45</t>
  </si>
  <si>
    <t>03-12-2023 07:00</t>
  </si>
  <si>
    <t>03-12-2023 07:15</t>
  </si>
  <si>
    <t>03-12-2023 07:30</t>
  </si>
  <si>
    <t>03-12-2023 07:45</t>
  </si>
  <si>
    <t>03-12-2023 08:00</t>
  </si>
  <si>
    <t>03-12-2023 08:15</t>
  </si>
  <si>
    <t>03-12-2023 08:30</t>
  </si>
  <si>
    <t>03-12-2023 08:45</t>
  </si>
  <si>
    <t>03-12-2023 09:00</t>
  </si>
  <si>
    <t>03-12-2023 09:15</t>
  </si>
  <si>
    <t>03-12-2023 09:30</t>
  </si>
  <si>
    <t>03-12-2023 09:45</t>
  </si>
  <si>
    <t>03-12-2023 10:00</t>
  </si>
  <si>
    <t>03-12-2023 10:15</t>
  </si>
  <si>
    <t>03-12-2023 10:30</t>
  </si>
  <si>
    <t>03-12-2023 10:45</t>
  </si>
  <si>
    <t>03-12-2023 11:00</t>
  </si>
  <si>
    <t>03-12-2023 11:15</t>
  </si>
  <si>
    <t>03-12-2023 11:30</t>
  </si>
  <si>
    <t>03-12-2023 11:45</t>
  </si>
  <si>
    <t>03-12-2023 12:00</t>
  </si>
  <si>
    <t>03-12-2023 12:15</t>
  </si>
  <si>
    <t>03-12-2023 12:30</t>
  </si>
  <si>
    <t>03-12-2023 12:45</t>
  </si>
  <si>
    <t>03-12-2023 13:00</t>
  </si>
  <si>
    <t>03-12-2023 13:15</t>
  </si>
  <si>
    <t>03-12-2023 13:30</t>
  </si>
  <si>
    <t>03-12-2023 13:45</t>
  </si>
  <si>
    <t>03-12-2023 14:00</t>
  </si>
  <si>
    <t>03-12-2023 14:15</t>
  </si>
  <si>
    <t>03-12-2023 14:30</t>
  </si>
  <si>
    <t>03-12-2023 14:45</t>
  </si>
  <si>
    <t>03-12-2023 15:00</t>
  </si>
  <si>
    <t>03-12-2023 15:15</t>
  </si>
  <si>
    <t>03-12-2023 15:30</t>
  </si>
  <si>
    <t>03-12-2023 15:45</t>
  </si>
  <si>
    <t>03-12-2023 16:00</t>
  </si>
  <si>
    <t>03-12-2023 16:15</t>
  </si>
  <si>
    <t>03-12-2023 16:30</t>
  </si>
  <si>
    <t>03-12-2023 16:45</t>
  </si>
  <si>
    <t>03-12-2023 17:00</t>
  </si>
  <si>
    <t>03-12-2023 17:15</t>
  </si>
  <si>
    <t>03-12-2023 17:30</t>
  </si>
  <si>
    <t>03-12-2023 17:45</t>
  </si>
  <si>
    <t>03-12-2023 18:00</t>
  </si>
  <si>
    <t>03-12-2023 18:15</t>
  </si>
  <si>
    <t>03-12-2023 18:30</t>
  </si>
  <si>
    <t>03-12-2023 18:45</t>
  </si>
  <si>
    <t>03-12-2023 19:00</t>
  </si>
  <si>
    <t>03-12-2023 19:15</t>
  </si>
  <si>
    <t>03-12-2023 19:30</t>
  </si>
  <si>
    <t>03-12-2023 19:45</t>
  </si>
  <si>
    <t>03-12-2023 20:00</t>
  </si>
  <si>
    <t>03-12-2023 20:15</t>
  </si>
  <si>
    <t>03-12-2023 20:30</t>
  </si>
  <si>
    <t>03-12-2023 20:45</t>
  </si>
  <si>
    <t>03-12-2023 21:00</t>
  </si>
  <si>
    <t>03-12-2023 21:15</t>
  </si>
  <si>
    <t>03-12-2023 21:30</t>
  </si>
  <si>
    <t>03-12-2023 21:45</t>
  </si>
  <si>
    <t>03-12-2023 22:00</t>
  </si>
  <si>
    <t>03-12-2023 22:15</t>
  </si>
  <si>
    <t>03-12-2023 22:30</t>
  </si>
  <si>
    <t>03-12-2023 22:45</t>
  </si>
  <si>
    <t>03-12-2023 23:00</t>
  </si>
  <si>
    <t>03-12-2023 23:15</t>
  </si>
  <si>
    <t>03-12-2023 23:30</t>
  </si>
  <si>
    <t>03-12-2023 23:45</t>
  </si>
  <si>
    <t>03-12-2023 24:00</t>
  </si>
  <si>
    <t>04-12-2023 00:15</t>
  </si>
  <si>
    <t>04-12-2023 00:30</t>
  </si>
  <si>
    <t>04-12-2023 00:45</t>
  </si>
  <si>
    <t>04-12-2023 01:00</t>
  </si>
  <si>
    <t>04-12-2023 01:15</t>
  </si>
  <si>
    <t>04-12-2023 01:30</t>
  </si>
  <si>
    <t>04-12-2023 01:45</t>
  </si>
  <si>
    <t>04-12-2023 02:00</t>
  </si>
  <si>
    <t>04-12-2023 02:15</t>
  </si>
  <si>
    <t>04-12-2023 02:30</t>
  </si>
  <si>
    <t>04-12-2023 02:45</t>
  </si>
  <si>
    <t>04-12-2023 03:00</t>
  </si>
  <si>
    <t>04-12-2023 03:15</t>
  </si>
  <si>
    <t>04-12-2023 03:30</t>
  </si>
  <si>
    <t>04-12-2023 03:45</t>
  </si>
  <si>
    <t>04-12-2023 04:00</t>
  </si>
  <si>
    <t>04-12-2023 04:15</t>
  </si>
  <si>
    <t>04-12-2023 04:30</t>
  </si>
  <si>
    <t>04-12-2023 04:45</t>
  </si>
  <si>
    <t>04-12-2023 05:00</t>
  </si>
  <si>
    <t>04-12-2023 05:15</t>
  </si>
  <si>
    <t>04-12-2023 05:30</t>
  </si>
  <si>
    <t>04-12-2023 05:45</t>
  </si>
  <si>
    <t>04-12-2023 06:00</t>
  </si>
  <si>
    <t>04-12-2023 06:15</t>
  </si>
  <si>
    <t>04-12-2023 06:30</t>
  </si>
  <si>
    <t>04-12-2023 06:45</t>
  </si>
  <si>
    <t>04-12-2023 07:00</t>
  </si>
  <si>
    <t>04-12-2023 07:15</t>
  </si>
  <si>
    <t>04-12-2023 07:30</t>
  </si>
  <si>
    <t>04-12-2023 07:45</t>
  </si>
  <si>
    <t>04-12-2023 08:00</t>
  </si>
  <si>
    <t>04-12-2023 08:15</t>
  </si>
  <si>
    <t>04-12-2023 08:30</t>
  </si>
  <si>
    <t>04-12-2023 08:45</t>
  </si>
  <si>
    <t>04-12-2023 09:00</t>
  </si>
  <si>
    <t>04-12-2023 09:15</t>
  </si>
  <si>
    <t>04-12-2023 09:30</t>
  </si>
  <si>
    <t>04-12-2023 09:45</t>
  </si>
  <si>
    <t>04-12-2023 10:00</t>
  </si>
  <si>
    <t>04-12-2023 10:15</t>
  </si>
  <si>
    <t>04-12-2023 10:30</t>
  </si>
  <si>
    <t>04-12-2023 10:45</t>
  </si>
  <si>
    <t>04-12-2023 11:00</t>
  </si>
  <si>
    <t>04-12-2023 11:15</t>
  </si>
  <si>
    <t>04-12-2023 11:30</t>
  </si>
  <si>
    <t>04-12-2023 11:45</t>
  </si>
  <si>
    <t>04-12-2023 12:00</t>
  </si>
  <si>
    <t>04-12-2023 12:15</t>
  </si>
  <si>
    <t>04-12-2023 12:30</t>
  </si>
  <si>
    <t>04-12-2023 12:45</t>
  </si>
  <si>
    <t>04-12-2023 13:00</t>
  </si>
  <si>
    <t>04-12-2023 13:15</t>
  </si>
  <si>
    <t>04-12-2023 13:30</t>
  </si>
  <si>
    <t>04-12-2023 13:45</t>
  </si>
  <si>
    <t>04-12-2023 14:00</t>
  </si>
  <si>
    <t>04-12-2023 14:15</t>
  </si>
  <si>
    <t>04-12-2023 14:30</t>
  </si>
  <si>
    <t>04-12-2023 14:45</t>
  </si>
  <si>
    <t>04-12-2023 15:00</t>
  </si>
  <si>
    <t>04-12-2023 15:15</t>
  </si>
  <si>
    <t>04-12-2023 15:30</t>
  </si>
  <si>
    <t>04-12-2023 15:45</t>
  </si>
  <si>
    <t>04-12-2023 16:00</t>
  </si>
  <si>
    <t>04-12-2023 16:15</t>
  </si>
  <si>
    <t>04-12-2023 16:30</t>
  </si>
  <si>
    <t>04-12-2023 16:45</t>
  </si>
  <si>
    <t>04-12-2023 17:00</t>
  </si>
  <si>
    <t>04-12-2023 17:15</t>
  </si>
  <si>
    <t>04-12-2023 17:30</t>
  </si>
  <si>
    <t>04-12-2023 17:45</t>
  </si>
  <si>
    <t>04-12-2023 18:00</t>
  </si>
  <si>
    <t>04-12-2023 18:15</t>
  </si>
  <si>
    <t>04-12-2023 18:30</t>
  </si>
  <si>
    <t>04-12-2023 18:45</t>
  </si>
  <si>
    <t>04-12-2023 19:00</t>
  </si>
  <si>
    <t>04-12-2023 19:15</t>
  </si>
  <si>
    <t>04-12-2023 19:30</t>
  </si>
  <si>
    <t>04-12-2023 19:45</t>
  </si>
  <si>
    <t>04-12-2023 20:00</t>
  </si>
  <si>
    <t>04-12-2023 20:15</t>
  </si>
  <si>
    <t>04-12-2023 20:30</t>
  </si>
  <si>
    <t>04-12-2023 20:45</t>
  </si>
  <si>
    <t>04-12-2023 21:00</t>
  </si>
  <si>
    <t>04-12-2023 21:15</t>
  </si>
  <si>
    <t>04-12-2023 21:30</t>
  </si>
  <si>
    <t>04-12-2023 21:45</t>
  </si>
  <si>
    <t>04-12-2023 22:00</t>
  </si>
  <si>
    <t>04-12-2023 22:15</t>
  </si>
  <si>
    <t>04-12-2023 22:30</t>
  </si>
  <si>
    <t>04-12-2023 22:45</t>
  </si>
  <si>
    <t>04-12-2023 23:00</t>
  </si>
  <si>
    <t>04-12-2023 23:15</t>
  </si>
  <si>
    <t>04-12-2023 23:30</t>
  </si>
  <si>
    <t>04-12-2023 23:45</t>
  </si>
  <si>
    <t>04-12-2023 24:00</t>
  </si>
  <si>
    <t>05-12-2023 00:15</t>
  </si>
  <si>
    <t>05-12-2023 00:30</t>
  </si>
  <si>
    <t>05-12-2023 00:45</t>
  </si>
  <si>
    <t>05-12-2023 01:00</t>
  </si>
  <si>
    <t>05-12-2023 01:15</t>
  </si>
  <si>
    <t>05-12-2023 01:30</t>
  </si>
  <si>
    <t>05-12-2023 01:45</t>
  </si>
  <si>
    <t>05-12-2023 02:00</t>
  </si>
  <si>
    <t>05-12-2023 02:15</t>
  </si>
  <si>
    <t>05-12-2023 02:30</t>
  </si>
  <si>
    <t>05-12-2023 02:45</t>
  </si>
  <si>
    <t>05-12-2023 03:00</t>
  </si>
  <si>
    <t>05-12-2023 03:15</t>
  </si>
  <si>
    <t>05-12-2023 03:30</t>
  </si>
  <si>
    <t>05-12-2023 03:45</t>
  </si>
  <si>
    <t>05-12-2023 04:00</t>
  </si>
  <si>
    <t>05-12-2023 04:15</t>
  </si>
  <si>
    <t>05-12-2023 04:30</t>
  </si>
  <si>
    <t>05-12-2023 04:45</t>
  </si>
  <si>
    <t>05-12-2023 05:00</t>
  </si>
  <si>
    <t>05-12-2023 05:15</t>
  </si>
  <si>
    <t>05-12-2023 05:30</t>
  </si>
  <si>
    <t>05-12-2023 05:45</t>
  </si>
  <si>
    <t>05-12-2023 06:00</t>
  </si>
  <si>
    <t>05-12-2023 06:15</t>
  </si>
  <si>
    <t>05-12-2023 06:30</t>
  </si>
  <si>
    <t>05-12-2023 06:45</t>
  </si>
  <si>
    <t>05-12-2023 07:00</t>
  </si>
  <si>
    <t>05-12-2023 07:15</t>
  </si>
  <si>
    <t>05-12-2023 07:30</t>
  </si>
  <si>
    <t>05-12-2023 07:45</t>
  </si>
  <si>
    <t>05-12-2023 08:00</t>
  </si>
  <si>
    <t>05-12-2023 08:15</t>
  </si>
  <si>
    <t>05-12-2023 08:30</t>
  </si>
  <si>
    <t>05-12-2023 08:45</t>
  </si>
  <si>
    <t>05-12-2023 09:00</t>
  </si>
  <si>
    <t>05-12-2023 09:15</t>
  </si>
  <si>
    <t>05-12-2023 09:30</t>
  </si>
  <si>
    <t>05-12-2023 09:45</t>
  </si>
  <si>
    <t>05-12-2023 10:00</t>
  </si>
  <si>
    <t>05-12-2023 10:15</t>
  </si>
  <si>
    <t>05-12-2023 10:30</t>
  </si>
  <si>
    <t>05-12-2023 10:45</t>
  </si>
  <si>
    <t>05-12-2023 11:00</t>
  </si>
  <si>
    <t>05-12-2023 11:15</t>
  </si>
  <si>
    <t>05-12-2023 11:30</t>
  </si>
  <si>
    <t>05-12-2023 11:45</t>
  </si>
  <si>
    <t>05-12-2023 12:00</t>
  </si>
  <si>
    <t>05-12-2023 12:15</t>
  </si>
  <si>
    <t>05-12-2023 12:30</t>
  </si>
  <si>
    <t>05-12-2023 12:45</t>
  </si>
  <si>
    <t>05-12-2023 13:00</t>
  </si>
  <si>
    <t>05-12-2023 13:15</t>
  </si>
  <si>
    <t>05-12-2023 13:30</t>
  </si>
  <si>
    <t>05-12-2023 13:45</t>
  </si>
  <si>
    <t>05-12-2023 14:00</t>
  </si>
  <si>
    <t>05-12-2023 14:15</t>
  </si>
  <si>
    <t>05-12-2023 14:30</t>
  </si>
  <si>
    <t>05-12-2023 14:45</t>
  </si>
  <si>
    <t>05-12-2023 15:00</t>
  </si>
  <si>
    <t>05-12-2023 15:15</t>
  </si>
  <si>
    <t>05-12-2023 15:30</t>
  </si>
  <si>
    <t>05-12-2023 15:45</t>
  </si>
  <si>
    <t>05-12-2023 16:00</t>
  </si>
  <si>
    <t>05-12-2023 16:15</t>
  </si>
  <si>
    <t>05-12-2023 16:30</t>
  </si>
  <si>
    <t>05-12-2023 16:45</t>
  </si>
  <si>
    <t>05-12-2023 17:00</t>
  </si>
  <si>
    <t>05-12-2023 17:15</t>
  </si>
  <si>
    <t>05-12-2023 17:30</t>
  </si>
  <si>
    <t>05-12-2023 17:45</t>
  </si>
  <si>
    <t>05-12-2023 18:00</t>
  </si>
  <si>
    <t>05-12-2023 18:15</t>
  </si>
  <si>
    <t>05-12-2023 18:30</t>
  </si>
  <si>
    <t>05-12-2023 18:45</t>
  </si>
  <si>
    <t>05-12-2023 19:00</t>
  </si>
  <si>
    <t>05-12-2023 19:15</t>
  </si>
  <si>
    <t>05-12-2023 19:30</t>
  </si>
  <si>
    <t>05-12-2023 19:45</t>
  </si>
  <si>
    <t>05-12-2023 20:00</t>
  </si>
  <si>
    <t>05-12-2023 20:15</t>
  </si>
  <si>
    <t>05-12-2023 20:30</t>
  </si>
  <si>
    <t>05-12-2023 20:45</t>
  </si>
  <si>
    <t>05-12-2023 21:00</t>
  </si>
  <si>
    <t>05-12-2023 21:15</t>
  </si>
  <si>
    <t>05-12-2023 21:30</t>
  </si>
  <si>
    <t>05-12-2023 21:45</t>
  </si>
  <si>
    <t>05-12-2023 22:00</t>
  </si>
  <si>
    <t>05-12-2023 22:15</t>
  </si>
  <si>
    <t>05-12-2023 22:30</t>
  </si>
  <si>
    <t>05-12-2023 22:45</t>
  </si>
  <si>
    <t>05-12-2023 23:00</t>
  </si>
  <si>
    <t>05-12-2023 23:15</t>
  </si>
  <si>
    <t>05-12-2023 23:30</t>
  </si>
  <si>
    <t>05-12-2023 23:45</t>
  </si>
  <si>
    <t>05-12-2023 24:00</t>
  </si>
  <si>
    <t>06-12-2023 00:15</t>
  </si>
  <si>
    <t>06-12-2023 00:30</t>
  </si>
  <si>
    <t>06-12-2023 00:45</t>
  </si>
  <si>
    <t>06-12-2023 01:00</t>
  </si>
  <si>
    <t>06-12-2023 01:15</t>
  </si>
  <si>
    <t>06-12-2023 01:30</t>
  </si>
  <si>
    <t>06-12-2023 01:45</t>
  </si>
  <si>
    <t>06-12-2023 02:00</t>
  </si>
  <si>
    <t>06-12-2023 02:15</t>
  </si>
  <si>
    <t>06-12-2023 02:30</t>
  </si>
  <si>
    <t>06-12-2023 02:45</t>
  </si>
  <si>
    <t>06-12-2023 03:00</t>
  </si>
  <si>
    <t>06-12-2023 03:15</t>
  </si>
  <si>
    <t>06-12-2023 03:30</t>
  </si>
  <si>
    <t>06-12-2023 03:45</t>
  </si>
  <si>
    <t>06-12-2023 04:00</t>
  </si>
  <si>
    <t>06-12-2023 04:15</t>
  </si>
  <si>
    <t>06-12-2023 04:30</t>
  </si>
  <si>
    <t>06-12-2023 04:45</t>
  </si>
  <si>
    <t>06-12-2023 05:00</t>
  </si>
  <si>
    <t>06-12-2023 05:15</t>
  </si>
  <si>
    <t>06-12-2023 05:30</t>
  </si>
  <si>
    <t>06-12-2023 05:45</t>
  </si>
  <si>
    <t>06-12-2023 06:00</t>
  </si>
  <si>
    <t>06-12-2023 06:15</t>
  </si>
  <si>
    <t>06-12-2023 06:30</t>
  </si>
  <si>
    <t>06-12-2023 06:45</t>
  </si>
  <si>
    <t>06-12-2023 07:00</t>
  </si>
  <si>
    <t>06-12-2023 07:15</t>
  </si>
  <si>
    <t>06-12-2023 07:30</t>
  </si>
  <si>
    <t>06-12-2023 07:45</t>
  </si>
  <si>
    <t>06-12-2023 08:00</t>
  </si>
  <si>
    <t>06-12-2023 08:15</t>
  </si>
  <si>
    <t>06-12-2023 08:30</t>
  </si>
  <si>
    <t>06-12-2023 08:45</t>
  </si>
  <si>
    <t>06-12-2023 09:00</t>
  </si>
  <si>
    <t>06-12-2023 09:15</t>
  </si>
  <si>
    <t>06-12-2023 09:30</t>
  </si>
  <si>
    <t>06-12-2023 09:45</t>
  </si>
  <si>
    <t>06-12-2023 10:00</t>
  </si>
  <si>
    <t>06-12-2023 10:15</t>
  </si>
  <si>
    <t>06-12-2023 10:30</t>
  </si>
  <si>
    <t>06-12-2023 10:45</t>
  </si>
  <si>
    <t>06-12-2023 11:00</t>
  </si>
  <si>
    <t>06-12-2023 11:15</t>
  </si>
  <si>
    <t>06-12-2023 11:30</t>
  </si>
  <si>
    <t>06-12-2023 11:45</t>
  </si>
  <si>
    <t>06-12-2023 12:00</t>
  </si>
  <si>
    <t>06-12-2023 12:15</t>
  </si>
  <si>
    <t>06-12-2023 12:30</t>
  </si>
  <si>
    <t>06-12-2023 12:45</t>
  </si>
  <si>
    <t>06-12-2023 13:00</t>
  </si>
  <si>
    <t>06-12-2023 13:15</t>
  </si>
  <si>
    <t>06-12-2023 13:30</t>
  </si>
  <si>
    <t>06-12-2023 13:45</t>
  </si>
  <si>
    <t>06-12-2023 14:00</t>
  </si>
  <si>
    <t>06-12-2023 14:15</t>
  </si>
  <si>
    <t>06-12-2023 14:30</t>
  </si>
  <si>
    <t>06-12-2023 14:45</t>
  </si>
  <si>
    <t>06-12-2023 15:00</t>
  </si>
  <si>
    <t>06-12-2023 15:15</t>
  </si>
  <si>
    <t>06-12-2023 15:30</t>
  </si>
  <si>
    <t>06-12-2023 15:45</t>
  </si>
  <si>
    <t>06-12-2023 16:00</t>
  </si>
  <si>
    <t>06-12-2023 16:15</t>
  </si>
  <si>
    <t>06-12-2023 16:30</t>
  </si>
  <si>
    <t>06-12-2023 16:45</t>
  </si>
  <si>
    <t>06-12-2023 17:00</t>
  </si>
  <si>
    <t>06-12-2023 17:15</t>
  </si>
  <si>
    <t>06-12-2023 17:30</t>
  </si>
  <si>
    <t>06-12-2023 17:45</t>
  </si>
  <si>
    <t>06-12-2023 18:00</t>
  </si>
  <si>
    <t>06-12-2023 18:15</t>
  </si>
  <si>
    <t>06-12-2023 18:30</t>
  </si>
  <si>
    <t>06-12-2023 18:45</t>
  </si>
  <si>
    <t>06-12-2023 19:00</t>
  </si>
  <si>
    <t>06-12-2023 19:15</t>
  </si>
  <si>
    <t>06-12-2023 19:30</t>
  </si>
  <si>
    <t>06-12-2023 19:45</t>
  </si>
  <si>
    <t>06-12-2023 20:00</t>
  </si>
  <si>
    <t>06-12-2023 20:15</t>
  </si>
  <si>
    <t>06-12-2023 20:30</t>
  </si>
  <si>
    <t>06-12-2023 20:45</t>
  </si>
  <si>
    <t>06-12-2023 21:00</t>
  </si>
  <si>
    <t>06-12-2023 21:15</t>
  </si>
  <si>
    <t>06-12-2023 21:30</t>
  </si>
  <si>
    <t>06-12-2023 21:45</t>
  </si>
  <si>
    <t>06-12-2023 22:00</t>
  </si>
  <si>
    <t>06-12-2023 22:15</t>
  </si>
  <si>
    <t>06-12-2023 22:30</t>
  </si>
  <si>
    <t>06-12-2023 22:45</t>
  </si>
  <si>
    <t>06-12-2023 23:00</t>
  </si>
  <si>
    <t>06-12-2023 23:15</t>
  </si>
  <si>
    <t>06-12-2023 23:30</t>
  </si>
  <si>
    <t>06-12-2023 23:45</t>
  </si>
  <si>
    <t>06-12-2023 24:00</t>
  </si>
  <si>
    <t>07-12-2023 00:15</t>
  </si>
  <si>
    <t>07-12-2023 00:30</t>
  </si>
  <si>
    <t>07-12-2023 00:45</t>
  </si>
  <si>
    <t>07-12-2023 01:00</t>
  </si>
  <si>
    <t>07-12-2023 01:15</t>
  </si>
  <si>
    <t>07-12-2023 01:30</t>
  </si>
  <si>
    <t>07-12-2023 01:45</t>
  </si>
  <si>
    <t>07-12-2023 02:00</t>
  </si>
  <si>
    <t>07-12-2023 02:15</t>
  </si>
  <si>
    <t>07-12-2023 02:30</t>
  </si>
  <si>
    <t>07-12-2023 02:45</t>
  </si>
  <si>
    <t>07-12-2023 03:00</t>
  </si>
  <si>
    <t>07-12-2023 03:15</t>
  </si>
  <si>
    <t>07-12-2023 03:30</t>
  </si>
  <si>
    <t>07-12-2023 03:45</t>
  </si>
  <si>
    <t>07-12-2023 04:00</t>
  </si>
  <si>
    <t>07-12-2023 04:15</t>
  </si>
  <si>
    <t>07-12-2023 04:30</t>
  </si>
  <si>
    <t>07-12-2023 04:45</t>
  </si>
  <si>
    <t>07-12-2023 05:00</t>
  </si>
  <si>
    <t>07-12-2023 05:15</t>
  </si>
  <si>
    <t>07-12-2023 05:30</t>
  </si>
  <si>
    <t>07-12-2023 05:45</t>
  </si>
  <si>
    <t>07-12-2023 06:00</t>
  </si>
  <si>
    <t>07-12-2023 06:15</t>
  </si>
  <si>
    <t>07-12-2023 06:30</t>
  </si>
  <si>
    <t>07-12-2023 06:45</t>
  </si>
  <si>
    <t>07-12-2023 07:00</t>
  </si>
  <si>
    <t>07-12-2023 07:15</t>
  </si>
  <si>
    <t>07-12-2023 07:30</t>
  </si>
  <si>
    <t>07-12-2023 07:45</t>
  </si>
  <si>
    <t>07-12-2023 08:00</t>
  </si>
  <si>
    <t>07-12-2023 08:15</t>
  </si>
  <si>
    <t>07-12-2023 08:30</t>
  </si>
  <si>
    <t>07-12-2023 08:45</t>
  </si>
  <si>
    <t>07-12-2023 09:00</t>
  </si>
  <si>
    <t>07-12-2023 09:15</t>
  </si>
  <si>
    <t>07-12-2023 09:30</t>
  </si>
  <si>
    <t>07-12-2023 09:45</t>
  </si>
  <si>
    <t>07-12-2023 10:00</t>
  </si>
  <si>
    <t>07-12-2023 10:15</t>
  </si>
  <si>
    <t>07-12-2023 10:30</t>
  </si>
  <si>
    <t>07-12-2023 10:45</t>
  </si>
  <si>
    <t>07-12-2023 11:00</t>
  </si>
  <si>
    <t>07-12-2023 11:15</t>
  </si>
  <si>
    <t>07-12-2023 11:30</t>
  </si>
  <si>
    <t>07-12-2023 11:45</t>
  </si>
  <si>
    <t>07-12-2023 12:00</t>
  </si>
  <si>
    <t>07-12-2023 12:15</t>
  </si>
  <si>
    <t>07-12-2023 12:30</t>
  </si>
  <si>
    <t>07-12-2023 12:45</t>
  </si>
  <si>
    <t>07-12-2023 13:00</t>
  </si>
  <si>
    <t>07-12-2023 13:15</t>
  </si>
  <si>
    <t>07-12-2023 13:30</t>
  </si>
  <si>
    <t>07-12-2023 13:45</t>
  </si>
  <si>
    <t>07-12-2023 14:00</t>
  </si>
  <si>
    <t>07-12-2023 14:15</t>
  </si>
  <si>
    <t>07-12-2023 14:30</t>
  </si>
  <si>
    <t>07-12-2023 14:45</t>
  </si>
  <si>
    <t>07-12-2023 15:00</t>
  </si>
  <si>
    <t>07-12-2023 15:15</t>
  </si>
  <si>
    <t>07-12-2023 15:30</t>
  </si>
  <si>
    <t>07-12-2023 15:45</t>
  </si>
  <si>
    <t>07-12-2023 16:00</t>
  </si>
  <si>
    <t>07-12-2023 16:15</t>
  </si>
  <si>
    <t>07-12-2023 16:30</t>
  </si>
  <si>
    <t>07-12-2023 16:45</t>
  </si>
  <si>
    <t>07-12-2023 17:00</t>
  </si>
  <si>
    <t>07-12-2023 17:15</t>
  </si>
  <si>
    <t>07-12-2023 17:30</t>
  </si>
  <si>
    <t>07-12-2023 17:45</t>
  </si>
  <si>
    <t>07-12-2023 18:00</t>
  </si>
  <si>
    <t>07-12-2023 18:15</t>
  </si>
  <si>
    <t>07-12-2023 18:30</t>
  </si>
  <si>
    <t>07-12-2023 18:45</t>
  </si>
  <si>
    <t>07-12-2023 19:00</t>
  </si>
  <si>
    <t>07-12-2023 19:15</t>
  </si>
  <si>
    <t>07-12-2023 19:30</t>
  </si>
  <si>
    <t>07-12-2023 19:45</t>
  </si>
  <si>
    <t>07-12-2023 20:00</t>
  </si>
  <si>
    <t>07-12-2023 20:15</t>
  </si>
  <si>
    <t>07-12-2023 20:30</t>
  </si>
  <si>
    <t>07-12-2023 20:45</t>
  </si>
  <si>
    <t>07-12-2023 21:00</t>
  </si>
  <si>
    <t>07-12-2023 21:15</t>
  </si>
  <si>
    <t>07-12-2023 21:30</t>
  </si>
  <si>
    <t>07-12-2023 21:45</t>
  </si>
  <si>
    <t>07-12-2023 22:00</t>
  </si>
  <si>
    <t>07-12-2023 22:15</t>
  </si>
  <si>
    <t>07-12-2023 22:30</t>
  </si>
  <si>
    <t>07-12-2023 22:45</t>
  </si>
  <si>
    <t>07-12-2023 23:00</t>
  </si>
  <si>
    <t>07-12-2023 23:15</t>
  </si>
  <si>
    <t>07-12-2023 23:30</t>
  </si>
  <si>
    <t>07-12-2023 23:45</t>
  </si>
  <si>
    <t>07-12-2023 24:00</t>
  </si>
  <si>
    <t>08-12-2023 00:15</t>
  </si>
  <si>
    <t>08-12-2023 00:30</t>
  </si>
  <si>
    <t>08-12-2023 00:45</t>
  </si>
  <si>
    <t>08-12-2023 01:00</t>
  </si>
  <si>
    <t>08-12-2023 01:15</t>
  </si>
  <si>
    <t>08-12-2023 01:30</t>
  </si>
  <si>
    <t>08-12-2023 01:45</t>
  </si>
  <si>
    <t>08-12-2023 02:00</t>
  </si>
  <si>
    <t>08-12-2023 02:15</t>
  </si>
  <si>
    <t>08-12-2023 02:30</t>
  </si>
  <si>
    <t>08-12-2023 02:45</t>
  </si>
  <si>
    <t>08-12-2023 03:00</t>
  </si>
  <si>
    <t>08-12-2023 03:15</t>
  </si>
  <si>
    <t>08-12-2023 03:30</t>
  </si>
  <si>
    <t>08-12-2023 03:45</t>
  </si>
  <si>
    <t>08-12-2023 04:00</t>
  </si>
  <si>
    <t>08-12-2023 04:15</t>
  </si>
  <si>
    <t>08-12-2023 04:30</t>
  </si>
  <si>
    <t>08-12-2023 04:45</t>
  </si>
  <si>
    <t>08-12-2023 05:00</t>
  </si>
  <si>
    <t>08-12-2023 05:15</t>
  </si>
  <si>
    <t>08-12-2023 05:30</t>
  </si>
  <si>
    <t>08-12-2023 05:45</t>
  </si>
  <si>
    <t>08-12-2023 06:00</t>
  </si>
  <si>
    <t>08-12-2023 06:15</t>
  </si>
  <si>
    <t>08-12-2023 06:30</t>
  </si>
  <si>
    <t>08-12-2023 06:45</t>
  </si>
  <si>
    <t>08-12-2023 07:00</t>
  </si>
  <si>
    <t>08-12-2023 07:15</t>
  </si>
  <si>
    <t>08-12-2023 07:30</t>
  </si>
  <si>
    <t>08-12-2023 07:45</t>
  </si>
  <si>
    <t>08-12-2023 08:00</t>
  </si>
  <si>
    <t>08-12-2023 08:15</t>
  </si>
  <si>
    <t>08-12-2023 08:30</t>
  </si>
  <si>
    <t>08-12-2023 08:45</t>
  </si>
  <si>
    <t>08-12-2023 09:00</t>
  </si>
  <si>
    <t>08-12-2023 09:15</t>
  </si>
  <si>
    <t>08-12-2023 09:30</t>
  </si>
  <si>
    <t>08-12-2023 09:45</t>
  </si>
  <si>
    <t>08-12-2023 10:00</t>
  </si>
  <si>
    <t>08-12-2023 10:15</t>
  </si>
  <si>
    <t>08-12-2023 10:30</t>
  </si>
  <si>
    <t>08-12-2023 10:45</t>
  </si>
  <si>
    <t>08-12-2023 11:00</t>
  </si>
  <si>
    <t>08-12-2023 11:15</t>
  </si>
  <si>
    <t>08-12-2023 11:30</t>
  </si>
  <si>
    <t>08-12-2023 11:45</t>
  </si>
  <si>
    <t>08-12-2023 12:00</t>
  </si>
  <si>
    <t>08-12-2023 12:15</t>
  </si>
  <si>
    <t>08-12-2023 12:30</t>
  </si>
  <si>
    <t>08-12-2023 12:45</t>
  </si>
  <si>
    <t>08-12-2023 13:00</t>
  </si>
  <si>
    <t>08-12-2023 13:15</t>
  </si>
  <si>
    <t>08-12-2023 13:30</t>
  </si>
  <si>
    <t>08-12-2023 13:45</t>
  </si>
  <si>
    <t>08-12-2023 14:00</t>
  </si>
  <si>
    <t>08-12-2023 14:15</t>
  </si>
  <si>
    <t>08-12-2023 14:30</t>
  </si>
  <si>
    <t>08-12-2023 14:45</t>
  </si>
  <si>
    <t>08-12-2023 15:00</t>
  </si>
  <si>
    <t>08-12-2023 15:15</t>
  </si>
  <si>
    <t>08-12-2023 15:30</t>
  </si>
  <si>
    <t>08-12-2023 15:45</t>
  </si>
  <si>
    <t>08-12-2023 16:00</t>
  </si>
  <si>
    <t>08-12-2023 16:15</t>
  </si>
  <si>
    <t>08-12-2023 16:30</t>
  </si>
  <si>
    <t>08-12-2023 16:45</t>
  </si>
  <si>
    <t>08-12-2023 17:00</t>
  </si>
  <si>
    <t>08-12-2023 17:15</t>
  </si>
  <si>
    <t>08-12-2023 17:30</t>
  </si>
  <si>
    <t>08-12-2023 17:45</t>
  </si>
  <si>
    <t>08-12-2023 18:00</t>
  </si>
  <si>
    <t>08-12-2023 18:15</t>
  </si>
  <si>
    <t>08-12-2023 18:30</t>
  </si>
  <si>
    <t>08-12-2023 18:45</t>
  </si>
  <si>
    <t>08-12-2023 19:00</t>
  </si>
  <si>
    <t>08-12-2023 19:15</t>
  </si>
  <si>
    <t>08-12-2023 19:30</t>
  </si>
  <si>
    <t>08-12-2023 19:45</t>
  </si>
  <si>
    <t>08-12-2023 20:00</t>
  </si>
  <si>
    <t>08-12-2023 20:15</t>
  </si>
  <si>
    <t>08-12-2023 20:30</t>
  </si>
  <si>
    <t>08-12-2023 20:45</t>
  </si>
  <si>
    <t>08-12-2023 21:00</t>
  </si>
  <si>
    <t>08-12-2023 21:15</t>
  </si>
  <si>
    <t>08-12-2023 21:30</t>
  </si>
  <si>
    <t>08-12-2023 21:45</t>
  </si>
  <si>
    <t>08-12-2023 22:00</t>
  </si>
  <si>
    <t>08-12-2023 22:15</t>
  </si>
  <si>
    <t>08-12-2023 22:30</t>
  </si>
  <si>
    <t>08-12-2023 22:45</t>
  </si>
  <si>
    <t>08-12-2023 23:00</t>
  </si>
  <si>
    <t>08-12-2023 23:15</t>
  </si>
  <si>
    <t>08-12-2023 23:30</t>
  </si>
  <si>
    <t>08-12-2023 23:45</t>
  </si>
  <si>
    <t>08-12-2023 24:00</t>
  </si>
  <si>
    <t>09-12-2023 00:15</t>
  </si>
  <si>
    <t>09-12-2023 00:30</t>
  </si>
  <si>
    <t>09-12-2023 00:45</t>
  </si>
  <si>
    <t>09-12-2023 01:00</t>
  </si>
  <si>
    <t>09-12-2023 01:15</t>
  </si>
  <si>
    <t>09-12-2023 01:30</t>
  </si>
  <si>
    <t>09-12-2023 01:45</t>
  </si>
  <si>
    <t>09-12-2023 02:00</t>
  </si>
  <si>
    <t>09-12-2023 02:15</t>
  </si>
  <si>
    <t>09-12-2023 02:30</t>
  </si>
  <si>
    <t>09-12-2023 02:45</t>
  </si>
  <si>
    <t>09-12-2023 03:00</t>
  </si>
  <si>
    <t>09-12-2023 03:15</t>
  </si>
  <si>
    <t>09-12-2023 03:30</t>
  </si>
  <si>
    <t>09-12-2023 03:45</t>
  </si>
  <si>
    <t>09-12-2023 04:00</t>
  </si>
  <si>
    <t>09-12-2023 04:15</t>
  </si>
  <si>
    <t>09-12-2023 04:30</t>
  </si>
  <si>
    <t>09-12-2023 04:45</t>
  </si>
  <si>
    <t>09-12-2023 05:00</t>
  </si>
  <si>
    <t>09-12-2023 05:15</t>
  </si>
  <si>
    <t>09-12-2023 05:30</t>
  </si>
  <si>
    <t>09-12-2023 05:45</t>
  </si>
  <si>
    <t>09-12-2023 06:00</t>
  </si>
  <si>
    <t>09-12-2023 06:15</t>
  </si>
  <si>
    <t>09-12-2023 06:30</t>
  </si>
  <si>
    <t>09-12-2023 06:45</t>
  </si>
  <si>
    <t>09-12-2023 07:00</t>
  </si>
  <si>
    <t>09-12-2023 07:15</t>
  </si>
  <si>
    <t>09-12-2023 07:30</t>
  </si>
  <si>
    <t>09-12-2023 07:45</t>
  </si>
  <si>
    <t>09-12-2023 08:00</t>
  </si>
  <si>
    <t>09-12-2023 08:15</t>
  </si>
  <si>
    <t>09-12-2023 08:30</t>
  </si>
  <si>
    <t>09-12-2023 08:45</t>
  </si>
  <si>
    <t>09-12-2023 09:00</t>
  </si>
  <si>
    <t>09-12-2023 09:15</t>
  </si>
  <si>
    <t>09-12-2023 09:30</t>
  </si>
  <si>
    <t>09-12-2023 09:45</t>
  </si>
  <si>
    <t>09-12-2023 10:00</t>
  </si>
  <si>
    <t>09-12-2023 10:15</t>
  </si>
  <si>
    <t>09-12-2023 10:30</t>
  </si>
  <si>
    <t>09-12-2023 10:45</t>
  </si>
  <si>
    <t>09-12-2023 11:00</t>
  </si>
  <si>
    <t>09-12-2023 11:15</t>
  </si>
  <si>
    <t>09-12-2023 11:30</t>
  </si>
  <si>
    <t>09-12-2023 11:45</t>
  </si>
  <si>
    <t>09-12-2023 12:00</t>
  </si>
  <si>
    <t>09-12-2023 12:15</t>
  </si>
  <si>
    <t>09-12-2023 12:30</t>
  </si>
  <si>
    <t>09-12-2023 12:45</t>
  </si>
  <si>
    <t>09-12-2023 13:00</t>
  </si>
  <si>
    <t>09-12-2023 13:15</t>
  </si>
  <si>
    <t>09-12-2023 13:30</t>
  </si>
  <si>
    <t>09-12-2023 13:45</t>
  </si>
  <si>
    <t>09-12-2023 14:00</t>
  </si>
  <si>
    <t>09-12-2023 14:15</t>
  </si>
  <si>
    <t>09-12-2023 14:30</t>
  </si>
  <si>
    <t>09-12-2023 14:45</t>
  </si>
  <si>
    <t>09-12-2023 15:00</t>
  </si>
  <si>
    <t>09-12-2023 15:15</t>
  </si>
  <si>
    <t>09-12-2023 15:30</t>
  </si>
  <si>
    <t>09-12-2023 15:45</t>
  </si>
  <si>
    <t>09-12-2023 16:00</t>
  </si>
  <si>
    <t>09-12-2023 16:15</t>
  </si>
  <si>
    <t>09-12-2023 16:30</t>
  </si>
  <si>
    <t>09-12-2023 16:45</t>
  </si>
  <si>
    <t>09-12-2023 17:00</t>
  </si>
  <si>
    <t>09-12-2023 17:15</t>
  </si>
  <si>
    <t>09-12-2023 17:30</t>
  </si>
  <si>
    <t>09-12-2023 17:45</t>
  </si>
  <si>
    <t>09-12-2023 18:00</t>
  </si>
  <si>
    <t>09-12-2023 18:15</t>
  </si>
  <si>
    <t>09-12-2023 18:30</t>
  </si>
  <si>
    <t>09-12-2023 18:45</t>
  </si>
  <si>
    <t>09-12-2023 19:00</t>
  </si>
  <si>
    <t>09-12-2023 19:15</t>
  </si>
  <si>
    <t>09-12-2023 19:30</t>
  </si>
  <si>
    <t>09-12-2023 19:45</t>
  </si>
  <si>
    <t>09-12-2023 20:00</t>
  </si>
  <si>
    <t>09-12-2023 20:15</t>
  </si>
  <si>
    <t>09-12-2023 20:30</t>
  </si>
  <si>
    <t>09-12-2023 20:45</t>
  </si>
  <si>
    <t>09-12-2023 21:00</t>
  </si>
  <si>
    <t>09-12-2023 21:15</t>
  </si>
  <si>
    <t>09-12-2023 21:30</t>
  </si>
  <si>
    <t>09-12-2023 21:45</t>
  </si>
  <si>
    <t>09-12-2023 22:00</t>
  </si>
  <si>
    <t>09-12-2023 22:15</t>
  </si>
  <si>
    <t>09-12-2023 22:30</t>
  </si>
  <si>
    <t>09-12-2023 22:45</t>
  </si>
  <si>
    <t>09-12-2023 23:00</t>
  </si>
  <si>
    <t>09-12-2023 23:15</t>
  </si>
  <si>
    <t>09-12-2023 23:30</t>
  </si>
  <si>
    <t>09-12-2023 23:45</t>
  </si>
  <si>
    <t>09-12-2023 24:00</t>
  </si>
  <si>
    <t>10-12-2023 00:15</t>
  </si>
  <si>
    <t>10-12-2023 00:30</t>
  </si>
  <si>
    <t>10-12-2023 00:45</t>
  </si>
  <si>
    <t>10-12-2023 01:00</t>
  </si>
  <si>
    <t>10-12-2023 01:15</t>
  </si>
  <si>
    <t>10-12-2023 01:30</t>
  </si>
  <si>
    <t>10-12-2023 01:45</t>
  </si>
  <si>
    <t>10-12-2023 02:00</t>
  </si>
  <si>
    <t>10-12-2023 02:15</t>
  </si>
  <si>
    <t>10-12-2023 02:30</t>
  </si>
  <si>
    <t>10-12-2023 02:45</t>
  </si>
  <si>
    <t>10-12-2023 03:00</t>
  </si>
  <si>
    <t>10-12-2023 03:15</t>
  </si>
  <si>
    <t>10-12-2023 03:30</t>
  </si>
  <si>
    <t>10-12-2023 03:45</t>
  </si>
  <si>
    <t>10-12-2023 04:00</t>
  </si>
  <si>
    <t>10-12-2023 04:15</t>
  </si>
  <si>
    <t>10-12-2023 04:30</t>
  </si>
  <si>
    <t>10-12-2023 04:45</t>
  </si>
  <si>
    <t>10-12-2023 05:00</t>
  </si>
  <si>
    <t>10-12-2023 05:15</t>
  </si>
  <si>
    <t>10-12-2023 05:30</t>
  </si>
  <si>
    <t>10-12-2023 05:45</t>
  </si>
  <si>
    <t>10-12-2023 06:00</t>
  </si>
  <si>
    <t>10-12-2023 06:15</t>
  </si>
  <si>
    <t>10-12-2023 06:30</t>
  </si>
  <si>
    <t>10-12-2023 06:45</t>
  </si>
  <si>
    <t>10-12-2023 07:00</t>
  </si>
  <si>
    <t>10-12-2023 07:15</t>
  </si>
  <si>
    <t>10-12-2023 07:30</t>
  </si>
  <si>
    <t>10-12-2023 07:45</t>
  </si>
  <si>
    <t>10-12-2023 08:00</t>
  </si>
  <si>
    <t>10-12-2023 08:15</t>
  </si>
  <si>
    <t>10-12-2023 08:30</t>
  </si>
  <si>
    <t>10-12-2023 08:45</t>
  </si>
  <si>
    <t>10-12-2023 09:00</t>
  </si>
  <si>
    <t>10-12-2023 09:15</t>
  </si>
  <si>
    <t>10-12-2023 09:30</t>
  </si>
  <si>
    <t>10-12-2023 09:45</t>
  </si>
  <si>
    <t>10-12-2023 10:00</t>
  </si>
  <si>
    <t>10-12-2023 10:15</t>
  </si>
  <si>
    <t>10-12-2023 10:30</t>
  </si>
  <si>
    <t>10-12-2023 10:45</t>
  </si>
  <si>
    <t>10-12-2023 11:00</t>
  </si>
  <si>
    <t>10-12-2023 11:15</t>
  </si>
  <si>
    <t>10-12-2023 11:30</t>
  </si>
  <si>
    <t>10-12-2023 11:45</t>
  </si>
  <si>
    <t>10-12-2023 12:00</t>
  </si>
  <si>
    <t>10-12-2023 12:15</t>
  </si>
  <si>
    <t>10-12-2023 12:30</t>
  </si>
  <si>
    <t>10-12-2023 12:45</t>
  </si>
  <si>
    <t>10-12-2023 13:00</t>
  </si>
  <si>
    <t>10-12-2023 13:15</t>
  </si>
  <si>
    <t>10-12-2023 13:30</t>
  </si>
  <si>
    <t>10-12-2023 13:45</t>
  </si>
  <si>
    <t>10-12-2023 14:00</t>
  </si>
  <si>
    <t>10-12-2023 14:15</t>
  </si>
  <si>
    <t>10-12-2023 14:30</t>
  </si>
  <si>
    <t>10-12-2023 14:45</t>
  </si>
  <si>
    <t>10-12-2023 15:00</t>
  </si>
  <si>
    <t>10-12-2023 15:15</t>
  </si>
  <si>
    <t>10-12-2023 15:30</t>
  </si>
  <si>
    <t>10-12-2023 15:45</t>
  </si>
  <si>
    <t>10-12-2023 16:00</t>
  </si>
  <si>
    <t>10-12-2023 16:15</t>
  </si>
  <si>
    <t>10-12-2023 16:30</t>
  </si>
  <si>
    <t>10-12-2023 16:45</t>
  </si>
  <si>
    <t>10-12-2023 17:00</t>
  </si>
  <si>
    <t>10-12-2023 17:15</t>
  </si>
  <si>
    <t>10-12-2023 17:30</t>
  </si>
  <si>
    <t>10-12-2023 17:45</t>
  </si>
  <si>
    <t>10-12-2023 18:00</t>
  </si>
  <si>
    <t>10-12-2023 18:15</t>
  </si>
  <si>
    <t>10-12-2023 18:30</t>
  </si>
  <si>
    <t>10-12-2023 18:45</t>
  </si>
  <si>
    <t>10-12-2023 19:00</t>
  </si>
  <si>
    <t>10-12-2023 19:15</t>
  </si>
  <si>
    <t>10-12-2023 19:30</t>
  </si>
  <si>
    <t>10-12-2023 19:45</t>
  </si>
  <si>
    <t>10-12-2023 20:00</t>
  </si>
  <si>
    <t>10-12-2023 20:15</t>
  </si>
  <si>
    <t>10-12-2023 20:30</t>
  </si>
  <si>
    <t>10-12-2023 20:45</t>
  </si>
  <si>
    <t>10-12-2023 21:00</t>
  </si>
  <si>
    <t>10-12-2023 21:15</t>
  </si>
  <si>
    <t>10-12-2023 21:30</t>
  </si>
  <si>
    <t>10-12-2023 21:45</t>
  </si>
  <si>
    <t>10-12-2023 22:00</t>
  </si>
  <si>
    <t>10-12-2023 22:15</t>
  </si>
  <si>
    <t>10-12-2023 22:30</t>
  </si>
  <si>
    <t>10-12-2023 22:45</t>
  </si>
  <si>
    <t>10-12-2023 23:00</t>
  </si>
  <si>
    <t>10-12-2023 23:15</t>
  </si>
  <si>
    <t>10-12-2023 23:30</t>
  </si>
  <si>
    <t>10-12-2023 23:45</t>
  </si>
  <si>
    <t>10-12-2023 24:00</t>
  </si>
  <si>
    <t>11-12-2023 00:15</t>
  </si>
  <si>
    <t>11-12-2023 00:30</t>
  </si>
  <si>
    <t>11-12-2023 00:45</t>
  </si>
  <si>
    <t>11-12-2023 01:00</t>
  </si>
  <si>
    <t>11-12-2023 01:15</t>
  </si>
  <si>
    <t>11-12-2023 01:30</t>
  </si>
  <si>
    <t>11-12-2023 01:45</t>
  </si>
  <si>
    <t>11-12-2023 02:00</t>
  </si>
  <si>
    <t>11-12-2023 02:15</t>
  </si>
  <si>
    <t>11-12-2023 02:30</t>
  </si>
  <si>
    <t>11-12-2023 02:45</t>
  </si>
  <si>
    <t>11-12-2023 03:00</t>
  </si>
  <si>
    <t>11-12-2023 03:15</t>
  </si>
  <si>
    <t>11-12-2023 03:30</t>
  </si>
  <si>
    <t>11-12-2023 03:45</t>
  </si>
  <si>
    <t>11-12-2023 04:00</t>
  </si>
  <si>
    <t>11-12-2023 04:15</t>
  </si>
  <si>
    <t>11-12-2023 04:30</t>
  </si>
  <si>
    <t>11-12-2023 04:45</t>
  </si>
  <si>
    <t>11-12-2023 05:00</t>
  </si>
  <si>
    <t>11-12-2023 05:15</t>
  </si>
  <si>
    <t>11-12-2023 05:30</t>
  </si>
  <si>
    <t>11-12-2023 05:45</t>
  </si>
  <si>
    <t>11-12-2023 06:00</t>
  </si>
  <si>
    <t>11-12-2023 06:15</t>
  </si>
  <si>
    <t>11-12-2023 06:30</t>
  </si>
  <si>
    <t>11-12-2023 06:45</t>
  </si>
  <si>
    <t>11-12-2023 07:00</t>
  </si>
  <si>
    <t>11-12-2023 07:15</t>
  </si>
  <si>
    <t>11-12-2023 07:30</t>
  </si>
  <si>
    <t>11-12-2023 07:45</t>
  </si>
  <si>
    <t>11-12-2023 08:00</t>
  </si>
  <si>
    <t>11-12-2023 08:15</t>
  </si>
  <si>
    <t>11-12-2023 08:30</t>
  </si>
  <si>
    <t>11-12-2023 08:45</t>
  </si>
  <si>
    <t>11-12-2023 09:00</t>
  </si>
  <si>
    <t>11-12-2023 09:15</t>
  </si>
  <si>
    <t>11-12-2023 09:30</t>
  </si>
  <si>
    <t>11-12-2023 09:45</t>
  </si>
  <si>
    <t>11-12-2023 10:00</t>
  </si>
  <si>
    <t>11-12-2023 10:15</t>
  </si>
  <si>
    <t>11-12-2023 10:30</t>
  </si>
  <si>
    <t>11-12-2023 10:45</t>
  </si>
  <si>
    <t>11-12-2023 11:00</t>
  </si>
  <si>
    <t>11-12-2023 11:15</t>
  </si>
  <si>
    <t>11-12-2023 11:30</t>
  </si>
  <si>
    <t>11-12-2023 11:45</t>
  </si>
  <si>
    <t>11-12-2023 12:00</t>
  </si>
  <si>
    <t>11-12-2023 12:15</t>
  </si>
  <si>
    <t>11-12-2023 12:30</t>
  </si>
  <si>
    <t>11-12-2023 12:45</t>
  </si>
  <si>
    <t>11-12-2023 13:00</t>
  </si>
  <si>
    <t>11-12-2023 13:15</t>
  </si>
  <si>
    <t>11-12-2023 13:30</t>
  </si>
  <si>
    <t>11-12-2023 13:45</t>
  </si>
  <si>
    <t>11-12-2023 14:00</t>
  </si>
  <si>
    <t>11-12-2023 14:15</t>
  </si>
  <si>
    <t>11-12-2023 14:30</t>
  </si>
  <si>
    <t>11-12-2023 14:45</t>
  </si>
  <si>
    <t>11-12-2023 15:00</t>
  </si>
  <si>
    <t>11-12-2023 15:15</t>
  </si>
  <si>
    <t>11-12-2023 15:30</t>
  </si>
  <si>
    <t>11-12-2023 15:45</t>
  </si>
  <si>
    <t>11-12-2023 16:00</t>
  </si>
  <si>
    <t>11-12-2023 16:15</t>
  </si>
  <si>
    <t>11-12-2023 16:30</t>
  </si>
  <si>
    <t>11-12-2023 16:45</t>
  </si>
  <si>
    <t>11-12-2023 17:00</t>
  </si>
  <si>
    <t>11-12-2023 17:15</t>
  </si>
  <si>
    <t>11-12-2023 17:30</t>
  </si>
  <si>
    <t>11-12-2023 17:45</t>
  </si>
  <si>
    <t>11-12-2023 18:00</t>
  </si>
  <si>
    <t>11-12-2023 18:15</t>
  </si>
  <si>
    <t>11-12-2023 18:30</t>
  </si>
  <si>
    <t>11-12-2023 18:45</t>
  </si>
  <si>
    <t>11-12-2023 19:00</t>
  </si>
  <si>
    <t>11-12-2023 19:15</t>
  </si>
  <si>
    <t>11-12-2023 19:30</t>
  </si>
  <si>
    <t>11-12-2023 19:45</t>
  </si>
  <si>
    <t>11-12-2023 20:00</t>
  </si>
  <si>
    <t>11-12-2023 20:15</t>
  </si>
  <si>
    <t>11-12-2023 20:30</t>
  </si>
  <si>
    <t>11-12-2023 20:45</t>
  </si>
  <si>
    <t>11-12-2023 21:00</t>
  </si>
  <si>
    <t>11-12-2023 21:15</t>
  </si>
  <si>
    <t>11-12-2023 21:30</t>
  </si>
  <si>
    <t>11-12-2023 21:45</t>
  </si>
  <si>
    <t>11-12-2023 22:00</t>
  </si>
  <si>
    <t>11-12-2023 22:15</t>
  </si>
  <si>
    <t>11-12-2023 22:30</t>
  </si>
  <si>
    <t>11-12-2023 22:45</t>
  </si>
  <si>
    <t>11-12-2023 23:00</t>
  </si>
  <si>
    <t>11-12-2023 23:15</t>
  </si>
  <si>
    <t>11-12-2023 23:30</t>
  </si>
  <si>
    <t>11-12-2023 23:45</t>
  </si>
  <si>
    <t>11-12-2023 24:00</t>
  </si>
  <si>
    <t>12-12-2023 00:15</t>
  </si>
  <si>
    <t>12-12-2023 00:30</t>
  </si>
  <si>
    <t>12-12-2023 00:45</t>
  </si>
  <si>
    <t>12-12-2023 01:00</t>
  </si>
  <si>
    <t>12-12-2023 01:15</t>
  </si>
  <si>
    <t>12-12-2023 01:30</t>
  </si>
  <si>
    <t>12-12-2023 01:45</t>
  </si>
  <si>
    <t>12-12-2023 02:00</t>
  </si>
  <si>
    <t>12-12-2023 02:15</t>
  </si>
  <si>
    <t>12-12-2023 02:30</t>
  </si>
  <si>
    <t>12-12-2023 02:45</t>
  </si>
  <si>
    <t>12-12-2023 03:00</t>
  </si>
  <si>
    <t>12-12-2023 03:15</t>
  </si>
  <si>
    <t>12-12-2023 03:30</t>
  </si>
  <si>
    <t>12-12-2023 03:45</t>
  </si>
  <si>
    <t>12-12-2023 04:00</t>
  </si>
  <si>
    <t>12-12-2023 04:15</t>
  </si>
  <si>
    <t>12-12-2023 04:30</t>
  </si>
  <si>
    <t>12-12-2023 04:45</t>
  </si>
  <si>
    <t>12-12-2023 05:00</t>
  </si>
  <si>
    <t>12-12-2023 05:15</t>
  </si>
  <si>
    <t>12-12-2023 05:30</t>
  </si>
  <si>
    <t>12-12-2023 05:45</t>
  </si>
  <si>
    <t>12-12-2023 06:00</t>
  </si>
  <si>
    <t>12-12-2023 06:15</t>
  </si>
  <si>
    <t>12-12-2023 06:30</t>
  </si>
  <si>
    <t>12-12-2023 06:45</t>
  </si>
  <si>
    <t>12-12-2023 07:00</t>
  </si>
  <si>
    <t>12-12-2023 07:15</t>
  </si>
  <si>
    <t>12-12-2023 07:30</t>
  </si>
  <si>
    <t>12-12-2023 07:45</t>
  </si>
  <si>
    <t>12-12-2023 08:00</t>
  </si>
  <si>
    <t>12-12-2023 08:15</t>
  </si>
  <si>
    <t>12-12-2023 08:30</t>
  </si>
  <si>
    <t>12-12-2023 08:45</t>
  </si>
  <si>
    <t>12-12-2023 09:00</t>
  </si>
  <si>
    <t>12-12-2023 09:15</t>
  </si>
  <si>
    <t>12-12-2023 09:30</t>
  </si>
  <si>
    <t>12-12-2023 09:45</t>
  </si>
  <si>
    <t>12-12-2023 10:00</t>
  </si>
  <si>
    <t>12-12-2023 10:15</t>
  </si>
  <si>
    <t>12-12-2023 10:30</t>
  </si>
  <si>
    <t>12-12-2023 10:45</t>
  </si>
  <si>
    <t>12-12-2023 11:00</t>
  </si>
  <si>
    <t>12-12-2023 11:15</t>
  </si>
  <si>
    <t>12-12-2023 11:30</t>
  </si>
  <si>
    <t>12-12-2023 11:45</t>
  </si>
  <si>
    <t>12-12-2023 12:00</t>
  </si>
  <si>
    <t>12-12-2023 12:15</t>
  </si>
  <si>
    <t>12-12-2023 12:30</t>
  </si>
  <si>
    <t>12-12-2023 12:45</t>
  </si>
  <si>
    <t>12-12-2023 13:00</t>
  </si>
  <si>
    <t>12-12-2023 13:15</t>
  </si>
  <si>
    <t>12-12-2023 13:30</t>
  </si>
  <si>
    <t>12-12-2023 13:45</t>
  </si>
  <si>
    <t>12-12-2023 14:00</t>
  </si>
  <si>
    <t>12-12-2023 14:15</t>
  </si>
  <si>
    <t>12-12-2023 14:30</t>
  </si>
  <si>
    <t>12-12-2023 14:45</t>
  </si>
  <si>
    <t>12-12-2023 15:00</t>
  </si>
  <si>
    <t>12-12-2023 15:15</t>
  </si>
  <si>
    <t>12-12-2023 15:30</t>
  </si>
  <si>
    <t>12-12-2023 15:45</t>
  </si>
  <si>
    <t>12-12-2023 16:00</t>
  </si>
  <si>
    <t>12-12-2023 16:15</t>
  </si>
  <si>
    <t>12-12-2023 16:30</t>
  </si>
  <si>
    <t>12-12-2023 16:45</t>
  </si>
  <si>
    <t>12-12-2023 17:00</t>
  </si>
  <si>
    <t>12-12-2023 17:15</t>
  </si>
  <si>
    <t>12-12-2023 17:30</t>
  </si>
  <si>
    <t>12-12-2023 17:45</t>
  </si>
  <si>
    <t>12-12-2023 18:00</t>
  </si>
  <si>
    <t>12-12-2023 18:15</t>
  </si>
  <si>
    <t>12-12-2023 18:30</t>
  </si>
  <si>
    <t>12-12-2023 18:45</t>
  </si>
  <si>
    <t>12-12-2023 19:00</t>
  </si>
  <si>
    <t>12-12-2023 19:15</t>
  </si>
  <si>
    <t>12-12-2023 19:30</t>
  </si>
  <si>
    <t>12-12-2023 19:45</t>
  </si>
  <si>
    <t>12-12-2023 20:00</t>
  </si>
  <si>
    <t>12-12-2023 20:15</t>
  </si>
  <si>
    <t>12-12-2023 20:30</t>
  </si>
  <si>
    <t>12-12-2023 20:45</t>
  </si>
  <si>
    <t>12-12-2023 21:00</t>
  </si>
  <si>
    <t>12-12-2023 21:15</t>
  </si>
  <si>
    <t>12-12-2023 21:30</t>
  </si>
  <si>
    <t>12-12-2023 21:45</t>
  </si>
  <si>
    <t>12-12-2023 22:00</t>
  </si>
  <si>
    <t>12-12-2023 22:15</t>
  </si>
  <si>
    <t>12-12-2023 22:30</t>
  </si>
  <si>
    <t>12-12-2023 22:45</t>
  </si>
  <si>
    <t>12-12-2023 23:00</t>
  </si>
  <si>
    <t>12-12-2023 23:15</t>
  </si>
  <si>
    <t>12-12-2023 23:30</t>
  </si>
  <si>
    <t>12-12-2023 23:45</t>
  </si>
  <si>
    <t>12-12-2023 24:00</t>
  </si>
  <si>
    <t>13-12-2023 00:15</t>
  </si>
  <si>
    <t>13-12-2023 00:30</t>
  </si>
  <si>
    <t>13-12-2023 00:45</t>
  </si>
  <si>
    <t>13-12-2023 01:00</t>
  </si>
  <si>
    <t>13-12-2023 01:15</t>
  </si>
  <si>
    <t>13-12-2023 01:30</t>
  </si>
  <si>
    <t>13-12-2023 01:45</t>
  </si>
  <si>
    <t>13-12-2023 02:00</t>
  </si>
  <si>
    <t>13-12-2023 02:15</t>
  </si>
  <si>
    <t>13-12-2023 02:30</t>
  </si>
  <si>
    <t>13-12-2023 02:45</t>
  </si>
  <si>
    <t>13-12-2023 03:00</t>
  </si>
  <si>
    <t>13-12-2023 03:15</t>
  </si>
  <si>
    <t>13-12-2023 03:30</t>
  </si>
  <si>
    <t>13-12-2023 03:45</t>
  </si>
  <si>
    <t>13-12-2023 04:00</t>
  </si>
  <si>
    <t>13-12-2023 04:15</t>
  </si>
  <si>
    <t>13-12-2023 04:30</t>
  </si>
  <si>
    <t>13-12-2023 04:45</t>
  </si>
  <si>
    <t>13-12-2023 05:00</t>
  </si>
  <si>
    <t>13-12-2023 05:15</t>
  </si>
  <si>
    <t>13-12-2023 05:30</t>
  </si>
  <si>
    <t>13-12-2023 05:45</t>
  </si>
  <si>
    <t>13-12-2023 06:00</t>
  </si>
  <si>
    <t>13-12-2023 06:15</t>
  </si>
  <si>
    <t>13-12-2023 06:30</t>
  </si>
  <si>
    <t>13-12-2023 06:45</t>
  </si>
  <si>
    <t>13-12-2023 07:00</t>
  </si>
  <si>
    <t>13-12-2023 07:15</t>
  </si>
  <si>
    <t>13-12-2023 07:30</t>
  </si>
  <si>
    <t>13-12-2023 07:45</t>
  </si>
  <si>
    <t>13-12-2023 08:00</t>
  </si>
  <si>
    <t>13-12-2023 08:15</t>
  </si>
  <si>
    <t>13-12-2023 08:30</t>
  </si>
  <si>
    <t>13-12-2023 08:45</t>
  </si>
  <si>
    <t>13-12-2023 09:00</t>
  </si>
  <si>
    <t>13-12-2023 09:15</t>
  </si>
  <si>
    <t>13-12-2023 09:30</t>
  </si>
  <si>
    <t>13-12-2023 09:45</t>
  </si>
  <si>
    <t>13-12-2023 10:00</t>
  </si>
  <si>
    <t>13-12-2023 10:15</t>
  </si>
  <si>
    <t>13-12-2023 10:30</t>
  </si>
  <si>
    <t>13-12-2023 10:45</t>
  </si>
  <si>
    <t>13-12-2023 11:00</t>
  </si>
  <si>
    <t>13-12-2023 11:15</t>
  </si>
  <si>
    <t>13-12-2023 11:30</t>
  </si>
  <si>
    <t>13-12-2023 11:45</t>
  </si>
  <si>
    <t>13-12-2023 12:00</t>
  </si>
  <si>
    <t>13-12-2023 12:15</t>
  </si>
  <si>
    <t>13-12-2023 12:30</t>
  </si>
  <si>
    <t>13-12-2023 12:45</t>
  </si>
  <si>
    <t>13-12-2023 13:00</t>
  </si>
  <si>
    <t>13-12-2023 13:15</t>
  </si>
  <si>
    <t>13-12-2023 13:30</t>
  </si>
  <si>
    <t>13-12-2023 13:45</t>
  </si>
  <si>
    <t>13-12-2023 14:00</t>
  </si>
  <si>
    <t>13-12-2023 14:15</t>
  </si>
  <si>
    <t>13-12-2023 14:30</t>
  </si>
  <si>
    <t>13-12-2023 14:45</t>
  </si>
  <si>
    <t>13-12-2023 15:00</t>
  </si>
  <si>
    <t>13-12-2023 15:15</t>
  </si>
  <si>
    <t>13-12-2023 15:30</t>
  </si>
  <si>
    <t>13-12-2023 15:45</t>
  </si>
  <si>
    <t>13-12-2023 16:00</t>
  </si>
  <si>
    <t>13-12-2023 16:15</t>
  </si>
  <si>
    <t>13-12-2023 16:30</t>
  </si>
  <si>
    <t>13-12-2023 16:45</t>
  </si>
  <si>
    <t>13-12-2023 17:00</t>
  </si>
  <si>
    <t>13-12-2023 17:15</t>
  </si>
  <si>
    <t>13-12-2023 17:30</t>
  </si>
  <si>
    <t>13-12-2023 17:45</t>
  </si>
  <si>
    <t>13-12-2023 18:00</t>
  </si>
  <si>
    <t>13-12-2023 18:15</t>
  </si>
  <si>
    <t>13-12-2023 18:30</t>
  </si>
  <si>
    <t>13-12-2023 18:45</t>
  </si>
  <si>
    <t>13-12-2023 19:00</t>
  </si>
  <si>
    <t>13-12-2023 19:15</t>
  </si>
  <si>
    <t>13-12-2023 19:30</t>
  </si>
  <si>
    <t>13-12-2023 19:45</t>
  </si>
  <si>
    <t>13-12-2023 20:00</t>
  </si>
  <si>
    <t>13-12-2023 20:15</t>
  </si>
  <si>
    <t>13-12-2023 20:30</t>
  </si>
  <si>
    <t>13-12-2023 20:45</t>
  </si>
  <si>
    <t>13-12-2023 21:00</t>
  </si>
  <si>
    <t>13-12-2023 21:15</t>
  </si>
  <si>
    <t>13-12-2023 21:30</t>
  </si>
  <si>
    <t>13-12-2023 21:45</t>
  </si>
  <si>
    <t>13-12-2023 22:00</t>
  </si>
  <si>
    <t>13-12-2023 22:15</t>
  </si>
  <si>
    <t>13-12-2023 22:30</t>
  </si>
  <si>
    <t>13-12-2023 22:45</t>
  </si>
  <si>
    <t>13-12-2023 23:00</t>
  </si>
  <si>
    <t>13-12-2023 23:15</t>
  </si>
  <si>
    <t>13-12-2023 23:30</t>
  </si>
  <si>
    <t>13-12-2023 23:45</t>
  </si>
  <si>
    <t>13-12-2023 24:00</t>
  </si>
  <si>
    <t>14-12-2023 00:15</t>
  </si>
  <si>
    <t>14-12-2023 00:30</t>
  </si>
  <si>
    <t>14-12-2023 00:45</t>
  </si>
  <si>
    <t>14-12-2023 01:00</t>
  </si>
  <si>
    <t>14-12-2023 01:15</t>
  </si>
  <si>
    <t>14-12-2023 01:30</t>
  </si>
  <si>
    <t>14-12-2023 01:45</t>
  </si>
  <si>
    <t>14-12-2023 02:00</t>
  </si>
  <si>
    <t>14-12-2023 02:15</t>
  </si>
  <si>
    <t>14-12-2023 02:30</t>
  </si>
  <si>
    <t>14-12-2023 02:45</t>
  </si>
  <si>
    <t>14-12-2023 03:00</t>
  </si>
  <si>
    <t>14-12-2023 03:15</t>
  </si>
  <si>
    <t>14-12-2023 03:30</t>
  </si>
  <si>
    <t>14-12-2023 03:45</t>
  </si>
  <si>
    <t>14-12-2023 04:00</t>
  </si>
  <si>
    <t>14-12-2023 04:15</t>
  </si>
  <si>
    <t>14-12-2023 04:30</t>
  </si>
  <si>
    <t>14-12-2023 04:45</t>
  </si>
  <si>
    <t>14-12-2023 05:00</t>
  </si>
  <si>
    <t>14-12-2023 05:15</t>
  </si>
  <si>
    <t>14-12-2023 05:30</t>
  </si>
  <si>
    <t>14-12-2023 05:45</t>
  </si>
  <si>
    <t>14-12-2023 06:00</t>
  </si>
  <si>
    <t>14-12-2023 06:15</t>
  </si>
  <si>
    <t>14-12-2023 06:30</t>
  </si>
  <si>
    <t>14-12-2023 06:45</t>
  </si>
  <si>
    <t>14-12-2023 07:00</t>
  </si>
  <si>
    <t>14-12-2023 07:15</t>
  </si>
  <si>
    <t>14-12-2023 07:30</t>
  </si>
  <si>
    <t>14-12-2023 07:45</t>
  </si>
  <si>
    <t>14-12-2023 08:00</t>
  </si>
  <si>
    <t>14-12-2023 08:15</t>
  </si>
  <si>
    <t>14-12-2023 08:30</t>
  </si>
  <si>
    <t>14-12-2023 08:45</t>
  </si>
  <si>
    <t>14-12-2023 09:00</t>
  </si>
  <si>
    <t>14-12-2023 09:15</t>
  </si>
  <si>
    <t>14-12-2023 09:30</t>
  </si>
  <si>
    <t>14-12-2023 09:45</t>
  </si>
  <si>
    <t>14-12-2023 10:00</t>
  </si>
  <si>
    <t>14-12-2023 10:15</t>
  </si>
  <si>
    <t>14-12-2023 10:30</t>
  </si>
  <si>
    <t>14-12-2023 10:45</t>
  </si>
  <si>
    <t>14-12-2023 11:00</t>
  </si>
  <si>
    <t>14-12-2023 11:15</t>
  </si>
  <si>
    <t>14-12-2023 11:30</t>
  </si>
  <si>
    <t>14-12-2023 11:45</t>
  </si>
  <si>
    <t>14-12-2023 12:00</t>
  </si>
  <si>
    <t>14-12-2023 12:15</t>
  </si>
  <si>
    <t>14-12-2023 12:30</t>
  </si>
  <si>
    <t>14-12-2023 12:45</t>
  </si>
  <si>
    <t>14-12-2023 13:00</t>
  </si>
  <si>
    <t>14-12-2023 13:15</t>
  </si>
  <si>
    <t>14-12-2023 13:30</t>
  </si>
  <si>
    <t>14-12-2023 13:45</t>
  </si>
  <si>
    <t>14-12-2023 14:00</t>
  </si>
  <si>
    <t>14-12-2023 14:15</t>
  </si>
  <si>
    <t>14-12-2023 14:30</t>
  </si>
  <si>
    <t>14-12-2023 14:45</t>
  </si>
  <si>
    <t>14-12-2023 15:00</t>
  </si>
  <si>
    <t>14-12-2023 15:15</t>
  </si>
  <si>
    <t>14-12-2023 15:30</t>
  </si>
  <si>
    <t>14-12-2023 15:45</t>
  </si>
  <si>
    <t>14-12-2023 16:00</t>
  </si>
  <si>
    <t>14-12-2023 16:15</t>
  </si>
  <si>
    <t>14-12-2023 16:30</t>
  </si>
  <si>
    <t>14-12-2023 16:45</t>
  </si>
  <si>
    <t>14-12-2023 17:00</t>
  </si>
  <si>
    <t>14-12-2023 17:15</t>
  </si>
  <si>
    <t>14-12-2023 17:30</t>
  </si>
  <si>
    <t>14-12-2023 17:45</t>
  </si>
  <si>
    <t>14-12-2023 18:00</t>
  </si>
  <si>
    <t>14-12-2023 18:15</t>
  </si>
  <si>
    <t>14-12-2023 18:30</t>
  </si>
  <si>
    <t>14-12-2023 18:45</t>
  </si>
  <si>
    <t>14-12-2023 19:00</t>
  </si>
  <si>
    <t>14-12-2023 19:15</t>
  </si>
  <si>
    <t>14-12-2023 19:30</t>
  </si>
  <si>
    <t>14-12-2023 19:45</t>
  </si>
  <si>
    <t>14-12-2023 20:00</t>
  </si>
  <si>
    <t>14-12-2023 20:15</t>
  </si>
  <si>
    <t>14-12-2023 20:30</t>
  </si>
  <si>
    <t>14-12-2023 20:45</t>
  </si>
  <si>
    <t>14-12-2023 21:00</t>
  </si>
  <si>
    <t>14-12-2023 21:15</t>
  </si>
  <si>
    <t>14-12-2023 21:30</t>
  </si>
  <si>
    <t>14-12-2023 21:45</t>
  </si>
  <si>
    <t>14-12-2023 22:00</t>
  </si>
  <si>
    <t>14-12-2023 22:15</t>
  </si>
  <si>
    <t>14-12-2023 22:30</t>
  </si>
  <si>
    <t>14-12-2023 22:45</t>
  </si>
  <si>
    <t>14-12-2023 23:00</t>
  </si>
  <si>
    <t>14-12-2023 23:15</t>
  </si>
  <si>
    <t>14-12-2023 23:30</t>
  </si>
  <si>
    <t>14-12-2023 23:45</t>
  </si>
  <si>
    <t>14-12-2023 24:00</t>
  </si>
  <si>
    <t>15-12-2023 00:15</t>
  </si>
  <si>
    <t>15-12-2023 00:30</t>
  </si>
  <si>
    <t>15-12-2023 00:45</t>
  </si>
  <si>
    <t>15-12-2023 01:00</t>
  </si>
  <si>
    <t>15-12-2023 01:15</t>
  </si>
  <si>
    <t>15-12-2023 01:30</t>
  </si>
  <si>
    <t>15-12-2023 01:45</t>
  </si>
  <si>
    <t>15-12-2023 02:00</t>
  </si>
  <si>
    <t>15-12-2023 02:15</t>
  </si>
  <si>
    <t>15-12-2023 02:30</t>
  </si>
  <si>
    <t>15-12-2023 02:45</t>
  </si>
  <si>
    <t>15-12-2023 03:00</t>
  </si>
  <si>
    <t>15-12-2023 03:15</t>
  </si>
  <si>
    <t>15-12-2023 03:30</t>
  </si>
  <si>
    <t>15-12-2023 03:45</t>
  </si>
  <si>
    <t>15-12-2023 04:00</t>
  </si>
  <si>
    <t>15-12-2023 04:15</t>
  </si>
  <si>
    <t>15-12-2023 04:30</t>
  </si>
  <si>
    <t>15-12-2023 04:45</t>
  </si>
  <si>
    <t>15-12-2023 05:00</t>
  </si>
  <si>
    <t>15-12-2023 05:15</t>
  </si>
  <si>
    <t>15-12-2023 05:30</t>
  </si>
  <si>
    <t>15-12-2023 05:45</t>
  </si>
  <si>
    <t>15-12-2023 06:00</t>
  </si>
  <si>
    <t>15-12-2023 06:15</t>
  </si>
  <si>
    <t>15-12-2023 06:30</t>
  </si>
  <si>
    <t>15-12-2023 06:45</t>
  </si>
  <si>
    <t>15-12-2023 07:00</t>
  </si>
  <si>
    <t>15-12-2023 07:15</t>
  </si>
  <si>
    <t>15-12-2023 07:30</t>
  </si>
  <si>
    <t>15-12-2023 07:45</t>
  </si>
  <si>
    <t>15-12-2023 08:00</t>
  </si>
  <si>
    <t>15-12-2023 08:15</t>
  </si>
  <si>
    <t>15-12-2023 08:30</t>
  </si>
  <si>
    <t>15-12-2023 08:45</t>
  </si>
  <si>
    <t>15-12-2023 09:00</t>
  </si>
  <si>
    <t>15-12-2023 09:15</t>
  </si>
  <si>
    <t>15-12-2023 09:30</t>
  </si>
  <si>
    <t>15-12-2023 09:45</t>
  </si>
  <si>
    <t>15-12-2023 10:00</t>
  </si>
  <si>
    <t>15-12-2023 10:15</t>
  </si>
  <si>
    <t>15-12-2023 10:30</t>
  </si>
  <si>
    <t>15-12-2023 10:45</t>
  </si>
  <si>
    <t>15-12-2023 11:00</t>
  </si>
  <si>
    <t>15-12-2023 11:15</t>
  </si>
  <si>
    <t>15-12-2023 11:30</t>
  </si>
  <si>
    <t>15-12-2023 11:45</t>
  </si>
  <si>
    <t>15-12-2023 12:00</t>
  </si>
  <si>
    <t>15-12-2023 12:15</t>
  </si>
  <si>
    <t>15-12-2023 12:30</t>
  </si>
  <si>
    <t>15-12-2023 12:45</t>
  </si>
  <si>
    <t>15-12-2023 13:00</t>
  </si>
  <si>
    <t>15-12-2023 13:15</t>
  </si>
  <si>
    <t>15-12-2023 13:30</t>
  </si>
  <si>
    <t>15-12-2023 13:45</t>
  </si>
  <si>
    <t>15-12-2023 14:00</t>
  </si>
  <si>
    <t>15-12-2023 14:15</t>
  </si>
  <si>
    <t>15-12-2023 14:30</t>
  </si>
  <si>
    <t>15-12-2023 14:45</t>
  </si>
  <si>
    <t>15-12-2023 15:00</t>
  </si>
  <si>
    <t>15-12-2023 15:15</t>
  </si>
  <si>
    <t>15-12-2023 15:30</t>
  </si>
  <si>
    <t>15-12-2023 15:45</t>
  </si>
  <si>
    <t>15-12-2023 16:00</t>
  </si>
  <si>
    <t>15-12-2023 16:15</t>
  </si>
  <si>
    <t>15-12-2023 16:30</t>
  </si>
  <si>
    <t>15-12-2023 16:45</t>
  </si>
  <si>
    <t>15-12-2023 17:00</t>
  </si>
  <si>
    <t>15-12-2023 17:15</t>
  </si>
  <si>
    <t>15-12-2023 17:30</t>
  </si>
  <si>
    <t>15-12-2023 17:45</t>
  </si>
  <si>
    <t>15-12-2023 18:00</t>
  </si>
  <si>
    <t>15-12-2023 18:15</t>
  </si>
  <si>
    <t>15-12-2023 18:30</t>
  </si>
  <si>
    <t>15-12-2023 18:45</t>
  </si>
  <si>
    <t>15-12-2023 19:00</t>
  </si>
  <si>
    <t>15-12-2023 19:15</t>
  </si>
  <si>
    <t>15-12-2023 19:30</t>
  </si>
  <si>
    <t>15-12-2023 19:45</t>
  </si>
  <si>
    <t>15-12-2023 20:00</t>
  </si>
  <si>
    <t>15-12-2023 20:15</t>
  </si>
  <si>
    <t>15-12-2023 20:30</t>
  </si>
  <si>
    <t>15-12-2023 20:45</t>
  </si>
  <si>
    <t>15-12-2023 21:00</t>
  </si>
  <si>
    <t>15-12-2023 21:15</t>
  </si>
  <si>
    <t>15-12-2023 21:30</t>
  </si>
  <si>
    <t>15-12-2023 21:45</t>
  </si>
  <si>
    <t>15-12-2023 22:00</t>
  </si>
  <si>
    <t>15-12-2023 22:15</t>
  </si>
  <si>
    <t>15-12-2023 22:30</t>
  </si>
  <si>
    <t>15-12-2023 22:45</t>
  </si>
  <si>
    <t>15-12-2023 23:00</t>
  </si>
  <si>
    <t>15-12-2023 23:15</t>
  </si>
  <si>
    <t>15-12-2023 23:30</t>
  </si>
  <si>
    <t>15-12-2023 23:45</t>
  </si>
  <si>
    <t>15-12-2023 24:00</t>
  </si>
  <si>
    <t>16-12-2023 00:15</t>
  </si>
  <si>
    <t>16-12-2023 00:30</t>
  </si>
  <si>
    <t>16-12-2023 00:45</t>
  </si>
  <si>
    <t>16-12-2023 01:00</t>
  </si>
  <si>
    <t>16-12-2023 01:15</t>
  </si>
  <si>
    <t>16-12-2023 01:30</t>
  </si>
  <si>
    <t>16-12-2023 01:45</t>
  </si>
  <si>
    <t>16-12-2023 02:00</t>
  </si>
  <si>
    <t>16-12-2023 02:15</t>
  </si>
  <si>
    <t>16-12-2023 02:30</t>
  </si>
  <si>
    <t>16-12-2023 02:45</t>
  </si>
  <si>
    <t>16-12-2023 03:00</t>
  </si>
  <si>
    <t>16-12-2023 03:15</t>
  </si>
  <si>
    <t>16-12-2023 03:30</t>
  </si>
  <si>
    <t>16-12-2023 03:45</t>
  </si>
  <si>
    <t>16-12-2023 04:00</t>
  </si>
  <si>
    <t>16-12-2023 04:15</t>
  </si>
  <si>
    <t>16-12-2023 04:30</t>
  </si>
  <si>
    <t>16-12-2023 04:45</t>
  </si>
  <si>
    <t>16-12-2023 05:00</t>
  </si>
  <si>
    <t>16-12-2023 05:15</t>
  </si>
  <si>
    <t>16-12-2023 05:30</t>
  </si>
  <si>
    <t>16-12-2023 05:45</t>
  </si>
  <si>
    <t>16-12-2023 06:00</t>
  </si>
  <si>
    <t>16-12-2023 06:15</t>
  </si>
  <si>
    <t>16-12-2023 06:30</t>
  </si>
  <si>
    <t>16-12-2023 06:45</t>
  </si>
  <si>
    <t>16-12-2023 07:00</t>
  </si>
  <si>
    <t>16-12-2023 07:15</t>
  </si>
  <si>
    <t>16-12-2023 07:30</t>
  </si>
  <si>
    <t>16-12-2023 07:45</t>
  </si>
  <si>
    <t>16-12-2023 08:00</t>
  </si>
  <si>
    <t>16-12-2023 08:15</t>
  </si>
  <si>
    <t>16-12-2023 08:30</t>
  </si>
  <si>
    <t>16-12-2023 08:45</t>
  </si>
  <si>
    <t>16-12-2023 09:00</t>
  </si>
  <si>
    <t>16-12-2023 09:15</t>
  </si>
  <si>
    <t>16-12-2023 09:30</t>
  </si>
  <si>
    <t>16-12-2023 09:45</t>
  </si>
  <si>
    <t>16-12-2023 10:00</t>
  </si>
  <si>
    <t>16-12-2023 10:15</t>
  </si>
  <si>
    <t>16-12-2023 10:30</t>
  </si>
  <si>
    <t>16-12-2023 10:45</t>
  </si>
  <si>
    <t>16-12-2023 11:00</t>
  </si>
  <si>
    <t>16-12-2023 11:15</t>
  </si>
  <si>
    <t>16-12-2023 11:30</t>
  </si>
  <si>
    <t>16-12-2023 11:45</t>
  </si>
  <si>
    <t>16-12-2023 12:00</t>
  </si>
  <si>
    <t>16-12-2023 12:15</t>
  </si>
  <si>
    <t>16-12-2023 12:30</t>
  </si>
  <si>
    <t>16-12-2023 12:45</t>
  </si>
  <si>
    <t>16-12-2023 13:00</t>
  </si>
  <si>
    <t>16-12-2023 13:15</t>
  </si>
  <si>
    <t>16-12-2023 13:30</t>
  </si>
  <si>
    <t>16-12-2023 13:45</t>
  </si>
  <si>
    <t>16-12-2023 14:00</t>
  </si>
  <si>
    <t>16-12-2023 14:15</t>
  </si>
  <si>
    <t>16-12-2023 14:30</t>
  </si>
  <si>
    <t>16-12-2023 14:45</t>
  </si>
  <si>
    <t>16-12-2023 15:00</t>
  </si>
  <si>
    <t>16-12-2023 15:15</t>
  </si>
  <si>
    <t>16-12-2023 15:30</t>
  </si>
  <si>
    <t>16-12-2023 15:45</t>
  </si>
  <si>
    <t>16-12-2023 16:00</t>
  </si>
  <si>
    <t>16-12-2023 16:15</t>
  </si>
  <si>
    <t>16-12-2023 16:30</t>
  </si>
  <si>
    <t>16-12-2023 16:45</t>
  </si>
  <si>
    <t>16-12-2023 17:00</t>
  </si>
  <si>
    <t>16-12-2023 17:15</t>
  </si>
  <si>
    <t>16-12-2023 17:30</t>
  </si>
  <si>
    <t>16-12-2023 17:45</t>
  </si>
  <si>
    <t>16-12-2023 18:00</t>
  </si>
  <si>
    <t>16-12-2023 18:15</t>
  </si>
  <si>
    <t>16-12-2023 18:30</t>
  </si>
  <si>
    <t>16-12-2023 18:45</t>
  </si>
  <si>
    <t>16-12-2023 19:00</t>
  </si>
  <si>
    <t>16-12-2023 19:15</t>
  </si>
  <si>
    <t>16-12-2023 19:30</t>
  </si>
  <si>
    <t>16-12-2023 19:45</t>
  </si>
  <si>
    <t>16-12-2023 20:00</t>
  </si>
  <si>
    <t>16-12-2023 20:15</t>
  </si>
  <si>
    <t>16-12-2023 20:30</t>
  </si>
  <si>
    <t>16-12-2023 20:45</t>
  </si>
  <si>
    <t>16-12-2023 21:00</t>
  </si>
  <si>
    <t>16-12-2023 21:15</t>
  </si>
  <si>
    <t>16-12-2023 21:30</t>
  </si>
  <si>
    <t>16-12-2023 21:45</t>
  </si>
  <si>
    <t>16-12-2023 22:00</t>
  </si>
  <si>
    <t>16-12-2023 22:15</t>
  </si>
  <si>
    <t>16-12-2023 22:30</t>
  </si>
  <si>
    <t>16-12-2023 22:45</t>
  </si>
  <si>
    <t>16-12-2023 23:00</t>
  </si>
  <si>
    <t>16-12-2023 23:15</t>
  </si>
  <si>
    <t>16-12-2023 23:30</t>
  </si>
  <si>
    <t>16-12-2023 23:45</t>
  </si>
  <si>
    <t>16-12-2023 24:00</t>
  </si>
  <si>
    <t>17-12-2023 00:15</t>
  </si>
  <si>
    <t>17-12-2023 00:30</t>
  </si>
  <si>
    <t>17-12-2023 00:45</t>
  </si>
  <si>
    <t>17-12-2023 01:00</t>
  </si>
  <si>
    <t>17-12-2023 01:15</t>
  </si>
  <si>
    <t>17-12-2023 01:30</t>
  </si>
  <si>
    <t>17-12-2023 01:45</t>
  </si>
  <si>
    <t>17-12-2023 02:00</t>
  </si>
  <si>
    <t>17-12-2023 02:15</t>
  </si>
  <si>
    <t>17-12-2023 02:30</t>
  </si>
  <si>
    <t>17-12-2023 02:45</t>
  </si>
  <si>
    <t>17-12-2023 03:00</t>
  </si>
  <si>
    <t>17-12-2023 03:15</t>
  </si>
  <si>
    <t>17-12-2023 03:30</t>
  </si>
  <si>
    <t>17-12-2023 03:45</t>
  </si>
  <si>
    <t>17-12-2023 04:00</t>
  </si>
  <si>
    <t>17-12-2023 04:15</t>
  </si>
  <si>
    <t>17-12-2023 04:30</t>
  </si>
  <si>
    <t>17-12-2023 04:45</t>
  </si>
  <si>
    <t>17-12-2023 05:00</t>
  </si>
  <si>
    <t>17-12-2023 05:15</t>
  </si>
  <si>
    <t>17-12-2023 05:30</t>
  </si>
  <si>
    <t>17-12-2023 05:45</t>
  </si>
  <si>
    <t>17-12-2023 06:00</t>
  </si>
  <si>
    <t>17-12-2023 06:15</t>
  </si>
  <si>
    <t>17-12-2023 06:30</t>
  </si>
  <si>
    <t>17-12-2023 06:45</t>
  </si>
  <si>
    <t>17-12-2023 07:00</t>
  </si>
  <si>
    <t>17-12-2023 07:15</t>
  </si>
  <si>
    <t>17-12-2023 07:30</t>
  </si>
  <si>
    <t>17-12-2023 07:45</t>
  </si>
  <si>
    <t>17-12-2023 08:00</t>
  </si>
  <si>
    <t>17-12-2023 08:15</t>
  </si>
  <si>
    <t>17-12-2023 08:30</t>
  </si>
  <si>
    <t>17-12-2023 08:45</t>
  </si>
  <si>
    <t>17-12-2023 09:00</t>
  </si>
  <si>
    <t>17-12-2023 09:15</t>
  </si>
  <si>
    <t>17-12-2023 09:30</t>
  </si>
  <si>
    <t>17-12-2023 09:45</t>
  </si>
  <si>
    <t>17-12-2023 10:00</t>
  </si>
  <si>
    <t>17-12-2023 10:15</t>
  </si>
  <si>
    <t>17-12-2023 10:30</t>
  </si>
  <si>
    <t>17-12-2023 10:45</t>
  </si>
  <si>
    <t>17-12-2023 11:00</t>
  </si>
  <si>
    <t>17-12-2023 11:15</t>
  </si>
  <si>
    <t>17-12-2023 11:30</t>
  </si>
  <si>
    <t>17-12-2023 11:45</t>
  </si>
  <si>
    <t>17-12-2023 12:00</t>
  </si>
  <si>
    <t>17-12-2023 12:15</t>
  </si>
  <si>
    <t>17-12-2023 12:30</t>
  </si>
  <si>
    <t>17-12-2023 12:45</t>
  </si>
  <si>
    <t>17-12-2023 13:00</t>
  </si>
  <si>
    <t>17-12-2023 13:15</t>
  </si>
  <si>
    <t>17-12-2023 13:30</t>
  </si>
  <si>
    <t>17-12-2023 13:45</t>
  </si>
  <si>
    <t>17-12-2023 14:00</t>
  </si>
  <si>
    <t>17-12-2023 14:15</t>
  </si>
  <si>
    <t>17-12-2023 14:30</t>
  </si>
  <si>
    <t>17-12-2023 14:45</t>
  </si>
  <si>
    <t>17-12-2023 15:00</t>
  </si>
  <si>
    <t>17-12-2023 15:15</t>
  </si>
  <si>
    <t>17-12-2023 15:30</t>
  </si>
  <si>
    <t>17-12-2023 15:45</t>
  </si>
  <si>
    <t>17-12-2023 16:00</t>
  </si>
  <si>
    <t>17-12-2023 16:15</t>
  </si>
  <si>
    <t>17-12-2023 16:30</t>
  </si>
  <si>
    <t>17-12-2023 16:45</t>
  </si>
  <si>
    <t>17-12-2023 17:00</t>
  </si>
  <si>
    <t>17-12-2023 17:15</t>
  </si>
  <si>
    <t>17-12-2023 17:30</t>
  </si>
  <si>
    <t>17-12-2023 17:45</t>
  </si>
  <si>
    <t>17-12-2023 18:00</t>
  </si>
  <si>
    <t>17-12-2023 18:15</t>
  </si>
  <si>
    <t>17-12-2023 18:30</t>
  </si>
  <si>
    <t>17-12-2023 18:45</t>
  </si>
  <si>
    <t>17-12-2023 19:00</t>
  </si>
  <si>
    <t>17-12-2023 19:15</t>
  </si>
  <si>
    <t>17-12-2023 19:30</t>
  </si>
  <si>
    <t>17-12-2023 19:45</t>
  </si>
  <si>
    <t>17-12-2023 20:00</t>
  </si>
  <si>
    <t>17-12-2023 20:15</t>
  </si>
  <si>
    <t>17-12-2023 20:30</t>
  </si>
  <si>
    <t>17-12-2023 20:45</t>
  </si>
  <si>
    <t>17-12-2023 21:00</t>
  </si>
  <si>
    <t>17-12-2023 21:15</t>
  </si>
  <si>
    <t>17-12-2023 21:30</t>
  </si>
  <si>
    <t>17-12-2023 21:45</t>
  </si>
  <si>
    <t>17-12-2023 22:00</t>
  </si>
  <si>
    <t>17-12-2023 22:15</t>
  </si>
  <si>
    <t>17-12-2023 22:30</t>
  </si>
  <si>
    <t>17-12-2023 22:45</t>
  </si>
  <si>
    <t>17-12-2023 23:00</t>
  </si>
  <si>
    <t>17-12-2023 23:15</t>
  </si>
  <si>
    <t>17-12-2023 23:30</t>
  </si>
  <si>
    <t>17-12-2023 23:45</t>
  </si>
  <si>
    <t>17-12-2023 24:00</t>
  </si>
  <si>
    <t>18-12-2023 00:15</t>
  </si>
  <si>
    <t>18-12-2023 00:30</t>
  </si>
  <si>
    <t>18-12-2023 00:45</t>
  </si>
  <si>
    <t>18-12-2023 01:00</t>
  </si>
  <si>
    <t>18-12-2023 01:15</t>
  </si>
  <si>
    <t>18-12-2023 01:30</t>
  </si>
  <si>
    <t>18-12-2023 01:45</t>
  </si>
  <si>
    <t>18-12-2023 02:00</t>
  </si>
  <si>
    <t>18-12-2023 02:15</t>
  </si>
  <si>
    <t>18-12-2023 02:30</t>
  </si>
  <si>
    <t>18-12-2023 02:45</t>
  </si>
  <si>
    <t>18-12-2023 03:00</t>
  </si>
  <si>
    <t>18-12-2023 03:15</t>
  </si>
  <si>
    <t>18-12-2023 03:30</t>
  </si>
  <si>
    <t>18-12-2023 03:45</t>
  </si>
  <si>
    <t>18-12-2023 04:00</t>
  </si>
  <si>
    <t>18-12-2023 04:15</t>
  </si>
  <si>
    <t>18-12-2023 04:30</t>
  </si>
  <si>
    <t>18-12-2023 04:45</t>
  </si>
  <si>
    <t>18-12-2023 05:00</t>
  </si>
  <si>
    <t>18-12-2023 05:15</t>
  </si>
  <si>
    <t>18-12-2023 05:30</t>
  </si>
  <si>
    <t>18-12-2023 05:45</t>
  </si>
  <si>
    <t>18-12-2023 06:00</t>
  </si>
  <si>
    <t>18-12-2023 06:15</t>
  </si>
  <si>
    <t>18-12-2023 06:30</t>
  </si>
  <si>
    <t>18-12-2023 06:45</t>
  </si>
  <si>
    <t>18-12-2023 07:00</t>
  </si>
  <si>
    <t>18-12-2023 07:15</t>
  </si>
  <si>
    <t>18-12-2023 07:30</t>
  </si>
  <si>
    <t>18-12-2023 07:45</t>
  </si>
  <si>
    <t>18-12-2023 08:00</t>
  </si>
  <si>
    <t>18-12-2023 08:15</t>
  </si>
  <si>
    <t>18-12-2023 08:30</t>
  </si>
  <si>
    <t>18-12-2023 08:45</t>
  </si>
  <si>
    <t>18-12-2023 09:00</t>
  </si>
  <si>
    <t>18-12-2023 09:15</t>
  </si>
  <si>
    <t>18-12-2023 09:30</t>
  </si>
  <si>
    <t>18-12-2023 09:45</t>
  </si>
  <si>
    <t>18-12-2023 10:00</t>
  </si>
  <si>
    <t>18-12-2023 10:15</t>
  </si>
  <si>
    <t>18-12-2023 10:30</t>
  </si>
  <si>
    <t>18-12-2023 10:45</t>
  </si>
  <si>
    <t>18-12-2023 11:00</t>
  </si>
  <si>
    <t>18-12-2023 11:15</t>
  </si>
  <si>
    <t>18-12-2023 11:30</t>
  </si>
  <si>
    <t>18-12-2023 11:45</t>
  </si>
  <si>
    <t>18-12-2023 12:00</t>
  </si>
  <si>
    <t>18-12-2023 12:15</t>
  </si>
  <si>
    <t>18-12-2023 12:30</t>
  </si>
  <si>
    <t>18-12-2023 12:45</t>
  </si>
  <si>
    <t>18-12-2023 13:00</t>
  </si>
  <si>
    <t>18-12-2023 13:15</t>
  </si>
  <si>
    <t>18-12-2023 13:30</t>
  </si>
  <si>
    <t>18-12-2023 13:45</t>
  </si>
  <si>
    <t>18-12-2023 14:00</t>
  </si>
  <si>
    <t>18-12-2023 14:15</t>
  </si>
  <si>
    <t>18-12-2023 14:30</t>
  </si>
  <si>
    <t>18-12-2023 14:45</t>
  </si>
  <si>
    <t>18-12-2023 15:00</t>
  </si>
  <si>
    <t>18-12-2023 15:15</t>
  </si>
  <si>
    <t>18-12-2023 15:30</t>
  </si>
  <si>
    <t>18-12-2023 15:45</t>
  </si>
  <si>
    <t>18-12-2023 16:00</t>
  </si>
  <si>
    <t>18-12-2023 16:15</t>
  </si>
  <si>
    <t>18-12-2023 16:30</t>
  </si>
  <si>
    <t>18-12-2023 16:45</t>
  </si>
  <si>
    <t>18-12-2023 17:00</t>
  </si>
  <si>
    <t>18-12-2023 17:15</t>
  </si>
  <si>
    <t>18-12-2023 17:30</t>
  </si>
  <si>
    <t>18-12-2023 17:45</t>
  </si>
  <si>
    <t>18-12-2023 18:00</t>
  </si>
  <si>
    <t>18-12-2023 18:15</t>
  </si>
  <si>
    <t>18-12-2023 18:30</t>
  </si>
  <si>
    <t>18-12-2023 18:45</t>
  </si>
  <si>
    <t>18-12-2023 19:00</t>
  </si>
  <si>
    <t>18-12-2023 19:15</t>
  </si>
  <si>
    <t>18-12-2023 19:30</t>
  </si>
  <si>
    <t>18-12-2023 19:45</t>
  </si>
  <si>
    <t>18-12-2023 20:00</t>
  </si>
  <si>
    <t>18-12-2023 20:15</t>
  </si>
  <si>
    <t>18-12-2023 20:30</t>
  </si>
  <si>
    <t>18-12-2023 20:45</t>
  </si>
  <si>
    <t>18-12-2023 21:00</t>
  </si>
  <si>
    <t>18-12-2023 21:15</t>
  </si>
  <si>
    <t>18-12-2023 21:30</t>
  </si>
  <si>
    <t>18-12-2023 21:45</t>
  </si>
  <si>
    <t>18-12-2023 22:00</t>
  </si>
  <si>
    <t>18-12-2023 22:15</t>
  </si>
  <si>
    <t>18-12-2023 22:30</t>
  </si>
  <si>
    <t>18-12-2023 22:45</t>
  </si>
  <si>
    <t>18-12-2023 23:00</t>
  </si>
  <si>
    <t>18-12-2023 23:15</t>
  </si>
  <si>
    <t>18-12-2023 23:30</t>
  </si>
  <si>
    <t>18-12-2023 23:45</t>
  </si>
  <si>
    <t>18-12-2023 24:00</t>
  </si>
  <si>
    <t>19-12-2023 00:15</t>
  </si>
  <si>
    <t>19-12-2023 00:30</t>
  </si>
  <si>
    <t>19-12-2023 00:45</t>
  </si>
  <si>
    <t>19-12-2023 01:00</t>
  </si>
  <si>
    <t>19-12-2023 01:15</t>
  </si>
  <si>
    <t>19-12-2023 01:30</t>
  </si>
  <si>
    <t>19-12-2023 01:45</t>
  </si>
  <si>
    <t>19-12-2023 02:00</t>
  </si>
  <si>
    <t>19-12-2023 02:15</t>
  </si>
  <si>
    <t>19-12-2023 02:30</t>
  </si>
  <si>
    <t>19-12-2023 02:45</t>
  </si>
  <si>
    <t>19-12-2023 03:00</t>
  </si>
  <si>
    <t>19-12-2023 03:15</t>
  </si>
  <si>
    <t>19-12-2023 03:30</t>
  </si>
  <si>
    <t>19-12-2023 03:45</t>
  </si>
  <si>
    <t>19-12-2023 04:00</t>
  </si>
  <si>
    <t>19-12-2023 04:15</t>
  </si>
  <si>
    <t>19-12-2023 04:30</t>
  </si>
  <si>
    <t>19-12-2023 04:45</t>
  </si>
  <si>
    <t>19-12-2023 05:00</t>
  </si>
  <si>
    <t>19-12-2023 05:15</t>
  </si>
  <si>
    <t>19-12-2023 05:30</t>
  </si>
  <si>
    <t>19-12-2023 05:45</t>
  </si>
  <si>
    <t>19-12-2023 06:00</t>
  </si>
  <si>
    <t>19-12-2023 06:15</t>
  </si>
  <si>
    <t>19-12-2023 06:30</t>
  </si>
  <si>
    <t>19-12-2023 06:45</t>
  </si>
  <si>
    <t>19-12-2023 07:00</t>
  </si>
  <si>
    <t>19-12-2023 07:15</t>
  </si>
  <si>
    <t>19-12-2023 07:30</t>
  </si>
  <si>
    <t>19-12-2023 07:45</t>
  </si>
  <si>
    <t>19-12-2023 08:00</t>
  </si>
  <si>
    <t>19-12-2023 08:15</t>
  </si>
  <si>
    <t>19-12-2023 08:30</t>
  </si>
  <si>
    <t>19-12-2023 08:45</t>
  </si>
  <si>
    <t>19-12-2023 09:00</t>
  </si>
  <si>
    <t>19-12-2023 09:15</t>
  </si>
  <si>
    <t>19-12-2023 09:30</t>
  </si>
  <si>
    <t>19-12-2023 09:45</t>
  </si>
  <si>
    <t>19-12-2023 10:00</t>
  </si>
  <si>
    <t>19-12-2023 10:15</t>
  </si>
  <si>
    <t>19-12-2023 10:30</t>
  </si>
  <si>
    <t>19-12-2023 10:45</t>
  </si>
  <si>
    <t>19-12-2023 11:00</t>
  </si>
  <si>
    <t>19-12-2023 11:15</t>
  </si>
  <si>
    <t>19-12-2023 11:30</t>
  </si>
  <si>
    <t>19-12-2023 11:45</t>
  </si>
  <si>
    <t>19-12-2023 12:00</t>
  </si>
  <si>
    <t>19-12-2023 12:15</t>
  </si>
  <si>
    <t>19-12-2023 12:30</t>
  </si>
  <si>
    <t>19-12-2023 12:45</t>
  </si>
  <si>
    <t>19-12-2023 13:00</t>
  </si>
  <si>
    <t>19-12-2023 13:15</t>
  </si>
  <si>
    <t>19-12-2023 13:30</t>
  </si>
  <si>
    <t>19-12-2023 13:45</t>
  </si>
  <si>
    <t>19-12-2023 14:00</t>
  </si>
  <si>
    <t>19-12-2023 14:15</t>
  </si>
  <si>
    <t>19-12-2023 14:30</t>
  </si>
  <si>
    <t>19-12-2023 14:45</t>
  </si>
  <si>
    <t>19-12-2023 15:00</t>
  </si>
  <si>
    <t>19-12-2023 15:15</t>
  </si>
  <si>
    <t>19-12-2023 15:30</t>
  </si>
  <si>
    <t>19-12-2023 15:45</t>
  </si>
  <si>
    <t>19-12-2023 16:00</t>
  </si>
  <si>
    <t>19-12-2023 16:15</t>
  </si>
  <si>
    <t>19-12-2023 16:30</t>
  </si>
  <si>
    <t>19-12-2023 16:45</t>
  </si>
  <si>
    <t>19-12-2023 17:00</t>
  </si>
  <si>
    <t>19-12-2023 17:15</t>
  </si>
  <si>
    <t>19-12-2023 17:30</t>
  </si>
  <si>
    <t>19-12-2023 17:45</t>
  </si>
  <si>
    <t>19-12-2023 18:00</t>
  </si>
  <si>
    <t>19-12-2023 18:15</t>
  </si>
  <si>
    <t>19-12-2023 18:30</t>
  </si>
  <si>
    <t>19-12-2023 18:45</t>
  </si>
  <si>
    <t>19-12-2023 19:00</t>
  </si>
  <si>
    <t>19-12-2023 19:15</t>
  </si>
  <si>
    <t>19-12-2023 19:30</t>
  </si>
  <si>
    <t>19-12-2023 19:45</t>
  </si>
  <si>
    <t>19-12-2023 20:00</t>
  </si>
  <si>
    <t>19-12-2023 20:15</t>
  </si>
  <si>
    <t>19-12-2023 20:30</t>
  </si>
  <si>
    <t>19-12-2023 20:45</t>
  </si>
  <si>
    <t>19-12-2023 21:00</t>
  </si>
  <si>
    <t>19-12-2023 21:15</t>
  </si>
  <si>
    <t>19-12-2023 21:30</t>
  </si>
  <si>
    <t>19-12-2023 21:45</t>
  </si>
  <si>
    <t>19-12-2023 22:00</t>
  </si>
  <si>
    <t>19-12-2023 22:15</t>
  </si>
  <si>
    <t>19-12-2023 22:30</t>
  </si>
  <si>
    <t>19-12-2023 22:45</t>
  </si>
  <si>
    <t>19-12-2023 23:00</t>
  </si>
  <si>
    <t>19-12-2023 23:15</t>
  </si>
  <si>
    <t>19-12-2023 23:30</t>
  </si>
  <si>
    <t>19-12-2023 23:45</t>
  </si>
  <si>
    <t>19-12-2023 24:00</t>
  </si>
  <si>
    <t>20-12-2023 00:15</t>
  </si>
  <si>
    <t>20-12-2023 00:30</t>
  </si>
  <si>
    <t>20-12-2023 00:45</t>
  </si>
  <si>
    <t>20-12-2023 01:00</t>
  </si>
  <si>
    <t>20-12-2023 01:15</t>
  </si>
  <si>
    <t>20-12-2023 01:30</t>
  </si>
  <si>
    <t>20-12-2023 01:45</t>
  </si>
  <si>
    <t>20-12-2023 02:00</t>
  </si>
  <si>
    <t>20-12-2023 02:15</t>
  </si>
  <si>
    <t>20-12-2023 02:30</t>
  </si>
  <si>
    <t>20-12-2023 02:45</t>
  </si>
  <si>
    <t>20-12-2023 03:00</t>
  </si>
  <si>
    <t>20-12-2023 03:15</t>
  </si>
  <si>
    <t>20-12-2023 03:30</t>
  </si>
  <si>
    <t>20-12-2023 03:45</t>
  </si>
  <si>
    <t>20-12-2023 04:00</t>
  </si>
  <si>
    <t>20-12-2023 04:15</t>
  </si>
  <si>
    <t>20-12-2023 04:30</t>
  </si>
  <si>
    <t>20-12-2023 04:45</t>
  </si>
  <si>
    <t>20-12-2023 05:00</t>
  </si>
  <si>
    <t>20-12-2023 05:15</t>
  </si>
  <si>
    <t>20-12-2023 05:30</t>
  </si>
  <si>
    <t>20-12-2023 05:45</t>
  </si>
  <si>
    <t>20-12-2023 06:00</t>
  </si>
  <si>
    <t>20-12-2023 06:15</t>
  </si>
  <si>
    <t>20-12-2023 06:30</t>
  </si>
  <si>
    <t>20-12-2023 06:45</t>
  </si>
  <si>
    <t>20-12-2023 07:00</t>
  </si>
  <si>
    <t>20-12-2023 07:15</t>
  </si>
  <si>
    <t>20-12-2023 07:30</t>
  </si>
  <si>
    <t>20-12-2023 07:45</t>
  </si>
  <si>
    <t>20-12-2023 08:00</t>
  </si>
  <si>
    <t>20-12-2023 08:15</t>
  </si>
  <si>
    <t>20-12-2023 08:30</t>
  </si>
  <si>
    <t>20-12-2023 08:45</t>
  </si>
  <si>
    <t>20-12-2023 09:00</t>
  </si>
  <si>
    <t>20-12-2023 09:15</t>
  </si>
  <si>
    <t>20-12-2023 09:30</t>
  </si>
  <si>
    <t>20-12-2023 09:45</t>
  </si>
  <si>
    <t>20-12-2023 10:00</t>
  </si>
  <si>
    <t>20-12-2023 10:15</t>
  </si>
  <si>
    <t>20-12-2023 10:30</t>
  </si>
  <si>
    <t>20-12-2023 10:45</t>
  </si>
  <si>
    <t>20-12-2023 11:00</t>
  </si>
  <si>
    <t>20-12-2023 11:15</t>
  </si>
  <si>
    <t>20-12-2023 11:30</t>
  </si>
  <si>
    <t>20-12-2023 11:45</t>
  </si>
  <si>
    <t>20-12-2023 12:00</t>
  </si>
  <si>
    <t>20-12-2023 12:15</t>
  </si>
  <si>
    <t>20-12-2023 12:30</t>
  </si>
  <si>
    <t>20-12-2023 12:45</t>
  </si>
  <si>
    <t>20-12-2023 13:00</t>
  </si>
  <si>
    <t>20-12-2023 13:15</t>
  </si>
  <si>
    <t>20-12-2023 13:30</t>
  </si>
  <si>
    <t>20-12-2023 13:45</t>
  </si>
  <si>
    <t>20-12-2023 14:00</t>
  </si>
  <si>
    <t>20-12-2023 14:15</t>
  </si>
  <si>
    <t>20-12-2023 14:30</t>
  </si>
  <si>
    <t>20-12-2023 14:45</t>
  </si>
  <si>
    <t>20-12-2023 15:00</t>
  </si>
  <si>
    <t>20-12-2023 15:15</t>
  </si>
  <si>
    <t>20-12-2023 15:30</t>
  </si>
  <si>
    <t>20-12-2023 15:45</t>
  </si>
  <si>
    <t>20-12-2023 16:00</t>
  </si>
  <si>
    <t>20-12-2023 16:15</t>
  </si>
  <si>
    <t>20-12-2023 16:30</t>
  </si>
  <si>
    <t>20-12-2023 16:45</t>
  </si>
  <si>
    <t>20-12-2023 17:00</t>
  </si>
  <si>
    <t>20-12-2023 17:15</t>
  </si>
  <si>
    <t>20-12-2023 17:30</t>
  </si>
  <si>
    <t>20-12-2023 17:45</t>
  </si>
  <si>
    <t>20-12-2023 18:00</t>
  </si>
  <si>
    <t>20-12-2023 18:15</t>
  </si>
  <si>
    <t>20-12-2023 18:30</t>
  </si>
  <si>
    <t>20-12-2023 18:45</t>
  </si>
  <si>
    <t>20-12-2023 19:00</t>
  </si>
  <si>
    <t>20-12-2023 19:15</t>
  </si>
  <si>
    <t>20-12-2023 19:30</t>
  </si>
  <si>
    <t>20-12-2023 19:45</t>
  </si>
  <si>
    <t>20-12-2023 20:00</t>
  </si>
  <si>
    <t>20-12-2023 20:15</t>
  </si>
  <si>
    <t>20-12-2023 20:30</t>
  </si>
  <si>
    <t>20-12-2023 20:45</t>
  </si>
  <si>
    <t>20-12-2023 21:00</t>
  </si>
  <si>
    <t>20-12-2023 21:15</t>
  </si>
  <si>
    <t>20-12-2023 21:30</t>
  </si>
  <si>
    <t>20-12-2023 21:45</t>
  </si>
  <si>
    <t>20-12-2023 22:00</t>
  </si>
  <si>
    <t>20-12-2023 22:15</t>
  </si>
  <si>
    <t>20-12-2023 22:30</t>
  </si>
  <si>
    <t>20-12-2023 22:45</t>
  </si>
  <si>
    <t>20-12-2023 23:00</t>
  </si>
  <si>
    <t>20-12-2023 23:15</t>
  </si>
  <si>
    <t>20-12-2023 23:30</t>
  </si>
  <si>
    <t>20-12-2023 23:45</t>
  </si>
  <si>
    <t>20-12-2023 24:00</t>
  </si>
  <si>
    <t>21-12-2023 00:15</t>
  </si>
  <si>
    <t>21-12-2023 00:30</t>
  </si>
  <si>
    <t>21-12-2023 00:45</t>
  </si>
  <si>
    <t>21-12-2023 01:00</t>
  </si>
  <si>
    <t>21-12-2023 01:15</t>
  </si>
  <si>
    <t>21-12-2023 01:30</t>
  </si>
  <si>
    <t>21-12-2023 01:45</t>
  </si>
  <si>
    <t>21-12-2023 02:00</t>
  </si>
  <si>
    <t>21-12-2023 02:15</t>
  </si>
  <si>
    <t>21-12-2023 02:30</t>
  </si>
  <si>
    <t>21-12-2023 02:45</t>
  </si>
  <si>
    <t>21-12-2023 03:00</t>
  </si>
  <si>
    <t>21-12-2023 03:15</t>
  </si>
  <si>
    <t>21-12-2023 03:30</t>
  </si>
  <si>
    <t>21-12-2023 03:45</t>
  </si>
  <si>
    <t>21-12-2023 04:00</t>
  </si>
  <si>
    <t>21-12-2023 04:15</t>
  </si>
  <si>
    <t>21-12-2023 04:30</t>
  </si>
  <si>
    <t>21-12-2023 04:45</t>
  </si>
  <si>
    <t>21-12-2023 05:00</t>
  </si>
  <si>
    <t>21-12-2023 05:15</t>
  </si>
  <si>
    <t>21-12-2023 05:30</t>
  </si>
  <si>
    <t>21-12-2023 05:45</t>
  </si>
  <si>
    <t>21-12-2023 06:00</t>
  </si>
  <si>
    <t>21-12-2023 06:15</t>
  </si>
  <si>
    <t>21-12-2023 06:30</t>
  </si>
  <si>
    <t>21-12-2023 06:45</t>
  </si>
  <si>
    <t>21-12-2023 07:00</t>
  </si>
  <si>
    <t>21-12-2023 07:15</t>
  </si>
  <si>
    <t>21-12-2023 07:30</t>
  </si>
  <si>
    <t>21-12-2023 07:45</t>
  </si>
  <si>
    <t>21-12-2023 08:00</t>
  </si>
  <si>
    <t>21-12-2023 08:15</t>
  </si>
  <si>
    <t>21-12-2023 08:30</t>
  </si>
  <si>
    <t>21-12-2023 08:45</t>
  </si>
  <si>
    <t>21-12-2023 09:00</t>
  </si>
  <si>
    <t>21-12-2023 09:15</t>
  </si>
  <si>
    <t>21-12-2023 09:30</t>
  </si>
  <si>
    <t>21-12-2023 09:45</t>
  </si>
  <si>
    <t>21-12-2023 10:00</t>
  </si>
  <si>
    <t>21-12-2023 10:15</t>
  </si>
  <si>
    <t>21-12-2023 10:30</t>
  </si>
  <si>
    <t>21-12-2023 10:45</t>
  </si>
  <si>
    <t>21-12-2023 11:00</t>
  </si>
  <si>
    <t>21-12-2023 11:15</t>
  </si>
  <si>
    <t>21-12-2023 11:30</t>
  </si>
  <si>
    <t>21-12-2023 11:45</t>
  </si>
  <si>
    <t>21-12-2023 12:00</t>
  </si>
  <si>
    <t>21-12-2023 12:15</t>
  </si>
  <si>
    <t>21-12-2023 12:30</t>
  </si>
  <si>
    <t>21-12-2023 12:45</t>
  </si>
  <si>
    <t>21-12-2023 13:00</t>
  </si>
  <si>
    <t>21-12-2023 13:15</t>
  </si>
  <si>
    <t>21-12-2023 13:30</t>
  </si>
  <si>
    <t>21-12-2023 13:45</t>
  </si>
  <si>
    <t>21-12-2023 14:00</t>
  </si>
  <si>
    <t>21-12-2023 14:15</t>
  </si>
  <si>
    <t>21-12-2023 14:30</t>
  </si>
  <si>
    <t>21-12-2023 14:45</t>
  </si>
  <si>
    <t>21-12-2023 15:00</t>
  </si>
  <si>
    <t>21-12-2023 15:15</t>
  </si>
  <si>
    <t>21-12-2023 15:30</t>
  </si>
  <si>
    <t>21-12-2023 15:45</t>
  </si>
  <si>
    <t>21-12-2023 16:00</t>
  </si>
  <si>
    <t>21-12-2023 16:15</t>
  </si>
  <si>
    <t>21-12-2023 16:30</t>
  </si>
  <si>
    <t>21-12-2023 16:45</t>
  </si>
  <si>
    <t>21-12-2023 17:00</t>
  </si>
  <si>
    <t>21-12-2023 17:15</t>
  </si>
  <si>
    <t>21-12-2023 17:30</t>
  </si>
  <si>
    <t>21-12-2023 17:45</t>
  </si>
  <si>
    <t>21-12-2023 18:00</t>
  </si>
  <si>
    <t>21-12-2023 18:15</t>
  </si>
  <si>
    <t>21-12-2023 18:30</t>
  </si>
  <si>
    <t>21-12-2023 18:45</t>
  </si>
  <si>
    <t>21-12-2023 19:00</t>
  </si>
  <si>
    <t>21-12-2023 19:15</t>
  </si>
  <si>
    <t>21-12-2023 19:30</t>
  </si>
  <si>
    <t>21-12-2023 19:45</t>
  </si>
  <si>
    <t>21-12-2023 20:00</t>
  </si>
  <si>
    <t>21-12-2023 20:15</t>
  </si>
  <si>
    <t>21-12-2023 20:30</t>
  </si>
  <si>
    <t>21-12-2023 20:45</t>
  </si>
  <si>
    <t>21-12-2023 21:00</t>
  </si>
  <si>
    <t>21-12-2023 21:15</t>
  </si>
  <si>
    <t>21-12-2023 21:30</t>
  </si>
  <si>
    <t>21-12-2023 21:45</t>
  </si>
  <si>
    <t>21-12-2023 22:00</t>
  </si>
  <si>
    <t>21-12-2023 22:15</t>
  </si>
  <si>
    <t>21-12-2023 22:30</t>
  </si>
  <si>
    <t>21-12-2023 22:45</t>
  </si>
  <si>
    <t>21-12-2023 23:00</t>
  </si>
  <si>
    <t>21-12-2023 23:15</t>
  </si>
  <si>
    <t>21-12-2023 23:30</t>
  </si>
  <si>
    <t>21-12-2023 23:45</t>
  </si>
  <si>
    <t>21-12-2023 24:00</t>
  </si>
  <si>
    <t>22-12-2023 00:15</t>
  </si>
  <si>
    <t>22-12-2023 00:30</t>
  </si>
  <si>
    <t>22-12-2023 00:45</t>
  </si>
  <si>
    <t>22-12-2023 01:00</t>
  </si>
  <si>
    <t>22-12-2023 01:15</t>
  </si>
  <si>
    <t>22-12-2023 01:30</t>
  </si>
  <si>
    <t>22-12-2023 01:45</t>
  </si>
  <si>
    <t>22-12-2023 02:00</t>
  </si>
  <si>
    <t>22-12-2023 02:15</t>
  </si>
  <si>
    <t>22-12-2023 02:30</t>
  </si>
  <si>
    <t>22-12-2023 02:45</t>
  </si>
  <si>
    <t>22-12-2023 03:00</t>
  </si>
  <si>
    <t>22-12-2023 03:15</t>
  </si>
  <si>
    <t>22-12-2023 03:30</t>
  </si>
  <si>
    <t>22-12-2023 03:45</t>
  </si>
  <si>
    <t>22-12-2023 04:00</t>
  </si>
  <si>
    <t>22-12-2023 04:15</t>
  </si>
  <si>
    <t>22-12-2023 04:30</t>
  </si>
  <si>
    <t>22-12-2023 04:45</t>
  </si>
  <si>
    <t>22-12-2023 05:00</t>
  </si>
  <si>
    <t>22-12-2023 05:15</t>
  </si>
  <si>
    <t>22-12-2023 05:30</t>
  </si>
  <si>
    <t>22-12-2023 05:45</t>
  </si>
  <si>
    <t>22-12-2023 06:00</t>
  </si>
  <si>
    <t>22-12-2023 06:15</t>
  </si>
  <si>
    <t>22-12-2023 06:30</t>
  </si>
  <si>
    <t>22-12-2023 06:45</t>
  </si>
  <si>
    <t>22-12-2023 07:00</t>
  </si>
  <si>
    <t>22-12-2023 07:15</t>
  </si>
  <si>
    <t>22-12-2023 07:30</t>
  </si>
  <si>
    <t>22-12-2023 07:45</t>
  </si>
  <si>
    <t>22-12-2023 08:00</t>
  </si>
  <si>
    <t>22-12-2023 08:15</t>
  </si>
  <si>
    <t>22-12-2023 08:30</t>
  </si>
  <si>
    <t>22-12-2023 08:45</t>
  </si>
  <si>
    <t>22-12-2023 09:00</t>
  </si>
  <si>
    <t>22-12-2023 09:15</t>
  </si>
  <si>
    <t>22-12-2023 09:30</t>
  </si>
  <si>
    <t>22-12-2023 09:45</t>
  </si>
  <si>
    <t>22-12-2023 10:00</t>
  </si>
  <si>
    <t>22-12-2023 10:15</t>
  </si>
  <si>
    <t>22-12-2023 10:30</t>
  </si>
  <si>
    <t>22-12-2023 10:45</t>
  </si>
  <si>
    <t>22-12-2023 11:00</t>
  </si>
  <si>
    <t>22-12-2023 11:15</t>
  </si>
  <si>
    <t>22-12-2023 11:30</t>
  </si>
  <si>
    <t>22-12-2023 11:45</t>
  </si>
  <si>
    <t>22-12-2023 12:00</t>
  </si>
  <si>
    <t>22-12-2023 12:15</t>
  </si>
  <si>
    <t>22-12-2023 12:30</t>
  </si>
  <si>
    <t>22-12-2023 12:45</t>
  </si>
  <si>
    <t>22-12-2023 13:00</t>
  </si>
  <si>
    <t>22-12-2023 13:15</t>
  </si>
  <si>
    <t>22-12-2023 13:30</t>
  </si>
  <si>
    <t>22-12-2023 13:45</t>
  </si>
  <si>
    <t>22-12-2023 14:00</t>
  </si>
  <si>
    <t>22-12-2023 14:15</t>
  </si>
  <si>
    <t>22-12-2023 14:30</t>
  </si>
  <si>
    <t>22-12-2023 14:45</t>
  </si>
  <si>
    <t>22-12-2023 15:00</t>
  </si>
  <si>
    <t>22-12-2023 15:15</t>
  </si>
  <si>
    <t>22-12-2023 15:30</t>
  </si>
  <si>
    <t>22-12-2023 15:45</t>
  </si>
  <si>
    <t>22-12-2023 16:00</t>
  </si>
  <si>
    <t>22-12-2023 16:15</t>
  </si>
  <si>
    <t>22-12-2023 16:30</t>
  </si>
  <si>
    <t>22-12-2023 16:45</t>
  </si>
  <si>
    <t>22-12-2023 17:00</t>
  </si>
  <si>
    <t>22-12-2023 17:15</t>
  </si>
  <si>
    <t>22-12-2023 17:30</t>
  </si>
  <si>
    <t>22-12-2023 17:45</t>
  </si>
  <si>
    <t>22-12-2023 18:00</t>
  </si>
  <si>
    <t>22-12-2023 18:15</t>
  </si>
  <si>
    <t>22-12-2023 18:30</t>
  </si>
  <si>
    <t>22-12-2023 18:45</t>
  </si>
  <si>
    <t>22-12-2023 19:00</t>
  </si>
  <si>
    <t>22-12-2023 19:15</t>
  </si>
  <si>
    <t>22-12-2023 19:30</t>
  </si>
  <si>
    <t>22-12-2023 19:45</t>
  </si>
  <si>
    <t>22-12-2023 20:00</t>
  </si>
  <si>
    <t>22-12-2023 20:15</t>
  </si>
  <si>
    <t>22-12-2023 20:30</t>
  </si>
  <si>
    <t>22-12-2023 20:45</t>
  </si>
  <si>
    <t>22-12-2023 21:00</t>
  </si>
  <si>
    <t>22-12-2023 21:15</t>
  </si>
  <si>
    <t>22-12-2023 21:30</t>
  </si>
  <si>
    <t>22-12-2023 21:45</t>
  </si>
  <si>
    <t>22-12-2023 22:00</t>
  </si>
  <si>
    <t>22-12-2023 22:15</t>
  </si>
  <si>
    <t>22-12-2023 22:30</t>
  </si>
  <si>
    <t>22-12-2023 22:45</t>
  </si>
  <si>
    <t>22-12-2023 23:00</t>
  </si>
  <si>
    <t>22-12-2023 23:15</t>
  </si>
  <si>
    <t>22-12-2023 23:30</t>
  </si>
  <si>
    <t>22-12-2023 23:45</t>
  </si>
  <si>
    <t>22-12-2023 24:00</t>
  </si>
  <si>
    <t>23-12-2023 00:15</t>
  </si>
  <si>
    <t>23-12-2023 00:30</t>
  </si>
  <si>
    <t>23-12-2023 00:45</t>
  </si>
  <si>
    <t>23-12-2023 01:00</t>
  </si>
  <si>
    <t>23-12-2023 01:15</t>
  </si>
  <si>
    <t>23-12-2023 01:30</t>
  </si>
  <si>
    <t>23-12-2023 01:45</t>
  </si>
  <si>
    <t>23-12-2023 02:00</t>
  </si>
  <si>
    <t>23-12-2023 02:15</t>
  </si>
  <si>
    <t>23-12-2023 02:30</t>
  </si>
  <si>
    <t>23-12-2023 02:45</t>
  </si>
  <si>
    <t>23-12-2023 03:00</t>
  </si>
  <si>
    <t>23-12-2023 03:15</t>
  </si>
  <si>
    <t>23-12-2023 03:30</t>
  </si>
  <si>
    <t>23-12-2023 03:45</t>
  </si>
  <si>
    <t>23-12-2023 04:00</t>
  </si>
  <si>
    <t>23-12-2023 04:15</t>
  </si>
  <si>
    <t>23-12-2023 04:30</t>
  </si>
  <si>
    <t>23-12-2023 04:45</t>
  </si>
  <si>
    <t>23-12-2023 05:00</t>
  </si>
  <si>
    <t>23-12-2023 05:15</t>
  </si>
  <si>
    <t>23-12-2023 05:30</t>
  </si>
  <si>
    <t>23-12-2023 05:45</t>
  </si>
  <si>
    <t>23-12-2023 06:00</t>
  </si>
  <si>
    <t>23-12-2023 06:15</t>
  </si>
  <si>
    <t>23-12-2023 06:30</t>
  </si>
  <si>
    <t>23-12-2023 06:45</t>
  </si>
  <si>
    <t>23-12-2023 07:00</t>
  </si>
  <si>
    <t>23-12-2023 07:15</t>
  </si>
  <si>
    <t>23-12-2023 07:30</t>
  </si>
  <si>
    <t>23-12-2023 07:45</t>
  </si>
  <si>
    <t>23-12-2023 08:00</t>
  </si>
  <si>
    <t>23-12-2023 08:15</t>
  </si>
  <si>
    <t>23-12-2023 08:30</t>
  </si>
  <si>
    <t>23-12-2023 08:45</t>
  </si>
  <si>
    <t>23-12-2023 09:00</t>
  </si>
  <si>
    <t>23-12-2023 09:15</t>
  </si>
  <si>
    <t>23-12-2023 09:30</t>
  </si>
  <si>
    <t>23-12-2023 09:45</t>
  </si>
  <si>
    <t>23-12-2023 10:00</t>
  </si>
  <si>
    <t>23-12-2023 10:15</t>
  </si>
  <si>
    <t>23-12-2023 10:30</t>
  </si>
  <si>
    <t>23-12-2023 10:45</t>
  </si>
  <si>
    <t>23-12-2023 11:00</t>
  </si>
  <si>
    <t>23-12-2023 11:15</t>
  </si>
  <si>
    <t>23-12-2023 11:30</t>
  </si>
  <si>
    <t>23-12-2023 11:45</t>
  </si>
  <si>
    <t>23-12-2023 12:00</t>
  </si>
  <si>
    <t>23-12-2023 12:15</t>
  </si>
  <si>
    <t>23-12-2023 12:30</t>
  </si>
  <si>
    <t>23-12-2023 12:45</t>
  </si>
  <si>
    <t>23-12-2023 13:00</t>
  </si>
  <si>
    <t>23-12-2023 13:15</t>
  </si>
  <si>
    <t>23-12-2023 13:30</t>
  </si>
  <si>
    <t>23-12-2023 13:45</t>
  </si>
  <si>
    <t>23-12-2023 14:00</t>
  </si>
  <si>
    <t>23-12-2023 14:15</t>
  </si>
  <si>
    <t>23-12-2023 14:30</t>
  </si>
  <si>
    <t>23-12-2023 14:45</t>
  </si>
  <si>
    <t>23-12-2023 15:00</t>
  </si>
  <si>
    <t>23-12-2023 15:15</t>
  </si>
  <si>
    <t>23-12-2023 15:30</t>
  </si>
  <si>
    <t>23-12-2023 15:45</t>
  </si>
  <si>
    <t>23-12-2023 16:00</t>
  </si>
  <si>
    <t>23-12-2023 16:15</t>
  </si>
  <si>
    <t>23-12-2023 16:30</t>
  </si>
  <si>
    <t>23-12-2023 16:45</t>
  </si>
  <si>
    <t>23-12-2023 17:00</t>
  </si>
  <si>
    <t>23-12-2023 17:15</t>
  </si>
  <si>
    <t>23-12-2023 17:30</t>
  </si>
  <si>
    <t>23-12-2023 17:45</t>
  </si>
  <si>
    <t>23-12-2023 18:00</t>
  </si>
  <si>
    <t>23-12-2023 18:15</t>
  </si>
  <si>
    <t>23-12-2023 18:30</t>
  </si>
  <si>
    <t>23-12-2023 18:45</t>
  </si>
  <si>
    <t>23-12-2023 19:00</t>
  </si>
  <si>
    <t>23-12-2023 19:15</t>
  </si>
  <si>
    <t>23-12-2023 19:30</t>
  </si>
  <si>
    <t>23-12-2023 19:45</t>
  </si>
  <si>
    <t>23-12-2023 20:00</t>
  </si>
  <si>
    <t>23-12-2023 20:15</t>
  </si>
  <si>
    <t>23-12-2023 20:30</t>
  </si>
  <si>
    <t>23-12-2023 20:45</t>
  </si>
  <si>
    <t>23-12-2023 21:00</t>
  </si>
  <si>
    <t>23-12-2023 21:15</t>
  </si>
  <si>
    <t>23-12-2023 21:30</t>
  </si>
  <si>
    <t>23-12-2023 21:45</t>
  </si>
  <si>
    <t>23-12-2023 22:00</t>
  </si>
  <si>
    <t>23-12-2023 22:15</t>
  </si>
  <si>
    <t>23-12-2023 22:30</t>
  </si>
  <si>
    <t>23-12-2023 22:45</t>
  </si>
  <si>
    <t>23-12-2023 23:00</t>
  </si>
  <si>
    <t>23-12-2023 23:15</t>
  </si>
  <si>
    <t>23-12-2023 23:30</t>
  </si>
  <si>
    <t>23-12-2023 23:45</t>
  </si>
  <si>
    <t>23-12-2023 24:00</t>
  </si>
  <si>
    <t>24-12-2023 00:15</t>
  </si>
  <si>
    <t>24-12-2023 00:30</t>
  </si>
  <si>
    <t>24-12-2023 00:45</t>
  </si>
  <si>
    <t>24-12-2023 01:00</t>
  </si>
  <si>
    <t>24-12-2023 01:15</t>
  </si>
  <si>
    <t>24-12-2023 01:30</t>
  </si>
  <si>
    <t>24-12-2023 01:45</t>
  </si>
  <si>
    <t>24-12-2023 02:00</t>
  </si>
  <si>
    <t>24-12-2023 02:15</t>
  </si>
  <si>
    <t>24-12-2023 02:30</t>
  </si>
  <si>
    <t>24-12-2023 02:45</t>
  </si>
  <si>
    <t>24-12-2023 03:00</t>
  </si>
  <si>
    <t>24-12-2023 03:15</t>
  </si>
  <si>
    <t>24-12-2023 03:30</t>
  </si>
  <si>
    <t>24-12-2023 03:45</t>
  </si>
  <si>
    <t>24-12-2023 04:00</t>
  </si>
  <si>
    <t>24-12-2023 04:15</t>
  </si>
  <si>
    <t>24-12-2023 04:30</t>
  </si>
  <si>
    <t>24-12-2023 04:45</t>
  </si>
  <si>
    <t>24-12-2023 05:00</t>
  </si>
  <si>
    <t>24-12-2023 05:15</t>
  </si>
  <si>
    <t>24-12-2023 05:30</t>
  </si>
  <si>
    <t>24-12-2023 05:45</t>
  </si>
  <si>
    <t>24-12-2023 06:00</t>
  </si>
  <si>
    <t>24-12-2023 06:15</t>
  </si>
  <si>
    <t>24-12-2023 06:30</t>
  </si>
  <si>
    <t>24-12-2023 06:45</t>
  </si>
  <si>
    <t>24-12-2023 07:00</t>
  </si>
  <si>
    <t>24-12-2023 07:15</t>
  </si>
  <si>
    <t>24-12-2023 07:30</t>
  </si>
  <si>
    <t>24-12-2023 07:45</t>
  </si>
  <si>
    <t>24-12-2023 08:00</t>
  </si>
  <si>
    <t>24-12-2023 08:15</t>
  </si>
  <si>
    <t>24-12-2023 08:30</t>
  </si>
  <si>
    <t>24-12-2023 08:45</t>
  </si>
  <si>
    <t>24-12-2023 09:00</t>
  </si>
  <si>
    <t>24-12-2023 09:15</t>
  </si>
  <si>
    <t>24-12-2023 09:30</t>
  </si>
  <si>
    <t>24-12-2023 09:45</t>
  </si>
  <si>
    <t>24-12-2023 10:00</t>
  </si>
  <si>
    <t>24-12-2023 10:15</t>
  </si>
  <si>
    <t>24-12-2023 10:30</t>
  </si>
  <si>
    <t>24-12-2023 10:45</t>
  </si>
  <si>
    <t>24-12-2023 11:00</t>
  </si>
  <si>
    <t>24-12-2023 11:15</t>
  </si>
  <si>
    <t>24-12-2023 11:30</t>
  </si>
  <si>
    <t>24-12-2023 11:45</t>
  </si>
  <si>
    <t>24-12-2023 12:00</t>
  </si>
  <si>
    <t>24-12-2023 12:15</t>
  </si>
  <si>
    <t>24-12-2023 12:30</t>
  </si>
  <si>
    <t>24-12-2023 12:45</t>
  </si>
  <si>
    <t>24-12-2023 13:00</t>
  </si>
  <si>
    <t>24-12-2023 13:15</t>
  </si>
  <si>
    <t>24-12-2023 13:30</t>
  </si>
  <si>
    <t>24-12-2023 13:45</t>
  </si>
  <si>
    <t>24-12-2023 14:00</t>
  </si>
  <si>
    <t>24-12-2023 14:15</t>
  </si>
  <si>
    <t>24-12-2023 14:30</t>
  </si>
  <si>
    <t>24-12-2023 14:45</t>
  </si>
  <si>
    <t>24-12-2023 15:00</t>
  </si>
  <si>
    <t>24-12-2023 15:15</t>
  </si>
  <si>
    <t>24-12-2023 15:30</t>
  </si>
  <si>
    <t>24-12-2023 15:45</t>
  </si>
  <si>
    <t>24-12-2023 16:00</t>
  </si>
  <si>
    <t>24-12-2023 16:15</t>
  </si>
  <si>
    <t>24-12-2023 16:30</t>
  </si>
  <si>
    <t>24-12-2023 16:45</t>
  </si>
  <si>
    <t>24-12-2023 17:00</t>
  </si>
  <si>
    <t>24-12-2023 17:15</t>
  </si>
  <si>
    <t>24-12-2023 17:30</t>
  </si>
  <si>
    <t>24-12-2023 17:45</t>
  </si>
  <si>
    <t>24-12-2023 18:00</t>
  </si>
  <si>
    <t>24-12-2023 18:15</t>
  </si>
  <si>
    <t>24-12-2023 18:30</t>
  </si>
  <si>
    <t>24-12-2023 18:45</t>
  </si>
  <si>
    <t>24-12-2023 19:00</t>
  </si>
  <si>
    <t>24-12-2023 19:15</t>
  </si>
  <si>
    <t>24-12-2023 19:30</t>
  </si>
  <si>
    <t>24-12-2023 19:45</t>
  </si>
  <si>
    <t>24-12-2023 20:00</t>
  </si>
  <si>
    <t>24-12-2023 20:15</t>
  </si>
  <si>
    <t>24-12-2023 20:30</t>
  </si>
  <si>
    <t>24-12-2023 20:45</t>
  </si>
  <si>
    <t>24-12-2023 21:00</t>
  </si>
  <si>
    <t>24-12-2023 21:15</t>
  </si>
  <si>
    <t>24-12-2023 21:30</t>
  </si>
  <si>
    <t>24-12-2023 21:45</t>
  </si>
  <si>
    <t>24-12-2023 22:00</t>
  </si>
  <si>
    <t>24-12-2023 22:15</t>
  </si>
  <si>
    <t>24-12-2023 22:30</t>
  </si>
  <si>
    <t>24-12-2023 22:45</t>
  </si>
  <si>
    <t>24-12-2023 23:00</t>
  </si>
  <si>
    <t>24-12-2023 23:15</t>
  </si>
  <si>
    <t>24-12-2023 23:30</t>
  </si>
  <si>
    <t>24-12-2023 23:45</t>
  </si>
  <si>
    <t>24-12-2023 24:00</t>
  </si>
  <si>
    <t>25-12-2023 00:15</t>
  </si>
  <si>
    <t>25-12-2023 00:30</t>
  </si>
  <si>
    <t>25-12-2023 00:45</t>
  </si>
  <si>
    <t>25-12-2023 01:00</t>
  </si>
  <si>
    <t>25-12-2023 01:15</t>
  </si>
  <si>
    <t>25-12-2023 01:30</t>
  </si>
  <si>
    <t>25-12-2023 01:45</t>
  </si>
  <si>
    <t>25-12-2023 02:00</t>
  </si>
  <si>
    <t>25-12-2023 02:15</t>
  </si>
  <si>
    <t>25-12-2023 02:30</t>
  </si>
  <si>
    <t>25-12-2023 02:45</t>
  </si>
  <si>
    <t>25-12-2023 03:00</t>
  </si>
  <si>
    <t>25-12-2023 03:15</t>
  </si>
  <si>
    <t>25-12-2023 03:30</t>
  </si>
  <si>
    <t>25-12-2023 03:45</t>
  </si>
  <si>
    <t>25-12-2023 04:00</t>
  </si>
  <si>
    <t>25-12-2023 04:15</t>
  </si>
  <si>
    <t>25-12-2023 04:30</t>
  </si>
  <si>
    <t>25-12-2023 04:45</t>
  </si>
  <si>
    <t>25-12-2023 05:00</t>
  </si>
  <si>
    <t>25-12-2023 05:15</t>
  </si>
  <si>
    <t>25-12-2023 05:30</t>
  </si>
  <si>
    <t>25-12-2023 05:45</t>
  </si>
  <si>
    <t>25-12-2023 06:00</t>
  </si>
  <si>
    <t>25-12-2023 06:15</t>
  </si>
  <si>
    <t>25-12-2023 06:30</t>
  </si>
  <si>
    <t>25-12-2023 06:45</t>
  </si>
  <si>
    <t>25-12-2023 07:00</t>
  </si>
  <si>
    <t>25-12-2023 07:15</t>
  </si>
  <si>
    <t>25-12-2023 07:30</t>
  </si>
  <si>
    <t>25-12-2023 07:45</t>
  </si>
  <si>
    <t>25-12-2023 08:00</t>
  </si>
  <si>
    <t>25-12-2023 08:15</t>
  </si>
  <si>
    <t>25-12-2023 08:30</t>
  </si>
  <si>
    <t>25-12-2023 08:45</t>
  </si>
  <si>
    <t>25-12-2023 09:00</t>
  </si>
  <si>
    <t>25-12-2023 09:15</t>
  </si>
  <si>
    <t>25-12-2023 09:30</t>
  </si>
  <si>
    <t>25-12-2023 09:45</t>
  </si>
  <si>
    <t>25-12-2023 10:00</t>
  </si>
  <si>
    <t>25-12-2023 10:15</t>
  </si>
  <si>
    <t>25-12-2023 10:30</t>
  </si>
  <si>
    <t>25-12-2023 10:45</t>
  </si>
  <si>
    <t>25-12-2023 11:00</t>
  </si>
  <si>
    <t>25-12-2023 11:15</t>
  </si>
  <si>
    <t>25-12-2023 11:30</t>
  </si>
  <si>
    <t>25-12-2023 11:45</t>
  </si>
  <si>
    <t>25-12-2023 12:00</t>
  </si>
  <si>
    <t>25-12-2023 12:15</t>
  </si>
  <si>
    <t>25-12-2023 12:30</t>
  </si>
  <si>
    <t>25-12-2023 12:45</t>
  </si>
  <si>
    <t>25-12-2023 13:00</t>
  </si>
  <si>
    <t>25-12-2023 13:15</t>
  </si>
  <si>
    <t>25-12-2023 13:30</t>
  </si>
  <si>
    <t>25-12-2023 13:45</t>
  </si>
  <si>
    <t>25-12-2023 14:00</t>
  </si>
  <si>
    <t>25-12-2023 14:15</t>
  </si>
  <si>
    <t>25-12-2023 14:30</t>
  </si>
  <si>
    <t>25-12-2023 14:45</t>
  </si>
  <si>
    <t>25-12-2023 15:00</t>
  </si>
  <si>
    <t>25-12-2023 15:15</t>
  </si>
  <si>
    <t>25-12-2023 15:30</t>
  </si>
  <si>
    <t>25-12-2023 15:45</t>
  </si>
  <si>
    <t>25-12-2023 16:00</t>
  </si>
  <si>
    <t>25-12-2023 16:15</t>
  </si>
  <si>
    <t>25-12-2023 16:30</t>
  </si>
  <si>
    <t>25-12-2023 16:45</t>
  </si>
  <si>
    <t>25-12-2023 17:00</t>
  </si>
  <si>
    <t>25-12-2023 17:15</t>
  </si>
  <si>
    <t>25-12-2023 17:30</t>
  </si>
  <si>
    <t>25-12-2023 17:45</t>
  </si>
  <si>
    <t>25-12-2023 18:00</t>
  </si>
  <si>
    <t>25-12-2023 18:15</t>
  </si>
  <si>
    <t>25-12-2023 18:30</t>
  </si>
  <si>
    <t>25-12-2023 18:45</t>
  </si>
  <si>
    <t>25-12-2023 19:00</t>
  </si>
  <si>
    <t>25-12-2023 19:15</t>
  </si>
  <si>
    <t>25-12-2023 19:30</t>
  </si>
  <si>
    <t>25-12-2023 19:45</t>
  </si>
  <si>
    <t>25-12-2023 20:00</t>
  </si>
  <si>
    <t>25-12-2023 20:15</t>
  </si>
  <si>
    <t>25-12-2023 20:30</t>
  </si>
  <si>
    <t>25-12-2023 20:45</t>
  </si>
  <si>
    <t>25-12-2023 21:00</t>
  </si>
  <si>
    <t>25-12-2023 21:15</t>
  </si>
  <si>
    <t>25-12-2023 21:30</t>
  </si>
  <si>
    <t>25-12-2023 21:45</t>
  </si>
  <si>
    <t>25-12-2023 22:00</t>
  </si>
  <si>
    <t>25-12-2023 22:15</t>
  </si>
  <si>
    <t>25-12-2023 22:30</t>
  </si>
  <si>
    <t>25-12-2023 22:45</t>
  </si>
  <si>
    <t>25-12-2023 23:00</t>
  </si>
  <si>
    <t>25-12-2023 23:15</t>
  </si>
  <si>
    <t>25-12-2023 23:30</t>
  </si>
  <si>
    <t>25-12-2023 23:45</t>
  </si>
  <si>
    <t>25-12-2023 24:00</t>
  </si>
  <si>
    <t>26-12-2023 00:15</t>
  </si>
  <si>
    <t>26-12-2023 00:30</t>
  </si>
  <si>
    <t>26-12-2023 00:45</t>
  </si>
  <si>
    <t>26-12-2023 01:00</t>
  </si>
  <si>
    <t>26-12-2023 01:15</t>
  </si>
  <si>
    <t>26-12-2023 01:30</t>
  </si>
  <si>
    <t>26-12-2023 01:45</t>
  </si>
  <si>
    <t>26-12-2023 02:00</t>
  </si>
  <si>
    <t>26-12-2023 02:15</t>
  </si>
  <si>
    <t>26-12-2023 02:30</t>
  </si>
  <si>
    <t>26-12-2023 02:45</t>
  </si>
  <si>
    <t>26-12-2023 03:00</t>
  </si>
  <si>
    <t>26-12-2023 03:15</t>
  </si>
  <si>
    <t>26-12-2023 03:30</t>
  </si>
  <si>
    <t>26-12-2023 03:45</t>
  </si>
  <si>
    <t>26-12-2023 04:00</t>
  </si>
  <si>
    <t>26-12-2023 04:15</t>
  </si>
  <si>
    <t>26-12-2023 04:30</t>
  </si>
  <si>
    <t>26-12-2023 04:45</t>
  </si>
  <si>
    <t>26-12-2023 05:00</t>
  </si>
  <si>
    <t>26-12-2023 05:15</t>
  </si>
  <si>
    <t>26-12-2023 05:30</t>
  </si>
  <si>
    <t>26-12-2023 05:45</t>
  </si>
  <si>
    <t>26-12-2023 06:00</t>
  </si>
  <si>
    <t>26-12-2023 06:15</t>
  </si>
  <si>
    <t>26-12-2023 06:30</t>
  </si>
  <si>
    <t>26-12-2023 06:45</t>
  </si>
  <si>
    <t>26-12-2023 07:00</t>
  </si>
  <si>
    <t>26-12-2023 07:15</t>
  </si>
  <si>
    <t>26-12-2023 07:30</t>
  </si>
  <si>
    <t>26-12-2023 07:45</t>
  </si>
  <si>
    <t>26-12-2023 08:00</t>
  </si>
  <si>
    <t>26-12-2023 08:15</t>
  </si>
  <si>
    <t>26-12-2023 08:30</t>
  </si>
  <si>
    <t>26-12-2023 08:45</t>
  </si>
  <si>
    <t>26-12-2023 09:00</t>
  </si>
  <si>
    <t>26-12-2023 09:15</t>
  </si>
  <si>
    <t>26-12-2023 09:30</t>
  </si>
  <si>
    <t>26-12-2023 09:45</t>
  </si>
  <si>
    <t>26-12-2023 10:00</t>
  </si>
  <si>
    <t>26-12-2023 10:15</t>
  </si>
  <si>
    <t>26-12-2023 10:30</t>
  </si>
  <si>
    <t>26-12-2023 10:45</t>
  </si>
  <si>
    <t>26-12-2023 11:00</t>
  </si>
  <si>
    <t>26-12-2023 11:15</t>
  </si>
  <si>
    <t>26-12-2023 11:30</t>
  </si>
  <si>
    <t>26-12-2023 11:45</t>
  </si>
  <si>
    <t>26-12-2023 12:00</t>
  </si>
  <si>
    <t>26-12-2023 12:15</t>
  </si>
  <si>
    <t>26-12-2023 12:30</t>
  </si>
  <si>
    <t>26-12-2023 12:45</t>
  </si>
  <si>
    <t>26-12-2023 13:00</t>
  </si>
  <si>
    <t>26-12-2023 13:15</t>
  </si>
  <si>
    <t>26-12-2023 13:30</t>
  </si>
  <si>
    <t>26-12-2023 13:45</t>
  </si>
  <si>
    <t>26-12-2023 14:00</t>
  </si>
  <si>
    <t>26-12-2023 14:15</t>
  </si>
  <si>
    <t>26-12-2023 14:30</t>
  </si>
  <si>
    <t>26-12-2023 14:45</t>
  </si>
  <si>
    <t>26-12-2023 15:00</t>
  </si>
  <si>
    <t>26-12-2023 15:15</t>
  </si>
  <si>
    <t>26-12-2023 15:30</t>
  </si>
  <si>
    <t>26-12-2023 15:45</t>
  </si>
  <si>
    <t>26-12-2023 16:00</t>
  </si>
  <si>
    <t>26-12-2023 16:15</t>
  </si>
  <si>
    <t>26-12-2023 16:30</t>
  </si>
  <si>
    <t>26-12-2023 16:45</t>
  </si>
  <si>
    <t>26-12-2023 17:00</t>
  </si>
  <si>
    <t>26-12-2023 17:15</t>
  </si>
  <si>
    <t>26-12-2023 17:30</t>
  </si>
  <si>
    <t>26-12-2023 17:45</t>
  </si>
  <si>
    <t>26-12-2023 18:00</t>
  </si>
  <si>
    <t>26-12-2023 18:15</t>
  </si>
  <si>
    <t>26-12-2023 18:30</t>
  </si>
  <si>
    <t>26-12-2023 18:45</t>
  </si>
  <si>
    <t>26-12-2023 19:00</t>
  </si>
  <si>
    <t>26-12-2023 19:15</t>
  </si>
  <si>
    <t>26-12-2023 19:30</t>
  </si>
  <si>
    <t>26-12-2023 19:45</t>
  </si>
  <si>
    <t>26-12-2023 20:00</t>
  </si>
  <si>
    <t>26-12-2023 20:15</t>
  </si>
  <si>
    <t>26-12-2023 20:30</t>
  </si>
  <si>
    <t>26-12-2023 20:45</t>
  </si>
  <si>
    <t>26-12-2023 21:00</t>
  </si>
  <si>
    <t>26-12-2023 21:15</t>
  </si>
  <si>
    <t>26-12-2023 21:30</t>
  </si>
  <si>
    <t>26-12-2023 21:45</t>
  </si>
  <si>
    <t>26-12-2023 22:00</t>
  </si>
  <si>
    <t>26-12-2023 22:15</t>
  </si>
  <si>
    <t>26-12-2023 22:30</t>
  </si>
  <si>
    <t>26-12-2023 22:45</t>
  </si>
  <si>
    <t>26-12-2023 23:00</t>
  </si>
  <si>
    <t>26-12-2023 23:15</t>
  </si>
  <si>
    <t>26-12-2023 23:30</t>
  </si>
  <si>
    <t>26-12-2023 23:45</t>
  </si>
  <si>
    <t>26-12-2023 24:00</t>
  </si>
  <si>
    <t>27-12-2023 00:15</t>
  </si>
  <si>
    <t>27-12-2023 00:30</t>
  </si>
  <si>
    <t>27-12-2023 00:45</t>
  </si>
  <si>
    <t>27-12-2023 01:00</t>
  </si>
  <si>
    <t>27-12-2023 01:15</t>
  </si>
  <si>
    <t>27-12-2023 01:30</t>
  </si>
  <si>
    <t>27-12-2023 01:45</t>
  </si>
  <si>
    <t>27-12-2023 02:00</t>
  </si>
  <si>
    <t>27-12-2023 02:15</t>
  </si>
  <si>
    <t>27-12-2023 02:30</t>
  </si>
  <si>
    <t>27-12-2023 02:45</t>
  </si>
  <si>
    <t>27-12-2023 03:00</t>
  </si>
  <si>
    <t>27-12-2023 03:15</t>
  </si>
  <si>
    <t>27-12-2023 03:30</t>
  </si>
  <si>
    <t>27-12-2023 03:45</t>
  </si>
  <si>
    <t>27-12-2023 04:00</t>
  </si>
  <si>
    <t>27-12-2023 04:15</t>
  </si>
  <si>
    <t>27-12-2023 04:30</t>
  </si>
  <si>
    <t>27-12-2023 04:45</t>
  </si>
  <si>
    <t>27-12-2023 05:00</t>
  </si>
  <si>
    <t>27-12-2023 05:15</t>
  </si>
  <si>
    <t>27-12-2023 05:30</t>
  </si>
  <si>
    <t>27-12-2023 05:45</t>
  </si>
  <si>
    <t>27-12-2023 06:00</t>
  </si>
  <si>
    <t>27-12-2023 06:15</t>
  </si>
  <si>
    <t>27-12-2023 06:30</t>
  </si>
  <si>
    <t>27-12-2023 06:45</t>
  </si>
  <si>
    <t>27-12-2023 07:00</t>
  </si>
  <si>
    <t>27-12-2023 07:15</t>
  </si>
  <si>
    <t>27-12-2023 07:30</t>
  </si>
  <si>
    <t>27-12-2023 07:45</t>
  </si>
  <si>
    <t>27-12-2023 08:00</t>
  </si>
  <si>
    <t>27-12-2023 08:15</t>
  </si>
  <si>
    <t>27-12-2023 08:30</t>
  </si>
  <si>
    <t>27-12-2023 08:45</t>
  </si>
  <si>
    <t>27-12-2023 09:00</t>
  </si>
  <si>
    <t>27-12-2023 09:15</t>
  </si>
  <si>
    <t>27-12-2023 09:30</t>
  </si>
  <si>
    <t>27-12-2023 09:45</t>
  </si>
  <si>
    <t>27-12-2023 10:00</t>
  </si>
  <si>
    <t>27-12-2023 10:15</t>
  </si>
  <si>
    <t>27-12-2023 10:30</t>
  </si>
  <si>
    <t>27-12-2023 10:45</t>
  </si>
  <si>
    <t>27-12-2023 11:00</t>
  </si>
  <si>
    <t>27-12-2023 11:15</t>
  </si>
  <si>
    <t>27-12-2023 11:30</t>
  </si>
  <si>
    <t>27-12-2023 11:45</t>
  </si>
  <si>
    <t>27-12-2023 12:00</t>
  </si>
  <si>
    <t>27-12-2023 12:15</t>
  </si>
  <si>
    <t>27-12-2023 12:30</t>
  </si>
  <si>
    <t>27-12-2023 12:45</t>
  </si>
  <si>
    <t>27-12-2023 13:00</t>
  </si>
  <si>
    <t>27-12-2023 13:15</t>
  </si>
  <si>
    <t>27-12-2023 13:30</t>
  </si>
  <si>
    <t>27-12-2023 13:45</t>
  </si>
  <si>
    <t>27-12-2023 14:00</t>
  </si>
  <si>
    <t>27-12-2023 14:15</t>
  </si>
  <si>
    <t>27-12-2023 14:30</t>
  </si>
  <si>
    <t>27-12-2023 14:45</t>
  </si>
  <si>
    <t>27-12-2023 15:00</t>
  </si>
  <si>
    <t>27-12-2023 15:15</t>
  </si>
  <si>
    <t>27-12-2023 15:30</t>
  </si>
  <si>
    <t>27-12-2023 15:45</t>
  </si>
  <si>
    <t>27-12-2023 16:00</t>
  </si>
  <si>
    <t>27-12-2023 16:15</t>
  </si>
  <si>
    <t>27-12-2023 16:30</t>
  </si>
  <si>
    <t>27-12-2023 16:45</t>
  </si>
  <si>
    <t>27-12-2023 17:00</t>
  </si>
  <si>
    <t>27-12-2023 17:15</t>
  </si>
  <si>
    <t>27-12-2023 17:30</t>
  </si>
  <si>
    <t>27-12-2023 17:45</t>
  </si>
  <si>
    <t>27-12-2023 18:00</t>
  </si>
  <si>
    <t>27-12-2023 18:15</t>
  </si>
  <si>
    <t>27-12-2023 18:30</t>
  </si>
  <si>
    <t>27-12-2023 18:45</t>
  </si>
  <si>
    <t>27-12-2023 19:00</t>
  </si>
  <si>
    <t>27-12-2023 19:15</t>
  </si>
  <si>
    <t>27-12-2023 19:30</t>
  </si>
  <si>
    <t>27-12-2023 19:45</t>
  </si>
  <si>
    <t>27-12-2023 20:00</t>
  </si>
  <si>
    <t>27-12-2023 20:15</t>
  </si>
  <si>
    <t>27-12-2023 20:30</t>
  </si>
  <si>
    <t>27-12-2023 20:45</t>
  </si>
  <si>
    <t>27-12-2023 21:00</t>
  </si>
  <si>
    <t>27-12-2023 21:15</t>
  </si>
  <si>
    <t>27-12-2023 21:30</t>
  </si>
  <si>
    <t>27-12-2023 21:45</t>
  </si>
  <si>
    <t>27-12-2023 22:00</t>
  </si>
  <si>
    <t>27-12-2023 22:15</t>
  </si>
  <si>
    <t>27-12-2023 22:30</t>
  </si>
  <si>
    <t>27-12-2023 22:45</t>
  </si>
  <si>
    <t>27-12-2023 23:00</t>
  </si>
  <si>
    <t>27-12-2023 23:15</t>
  </si>
  <si>
    <t>27-12-2023 23:30</t>
  </si>
  <si>
    <t>27-12-2023 23:45</t>
  </si>
  <si>
    <t>27-12-2023 24:00</t>
  </si>
  <si>
    <t>28-12-2023 00:15</t>
  </si>
  <si>
    <t>28-12-2023 00:30</t>
  </si>
  <si>
    <t>28-12-2023 00:45</t>
  </si>
  <si>
    <t>28-12-2023 01:00</t>
  </si>
  <si>
    <t>28-12-2023 01:15</t>
  </si>
  <si>
    <t>28-12-2023 01:30</t>
  </si>
  <si>
    <t>28-12-2023 01:45</t>
  </si>
  <si>
    <t>28-12-2023 02:00</t>
  </si>
  <si>
    <t>28-12-2023 02:15</t>
  </si>
  <si>
    <t>28-12-2023 02:30</t>
  </si>
  <si>
    <t>28-12-2023 02:45</t>
  </si>
  <si>
    <t>28-12-2023 03:00</t>
  </si>
  <si>
    <t>28-12-2023 03:15</t>
  </si>
  <si>
    <t>28-12-2023 03:30</t>
  </si>
  <si>
    <t>28-12-2023 03:45</t>
  </si>
  <si>
    <t>28-12-2023 04:00</t>
  </si>
  <si>
    <t>28-12-2023 04:15</t>
  </si>
  <si>
    <t>28-12-2023 04:30</t>
  </si>
  <si>
    <t>28-12-2023 04:45</t>
  </si>
  <si>
    <t>28-12-2023 05:00</t>
  </si>
  <si>
    <t>28-12-2023 05:15</t>
  </si>
  <si>
    <t>28-12-2023 05:30</t>
  </si>
  <si>
    <t>28-12-2023 05:45</t>
  </si>
  <si>
    <t>28-12-2023 06:00</t>
  </si>
  <si>
    <t>28-12-2023 06:15</t>
  </si>
  <si>
    <t>28-12-2023 06:30</t>
  </si>
  <si>
    <t>28-12-2023 06:45</t>
  </si>
  <si>
    <t>28-12-2023 07:00</t>
  </si>
  <si>
    <t>28-12-2023 07:15</t>
  </si>
  <si>
    <t>28-12-2023 07:30</t>
  </si>
  <si>
    <t>28-12-2023 07:45</t>
  </si>
  <si>
    <t>28-12-2023 08:00</t>
  </si>
  <si>
    <t>28-12-2023 08:15</t>
  </si>
  <si>
    <t>28-12-2023 08:30</t>
  </si>
  <si>
    <t>28-12-2023 08:45</t>
  </si>
  <si>
    <t>28-12-2023 09:00</t>
  </si>
  <si>
    <t>28-12-2023 09:15</t>
  </si>
  <si>
    <t>28-12-2023 09:30</t>
  </si>
  <si>
    <t>28-12-2023 09:45</t>
  </si>
  <si>
    <t>28-12-2023 10:00</t>
  </si>
  <si>
    <t>28-12-2023 10:15</t>
  </si>
  <si>
    <t>28-12-2023 10:30</t>
  </si>
  <si>
    <t>28-12-2023 10:45</t>
  </si>
  <si>
    <t>28-12-2023 11:00</t>
  </si>
  <si>
    <t>28-12-2023 11:15</t>
  </si>
  <si>
    <t>28-12-2023 11:30</t>
  </si>
  <si>
    <t>28-12-2023 11:45</t>
  </si>
  <si>
    <t>28-12-2023 12:00</t>
  </si>
  <si>
    <t>28-12-2023 12:15</t>
  </si>
  <si>
    <t>28-12-2023 12:30</t>
  </si>
  <si>
    <t>28-12-2023 12:45</t>
  </si>
  <si>
    <t>28-12-2023 13:00</t>
  </si>
  <si>
    <t>28-12-2023 13:15</t>
  </si>
  <si>
    <t>28-12-2023 13:30</t>
  </si>
  <si>
    <t>28-12-2023 13:45</t>
  </si>
  <si>
    <t>28-12-2023 14:00</t>
  </si>
  <si>
    <t>28-12-2023 14:15</t>
  </si>
  <si>
    <t>28-12-2023 14:30</t>
  </si>
  <si>
    <t>28-12-2023 14:45</t>
  </si>
  <si>
    <t>28-12-2023 15:00</t>
  </si>
  <si>
    <t>28-12-2023 15:15</t>
  </si>
  <si>
    <t>28-12-2023 15:30</t>
  </si>
  <si>
    <t>28-12-2023 15:45</t>
  </si>
  <si>
    <t>28-12-2023 16:00</t>
  </si>
  <si>
    <t>28-12-2023 16:15</t>
  </si>
  <si>
    <t>28-12-2023 16:30</t>
  </si>
  <si>
    <t>28-12-2023 16:45</t>
  </si>
  <si>
    <t>28-12-2023 17:00</t>
  </si>
  <si>
    <t>28-12-2023 17:15</t>
  </si>
  <si>
    <t>28-12-2023 17:30</t>
  </si>
  <si>
    <t>28-12-2023 17:45</t>
  </si>
  <si>
    <t>28-12-2023 18:00</t>
  </si>
  <si>
    <t>28-12-2023 18:15</t>
  </si>
  <si>
    <t>28-12-2023 18:30</t>
  </si>
  <si>
    <t>28-12-2023 18:45</t>
  </si>
  <si>
    <t>28-12-2023 19:00</t>
  </si>
  <si>
    <t>28-12-2023 19:15</t>
  </si>
  <si>
    <t>28-12-2023 19:30</t>
  </si>
  <si>
    <t>28-12-2023 19:45</t>
  </si>
  <si>
    <t>28-12-2023 20:00</t>
  </si>
  <si>
    <t>28-12-2023 20:15</t>
  </si>
  <si>
    <t>28-12-2023 20:30</t>
  </si>
  <si>
    <t>28-12-2023 20:45</t>
  </si>
  <si>
    <t>28-12-2023 21:00</t>
  </si>
  <si>
    <t>28-12-2023 21:15</t>
  </si>
  <si>
    <t>28-12-2023 21:30</t>
  </si>
  <si>
    <t>28-12-2023 21:45</t>
  </si>
  <si>
    <t>28-12-2023 22:00</t>
  </si>
  <si>
    <t>28-12-2023 22:15</t>
  </si>
  <si>
    <t>28-12-2023 22:30</t>
  </si>
  <si>
    <t>28-12-2023 22:45</t>
  </si>
  <si>
    <t>28-12-2023 23:00</t>
  </si>
  <si>
    <t>28-12-2023 23:15</t>
  </si>
  <si>
    <t>28-12-2023 23:30</t>
  </si>
  <si>
    <t>28-12-2023 23:45</t>
  </si>
  <si>
    <t>28-12-2023 24:00</t>
  </si>
  <si>
    <t>pm 2.5</t>
  </si>
  <si>
    <t>29-12-2023 00:15</t>
  </si>
  <si>
    <t>29-12-2023 00:30</t>
  </si>
  <si>
    <t>29-12-2023 00:45</t>
  </si>
  <si>
    <t>29-12-2023 01:00</t>
  </si>
  <si>
    <t>29-12-2023 01:15</t>
  </si>
  <si>
    <t>29-12-2023 01:30</t>
  </si>
  <si>
    <t>29-12-2023 01:45</t>
  </si>
  <si>
    <t>29-12-2023 02:00</t>
  </si>
  <si>
    <t>29-12-2023 02:15</t>
  </si>
  <si>
    <t>29-12-2023 02:30</t>
  </si>
  <si>
    <t>29-12-2023 02:45</t>
  </si>
  <si>
    <t>29-12-2023 03:00</t>
  </si>
  <si>
    <t>29-12-2023 03:15</t>
  </si>
  <si>
    <t>29-12-2023 03:30</t>
  </si>
  <si>
    <t>29-12-2023 03:45</t>
  </si>
  <si>
    <t>29-12-2023 04:00</t>
  </si>
  <si>
    <t>29-12-2023 04:15</t>
  </si>
  <si>
    <t>29-12-2023 04:30</t>
  </si>
  <si>
    <t>29-12-2023 04:45</t>
  </si>
  <si>
    <t>29-12-2023 05:00</t>
  </si>
  <si>
    <t>29-12-2023 05:15</t>
  </si>
  <si>
    <t>29-12-2023 05:30</t>
  </si>
  <si>
    <t>29-12-2023 05:45</t>
  </si>
  <si>
    <t>29-12-2023 06:00</t>
  </si>
  <si>
    <t>29-12-2023 06:15</t>
  </si>
  <si>
    <t>29-12-2023 06:30</t>
  </si>
  <si>
    <t>29-12-2023 06:45</t>
  </si>
  <si>
    <t>29-12-2023 07:00</t>
  </si>
  <si>
    <t>29-12-2023 07:15</t>
  </si>
  <si>
    <t>29-12-2023 07:30</t>
  </si>
  <si>
    <t>29-12-2023 07:45</t>
  </si>
  <si>
    <t>29-12-2023 08:00</t>
  </si>
  <si>
    <t>29-12-2023 08:15</t>
  </si>
  <si>
    <t>29-12-2023 08:30</t>
  </si>
  <si>
    <t>29-12-2023 08:45</t>
  </si>
  <si>
    <t>29-12-2023 09:00</t>
  </si>
  <si>
    <t>29-12-2023 09:15</t>
  </si>
  <si>
    <t>29-12-2023 09:30</t>
  </si>
  <si>
    <t>29-12-2023 09:45</t>
  </si>
  <si>
    <t>29-12-2023 10:00</t>
  </si>
  <si>
    <t>29-12-2023 10:15</t>
  </si>
  <si>
    <t>29-12-2023 10:30</t>
  </si>
  <si>
    <t>29-12-2023 10:45</t>
  </si>
  <si>
    <t>29-12-2023 11:00</t>
  </si>
  <si>
    <t>29-12-2023 11:15</t>
  </si>
  <si>
    <t>29-12-2023 11:30</t>
  </si>
  <si>
    <t>29-12-2023 11:45</t>
  </si>
  <si>
    <t>29-12-2023 12:00</t>
  </si>
  <si>
    <t>29-12-2023 12:15</t>
  </si>
  <si>
    <t>29-12-2023 12:30</t>
  </si>
  <si>
    <t>29-12-2023 12:45</t>
  </si>
  <si>
    <t>29-12-2023 13:00</t>
  </si>
  <si>
    <t>29-12-2023 13:15</t>
  </si>
  <si>
    <t>29-12-2023 13:30</t>
  </si>
  <si>
    <t>29-12-2023 13:45</t>
  </si>
  <si>
    <t>29-12-2023 14:00</t>
  </si>
  <si>
    <t>29-12-2023 14:15</t>
  </si>
  <si>
    <t>29-12-2023 14:30</t>
  </si>
  <si>
    <t>29-12-2023 14:45</t>
  </si>
  <si>
    <t>29-12-2023 15:00</t>
  </si>
  <si>
    <t>29-12-2023 15:15</t>
  </si>
  <si>
    <t>29-12-2023 15:30</t>
  </si>
  <si>
    <t>29-12-2023 15:45</t>
  </si>
  <si>
    <t>29-12-2023 16:00</t>
  </si>
  <si>
    <t>29-12-2023 16:15</t>
  </si>
  <si>
    <t>29-12-2023 16:30</t>
  </si>
  <si>
    <t>29-12-2023 16:45</t>
  </si>
  <si>
    <t>29-12-2023 17:00</t>
  </si>
  <si>
    <t>29-12-2023 17:15</t>
  </si>
  <si>
    <t>29-12-2023 17:30</t>
  </si>
  <si>
    <t>29-12-2023 17:45</t>
  </si>
  <si>
    <t>29-12-2023 18:00</t>
  </si>
  <si>
    <t>29-12-2023 18:15</t>
  </si>
  <si>
    <t>29-12-2023 18:30</t>
  </si>
  <si>
    <t>29-12-2023 18:45</t>
  </si>
  <si>
    <t>29-12-2023 19:00</t>
  </si>
  <si>
    <t>29-12-2023 19:15</t>
  </si>
  <si>
    <t>29-12-2023 19:30</t>
  </si>
  <si>
    <t>29-12-2023 19:45</t>
  </si>
  <si>
    <t>29-12-2023 20:00</t>
  </si>
  <si>
    <t>29-12-2023 20:15</t>
  </si>
  <si>
    <t>29-12-2023 20:30</t>
  </si>
  <si>
    <t>29-12-2023 20:45</t>
  </si>
  <si>
    <t>29-12-2023 21:00</t>
  </si>
  <si>
    <t>29-12-2023 21:15</t>
  </si>
  <si>
    <t>29-12-2023 21:30</t>
  </si>
  <si>
    <t>29-12-2023 21:45</t>
  </si>
  <si>
    <t>29-12-2023 22:00</t>
  </si>
  <si>
    <t>29-12-2023 22:15</t>
  </si>
  <si>
    <t>29-12-2023 22:30</t>
  </si>
  <si>
    <t>29-12-2023 22:45</t>
  </si>
  <si>
    <t>29-12-2023 23:00</t>
  </si>
  <si>
    <t>29-12-2023 23:15</t>
  </si>
  <si>
    <t>29-12-2023 23:30</t>
  </si>
  <si>
    <t>29-12-2023 23:45</t>
  </si>
  <si>
    <t>29-12-2023 24:00</t>
  </si>
  <si>
    <t>30-12-2023 00:15</t>
  </si>
  <si>
    <t>30-12-2023 00:30</t>
  </si>
  <si>
    <t>30-12-2023 00:45</t>
  </si>
  <si>
    <t>30-12-2023 01:00</t>
  </si>
  <si>
    <t>30-12-2023 01:15</t>
  </si>
  <si>
    <t>30-12-2023 01:30</t>
  </si>
  <si>
    <t>30-12-2023 01:45</t>
  </si>
  <si>
    <t>30-12-2023 02:00</t>
  </si>
  <si>
    <t>30-12-2023 02:15</t>
  </si>
  <si>
    <t>30-12-2023 02:30</t>
  </si>
  <si>
    <t>30-12-2023 02:45</t>
  </si>
  <si>
    <t>30-12-2023 03:00</t>
  </si>
  <si>
    <t>30-12-2023 03:15</t>
  </si>
  <si>
    <t>30-12-2023 03:30</t>
  </si>
  <si>
    <t>30-12-2023 03:45</t>
  </si>
  <si>
    <t>30-12-2023 04:00</t>
  </si>
  <si>
    <t>30-12-2023 04:15</t>
  </si>
  <si>
    <t>30-12-2023 04:30</t>
  </si>
  <si>
    <t>30-12-2023 04:45</t>
  </si>
  <si>
    <t>30-12-2023 05:00</t>
  </si>
  <si>
    <t>30-12-2023 05:15</t>
  </si>
  <si>
    <t>30-12-2023 05:30</t>
  </si>
  <si>
    <t>30-12-2023 05:45</t>
  </si>
  <si>
    <t>30-12-2023 06:00</t>
  </si>
  <si>
    <t>30-12-2023 06:15</t>
  </si>
  <si>
    <t>30-12-2023 06:30</t>
  </si>
  <si>
    <t>30-12-2023 06:45</t>
  </si>
  <si>
    <t>30-12-2023 07:00</t>
  </si>
  <si>
    <t>30-12-2023 07:15</t>
  </si>
  <si>
    <t>30-12-2023 07:30</t>
  </si>
  <si>
    <t>30-12-2023 07:45</t>
  </si>
  <si>
    <t>30-12-2023 08:00</t>
  </si>
  <si>
    <t>30-12-2023 08:15</t>
  </si>
  <si>
    <t>30-12-2023 08:30</t>
  </si>
  <si>
    <t>30-12-2023 08:45</t>
  </si>
  <si>
    <t>30-12-2023 09:00</t>
  </si>
  <si>
    <t>30-12-2023 09:15</t>
  </si>
  <si>
    <t>30-12-2023 09:30</t>
  </si>
  <si>
    <t>30-12-2023 09:45</t>
  </si>
  <si>
    <t>30-12-2023 10:00</t>
  </si>
  <si>
    <t>30-12-2023 10:15</t>
  </si>
  <si>
    <t>30-12-2023 10:30</t>
  </si>
  <si>
    <t>30-12-2023 10:45</t>
  </si>
  <si>
    <t>30-12-2023 11:00</t>
  </si>
  <si>
    <t>30-12-2023 11:15</t>
  </si>
  <si>
    <t>30-12-2023 11:30</t>
  </si>
  <si>
    <t>30-12-2023 11:45</t>
  </si>
  <si>
    <t>30-12-2023 12:00</t>
  </si>
  <si>
    <t>30-12-2023 12:15</t>
  </si>
  <si>
    <t>30-12-2023 12:30</t>
  </si>
  <si>
    <t>30-12-2023 12:45</t>
  </si>
  <si>
    <t>30-12-2023 13:00</t>
  </si>
  <si>
    <t>30-12-2023 13:15</t>
  </si>
  <si>
    <t>30-12-2023 13:30</t>
  </si>
  <si>
    <t>30-12-2023 13:45</t>
  </si>
  <si>
    <t>30-12-2023 14:00</t>
  </si>
  <si>
    <t>30-12-2023 14:15</t>
  </si>
  <si>
    <t>30-12-2023 14:30</t>
  </si>
  <si>
    <t>30-12-2023 14:45</t>
  </si>
  <si>
    <t>30-12-2023 15:00</t>
  </si>
  <si>
    <t>30-12-2023 15:15</t>
  </si>
  <si>
    <t>30-12-2023 15:30</t>
  </si>
  <si>
    <t>30-12-2023 15:45</t>
  </si>
  <si>
    <t>30-12-2023 16:00</t>
  </si>
  <si>
    <t>30-12-2023 16:15</t>
  </si>
  <si>
    <t>30-12-2023 16:30</t>
  </si>
  <si>
    <t>30-12-2023 16:45</t>
  </si>
  <si>
    <t>30-12-2023 17:00</t>
  </si>
  <si>
    <t>30-12-2023 17:15</t>
  </si>
  <si>
    <t>30-12-2023 17:30</t>
  </si>
  <si>
    <t>30-12-2023 17:45</t>
  </si>
  <si>
    <t>30-12-2023 18:00</t>
  </si>
  <si>
    <t>30-12-2023 18:15</t>
  </si>
  <si>
    <t>30-12-2023 18:30</t>
  </si>
  <si>
    <t>30-12-2023 18:45</t>
  </si>
  <si>
    <t>30-12-2023 19:00</t>
  </si>
  <si>
    <t>30-12-2023 19:15</t>
  </si>
  <si>
    <t>30-12-2023 19:30</t>
  </si>
  <si>
    <t>30-12-2023 19:45</t>
  </si>
  <si>
    <t>30-12-2023 20:00</t>
  </si>
  <si>
    <t>30-12-2023 20:15</t>
  </si>
  <si>
    <t>30-12-2023 20:30</t>
  </si>
  <si>
    <t>30-12-2023 20:45</t>
  </si>
  <si>
    <t>30-12-2023 21:00</t>
  </si>
  <si>
    <t>30-12-2023 21:15</t>
  </si>
  <si>
    <t>30-12-2023 21:30</t>
  </si>
  <si>
    <t>30-12-2023 21:45</t>
  </si>
  <si>
    <t>30-12-2023 22:00</t>
  </si>
  <si>
    <t>30-12-2023 22:15</t>
  </si>
  <si>
    <t>30-12-2023 22:30</t>
  </si>
  <si>
    <t>30-12-2023 22:45</t>
  </si>
  <si>
    <t>30-12-2023 23:00</t>
  </si>
  <si>
    <t>30-12-2023 23:15</t>
  </si>
  <si>
    <t>30-12-2023 23:30</t>
  </si>
  <si>
    <t>30-12-2023 23:45</t>
  </si>
  <si>
    <t>30-12-2023 24:00</t>
  </si>
  <si>
    <t>31-12-2023 00:15</t>
  </si>
  <si>
    <t>31-12-2023 00:30</t>
  </si>
  <si>
    <t>31-12-2023 00:45</t>
  </si>
  <si>
    <t>31-12-2023 01:00</t>
  </si>
  <si>
    <t>31-12-2023 01:15</t>
  </si>
  <si>
    <t>31-12-2023 01:30</t>
  </si>
  <si>
    <t>31-12-2023 01:45</t>
  </si>
  <si>
    <t>31-12-2023 02:00</t>
  </si>
  <si>
    <t>31-12-2023 02:15</t>
  </si>
  <si>
    <t>31-12-2023 02:30</t>
  </si>
  <si>
    <t>31-12-2023 02:45</t>
  </si>
  <si>
    <t>31-12-2023 03:00</t>
  </si>
  <si>
    <t>31-12-2023 03:15</t>
  </si>
  <si>
    <t>31-12-2023 03:30</t>
  </si>
  <si>
    <t>31-12-2023 03:45</t>
  </si>
  <si>
    <t>31-12-2023 04:00</t>
  </si>
  <si>
    <t>31-12-2023 04:15</t>
  </si>
  <si>
    <t>31-12-2023 04:30</t>
  </si>
  <si>
    <t>31-12-2023 04:45</t>
  </si>
  <si>
    <t>31-12-2023 05:00</t>
  </si>
  <si>
    <t>31-12-2023 05:15</t>
  </si>
  <si>
    <t>31-12-2023 05:30</t>
  </si>
  <si>
    <t>31-12-2023 05:45</t>
  </si>
  <si>
    <t>31-12-2023 06:00</t>
  </si>
  <si>
    <t>31-12-2023 06:15</t>
  </si>
  <si>
    <t>31-12-2023 06:30</t>
  </si>
  <si>
    <t>31-12-2023 06:45</t>
  </si>
  <si>
    <t>31-12-2023 07:00</t>
  </si>
  <si>
    <t>31-12-2023 07:15</t>
  </si>
  <si>
    <t>31-12-2023 07:30</t>
  </si>
  <si>
    <t>31-12-2023 07:45</t>
  </si>
  <si>
    <t>31-12-2023 08:00</t>
  </si>
  <si>
    <t>31-12-2023 08:15</t>
  </si>
  <si>
    <t>31-12-2023 08:30</t>
  </si>
  <si>
    <t>31-12-2023 08:45</t>
  </si>
  <si>
    <t>31-12-2023 09:00</t>
  </si>
  <si>
    <t>31-12-2023 09:15</t>
  </si>
  <si>
    <t>31-12-2023 09:30</t>
  </si>
  <si>
    <t>31-12-2023 09:45</t>
  </si>
  <si>
    <t>31-12-2023 10:00</t>
  </si>
  <si>
    <t>31-12-2023 10:15</t>
  </si>
  <si>
    <t>31-12-2023 10:30</t>
  </si>
  <si>
    <t>31-12-2023 10:45</t>
  </si>
  <si>
    <t>31-12-2023 11:00</t>
  </si>
  <si>
    <t>31-12-2023 11:15</t>
  </si>
  <si>
    <t>31-12-2023 11:30</t>
  </si>
  <si>
    <t>31-12-2023 11:45</t>
  </si>
  <si>
    <t>31-12-2023 12:00</t>
  </si>
  <si>
    <t>31-12-2023 12:15</t>
  </si>
  <si>
    <t>31-12-2023 12:30</t>
  </si>
  <si>
    <t>31-12-2023 12:45</t>
  </si>
  <si>
    <t>31-12-2023 13:00</t>
  </si>
  <si>
    <t>31-12-2023 13:15</t>
  </si>
  <si>
    <t>31-12-2023 13:30</t>
  </si>
  <si>
    <t>31-12-2023 13:45</t>
  </si>
  <si>
    <t>31-12-2023 14:00</t>
  </si>
  <si>
    <t>31-12-2023 14:15</t>
  </si>
  <si>
    <t>31-12-2023 14:30</t>
  </si>
  <si>
    <t>31-12-2023 14:45</t>
  </si>
  <si>
    <t>31-12-2023 15:00</t>
  </si>
  <si>
    <t>31-12-2023 15:15</t>
  </si>
  <si>
    <t>31-12-2023 15:30</t>
  </si>
  <si>
    <t>31-12-2023 15:45</t>
  </si>
  <si>
    <t>31-12-2023 16:00</t>
  </si>
  <si>
    <t>31-12-2023 16:15</t>
  </si>
  <si>
    <t>31-12-2023 16:30</t>
  </si>
  <si>
    <t>31-12-2023 16:45</t>
  </si>
  <si>
    <t>31-12-2023 17:00</t>
  </si>
  <si>
    <t>31-12-2023 17:15</t>
  </si>
  <si>
    <t>31-12-2023 17:30</t>
  </si>
  <si>
    <t>31-12-2023 17:45</t>
  </si>
  <si>
    <t>31-12-2023 18:00</t>
  </si>
  <si>
    <t>31-12-2023 18:15</t>
  </si>
  <si>
    <t>31-12-2023 18:30</t>
  </si>
  <si>
    <t>31-12-2023 18:45</t>
  </si>
  <si>
    <t>31-12-2023 19:00</t>
  </si>
  <si>
    <t>31-12-2023 19:15</t>
  </si>
  <si>
    <t>31-12-2023 19:30</t>
  </si>
  <si>
    <t>31-12-2023 19:45</t>
  </si>
  <si>
    <t>31-12-2023 20:00</t>
  </si>
  <si>
    <t>31-12-2023 20:15</t>
  </si>
  <si>
    <t>31-12-2023 20:30</t>
  </si>
  <si>
    <t>31-12-2023 20:45</t>
  </si>
  <si>
    <t>31-12-2023 21:00</t>
  </si>
  <si>
    <t>31-12-2023 21:15</t>
  </si>
  <si>
    <t>31-12-2023 21:30</t>
  </si>
  <si>
    <t>31-12-2023 21:45</t>
  </si>
  <si>
    <t>31-12-2023 22:00</t>
  </si>
  <si>
    <t>31-12-2023 22:15</t>
  </si>
  <si>
    <t>31-12-2023 22:30</t>
  </si>
  <si>
    <t>31-12-2023 22:45</t>
  </si>
  <si>
    <t>31-12-2023 23:00</t>
  </si>
  <si>
    <t>31-12-2023 23:15</t>
  </si>
  <si>
    <t>31-12-2023 23:30</t>
  </si>
  <si>
    <t>31-12-2023 23:45</t>
  </si>
  <si>
    <t>31-12-2023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</si>
</sst>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248</v>
      </c>
      <c r="B9" s="64">
        <v>7.41</v>
      </c>
      <c r="C9" s="64">
        <v>44.34</v>
      </c>
      <c r="D9" s="64">
        <v>31.06</v>
      </c>
      <c r="E9" s="64">
        <v>2.19</v>
      </c>
      <c r="F9" s="64">
        <v>3.25</v>
      </c>
      <c r="G9" s="64">
        <v>67.25</v>
      </c>
      <c r="H9" s="64">
        <v>32.75</v>
      </c>
      <c r="I9" s="64">
        <v>1.47</v>
      </c>
      <c r="J9" s="64">
        <v>0.73</v>
      </c>
      <c r="K9" s="64">
        <v>112.1</v>
      </c>
      <c r="L9" s="64">
        <v>20.399999999999999</v>
      </c>
      <c r="M9" s="64">
        <v>72.37</v>
      </c>
      <c r="N9" s="64">
        <v>19.2</v>
      </c>
      <c r="O9" s="64">
        <v>0</v>
      </c>
      <c r="P9" s="64">
        <v>1.04</v>
      </c>
      <c r="Q9" s="64">
        <v>4.9400000000000004</v>
      </c>
      <c r="R9" s="198"/>
      <c r="S9" s="198"/>
      <c r="T9" s="198"/>
      <c r="U9" s="198"/>
    </row>
    <row r="10" spans="1:21" s="12" customFormat="1" x14ac:dyDescent="0.25">
      <c r="A10" s="214" t="s">
        <v>249</v>
      </c>
      <c r="B10" s="64">
        <v>7.17</v>
      </c>
      <c r="C10" s="64">
        <v>42.01</v>
      </c>
      <c r="D10" s="64">
        <v>29.58</v>
      </c>
      <c r="E10" s="64">
        <v>2.2000000000000002</v>
      </c>
      <c r="F10" s="64">
        <v>3.31</v>
      </c>
      <c r="G10" s="64">
        <v>66.06</v>
      </c>
      <c r="H10" s="64">
        <v>28.4</v>
      </c>
      <c r="I10" s="64">
        <v>1.53</v>
      </c>
      <c r="J10" s="64">
        <v>0.99</v>
      </c>
      <c r="K10" s="64">
        <v>109.68</v>
      </c>
      <c r="L10" s="64">
        <v>20.47</v>
      </c>
      <c r="M10" s="64">
        <v>71.92</v>
      </c>
      <c r="N10" s="64">
        <v>19</v>
      </c>
      <c r="O10" s="64">
        <v>0</v>
      </c>
      <c r="P10" s="64">
        <v>1.03</v>
      </c>
      <c r="Q10" s="64">
        <v>4.9400000000000004</v>
      </c>
      <c r="R10" s="198"/>
      <c r="S10" s="198"/>
      <c r="T10" s="198"/>
      <c r="U10" s="198"/>
    </row>
    <row r="11" spans="1:21" s="12" customFormat="1" x14ac:dyDescent="0.25">
      <c r="A11" s="214" t="s">
        <v>250</v>
      </c>
      <c r="B11" s="64">
        <v>8.69</v>
      </c>
      <c r="C11" s="64">
        <v>40.58</v>
      </c>
      <c r="D11" s="64">
        <v>30.01</v>
      </c>
      <c r="E11" s="64">
        <v>2.21</v>
      </c>
      <c r="F11" s="64">
        <v>3.3</v>
      </c>
      <c r="G11" s="64">
        <v>64.8</v>
      </c>
      <c r="H11" s="64">
        <v>26.13</v>
      </c>
      <c r="I11" s="64">
        <v>1.53</v>
      </c>
      <c r="J11" s="64">
        <v>1.48</v>
      </c>
      <c r="K11" s="64">
        <v>104.12</v>
      </c>
      <c r="L11" s="64">
        <v>20.58</v>
      </c>
      <c r="M11" s="64">
        <v>70.91</v>
      </c>
      <c r="N11" s="64">
        <v>19.100000000000001</v>
      </c>
      <c r="O11" s="64">
        <v>0</v>
      </c>
      <c r="P11" s="64">
        <v>1.02</v>
      </c>
      <c r="Q11" s="64">
        <v>4.92</v>
      </c>
      <c r="R11" s="198"/>
      <c r="S11" s="198"/>
      <c r="T11" s="198"/>
      <c r="U11" s="198"/>
    </row>
    <row r="12" spans="1:21" s="12" customFormat="1" x14ac:dyDescent="0.25">
      <c r="A12" s="214" t="s">
        <v>251</v>
      </c>
      <c r="B12" s="64">
        <v>8.51</v>
      </c>
      <c r="C12" s="64">
        <v>40.28</v>
      </c>
      <c r="D12" s="64">
        <v>29.7</v>
      </c>
      <c r="E12" s="64">
        <v>2.2200000000000002</v>
      </c>
      <c r="F12" s="64">
        <v>3.44</v>
      </c>
      <c r="G12" s="64">
        <v>64.8</v>
      </c>
      <c r="H12" s="64">
        <v>26.13</v>
      </c>
      <c r="I12" s="64">
        <v>1.5</v>
      </c>
      <c r="J12" s="64">
        <v>1.1599999999999999</v>
      </c>
      <c r="K12" s="64">
        <v>107.08</v>
      </c>
      <c r="L12" s="64">
        <v>20.399999999999999</v>
      </c>
      <c r="M12" s="64">
        <v>72.150000000000006</v>
      </c>
      <c r="N12" s="64">
        <v>19.600000000000001</v>
      </c>
      <c r="O12" s="64">
        <v>0</v>
      </c>
      <c r="P12" s="64">
        <v>1</v>
      </c>
      <c r="Q12" s="64">
        <v>4.93</v>
      </c>
      <c r="R12" s="198"/>
      <c r="S12" s="198"/>
      <c r="T12" s="198"/>
      <c r="U12" s="198"/>
    </row>
    <row r="13" spans="1:21" s="12" customFormat="1" x14ac:dyDescent="0.25">
      <c r="A13" s="214" t="s">
        <v>252</v>
      </c>
      <c r="B13" s="64">
        <v>8.09</v>
      </c>
      <c r="C13" s="64">
        <v>39.14</v>
      </c>
      <c r="D13" s="64">
        <v>28.73</v>
      </c>
      <c r="E13" s="64">
        <v>2.21</v>
      </c>
      <c r="F13" s="64">
        <v>3.47</v>
      </c>
      <c r="G13" s="64">
        <v>64.8</v>
      </c>
      <c r="H13" s="64">
        <v>26.13</v>
      </c>
      <c r="I13" s="64">
        <v>1.47</v>
      </c>
      <c r="J13" s="64">
        <v>1.36</v>
      </c>
      <c r="K13" s="64">
        <v>110.76</v>
      </c>
      <c r="L13" s="64">
        <v>20.28</v>
      </c>
      <c r="M13" s="64">
        <v>72.62</v>
      </c>
      <c r="N13" s="64">
        <v>19.5</v>
      </c>
      <c r="O13" s="64">
        <v>0</v>
      </c>
      <c r="P13" s="64">
        <v>0.98</v>
      </c>
      <c r="Q13" s="64">
        <v>4.8899999999999997</v>
      </c>
      <c r="R13" s="198"/>
      <c r="S13" s="198"/>
      <c r="T13" s="198"/>
      <c r="U13" s="198"/>
    </row>
    <row r="14" spans="1:21" s="12" customFormat="1" x14ac:dyDescent="0.25">
      <c r="A14" s="214" t="s">
        <v>253</v>
      </c>
      <c r="B14" s="64">
        <v>6.28</v>
      </c>
      <c r="C14" s="64">
        <v>38.22</v>
      </c>
      <c r="D14" s="64">
        <v>26.78</v>
      </c>
      <c r="E14" s="64">
        <v>2.25</v>
      </c>
      <c r="F14" s="64">
        <v>3.48</v>
      </c>
      <c r="G14" s="64">
        <v>61.03</v>
      </c>
      <c r="H14" s="64">
        <v>29.57</v>
      </c>
      <c r="I14" s="64">
        <v>1.63</v>
      </c>
      <c r="J14" s="64">
        <v>0.18</v>
      </c>
      <c r="K14" s="64">
        <v>107.23</v>
      </c>
      <c r="L14" s="64">
        <v>20.05</v>
      </c>
      <c r="M14" s="64">
        <v>74.88</v>
      </c>
      <c r="N14" s="64">
        <v>20</v>
      </c>
      <c r="O14" s="64">
        <v>0</v>
      </c>
      <c r="P14" s="64">
        <v>0.98</v>
      </c>
      <c r="Q14" s="64">
        <v>4.8499999999999996</v>
      </c>
      <c r="R14" s="198"/>
      <c r="S14" s="198"/>
      <c r="T14" s="198"/>
      <c r="U14" s="198"/>
    </row>
    <row r="15" spans="1:21" s="12" customFormat="1" x14ac:dyDescent="0.25">
      <c r="A15" s="214" t="s">
        <v>254</v>
      </c>
      <c r="B15" s="64">
        <v>5.51</v>
      </c>
      <c r="C15" s="64">
        <v>41.39</v>
      </c>
      <c r="D15" s="64">
        <v>27.9</v>
      </c>
      <c r="E15" s="64">
        <v>2.21</v>
      </c>
      <c r="F15" s="64">
        <v>3.51</v>
      </c>
      <c r="G15" s="64">
        <v>57.1</v>
      </c>
      <c r="H15" s="64">
        <v>31.36</v>
      </c>
      <c r="I15" s="64">
        <v>1.49</v>
      </c>
      <c r="J15" s="64">
        <v>0.09</v>
      </c>
      <c r="K15" s="64">
        <v>34.659999999999997</v>
      </c>
      <c r="L15" s="64">
        <v>19.64</v>
      </c>
      <c r="M15" s="64">
        <v>77.56</v>
      </c>
      <c r="N15" s="64">
        <v>19.8</v>
      </c>
      <c r="O15" s="64">
        <v>0</v>
      </c>
      <c r="P15" s="64">
        <v>0.93</v>
      </c>
      <c r="Q15" s="64">
        <v>4.84</v>
      </c>
      <c r="R15" s="198"/>
      <c r="S15" s="198"/>
      <c r="T15" s="198"/>
      <c r="U15" s="198"/>
    </row>
    <row r="16" spans="1:21" s="12" customFormat="1" x14ac:dyDescent="0.25">
      <c r="A16" s="214" t="s">
        <v>255</v>
      </c>
      <c r="B16" s="64">
        <v>9.73</v>
      </c>
      <c r="C16" s="64">
        <v>48.55</v>
      </c>
      <c r="D16" s="64">
        <v>35.24</v>
      </c>
      <c r="E16" s="64">
        <v>2.2400000000000002</v>
      </c>
      <c r="F16" s="64">
        <v>3.45</v>
      </c>
      <c r="G16" s="64">
        <v>57.1</v>
      </c>
      <c r="H16" s="64">
        <v>31.36</v>
      </c>
      <c r="I16" s="64">
        <v>1.49</v>
      </c>
      <c r="J16" s="64">
        <v>0.1</v>
      </c>
      <c r="K16" s="64">
        <v>356.61</v>
      </c>
      <c r="L16" s="64">
        <v>19.34</v>
      </c>
      <c r="M16" s="64">
        <v>79.709999999999994</v>
      </c>
      <c r="N16" s="64">
        <v>19.8</v>
      </c>
      <c r="O16" s="64">
        <v>0</v>
      </c>
      <c r="P16" s="64">
        <v>0.93</v>
      </c>
      <c r="Q16" s="64">
        <v>4.8600000000000003</v>
      </c>
      <c r="R16" s="198"/>
      <c r="S16" s="198"/>
      <c r="T16" s="198"/>
      <c r="U16" s="198"/>
    </row>
    <row r="17" spans="1:21" s="12" customFormat="1" x14ac:dyDescent="0.25">
      <c r="A17" s="214" t="s">
        <v>256</v>
      </c>
      <c r="B17" s="64">
        <v>14.97</v>
      </c>
      <c r="C17" s="64">
        <v>55.18</v>
      </c>
      <c r="D17" s="64">
        <v>43.1</v>
      </c>
      <c r="E17" s="64">
        <v>2.2000000000000002</v>
      </c>
      <c r="F17" s="64">
        <v>3.25</v>
      </c>
      <c r="G17" s="64">
        <v>57.1</v>
      </c>
      <c r="H17" s="64">
        <v>31.36</v>
      </c>
      <c r="I17" s="64">
        <v>1.52</v>
      </c>
      <c r="J17" s="64">
        <v>0.06</v>
      </c>
      <c r="K17" s="64">
        <v>2.93</v>
      </c>
      <c r="L17" s="64">
        <v>19.04</v>
      </c>
      <c r="M17" s="64">
        <v>81.95</v>
      </c>
      <c r="N17" s="64">
        <v>19.8</v>
      </c>
      <c r="O17" s="64">
        <v>0</v>
      </c>
      <c r="P17" s="64">
        <v>0.93</v>
      </c>
      <c r="Q17" s="64">
        <v>4.8600000000000003</v>
      </c>
      <c r="R17" s="198"/>
      <c r="S17" s="198"/>
      <c r="T17" s="198"/>
      <c r="U17" s="198"/>
    </row>
    <row r="18" spans="1:21" s="12" customFormat="1" x14ac:dyDescent="0.25">
      <c r="A18" s="214" t="s">
        <v>257</v>
      </c>
      <c r="B18" s="64">
        <v>11.4</v>
      </c>
      <c r="C18" s="64">
        <v>46.62</v>
      </c>
      <c r="D18" s="64">
        <v>35.520000000000003</v>
      </c>
      <c r="E18" s="64">
        <v>2.2200000000000002</v>
      </c>
      <c r="F18" s="64">
        <v>3.34</v>
      </c>
      <c r="G18" s="64">
        <v>56.98</v>
      </c>
      <c r="H18" s="64">
        <v>29.3</v>
      </c>
      <c r="I18" s="64">
        <v>1.55</v>
      </c>
      <c r="J18" s="64">
        <v>0.15</v>
      </c>
      <c r="K18" s="64">
        <v>85.87</v>
      </c>
      <c r="L18" s="64">
        <v>18.93</v>
      </c>
      <c r="M18" s="64">
        <v>81.33</v>
      </c>
      <c r="N18" s="64">
        <v>19.600000000000001</v>
      </c>
      <c r="O18" s="64">
        <v>0</v>
      </c>
      <c r="P18" s="64">
        <v>0.89</v>
      </c>
      <c r="Q18" s="64">
        <v>4.8899999999999997</v>
      </c>
      <c r="R18" s="198"/>
      <c r="S18" s="198"/>
      <c r="T18" s="198"/>
      <c r="U18" s="198"/>
    </row>
    <row r="19" spans="1:21" s="12" customFormat="1" x14ac:dyDescent="0.25">
      <c r="A19" s="214" t="s">
        <v>258</v>
      </c>
      <c r="B19" s="64">
        <v>7.86</v>
      </c>
      <c r="C19" s="64">
        <v>40.93</v>
      </c>
      <c r="D19" s="64">
        <v>29.53</v>
      </c>
      <c r="E19" s="64">
        <v>2.21</v>
      </c>
      <c r="F19" s="64">
        <v>3.46</v>
      </c>
      <c r="G19" s="64">
        <v>56.85</v>
      </c>
      <c r="H19" s="64">
        <v>28.2</v>
      </c>
      <c r="I19" s="64">
        <v>1.43</v>
      </c>
      <c r="J19" s="64">
        <v>0.27</v>
      </c>
      <c r="K19" s="64">
        <v>102.08</v>
      </c>
      <c r="L19" s="64">
        <v>18.82</v>
      </c>
      <c r="M19" s="64">
        <v>82.9</v>
      </c>
      <c r="N19" s="64">
        <v>19.399999999999999</v>
      </c>
      <c r="O19" s="64">
        <v>0</v>
      </c>
      <c r="P19" s="64">
        <v>0.88</v>
      </c>
      <c r="Q19" s="64">
        <v>4.92</v>
      </c>
      <c r="R19" s="198"/>
      <c r="S19" s="198"/>
      <c r="T19" s="198"/>
      <c r="U19" s="198"/>
    </row>
    <row r="20" spans="1:21" s="12" customFormat="1" x14ac:dyDescent="0.25">
      <c r="A20" s="214" t="s">
        <v>259</v>
      </c>
      <c r="B20" s="64">
        <v>7.69</v>
      </c>
      <c r="C20" s="64">
        <v>37.21</v>
      </c>
      <c r="D20" s="64">
        <v>27.34</v>
      </c>
      <c r="E20" s="64">
        <v>2.27</v>
      </c>
      <c r="F20" s="64">
        <v>3.48</v>
      </c>
      <c r="G20" s="64">
        <v>56.85</v>
      </c>
      <c r="H20" s="64">
        <v>28.2</v>
      </c>
      <c r="I20" s="64">
        <v>1.56</v>
      </c>
      <c r="J20" s="64">
        <v>0.17</v>
      </c>
      <c r="K20" s="64">
        <v>68.510000000000005</v>
      </c>
      <c r="L20" s="64">
        <v>18.920000000000002</v>
      </c>
      <c r="M20" s="64">
        <v>83.05</v>
      </c>
      <c r="N20" s="64">
        <v>19.5</v>
      </c>
      <c r="O20" s="64">
        <v>0</v>
      </c>
      <c r="P20" s="64">
        <v>0.88</v>
      </c>
      <c r="Q20" s="64">
        <v>4.9800000000000004</v>
      </c>
      <c r="R20" s="198"/>
      <c r="S20" s="198"/>
      <c r="T20" s="198"/>
      <c r="U20" s="198"/>
    </row>
    <row r="21" spans="1:21" s="12" customFormat="1" x14ac:dyDescent="0.25">
      <c r="A21" s="214" t="s">
        <v>260</v>
      </c>
      <c r="B21" s="64">
        <v>8.4499999999999993</v>
      </c>
      <c r="C21" s="64">
        <v>37.880000000000003</v>
      </c>
      <c r="D21" s="64">
        <v>28.32</v>
      </c>
      <c r="E21" s="64">
        <v>2.16</v>
      </c>
      <c r="F21" s="64">
        <v>3.2</v>
      </c>
      <c r="G21" s="64">
        <v>56.85</v>
      </c>
      <c r="H21" s="64">
        <v>28.2</v>
      </c>
      <c r="I21" s="64">
        <v>1.57</v>
      </c>
      <c r="J21" s="64">
        <v>0.11</v>
      </c>
      <c r="K21" s="64">
        <v>36.57</v>
      </c>
      <c r="L21" s="64">
        <v>18.79</v>
      </c>
      <c r="M21" s="64">
        <v>83.89</v>
      </c>
      <c r="N21" s="64">
        <v>19.600000000000001</v>
      </c>
      <c r="O21" s="64">
        <v>0</v>
      </c>
      <c r="P21" s="64">
        <v>0.86</v>
      </c>
      <c r="Q21" s="64">
        <v>5</v>
      </c>
      <c r="R21" s="198"/>
      <c r="S21" s="198"/>
      <c r="T21" s="198"/>
      <c r="U21" s="198"/>
    </row>
    <row r="22" spans="1:21" s="12" customFormat="1" x14ac:dyDescent="0.25">
      <c r="A22" s="214" t="s">
        <v>261</v>
      </c>
      <c r="B22" s="64">
        <v>7.28</v>
      </c>
      <c r="C22" s="64">
        <v>38.74</v>
      </c>
      <c r="D22" s="64">
        <v>27.87</v>
      </c>
      <c r="E22" s="64">
        <v>2.19</v>
      </c>
      <c r="F22" s="64">
        <v>3.16</v>
      </c>
      <c r="G22" s="64">
        <v>55.04</v>
      </c>
      <c r="H22" s="64">
        <v>27.03</v>
      </c>
      <c r="I22" s="64">
        <v>1.51</v>
      </c>
      <c r="J22" s="64">
        <v>0.13</v>
      </c>
      <c r="K22" s="64">
        <v>58.16</v>
      </c>
      <c r="L22" s="64">
        <v>18.7</v>
      </c>
      <c r="M22" s="64">
        <v>84.49</v>
      </c>
      <c r="N22" s="64">
        <v>19.5</v>
      </c>
      <c r="O22" s="64">
        <v>0</v>
      </c>
      <c r="P22" s="64">
        <v>0.85</v>
      </c>
      <c r="Q22" s="64">
        <v>5.04</v>
      </c>
      <c r="R22" s="198"/>
      <c r="S22" s="198"/>
      <c r="T22" s="198"/>
      <c r="U22" s="198"/>
    </row>
    <row r="23" spans="1:21" s="12" customFormat="1" x14ac:dyDescent="0.25">
      <c r="A23" s="214" t="s">
        <v>262</v>
      </c>
      <c r="B23" s="64">
        <v>6.91</v>
      </c>
      <c r="C23" s="64">
        <v>39.72</v>
      </c>
      <c r="D23" s="64">
        <v>28.11</v>
      </c>
      <c r="E23" s="64">
        <v>2.25</v>
      </c>
      <c r="F23" s="64">
        <v>3.21</v>
      </c>
      <c r="G23" s="64">
        <v>53.15</v>
      </c>
      <c r="H23" s="64">
        <v>25.75</v>
      </c>
      <c r="I23" s="64">
        <v>1.5</v>
      </c>
      <c r="J23" s="64">
        <v>7.0000000000000007E-2</v>
      </c>
      <c r="K23" s="64">
        <v>60.66</v>
      </c>
      <c r="L23" s="64">
        <v>18.649999999999999</v>
      </c>
      <c r="M23" s="64">
        <v>84.92</v>
      </c>
      <c r="N23" s="64">
        <v>19.5</v>
      </c>
      <c r="O23" s="64">
        <v>0</v>
      </c>
      <c r="P23" s="64">
        <v>0.82</v>
      </c>
      <c r="Q23" s="64">
        <v>5.0999999999999996</v>
      </c>
      <c r="R23" s="198"/>
      <c r="S23" s="198"/>
      <c r="T23" s="198"/>
      <c r="U23" s="198"/>
    </row>
    <row r="24" spans="1:21" s="12" customFormat="1" x14ac:dyDescent="0.25">
      <c r="A24" s="214" t="s">
        <v>263</v>
      </c>
      <c r="B24" s="64">
        <v>7.34</v>
      </c>
      <c r="C24" s="64">
        <v>39.96</v>
      </c>
      <c r="D24" s="64">
        <v>28.59</v>
      </c>
      <c r="E24" s="64">
        <v>2.14</v>
      </c>
      <c r="F24" s="64">
        <v>3.36</v>
      </c>
      <c r="G24" s="64">
        <v>53.15</v>
      </c>
      <c r="H24" s="64">
        <v>25.75</v>
      </c>
      <c r="I24" s="64">
        <v>1.58</v>
      </c>
      <c r="J24" s="64">
        <v>7.0000000000000007E-2</v>
      </c>
      <c r="K24" s="64">
        <v>81.42</v>
      </c>
      <c r="L24" s="64">
        <v>18.48</v>
      </c>
      <c r="M24" s="64">
        <v>85.09</v>
      </c>
      <c r="N24" s="64">
        <v>19.5</v>
      </c>
      <c r="O24" s="64">
        <v>0</v>
      </c>
      <c r="P24" s="64">
        <v>0.81</v>
      </c>
      <c r="Q24" s="64">
        <v>5.19</v>
      </c>
      <c r="R24" s="198"/>
      <c r="S24" s="198"/>
      <c r="T24" s="198"/>
      <c r="U24" s="198"/>
    </row>
    <row r="25" spans="1:21" s="12" customFormat="1" x14ac:dyDescent="0.25">
      <c r="A25" s="214" t="s">
        <v>264</v>
      </c>
      <c r="B25" s="64">
        <v>7.48</v>
      </c>
      <c r="C25" s="64">
        <v>38.69</v>
      </c>
      <c r="D25" s="64">
        <v>28</v>
      </c>
      <c r="E25" s="64">
        <v>2.29</v>
      </c>
      <c r="F25" s="64">
        <v>3.06</v>
      </c>
      <c r="G25" s="64">
        <v>53.15</v>
      </c>
      <c r="H25" s="64">
        <v>25.75</v>
      </c>
      <c r="I25" s="64">
        <v>1.45</v>
      </c>
      <c r="J25" s="64">
        <v>0.15</v>
      </c>
      <c r="K25" s="64">
        <v>71.36</v>
      </c>
      <c r="L25" s="64">
        <v>18.38</v>
      </c>
      <c r="M25" s="64">
        <v>85.77</v>
      </c>
      <c r="N25" s="64">
        <v>19.5</v>
      </c>
      <c r="O25" s="64">
        <v>0</v>
      </c>
      <c r="P25" s="64">
        <v>0.8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265</v>
      </c>
      <c r="B26" s="64">
        <v>9.56</v>
      </c>
      <c r="C26" s="64">
        <v>44.76</v>
      </c>
      <c r="D26" s="64">
        <v>33.01</v>
      </c>
      <c r="E26" s="64">
        <v>2.25</v>
      </c>
      <c r="F26" s="64">
        <v>3.27</v>
      </c>
      <c r="G26" s="64">
        <v>51.83</v>
      </c>
      <c r="H26" s="64">
        <v>24.08</v>
      </c>
      <c r="I26" s="64">
        <v>1.46</v>
      </c>
      <c r="J26" s="64">
        <v>0.06</v>
      </c>
      <c r="K26" s="64">
        <v>340.55</v>
      </c>
      <c r="L26" s="64">
        <v>18.32</v>
      </c>
      <c r="M26" s="64">
        <v>86.52</v>
      </c>
      <c r="N26" s="64">
        <v>19.600000000000001</v>
      </c>
      <c r="O26" s="64">
        <v>0</v>
      </c>
      <c r="P26" s="64">
        <v>0.79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4" t="s">
        <v>266</v>
      </c>
      <c r="B27" s="64">
        <v>10.35</v>
      </c>
      <c r="C27" s="64">
        <v>48.06</v>
      </c>
      <c r="D27" s="64">
        <v>35.47</v>
      </c>
      <c r="E27" s="64">
        <v>2.19</v>
      </c>
      <c r="F27" s="64">
        <v>3.06</v>
      </c>
      <c r="G27" s="64">
        <v>50.44</v>
      </c>
      <c r="H27" s="64">
        <v>23.21</v>
      </c>
      <c r="I27" s="64">
        <v>1.43</v>
      </c>
      <c r="J27" s="64">
        <v>0.08</v>
      </c>
      <c r="K27" s="64">
        <v>49.03</v>
      </c>
      <c r="L27" s="64">
        <v>18.18</v>
      </c>
      <c r="M27" s="64">
        <v>87.49</v>
      </c>
      <c r="N27" s="64">
        <v>19.600000000000001</v>
      </c>
      <c r="O27" s="64">
        <v>0</v>
      </c>
      <c r="P27" s="64">
        <v>0.79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267</v>
      </c>
      <c r="B28" s="64">
        <v>11.01</v>
      </c>
      <c r="C28" s="64">
        <v>49.92</v>
      </c>
      <c r="D28" s="64">
        <v>37.03</v>
      </c>
      <c r="E28" s="64">
        <v>2.2000000000000002</v>
      </c>
      <c r="F28" s="64">
        <v>3.25</v>
      </c>
      <c r="G28" s="64">
        <v>50.44</v>
      </c>
      <c r="H28" s="64">
        <v>23.21</v>
      </c>
      <c r="I28" s="64">
        <v>1.51</v>
      </c>
      <c r="J28" s="64">
        <v>0.1</v>
      </c>
      <c r="K28" s="64">
        <v>5.14</v>
      </c>
      <c r="L28" s="64">
        <v>18.14</v>
      </c>
      <c r="M28" s="64">
        <v>88.08</v>
      </c>
      <c r="N28" s="64">
        <v>19.5</v>
      </c>
      <c r="O28" s="64">
        <v>0</v>
      </c>
      <c r="P28" s="64">
        <v>0.79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4" t="s">
        <v>268</v>
      </c>
      <c r="B29" s="64">
        <v>10.27</v>
      </c>
      <c r="C29" s="64">
        <v>52.21</v>
      </c>
      <c r="D29" s="64">
        <v>37.700000000000003</v>
      </c>
      <c r="E29" s="64">
        <v>2.2799999999999998</v>
      </c>
      <c r="F29" s="64">
        <v>3.44</v>
      </c>
      <c r="G29" s="64">
        <v>50.44</v>
      </c>
      <c r="H29" s="64">
        <v>23.21</v>
      </c>
      <c r="I29" s="64">
        <v>1.55</v>
      </c>
      <c r="J29" s="64">
        <v>0.14000000000000001</v>
      </c>
      <c r="K29" s="64">
        <v>55.11</v>
      </c>
      <c r="L29" s="64">
        <v>18.010000000000002</v>
      </c>
      <c r="M29" s="64">
        <v>88.97</v>
      </c>
      <c r="N29" s="64">
        <v>19.5</v>
      </c>
      <c r="O29" s="64">
        <v>0</v>
      </c>
      <c r="P29" s="64">
        <v>0.78</v>
      </c>
      <c r="Q29" s="64">
        <v>5.2</v>
      </c>
      <c r="R29" s="198"/>
      <c r="S29" s="198"/>
      <c r="T29" s="198"/>
      <c r="U29" s="198"/>
    </row>
    <row r="30" spans="1:21" s="12" customFormat="1" x14ac:dyDescent="0.25">
      <c r="A30" s="214" t="s">
        <v>269</v>
      </c>
      <c r="B30" s="64">
        <v>8.68</v>
      </c>
      <c r="C30" s="64">
        <v>43.84</v>
      </c>
      <c r="D30" s="64">
        <v>31.81</v>
      </c>
      <c r="E30" s="64">
        <v>2.2400000000000002</v>
      </c>
      <c r="F30" s="64">
        <v>3.16</v>
      </c>
      <c r="G30" s="64">
        <v>52.82</v>
      </c>
      <c r="H30" s="64">
        <v>26.59</v>
      </c>
      <c r="I30" s="64">
        <v>1.38</v>
      </c>
      <c r="J30" s="64">
        <v>0.47</v>
      </c>
      <c r="K30" s="64">
        <v>102.66</v>
      </c>
      <c r="L30" s="64">
        <v>18.170000000000002</v>
      </c>
      <c r="M30" s="64">
        <v>88.14</v>
      </c>
      <c r="N30" s="64">
        <v>19</v>
      </c>
      <c r="O30" s="64">
        <v>0</v>
      </c>
      <c r="P30" s="64">
        <v>0.79</v>
      </c>
      <c r="Q30" s="64">
        <v>5.15</v>
      </c>
      <c r="R30" s="198"/>
      <c r="S30" s="198"/>
      <c r="T30" s="198"/>
      <c r="U30" s="198"/>
    </row>
    <row r="31" spans="1:21" s="12" customFormat="1" x14ac:dyDescent="0.25">
      <c r="A31" s="214" t="s">
        <v>270</v>
      </c>
      <c r="B31" s="64">
        <v>7.83</v>
      </c>
      <c r="C31" s="64">
        <v>38.049999999999997</v>
      </c>
      <c r="D31" s="64">
        <v>27.92</v>
      </c>
      <c r="E31" s="64">
        <v>2.2999999999999998</v>
      </c>
      <c r="F31" s="64">
        <v>3.13</v>
      </c>
      <c r="G31" s="64">
        <v>55.31</v>
      </c>
      <c r="H31" s="64">
        <v>28.35</v>
      </c>
      <c r="I31" s="64">
        <v>1.51</v>
      </c>
      <c r="J31" s="64">
        <v>0.47</v>
      </c>
      <c r="K31" s="64">
        <v>100.74</v>
      </c>
      <c r="L31" s="64">
        <v>18.22</v>
      </c>
      <c r="M31" s="64">
        <v>88</v>
      </c>
      <c r="N31" s="64">
        <v>19.2</v>
      </c>
      <c r="O31" s="64">
        <v>0</v>
      </c>
      <c r="P31" s="64">
        <v>0.78</v>
      </c>
      <c r="Q31" s="64">
        <v>5.18</v>
      </c>
      <c r="R31" s="198"/>
      <c r="S31" s="198"/>
      <c r="T31" s="198"/>
      <c r="U31" s="198"/>
    </row>
    <row r="32" spans="1:21" s="12" customFormat="1" x14ac:dyDescent="0.25">
      <c r="A32" s="214" t="s">
        <v>271</v>
      </c>
      <c r="B32" s="64">
        <v>9.14</v>
      </c>
      <c r="C32" s="64">
        <v>46.81</v>
      </c>
      <c r="D32" s="64">
        <v>33.81</v>
      </c>
      <c r="E32" s="64">
        <v>2.23</v>
      </c>
      <c r="F32" s="64">
        <v>3.35</v>
      </c>
      <c r="G32" s="64">
        <v>55.31</v>
      </c>
      <c r="H32" s="64">
        <v>28.35</v>
      </c>
      <c r="I32" s="64">
        <v>1.54</v>
      </c>
      <c r="J32" s="64">
        <v>0.16</v>
      </c>
      <c r="K32" s="64">
        <v>63.86</v>
      </c>
      <c r="L32" s="64">
        <v>17.989999999999998</v>
      </c>
      <c r="M32" s="64">
        <v>89</v>
      </c>
      <c r="N32" s="64">
        <v>19.7</v>
      </c>
      <c r="O32" s="64">
        <v>0</v>
      </c>
      <c r="P32" s="64">
        <v>0.78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4" t="s">
        <v>272</v>
      </c>
      <c r="B33" s="64">
        <v>15.9</v>
      </c>
      <c r="C33" s="64">
        <v>57.17</v>
      </c>
      <c r="D33" s="64">
        <v>44.95</v>
      </c>
      <c r="E33" s="64">
        <v>2.23</v>
      </c>
      <c r="F33" s="64">
        <v>3.25</v>
      </c>
      <c r="G33" s="64">
        <v>55.31</v>
      </c>
      <c r="H33" s="64">
        <v>28.35</v>
      </c>
      <c r="I33" s="64">
        <v>1.48</v>
      </c>
      <c r="J33" s="64">
        <v>0.1</v>
      </c>
      <c r="K33" s="64">
        <v>344.12</v>
      </c>
      <c r="L33" s="64">
        <v>17.66</v>
      </c>
      <c r="M33" s="64">
        <v>91.98</v>
      </c>
      <c r="N33" s="64">
        <v>21.3</v>
      </c>
      <c r="O33" s="64">
        <v>0</v>
      </c>
      <c r="P33" s="64">
        <v>0.77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4" t="s">
        <v>273</v>
      </c>
      <c r="B34" s="64">
        <v>23.21</v>
      </c>
      <c r="C34" s="64">
        <v>67.03</v>
      </c>
      <c r="D34" s="64">
        <v>56.25</v>
      </c>
      <c r="E34" s="64">
        <v>2.2200000000000002</v>
      </c>
      <c r="F34" s="64">
        <v>3.17</v>
      </c>
      <c r="G34" s="64">
        <v>60.8</v>
      </c>
      <c r="H34" s="64">
        <v>31.7</v>
      </c>
      <c r="I34" s="64">
        <v>1.48</v>
      </c>
      <c r="J34" s="64">
        <v>0.1</v>
      </c>
      <c r="K34" s="64">
        <v>7.37</v>
      </c>
      <c r="L34" s="64">
        <v>17.53</v>
      </c>
      <c r="M34" s="64">
        <v>93.08</v>
      </c>
      <c r="N34" s="64">
        <v>28.2</v>
      </c>
      <c r="O34" s="64">
        <v>0</v>
      </c>
      <c r="P34" s="64">
        <v>0.79</v>
      </c>
      <c r="Q34" s="64">
        <v>5.0599999999999996</v>
      </c>
      <c r="R34" s="198"/>
      <c r="S34" s="198"/>
      <c r="T34" s="198"/>
      <c r="U34" s="198"/>
    </row>
    <row r="35" spans="1:21" s="12" customFormat="1" x14ac:dyDescent="0.25">
      <c r="A35" s="214" t="s">
        <v>274</v>
      </c>
      <c r="B35" s="64">
        <v>32.119999999999997</v>
      </c>
      <c r="C35" s="64">
        <v>72.459999999999994</v>
      </c>
      <c r="D35" s="64">
        <v>66.400000000000006</v>
      </c>
      <c r="E35" s="64">
        <v>2.21</v>
      </c>
      <c r="F35" s="64">
        <v>2.88</v>
      </c>
      <c r="G35" s="64">
        <v>66.540000000000006</v>
      </c>
      <c r="H35" s="64">
        <v>33.46</v>
      </c>
      <c r="I35" s="64">
        <v>1.54</v>
      </c>
      <c r="J35" s="64">
        <v>0.08</v>
      </c>
      <c r="K35" s="64">
        <v>43.5</v>
      </c>
      <c r="L35" s="64">
        <v>17.72</v>
      </c>
      <c r="M35" s="64">
        <v>92.36</v>
      </c>
      <c r="N35" s="64">
        <v>42.6</v>
      </c>
      <c r="O35" s="64">
        <v>0</v>
      </c>
      <c r="P35" s="64">
        <v>0.82</v>
      </c>
      <c r="Q35" s="64">
        <v>4.8600000000000003</v>
      </c>
      <c r="R35" s="198"/>
      <c r="S35" s="198"/>
      <c r="T35" s="198"/>
      <c r="U35" s="198"/>
    </row>
    <row r="36" spans="1:21" s="12" customFormat="1" x14ac:dyDescent="0.25">
      <c r="A36" s="214" t="s">
        <v>275</v>
      </c>
      <c r="B36" s="64">
        <v>14.53</v>
      </c>
      <c r="C36" s="64">
        <v>54.49</v>
      </c>
      <c r="D36" s="64">
        <v>42.37</v>
      </c>
      <c r="E36" s="64">
        <v>2.2400000000000002</v>
      </c>
      <c r="F36" s="64">
        <v>3.12</v>
      </c>
      <c r="G36" s="64">
        <v>66.540000000000006</v>
      </c>
      <c r="H36" s="64">
        <v>33.46</v>
      </c>
      <c r="I36" s="64">
        <v>1.5</v>
      </c>
      <c r="J36" s="64">
        <v>0.65</v>
      </c>
      <c r="K36" s="64">
        <v>112.01</v>
      </c>
      <c r="L36" s="64">
        <v>18.010000000000002</v>
      </c>
      <c r="M36" s="64">
        <v>90.65</v>
      </c>
      <c r="N36" s="64">
        <v>59.7</v>
      </c>
      <c r="O36" s="64">
        <v>0</v>
      </c>
      <c r="P36" s="64">
        <v>0.83</v>
      </c>
      <c r="Q36" s="64">
        <v>4.96</v>
      </c>
      <c r="R36" s="198"/>
      <c r="S36" s="198"/>
      <c r="T36" s="198"/>
      <c r="U36" s="198"/>
    </row>
    <row r="37" spans="1:21" s="12" customFormat="1" x14ac:dyDescent="0.25">
      <c r="A37" s="214" t="s">
        <v>276</v>
      </c>
      <c r="B37" s="64">
        <v>11.63</v>
      </c>
      <c r="C37" s="64">
        <v>51.2</v>
      </c>
      <c r="D37" s="64">
        <v>38.229999999999997</v>
      </c>
      <c r="E37" s="64">
        <v>2.21</v>
      </c>
      <c r="F37" s="64">
        <v>3.39</v>
      </c>
      <c r="G37" s="64">
        <v>66.540000000000006</v>
      </c>
      <c r="H37" s="64">
        <v>33.46</v>
      </c>
      <c r="I37" s="64">
        <v>1.45</v>
      </c>
      <c r="J37" s="64">
        <v>0.33</v>
      </c>
      <c r="K37" s="64">
        <v>99.71</v>
      </c>
      <c r="L37" s="64">
        <v>18.309999999999999</v>
      </c>
      <c r="M37" s="64">
        <v>89.28</v>
      </c>
      <c r="N37" s="64">
        <v>79.3</v>
      </c>
      <c r="O37" s="64">
        <v>0</v>
      </c>
      <c r="P37" s="64">
        <v>0.8</v>
      </c>
      <c r="Q37" s="64">
        <v>5.04</v>
      </c>
      <c r="R37" s="198"/>
      <c r="S37" s="198"/>
      <c r="T37" s="198"/>
      <c r="U37" s="198"/>
    </row>
    <row r="38" spans="1:21" s="12" customFormat="1" x14ac:dyDescent="0.25">
      <c r="A38" s="214" t="s">
        <v>277</v>
      </c>
      <c r="B38" s="64">
        <v>20.059999999999999</v>
      </c>
      <c r="C38" s="64">
        <v>67.25</v>
      </c>
      <c r="D38" s="64">
        <v>53.85</v>
      </c>
      <c r="E38" s="64">
        <v>2.2799999999999998</v>
      </c>
      <c r="F38" s="64">
        <v>3.32</v>
      </c>
      <c r="G38" s="64">
        <v>66.89</v>
      </c>
      <c r="H38" s="64">
        <v>34.299999999999997</v>
      </c>
      <c r="I38" s="64">
        <v>1.53</v>
      </c>
      <c r="J38" s="64">
        <v>0.09</v>
      </c>
      <c r="K38" s="64">
        <v>92.65</v>
      </c>
      <c r="L38" s="64">
        <v>18.920000000000002</v>
      </c>
      <c r="M38" s="64">
        <v>86.61</v>
      </c>
      <c r="N38" s="64">
        <v>126.3</v>
      </c>
      <c r="O38" s="64">
        <v>0</v>
      </c>
      <c r="P38" s="64">
        <v>0.84</v>
      </c>
      <c r="Q38" s="64">
        <v>5.05</v>
      </c>
      <c r="R38" s="198"/>
      <c r="S38" s="198"/>
      <c r="T38" s="198"/>
      <c r="U38" s="198"/>
    </row>
    <row r="39" spans="1:21" s="12" customFormat="1" x14ac:dyDescent="0.25">
      <c r="A39" s="214" t="s">
        <v>278</v>
      </c>
      <c r="B39" s="64">
        <v>24.02</v>
      </c>
      <c r="C39" s="64">
        <v>76.650000000000006</v>
      </c>
      <c r="D39" s="64">
        <v>62.21</v>
      </c>
      <c r="E39" s="64">
        <v>2.2400000000000002</v>
      </c>
      <c r="F39" s="64">
        <v>3.22</v>
      </c>
      <c r="G39" s="64">
        <v>67.260000000000005</v>
      </c>
      <c r="H39" s="64">
        <v>35.22</v>
      </c>
      <c r="I39" s="64">
        <v>1.49</v>
      </c>
      <c r="J39" s="64">
        <v>0.21</v>
      </c>
      <c r="K39" s="64">
        <v>4.18</v>
      </c>
      <c r="L39" s="64">
        <v>20.329999999999998</v>
      </c>
      <c r="M39" s="64">
        <v>79.47</v>
      </c>
      <c r="N39" s="64">
        <v>199</v>
      </c>
      <c r="O39" s="64">
        <v>0</v>
      </c>
      <c r="P39" s="64">
        <v>0.85</v>
      </c>
      <c r="Q39" s="64">
        <v>5.0599999999999996</v>
      </c>
      <c r="R39" s="198"/>
      <c r="S39" s="198"/>
      <c r="T39" s="198"/>
      <c r="U39" s="198"/>
    </row>
    <row r="40" spans="1:21" s="12" customFormat="1" x14ac:dyDescent="0.25">
      <c r="A40" s="214" t="s">
        <v>279</v>
      </c>
      <c r="B40" s="64">
        <v>11.25</v>
      </c>
      <c r="C40" s="64">
        <v>46.98</v>
      </c>
      <c r="D40" s="64">
        <v>35.6</v>
      </c>
      <c r="E40" s="64">
        <v>2.12</v>
      </c>
      <c r="F40" s="64">
        <v>3.25</v>
      </c>
      <c r="G40" s="64">
        <v>67.260000000000005</v>
      </c>
      <c r="H40" s="64">
        <v>35.22</v>
      </c>
      <c r="I40" s="64">
        <v>1.59</v>
      </c>
      <c r="J40" s="64">
        <v>0.8</v>
      </c>
      <c r="K40" s="64">
        <v>110.57</v>
      </c>
      <c r="L40" s="64">
        <v>20.34</v>
      </c>
      <c r="M40" s="64">
        <v>79.44</v>
      </c>
      <c r="N40" s="64">
        <v>249.8</v>
      </c>
      <c r="O40" s="64">
        <v>0</v>
      </c>
      <c r="P40" s="64">
        <v>0.87</v>
      </c>
      <c r="Q40" s="64">
        <v>5.2</v>
      </c>
      <c r="R40" s="198"/>
      <c r="S40" s="198"/>
      <c r="T40" s="198"/>
      <c r="U40" s="198"/>
    </row>
    <row r="41" spans="1:21" s="12" customFormat="1" x14ac:dyDescent="0.25">
      <c r="A41" s="214" t="s">
        <v>280</v>
      </c>
      <c r="B41" s="64">
        <v>13.95</v>
      </c>
      <c r="C41" s="64">
        <v>64.2</v>
      </c>
      <c r="D41" s="64">
        <v>47.26</v>
      </c>
      <c r="E41" s="64">
        <v>2.21</v>
      </c>
      <c r="F41" s="64">
        <v>3.29</v>
      </c>
      <c r="G41" s="64">
        <v>67.260000000000005</v>
      </c>
      <c r="H41" s="64">
        <v>35.22</v>
      </c>
      <c r="I41" s="64">
        <v>1.48</v>
      </c>
      <c r="J41" s="64">
        <v>0.25</v>
      </c>
      <c r="K41" s="64">
        <v>81.05</v>
      </c>
      <c r="L41" s="64">
        <v>21.28</v>
      </c>
      <c r="M41" s="64">
        <v>74.930000000000007</v>
      </c>
      <c r="N41" s="64">
        <v>300</v>
      </c>
      <c r="O41" s="64">
        <v>0</v>
      </c>
      <c r="P41" s="64">
        <v>0.87</v>
      </c>
      <c r="Q41" s="64">
        <v>5.22</v>
      </c>
      <c r="R41" s="198"/>
      <c r="S41" s="198"/>
      <c r="T41" s="198"/>
      <c r="U41" s="198"/>
    </row>
    <row r="42" spans="1:21" s="12" customFormat="1" x14ac:dyDescent="0.25">
      <c r="A42" s="214" t="s">
        <v>281</v>
      </c>
      <c r="B42" s="64">
        <v>15.73</v>
      </c>
      <c r="C42" s="64">
        <v>69.930000000000007</v>
      </c>
      <c r="D42" s="64">
        <v>51.86</v>
      </c>
      <c r="E42" s="64">
        <v>2.2799999999999998</v>
      </c>
      <c r="F42" s="64">
        <v>3.38</v>
      </c>
      <c r="G42" s="215" t="s">
        <v>36</v>
      </c>
      <c r="H42" s="215" t="s">
        <v>36</v>
      </c>
      <c r="I42" s="64">
        <v>1.52</v>
      </c>
      <c r="J42" s="64">
        <v>0.14000000000000001</v>
      </c>
      <c r="K42" s="64">
        <v>88.51</v>
      </c>
      <c r="L42" s="64">
        <v>22.03</v>
      </c>
      <c r="M42" s="64">
        <v>71.72</v>
      </c>
      <c r="N42" s="64">
        <v>346.4</v>
      </c>
      <c r="O42" s="64">
        <v>0</v>
      </c>
      <c r="P42" s="64">
        <v>0.87</v>
      </c>
      <c r="Q42" s="64">
        <v>5.27</v>
      </c>
      <c r="R42" s="198"/>
      <c r="S42" s="198"/>
      <c r="T42" s="198"/>
      <c r="U42" s="198"/>
    </row>
    <row r="43" spans="1:21" s="12" customFormat="1" x14ac:dyDescent="0.25">
      <c r="A43" s="214" t="s">
        <v>282</v>
      </c>
      <c r="B43" s="64">
        <v>10.19</v>
      </c>
      <c r="C43" s="64">
        <v>51.64</v>
      </c>
      <c r="D43" s="64">
        <v>37.32</v>
      </c>
      <c r="E43" s="64">
        <v>2.2999999999999998</v>
      </c>
      <c r="F43" s="64">
        <v>3.37</v>
      </c>
      <c r="G43" s="215" t="s">
        <v>36</v>
      </c>
      <c r="H43" s="215" t="s">
        <v>36</v>
      </c>
      <c r="I43" s="64">
        <v>1.53</v>
      </c>
      <c r="J43" s="64">
        <v>0.84</v>
      </c>
      <c r="K43" s="64">
        <v>112.56</v>
      </c>
      <c r="L43" s="64">
        <v>21.92</v>
      </c>
      <c r="M43" s="64">
        <v>73</v>
      </c>
      <c r="N43" s="64">
        <v>402.9</v>
      </c>
      <c r="O43" s="64">
        <v>0</v>
      </c>
      <c r="P43" s="64">
        <v>0.87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4" t="s">
        <v>283</v>
      </c>
      <c r="B44" s="64">
        <v>10.92</v>
      </c>
      <c r="C44" s="64">
        <v>55.85</v>
      </c>
      <c r="D44" s="64">
        <v>40.22</v>
      </c>
      <c r="E44" s="64">
        <v>2.29</v>
      </c>
      <c r="F44" s="64">
        <v>3.63</v>
      </c>
      <c r="G44" s="215" t="s">
        <v>36</v>
      </c>
      <c r="H44" s="215" t="s">
        <v>36</v>
      </c>
      <c r="I44" s="64">
        <v>1.46</v>
      </c>
      <c r="J44" s="64">
        <v>0.93</v>
      </c>
      <c r="K44" s="64">
        <v>111.53</v>
      </c>
      <c r="L44" s="64">
        <v>22.24</v>
      </c>
      <c r="M44" s="64">
        <v>72.489999999999995</v>
      </c>
      <c r="N44" s="64">
        <v>452.6</v>
      </c>
      <c r="O44" s="64">
        <v>0</v>
      </c>
      <c r="P44" s="64">
        <v>0.87</v>
      </c>
      <c r="Q44" s="64">
        <v>5.22</v>
      </c>
      <c r="R44" s="198"/>
      <c r="S44" s="198"/>
      <c r="T44" s="198"/>
      <c r="U44" s="198"/>
    </row>
    <row r="45" spans="1:21" s="12" customFormat="1" x14ac:dyDescent="0.25">
      <c r="A45" s="214" t="s">
        <v>284</v>
      </c>
      <c r="B45" s="64">
        <v>13.21</v>
      </c>
      <c r="C45" s="64">
        <v>53.68</v>
      </c>
      <c r="D45" s="64">
        <v>40.869999999999997</v>
      </c>
      <c r="E45" s="64">
        <v>2.2000000000000002</v>
      </c>
      <c r="F45" s="64">
        <v>3.42</v>
      </c>
      <c r="G45" s="215" t="s">
        <v>36</v>
      </c>
      <c r="H45" s="215" t="s">
        <v>36</v>
      </c>
      <c r="I45" s="64">
        <v>1.46</v>
      </c>
      <c r="J45" s="64">
        <v>1.56</v>
      </c>
      <c r="K45" s="64">
        <v>107.44</v>
      </c>
      <c r="L45" s="64">
        <v>22.34</v>
      </c>
      <c r="M45" s="64">
        <v>70.73</v>
      </c>
      <c r="N45" s="64">
        <v>505.4</v>
      </c>
      <c r="O45" s="64">
        <v>0</v>
      </c>
      <c r="P45" s="64">
        <v>0.86</v>
      </c>
      <c r="Q45" s="64">
        <v>5.2</v>
      </c>
      <c r="R45" s="198"/>
      <c r="S45" s="198"/>
      <c r="T45" s="198"/>
      <c r="U45" s="198"/>
    </row>
    <row r="46" spans="1:21" s="12" customFormat="1" x14ac:dyDescent="0.25">
      <c r="A46" s="214" t="s">
        <v>285</v>
      </c>
      <c r="B46" s="64">
        <v>9.18</v>
      </c>
      <c r="C46" s="64">
        <v>44.19</v>
      </c>
      <c r="D46" s="64">
        <v>32.39</v>
      </c>
      <c r="E46" s="64">
        <v>2.23</v>
      </c>
      <c r="F46" s="64">
        <v>3.36</v>
      </c>
      <c r="G46" s="215" t="s">
        <v>36</v>
      </c>
      <c r="H46" s="215" t="s">
        <v>36</v>
      </c>
      <c r="I46" s="64">
        <v>1.54</v>
      </c>
      <c r="J46" s="64">
        <v>1.52</v>
      </c>
      <c r="K46" s="64">
        <v>106.66</v>
      </c>
      <c r="L46" s="64">
        <v>22.31</v>
      </c>
      <c r="M46" s="64">
        <v>70.510000000000005</v>
      </c>
      <c r="N46" s="64">
        <v>542.6</v>
      </c>
      <c r="O46" s="64">
        <v>0</v>
      </c>
      <c r="P46" s="64">
        <v>0.85</v>
      </c>
      <c r="Q46" s="64">
        <v>5.19</v>
      </c>
      <c r="R46" s="198"/>
      <c r="S46" s="198"/>
      <c r="T46" s="198"/>
      <c r="U46" s="198"/>
    </row>
    <row r="47" spans="1:21" s="12" customFormat="1" x14ac:dyDescent="0.25">
      <c r="A47" s="214" t="s">
        <v>286</v>
      </c>
      <c r="B47" s="64">
        <v>8.15</v>
      </c>
      <c r="C47" s="64">
        <v>42.14</v>
      </c>
      <c r="D47" s="64">
        <v>30.43</v>
      </c>
      <c r="E47" s="64">
        <v>2.31</v>
      </c>
      <c r="F47" s="64">
        <v>3.35</v>
      </c>
      <c r="G47" s="215" t="s">
        <v>36</v>
      </c>
      <c r="H47" s="215" t="s">
        <v>36</v>
      </c>
      <c r="I47" s="64">
        <v>1.46</v>
      </c>
      <c r="J47" s="64">
        <v>1.71</v>
      </c>
      <c r="K47" s="64">
        <v>107.22</v>
      </c>
      <c r="L47" s="64">
        <v>22.8</v>
      </c>
      <c r="M47" s="64">
        <v>67.400000000000006</v>
      </c>
      <c r="N47" s="64">
        <v>591.1</v>
      </c>
      <c r="O47" s="64">
        <v>0</v>
      </c>
      <c r="P47" s="64">
        <v>0.83</v>
      </c>
      <c r="Q47" s="64">
        <v>5.0999999999999996</v>
      </c>
      <c r="R47" s="198"/>
      <c r="S47" s="198"/>
      <c r="T47" s="198"/>
      <c r="U47" s="198"/>
    </row>
    <row r="48" spans="1:21" s="12" customFormat="1" x14ac:dyDescent="0.25">
      <c r="A48" s="214" t="s">
        <v>287</v>
      </c>
      <c r="B48" s="64">
        <v>7.16</v>
      </c>
      <c r="C48" s="64">
        <v>42.32</v>
      </c>
      <c r="D48" s="64">
        <v>29.74</v>
      </c>
      <c r="E48" s="64">
        <v>2.29</v>
      </c>
      <c r="F48" s="64">
        <v>3.69</v>
      </c>
      <c r="G48" s="215" t="s">
        <v>36</v>
      </c>
      <c r="H48" s="215" t="s">
        <v>36</v>
      </c>
      <c r="I48" s="64">
        <v>1.45</v>
      </c>
      <c r="J48" s="64">
        <v>0.88</v>
      </c>
      <c r="K48" s="64">
        <v>106.07</v>
      </c>
      <c r="L48" s="64">
        <v>23.8</v>
      </c>
      <c r="M48" s="64">
        <v>64.819999999999993</v>
      </c>
      <c r="N48" s="64">
        <v>614.79999999999995</v>
      </c>
      <c r="O48" s="64">
        <v>0</v>
      </c>
      <c r="P48" s="64">
        <v>0.81</v>
      </c>
      <c r="Q48" s="64">
        <v>5.08</v>
      </c>
      <c r="R48" s="198"/>
      <c r="S48" s="198"/>
      <c r="T48" s="198"/>
      <c r="U48" s="198"/>
    </row>
    <row r="49" spans="1:21" s="12" customFormat="1" x14ac:dyDescent="0.25">
      <c r="A49" s="214" t="s">
        <v>288</v>
      </c>
      <c r="B49" s="64">
        <v>7.02</v>
      </c>
      <c r="C49" s="64">
        <v>44.6</v>
      </c>
      <c r="D49" s="64">
        <v>30.9</v>
      </c>
      <c r="E49" s="64">
        <v>2.2799999999999998</v>
      </c>
      <c r="F49" s="64">
        <v>3.94</v>
      </c>
      <c r="G49" s="215" t="s">
        <v>36</v>
      </c>
      <c r="H49" s="215" t="s">
        <v>36</v>
      </c>
      <c r="I49" s="64">
        <v>1.46</v>
      </c>
      <c r="J49" s="64">
        <v>0.49</v>
      </c>
      <c r="K49" s="64">
        <v>101.51</v>
      </c>
      <c r="L49" s="64">
        <v>25.55</v>
      </c>
      <c r="M49" s="64">
        <v>57.83</v>
      </c>
      <c r="N49" s="64">
        <v>650.5</v>
      </c>
      <c r="O49" s="64">
        <v>0</v>
      </c>
      <c r="P49" s="64">
        <v>0.81</v>
      </c>
      <c r="Q49" s="64">
        <v>5.13</v>
      </c>
      <c r="R49" s="198"/>
      <c r="S49" s="198"/>
      <c r="T49" s="198"/>
      <c r="U49" s="198"/>
    </row>
    <row r="50" spans="1:21" s="12" customFormat="1" x14ac:dyDescent="0.25">
      <c r="A50" s="214" t="s">
        <v>289</v>
      </c>
      <c r="B50" s="64">
        <v>7.79</v>
      </c>
      <c r="C50" s="64">
        <v>53</v>
      </c>
      <c r="D50" s="64">
        <v>36.14</v>
      </c>
      <c r="E50" s="64">
        <v>2.2000000000000002</v>
      </c>
      <c r="F50" s="64">
        <v>3.88</v>
      </c>
      <c r="G50" s="215" t="s">
        <v>36</v>
      </c>
      <c r="H50" s="215" t="s">
        <v>36</v>
      </c>
      <c r="I50" s="64">
        <v>1.54</v>
      </c>
      <c r="J50" s="64">
        <v>0.65</v>
      </c>
      <c r="K50" s="64">
        <v>103.49</v>
      </c>
      <c r="L50" s="64">
        <v>26.71</v>
      </c>
      <c r="M50" s="64">
        <v>53.67</v>
      </c>
      <c r="N50" s="64">
        <v>672.8</v>
      </c>
      <c r="O50" s="64">
        <v>0</v>
      </c>
      <c r="P50" s="64">
        <v>0.83</v>
      </c>
      <c r="Q50" s="64">
        <v>5.1100000000000003</v>
      </c>
      <c r="R50" s="198"/>
      <c r="S50" s="198"/>
      <c r="T50" s="198"/>
      <c r="U50" s="198"/>
    </row>
    <row r="51" spans="1:21" s="12" customFormat="1" x14ac:dyDescent="0.25">
      <c r="A51" s="214" t="s">
        <v>290</v>
      </c>
      <c r="B51" s="64">
        <v>6.07</v>
      </c>
      <c r="C51" s="64">
        <v>45.66</v>
      </c>
      <c r="D51" s="64">
        <v>30.71</v>
      </c>
      <c r="E51" s="64">
        <v>2.25</v>
      </c>
      <c r="F51" s="64">
        <v>3.64</v>
      </c>
      <c r="G51" s="215" t="s">
        <v>36</v>
      </c>
      <c r="H51" s="215" t="s">
        <v>36</v>
      </c>
      <c r="I51" s="64">
        <v>1.44</v>
      </c>
      <c r="J51" s="64">
        <v>0.76</v>
      </c>
      <c r="K51" s="64">
        <v>110.99</v>
      </c>
      <c r="L51" s="64">
        <v>25.86</v>
      </c>
      <c r="M51" s="64">
        <v>55.05</v>
      </c>
      <c r="N51" s="64">
        <v>684</v>
      </c>
      <c r="O51" s="64">
        <v>0</v>
      </c>
      <c r="P51" s="64">
        <v>0.8</v>
      </c>
      <c r="Q51" s="64">
        <v>5.13</v>
      </c>
      <c r="R51" s="198"/>
      <c r="S51" s="198"/>
      <c r="T51" s="198"/>
      <c r="U51" s="198"/>
    </row>
    <row r="52" spans="1:21" s="12" customFormat="1" x14ac:dyDescent="0.25">
      <c r="A52" s="214" t="s">
        <v>291</v>
      </c>
      <c r="B52" s="64">
        <v>5.72</v>
      </c>
      <c r="C52" s="64">
        <v>49.55</v>
      </c>
      <c r="D52" s="64">
        <v>32.58</v>
      </c>
      <c r="E52" s="64">
        <v>2.25</v>
      </c>
      <c r="F52" s="64">
        <v>3.63</v>
      </c>
      <c r="G52" s="215" t="s">
        <v>36</v>
      </c>
      <c r="H52" s="215" t="s">
        <v>36</v>
      </c>
      <c r="I52" s="64">
        <v>1.56</v>
      </c>
      <c r="J52" s="64">
        <v>0.48</v>
      </c>
      <c r="K52" s="64">
        <v>95.36</v>
      </c>
      <c r="L52" s="64">
        <v>27.46</v>
      </c>
      <c r="M52" s="64">
        <v>50.34</v>
      </c>
      <c r="N52" s="64">
        <v>686.6</v>
      </c>
      <c r="O52" s="64">
        <v>0</v>
      </c>
      <c r="P52" s="64">
        <v>0.81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4" t="s">
        <v>292</v>
      </c>
      <c r="B53" s="64">
        <v>4.6399999999999997</v>
      </c>
      <c r="C53" s="64">
        <v>42.5</v>
      </c>
      <c r="D53" s="64">
        <v>27.83</v>
      </c>
      <c r="E53" s="64">
        <v>2.2000000000000002</v>
      </c>
      <c r="F53" s="64">
        <v>3.72</v>
      </c>
      <c r="G53" s="215" t="s">
        <v>36</v>
      </c>
      <c r="H53" s="215" t="s">
        <v>36</v>
      </c>
      <c r="I53" s="64">
        <v>1.49</v>
      </c>
      <c r="J53" s="64">
        <v>0.67</v>
      </c>
      <c r="K53" s="64">
        <v>105.9</v>
      </c>
      <c r="L53" s="64">
        <v>26.33</v>
      </c>
      <c r="M53" s="64">
        <v>50.13</v>
      </c>
      <c r="N53" s="64">
        <v>708</v>
      </c>
      <c r="O53" s="64">
        <v>0</v>
      </c>
      <c r="P53" s="64">
        <v>0.8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4" t="s">
        <v>293</v>
      </c>
      <c r="B54" s="64">
        <v>3.98</v>
      </c>
      <c r="C54" s="64">
        <v>40.729999999999997</v>
      </c>
      <c r="D54" s="64">
        <v>26.32</v>
      </c>
      <c r="E54" s="64">
        <v>2.2000000000000002</v>
      </c>
      <c r="F54" s="64">
        <v>3.75</v>
      </c>
      <c r="G54" s="215" t="s">
        <v>36</v>
      </c>
      <c r="H54" s="215" t="s">
        <v>36</v>
      </c>
      <c r="I54" s="64">
        <v>1.49</v>
      </c>
      <c r="J54" s="64">
        <v>0.86</v>
      </c>
      <c r="K54" s="64">
        <v>111.84</v>
      </c>
      <c r="L54" s="64">
        <v>26.92</v>
      </c>
      <c r="M54" s="64">
        <v>47.91</v>
      </c>
      <c r="N54" s="64">
        <v>722.7</v>
      </c>
      <c r="O54" s="64">
        <v>0</v>
      </c>
      <c r="P54" s="64">
        <v>0.77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4" t="s">
        <v>294</v>
      </c>
      <c r="B55" s="64">
        <v>4.1500000000000004</v>
      </c>
      <c r="C55" s="64">
        <v>41.68</v>
      </c>
      <c r="D55" s="64">
        <v>26.97</v>
      </c>
      <c r="E55" s="64">
        <v>2.2799999999999998</v>
      </c>
      <c r="F55" s="64">
        <v>4.01</v>
      </c>
      <c r="G55" s="215" t="s">
        <v>36</v>
      </c>
      <c r="H55" s="215" t="s">
        <v>36</v>
      </c>
      <c r="I55" s="64">
        <v>1.5</v>
      </c>
      <c r="J55" s="64">
        <v>0.81</v>
      </c>
      <c r="K55" s="64">
        <v>110.93</v>
      </c>
      <c r="L55" s="64">
        <v>26.91</v>
      </c>
      <c r="M55" s="64">
        <v>46.68</v>
      </c>
      <c r="N55" s="64">
        <v>726.2</v>
      </c>
      <c r="O55" s="64">
        <v>0</v>
      </c>
      <c r="P55" s="64">
        <v>0.75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4" t="s">
        <v>295</v>
      </c>
      <c r="B56" s="64">
        <v>3.84</v>
      </c>
      <c r="C56" s="64">
        <v>39.44</v>
      </c>
      <c r="D56" s="64">
        <v>25.49</v>
      </c>
      <c r="E56" s="64">
        <v>2.12</v>
      </c>
      <c r="F56" s="64">
        <v>4.0199999999999996</v>
      </c>
      <c r="G56" s="215" t="s">
        <v>36</v>
      </c>
      <c r="H56" s="215" t="s">
        <v>36</v>
      </c>
      <c r="I56" s="64">
        <v>1.47</v>
      </c>
      <c r="J56" s="64">
        <v>1.31</v>
      </c>
      <c r="K56" s="64">
        <v>112.32</v>
      </c>
      <c r="L56" s="64">
        <v>26.89</v>
      </c>
      <c r="M56" s="64">
        <v>47.54</v>
      </c>
      <c r="N56" s="64">
        <v>700.5</v>
      </c>
      <c r="O56" s="64">
        <v>0</v>
      </c>
      <c r="P56" s="64">
        <v>0.74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4" t="s">
        <v>296</v>
      </c>
      <c r="B57" s="64">
        <v>3.47</v>
      </c>
      <c r="C57" s="64">
        <v>40.46</v>
      </c>
      <c r="D57" s="64">
        <v>25.76</v>
      </c>
      <c r="E57" s="64">
        <v>2.12</v>
      </c>
      <c r="F57" s="64">
        <v>4.08</v>
      </c>
      <c r="G57" s="215" t="s">
        <v>36</v>
      </c>
      <c r="H57" s="215" t="s">
        <v>36</v>
      </c>
      <c r="I57" s="64">
        <v>1.52</v>
      </c>
      <c r="J57" s="64">
        <v>1.03</v>
      </c>
      <c r="K57" s="64">
        <v>103.89</v>
      </c>
      <c r="L57" s="64">
        <v>26.79</v>
      </c>
      <c r="M57" s="64">
        <v>48.08</v>
      </c>
      <c r="N57" s="64">
        <v>700</v>
      </c>
      <c r="O57" s="64">
        <v>0</v>
      </c>
      <c r="P57" s="64">
        <v>0.72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4" t="s">
        <v>297</v>
      </c>
      <c r="B58" s="64">
        <v>3.32</v>
      </c>
      <c r="C58" s="64">
        <v>40.56</v>
      </c>
      <c r="D58" s="64">
        <v>25.69</v>
      </c>
      <c r="E58" s="64">
        <v>2.16</v>
      </c>
      <c r="F58" s="64">
        <v>4.04</v>
      </c>
      <c r="G58" s="215" t="s">
        <v>36</v>
      </c>
      <c r="H58" s="215" t="s">
        <v>36</v>
      </c>
      <c r="I58" s="64">
        <v>1.5</v>
      </c>
      <c r="J58" s="64">
        <v>0.34</v>
      </c>
      <c r="K58" s="64">
        <v>119.73</v>
      </c>
      <c r="L58" s="64">
        <v>27.75</v>
      </c>
      <c r="M58" s="64">
        <v>45.42</v>
      </c>
      <c r="N58" s="64">
        <v>647.9</v>
      </c>
      <c r="O58" s="64">
        <v>0</v>
      </c>
      <c r="P58" s="64">
        <v>0.7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4" t="s">
        <v>298</v>
      </c>
      <c r="B59" s="64">
        <v>3.36</v>
      </c>
      <c r="C59" s="64">
        <v>43.72</v>
      </c>
      <c r="D59" s="64">
        <v>27.47</v>
      </c>
      <c r="E59" s="64">
        <v>2.11</v>
      </c>
      <c r="F59" s="64">
        <v>3.84</v>
      </c>
      <c r="G59" s="64">
        <v>48.91</v>
      </c>
      <c r="H59" s="64">
        <v>41.85</v>
      </c>
      <c r="I59" s="64">
        <v>1.52</v>
      </c>
      <c r="J59" s="64">
        <v>0.92</v>
      </c>
      <c r="K59" s="64">
        <v>111.72</v>
      </c>
      <c r="L59" s="64">
        <v>27.62</v>
      </c>
      <c r="M59" s="64">
        <v>45.72</v>
      </c>
      <c r="N59" s="64">
        <v>673.1</v>
      </c>
      <c r="O59" s="64">
        <v>0</v>
      </c>
      <c r="P59" s="64">
        <v>0.7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4" t="s">
        <v>299</v>
      </c>
      <c r="B60" s="64">
        <v>3.54</v>
      </c>
      <c r="C60" s="64">
        <v>41.69</v>
      </c>
      <c r="D60" s="64">
        <v>26.49</v>
      </c>
      <c r="E60" s="64">
        <v>2.14</v>
      </c>
      <c r="F60" s="64">
        <v>3.9</v>
      </c>
      <c r="G60" s="64">
        <v>48.91</v>
      </c>
      <c r="H60" s="64">
        <v>41.85</v>
      </c>
      <c r="I60" s="64">
        <v>1.57</v>
      </c>
      <c r="J60" s="64">
        <v>0.84</v>
      </c>
      <c r="K60" s="64">
        <v>118.35</v>
      </c>
      <c r="L60" s="64">
        <v>27.63</v>
      </c>
      <c r="M60" s="64">
        <v>46.38</v>
      </c>
      <c r="N60" s="64">
        <v>598.70000000000005</v>
      </c>
      <c r="O60" s="64">
        <v>0</v>
      </c>
      <c r="P60" s="64">
        <v>0.69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4" t="s">
        <v>300</v>
      </c>
      <c r="B61" s="64">
        <v>3.78</v>
      </c>
      <c r="C61" s="64">
        <v>45.63</v>
      </c>
      <c r="D61" s="64">
        <v>28.86</v>
      </c>
      <c r="E61" s="64">
        <v>2.1</v>
      </c>
      <c r="F61" s="64">
        <v>3.81</v>
      </c>
      <c r="G61" s="64">
        <v>48.91</v>
      </c>
      <c r="H61" s="64">
        <v>41.85</v>
      </c>
      <c r="I61" s="64">
        <v>1.53</v>
      </c>
      <c r="J61" s="64">
        <v>1</v>
      </c>
      <c r="K61" s="64">
        <v>103.82</v>
      </c>
      <c r="L61" s="64">
        <v>27.27</v>
      </c>
      <c r="M61" s="64">
        <v>46.06</v>
      </c>
      <c r="N61" s="64">
        <v>431.5</v>
      </c>
      <c r="O61" s="64">
        <v>0</v>
      </c>
      <c r="P61" s="64">
        <v>0.68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4" t="s">
        <v>301</v>
      </c>
      <c r="B62" s="64">
        <v>3.21</v>
      </c>
      <c r="C62" s="64">
        <v>40.130000000000003</v>
      </c>
      <c r="D62" s="64">
        <v>25.37</v>
      </c>
      <c r="E62" s="64">
        <v>2.16</v>
      </c>
      <c r="F62" s="64">
        <v>3.75</v>
      </c>
      <c r="G62" s="64">
        <v>47.39</v>
      </c>
      <c r="H62" s="64">
        <v>35.39</v>
      </c>
      <c r="I62" s="64">
        <v>1.49</v>
      </c>
      <c r="J62" s="64">
        <v>1.41</v>
      </c>
      <c r="K62" s="64">
        <v>106.83</v>
      </c>
      <c r="L62" s="64">
        <v>26.63</v>
      </c>
      <c r="M62" s="64">
        <v>46.72</v>
      </c>
      <c r="N62" s="64">
        <v>574.1</v>
      </c>
      <c r="O62" s="64">
        <v>0</v>
      </c>
      <c r="P62" s="64">
        <v>0.72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302</v>
      </c>
      <c r="B63" s="64">
        <v>4.59</v>
      </c>
      <c r="C63" s="64">
        <v>45.55</v>
      </c>
      <c r="D63" s="64">
        <v>29.47</v>
      </c>
      <c r="E63" s="64">
        <v>2.2200000000000002</v>
      </c>
      <c r="F63" s="64">
        <v>3.57</v>
      </c>
      <c r="G63" s="64">
        <v>45.79</v>
      </c>
      <c r="H63" s="64">
        <v>32.01</v>
      </c>
      <c r="I63" s="64">
        <v>1.48</v>
      </c>
      <c r="J63" s="64">
        <v>0.82</v>
      </c>
      <c r="K63" s="64">
        <v>101.07</v>
      </c>
      <c r="L63" s="64">
        <v>27.34</v>
      </c>
      <c r="M63" s="64">
        <v>44.57</v>
      </c>
      <c r="N63" s="64">
        <v>372.3</v>
      </c>
      <c r="O63" s="64">
        <v>0</v>
      </c>
      <c r="P63" s="64">
        <v>0.7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4" t="s">
        <v>303</v>
      </c>
      <c r="B64" s="64">
        <v>3.7</v>
      </c>
      <c r="C64" s="64">
        <v>48.96</v>
      </c>
      <c r="D64" s="64">
        <v>30.63</v>
      </c>
      <c r="E64" s="64">
        <v>2.2000000000000002</v>
      </c>
      <c r="F64" s="64">
        <v>3.59</v>
      </c>
      <c r="G64" s="64">
        <v>45.79</v>
      </c>
      <c r="H64" s="64">
        <v>32.01</v>
      </c>
      <c r="I64" s="64">
        <v>1.49</v>
      </c>
      <c r="J64" s="64">
        <v>0.63</v>
      </c>
      <c r="K64" s="64">
        <v>98.36</v>
      </c>
      <c r="L64" s="64">
        <v>27.55</v>
      </c>
      <c r="M64" s="64">
        <v>43.69</v>
      </c>
      <c r="N64" s="64">
        <v>194.6</v>
      </c>
      <c r="O64" s="64">
        <v>0</v>
      </c>
      <c r="P64" s="64">
        <v>0.71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304</v>
      </c>
      <c r="B65" s="64">
        <v>4.2</v>
      </c>
      <c r="C65" s="64">
        <v>50.22</v>
      </c>
      <c r="D65" s="64">
        <v>31.73</v>
      </c>
      <c r="E65" s="64">
        <v>2.1800000000000002</v>
      </c>
      <c r="F65" s="64">
        <v>3.19</v>
      </c>
      <c r="G65" s="64">
        <v>45.79</v>
      </c>
      <c r="H65" s="64">
        <v>32.01</v>
      </c>
      <c r="I65" s="64">
        <v>1.49</v>
      </c>
      <c r="J65" s="64">
        <v>0.19</v>
      </c>
      <c r="K65" s="64">
        <v>59.66</v>
      </c>
      <c r="L65" s="64">
        <v>27.46</v>
      </c>
      <c r="M65" s="64">
        <v>42.78</v>
      </c>
      <c r="N65" s="64">
        <v>163.9</v>
      </c>
      <c r="O65" s="64">
        <v>0</v>
      </c>
      <c r="P65" s="64">
        <v>0.7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305</v>
      </c>
      <c r="B66" s="64">
        <v>4.5599999999999996</v>
      </c>
      <c r="C66" s="64">
        <v>46.51</v>
      </c>
      <c r="D66" s="64">
        <v>29.97</v>
      </c>
      <c r="E66" s="64">
        <v>2.1800000000000002</v>
      </c>
      <c r="F66" s="64">
        <v>3.7</v>
      </c>
      <c r="G66" s="64">
        <v>45.51</v>
      </c>
      <c r="H66" s="64">
        <v>30.91</v>
      </c>
      <c r="I66" s="64">
        <v>1.5</v>
      </c>
      <c r="J66" s="64">
        <v>1.48</v>
      </c>
      <c r="K66" s="64">
        <v>111.16</v>
      </c>
      <c r="L66" s="64">
        <v>27.15</v>
      </c>
      <c r="M66" s="64">
        <v>41.81</v>
      </c>
      <c r="N66" s="64">
        <v>141.1</v>
      </c>
      <c r="O66" s="64">
        <v>0</v>
      </c>
      <c r="P66" s="64">
        <v>0.69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4" t="s">
        <v>306</v>
      </c>
      <c r="B67" s="64">
        <v>4.37</v>
      </c>
      <c r="C67" s="64">
        <v>43.69</v>
      </c>
      <c r="D67" s="64">
        <v>28.27</v>
      </c>
      <c r="E67" s="64">
        <v>2.11</v>
      </c>
      <c r="F67" s="64">
        <v>3.96</v>
      </c>
      <c r="G67" s="64">
        <v>45.21</v>
      </c>
      <c r="H67" s="64">
        <v>30.33</v>
      </c>
      <c r="I67" s="64">
        <v>1.53</v>
      </c>
      <c r="J67" s="64">
        <v>1.07</v>
      </c>
      <c r="K67" s="64">
        <v>107.57</v>
      </c>
      <c r="L67" s="64">
        <v>26.92</v>
      </c>
      <c r="M67" s="64">
        <v>41.07</v>
      </c>
      <c r="N67" s="64">
        <v>138.1</v>
      </c>
      <c r="O67" s="64">
        <v>0</v>
      </c>
      <c r="P67" s="64">
        <v>0.69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4" t="s">
        <v>307</v>
      </c>
      <c r="B68" s="64">
        <v>4.09</v>
      </c>
      <c r="C68" s="64">
        <v>41.93</v>
      </c>
      <c r="D68" s="64">
        <v>27.07</v>
      </c>
      <c r="E68" s="64">
        <v>2.13</v>
      </c>
      <c r="F68" s="64">
        <v>3.72</v>
      </c>
      <c r="G68" s="64">
        <v>45.21</v>
      </c>
      <c r="H68" s="64">
        <v>30.33</v>
      </c>
      <c r="I68" s="64">
        <v>1.44</v>
      </c>
      <c r="J68" s="64">
        <v>0.74</v>
      </c>
      <c r="K68" s="64">
        <v>114.33</v>
      </c>
      <c r="L68" s="64">
        <v>26.85</v>
      </c>
      <c r="M68" s="64">
        <v>42.3</v>
      </c>
      <c r="N68" s="64">
        <v>121.7</v>
      </c>
      <c r="O68" s="64">
        <v>0</v>
      </c>
      <c r="P68" s="64">
        <v>0.65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4" t="s">
        <v>308</v>
      </c>
      <c r="B69" s="64">
        <v>6.84</v>
      </c>
      <c r="C69" s="64">
        <v>67.150000000000006</v>
      </c>
      <c r="D69" s="64">
        <v>43.19</v>
      </c>
      <c r="E69" s="64">
        <v>2.13</v>
      </c>
      <c r="F69" s="64">
        <v>3.75</v>
      </c>
      <c r="G69" s="64">
        <v>45.21</v>
      </c>
      <c r="H69" s="64">
        <v>30.33</v>
      </c>
      <c r="I69" s="64">
        <v>1.59</v>
      </c>
      <c r="J69" s="64">
        <v>0.3</v>
      </c>
      <c r="K69" s="64">
        <v>22.36</v>
      </c>
      <c r="L69" s="64">
        <v>27.15</v>
      </c>
      <c r="M69" s="64">
        <v>42.46</v>
      </c>
      <c r="N69" s="64">
        <v>110.1</v>
      </c>
      <c r="O69" s="64">
        <v>0</v>
      </c>
      <c r="P69" s="64">
        <v>0.73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4" t="s">
        <v>309</v>
      </c>
      <c r="B70" s="64">
        <v>5.92</v>
      </c>
      <c r="C70" s="64">
        <v>43.06</v>
      </c>
      <c r="D70" s="64">
        <v>29.16</v>
      </c>
      <c r="E70" s="64">
        <v>2.14</v>
      </c>
      <c r="F70" s="64">
        <v>3.51</v>
      </c>
      <c r="G70" s="64">
        <v>44.84</v>
      </c>
      <c r="H70" s="64">
        <v>33.270000000000003</v>
      </c>
      <c r="I70" s="64">
        <v>1.46</v>
      </c>
      <c r="J70" s="64">
        <v>1.26</v>
      </c>
      <c r="K70" s="64">
        <v>113.68</v>
      </c>
      <c r="L70" s="64">
        <v>26.61</v>
      </c>
      <c r="M70" s="64">
        <v>42.75</v>
      </c>
      <c r="N70" s="64">
        <v>126.9</v>
      </c>
      <c r="O70" s="64">
        <v>0</v>
      </c>
      <c r="P70" s="64">
        <v>0.68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4" t="s">
        <v>310</v>
      </c>
      <c r="B71" s="64">
        <v>6.51</v>
      </c>
      <c r="C71" s="64">
        <v>52.24</v>
      </c>
      <c r="D71" s="64">
        <v>34.69</v>
      </c>
      <c r="E71" s="64">
        <v>2.16</v>
      </c>
      <c r="F71" s="64">
        <v>3.48</v>
      </c>
      <c r="G71" s="64">
        <v>44.46</v>
      </c>
      <c r="H71" s="64">
        <v>36.479999999999997</v>
      </c>
      <c r="I71" s="64">
        <v>1.5</v>
      </c>
      <c r="J71" s="64">
        <v>0.38</v>
      </c>
      <c r="K71" s="64">
        <v>94.38</v>
      </c>
      <c r="L71" s="64">
        <v>26.65</v>
      </c>
      <c r="M71" s="64">
        <v>43.48</v>
      </c>
      <c r="N71" s="64">
        <v>95.1</v>
      </c>
      <c r="O71" s="64">
        <v>0</v>
      </c>
      <c r="P71" s="64">
        <v>0.69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4" t="s">
        <v>311</v>
      </c>
      <c r="B72" s="64">
        <v>6.73</v>
      </c>
      <c r="C72" s="64">
        <v>68.47</v>
      </c>
      <c r="D72" s="64">
        <v>43.83</v>
      </c>
      <c r="E72" s="64">
        <v>2.1800000000000002</v>
      </c>
      <c r="F72" s="64">
        <v>3.48</v>
      </c>
      <c r="G72" s="64">
        <v>44.46</v>
      </c>
      <c r="H72" s="64">
        <v>36.479999999999997</v>
      </c>
      <c r="I72" s="64">
        <v>1.58</v>
      </c>
      <c r="J72" s="64">
        <v>0.3</v>
      </c>
      <c r="K72" s="64">
        <v>78.28</v>
      </c>
      <c r="L72" s="64">
        <v>26.6</v>
      </c>
      <c r="M72" s="64">
        <v>44.63</v>
      </c>
      <c r="N72" s="64">
        <v>78</v>
      </c>
      <c r="O72" s="64">
        <v>0</v>
      </c>
      <c r="P72" s="64">
        <v>0.72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4" t="s">
        <v>312</v>
      </c>
      <c r="B73" s="64">
        <v>6.09</v>
      </c>
      <c r="C73" s="64">
        <v>42.75</v>
      </c>
      <c r="D73" s="64">
        <v>29.12</v>
      </c>
      <c r="E73" s="64">
        <v>2.2200000000000002</v>
      </c>
      <c r="F73" s="64">
        <v>3.44</v>
      </c>
      <c r="G73" s="64">
        <v>44.46</v>
      </c>
      <c r="H73" s="64">
        <v>36.479999999999997</v>
      </c>
      <c r="I73" s="64">
        <v>1.45</v>
      </c>
      <c r="J73" s="64">
        <v>0.51</v>
      </c>
      <c r="K73" s="64">
        <v>111.99</v>
      </c>
      <c r="L73" s="64">
        <v>25.97</v>
      </c>
      <c r="M73" s="64">
        <v>48.58</v>
      </c>
      <c r="N73" s="64">
        <v>81.8</v>
      </c>
      <c r="O73" s="64">
        <v>0</v>
      </c>
      <c r="P73" s="64">
        <v>0.68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4" t="s">
        <v>313</v>
      </c>
      <c r="B74" s="64">
        <v>6.53</v>
      </c>
      <c r="C74" s="64">
        <v>48</v>
      </c>
      <c r="D74" s="64">
        <v>32.369999999999997</v>
      </c>
      <c r="E74" s="64">
        <v>2.2799999999999998</v>
      </c>
      <c r="F74" s="64">
        <v>3.62</v>
      </c>
      <c r="G74" s="64">
        <v>44.76</v>
      </c>
      <c r="H74" s="64">
        <v>27.2</v>
      </c>
      <c r="I74" s="64">
        <v>1.46</v>
      </c>
      <c r="J74" s="64">
        <v>0.05</v>
      </c>
      <c r="K74" s="64">
        <v>9.4499999999999993</v>
      </c>
      <c r="L74" s="64">
        <v>25.52</v>
      </c>
      <c r="M74" s="64">
        <v>53.76</v>
      </c>
      <c r="N74" s="64">
        <v>66</v>
      </c>
      <c r="O74" s="64">
        <v>0</v>
      </c>
      <c r="P74" s="64">
        <v>0.75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4" t="s">
        <v>314</v>
      </c>
      <c r="B75" s="64">
        <v>6.38</v>
      </c>
      <c r="C75" s="64">
        <v>48.15</v>
      </c>
      <c r="D75" s="64">
        <v>32.33</v>
      </c>
      <c r="E75" s="64">
        <v>2.23</v>
      </c>
      <c r="F75" s="64">
        <v>3.55</v>
      </c>
      <c r="G75" s="64">
        <v>45.07</v>
      </c>
      <c r="H75" s="64">
        <v>22.35</v>
      </c>
      <c r="I75" s="64">
        <v>1.51</v>
      </c>
      <c r="J75" s="64">
        <v>0.08</v>
      </c>
      <c r="K75" s="64">
        <v>23.83</v>
      </c>
      <c r="L75" s="64">
        <v>25.31</v>
      </c>
      <c r="M75" s="64">
        <v>55.24</v>
      </c>
      <c r="N75" s="64">
        <v>58.1</v>
      </c>
      <c r="O75" s="64">
        <v>0</v>
      </c>
      <c r="P75" s="64">
        <v>0.75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4" t="s">
        <v>315</v>
      </c>
      <c r="B76" s="64">
        <v>6.45</v>
      </c>
      <c r="C76" s="64">
        <v>44.58</v>
      </c>
      <c r="D76" s="64">
        <v>30.42</v>
      </c>
      <c r="E76" s="64">
        <v>2.23</v>
      </c>
      <c r="F76" s="64">
        <v>3.64</v>
      </c>
      <c r="G76" s="64">
        <v>45.07</v>
      </c>
      <c r="H76" s="64">
        <v>22.35</v>
      </c>
      <c r="I76" s="64">
        <v>1.52</v>
      </c>
      <c r="J76" s="64">
        <v>0.08</v>
      </c>
      <c r="K76" s="64">
        <v>63.62</v>
      </c>
      <c r="L76" s="64">
        <v>24.93</v>
      </c>
      <c r="M76" s="64">
        <v>57.83</v>
      </c>
      <c r="N76" s="64">
        <v>34.5</v>
      </c>
      <c r="O76" s="64">
        <v>0</v>
      </c>
      <c r="P76" s="64">
        <v>0.77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4" t="s">
        <v>316</v>
      </c>
      <c r="B77" s="64">
        <v>6.8</v>
      </c>
      <c r="C77" s="64">
        <v>46.69</v>
      </c>
      <c r="D77" s="64">
        <v>31.86</v>
      </c>
      <c r="E77" s="64">
        <v>2.2000000000000002</v>
      </c>
      <c r="F77" s="64">
        <v>3.39</v>
      </c>
      <c r="G77" s="64">
        <v>45.07</v>
      </c>
      <c r="H77" s="64">
        <v>22.35</v>
      </c>
      <c r="I77" s="64">
        <v>1.52</v>
      </c>
      <c r="J77" s="64">
        <v>7.0000000000000007E-2</v>
      </c>
      <c r="K77" s="64">
        <v>328.13</v>
      </c>
      <c r="L77" s="64">
        <v>24.38</v>
      </c>
      <c r="M77" s="64">
        <v>60.77</v>
      </c>
      <c r="N77" s="64">
        <v>24.1</v>
      </c>
      <c r="O77" s="64">
        <v>0</v>
      </c>
      <c r="P77" s="64">
        <v>0.92</v>
      </c>
      <c r="Q77" s="64">
        <v>5.2</v>
      </c>
      <c r="R77" s="198"/>
      <c r="S77" s="198"/>
      <c r="T77" s="198"/>
      <c r="U77" s="198"/>
    </row>
    <row r="78" spans="1:21" s="12" customFormat="1" x14ac:dyDescent="0.25">
      <c r="A78" s="214" t="s">
        <v>317</v>
      </c>
      <c r="B78" s="64">
        <v>7.22</v>
      </c>
      <c r="C78" s="64">
        <v>48.32</v>
      </c>
      <c r="D78" s="64">
        <v>33.1</v>
      </c>
      <c r="E78" s="64">
        <v>2.21</v>
      </c>
      <c r="F78" s="64">
        <v>3.31</v>
      </c>
      <c r="G78" s="215" t="s">
        <v>36</v>
      </c>
      <c r="H78" s="215" t="s">
        <v>36</v>
      </c>
      <c r="I78" s="64">
        <v>1.5</v>
      </c>
      <c r="J78" s="64">
        <v>0.16</v>
      </c>
      <c r="K78" s="64">
        <v>78.849999999999994</v>
      </c>
      <c r="L78" s="64">
        <v>24.16</v>
      </c>
      <c r="M78" s="64">
        <v>59.39</v>
      </c>
      <c r="N78" s="64">
        <v>21</v>
      </c>
      <c r="O78" s="64">
        <v>0</v>
      </c>
      <c r="P78" s="64">
        <v>0.88</v>
      </c>
      <c r="Q78" s="64">
        <v>4.99</v>
      </c>
      <c r="R78" s="198"/>
      <c r="S78" s="198"/>
      <c r="T78" s="198"/>
      <c r="U78" s="198"/>
    </row>
    <row r="79" spans="1:21" s="12" customFormat="1" x14ac:dyDescent="0.25">
      <c r="A79" s="214" t="s">
        <v>318</v>
      </c>
      <c r="B79" s="64">
        <v>7.09</v>
      </c>
      <c r="C79" s="64">
        <v>49.64</v>
      </c>
      <c r="D79" s="64">
        <v>33.729999999999997</v>
      </c>
      <c r="E79" s="64">
        <v>2.19</v>
      </c>
      <c r="F79" s="64">
        <v>3.08</v>
      </c>
      <c r="G79" s="215" t="s">
        <v>36</v>
      </c>
      <c r="H79" s="215" t="s">
        <v>36</v>
      </c>
      <c r="I79" s="64">
        <v>1.45</v>
      </c>
      <c r="J79" s="64">
        <v>0.36</v>
      </c>
      <c r="K79" s="64">
        <v>93.43</v>
      </c>
      <c r="L79" s="64">
        <v>24.3</v>
      </c>
      <c r="M79" s="64">
        <v>55.22</v>
      </c>
      <c r="N79" s="64">
        <v>20.100000000000001</v>
      </c>
      <c r="O79" s="64">
        <v>0</v>
      </c>
      <c r="P79" s="64">
        <v>0.88</v>
      </c>
      <c r="Q79" s="64">
        <v>4.8499999999999996</v>
      </c>
      <c r="R79" s="198"/>
      <c r="S79" s="198"/>
      <c r="T79" s="198"/>
      <c r="U79" s="198"/>
    </row>
    <row r="80" spans="1:21" s="12" customFormat="1" x14ac:dyDescent="0.25">
      <c r="A80" s="214" t="s">
        <v>319</v>
      </c>
      <c r="B80" s="64">
        <v>6.17</v>
      </c>
      <c r="C80" s="64">
        <v>48.42</v>
      </c>
      <c r="D80" s="64">
        <v>32.32</v>
      </c>
      <c r="E80" s="64">
        <v>2.2799999999999998</v>
      </c>
      <c r="F80" s="64">
        <v>3.11</v>
      </c>
      <c r="G80" s="215" t="s">
        <v>36</v>
      </c>
      <c r="H80" s="215" t="s">
        <v>36</v>
      </c>
      <c r="I80" s="64">
        <v>1.39</v>
      </c>
      <c r="J80" s="64">
        <v>0.19</v>
      </c>
      <c r="K80" s="64">
        <v>93.49</v>
      </c>
      <c r="L80" s="64">
        <v>24.25</v>
      </c>
      <c r="M80" s="64">
        <v>55.09</v>
      </c>
      <c r="N80" s="64">
        <v>20.3</v>
      </c>
      <c r="O80" s="64">
        <v>0</v>
      </c>
      <c r="P80" s="64">
        <v>0.9</v>
      </c>
      <c r="Q80" s="64">
        <v>4.84</v>
      </c>
      <c r="R80" s="198"/>
      <c r="S80" s="198"/>
      <c r="T80" s="198"/>
      <c r="U80" s="198"/>
    </row>
    <row r="81" spans="1:26" s="12" customFormat="1" x14ac:dyDescent="0.25">
      <c r="A81" s="214" t="s">
        <v>320</v>
      </c>
      <c r="B81" s="64">
        <v>6.21</v>
      </c>
      <c r="C81" s="64">
        <v>53.1</v>
      </c>
      <c r="D81" s="64">
        <v>34.93</v>
      </c>
      <c r="E81" s="64">
        <v>2.2599999999999998</v>
      </c>
      <c r="F81" s="64">
        <v>3.34</v>
      </c>
      <c r="G81" s="215" t="s">
        <v>36</v>
      </c>
      <c r="H81" s="215" t="s">
        <v>36</v>
      </c>
      <c r="I81" s="64">
        <v>1.49</v>
      </c>
      <c r="J81" s="64">
        <v>0.24</v>
      </c>
      <c r="K81" s="64">
        <v>90.02</v>
      </c>
      <c r="L81" s="64">
        <v>24.13</v>
      </c>
      <c r="M81" s="64">
        <v>55.02</v>
      </c>
      <c r="N81" s="64">
        <v>20.3</v>
      </c>
      <c r="O81" s="64">
        <v>0</v>
      </c>
      <c r="P81" s="64">
        <v>0.95</v>
      </c>
      <c r="Q81" s="64">
        <v>4.79</v>
      </c>
      <c r="R81" s="198"/>
      <c r="S81" s="198"/>
      <c r="T81" s="198"/>
      <c r="U81" s="198"/>
    </row>
    <row r="82" spans="1:26" s="12" customFormat="1" x14ac:dyDescent="0.25">
      <c r="A82" s="214" t="s">
        <v>321</v>
      </c>
      <c r="B82" s="64">
        <v>6.16</v>
      </c>
      <c r="C82" s="64">
        <v>55.7</v>
      </c>
      <c r="D82" s="64">
        <v>36.33</v>
      </c>
      <c r="E82" s="64">
        <v>2.2000000000000002</v>
      </c>
      <c r="F82" s="64">
        <v>3.81</v>
      </c>
      <c r="G82" s="215" t="s">
        <v>36</v>
      </c>
      <c r="H82" s="215" t="s">
        <v>36</v>
      </c>
      <c r="I82" s="64">
        <v>1.44</v>
      </c>
      <c r="J82" s="64">
        <v>0.15</v>
      </c>
      <c r="K82" s="64">
        <v>83.66</v>
      </c>
      <c r="L82" s="64">
        <v>24.03</v>
      </c>
      <c r="M82" s="64">
        <v>54.71</v>
      </c>
      <c r="N82" s="64">
        <v>20.3</v>
      </c>
      <c r="O82" s="64">
        <v>0</v>
      </c>
      <c r="P82" s="64">
        <v>0.98</v>
      </c>
      <c r="Q82" s="64">
        <v>4.78</v>
      </c>
      <c r="R82" s="198"/>
      <c r="S82" s="198"/>
      <c r="T82" s="198"/>
      <c r="U82" s="198"/>
    </row>
    <row r="83" spans="1:26" s="12" customFormat="1" x14ac:dyDescent="0.25">
      <c r="A83" s="214" t="s">
        <v>322</v>
      </c>
      <c r="B83" s="64">
        <v>6.84</v>
      </c>
      <c r="C83" s="64">
        <v>52.41</v>
      </c>
      <c r="D83" s="64">
        <v>35.049999999999997</v>
      </c>
      <c r="E83" s="64">
        <v>2.1800000000000002</v>
      </c>
      <c r="F83" s="64">
        <v>3.31</v>
      </c>
      <c r="G83" s="215" t="s">
        <v>36</v>
      </c>
      <c r="H83" s="215" t="s">
        <v>36</v>
      </c>
      <c r="I83" s="64">
        <v>1.54</v>
      </c>
      <c r="J83" s="64">
        <v>0.12</v>
      </c>
      <c r="K83" s="64">
        <v>57</v>
      </c>
      <c r="L83" s="64">
        <v>23.87</v>
      </c>
      <c r="M83" s="64">
        <v>54.17</v>
      </c>
      <c r="N83" s="64">
        <v>20.3</v>
      </c>
      <c r="O83" s="64">
        <v>0</v>
      </c>
      <c r="P83" s="64">
        <v>1.06</v>
      </c>
      <c r="Q83" s="64">
        <v>4.8</v>
      </c>
      <c r="R83" s="198"/>
      <c r="S83" s="198"/>
      <c r="T83" s="198"/>
      <c r="U83" s="198"/>
    </row>
    <row r="84" spans="1:26" s="12" customFormat="1" x14ac:dyDescent="0.25">
      <c r="A84" s="214" t="s">
        <v>323</v>
      </c>
      <c r="B84" s="64">
        <v>7.01</v>
      </c>
      <c r="C84" s="64">
        <v>51.73</v>
      </c>
      <c r="D84" s="64">
        <v>34.81</v>
      </c>
      <c r="E84" s="64">
        <v>2.2599999999999998</v>
      </c>
      <c r="F84" s="64">
        <v>3.34</v>
      </c>
      <c r="G84" s="215" t="s">
        <v>36</v>
      </c>
      <c r="H84" s="215" t="s">
        <v>36</v>
      </c>
      <c r="I84" s="64">
        <v>1.44</v>
      </c>
      <c r="J84" s="64">
        <v>0.14000000000000001</v>
      </c>
      <c r="K84" s="64">
        <v>71.650000000000006</v>
      </c>
      <c r="L84" s="64">
        <v>23.68</v>
      </c>
      <c r="M84" s="64">
        <v>54.35</v>
      </c>
      <c r="N84" s="64">
        <v>20.399999999999999</v>
      </c>
      <c r="O84" s="64">
        <v>0</v>
      </c>
      <c r="P84" s="64">
        <v>1.1499999999999999</v>
      </c>
      <c r="Q84" s="64">
        <v>4.84</v>
      </c>
      <c r="R84" s="198"/>
      <c r="S84" s="198"/>
      <c r="T84" s="198"/>
      <c r="U84" s="198"/>
    </row>
    <row r="85" spans="1:26" s="12" customFormat="1" x14ac:dyDescent="0.25">
      <c r="A85" s="214" t="s">
        <v>324</v>
      </c>
      <c r="B85" s="64">
        <v>7.04</v>
      </c>
      <c r="C85" s="64">
        <v>52.71</v>
      </c>
      <c r="D85" s="64">
        <v>35.380000000000003</v>
      </c>
      <c r="E85" s="64">
        <v>2.2000000000000002</v>
      </c>
      <c r="F85" s="64">
        <v>3.11</v>
      </c>
      <c r="G85" s="215" t="s">
        <v>36</v>
      </c>
      <c r="H85" s="215" t="s">
        <v>36</v>
      </c>
      <c r="I85" s="64">
        <v>1.5</v>
      </c>
      <c r="J85" s="64">
        <v>0.22</v>
      </c>
      <c r="K85" s="64">
        <v>80.180000000000007</v>
      </c>
      <c r="L85" s="64">
        <v>23.49</v>
      </c>
      <c r="M85" s="64">
        <v>54.39</v>
      </c>
      <c r="N85" s="64">
        <v>20.2</v>
      </c>
      <c r="O85" s="64">
        <v>0</v>
      </c>
      <c r="P85" s="64">
        <v>0.99</v>
      </c>
      <c r="Q85" s="64">
        <v>4.91</v>
      </c>
      <c r="R85" s="198"/>
      <c r="S85" s="198"/>
      <c r="T85" s="198"/>
      <c r="U85" s="198"/>
    </row>
    <row r="86" spans="1:26" s="12" customFormat="1" x14ac:dyDescent="0.25">
      <c r="A86" s="214" t="s">
        <v>325</v>
      </c>
      <c r="B86" s="64">
        <v>8.4600000000000009</v>
      </c>
      <c r="C86" s="64">
        <v>55.62</v>
      </c>
      <c r="D86" s="64">
        <v>38.130000000000003</v>
      </c>
      <c r="E86" s="64">
        <v>2.19</v>
      </c>
      <c r="F86" s="64">
        <v>3.13</v>
      </c>
      <c r="G86" s="215" t="s">
        <v>36</v>
      </c>
      <c r="H86" s="215" t="s">
        <v>36</v>
      </c>
      <c r="I86" s="64">
        <v>1.49</v>
      </c>
      <c r="J86" s="64">
        <v>7.0000000000000007E-2</v>
      </c>
      <c r="K86" s="64">
        <v>17.37</v>
      </c>
      <c r="L86" s="64">
        <v>23.23</v>
      </c>
      <c r="M86" s="64">
        <v>56.96</v>
      </c>
      <c r="N86" s="64">
        <v>20.399999999999999</v>
      </c>
      <c r="O86" s="64">
        <v>0</v>
      </c>
      <c r="P86" s="64">
        <v>1.1599999999999999</v>
      </c>
      <c r="Q86" s="64">
        <v>4.8899999999999997</v>
      </c>
      <c r="R86" s="198"/>
      <c r="S86" s="198"/>
      <c r="T86" s="198"/>
      <c r="U86" s="198"/>
    </row>
    <row r="87" spans="1:26" s="12" customFormat="1" x14ac:dyDescent="0.25">
      <c r="A87" s="214" t="s">
        <v>326</v>
      </c>
      <c r="B87" s="64">
        <v>15.56</v>
      </c>
      <c r="C87" s="64">
        <v>54.4</v>
      </c>
      <c r="D87" s="64">
        <v>43.15</v>
      </c>
      <c r="E87" s="64">
        <v>2.23</v>
      </c>
      <c r="F87" s="64">
        <v>3.18</v>
      </c>
      <c r="G87" s="215" t="s">
        <v>36</v>
      </c>
      <c r="H87" s="215" t="s">
        <v>36</v>
      </c>
      <c r="I87" s="64">
        <v>1.43</v>
      </c>
      <c r="J87" s="64">
        <v>0.03</v>
      </c>
      <c r="K87" s="64">
        <v>17.899999999999999</v>
      </c>
      <c r="L87" s="64">
        <v>23.01</v>
      </c>
      <c r="M87" s="64">
        <v>58.42</v>
      </c>
      <c r="N87" s="64">
        <v>20.3</v>
      </c>
      <c r="O87" s="64">
        <v>0</v>
      </c>
      <c r="P87" s="64">
        <v>1.22</v>
      </c>
      <c r="Q87" s="64">
        <v>5.05</v>
      </c>
      <c r="R87" s="198"/>
      <c r="S87" s="198"/>
      <c r="T87" s="198"/>
      <c r="U87" s="198"/>
    </row>
    <row r="88" spans="1:26" s="12" customFormat="1" x14ac:dyDescent="0.25">
      <c r="A88" s="214" t="s">
        <v>327</v>
      </c>
      <c r="B88" s="64">
        <v>13.8</v>
      </c>
      <c r="C88" s="64">
        <v>53.26</v>
      </c>
      <c r="D88" s="64">
        <v>41.11</v>
      </c>
      <c r="E88" s="64">
        <v>2.02</v>
      </c>
      <c r="F88" s="64">
        <v>3.15</v>
      </c>
      <c r="G88" s="215" t="s">
        <v>36</v>
      </c>
      <c r="H88" s="215" t="s">
        <v>36</v>
      </c>
      <c r="I88" s="64">
        <v>1.58</v>
      </c>
      <c r="J88" s="64">
        <v>0.2</v>
      </c>
      <c r="K88" s="64">
        <v>86.01</v>
      </c>
      <c r="L88" s="64">
        <v>22.83</v>
      </c>
      <c r="M88" s="64">
        <v>60.1</v>
      </c>
      <c r="N88" s="64">
        <v>20.5</v>
      </c>
      <c r="O88" s="64">
        <v>0</v>
      </c>
      <c r="P88" s="64">
        <v>1.29</v>
      </c>
      <c r="Q88" s="64">
        <v>5.3</v>
      </c>
      <c r="R88" s="198"/>
      <c r="S88" s="198"/>
      <c r="T88" s="198"/>
      <c r="U88" s="198"/>
    </row>
    <row r="89" spans="1:26" s="12" customFormat="1" x14ac:dyDescent="0.25">
      <c r="A89" s="214" t="s">
        <v>328</v>
      </c>
      <c r="B89" s="64">
        <v>16.59</v>
      </c>
      <c r="C89" s="64">
        <v>56.49</v>
      </c>
      <c r="D89" s="64">
        <v>45.13</v>
      </c>
      <c r="E89" s="64">
        <v>2.23</v>
      </c>
      <c r="F89" s="64">
        <v>3.05</v>
      </c>
      <c r="G89" s="215" t="s">
        <v>36</v>
      </c>
      <c r="H89" s="215" t="s">
        <v>36</v>
      </c>
      <c r="I89" s="64">
        <v>1.47</v>
      </c>
      <c r="J89" s="64">
        <v>0.02</v>
      </c>
      <c r="K89" s="64">
        <v>288.33</v>
      </c>
      <c r="L89" s="64">
        <v>22.74</v>
      </c>
      <c r="M89" s="64">
        <v>61.96</v>
      </c>
      <c r="N89" s="64">
        <v>20.399999999999999</v>
      </c>
      <c r="O89" s="64">
        <v>0</v>
      </c>
      <c r="P89" s="64">
        <v>1.35</v>
      </c>
      <c r="Q89" s="64">
        <v>5.38</v>
      </c>
      <c r="R89" s="198"/>
      <c r="S89" s="198"/>
      <c r="T89" s="198"/>
      <c r="U89" s="198"/>
    </row>
    <row r="90" spans="1:26" s="12" customFormat="1" x14ac:dyDescent="0.25">
      <c r="A90" s="214" t="s">
        <v>329</v>
      </c>
      <c r="B90" s="64">
        <v>19.670000000000002</v>
      </c>
      <c r="C90" s="64">
        <v>62.95</v>
      </c>
      <c r="D90" s="64">
        <v>51.16</v>
      </c>
      <c r="E90" s="64">
        <v>2.1800000000000002</v>
      </c>
      <c r="F90" s="64">
        <v>3</v>
      </c>
      <c r="G90" s="215" t="s">
        <v>36</v>
      </c>
      <c r="H90" s="215" t="s">
        <v>36</v>
      </c>
      <c r="I90" s="64">
        <v>1.44</v>
      </c>
      <c r="J90" s="64">
        <v>0.24</v>
      </c>
      <c r="K90" s="64">
        <v>99.48</v>
      </c>
      <c r="L90" s="64">
        <v>22.79</v>
      </c>
      <c r="M90" s="64">
        <v>61.21</v>
      </c>
      <c r="N90" s="64">
        <v>20.2</v>
      </c>
      <c r="O90" s="64">
        <v>0</v>
      </c>
      <c r="P90" s="64">
        <v>1.35</v>
      </c>
      <c r="Q90" s="64">
        <v>5.44</v>
      </c>
      <c r="R90" s="198"/>
      <c r="S90" s="198"/>
      <c r="T90" s="198"/>
      <c r="U90" s="198"/>
    </row>
    <row r="91" spans="1:26" s="12" customFormat="1" x14ac:dyDescent="0.25">
      <c r="A91" s="214" t="s">
        <v>330</v>
      </c>
      <c r="B91" s="64">
        <v>16.25</v>
      </c>
      <c r="C91" s="64">
        <v>59.92</v>
      </c>
      <c r="D91" s="64">
        <v>46.74</v>
      </c>
      <c r="E91" s="64">
        <v>2.17</v>
      </c>
      <c r="F91" s="64">
        <v>3.3</v>
      </c>
      <c r="G91" s="64">
        <v>89.76</v>
      </c>
      <c r="H91" s="64">
        <v>53.37</v>
      </c>
      <c r="I91" s="64">
        <v>1.49</v>
      </c>
      <c r="J91" s="64">
        <v>0.17</v>
      </c>
      <c r="K91" s="64">
        <v>102.6</v>
      </c>
      <c r="L91" s="64">
        <v>22.8</v>
      </c>
      <c r="M91" s="64">
        <v>61.17</v>
      </c>
      <c r="N91" s="64">
        <v>20.3</v>
      </c>
      <c r="O91" s="64">
        <v>0</v>
      </c>
      <c r="P91" s="64">
        <v>1.36</v>
      </c>
      <c r="Q91" s="64">
        <v>5.52</v>
      </c>
      <c r="R91" s="198"/>
      <c r="S91" s="198"/>
      <c r="T91" s="198"/>
      <c r="U91" s="198"/>
    </row>
    <row r="92" spans="1:26" s="12" customFormat="1" x14ac:dyDescent="0.25">
      <c r="A92" s="214" t="s">
        <v>331</v>
      </c>
      <c r="B92" s="64">
        <v>13.44</v>
      </c>
      <c r="C92" s="64">
        <v>58.85</v>
      </c>
      <c r="D92" s="64">
        <v>43.9</v>
      </c>
      <c r="E92" s="64">
        <v>2.16</v>
      </c>
      <c r="F92" s="64">
        <v>3.27</v>
      </c>
      <c r="G92" s="64">
        <v>89.76</v>
      </c>
      <c r="H92" s="64">
        <v>53.37</v>
      </c>
      <c r="I92" s="64">
        <v>1.46</v>
      </c>
      <c r="J92" s="64">
        <v>0.59</v>
      </c>
      <c r="K92" s="64">
        <v>105.11</v>
      </c>
      <c r="L92" s="64">
        <v>22.89</v>
      </c>
      <c r="M92" s="64">
        <v>60.34</v>
      </c>
      <c r="N92" s="64">
        <v>20.2</v>
      </c>
      <c r="O92" s="64">
        <v>0</v>
      </c>
      <c r="P92" s="64">
        <v>1.33</v>
      </c>
      <c r="Q92" s="64">
        <v>5.53</v>
      </c>
      <c r="R92" s="198"/>
      <c r="S92" s="198"/>
      <c r="T92" s="198"/>
      <c r="U92" s="198"/>
    </row>
    <row r="93" spans="1:26" s="12" customFormat="1" x14ac:dyDescent="0.25">
      <c r="A93" s="214" t="s">
        <v>332</v>
      </c>
      <c r="B93" s="64">
        <v>11.32</v>
      </c>
      <c r="C93" s="64">
        <v>53.1</v>
      </c>
      <c r="D93" s="64">
        <v>39.03</v>
      </c>
      <c r="E93" s="64">
        <v>2.09</v>
      </c>
      <c r="F93" s="64">
        <v>3.31</v>
      </c>
      <c r="G93" s="64">
        <v>89.76</v>
      </c>
      <c r="H93" s="64">
        <v>53.37</v>
      </c>
      <c r="I93" s="64">
        <v>1.42</v>
      </c>
      <c r="J93" s="64">
        <v>0.83</v>
      </c>
      <c r="K93" s="64">
        <v>105.53</v>
      </c>
      <c r="L93" s="64">
        <v>22.97</v>
      </c>
      <c r="M93" s="64">
        <v>59.98</v>
      </c>
      <c r="N93" s="64">
        <v>20.3</v>
      </c>
      <c r="O93" s="64">
        <v>0</v>
      </c>
      <c r="P93" s="64">
        <v>1.3</v>
      </c>
      <c r="Q93" s="64">
        <v>5.55</v>
      </c>
      <c r="R93" s="198"/>
      <c r="S93" s="198"/>
      <c r="T93" s="198"/>
      <c r="U93" s="198"/>
    </row>
    <row r="94" spans="1:26" s="12" customFormat="1" x14ac:dyDescent="0.25">
      <c r="A94" s="214" t="s">
        <v>333</v>
      </c>
      <c r="B94" s="64">
        <v>10.119999999999999</v>
      </c>
      <c r="C94" s="64">
        <v>51.25</v>
      </c>
      <c r="D94" s="64">
        <v>37.049999999999997</v>
      </c>
      <c r="E94" s="64">
        <v>2.1800000000000002</v>
      </c>
      <c r="F94" s="64">
        <v>3.15</v>
      </c>
      <c r="G94" s="64">
        <v>84.38</v>
      </c>
      <c r="H94" s="64">
        <v>43.77</v>
      </c>
      <c r="I94" s="64">
        <v>1.56</v>
      </c>
      <c r="J94" s="64">
        <v>1.03</v>
      </c>
      <c r="K94" s="64">
        <v>110.56</v>
      </c>
      <c r="L94" s="64">
        <v>22.91</v>
      </c>
      <c r="M94" s="64">
        <v>60.68</v>
      </c>
      <c r="N94" s="64">
        <v>20.6</v>
      </c>
      <c r="O94" s="64">
        <v>0</v>
      </c>
      <c r="P94" s="64">
        <v>1.3</v>
      </c>
      <c r="Q94" s="64">
        <v>5.45</v>
      </c>
      <c r="R94" s="198"/>
      <c r="S94" s="198"/>
      <c r="T94" s="198"/>
      <c r="U94" s="198"/>
    </row>
    <row r="95" spans="1:26" s="12" customFormat="1" x14ac:dyDescent="0.25">
      <c r="A95" s="214" t="s">
        <v>334</v>
      </c>
      <c r="B95" s="64">
        <v>10.06</v>
      </c>
      <c r="C95" s="64">
        <v>50.39</v>
      </c>
      <c r="D95" s="64">
        <v>36.53</v>
      </c>
      <c r="E95" s="64">
        <v>2.14</v>
      </c>
      <c r="F95" s="64">
        <v>3.39</v>
      </c>
      <c r="G95" s="64">
        <v>78.760000000000005</v>
      </c>
      <c r="H95" s="64">
        <v>38.75</v>
      </c>
      <c r="I95" s="64">
        <v>1.5</v>
      </c>
      <c r="J95" s="64">
        <v>1.25</v>
      </c>
      <c r="K95" s="64">
        <v>113.5</v>
      </c>
      <c r="L95" s="64">
        <v>22.8</v>
      </c>
      <c r="M95" s="64">
        <v>61.55</v>
      </c>
      <c r="N95" s="64">
        <v>20.5</v>
      </c>
      <c r="O95" s="64">
        <v>0</v>
      </c>
      <c r="P95" s="64">
        <v>1.29</v>
      </c>
      <c r="Q95" s="64">
        <v>5.4</v>
      </c>
      <c r="R95" s="198"/>
      <c r="S95" s="198"/>
      <c r="T95" s="198"/>
      <c r="U95" s="198"/>
    </row>
    <row r="96" spans="1:26" s="12" customFormat="1" x14ac:dyDescent="0.25">
      <c r="A96" s="214" t="s">
        <v>335</v>
      </c>
      <c r="B96" s="64">
        <v>9.93</v>
      </c>
      <c r="C96" s="64">
        <v>53.6</v>
      </c>
      <c r="D96" s="64">
        <v>38.19</v>
      </c>
      <c r="E96" s="64">
        <v>2.1800000000000002</v>
      </c>
      <c r="F96" s="64">
        <v>3.43</v>
      </c>
      <c r="G96" s="64">
        <v>78.760000000000005</v>
      </c>
      <c r="H96" s="64">
        <v>38.75</v>
      </c>
      <c r="I96" s="64">
        <v>1.54</v>
      </c>
      <c r="J96" s="64">
        <v>0.49</v>
      </c>
      <c r="K96" s="64">
        <v>101.8</v>
      </c>
      <c r="L96" s="64">
        <v>22.53</v>
      </c>
      <c r="M96" s="64">
        <v>63.12</v>
      </c>
      <c r="N96" s="64">
        <v>20.8</v>
      </c>
      <c r="O96" s="64">
        <v>0</v>
      </c>
      <c r="P96" s="64">
        <v>1.25</v>
      </c>
      <c r="Q96" s="64">
        <v>5.35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336</v>
      </c>
      <c r="B97" s="64">
        <v>19.579999999999998</v>
      </c>
      <c r="C97" s="64">
        <v>67.790000000000006</v>
      </c>
      <c r="D97" s="64">
        <v>53.76</v>
      </c>
      <c r="E97" s="64">
        <v>2.17</v>
      </c>
      <c r="F97" s="64">
        <v>3.35</v>
      </c>
      <c r="G97" s="64">
        <v>78.760000000000005</v>
      </c>
      <c r="H97" s="64">
        <v>38.75</v>
      </c>
      <c r="I97" s="64">
        <v>1.56</v>
      </c>
      <c r="J97" s="64">
        <v>0.23</v>
      </c>
      <c r="K97" s="64">
        <v>99.13</v>
      </c>
      <c r="L97" s="64">
        <v>22.39</v>
      </c>
      <c r="M97" s="64">
        <v>63.84</v>
      </c>
      <c r="N97" s="64">
        <v>20.7</v>
      </c>
      <c r="O97" s="64">
        <v>0</v>
      </c>
      <c r="P97" s="64">
        <v>1.24</v>
      </c>
      <c r="Q97" s="64">
        <v>5.27</v>
      </c>
      <c r="R97" s="198"/>
      <c r="S97" s="198"/>
      <c r="T97" s="198"/>
      <c r="U97" s="198"/>
    </row>
    <row r="98" spans="1:33" s="12" customFormat="1" x14ac:dyDescent="0.25">
      <c r="A98" s="214" t="s">
        <v>337</v>
      </c>
      <c r="B98" s="64">
        <v>17.170000000000002</v>
      </c>
      <c r="C98" s="64">
        <v>60.86</v>
      </c>
      <c r="D98" s="64">
        <v>48</v>
      </c>
      <c r="E98" s="64">
        <v>2.14</v>
      </c>
      <c r="F98" s="64">
        <v>3.16</v>
      </c>
      <c r="G98" s="64">
        <v>76.03</v>
      </c>
      <c r="H98" s="64">
        <v>38.89</v>
      </c>
      <c r="I98" s="64">
        <v>1.49</v>
      </c>
      <c r="J98" s="64">
        <v>0.3</v>
      </c>
      <c r="K98" s="64">
        <v>95.99</v>
      </c>
      <c r="L98" s="64">
        <v>22.13</v>
      </c>
      <c r="M98" s="64">
        <v>65.540000000000006</v>
      </c>
      <c r="N98" s="64">
        <v>20.8</v>
      </c>
      <c r="O98" s="64">
        <v>0</v>
      </c>
      <c r="P98" s="64">
        <v>1.23</v>
      </c>
      <c r="Q98" s="64">
        <v>5.28</v>
      </c>
      <c r="R98" s="198"/>
      <c r="S98" s="198"/>
      <c r="T98" s="198"/>
      <c r="U98" s="198"/>
    </row>
    <row r="99" spans="1:33" s="12" customFormat="1" x14ac:dyDescent="0.25">
      <c r="A99" s="214" t="s">
        <v>338</v>
      </c>
      <c r="B99" s="64">
        <v>17.829999999999998</v>
      </c>
      <c r="C99" s="64">
        <v>56.02</v>
      </c>
      <c r="D99" s="64">
        <v>45.86</v>
      </c>
      <c r="E99" s="64">
        <v>2.2000000000000002</v>
      </c>
      <c r="F99" s="64">
        <v>3.11</v>
      </c>
      <c r="G99" s="64">
        <v>73.17</v>
      </c>
      <c r="H99" s="64">
        <v>38.96</v>
      </c>
      <c r="I99" s="64">
        <v>1.44</v>
      </c>
      <c r="J99" s="64">
        <v>0.33</v>
      </c>
      <c r="K99" s="64">
        <v>105.53</v>
      </c>
      <c r="L99" s="64">
        <v>21.82</v>
      </c>
      <c r="M99" s="64">
        <v>67.989999999999995</v>
      </c>
      <c r="N99" s="64">
        <v>20.8</v>
      </c>
      <c r="O99" s="64">
        <v>0</v>
      </c>
      <c r="P99" s="64">
        <v>1.19</v>
      </c>
      <c r="Q99" s="64">
        <v>5.32</v>
      </c>
      <c r="R99" s="198"/>
      <c r="S99" s="198"/>
      <c r="T99" s="198"/>
      <c r="U99" s="198"/>
    </row>
    <row r="100" spans="1:33" s="12" customFormat="1" x14ac:dyDescent="0.25">
      <c r="A100" s="214" t="s">
        <v>339</v>
      </c>
      <c r="B100" s="64">
        <v>13.68</v>
      </c>
      <c r="C100" s="64">
        <v>56.32</v>
      </c>
      <c r="D100" s="64">
        <v>42.7</v>
      </c>
      <c r="E100" s="64">
        <v>2.2000000000000002</v>
      </c>
      <c r="F100" s="64">
        <v>3.24</v>
      </c>
      <c r="G100" s="64">
        <v>73.17</v>
      </c>
      <c r="H100" s="64">
        <v>38.96</v>
      </c>
      <c r="I100" s="64">
        <v>1.53</v>
      </c>
      <c r="J100" s="64">
        <v>0.59</v>
      </c>
      <c r="K100" s="64">
        <v>105.32</v>
      </c>
      <c r="L100" s="64">
        <v>21.58</v>
      </c>
      <c r="M100" s="64">
        <v>69.77</v>
      </c>
      <c r="N100" s="64">
        <v>20.8</v>
      </c>
      <c r="O100" s="64">
        <v>0</v>
      </c>
      <c r="P100" s="64">
        <v>1.17</v>
      </c>
      <c r="Q100" s="64">
        <v>5.34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340</v>
      </c>
      <c r="B101" s="64">
        <v>9.86</v>
      </c>
      <c r="C101" s="64">
        <v>48.19</v>
      </c>
      <c r="D101" s="64">
        <v>35.14</v>
      </c>
      <c r="E101" s="64">
        <v>2.23</v>
      </c>
      <c r="F101" s="64">
        <v>3.33</v>
      </c>
      <c r="G101" s="64">
        <v>73.17</v>
      </c>
      <c r="H101" s="64">
        <v>38.96</v>
      </c>
      <c r="I101" s="64">
        <v>1.5</v>
      </c>
      <c r="J101" s="64">
        <v>0.66</v>
      </c>
      <c r="K101" s="64">
        <v>103.21</v>
      </c>
      <c r="L101" s="64">
        <v>21.42</v>
      </c>
      <c r="M101" s="64">
        <v>70.84</v>
      </c>
      <c r="N101" s="64">
        <v>20.6</v>
      </c>
      <c r="O101" s="64">
        <v>0</v>
      </c>
      <c r="P101" s="64">
        <v>1.17</v>
      </c>
      <c r="Q101" s="64">
        <v>5.34</v>
      </c>
      <c r="R101" s="198"/>
      <c r="S101" s="198"/>
      <c r="T101" s="198"/>
      <c r="U101" s="198"/>
    </row>
    <row r="102" spans="1:33" s="12" customFormat="1" x14ac:dyDescent="0.25">
      <c r="A102" s="214" t="s">
        <v>341</v>
      </c>
      <c r="B102" s="64">
        <v>7.89</v>
      </c>
      <c r="C102" s="64">
        <v>46.23</v>
      </c>
      <c r="D102" s="64">
        <v>32.49</v>
      </c>
      <c r="E102" s="64">
        <v>2.2400000000000002</v>
      </c>
      <c r="F102" s="64">
        <v>3.29</v>
      </c>
      <c r="G102" s="64">
        <v>70.02</v>
      </c>
      <c r="H102" s="64">
        <v>35.04</v>
      </c>
      <c r="I102" s="64">
        <v>1.53</v>
      </c>
      <c r="J102" s="64">
        <v>0.54</v>
      </c>
      <c r="K102" s="64">
        <v>105.13</v>
      </c>
      <c r="L102" s="64">
        <v>21.15</v>
      </c>
      <c r="M102" s="64">
        <v>72.36</v>
      </c>
      <c r="N102" s="64">
        <v>20.8</v>
      </c>
      <c r="O102" s="64">
        <v>0</v>
      </c>
      <c r="P102" s="64">
        <v>1.1299999999999999</v>
      </c>
      <c r="Q102" s="64">
        <v>5.35</v>
      </c>
      <c r="R102" s="198"/>
      <c r="S102" s="198"/>
      <c r="T102" s="198"/>
      <c r="U102" s="198"/>
    </row>
    <row r="103" spans="1:33" s="12" customFormat="1" x14ac:dyDescent="0.25">
      <c r="A103" s="214" t="s">
        <v>342</v>
      </c>
      <c r="B103" s="64">
        <v>8.42</v>
      </c>
      <c r="C103" s="64">
        <v>45.77</v>
      </c>
      <c r="D103" s="64">
        <v>32.65</v>
      </c>
      <c r="E103" s="64">
        <v>2.25</v>
      </c>
      <c r="F103" s="64">
        <v>3.29</v>
      </c>
      <c r="G103" s="64">
        <v>66.73</v>
      </c>
      <c r="H103" s="64">
        <v>30.75</v>
      </c>
      <c r="I103" s="64">
        <v>1.48</v>
      </c>
      <c r="J103" s="64">
        <v>0.18</v>
      </c>
      <c r="K103" s="64">
        <v>95.67</v>
      </c>
      <c r="L103" s="64">
        <v>20.88</v>
      </c>
      <c r="M103" s="64">
        <v>73.540000000000006</v>
      </c>
      <c r="N103" s="64">
        <v>20.6</v>
      </c>
      <c r="O103" s="64">
        <v>0</v>
      </c>
      <c r="P103" s="64">
        <v>1.1100000000000001</v>
      </c>
      <c r="Q103" s="64">
        <v>5.3</v>
      </c>
      <c r="R103" s="198"/>
      <c r="S103" s="198"/>
      <c r="T103" s="198"/>
      <c r="U103" s="198"/>
    </row>
    <row r="104" spans="1:33" s="12" customFormat="1" x14ac:dyDescent="0.25">
      <c r="A104" s="214" t="s">
        <v>343</v>
      </c>
      <c r="B104" s="64">
        <v>10.06</v>
      </c>
      <c r="C104" s="64">
        <v>45.66</v>
      </c>
      <c r="D104" s="64">
        <v>33.92</v>
      </c>
      <c r="E104" s="64">
        <v>2.11</v>
      </c>
      <c r="F104" s="64">
        <v>3.28</v>
      </c>
      <c r="G104" s="64">
        <v>66.73</v>
      </c>
      <c r="H104" s="64">
        <v>30.75</v>
      </c>
      <c r="I104" s="64">
        <v>1.53</v>
      </c>
      <c r="J104" s="64">
        <v>0.14000000000000001</v>
      </c>
      <c r="K104" s="64">
        <v>75.05</v>
      </c>
      <c r="L104" s="64">
        <v>20.57</v>
      </c>
      <c r="M104" s="64">
        <v>75.17</v>
      </c>
      <c r="N104" s="64">
        <v>20.399999999999999</v>
      </c>
      <c r="O104" s="64">
        <v>0</v>
      </c>
      <c r="P104" s="64">
        <v>1.1100000000000001</v>
      </c>
      <c r="Q104" s="64">
        <v>5.36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3.21</v>
      </c>
      <c r="C106" s="67">
        <f>MIN(C9:C104)</f>
        <v>37.21</v>
      </c>
      <c r="D106" s="67">
        <f t="shared" ref="D106:Q106" si="0">MIN(D9:D104)</f>
        <v>25.37</v>
      </c>
      <c r="E106" s="67">
        <f t="shared" si="0"/>
        <v>2.02</v>
      </c>
      <c r="F106" s="67">
        <f t="shared" si="0"/>
        <v>2.88</v>
      </c>
      <c r="G106" s="67">
        <f t="shared" si="0"/>
        <v>44.46</v>
      </c>
      <c r="H106" s="67">
        <f t="shared" si="0"/>
        <v>22.35</v>
      </c>
      <c r="I106" s="67">
        <f t="shared" si="0"/>
        <v>1.38</v>
      </c>
      <c r="J106" s="67">
        <f t="shared" si="0"/>
        <v>0.02</v>
      </c>
      <c r="K106" s="67">
        <f t="shared" si="0"/>
        <v>2.93</v>
      </c>
      <c r="L106" s="67">
        <f t="shared" si="0"/>
        <v>17.53</v>
      </c>
      <c r="M106" s="67">
        <f t="shared" si="0"/>
        <v>41.07</v>
      </c>
      <c r="N106" s="67">
        <f t="shared" si="0"/>
        <v>19</v>
      </c>
      <c r="O106" s="67">
        <f t="shared" si="0"/>
        <v>0</v>
      </c>
      <c r="P106" s="67">
        <f t="shared" si="0"/>
        <v>0.65</v>
      </c>
      <c r="Q106" s="67">
        <f t="shared" si="0"/>
        <v>4.78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32.119999999999997</v>
      </c>
      <c r="C107" s="66">
        <f t="shared" ref="C107:Q107" si="1">MAX(C9:C104)</f>
        <v>76.650000000000006</v>
      </c>
      <c r="D107" s="66">
        <f t="shared" si="1"/>
        <v>66.400000000000006</v>
      </c>
      <c r="E107" s="66">
        <f t="shared" si="1"/>
        <v>2.31</v>
      </c>
      <c r="F107" s="66">
        <f t="shared" si="1"/>
        <v>4.08</v>
      </c>
      <c r="G107" s="66">
        <f t="shared" si="1"/>
        <v>89.76</v>
      </c>
      <c r="H107" s="66">
        <f t="shared" si="1"/>
        <v>53.37</v>
      </c>
      <c r="I107" s="66">
        <f t="shared" si="1"/>
        <v>1.63</v>
      </c>
      <c r="J107" s="66">
        <f t="shared" si="1"/>
        <v>1.71</v>
      </c>
      <c r="K107" s="66">
        <f t="shared" si="1"/>
        <v>356.61</v>
      </c>
      <c r="L107" s="66">
        <f t="shared" si="1"/>
        <v>27.75</v>
      </c>
      <c r="M107" s="66">
        <f t="shared" si="1"/>
        <v>93.08</v>
      </c>
      <c r="N107" s="66">
        <f t="shared" si="1"/>
        <v>726.2</v>
      </c>
      <c r="O107" s="66">
        <f t="shared" si="1"/>
        <v>0</v>
      </c>
      <c r="P107" s="66">
        <f t="shared" si="1"/>
        <v>1.36</v>
      </c>
      <c r="Q107" s="66">
        <f t="shared" si="1"/>
        <v>5.55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9.3739583333333325</v>
      </c>
      <c r="C108" s="67">
        <f t="shared" ref="C108:Q108" si="2">AVERAGE(C9:C104)</f>
        <v>49.440312500000005</v>
      </c>
      <c r="D108" s="67">
        <f t="shared" si="2"/>
        <v>35.448541666666671</v>
      </c>
      <c r="E108" s="67">
        <f t="shared" si="2"/>
        <v>2.2047916666666656</v>
      </c>
      <c r="F108" s="67">
        <f t="shared" si="2"/>
        <v>3.4156249999999999</v>
      </c>
      <c r="G108" s="67">
        <f t="shared" si="2"/>
        <v>59.285303030303069</v>
      </c>
      <c r="H108" s="67">
        <f t="shared" si="2"/>
        <v>32.530757575757569</v>
      </c>
      <c r="I108" s="67">
        <f t="shared" si="2"/>
        <v>1.4990624999999993</v>
      </c>
      <c r="J108" s="67">
        <f t="shared" si="2"/>
        <v>0.4993749999999999</v>
      </c>
      <c r="K108" s="67">
        <f t="shared" si="2"/>
        <v>98.938437499999949</v>
      </c>
      <c r="L108" s="67">
        <f t="shared" si="2"/>
        <v>22.630208333333339</v>
      </c>
      <c r="M108" s="67">
        <f t="shared" si="2"/>
        <v>65.524062500000028</v>
      </c>
      <c r="N108" s="67">
        <f t="shared" si="2"/>
        <v>172.56041666666667</v>
      </c>
      <c r="O108" s="67">
        <f t="shared" si="2"/>
        <v>0</v>
      </c>
      <c r="P108" s="67">
        <f t="shared" si="2"/>
        <v>0.90854166666666669</v>
      </c>
      <c r="Q108" s="67">
        <f t="shared" si="2"/>
        <v>5.1427083333333288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5.1234541143064316</v>
      </c>
      <c r="C109" s="67">
        <f t="shared" ref="C109:Q109" si="3">STDEV(C9:C104)</f>
        <v>8.7071519850516488</v>
      </c>
      <c r="D109" s="67">
        <f t="shared" si="3"/>
        <v>8.3452781454281695</v>
      </c>
      <c r="E109" s="67">
        <f t="shared" si="3"/>
        <v>5.4579332249230804E-2</v>
      </c>
      <c r="F109" s="67">
        <f t="shared" si="3"/>
        <v>0.26387322514300005</v>
      </c>
      <c r="G109" s="67">
        <f t="shared" si="3"/>
        <v>12.575274545979251</v>
      </c>
      <c r="H109" s="67">
        <f t="shared" si="3"/>
        <v>7.0507261624068951</v>
      </c>
      <c r="I109" s="67">
        <f t="shared" si="3"/>
        <v>4.6250533425088912E-2</v>
      </c>
      <c r="J109" s="67">
        <f t="shared" si="3"/>
        <v>0.4442019751608971</v>
      </c>
      <c r="K109" s="67">
        <f t="shared" si="3"/>
        <v>62.936196753088176</v>
      </c>
      <c r="L109" s="67">
        <f t="shared" si="3"/>
        <v>3.225807440060664</v>
      </c>
      <c r="M109" s="67">
        <f t="shared" si="3"/>
        <v>15.489010200996594</v>
      </c>
      <c r="N109" s="67">
        <f t="shared" si="3"/>
        <v>241.86909007241113</v>
      </c>
      <c r="O109" s="67">
        <f t="shared" si="3"/>
        <v>0</v>
      </c>
      <c r="P109" s="67">
        <f t="shared" si="3"/>
        <v>0.19365720754748086</v>
      </c>
      <c r="Q109" s="67">
        <f t="shared" si="3"/>
        <v>0.17707850870620648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COUNT(G9:G104)+30</f>
        <v>96</v>
      </c>
      <c r="H110" s="66">
        <f>COUNT(H9:H104)+30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344</v>
      </c>
      <c r="B9" s="64">
        <v>9.9</v>
      </c>
      <c r="C9" s="64">
        <v>44</v>
      </c>
      <c r="D9" s="64">
        <v>32.869999999999997</v>
      </c>
      <c r="E9" s="64">
        <v>2.2000000000000002</v>
      </c>
      <c r="F9" s="64">
        <v>3.47</v>
      </c>
      <c r="G9" s="64">
        <v>66.73</v>
      </c>
      <c r="H9" s="64">
        <v>30.75</v>
      </c>
      <c r="I9" s="64">
        <v>1.6</v>
      </c>
      <c r="J9" s="64">
        <v>0.13</v>
      </c>
      <c r="K9" s="64">
        <v>58.18</v>
      </c>
      <c r="L9" s="64">
        <v>20.38</v>
      </c>
      <c r="M9" s="64">
        <v>76.349999999999994</v>
      </c>
      <c r="N9" s="64">
        <v>20.3</v>
      </c>
      <c r="O9" s="64">
        <v>0</v>
      </c>
      <c r="P9" s="64">
        <v>1.0900000000000001</v>
      </c>
      <c r="Q9" s="64">
        <v>5.26</v>
      </c>
      <c r="R9" s="198"/>
      <c r="S9" s="198"/>
      <c r="T9" s="198"/>
      <c r="U9" s="198"/>
    </row>
    <row r="10" spans="1:21" s="12" customFormat="1" x14ac:dyDescent="0.25">
      <c r="A10" s="214" t="s">
        <v>345</v>
      </c>
      <c r="B10" s="64">
        <v>9.06</v>
      </c>
      <c r="C10" s="64">
        <v>41.95</v>
      </c>
      <c r="D10" s="64">
        <v>31.06</v>
      </c>
      <c r="E10" s="64">
        <v>2.2400000000000002</v>
      </c>
      <c r="F10" s="64">
        <v>3.29</v>
      </c>
      <c r="G10" s="64">
        <v>63.74</v>
      </c>
      <c r="H10" s="64">
        <v>32.479999999999997</v>
      </c>
      <c r="I10" s="64">
        <v>1.47</v>
      </c>
      <c r="J10" s="64">
        <v>0.19</v>
      </c>
      <c r="K10" s="64">
        <v>93.54</v>
      </c>
      <c r="L10" s="64">
        <v>20.329999999999998</v>
      </c>
      <c r="M10" s="64">
        <v>76.290000000000006</v>
      </c>
      <c r="N10" s="64">
        <v>20.3</v>
      </c>
      <c r="O10" s="64">
        <v>0</v>
      </c>
      <c r="P10" s="64">
        <v>1.07</v>
      </c>
      <c r="Q10" s="64">
        <v>5.0999999999999996</v>
      </c>
      <c r="R10" s="198"/>
      <c r="S10" s="198"/>
      <c r="T10" s="198"/>
      <c r="U10" s="198"/>
    </row>
    <row r="11" spans="1:21" s="12" customFormat="1" x14ac:dyDescent="0.25">
      <c r="A11" s="214" t="s">
        <v>346</v>
      </c>
      <c r="B11" s="64">
        <v>8.39</v>
      </c>
      <c r="C11" s="64">
        <v>42.59</v>
      </c>
      <c r="D11" s="64">
        <v>30.88</v>
      </c>
      <c r="E11" s="64">
        <v>2.33</v>
      </c>
      <c r="F11" s="64">
        <v>3.41</v>
      </c>
      <c r="G11" s="64">
        <v>60.62</v>
      </c>
      <c r="H11" s="64">
        <v>33.39</v>
      </c>
      <c r="I11" s="64">
        <v>1.51</v>
      </c>
      <c r="J11" s="64">
        <v>7.0000000000000007E-2</v>
      </c>
      <c r="K11" s="64">
        <v>326.88</v>
      </c>
      <c r="L11" s="64">
        <v>20.22</v>
      </c>
      <c r="M11" s="64">
        <v>76.92</v>
      </c>
      <c r="N11" s="64">
        <v>20.399999999999999</v>
      </c>
      <c r="O11" s="64">
        <v>0</v>
      </c>
      <c r="P11" s="64">
        <v>1.03</v>
      </c>
      <c r="Q11" s="64">
        <v>5.04</v>
      </c>
      <c r="R11" s="198"/>
      <c r="S11" s="198"/>
      <c r="T11" s="198"/>
      <c r="U11" s="198"/>
    </row>
    <row r="12" spans="1:21" s="12" customFormat="1" x14ac:dyDescent="0.25">
      <c r="A12" s="214" t="s">
        <v>347</v>
      </c>
      <c r="B12" s="64">
        <v>8.15</v>
      </c>
      <c r="C12" s="64">
        <v>42.04</v>
      </c>
      <c r="D12" s="64">
        <v>30.38</v>
      </c>
      <c r="E12" s="64">
        <v>2.2200000000000002</v>
      </c>
      <c r="F12" s="64">
        <v>3.39</v>
      </c>
      <c r="G12" s="64">
        <v>60.62</v>
      </c>
      <c r="H12" s="64">
        <v>33.39</v>
      </c>
      <c r="I12" s="64">
        <v>1.56</v>
      </c>
      <c r="J12" s="64">
        <v>7.0000000000000007E-2</v>
      </c>
      <c r="K12" s="64">
        <v>357.33</v>
      </c>
      <c r="L12" s="64">
        <v>20.059999999999999</v>
      </c>
      <c r="M12" s="64">
        <v>76.930000000000007</v>
      </c>
      <c r="N12" s="64">
        <v>20.399999999999999</v>
      </c>
      <c r="O12" s="64">
        <v>0</v>
      </c>
      <c r="P12" s="64">
        <v>1.02</v>
      </c>
      <c r="Q12" s="64">
        <v>4.99</v>
      </c>
      <c r="R12" s="198"/>
      <c r="S12" s="198"/>
      <c r="T12" s="198"/>
      <c r="U12" s="198"/>
    </row>
    <row r="13" spans="1:21" s="12" customFormat="1" x14ac:dyDescent="0.25">
      <c r="A13" s="214" t="s">
        <v>348</v>
      </c>
      <c r="B13" s="64">
        <v>7.74</v>
      </c>
      <c r="C13" s="64">
        <v>40.67</v>
      </c>
      <c r="D13" s="64">
        <v>29.3</v>
      </c>
      <c r="E13" s="64">
        <v>2.23</v>
      </c>
      <c r="F13" s="64">
        <v>3.5</v>
      </c>
      <c r="G13" s="64">
        <v>60.62</v>
      </c>
      <c r="H13" s="64">
        <v>33.39</v>
      </c>
      <c r="I13" s="64">
        <v>1.44</v>
      </c>
      <c r="J13" s="64">
        <v>0.06</v>
      </c>
      <c r="K13" s="64">
        <v>340.56</v>
      </c>
      <c r="L13" s="64">
        <v>19.96</v>
      </c>
      <c r="M13" s="64">
        <v>77.010000000000005</v>
      </c>
      <c r="N13" s="64">
        <v>20.399999999999999</v>
      </c>
      <c r="O13" s="64">
        <v>0</v>
      </c>
      <c r="P13" s="64">
        <v>0.96</v>
      </c>
      <c r="Q13" s="64">
        <v>4.91</v>
      </c>
      <c r="R13" s="198"/>
      <c r="S13" s="198"/>
      <c r="T13" s="198"/>
      <c r="U13" s="198"/>
    </row>
    <row r="14" spans="1:21" s="12" customFormat="1" x14ac:dyDescent="0.25">
      <c r="A14" s="214" t="s">
        <v>349</v>
      </c>
      <c r="B14" s="64">
        <v>6.76</v>
      </c>
      <c r="C14" s="64">
        <v>40.270000000000003</v>
      </c>
      <c r="D14" s="64">
        <v>28.29</v>
      </c>
      <c r="E14" s="64">
        <v>2.2000000000000002</v>
      </c>
      <c r="F14" s="64">
        <v>3.45</v>
      </c>
      <c r="G14" s="64">
        <v>61.77</v>
      </c>
      <c r="H14" s="64">
        <v>29.95</v>
      </c>
      <c r="I14" s="64">
        <v>1.47</v>
      </c>
      <c r="J14" s="64">
        <v>0.08</v>
      </c>
      <c r="K14" s="64">
        <v>335.54</v>
      </c>
      <c r="L14" s="64">
        <v>19.96</v>
      </c>
      <c r="M14" s="64">
        <v>76.73</v>
      </c>
      <c r="N14" s="64">
        <v>20.399999999999999</v>
      </c>
      <c r="O14" s="64">
        <v>0</v>
      </c>
      <c r="P14" s="64">
        <v>0.97</v>
      </c>
      <c r="Q14" s="64">
        <v>4.91</v>
      </c>
      <c r="R14" s="198"/>
      <c r="S14" s="198"/>
      <c r="T14" s="198"/>
      <c r="U14" s="198"/>
    </row>
    <row r="15" spans="1:21" s="12" customFormat="1" x14ac:dyDescent="0.25">
      <c r="A15" s="214" t="s">
        <v>350</v>
      </c>
      <c r="B15" s="64">
        <v>6.47</v>
      </c>
      <c r="C15" s="64">
        <v>40.51</v>
      </c>
      <c r="D15" s="64">
        <v>28.19</v>
      </c>
      <c r="E15" s="64">
        <v>2.16</v>
      </c>
      <c r="F15" s="64">
        <v>3.26</v>
      </c>
      <c r="G15" s="64">
        <v>62.97</v>
      </c>
      <c r="H15" s="64">
        <v>28.15</v>
      </c>
      <c r="I15" s="64">
        <v>1.49</v>
      </c>
      <c r="J15" s="64">
        <v>0.12</v>
      </c>
      <c r="K15" s="64">
        <v>319.44</v>
      </c>
      <c r="L15" s="64">
        <v>19.989999999999998</v>
      </c>
      <c r="M15" s="64">
        <v>76.53</v>
      </c>
      <c r="N15" s="64">
        <v>20.399999999999999</v>
      </c>
      <c r="O15" s="64">
        <v>0</v>
      </c>
      <c r="P15" s="64">
        <v>0.96</v>
      </c>
      <c r="Q15" s="64">
        <v>5.0599999999999996</v>
      </c>
      <c r="R15" s="198"/>
      <c r="S15" s="198"/>
      <c r="T15" s="198"/>
      <c r="U15" s="198"/>
    </row>
    <row r="16" spans="1:21" s="12" customFormat="1" x14ac:dyDescent="0.25">
      <c r="A16" s="214" t="s">
        <v>351</v>
      </c>
      <c r="B16" s="64">
        <v>6.57</v>
      </c>
      <c r="C16" s="64">
        <v>42.28</v>
      </c>
      <c r="D16" s="64">
        <v>29.25</v>
      </c>
      <c r="E16" s="64">
        <v>2.1800000000000002</v>
      </c>
      <c r="F16" s="64">
        <v>3.46</v>
      </c>
      <c r="G16" s="64">
        <v>62.97</v>
      </c>
      <c r="H16" s="64">
        <v>28.15</v>
      </c>
      <c r="I16" s="64">
        <v>1.51</v>
      </c>
      <c r="J16" s="64">
        <v>0.38</v>
      </c>
      <c r="K16" s="64">
        <v>338.33</v>
      </c>
      <c r="L16" s="64">
        <v>20</v>
      </c>
      <c r="M16" s="64">
        <v>77.45</v>
      </c>
      <c r="N16" s="64">
        <v>20.399999999999999</v>
      </c>
      <c r="O16" s="64">
        <v>0</v>
      </c>
      <c r="P16" s="64">
        <v>0.94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4" t="s">
        <v>352</v>
      </c>
      <c r="B17" s="64">
        <v>5.49</v>
      </c>
      <c r="C17" s="64">
        <v>38.82</v>
      </c>
      <c r="D17" s="64">
        <v>26.47</v>
      </c>
      <c r="E17" s="64">
        <v>2.2599999999999998</v>
      </c>
      <c r="F17" s="64">
        <v>3.33</v>
      </c>
      <c r="G17" s="64">
        <v>62.97</v>
      </c>
      <c r="H17" s="64">
        <v>28.15</v>
      </c>
      <c r="I17" s="64">
        <v>1.47</v>
      </c>
      <c r="J17" s="64">
        <v>0.28999999999999998</v>
      </c>
      <c r="K17" s="64">
        <v>334.83</v>
      </c>
      <c r="L17" s="64">
        <v>19.73</v>
      </c>
      <c r="M17" s="64">
        <v>80.819999999999993</v>
      </c>
      <c r="N17" s="64">
        <v>20.8</v>
      </c>
      <c r="O17" s="64">
        <v>0</v>
      </c>
      <c r="P17" s="64">
        <v>0.92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353</v>
      </c>
      <c r="B18" s="64">
        <v>5.74</v>
      </c>
      <c r="C18" s="64">
        <v>38.32</v>
      </c>
      <c r="D18" s="64">
        <v>26.4</v>
      </c>
      <c r="E18" s="64">
        <v>2.2200000000000002</v>
      </c>
      <c r="F18" s="64">
        <v>3.28</v>
      </c>
      <c r="G18" s="64">
        <v>61.92</v>
      </c>
      <c r="H18" s="64">
        <v>29.39</v>
      </c>
      <c r="I18" s="64">
        <v>1.46</v>
      </c>
      <c r="J18" s="64">
        <v>7.0000000000000007E-2</v>
      </c>
      <c r="K18" s="64">
        <v>301.26</v>
      </c>
      <c r="L18" s="64">
        <v>19.260000000000002</v>
      </c>
      <c r="M18" s="64">
        <v>83.98</v>
      </c>
      <c r="N18" s="64">
        <v>20.7</v>
      </c>
      <c r="O18" s="64">
        <v>0</v>
      </c>
      <c r="P18" s="64">
        <v>0.91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4" t="s">
        <v>354</v>
      </c>
      <c r="B19" s="64">
        <v>6.62</v>
      </c>
      <c r="C19" s="64">
        <v>37.520000000000003</v>
      </c>
      <c r="D19" s="64">
        <v>26.66</v>
      </c>
      <c r="E19" s="64">
        <v>2.16</v>
      </c>
      <c r="F19" s="64">
        <v>3.24</v>
      </c>
      <c r="G19" s="64">
        <v>60.82</v>
      </c>
      <c r="H19" s="64">
        <v>30.03</v>
      </c>
      <c r="I19" s="64">
        <v>1.52</v>
      </c>
      <c r="J19" s="64">
        <v>0.09</v>
      </c>
      <c r="K19" s="64">
        <v>94.51</v>
      </c>
      <c r="L19" s="64">
        <v>19.09</v>
      </c>
      <c r="M19" s="64">
        <v>84.63</v>
      </c>
      <c r="N19" s="64">
        <v>20.2</v>
      </c>
      <c r="O19" s="64">
        <v>0</v>
      </c>
      <c r="P19" s="64">
        <v>0.89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4" t="s">
        <v>355</v>
      </c>
      <c r="B20" s="64">
        <v>6.17</v>
      </c>
      <c r="C20" s="64">
        <v>36.92</v>
      </c>
      <c r="D20" s="64">
        <v>25.96</v>
      </c>
      <c r="E20" s="64">
        <v>2.17</v>
      </c>
      <c r="F20" s="64">
        <v>3.33</v>
      </c>
      <c r="G20" s="64">
        <v>60.82</v>
      </c>
      <c r="H20" s="64">
        <v>30.03</v>
      </c>
      <c r="I20" s="64">
        <v>1.54</v>
      </c>
      <c r="J20" s="64">
        <v>0.27</v>
      </c>
      <c r="K20" s="64">
        <v>336.49</v>
      </c>
      <c r="L20" s="64">
        <v>19.07</v>
      </c>
      <c r="M20" s="64">
        <v>85.4</v>
      </c>
      <c r="N20" s="64">
        <v>20.2</v>
      </c>
      <c r="O20" s="64">
        <v>0</v>
      </c>
      <c r="P20" s="64">
        <v>0.87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4" t="s">
        <v>356</v>
      </c>
      <c r="B21" s="64">
        <v>5</v>
      </c>
      <c r="C21" s="64">
        <v>35.89</v>
      </c>
      <c r="D21" s="64">
        <v>24.46</v>
      </c>
      <c r="E21" s="64">
        <v>2.2200000000000002</v>
      </c>
      <c r="F21" s="64">
        <v>3.42</v>
      </c>
      <c r="G21" s="64">
        <v>60.82</v>
      </c>
      <c r="H21" s="64">
        <v>30.03</v>
      </c>
      <c r="I21" s="64">
        <v>1.49</v>
      </c>
      <c r="J21" s="64">
        <v>0.39</v>
      </c>
      <c r="K21" s="64">
        <v>337.05</v>
      </c>
      <c r="L21" s="64">
        <v>19.079999999999998</v>
      </c>
      <c r="M21" s="64">
        <v>86.23</v>
      </c>
      <c r="N21" s="64">
        <v>20.2</v>
      </c>
      <c r="O21" s="64">
        <v>0</v>
      </c>
      <c r="P21" s="64">
        <v>0.86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4" t="s">
        <v>357</v>
      </c>
      <c r="B22" s="64">
        <v>8.1</v>
      </c>
      <c r="C22" s="64">
        <v>39.35</v>
      </c>
      <c r="D22" s="64">
        <v>28.86</v>
      </c>
      <c r="E22" s="64">
        <v>2.1800000000000002</v>
      </c>
      <c r="F22" s="64">
        <v>3.46</v>
      </c>
      <c r="G22" s="64">
        <v>60.71</v>
      </c>
      <c r="H22" s="64">
        <v>29.71</v>
      </c>
      <c r="I22" s="64">
        <v>1.58</v>
      </c>
      <c r="J22" s="64">
        <v>0.28999999999999998</v>
      </c>
      <c r="K22" s="64">
        <v>339.5</v>
      </c>
      <c r="L22" s="64">
        <v>18.98</v>
      </c>
      <c r="M22" s="64">
        <v>87.53</v>
      </c>
      <c r="N22" s="64">
        <v>20.3</v>
      </c>
      <c r="O22" s="64">
        <v>0</v>
      </c>
      <c r="P22" s="64">
        <v>0.85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4" t="s">
        <v>358</v>
      </c>
      <c r="B23" s="64">
        <v>6.99</v>
      </c>
      <c r="C23" s="64">
        <v>37.24</v>
      </c>
      <c r="D23" s="64">
        <v>26.81</v>
      </c>
      <c r="E23" s="64">
        <v>2.2400000000000002</v>
      </c>
      <c r="F23" s="64">
        <v>3.21</v>
      </c>
      <c r="G23" s="64">
        <v>60.61</v>
      </c>
      <c r="H23" s="64">
        <v>29.36</v>
      </c>
      <c r="I23" s="64">
        <v>1.48</v>
      </c>
      <c r="J23" s="64">
        <v>7.0000000000000007E-2</v>
      </c>
      <c r="K23" s="64">
        <v>74.319999999999993</v>
      </c>
      <c r="L23" s="64">
        <v>18.82</v>
      </c>
      <c r="M23" s="64">
        <v>88.37</v>
      </c>
      <c r="N23" s="64">
        <v>20.3</v>
      </c>
      <c r="O23" s="64">
        <v>0</v>
      </c>
      <c r="P23" s="64">
        <v>0.84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4" t="s">
        <v>359</v>
      </c>
      <c r="B24" s="64">
        <v>8.06</v>
      </c>
      <c r="C24" s="64">
        <v>35.79</v>
      </c>
      <c r="D24" s="64">
        <v>26.86</v>
      </c>
      <c r="E24" s="64">
        <v>2.1</v>
      </c>
      <c r="F24" s="64">
        <v>3.12</v>
      </c>
      <c r="G24" s="64">
        <v>60.61</v>
      </c>
      <c r="H24" s="64">
        <v>29.36</v>
      </c>
      <c r="I24" s="64">
        <v>1.58</v>
      </c>
      <c r="J24" s="64">
        <v>0.09</v>
      </c>
      <c r="K24" s="64">
        <v>104.17</v>
      </c>
      <c r="L24" s="64">
        <v>18.690000000000001</v>
      </c>
      <c r="M24" s="64">
        <v>88.61</v>
      </c>
      <c r="N24" s="64">
        <v>20.3</v>
      </c>
      <c r="O24" s="64">
        <v>0</v>
      </c>
      <c r="P24" s="64">
        <v>0.83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4" t="s">
        <v>360</v>
      </c>
      <c r="B25" s="64">
        <v>10.43</v>
      </c>
      <c r="C25" s="64">
        <v>40.53</v>
      </c>
      <c r="D25" s="64">
        <v>31.37</v>
      </c>
      <c r="E25" s="64">
        <v>2.14</v>
      </c>
      <c r="F25" s="64">
        <v>3.33</v>
      </c>
      <c r="G25" s="64">
        <v>60.61</v>
      </c>
      <c r="H25" s="64">
        <v>29.36</v>
      </c>
      <c r="I25" s="64">
        <v>1.5</v>
      </c>
      <c r="J25" s="64">
        <v>0.1</v>
      </c>
      <c r="K25" s="64">
        <v>93.6</v>
      </c>
      <c r="L25" s="64">
        <v>18.73</v>
      </c>
      <c r="M25" s="64">
        <v>87.8</v>
      </c>
      <c r="N25" s="64">
        <v>20.100000000000001</v>
      </c>
      <c r="O25" s="64">
        <v>0</v>
      </c>
      <c r="P25" s="64">
        <v>0.83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361</v>
      </c>
      <c r="B26" s="64">
        <v>9.01</v>
      </c>
      <c r="C26" s="64">
        <v>40.82</v>
      </c>
      <c r="D26" s="64">
        <v>30.4</v>
      </c>
      <c r="E26" s="64">
        <v>2.14</v>
      </c>
      <c r="F26" s="64">
        <v>3.46</v>
      </c>
      <c r="G26" s="64">
        <v>61.57</v>
      </c>
      <c r="H26" s="64">
        <v>25.63</v>
      </c>
      <c r="I26" s="64">
        <v>1.52</v>
      </c>
      <c r="J26" s="64">
        <v>0.19</v>
      </c>
      <c r="K26" s="64">
        <v>109.49</v>
      </c>
      <c r="L26" s="64">
        <v>18.760000000000002</v>
      </c>
      <c r="M26" s="64">
        <v>87.23</v>
      </c>
      <c r="N26" s="64">
        <v>20.100000000000001</v>
      </c>
      <c r="O26" s="64">
        <v>0</v>
      </c>
      <c r="P26" s="64">
        <v>0.82</v>
      </c>
      <c r="Q26" s="64">
        <v>5.2</v>
      </c>
      <c r="R26" s="198"/>
      <c r="S26" s="198"/>
      <c r="T26" s="198"/>
      <c r="U26" s="198"/>
    </row>
    <row r="27" spans="1:21" s="12" customFormat="1" x14ac:dyDescent="0.25">
      <c r="A27" s="214" t="s">
        <v>362</v>
      </c>
      <c r="B27" s="64">
        <v>7.55</v>
      </c>
      <c r="C27" s="64">
        <v>39.78</v>
      </c>
      <c r="D27" s="64">
        <v>28.65</v>
      </c>
      <c r="E27" s="64">
        <v>2.2400000000000002</v>
      </c>
      <c r="F27" s="64">
        <v>3.48</v>
      </c>
      <c r="G27" s="64">
        <v>62.57</v>
      </c>
      <c r="H27" s="64">
        <v>23.63</v>
      </c>
      <c r="I27" s="64">
        <v>1.5</v>
      </c>
      <c r="J27" s="64">
        <v>0.28999999999999998</v>
      </c>
      <c r="K27" s="64">
        <v>93.31</v>
      </c>
      <c r="L27" s="64">
        <v>18.8</v>
      </c>
      <c r="M27" s="64">
        <v>85.98</v>
      </c>
      <c r="N27" s="64">
        <v>20.2</v>
      </c>
      <c r="O27" s="64">
        <v>0</v>
      </c>
      <c r="P27" s="64">
        <v>0.81</v>
      </c>
      <c r="Q27" s="64">
        <v>5.13</v>
      </c>
      <c r="R27" s="198"/>
      <c r="S27" s="198"/>
      <c r="T27" s="198"/>
      <c r="U27" s="198"/>
    </row>
    <row r="28" spans="1:21" s="12" customFormat="1" x14ac:dyDescent="0.25">
      <c r="A28" s="214" t="s">
        <v>363</v>
      </c>
      <c r="B28" s="64">
        <v>6.46</v>
      </c>
      <c r="C28" s="64">
        <v>37.21</v>
      </c>
      <c r="D28" s="64">
        <v>26.36</v>
      </c>
      <c r="E28" s="64">
        <v>2.2200000000000002</v>
      </c>
      <c r="F28" s="64">
        <v>3.36</v>
      </c>
      <c r="G28" s="64">
        <v>62.57</v>
      </c>
      <c r="H28" s="64">
        <v>23.63</v>
      </c>
      <c r="I28" s="64">
        <v>1.45</v>
      </c>
      <c r="J28" s="64">
        <v>0.36</v>
      </c>
      <c r="K28" s="64">
        <v>95.81</v>
      </c>
      <c r="L28" s="64">
        <v>18.829999999999998</v>
      </c>
      <c r="M28" s="64">
        <v>84.77</v>
      </c>
      <c r="N28" s="64">
        <v>20.100000000000001</v>
      </c>
      <c r="O28" s="64">
        <v>0</v>
      </c>
      <c r="P28" s="64">
        <v>0.8</v>
      </c>
      <c r="Q28" s="64">
        <v>5.08</v>
      </c>
      <c r="R28" s="198"/>
      <c r="S28" s="198"/>
      <c r="T28" s="198"/>
      <c r="U28" s="198"/>
    </row>
    <row r="29" spans="1:21" s="12" customFormat="1" x14ac:dyDescent="0.25">
      <c r="A29" s="214" t="s">
        <v>364</v>
      </c>
      <c r="B29" s="64">
        <v>6.66</v>
      </c>
      <c r="C29" s="64">
        <v>36.729999999999997</v>
      </c>
      <c r="D29" s="64">
        <v>26.26</v>
      </c>
      <c r="E29" s="64">
        <v>2.17</v>
      </c>
      <c r="F29" s="64">
        <v>3.49</v>
      </c>
      <c r="G29" s="64">
        <v>62.57</v>
      </c>
      <c r="H29" s="64">
        <v>23.63</v>
      </c>
      <c r="I29" s="64">
        <v>1.52</v>
      </c>
      <c r="J29" s="64">
        <v>0.51</v>
      </c>
      <c r="K29" s="64">
        <v>103.84</v>
      </c>
      <c r="L29" s="64">
        <v>18.82</v>
      </c>
      <c r="M29" s="64">
        <v>84.36</v>
      </c>
      <c r="N29" s="64">
        <v>20.2</v>
      </c>
      <c r="O29" s="64">
        <v>0</v>
      </c>
      <c r="P29" s="64">
        <v>0.79</v>
      </c>
      <c r="Q29" s="64">
        <v>5.04</v>
      </c>
      <c r="R29" s="198"/>
      <c r="S29" s="198"/>
      <c r="T29" s="198"/>
      <c r="U29" s="198"/>
    </row>
    <row r="30" spans="1:21" s="12" customFormat="1" x14ac:dyDescent="0.25">
      <c r="A30" s="214" t="s">
        <v>365</v>
      </c>
      <c r="B30" s="64">
        <v>6.93</v>
      </c>
      <c r="C30" s="64">
        <v>36.25</v>
      </c>
      <c r="D30" s="64">
        <v>26.21</v>
      </c>
      <c r="E30" s="64">
        <v>2.17</v>
      </c>
      <c r="F30" s="64">
        <v>3.41</v>
      </c>
      <c r="G30" s="64">
        <v>59</v>
      </c>
      <c r="H30" s="64">
        <v>30.9</v>
      </c>
      <c r="I30" s="64">
        <v>1.46</v>
      </c>
      <c r="J30" s="64">
        <v>0.66</v>
      </c>
      <c r="K30" s="64">
        <v>107.88</v>
      </c>
      <c r="L30" s="64">
        <v>18.82</v>
      </c>
      <c r="M30" s="64">
        <v>84.33</v>
      </c>
      <c r="N30" s="64">
        <v>20.3</v>
      </c>
      <c r="O30" s="64">
        <v>0</v>
      </c>
      <c r="P30" s="64">
        <v>0.79</v>
      </c>
      <c r="Q30" s="64">
        <v>4.99</v>
      </c>
      <c r="R30" s="198"/>
      <c r="S30" s="198"/>
      <c r="T30" s="198"/>
      <c r="U30" s="198"/>
    </row>
    <row r="31" spans="1:21" s="12" customFormat="1" x14ac:dyDescent="0.25">
      <c r="A31" s="214" t="s">
        <v>366</v>
      </c>
      <c r="B31" s="64">
        <v>8.52</v>
      </c>
      <c r="C31" s="64">
        <v>32.94</v>
      </c>
      <c r="D31" s="64">
        <v>25.66</v>
      </c>
      <c r="E31" s="64">
        <v>2.23</v>
      </c>
      <c r="F31" s="64">
        <v>3.46</v>
      </c>
      <c r="G31" s="64">
        <v>55.26</v>
      </c>
      <c r="H31" s="64">
        <v>34.700000000000003</v>
      </c>
      <c r="I31" s="64">
        <v>1.49</v>
      </c>
      <c r="J31" s="64">
        <v>1.03</v>
      </c>
      <c r="K31" s="64">
        <v>110.17</v>
      </c>
      <c r="L31" s="64">
        <v>18.7</v>
      </c>
      <c r="M31" s="64">
        <v>85.07</v>
      </c>
      <c r="N31" s="64">
        <v>20.3</v>
      </c>
      <c r="O31" s="64">
        <v>0</v>
      </c>
      <c r="P31" s="64">
        <v>0.78</v>
      </c>
      <c r="Q31" s="64">
        <v>5.0199999999999996</v>
      </c>
      <c r="R31" s="198"/>
      <c r="S31" s="198"/>
      <c r="T31" s="198"/>
      <c r="U31" s="198"/>
    </row>
    <row r="32" spans="1:21" s="12" customFormat="1" x14ac:dyDescent="0.25">
      <c r="A32" s="214" t="s">
        <v>367</v>
      </c>
      <c r="B32" s="64">
        <v>7.99</v>
      </c>
      <c r="C32" s="64">
        <v>32.32</v>
      </c>
      <c r="D32" s="64">
        <v>24.89</v>
      </c>
      <c r="E32" s="64">
        <v>2.2000000000000002</v>
      </c>
      <c r="F32" s="64">
        <v>3.36</v>
      </c>
      <c r="G32" s="64">
        <v>55.26</v>
      </c>
      <c r="H32" s="64">
        <v>34.700000000000003</v>
      </c>
      <c r="I32" s="64">
        <v>1.55</v>
      </c>
      <c r="J32" s="64">
        <v>0.73</v>
      </c>
      <c r="K32" s="64">
        <v>108.4</v>
      </c>
      <c r="L32" s="64">
        <v>18.510000000000002</v>
      </c>
      <c r="M32" s="64">
        <v>86.11</v>
      </c>
      <c r="N32" s="64">
        <v>20.8</v>
      </c>
      <c r="O32" s="64">
        <v>0</v>
      </c>
      <c r="P32" s="64">
        <v>0.77</v>
      </c>
      <c r="Q32" s="64">
        <v>5.03</v>
      </c>
      <c r="R32" s="198"/>
      <c r="S32" s="198"/>
      <c r="T32" s="198"/>
      <c r="U32" s="198"/>
    </row>
    <row r="33" spans="1:21" s="12" customFormat="1" x14ac:dyDescent="0.25">
      <c r="A33" s="214" t="s">
        <v>368</v>
      </c>
      <c r="B33" s="64">
        <v>6.68</v>
      </c>
      <c r="C33" s="64">
        <v>35.07</v>
      </c>
      <c r="D33" s="64">
        <v>25.36</v>
      </c>
      <c r="E33" s="64">
        <v>2.12</v>
      </c>
      <c r="F33" s="64">
        <v>3.36</v>
      </c>
      <c r="G33" s="64">
        <v>55.26</v>
      </c>
      <c r="H33" s="64">
        <v>34.700000000000003</v>
      </c>
      <c r="I33" s="64">
        <v>1.47</v>
      </c>
      <c r="J33" s="64">
        <v>0.59</v>
      </c>
      <c r="K33" s="64">
        <v>103.78</v>
      </c>
      <c r="L33" s="64">
        <v>18.32</v>
      </c>
      <c r="M33" s="64">
        <v>87.2</v>
      </c>
      <c r="N33" s="64">
        <v>21.7</v>
      </c>
      <c r="O33" s="64">
        <v>0</v>
      </c>
      <c r="P33" s="64">
        <v>0.77</v>
      </c>
      <c r="Q33" s="64">
        <v>5.04</v>
      </c>
      <c r="R33" s="198"/>
      <c r="S33" s="198"/>
      <c r="T33" s="198"/>
      <c r="U33" s="198"/>
    </row>
    <row r="34" spans="1:21" s="12" customFormat="1" x14ac:dyDescent="0.25">
      <c r="A34" s="214" t="s">
        <v>369</v>
      </c>
      <c r="B34" s="64">
        <v>6.6</v>
      </c>
      <c r="C34" s="64">
        <v>36.380000000000003</v>
      </c>
      <c r="D34" s="64">
        <v>26.02</v>
      </c>
      <c r="E34" s="64">
        <v>2.17</v>
      </c>
      <c r="F34" s="64">
        <v>3.41</v>
      </c>
      <c r="G34" s="64">
        <v>53.67</v>
      </c>
      <c r="H34" s="64">
        <v>28.41</v>
      </c>
      <c r="I34" s="64">
        <v>1.53</v>
      </c>
      <c r="J34" s="64">
        <v>0.38</v>
      </c>
      <c r="K34" s="64">
        <v>98.64</v>
      </c>
      <c r="L34" s="64">
        <v>18.27</v>
      </c>
      <c r="M34" s="64">
        <v>87.61</v>
      </c>
      <c r="N34" s="64">
        <v>28</v>
      </c>
      <c r="O34" s="64">
        <v>0</v>
      </c>
      <c r="P34" s="64">
        <v>0.76</v>
      </c>
      <c r="Q34" s="64">
        <v>5.04</v>
      </c>
      <c r="R34" s="198"/>
      <c r="S34" s="198"/>
      <c r="T34" s="198"/>
      <c r="U34" s="198"/>
    </row>
    <row r="35" spans="1:21" s="12" customFormat="1" x14ac:dyDescent="0.25">
      <c r="A35" s="214" t="s">
        <v>370</v>
      </c>
      <c r="B35" s="64">
        <v>10.59</v>
      </c>
      <c r="C35" s="64">
        <v>48.21</v>
      </c>
      <c r="D35" s="64">
        <v>35.74</v>
      </c>
      <c r="E35" s="64">
        <v>2.21</v>
      </c>
      <c r="F35" s="64">
        <v>3.27</v>
      </c>
      <c r="G35" s="64">
        <v>52</v>
      </c>
      <c r="H35" s="64">
        <v>25.05</v>
      </c>
      <c r="I35" s="64">
        <v>1.44</v>
      </c>
      <c r="J35" s="64">
        <v>0.1</v>
      </c>
      <c r="K35" s="64">
        <v>307.27</v>
      </c>
      <c r="L35" s="64">
        <v>18.29</v>
      </c>
      <c r="M35" s="64">
        <v>87.81</v>
      </c>
      <c r="N35" s="64">
        <v>40.799999999999997</v>
      </c>
      <c r="O35" s="64">
        <v>0</v>
      </c>
      <c r="P35" s="64">
        <v>0.77</v>
      </c>
      <c r="Q35" s="64">
        <v>5.04</v>
      </c>
      <c r="R35" s="198"/>
      <c r="S35" s="198"/>
      <c r="T35" s="198"/>
      <c r="U35" s="198"/>
    </row>
    <row r="36" spans="1:21" s="12" customFormat="1" x14ac:dyDescent="0.25">
      <c r="A36" s="214" t="s">
        <v>371</v>
      </c>
      <c r="B36" s="64">
        <v>14.68</v>
      </c>
      <c r="C36" s="64">
        <v>54.04</v>
      </c>
      <c r="D36" s="64">
        <v>42.25</v>
      </c>
      <c r="E36" s="64">
        <v>2.21</v>
      </c>
      <c r="F36" s="64">
        <v>3.36</v>
      </c>
      <c r="G36" s="64">
        <v>52</v>
      </c>
      <c r="H36" s="64">
        <v>25.05</v>
      </c>
      <c r="I36" s="64">
        <v>1.46</v>
      </c>
      <c r="J36" s="64">
        <v>0.1</v>
      </c>
      <c r="K36" s="64">
        <v>82.15</v>
      </c>
      <c r="L36" s="64">
        <v>18.440000000000001</v>
      </c>
      <c r="M36" s="64">
        <v>87.53</v>
      </c>
      <c r="N36" s="64">
        <v>63.7</v>
      </c>
      <c r="O36" s="64">
        <v>0</v>
      </c>
      <c r="P36" s="64">
        <v>0.78</v>
      </c>
      <c r="Q36" s="64">
        <v>5.08</v>
      </c>
      <c r="R36" s="198"/>
      <c r="S36" s="198"/>
      <c r="T36" s="198"/>
      <c r="U36" s="198"/>
    </row>
    <row r="37" spans="1:21" s="12" customFormat="1" x14ac:dyDescent="0.25">
      <c r="A37" s="214" t="s">
        <v>372</v>
      </c>
      <c r="B37" s="64">
        <v>11.36</v>
      </c>
      <c r="C37" s="64">
        <v>45.35</v>
      </c>
      <c r="D37" s="64">
        <v>34.78</v>
      </c>
      <c r="E37" s="64">
        <v>2.21</v>
      </c>
      <c r="F37" s="64">
        <v>3.36</v>
      </c>
      <c r="G37" s="64">
        <v>52</v>
      </c>
      <c r="H37" s="64">
        <v>25.05</v>
      </c>
      <c r="I37" s="64">
        <v>1.56</v>
      </c>
      <c r="J37" s="64">
        <v>0.39</v>
      </c>
      <c r="K37" s="64">
        <v>100.51</v>
      </c>
      <c r="L37" s="64">
        <v>18.63</v>
      </c>
      <c r="M37" s="64">
        <v>86.85</v>
      </c>
      <c r="N37" s="64">
        <v>85.3</v>
      </c>
      <c r="O37" s="64">
        <v>0</v>
      </c>
      <c r="P37" s="64">
        <v>0.77</v>
      </c>
      <c r="Q37" s="64">
        <v>4.97</v>
      </c>
      <c r="R37" s="198"/>
      <c r="S37" s="198"/>
      <c r="T37" s="198"/>
      <c r="U37" s="198"/>
    </row>
    <row r="38" spans="1:21" s="12" customFormat="1" x14ac:dyDescent="0.25">
      <c r="A38" s="214" t="s">
        <v>373</v>
      </c>
      <c r="B38" s="64">
        <v>13.22</v>
      </c>
      <c r="C38" s="64">
        <v>45.81</v>
      </c>
      <c r="D38" s="64">
        <v>36.53</v>
      </c>
      <c r="E38" s="64">
        <v>2.23</v>
      </c>
      <c r="F38" s="64">
        <v>3.39</v>
      </c>
      <c r="G38" s="64">
        <v>56.22</v>
      </c>
      <c r="H38" s="64">
        <v>27.65</v>
      </c>
      <c r="I38" s="64">
        <v>1.49</v>
      </c>
      <c r="J38" s="64">
        <v>0.56000000000000005</v>
      </c>
      <c r="K38" s="64">
        <v>108.21</v>
      </c>
      <c r="L38" s="64">
        <v>19.07</v>
      </c>
      <c r="M38" s="64">
        <v>84.5</v>
      </c>
      <c r="N38" s="64">
        <v>129.80000000000001</v>
      </c>
      <c r="O38" s="64">
        <v>0</v>
      </c>
      <c r="P38" s="64">
        <v>0.8</v>
      </c>
      <c r="Q38" s="64">
        <v>4.96</v>
      </c>
      <c r="R38" s="198"/>
      <c r="S38" s="198"/>
      <c r="T38" s="198"/>
      <c r="U38" s="198"/>
    </row>
    <row r="39" spans="1:21" s="12" customFormat="1" x14ac:dyDescent="0.25">
      <c r="A39" s="214" t="s">
        <v>374</v>
      </c>
      <c r="B39" s="64">
        <v>11.73</v>
      </c>
      <c r="C39" s="64">
        <v>40.15</v>
      </c>
      <c r="D39" s="64">
        <v>32.21</v>
      </c>
      <c r="E39" s="64">
        <v>2.2400000000000002</v>
      </c>
      <c r="F39" s="64">
        <v>3.5</v>
      </c>
      <c r="G39" s="64">
        <v>60.62</v>
      </c>
      <c r="H39" s="64">
        <v>30.64</v>
      </c>
      <c r="I39" s="64">
        <v>1.5</v>
      </c>
      <c r="J39" s="64">
        <v>1.0900000000000001</v>
      </c>
      <c r="K39" s="64">
        <v>108.43</v>
      </c>
      <c r="L39" s="64">
        <v>19.75</v>
      </c>
      <c r="M39" s="64">
        <v>81.2</v>
      </c>
      <c r="N39" s="64">
        <v>211.4</v>
      </c>
      <c r="O39" s="64">
        <v>0</v>
      </c>
      <c r="P39" s="64">
        <v>0.8</v>
      </c>
      <c r="Q39" s="64">
        <v>4.93</v>
      </c>
      <c r="R39" s="198"/>
      <c r="S39" s="198"/>
      <c r="T39" s="198"/>
      <c r="U39" s="198"/>
    </row>
    <row r="40" spans="1:21" s="12" customFormat="1" x14ac:dyDescent="0.25">
      <c r="A40" s="214" t="s">
        <v>375</v>
      </c>
      <c r="B40" s="64">
        <v>9.2899999999999991</v>
      </c>
      <c r="C40" s="64">
        <v>39.229999999999997</v>
      </c>
      <c r="D40" s="64">
        <v>29.75</v>
      </c>
      <c r="E40" s="64">
        <v>2.17</v>
      </c>
      <c r="F40" s="64">
        <v>3.27</v>
      </c>
      <c r="G40" s="64">
        <v>60.62</v>
      </c>
      <c r="H40" s="64">
        <v>30.64</v>
      </c>
      <c r="I40" s="64">
        <v>1.49</v>
      </c>
      <c r="J40" s="64">
        <v>1.55</v>
      </c>
      <c r="K40" s="64">
        <v>114.67</v>
      </c>
      <c r="L40" s="64">
        <v>20.329999999999998</v>
      </c>
      <c r="M40" s="64">
        <v>78.63</v>
      </c>
      <c r="N40" s="64">
        <v>260.5</v>
      </c>
      <c r="O40" s="64">
        <v>0</v>
      </c>
      <c r="P40" s="64">
        <v>0.8</v>
      </c>
      <c r="Q40" s="64">
        <v>4.92</v>
      </c>
      <c r="R40" s="198"/>
      <c r="S40" s="198"/>
      <c r="T40" s="198"/>
      <c r="U40" s="198"/>
    </row>
    <row r="41" spans="1:21" s="12" customFormat="1" x14ac:dyDescent="0.25">
      <c r="A41" s="214" t="s">
        <v>376</v>
      </c>
      <c r="B41" s="64">
        <v>8.44</v>
      </c>
      <c r="C41" s="64">
        <v>39.369999999999997</v>
      </c>
      <c r="D41" s="64">
        <v>29.15</v>
      </c>
      <c r="E41" s="64">
        <v>2.14</v>
      </c>
      <c r="F41" s="64">
        <v>3.24</v>
      </c>
      <c r="G41" s="64">
        <v>60.62</v>
      </c>
      <c r="H41" s="64">
        <v>30.64</v>
      </c>
      <c r="I41" s="64">
        <v>1.48</v>
      </c>
      <c r="J41" s="64">
        <v>1.23</v>
      </c>
      <c r="K41" s="64">
        <v>111.01</v>
      </c>
      <c r="L41" s="64">
        <v>20.91</v>
      </c>
      <c r="M41" s="64">
        <v>76.56</v>
      </c>
      <c r="N41" s="64">
        <v>302.39999999999998</v>
      </c>
      <c r="O41" s="64">
        <v>0</v>
      </c>
      <c r="P41" s="64">
        <v>0.8</v>
      </c>
      <c r="Q41" s="64">
        <v>4.87</v>
      </c>
      <c r="R41" s="198"/>
      <c r="S41" s="198"/>
      <c r="T41" s="198"/>
      <c r="U41" s="198"/>
    </row>
    <row r="42" spans="1:21" s="12" customFormat="1" x14ac:dyDescent="0.25">
      <c r="A42" s="214" t="s">
        <v>377</v>
      </c>
      <c r="B42" s="64">
        <v>7.54</v>
      </c>
      <c r="C42" s="64">
        <v>39.42</v>
      </c>
      <c r="D42" s="64">
        <v>28.45</v>
      </c>
      <c r="E42" s="64">
        <v>2.14</v>
      </c>
      <c r="F42" s="64">
        <v>3.55</v>
      </c>
      <c r="G42" s="64">
        <v>58.73</v>
      </c>
      <c r="H42" s="64">
        <v>39.950000000000003</v>
      </c>
      <c r="I42" s="64">
        <v>1.49</v>
      </c>
      <c r="J42" s="64">
        <v>1.44</v>
      </c>
      <c r="K42" s="64">
        <v>108.35</v>
      </c>
      <c r="L42" s="64">
        <v>21.23</v>
      </c>
      <c r="M42" s="64">
        <v>75.489999999999995</v>
      </c>
      <c r="N42" s="64">
        <v>347.2</v>
      </c>
      <c r="O42" s="64">
        <v>0</v>
      </c>
      <c r="P42" s="64">
        <v>0.8</v>
      </c>
      <c r="Q42" s="64">
        <v>4.93</v>
      </c>
      <c r="R42" s="198"/>
      <c r="S42" s="198"/>
      <c r="T42" s="198"/>
      <c r="U42" s="198"/>
    </row>
    <row r="43" spans="1:21" s="12" customFormat="1" x14ac:dyDescent="0.25">
      <c r="A43" s="214" t="s">
        <v>378</v>
      </c>
      <c r="B43" s="64">
        <v>7.09</v>
      </c>
      <c r="C43" s="64">
        <v>39.4</v>
      </c>
      <c r="D43" s="64">
        <v>28.08</v>
      </c>
      <c r="E43" s="64">
        <v>2.15</v>
      </c>
      <c r="F43" s="64">
        <v>3.39</v>
      </c>
      <c r="G43" s="64">
        <v>56.76</v>
      </c>
      <c r="H43" s="64">
        <v>44.81</v>
      </c>
      <c r="I43" s="64">
        <v>1.4</v>
      </c>
      <c r="J43" s="64">
        <v>0.55000000000000004</v>
      </c>
      <c r="K43" s="64">
        <v>109.23</v>
      </c>
      <c r="L43" s="64">
        <v>22.1</v>
      </c>
      <c r="M43" s="64">
        <v>74.42</v>
      </c>
      <c r="N43" s="64">
        <v>400.5</v>
      </c>
      <c r="O43" s="64">
        <v>0</v>
      </c>
      <c r="P43" s="64">
        <v>0.79</v>
      </c>
      <c r="Q43" s="64">
        <v>5.13</v>
      </c>
      <c r="R43" s="198"/>
      <c r="S43" s="198"/>
      <c r="T43" s="198"/>
      <c r="U43" s="198"/>
    </row>
    <row r="44" spans="1:21" s="12" customFormat="1" x14ac:dyDescent="0.25">
      <c r="A44" s="214" t="s">
        <v>379</v>
      </c>
      <c r="B44" s="64">
        <v>7.43</v>
      </c>
      <c r="C44" s="64">
        <v>44.52</v>
      </c>
      <c r="D44" s="64">
        <v>31.18</v>
      </c>
      <c r="E44" s="64">
        <v>2.11</v>
      </c>
      <c r="F44" s="64">
        <v>3.28</v>
      </c>
      <c r="G44" s="64">
        <v>56.76</v>
      </c>
      <c r="H44" s="64">
        <v>44.81</v>
      </c>
      <c r="I44" s="64">
        <v>1.56</v>
      </c>
      <c r="J44" s="64">
        <v>0.21</v>
      </c>
      <c r="K44" s="64">
        <v>117.22</v>
      </c>
      <c r="L44" s="64">
        <v>23.22</v>
      </c>
      <c r="M44" s="64">
        <v>70.97</v>
      </c>
      <c r="N44" s="64">
        <v>442.7</v>
      </c>
      <c r="O44" s="64">
        <v>0</v>
      </c>
      <c r="P44" s="64">
        <v>0.8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4" t="s">
        <v>380</v>
      </c>
      <c r="B45" s="64">
        <v>7.92</v>
      </c>
      <c r="C45" s="64">
        <v>41.56</v>
      </c>
      <c r="D45" s="64">
        <v>29.94</v>
      </c>
      <c r="E45" s="64">
        <v>2.14</v>
      </c>
      <c r="F45" s="64">
        <v>3.36</v>
      </c>
      <c r="G45" s="64">
        <v>56.76</v>
      </c>
      <c r="H45" s="64">
        <v>44.81</v>
      </c>
      <c r="I45" s="64">
        <v>1.5</v>
      </c>
      <c r="J45" s="64">
        <v>0.73</v>
      </c>
      <c r="K45" s="64">
        <v>117.41</v>
      </c>
      <c r="L45" s="64">
        <v>23.42</v>
      </c>
      <c r="M45" s="64">
        <v>67.97</v>
      </c>
      <c r="N45" s="64">
        <v>497.5</v>
      </c>
      <c r="O45" s="64">
        <v>0</v>
      </c>
      <c r="P45" s="64">
        <v>0.79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4" t="s">
        <v>381</v>
      </c>
      <c r="B46" s="64">
        <v>6.37</v>
      </c>
      <c r="C46" s="64">
        <v>40.47</v>
      </c>
      <c r="D46" s="64">
        <v>28.09</v>
      </c>
      <c r="E46" s="64">
        <v>2.13</v>
      </c>
      <c r="F46" s="64">
        <v>3.43</v>
      </c>
      <c r="G46" s="64">
        <v>57.14</v>
      </c>
      <c r="H46" s="64">
        <v>49.99</v>
      </c>
      <c r="I46" s="64">
        <v>1.53</v>
      </c>
      <c r="J46" s="64">
        <v>0.88</v>
      </c>
      <c r="K46" s="64">
        <v>111.34</v>
      </c>
      <c r="L46" s="64">
        <v>23.68</v>
      </c>
      <c r="M46" s="64">
        <v>66.290000000000006</v>
      </c>
      <c r="N46" s="64">
        <v>522.70000000000005</v>
      </c>
      <c r="O46" s="64">
        <v>0</v>
      </c>
      <c r="P46" s="64">
        <v>0.78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4" t="s">
        <v>382</v>
      </c>
      <c r="B47" s="64">
        <v>5.57</v>
      </c>
      <c r="C47" s="64">
        <v>40.020000000000003</v>
      </c>
      <c r="D47" s="64">
        <v>27.2</v>
      </c>
      <c r="E47" s="64">
        <v>2.13</v>
      </c>
      <c r="F47" s="64">
        <v>3.83</v>
      </c>
      <c r="G47" s="64">
        <v>57.54</v>
      </c>
      <c r="H47" s="64">
        <v>52.76</v>
      </c>
      <c r="I47" s="64">
        <v>1.5</v>
      </c>
      <c r="J47" s="64">
        <v>0.96</v>
      </c>
      <c r="K47" s="64">
        <v>110.95</v>
      </c>
      <c r="L47" s="64">
        <v>23.92</v>
      </c>
      <c r="M47" s="64">
        <v>65.069999999999993</v>
      </c>
      <c r="N47" s="64">
        <v>541.70000000000005</v>
      </c>
      <c r="O47" s="64">
        <v>0</v>
      </c>
      <c r="P47" s="64">
        <v>0.77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4" t="s">
        <v>383</v>
      </c>
      <c r="B48" s="64">
        <v>4.78</v>
      </c>
      <c r="C48" s="64">
        <v>39.33</v>
      </c>
      <c r="D48" s="64">
        <v>26.19</v>
      </c>
      <c r="E48" s="64">
        <v>2.15</v>
      </c>
      <c r="F48" s="64">
        <v>3.67</v>
      </c>
      <c r="G48" s="64">
        <v>57.54</v>
      </c>
      <c r="H48" s="64">
        <v>52.76</v>
      </c>
      <c r="I48" s="64">
        <v>1.44</v>
      </c>
      <c r="J48" s="64">
        <v>1.1399999999999999</v>
      </c>
      <c r="K48" s="64">
        <v>115.9</v>
      </c>
      <c r="L48" s="64">
        <v>24.32</v>
      </c>
      <c r="M48" s="64">
        <v>60.84</v>
      </c>
      <c r="N48" s="64">
        <v>600</v>
      </c>
      <c r="O48" s="64">
        <v>0</v>
      </c>
      <c r="P48" s="64">
        <v>0.76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4" t="s">
        <v>384</v>
      </c>
      <c r="B49" s="64">
        <v>4.2</v>
      </c>
      <c r="C49" s="64">
        <v>39.07</v>
      </c>
      <c r="D49" s="64">
        <v>25.58</v>
      </c>
      <c r="E49" s="64">
        <v>2.12</v>
      </c>
      <c r="F49" s="64">
        <v>3.78</v>
      </c>
      <c r="G49" s="64">
        <v>57.54</v>
      </c>
      <c r="H49" s="64">
        <v>52.76</v>
      </c>
      <c r="I49" s="64">
        <v>1.47</v>
      </c>
      <c r="J49" s="64">
        <v>1.31</v>
      </c>
      <c r="K49" s="64">
        <v>111.07</v>
      </c>
      <c r="L49" s="64">
        <v>24.76</v>
      </c>
      <c r="M49" s="64">
        <v>57.02</v>
      </c>
      <c r="N49" s="64">
        <v>645.9</v>
      </c>
      <c r="O49" s="64">
        <v>0</v>
      </c>
      <c r="P49" s="64">
        <v>0.75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4" t="s">
        <v>385</v>
      </c>
      <c r="B50" s="64">
        <v>4.03</v>
      </c>
      <c r="C50" s="64">
        <v>37.99</v>
      </c>
      <c r="D50" s="64">
        <v>24.85</v>
      </c>
      <c r="E50" s="64">
        <v>2.13</v>
      </c>
      <c r="F50" s="64">
        <v>3.87</v>
      </c>
      <c r="G50" s="64">
        <v>57</v>
      </c>
      <c r="H50" s="64">
        <v>60.36</v>
      </c>
      <c r="I50" s="64">
        <v>1.5</v>
      </c>
      <c r="J50" s="64">
        <v>2.23</v>
      </c>
      <c r="K50" s="64">
        <v>108.21</v>
      </c>
      <c r="L50" s="64">
        <v>24.7</v>
      </c>
      <c r="M50" s="64">
        <v>53.38</v>
      </c>
      <c r="N50" s="64">
        <v>671.1</v>
      </c>
      <c r="O50" s="64">
        <v>0</v>
      </c>
      <c r="P50" s="64">
        <v>0.74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4" t="s">
        <v>386</v>
      </c>
      <c r="B51" s="64">
        <v>3.66</v>
      </c>
      <c r="C51" s="64">
        <v>36.119999999999997</v>
      </c>
      <c r="D51" s="64">
        <v>23.51</v>
      </c>
      <c r="E51" s="64">
        <v>2.0299999999999998</v>
      </c>
      <c r="F51" s="64">
        <v>6</v>
      </c>
      <c r="G51" s="64">
        <v>56.28</v>
      </c>
      <c r="H51" s="64">
        <v>65.349999999999994</v>
      </c>
      <c r="I51" s="64">
        <v>1.53</v>
      </c>
      <c r="J51" s="64">
        <v>2.08</v>
      </c>
      <c r="K51" s="64">
        <v>112.96</v>
      </c>
      <c r="L51" s="64">
        <v>25.1</v>
      </c>
      <c r="M51" s="64">
        <v>51.69</v>
      </c>
      <c r="N51" s="64">
        <v>714.6</v>
      </c>
      <c r="O51" s="64">
        <v>0</v>
      </c>
      <c r="P51" s="64">
        <v>0.68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4" t="s">
        <v>387</v>
      </c>
      <c r="B52" s="64">
        <v>3.83</v>
      </c>
      <c r="C52" s="64">
        <v>34.659999999999997</v>
      </c>
      <c r="D52" s="64">
        <v>22.85</v>
      </c>
      <c r="E52" s="64">
        <v>1.96</v>
      </c>
      <c r="F52" s="64">
        <v>6.28</v>
      </c>
      <c r="G52" s="64">
        <v>56.28</v>
      </c>
      <c r="H52" s="64">
        <v>65.349999999999994</v>
      </c>
      <c r="I52" s="64">
        <v>1.47</v>
      </c>
      <c r="J52" s="64">
        <v>2.09</v>
      </c>
      <c r="K52" s="64">
        <v>112.22</v>
      </c>
      <c r="L52" s="64">
        <v>25.29</v>
      </c>
      <c r="M52" s="64">
        <v>51.99</v>
      </c>
      <c r="N52" s="64">
        <v>735</v>
      </c>
      <c r="O52" s="64">
        <v>0</v>
      </c>
      <c r="P52" s="64">
        <v>0.65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4" t="s">
        <v>388</v>
      </c>
      <c r="B53" s="64">
        <v>3.53</v>
      </c>
      <c r="C53" s="64">
        <v>34.35</v>
      </c>
      <c r="D53" s="64">
        <v>22.43</v>
      </c>
      <c r="E53" s="64">
        <v>2.1</v>
      </c>
      <c r="F53" s="64">
        <v>5.49</v>
      </c>
      <c r="G53" s="64">
        <v>23.14</v>
      </c>
      <c r="H53" s="64">
        <v>26.87</v>
      </c>
      <c r="I53" s="64">
        <v>1.51</v>
      </c>
      <c r="J53" s="64">
        <v>2.0099999999999998</v>
      </c>
      <c r="K53" s="64">
        <v>111.9</v>
      </c>
      <c r="L53" s="64">
        <v>25.91</v>
      </c>
      <c r="M53" s="64">
        <v>50.02</v>
      </c>
      <c r="N53" s="64">
        <v>763.1</v>
      </c>
      <c r="O53" s="64">
        <v>0</v>
      </c>
      <c r="P53" s="64">
        <v>0.63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4" t="s">
        <v>389</v>
      </c>
      <c r="B54" s="64">
        <v>3.58</v>
      </c>
      <c r="C54" s="64">
        <v>33.4</v>
      </c>
      <c r="D54" s="64">
        <v>21.95</v>
      </c>
      <c r="E54" s="64">
        <v>2.12</v>
      </c>
      <c r="F54" s="64">
        <v>6.21</v>
      </c>
      <c r="G54" s="211" t="s">
        <v>40</v>
      </c>
      <c r="H54" s="211" t="s">
        <v>40</v>
      </c>
      <c r="I54" s="64">
        <v>1.54</v>
      </c>
      <c r="J54" s="64">
        <v>2.19</v>
      </c>
      <c r="K54" s="64">
        <v>112.36</v>
      </c>
      <c r="L54" s="64">
        <v>25.78</v>
      </c>
      <c r="M54" s="64">
        <v>48.35</v>
      </c>
      <c r="N54" s="64">
        <v>726.2</v>
      </c>
      <c r="O54" s="64">
        <v>0</v>
      </c>
      <c r="P54" s="64">
        <v>0.6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4" t="s">
        <v>390</v>
      </c>
      <c r="B55" s="64">
        <v>2.82</v>
      </c>
      <c r="C55" s="64">
        <v>36.5</v>
      </c>
      <c r="D55" s="64">
        <v>23.05</v>
      </c>
      <c r="E55" s="64">
        <v>1.4</v>
      </c>
      <c r="F55" s="64">
        <v>7.14</v>
      </c>
      <c r="G55" s="211" t="s">
        <v>40</v>
      </c>
      <c r="H55" s="211" t="s">
        <v>40</v>
      </c>
      <c r="I55" s="64">
        <v>1.52</v>
      </c>
      <c r="J55" s="64">
        <v>1.59</v>
      </c>
      <c r="K55" s="64">
        <v>105.79</v>
      </c>
      <c r="L55" s="64">
        <v>26.4</v>
      </c>
      <c r="M55" s="64">
        <v>47.75</v>
      </c>
      <c r="N55" s="64">
        <v>708.4</v>
      </c>
      <c r="O55" s="64">
        <v>0</v>
      </c>
      <c r="P55" s="64">
        <v>0.56999999999999995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4" t="s">
        <v>391</v>
      </c>
      <c r="B56" s="64">
        <v>2.0099999999999998</v>
      </c>
      <c r="C56" s="64">
        <v>42.29</v>
      </c>
      <c r="D56" s="64">
        <v>25.6</v>
      </c>
      <c r="E56" s="64">
        <v>1.84</v>
      </c>
      <c r="F56" s="64">
        <v>8.8699999999999992</v>
      </c>
      <c r="G56" s="211" t="s">
        <v>40</v>
      </c>
      <c r="H56" s="211" t="s">
        <v>40</v>
      </c>
      <c r="I56" s="64">
        <v>1.47</v>
      </c>
      <c r="J56" s="64">
        <v>1.94</v>
      </c>
      <c r="K56" s="64">
        <v>108.25</v>
      </c>
      <c r="L56" s="64">
        <v>26.26</v>
      </c>
      <c r="M56" s="64">
        <v>47.78</v>
      </c>
      <c r="N56" s="64">
        <v>711.8</v>
      </c>
      <c r="O56" s="64">
        <v>0</v>
      </c>
      <c r="P56" s="64">
        <v>0.54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4" t="s">
        <v>392</v>
      </c>
      <c r="B57" s="64">
        <v>1.69</v>
      </c>
      <c r="C57" s="64">
        <v>42.9</v>
      </c>
      <c r="D57" s="64">
        <v>25.68</v>
      </c>
      <c r="E57" s="64">
        <v>2.2599999999999998</v>
      </c>
      <c r="F57" s="64">
        <v>8.5399999999999991</v>
      </c>
      <c r="G57" s="210" t="s">
        <v>36</v>
      </c>
      <c r="H57" s="210" t="s">
        <v>36</v>
      </c>
      <c r="I57" s="64">
        <v>1.52</v>
      </c>
      <c r="J57" s="64">
        <v>1.4</v>
      </c>
      <c r="K57" s="64">
        <v>109.08</v>
      </c>
      <c r="L57" s="64">
        <v>26.7</v>
      </c>
      <c r="M57" s="64">
        <v>46.17</v>
      </c>
      <c r="N57" s="64">
        <v>675.1</v>
      </c>
      <c r="O57" s="64">
        <v>0</v>
      </c>
      <c r="P57" s="64">
        <v>0.53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4" t="s">
        <v>393</v>
      </c>
      <c r="B58" s="211" t="s">
        <v>40</v>
      </c>
      <c r="C58" s="211" t="s">
        <v>40</v>
      </c>
      <c r="D58" s="211" t="s">
        <v>40</v>
      </c>
      <c r="E58" s="64">
        <v>2.38</v>
      </c>
      <c r="F58" s="64">
        <v>23.5</v>
      </c>
      <c r="G58" s="210" t="s">
        <v>36</v>
      </c>
      <c r="H58" s="210" t="s">
        <v>36</v>
      </c>
      <c r="I58" s="64">
        <v>1.51</v>
      </c>
      <c r="J58" s="64">
        <v>2.0699999999999998</v>
      </c>
      <c r="K58" s="64">
        <v>109.37</v>
      </c>
      <c r="L58" s="64">
        <v>26.61</v>
      </c>
      <c r="M58" s="64">
        <v>43.58</v>
      </c>
      <c r="N58" s="64">
        <v>683.9</v>
      </c>
      <c r="O58" s="64">
        <v>0</v>
      </c>
      <c r="P58" s="64">
        <v>0.49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4" t="s">
        <v>394</v>
      </c>
      <c r="B59" s="211" t="s">
        <v>40</v>
      </c>
      <c r="C59" s="211" t="s">
        <v>40</v>
      </c>
      <c r="D59" s="211" t="s">
        <v>40</v>
      </c>
      <c r="E59" s="64">
        <v>2.27</v>
      </c>
      <c r="F59" s="64">
        <v>12.06</v>
      </c>
      <c r="G59" s="210" t="s">
        <v>36</v>
      </c>
      <c r="H59" s="210" t="s">
        <v>36</v>
      </c>
      <c r="I59" s="64">
        <v>1.5</v>
      </c>
      <c r="J59" s="64">
        <v>1.58</v>
      </c>
      <c r="K59" s="64">
        <v>109.78</v>
      </c>
      <c r="L59" s="64">
        <v>26.99</v>
      </c>
      <c r="M59" s="64">
        <v>43.09</v>
      </c>
      <c r="N59" s="64">
        <v>651.70000000000005</v>
      </c>
      <c r="O59" s="64">
        <v>0</v>
      </c>
      <c r="P59" s="64">
        <v>0.47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4" t="s">
        <v>395</v>
      </c>
      <c r="B60" s="211" t="s">
        <v>40</v>
      </c>
      <c r="C60" s="211" t="s">
        <v>40</v>
      </c>
      <c r="D60" s="211" t="s">
        <v>40</v>
      </c>
      <c r="E60" s="64">
        <v>2.27</v>
      </c>
      <c r="F60" s="64">
        <v>12.78</v>
      </c>
      <c r="G60" s="210" t="s">
        <v>36</v>
      </c>
      <c r="H60" s="210" t="s">
        <v>36</v>
      </c>
      <c r="I60" s="64">
        <v>1.44</v>
      </c>
      <c r="J60" s="64">
        <v>0.49</v>
      </c>
      <c r="K60" s="64">
        <v>98.24</v>
      </c>
      <c r="L60" s="64">
        <v>27.64</v>
      </c>
      <c r="M60" s="64">
        <v>41.6</v>
      </c>
      <c r="N60" s="64">
        <v>615.29999999999995</v>
      </c>
      <c r="O60" s="64">
        <v>0</v>
      </c>
      <c r="P60" s="64">
        <v>0.47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4" t="s">
        <v>396</v>
      </c>
      <c r="B61" s="64">
        <v>1.72</v>
      </c>
      <c r="C61" s="64">
        <v>40.729999999999997</v>
      </c>
      <c r="D61" s="64">
        <v>24.5</v>
      </c>
      <c r="E61" s="64">
        <v>2.2400000000000002</v>
      </c>
      <c r="F61" s="64">
        <v>6.86</v>
      </c>
      <c r="G61" s="210" t="s">
        <v>36</v>
      </c>
      <c r="H61" s="210" t="s">
        <v>36</v>
      </c>
      <c r="I61" s="64">
        <v>1.49</v>
      </c>
      <c r="J61" s="64">
        <v>0.94</v>
      </c>
      <c r="K61" s="64">
        <v>104.32</v>
      </c>
      <c r="L61" s="64">
        <v>27.84</v>
      </c>
      <c r="M61" s="64">
        <v>41.89</v>
      </c>
      <c r="N61" s="64">
        <v>610.70000000000005</v>
      </c>
      <c r="O61" s="64">
        <v>0</v>
      </c>
      <c r="P61" s="64">
        <v>0.45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4" t="s">
        <v>397</v>
      </c>
      <c r="B62" s="64">
        <v>1.73</v>
      </c>
      <c r="C62" s="64">
        <v>42.11</v>
      </c>
      <c r="D62" s="64">
        <v>25.27</v>
      </c>
      <c r="E62" s="64">
        <v>2.17</v>
      </c>
      <c r="F62" s="64">
        <v>6.71</v>
      </c>
      <c r="G62" s="210" t="s">
        <v>36</v>
      </c>
      <c r="H62" s="210" t="s">
        <v>36</v>
      </c>
      <c r="I62" s="64">
        <v>1.42</v>
      </c>
      <c r="J62" s="64">
        <v>1.4</v>
      </c>
      <c r="K62" s="64">
        <v>109.75</v>
      </c>
      <c r="L62" s="64">
        <v>27.3</v>
      </c>
      <c r="M62" s="64">
        <v>41.76</v>
      </c>
      <c r="N62" s="64">
        <v>588.79999999999995</v>
      </c>
      <c r="O62" s="64">
        <v>0</v>
      </c>
      <c r="P62" s="64">
        <v>0.47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398</v>
      </c>
      <c r="B63" s="64">
        <v>1.56</v>
      </c>
      <c r="C63" s="64">
        <v>38.96</v>
      </c>
      <c r="D63" s="64">
        <v>23.4</v>
      </c>
      <c r="E63" s="64">
        <v>2.4500000000000002</v>
      </c>
      <c r="F63" s="64">
        <v>10.98</v>
      </c>
      <c r="G63" s="64">
        <v>14.78</v>
      </c>
      <c r="H63" s="64">
        <v>6.45</v>
      </c>
      <c r="I63" s="64">
        <v>1.5</v>
      </c>
      <c r="J63" s="64">
        <v>1.21</v>
      </c>
      <c r="K63" s="64">
        <v>112.89</v>
      </c>
      <c r="L63" s="64">
        <v>27.42</v>
      </c>
      <c r="M63" s="64">
        <v>40.369999999999997</v>
      </c>
      <c r="N63" s="64">
        <v>357.4</v>
      </c>
      <c r="O63" s="64">
        <v>0</v>
      </c>
      <c r="P63" s="64">
        <v>0.45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4" t="s">
        <v>399</v>
      </c>
      <c r="B64" s="64">
        <v>1.41</v>
      </c>
      <c r="C64" s="64">
        <v>33.49</v>
      </c>
      <c r="D64" s="64">
        <v>20.260000000000002</v>
      </c>
      <c r="E64" s="64">
        <v>2.25</v>
      </c>
      <c r="F64" s="64">
        <v>7.51</v>
      </c>
      <c r="G64" s="64">
        <v>73.91</v>
      </c>
      <c r="H64" s="64">
        <v>32.26</v>
      </c>
      <c r="I64" s="64">
        <v>1.56</v>
      </c>
      <c r="J64" s="64">
        <v>1.37</v>
      </c>
      <c r="K64" s="64">
        <v>106.62</v>
      </c>
      <c r="L64" s="64">
        <v>27.63</v>
      </c>
      <c r="M64" s="64">
        <v>39.82</v>
      </c>
      <c r="N64" s="64">
        <v>186.2</v>
      </c>
      <c r="O64" s="64">
        <v>0</v>
      </c>
      <c r="P64" s="64">
        <v>0.45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400</v>
      </c>
      <c r="B65" s="64">
        <v>1.55</v>
      </c>
      <c r="C65" s="64">
        <v>36.72</v>
      </c>
      <c r="D65" s="64">
        <v>22.16</v>
      </c>
      <c r="E65" s="64">
        <v>2.2799999999999998</v>
      </c>
      <c r="F65" s="64">
        <v>11.57</v>
      </c>
      <c r="G65" s="64">
        <v>73.91</v>
      </c>
      <c r="H65" s="64">
        <v>32.26</v>
      </c>
      <c r="I65" s="64">
        <v>1.49</v>
      </c>
      <c r="J65" s="64">
        <v>1.57</v>
      </c>
      <c r="K65" s="64">
        <v>113.47</v>
      </c>
      <c r="L65" s="64">
        <v>27.18</v>
      </c>
      <c r="M65" s="64">
        <v>40.97</v>
      </c>
      <c r="N65" s="64">
        <v>167.1</v>
      </c>
      <c r="O65" s="64">
        <v>0</v>
      </c>
      <c r="P65" s="64">
        <v>0.47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401</v>
      </c>
      <c r="B66" s="64">
        <v>1.36</v>
      </c>
      <c r="C66" s="64">
        <v>38.64</v>
      </c>
      <c r="D66" s="64">
        <v>23.06</v>
      </c>
      <c r="E66" s="64">
        <v>2.2400000000000002</v>
      </c>
      <c r="F66" s="64">
        <v>9.2899999999999991</v>
      </c>
      <c r="G66" s="64">
        <v>73.91</v>
      </c>
      <c r="H66" s="64">
        <v>32.26</v>
      </c>
      <c r="I66" s="64">
        <v>1.47</v>
      </c>
      <c r="J66" s="64">
        <v>0.36</v>
      </c>
      <c r="K66" s="64">
        <v>95.54</v>
      </c>
      <c r="L66" s="64">
        <v>27.54</v>
      </c>
      <c r="M66" s="64">
        <v>40.880000000000003</v>
      </c>
      <c r="N66" s="64">
        <v>140.80000000000001</v>
      </c>
      <c r="O66" s="64">
        <v>0</v>
      </c>
      <c r="P66" s="64">
        <v>0.5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4" t="s">
        <v>402</v>
      </c>
      <c r="B67" s="64">
        <v>1.66</v>
      </c>
      <c r="C67" s="64">
        <v>39.229999999999997</v>
      </c>
      <c r="D67" s="64">
        <v>23.63</v>
      </c>
      <c r="E67" s="64">
        <v>2.29</v>
      </c>
      <c r="F67" s="64">
        <v>5.28</v>
      </c>
      <c r="G67" s="64">
        <v>69.349999999999994</v>
      </c>
      <c r="H67" s="64">
        <v>30.95</v>
      </c>
      <c r="I67" s="64">
        <v>1.5</v>
      </c>
      <c r="J67" s="64">
        <v>1.24</v>
      </c>
      <c r="K67" s="64">
        <v>103.39</v>
      </c>
      <c r="L67" s="64">
        <v>27.12</v>
      </c>
      <c r="M67" s="64">
        <v>40.840000000000003</v>
      </c>
      <c r="N67" s="64">
        <v>140.1</v>
      </c>
      <c r="O67" s="64">
        <v>0</v>
      </c>
      <c r="P67" s="64">
        <v>0.51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4" t="s">
        <v>403</v>
      </c>
      <c r="B68" s="64">
        <v>2</v>
      </c>
      <c r="C68" s="64">
        <v>41.22</v>
      </c>
      <c r="D68" s="64">
        <v>25</v>
      </c>
      <c r="E68" s="64">
        <v>2.25</v>
      </c>
      <c r="F68" s="64">
        <v>4.5199999999999996</v>
      </c>
      <c r="G68" s="64">
        <v>51.11</v>
      </c>
      <c r="H68" s="64">
        <v>25.71</v>
      </c>
      <c r="I68" s="64">
        <v>1.58</v>
      </c>
      <c r="J68" s="64">
        <v>1.36</v>
      </c>
      <c r="K68" s="64">
        <v>116.29</v>
      </c>
      <c r="L68" s="64">
        <v>26.96</v>
      </c>
      <c r="M68" s="64">
        <v>41.15</v>
      </c>
      <c r="N68" s="64">
        <v>114.5</v>
      </c>
      <c r="O68" s="64">
        <v>0</v>
      </c>
      <c r="P68" s="64">
        <v>0.49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4" t="s">
        <v>404</v>
      </c>
      <c r="B69" s="64">
        <v>2.23</v>
      </c>
      <c r="C69" s="64">
        <v>37.729999999999997</v>
      </c>
      <c r="D69" s="64">
        <v>23.26</v>
      </c>
      <c r="E69" s="64">
        <v>2.25</v>
      </c>
      <c r="F69" s="64">
        <v>4.43</v>
      </c>
      <c r="G69" s="64">
        <v>51.11</v>
      </c>
      <c r="H69" s="64">
        <v>25.71</v>
      </c>
      <c r="I69" s="64">
        <v>1.45</v>
      </c>
      <c r="J69" s="64">
        <v>0.69</v>
      </c>
      <c r="K69" s="64">
        <v>103.97</v>
      </c>
      <c r="L69" s="64">
        <v>26.87</v>
      </c>
      <c r="M69" s="64">
        <v>42.08</v>
      </c>
      <c r="N69" s="64">
        <v>104.7</v>
      </c>
      <c r="O69" s="64">
        <v>0</v>
      </c>
      <c r="P69" s="64">
        <v>0.5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4" t="s">
        <v>405</v>
      </c>
      <c r="B70" s="64">
        <v>2.5299999999999998</v>
      </c>
      <c r="C70" s="64">
        <v>40.39</v>
      </c>
      <c r="D70" s="64">
        <v>24.97</v>
      </c>
      <c r="E70" s="64">
        <v>2.25</v>
      </c>
      <c r="F70" s="64">
        <v>4.17</v>
      </c>
      <c r="G70" s="64">
        <v>51.11</v>
      </c>
      <c r="H70" s="64">
        <v>25.71</v>
      </c>
      <c r="I70" s="64">
        <v>1.48</v>
      </c>
      <c r="J70" s="64">
        <v>0.78</v>
      </c>
      <c r="K70" s="64">
        <v>103.61</v>
      </c>
      <c r="L70" s="64">
        <v>26.7</v>
      </c>
      <c r="M70" s="64">
        <v>42.89</v>
      </c>
      <c r="N70" s="64">
        <v>93.5</v>
      </c>
      <c r="O70" s="64">
        <v>0</v>
      </c>
      <c r="P70" s="64">
        <v>0.52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4" t="s">
        <v>406</v>
      </c>
      <c r="B71" s="64">
        <v>2.7</v>
      </c>
      <c r="C71" s="64">
        <v>41.24</v>
      </c>
      <c r="D71" s="64">
        <v>25.57</v>
      </c>
      <c r="E71" s="64">
        <v>2.2400000000000002</v>
      </c>
      <c r="F71" s="64">
        <v>4.22</v>
      </c>
      <c r="G71" s="64">
        <v>49.41</v>
      </c>
      <c r="H71" s="64">
        <v>25.24</v>
      </c>
      <c r="I71" s="64">
        <v>1.43</v>
      </c>
      <c r="J71" s="64">
        <v>1.21</v>
      </c>
      <c r="K71" s="64">
        <v>104.72</v>
      </c>
      <c r="L71" s="64">
        <v>26.51</v>
      </c>
      <c r="M71" s="64">
        <v>42.49</v>
      </c>
      <c r="N71" s="64">
        <v>85</v>
      </c>
      <c r="O71" s="64">
        <v>0</v>
      </c>
      <c r="P71" s="64">
        <v>0.51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4" t="s">
        <v>407</v>
      </c>
      <c r="B72" s="64">
        <v>2.42</v>
      </c>
      <c r="C72" s="64">
        <v>43.15</v>
      </c>
      <c r="D72" s="64">
        <v>26.4</v>
      </c>
      <c r="E72" s="64">
        <v>2.04</v>
      </c>
      <c r="F72" s="64">
        <v>5.17</v>
      </c>
      <c r="G72" s="64">
        <v>42.62</v>
      </c>
      <c r="H72" s="64">
        <v>23.94</v>
      </c>
      <c r="I72" s="64">
        <v>1.44</v>
      </c>
      <c r="J72" s="64">
        <v>0.63</v>
      </c>
      <c r="K72" s="64">
        <v>101.08</v>
      </c>
      <c r="L72" s="64">
        <v>26.4</v>
      </c>
      <c r="M72" s="64">
        <v>43.23</v>
      </c>
      <c r="N72" s="64">
        <v>82.4</v>
      </c>
      <c r="O72" s="64">
        <v>0</v>
      </c>
      <c r="P72" s="64">
        <v>0.49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4" t="s">
        <v>408</v>
      </c>
      <c r="B73" s="64">
        <v>2.34</v>
      </c>
      <c r="C73" s="64">
        <v>45.22</v>
      </c>
      <c r="D73" s="64">
        <v>27.48</v>
      </c>
      <c r="E73" s="64">
        <v>2.09</v>
      </c>
      <c r="F73" s="64">
        <v>4.5</v>
      </c>
      <c r="G73" s="64">
        <v>42.62</v>
      </c>
      <c r="H73" s="64">
        <v>23.94</v>
      </c>
      <c r="I73" s="64">
        <v>1.49</v>
      </c>
      <c r="J73" s="64">
        <v>0.89</v>
      </c>
      <c r="K73" s="64">
        <v>100.82</v>
      </c>
      <c r="L73" s="64">
        <v>26.23</v>
      </c>
      <c r="M73" s="64">
        <v>43.66</v>
      </c>
      <c r="N73" s="64">
        <v>75.5</v>
      </c>
      <c r="O73" s="64">
        <v>0</v>
      </c>
      <c r="P73" s="64">
        <v>0.5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4" t="s">
        <v>409</v>
      </c>
      <c r="B74" s="64">
        <v>2.52</v>
      </c>
      <c r="C74" s="64">
        <v>45.51</v>
      </c>
      <c r="D74" s="64">
        <v>27.79</v>
      </c>
      <c r="E74" s="64">
        <v>2.09</v>
      </c>
      <c r="F74" s="64">
        <v>4.32</v>
      </c>
      <c r="G74" s="64">
        <v>42.62</v>
      </c>
      <c r="H74" s="64">
        <v>23.94</v>
      </c>
      <c r="I74" s="64">
        <v>1.51</v>
      </c>
      <c r="J74" s="64">
        <v>0.88</v>
      </c>
      <c r="K74" s="64">
        <v>102.59</v>
      </c>
      <c r="L74" s="64">
        <v>26.09</v>
      </c>
      <c r="M74" s="64">
        <v>44.6</v>
      </c>
      <c r="N74" s="64">
        <v>62.4</v>
      </c>
      <c r="O74" s="64">
        <v>0</v>
      </c>
      <c r="P74" s="64">
        <v>0.52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4" t="s">
        <v>410</v>
      </c>
      <c r="B75" s="64">
        <v>2.98</v>
      </c>
      <c r="C75" s="64">
        <v>44.72</v>
      </c>
      <c r="D75" s="64">
        <v>27.72</v>
      </c>
      <c r="E75" s="64">
        <v>2.13</v>
      </c>
      <c r="F75" s="64">
        <v>4.2699999999999996</v>
      </c>
      <c r="G75" s="64">
        <v>46.51</v>
      </c>
      <c r="H75" s="64">
        <v>23.72</v>
      </c>
      <c r="I75" s="64">
        <v>1.49</v>
      </c>
      <c r="J75" s="64">
        <v>0.81</v>
      </c>
      <c r="K75" s="64">
        <v>106.23</v>
      </c>
      <c r="L75" s="64">
        <v>25.81</v>
      </c>
      <c r="M75" s="64">
        <v>45.78</v>
      </c>
      <c r="N75" s="64">
        <v>44.5</v>
      </c>
      <c r="O75" s="64">
        <v>0</v>
      </c>
      <c r="P75" s="64">
        <v>0.56000000000000005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4" t="s">
        <v>411</v>
      </c>
      <c r="B76" s="64">
        <v>3.35</v>
      </c>
      <c r="C76" s="64">
        <v>46.64</v>
      </c>
      <c r="D76" s="64">
        <v>29.07</v>
      </c>
      <c r="E76" s="64">
        <v>2.12</v>
      </c>
      <c r="F76" s="64">
        <v>4.0999999999999996</v>
      </c>
      <c r="G76" s="64">
        <v>62.06</v>
      </c>
      <c r="H76" s="64">
        <v>22.72</v>
      </c>
      <c r="I76" s="64">
        <v>1.46</v>
      </c>
      <c r="J76" s="64">
        <v>0.83</v>
      </c>
      <c r="K76" s="64">
        <v>105.44</v>
      </c>
      <c r="L76" s="64">
        <v>25.45</v>
      </c>
      <c r="M76" s="64">
        <v>47.42</v>
      </c>
      <c r="N76" s="64">
        <v>33.200000000000003</v>
      </c>
      <c r="O76" s="64">
        <v>0</v>
      </c>
      <c r="P76" s="64">
        <v>0.53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4" t="s">
        <v>412</v>
      </c>
      <c r="B77" s="64">
        <v>3.13</v>
      </c>
      <c r="C77" s="64">
        <v>46.08</v>
      </c>
      <c r="D77" s="64">
        <v>28.58</v>
      </c>
      <c r="E77" s="64">
        <v>2.11</v>
      </c>
      <c r="F77" s="64">
        <v>4.47</v>
      </c>
      <c r="G77" s="64">
        <v>62.06</v>
      </c>
      <c r="H77" s="64">
        <v>22.72</v>
      </c>
      <c r="I77" s="64">
        <v>1.53</v>
      </c>
      <c r="J77" s="64">
        <v>0.56000000000000005</v>
      </c>
      <c r="K77" s="64">
        <v>101.12</v>
      </c>
      <c r="L77" s="64">
        <v>25.05</v>
      </c>
      <c r="M77" s="64">
        <v>51.36</v>
      </c>
      <c r="N77" s="64">
        <v>25.3</v>
      </c>
      <c r="O77" s="64">
        <v>0</v>
      </c>
      <c r="P77" s="64">
        <v>0.56000000000000005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4" t="s">
        <v>413</v>
      </c>
      <c r="B78" s="64">
        <v>4.47</v>
      </c>
      <c r="C78" s="64">
        <v>50.68</v>
      </c>
      <c r="D78" s="64">
        <v>32.200000000000003</v>
      </c>
      <c r="E78" s="64">
        <v>2.16</v>
      </c>
      <c r="F78" s="64">
        <v>5.4</v>
      </c>
      <c r="G78" s="64">
        <v>62.06</v>
      </c>
      <c r="H78" s="64">
        <v>22.72</v>
      </c>
      <c r="I78" s="64">
        <v>1.49</v>
      </c>
      <c r="J78" s="64">
        <v>0.25</v>
      </c>
      <c r="K78" s="64">
        <v>108.53</v>
      </c>
      <c r="L78" s="64">
        <v>24.35</v>
      </c>
      <c r="M78" s="64">
        <v>56.44</v>
      </c>
      <c r="N78" s="64">
        <v>21.9</v>
      </c>
      <c r="O78" s="64">
        <v>0</v>
      </c>
      <c r="P78" s="64">
        <v>0.71</v>
      </c>
      <c r="Q78" s="64">
        <v>4.88</v>
      </c>
      <c r="R78" s="198"/>
      <c r="S78" s="198"/>
      <c r="T78" s="198"/>
      <c r="U78" s="198"/>
    </row>
    <row r="79" spans="1:21" s="12" customFormat="1" x14ac:dyDescent="0.25">
      <c r="A79" s="214" t="s">
        <v>414</v>
      </c>
      <c r="B79" s="64">
        <v>3.7</v>
      </c>
      <c r="C79" s="64">
        <v>55.23</v>
      </c>
      <c r="D79" s="64">
        <v>34.090000000000003</v>
      </c>
      <c r="E79" s="64">
        <v>2.11</v>
      </c>
      <c r="F79" s="64">
        <v>4.53</v>
      </c>
      <c r="G79" s="64">
        <v>59.77</v>
      </c>
      <c r="H79" s="64">
        <v>22.44</v>
      </c>
      <c r="I79" s="64">
        <v>1.59</v>
      </c>
      <c r="J79" s="64">
        <v>0.05</v>
      </c>
      <c r="K79" s="64">
        <v>70.95</v>
      </c>
      <c r="L79" s="64">
        <v>23.95</v>
      </c>
      <c r="M79" s="64">
        <v>59.96</v>
      </c>
      <c r="N79" s="64">
        <v>21.3</v>
      </c>
      <c r="O79" s="64">
        <v>0</v>
      </c>
      <c r="P79" s="64">
        <v>0.74</v>
      </c>
      <c r="Q79" s="64">
        <v>4.8</v>
      </c>
      <c r="R79" s="198"/>
      <c r="S79" s="198"/>
      <c r="T79" s="198"/>
      <c r="U79" s="198"/>
    </row>
    <row r="80" spans="1:21" s="12" customFormat="1" x14ac:dyDescent="0.25">
      <c r="A80" s="214" t="s">
        <v>415</v>
      </c>
      <c r="B80" s="64">
        <v>3.68</v>
      </c>
      <c r="C80" s="64">
        <v>55.63</v>
      </c>
      <c r="D80" s="64">
        <v>34.299999999999997</v>
      </c>
      <c r="E80" s="64">
        <v>2.12</v>
      </c>
      <c r="F80" s="64">
        <v>3.85</v>
      </c>
      <c r="G80" s="64">
        <v>50.6</v>
      </c>
      <c r="H80" s="64">
        <v>21.66</v>
      </c>
      <c r="I80" s="64">
        <v>1.55</v>
      </c>
      <c r="J80" s="64">
        <v>0.28999999999999998</v>
      </c>
      <c r="K80" s="64">
        <v>100.02</v>
      </c>
      <c r="L80" s="64">
        <v>23.6</v>
      </c>
      <c r="M80" s="64">
        <v>62.14</v>
      </c>
      <c r="N80" s="64">
        <v>20.8</v>
      </c>
      <c r="O80" s="64">
        <v>0</v>
      </c>
      <c r="P80" s="64">
        <v>0.74</v>
      </c>
      <c r="Q80" s="64">
        <v>4.76</v>
      </c>
      <c r="R80" s="198"/>
      <c r="S80" s="198"/>
      <c r="T80" s="198"/>
      <c r="U80" s="198"/>
    </row>
    <row r="81" spans="1:26" s="12" customFormat="1" x14ac:dyDescent="0.25">
      <c r="A81" s="214" t="s">
        <v>416</v>
      </c>
      <c r="B81" s="64">
        <v>4.0199999999999996</v>
      </c>
      <c r="C81" s="64">
        <v>54.03</v>
      </c>
      <c r="D81" s="64">
        <v>33.69</v>
      </c>
      <c r="E81" s="64">
        <v>2.09</v>
      </c>
      <c r="F81" s="64">
        <v>3.43</v>
      </c>
      <c r="G81" s="64">
        <v>50.6</v>
      </c>
      <c r="H81" s="64">
        <v>21.66</v>
      </c>
      <c r="I81" s="64">
        <v>1.5</v>
      </c>
      <c r="J81" s="64">
        <v>0.57999999999999996</v>
      </c>
      <c r="K81" s="64">
        <v>98.74</v>
      </c>
      <c r="L81" s="64">
        <v>23.85</v>
      </c>
      <c r="M81" s="64">
        <v>57.31</v>
      </c>
      <c r="N81" s="64">
        <v>20.399999999999999</v>
      </c>
      <c r="O81" s="64">
        <v>0</v>
      </c>
      <c r="P81" s="64">
        <v>0.73</v>
      </c>
      <c r="Q81" s="64">
        <v>4.75</v>
      </c>
      <c r="R81" s="198"/>
      <c r="S81" s="198"/>
      <c r="T81" s="198"/>
      <c r="U81" s="198"/>
    </row>
    <row r="82" spans="1:26" s="12" customFormat="1" x14ac:dyDescent="0.25">
      <c r="A82" s="214" t="s">
        <v>417</v>
      </c>
      <c r="B82" s="64">
        <v>4.3600000000000003</v>
      </c>
      <c r="C82" s="64">
        <v>53.4</v>
      </c>
      <c r="D82" s="64">
        <v>33.61</v>
      </c>
      <c r="E82" s="64">
        <v>2.11</v>
      </c>
      <c r="F82" s="64">
        <v>3.5</v>
      </c>
      <c r="G82" s="64">
        <v>50.6</v>
      </c>
      <c r="H82" s="64">
        <v>21.66</v>
      </c>
      <c r="I82" s="64">
        <v>1.52</v>
      </c>
      <c r="J82" s="64">
        <v>0.57999999999999996</v>
      </c>
      <c r="K82" s="64">
        <v>106.33</v>
      </c>
      <c r="L82" s="64">
        <v>23.81</v>
      </c>
      <c r="M82" s="64">
        <v>57.55</v>
      </c>
      <c r="N82" s="64">
        <v>20.9</v>
      </c>
      <c r="O82" s="64">
        <v>0</v>
      </c>
      <c r="P82" s="64">
        <v>0.75</v>
      </c>
      <c r="Q82" s="64">
        <v>4.72</v>
      </c>
      <c r="R82" s="198"/>
      <c r="S82" s="198"/>
      <c r="T82" s="198"/>
      <c r="U82" s="198"/>
    </row>
    <row r="83" spans="1:26" s="12" customFormat="1" x14ac:dyDescent="0.25">
      <c r="A83" s="214" t="s">
        <v>418</v>
      </c>
      <c r="B83" s="64">
        <v>4.57</v>
      </c>
      <c r="C83" s="64">
        <v>52.58</v>
      </c>
      <c r="D83" s="64">
        <v>33.33</v>
      </c>
      <c r="E83" s="64">
        <v>2.1</v>
      </c>
      <c r="F83" s="64">
        <v>3.37</v>
      </c>
      <c r="G83" s="64">
        <v>50.79</v>
      </c>
      <c r="H83" s="64">
        <v>22.15</v>
      </c>
      <c r="I83" s="64">
        <v>1.43</v>
      </c>
      <c r="J83" s="64">
        <v>0.81</v>
      </c>
      <c r="K83" s="64">
        <v>103.35</v>
      </c>
      <c r="L83" s="64">
        <v>23.68</v>
      </c>
      <c r="M83" s="64">
        <v>58.55</v>
      </c>
      <c r="N83" s="64">
        <v>20.8</v>
      </c>
      <c r="O83" s="64">
        <v>0</v>
      </c>
      <c r="P83" s="64">
        <v>0.73</v>
      </c>
      <c r="Q83" s="64">
        <v>4.7300000000000004</v>
      </c>
      <c r="R83" s="198"/>
      <c r="S83" s="198"/>
      <c r="T83" s="198"/>
      <c r="U83" s="198"/>
    </row>
    <row r="84" spans="1:26" s="12" customFormat="1" x14ac:dyDescent="0.25">
      <c r="A84" s="214" t="s">
        <v>419</v>
      </c>
      <c r="B84" s="64">
        <v>4.7300000000000004</v>
      </c>
      <c r="C84" s="64">
        <v>52.3</v>
      </c>
      <c r="D84" s="64">
        <v>33.299999999999997</v>
      </c>
      <c r="E84" s="64">
        <v>2.0499999999999998</v>
      </c>
      <c r="F84" s="64">
        <v>3.55</v>
      </c>
      <c r="G84" s="64">
        <v>51.52</v>
      </c>
      <c r="H84" s="64">
        <v>23.47</v>
      </c>
      <c r="I84" s="64">
        <v>1.53</v>
      </c>
      <c r="J84" s="64">
        <v>0.71</v>
      </c>
      <c r="K84" s="64">
        <v>101.06</v>
      </c>
      <c r="L84" s="64">
        <v>23.51</v>
      </c>
      <c r="M84" s="64">
        <v>59.21</v>
      </c>
      <c r="N84" s="64">
        <v>20.8</v>
      </c>
      <c r="O84" s="64">
        <v>0</v>
      </c>
      <c r="P84" s="64">
        <v>0.74</v>
      </c>
      <c r="Q84" s="64">
        <v>4.68</v>
      </c>
      <c r="R84" s="198"/>
      <c r="S84" s="198"/>
      <c r="T84" s="198"/>
      <c r="U84" s="198"/>
    </row>
    <row r="85" spans="1:26" s="12" customFormat="1" x14ac:dyDescent="0.25">
      <c r="A85" s="214" t="s">
        <v>420</v>
      </c>
      <c r="B85" s="64">
        <v>4.8</v>
      </c>
      <c r="C85" s="64">
        <v>51.33</v>
      </c>
      <c r="D85" s="64">
        <v>32.82</v>
      </c>
      <c r="E85" s="64">
        <v>2.0499999999999998</v>
      </c>
      <c r="F85" s="64">
        <v>3.71</v>
      </c>
      <c r="G85" s="64">
        <v>51.52</v>
      </c>
      <c r="H85" s="64">
        <v>23.47</v>
      </c>
      <c r="I85" s="64">
        <v>1.46</v>
      </c>
      <c r="J85" s="64">
        <v>1.04</v>
      </c>
      <c r="K85" s="64">
        <v>113.54</v>
      </c>
      <c r="L85" s="64">
        <v>23.37</v>
      </c>
      <c r="M85" s="64">
        <v>59.17</v>
      </c>
      <c r="N85" s="64">
        <v>20.7</v>
      </c>
      <c r="O85" s="64">
        <v>0</v>
      </c>
      <c r="P85" s="64">
        <v>0.72</v>
      </c>
      <c r="Q85" s="64">
        <v>4.71</v>
      </c>
      <c r="R85" s="198"/>
      <c r="S85" s="198"/>
      <c r="T85" s="198"/>
      <c r="U85" s="198"/>
    </row>
    <row r="86" spans="1:26" s="12" customFormat="1" x14ac:dyDescent="0.25">
      <c r="A86" s="214" t="s">
        <v>421</v>
      </c>
      <c r="B86" s="64">
        <v>4.78</v>
      </c>
      <c r="C86" s="64">
        <v>51.12</v>
      </c>
      <c r="D86" s="64">
        <v>32.69</v>
      </c>
      <c r="E86" s="64">
        <v>2.13</v>
      </c>
      <c r="F86" s="64">
        <v>3.7</v>
      </c>
      <c r="G86" s="64">
        <v>51.52</v>
      </c>
      <c r="H86" s="64">
        <v>23.47</v>
      </c>
      <c r="I86" s="64">
        <v>1.47</v>
      </c>
      <c r="J86" s="64">
        <v>0.91</v>
      </c>
      <c r="K86" s="64">
        <v>113.27</v>
      </c>
      <c r="L86" s="64">
        <v>23.21</v>
      </c>
      <c r="M86" s="64">
        <v>59.48</v>
      </c>
      <c r="N86" s="64">
        <v>20.9</v>
      </c>
      <c r="O86" s="64">
        <v>0</v>
      </c>
      <c r="P86" s="64">
        <v>0.74</v>
      </c>
      <c r="Q86" s="64">
        <v>4.71</v>
      </c>
      <c r="R86" s="198"/>
      <c r="S86" s="198"/>
      <c r="T86" s="198"/>
      <c r="U86" s="198"/>
    </row>
    <row r="87" spans="1:26" s="12" customFormat="1" x14ac:dyDescent="0.25">
      <c r="A87" s="214" t="s">
        <v>422</v>
      </c>
      <c r="B87" s="64">
        <v>4.74</v>
      </c>
      <c r="C87" s="64">
        <v>50.86</v>
      </c>
      <c r="D87" s="64">
        <v>32.51</v>
      </c>
      <c r="E87" s="64">
        <v>2.16</v>
      </c>
      <c r="F87" s="64">
        <v>3.49</v>
      </c>
      <c r="G87" s="64">
        <v>51.84</v>
      </c>
      <c r="H87" s="64">
        <v>23.84</v>
      </c>
      <c r="I87" s="64">
        <v>1.5</v>
      </c>
      <c r="J87" s="64">
        <v>0.97</v>
      </c>
      <c r="K87" s="64">
        <v>120.91</v>
      </c>
      <c r="L87" s="64">
        <v>23.08</v>
      </c>
      <c r="M87" s="64">
        <v>60.04</v>
      </c>
      <c r="N87" s="64">
        <v>20.7</v>
      </c>
      <c r="O87" s="64">
        <v>0</v>
      </c>
      <c r="P87" s="64">
        <v>0.75</v>
      </c>
      <c r="Q87" s="64">
        <v>4.6900000000000004</v>
      </c>
      <c r="R87" s="198"/>
      <c r="S87" s="198"/>
      <c r="T87" s="198"/>
      <c r="U87" s="198"/>
    </row>
    <row r="88" spans="1:26" s="12" customFormat="1" x14ac:dyDescent="0.25">
      <c r="A88" s="214" t="s">
        <v>423</v>
      </c>
      <c r="B88" s="64">
        <v>4.8600000000000003</v>
      </c>
      <c r="C88" s="64">
        <v>50.94</v>
      </c>
      <c r="D88" s="64">
        <v>32.659999999999997</v>
      </c>
      <c r="E88" s="64">
        <v>1.97</v>
      </c>
      <c r="F88" s="64">
        <v>3.48</v>
      </c>
      <c r="G88" s="64">
        <v>53.04</v>
      </c>
      <c r="H88" s="64">
        <v>24.86</v>
      </c>
      <c r="I88" s="64">
        <v>1.47</v>
      </c>
      <c r="J88" s="64">
        <v>1.0900000000000001</v>
      </c>
      <c r="K88" s="64">
        <v>121.11</v>
      </c>
      <c r="L88" s="64">
        <v>22.92</v>
      </c>
      <c r="M88" s="64">
        <v>60.48</v>
      </c>
      <c r="N88" s="64">
        <v>20.9</v>
      </c>
      <c r="O88" s="64">
        <v>0</v>
      </c>
      <c r="P88" s="64">
        <v>0.76</v>
      </c>
      <c r="Q88" s="64">
        <v>4.6500000000000004</v>
      </c>
      <c r="R88" s="198"/>
      <c r="S88" s="198"/>
      <c r="T88" s="198"/>
      <c r="U88" s="198"/>
    </row>
    <row r="89" spans="1:26" s="12" customFormat="1" x14ac:dyDescent="0.25">
      <c r="A89" s="214" t="s">
        <v>424</v>
      </c>
      <c r="B89" s="64">
        <v>4.91</v>
      </c>
      <c r="C89" s="64">
        <v>50.4</v>
      </c>
      <c r="D89" s="64">
        <v>32.4</v>
      </c>
      <c r="E89" s="64">
        <v>2.13</v>
      </c>
      <c r="F89" s="64">
        <v>3.46</v>
      </c>
      <c r="G89" s="64">
        <v>53.04</v>
      </c>
      <c r="H89" s="64">
        <v>24.86</v>
      </c>
      <c r="I89" s="64">
        <v>1.56</v>
      </c>
      <c r="J89" s="64">
        <v>1.82</v>
      </c>
      <c r="K89" s="64">
        <v>108.7</v>
      </c>
      <c r="L89" s="64">
        <v>22.82</v>
      </c>
      <c r="M89" s="64">
        <v>60.35</v>
      </c>
      <c r="N89" s="64">
        <v>20.5</v>
      </c>
      <c r="O89" s="64">
        <v>0</v>
      </c>
      <c r="P89" s="64">
        <v>0.76</v>
      </c>
      <c r="Q89" s="64">
        <v>4.71</v>
      </c>
      <c r="R89" s="198"/>
      <c r="S89" s="198"/>
      <c r="T89" s="198"/>
      <c r="U89" s="198"/>
    </row>
    <row r="90" spans="1:26" s="12" customFormat="1" x14ac:dyDescent="0.25">
      <c r="A90" s="214" t="s">
        <v>425</v>
      </c>
      <c r="B90" s="64">
        <v>4.76</v>
      </c>
      <c r="C90" s="64">
        <v>50.61</v>
      </c>
      <c r="D90" s="64">
        <v>32.4</v>
      </c>
      <c r="E90" s="64">
        <v>2.13</v>
      </c>
      <c r="F90" s="64">
        <v>3.44</v>
      </c>
      <c r="G90" s="64">
        <v>53.04</v>
      </c>
      <c r="H90" s="64">
        <v>24.86</v>
      </c>
      <c r="I90" s="64">
        <v>1.58</v>
      </c>
      <c r="J90" s="64">
        <v>1.53</v>
      </c>
      <c r="K90" s="64">
        <v>107.31</v>
      </c>
      <c r="L90" s="64">
        <v>22.71</v>
      </c>
      <c r="M90" s="64">
        <v>61.51</v>
      </c>
      <c r="N90" s="64">
        <v>21</v>
      </c>
      <c r="O90" s="64">
        <v>0</v>
      </c>
      <c r="P90" s="64">
        <v>0.76</v>
      </c>
      <c r="Q90" s="64">
        <v>4.7300000000000004</v>
      </c>
      <c r="R90" s="198"/>
      <c r="S90" s="198"/>
      <c r="T90" s="198"/>
      <c r="U90" s="198"/>
    </row>
    <row r="91" spans="1:26" s="12" customFormat="1" x14ac:dyDescent="0.25">
      <c r="A91" s="214" t="s">
        <v>426</v>
      </c>
      <c r="B91" s="64">
        <v>4.4000000000000004</v>
      </c>
      <c r="C91" s="64">
        <v>46.92</v>
      </c>
      <c r="D91" s="64">
        <v>30.07</v>
      </c>
      <c r="E91" s="64">
        <v>2.1800000000000002</v>
      </c>
      <c r="F91" s="64">
        <v>3.78</v>
      </c>
      <c r="G91" s="64">
        <v>56.31</v>
      </c>
      <c r="H91" s="64">
        <v>25.76</v>
      </c>
      <c r="I91" s="64">
        <v>1.49</v>
      </c>
      <c r="J91" s="64">
        <v>1.62</v>
      </c>
      <c r="K91" s="64">
        <v>108.32</v>
      </c>
      <c r="L91" s="64">
        <v>22.52</v>
      </c>
      <c r="M91" s="64">
        <v>62.74</v>
      </c>
      <c r="N91" s="64">
        <v>20.8</v>
      </c>
      <c r="O91" s="64">
        <v>0</v>
      </c>
      <c r="P91" s="64">
        <v>0.77</v>
      </c>
      <c r="Q91" s="64">
        <v>5.04</v>
      </c>
      <c r="R91" s="198"/>
      <c r="S91" s="198"/>
      <c r="T91" s="198"/>
      <c r="U91" s="198"/>
    </row>
    <row r="92" spans="1:26" s="12" customFormat="1" x14ac:dyDescent="0.25">
      <c r="A92" s="214" t="s">
        <v>427</v>
      </c>
      <c r="B92" s="64">
        <v>3.91</v>
      </c>
      <c r="C92" s="64">
        <v>46.59</v>
      </c>
      <c r="D92" s="64">
        <v>29.49</v>
      </c>
      <c r="E92" s="64">
        <v>2.16</v>
      </c>
      <c r="F92" s="64">
        <v>3.82</v>
      </c>
      <c r="G92" s="64">
        <v>68.510000000000005</v>
      </c>
      <c r="H92" s="64">
        <v>29.78</v>
      </c>
      <c r="I92" s="64">
        <v>1.52</v>
      </c>
      <c r="J92" s="64">
        <v>1.52</v>
      </c>
      <c r="K92" s="64">
        <v>111.51</v>
      </c>
      <c r="L92" s="64">
        <v>22.47</v>
      </c>
      <c r="M92" s="64">
        <v>63.05</v>
      </c>
      <c r="N92" s="64">
        <v>20.7</v>
      </c>
      <c r="O92" s="64">
        <v>0</v>
      </c>
      <c r="P92" s="64">
        <v>0.75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4" t="s">
        <v>428</v>
      </c>
      <c r="B93" s="64">
        <v>3.5</v>
      </c>
      <c r="C93" s="64">
        <v>46.48</v>
      </c>
      <c r="D93" s="64">
        <v>29.1</v>
      </c>
      <c r="E93" s="64">
        <v>2.16</v>
      </c>
      <c r="F93" s="64">
        <v>4.12</v>
      </c>
      <c r="G93" s="64">
        <v>68.510000000000005</v>
      </c>
      <c r="H93" s="64">
        <v>29.78</v>
      </c>
      <c r="I93" s="64">
        <v>1.54</v>
      </c>
      <c r="J93" s="64">
        <v>1.42</v>
      </c>
      <c r="K93" s="64">
        <v>116.72</v>
      </c>
      <c r="L93" s="64">
        <v>22.27</v>
      </c>
      <c r="M93" s="64">
        <v>64.38</v>
      </c>
      <c r="N93" s="64">
        <v>21</v>
      </c>
      <c r="O93" s="64">
        <v>0</v>
      </c>
      <c r="P93" s="64">
        <v>0.75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4" t="s">
        <v>429</v>
      </c>
      <c r="B94" s="64">
        <v>3.27</v>
      </c>
      <c r="C94" s="64">
        <v>46.44</v>
      </c>
      <c r="D94" s="64">
        <v>28.9</v>
      </c>
      <c r="E94" s="64">
        <v>2.14</v>
      </c>
      <c r="F94" s="64">
        <v>4.0199999999999996</v>
      </c>
      <c r="G94" s="64">
        <v>68.510000000000005</v>
      </c>
      <c r="H94" s="64">
        <v>29.78</v>
      </c>
      <c r="I94" s="64">
        <v>1.51</v>
      </c>
      <c r="J94" s="64">
        <v>1.28</v>
      </c>
      <c r="K94" s="64">
        <v>113.04</v>
      </c>
      <c r="L94" s="64">
        <v>22.03</v>
      </c>
      <c r="M94" s="64">
        <v>65.88</v>
      </c>
      <c r="N94" s="64">
        <v>21</v>
      </c>
      <c r="O94" s="64">
        <v>0</v>
      </c>
      <c r="P94" s="64">
        <v>0.75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4" t="s">
        <v>430</v>
      </c>
      <c r="B95" s="64">
        <v>3.14</v>
      </c>
      <c r="C95" s="64">
        <v>46.31</v>
      </c>
      <c r="D95" s="64">
        <v>28.72</v>
      </c>
      <c r="E95" s="64">
        <v>2.16</v>
      </c>
      <c r="F95" s="64">
        <v>3.69</v>
      </c>
      <c r="G95" s="64">
        <v>67.34</v>
      </c>
      <c r="H95" s="64">
        <v>29.13</v>
      </c>
      <c r="I95" s="64">
        <v>1.46</v>
      </c>
      <c r="J95" s="64">
        <v>1.2</v>
      </c>
      <c r="K95" s="64">
        <v>112.31</v>
      </c>
      <c r="L95" s="64">
        <v>21.85</v>
      </c>
      <c r="M95" s="64">
        <v>66.930000000000007</v>
      </c>
      <c r="N95" s="64">
        <v>20.9</v>
      </c>
      <c r="O95" s="64">
        <v>0</v>
      </c>
      <c r="P95" s="64">
        <v>0.75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4" t="s">
        <v>431</v>
      </c>
      <c r="B96" s="64">
        <v>3.09</v>
      </c>
      <c r="C96" s="64">
        <v>46.06</v>
      </c>
      <c r="D96" s="64">
        <v>28.54</v>
      </c>
      <c r="E96" s="64">
        <v>2.14</v>
      </c>
      <c r="F96" s="64">
        <v>3.7</v>
      </c>
      <c r="G96" s="64">
        <v>62.97</v>
      </c>
      <c r="H96" s="64">
        <v>27.35</v>
      </c>
      <c r="I96" s="64">
        <v>1.42</v>
      </c>
      <c r="J96" s="64">
        <v>1.66</v>
      </c>
      <c r="K96" s="64">
        <v>110.03</v>
      </c>
      <c r="L96" s="64">
        <v>21.79</v>
      </c>
      <c r="M96" s="64">
        <v>66.61</v>
      </c>
      <c r="N96" s="64">
        <v>20.5</v>
      </c>
      <c r="O96" s="64">
        <v>0</v>
      </c>
      <c r="P96" s="64">
        <v>0.76</v>
      </c>
      <c r="Q96" s="64">
        <v>5.21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432</v>
      </c>
      <c r="B97" s="64">
        <v>3.13</v>
      </c>
      <c r="C97" s="64">
        <v>45.17</v>
      </c>
      <c r="D97" s="64">
        <v>28.08</v>
      </c>
      <c r="E97" s="64">
        <v>2.2000000000000002</v>
      </c>
      <c r="F97" s="64">
        <v>3.75</v>
      </c>
      <c r="G97" s="64">
        <v>62.97</v>
      </c>
      <c r="H97" s="64">
        <v>27.35</v>
      </c>
      <c r="I97" s="64">
        <v>1.57</v>
      </c>
      <c r="J97" s="64">
        <v>1.35</v>
      </c>
      <c r="K97" s="64">
        <v>108.47</v>
      </c>
      <c r="L97" s="64">
        <v>21.71</v>
      </c>
      <c r="M97" s="64">
        <v>66.819999999999993</v>
      </c>
      <c r="N97" s="64">
        <v>20.8</v>
      </c>
      <c r="O97" s="64">
        <v>0</v>
      </c>
      <c r="P97" s="64">
        <v>0.75</v>
      </c>
      <c r="Q97" s="64">
        <v>5.21</v>
      </c>
      <c r="R97" s="198"/>
      <c r="S97" s="198"/>
      <c r="T97" s="198"/>
      <c r="U97" s="198"/>
    </row>
    <row r="98" spans="1:33" s="12" customFormat="1" x14ac:dyDescent="0.25">
      <c r="A98" s="214" t="s">
        <v>433</v>
      </c>
      <c r="B98" s="64">
        <v>3.14</v>
      </c>
      <c r="C98" s="64">
        <v>45.58</v>
      </c>
      <c r="D98" s="64">
        <v>28.32</v>
      </c>
      <c r="E98" s="64">
        <v>2.16</v>
      </c>
      <c r="F98" s="64">
        <v>3.79</v>
      </c>
      <c r="G98" s="64">
        <v>62.97</v>
      </c>
      <c r="H98" s="64">
        <v>27.35</v>
      </c>
      <c r="I98" s="64">
        <v>1.48</v>
      </c>
      <c r="J98" s="64">
        <v>1.24</v>
      </c>
      <c r="K98" s="64">
        <v>111.52</v>
      </c>
      <c r="L98" s="64">
        <v>21.54</v>
      </c>
      <c r="M98" s="64">
        <v>67.52</v>
      </c>
      <c r="N98" s="64">
        <v>20.8</v>
      </c>
      <c r="O98" s="64">
        <v>0</v>
      </c>
      <c r="P98" s="64">
        <v>0.74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4" t="s">
        <v>434</v>
      </c>
      <c r="B99" s="64">
        <v>3.14</v>
      </c>
      <c r="C99" s="64">
        <v>45.18</v>
      </c>
      <c r="D99" s="64">
        <v>28.1</v>
      </c>
      <c r="E99" s="64">
        <v>2.14</v>
      </c>
      <c r="F99" s="64">
        <v>3.79</v>
      </c>
      <c r="G99" s="64">
        <v>63.81</v>
      </c>
      <c r="H99" s="64">
        <v>27.87</v>
      </c>
      <c r="I99" s="64">
        <v>1.56</v>
      </c>
      <c r="J99" s="64">
        <v>1.67</v>
      </c>
      <c r="K99" s="64">
        <v>112.53</v>
      </c>
      <c r="L99" s="64">
        <v>21.44</v>
      </c>
      <c r="M99" s="64">
        <v>67.739999999999995</v>
      </c>
      <c r="N99" s="64">
        <v>20.7</v>
      </c>
      <c r="O99" s="64">
        <v>0</v>
      </c>
      <c r="P99" s="64">
        <v>0.74</v>
      </c>
      <c r="Q99" s="64">
        <v>5.21</v>
      </c>
      <c r="R99" s="198"/>
      <c r="S99" s="198"/>
      <c r="T99" s="198"/>
      <c r="U99" s="198"/>
    </row>
    <row r="100" spans="1:33" s="12" customFormat="1" x14ac:dyDescent="0.25">
      <c r="A100" s="214" t="s">
        <v>435</v>
      </c>
      <c r="B100" s="64">
        <v>3.13</v>
      </c>
      <c r="C100" s="64">
        <v>45.03</v>
      </c>
      <c r="D100" s="64">
        <v>28.01</v>
      </c>
      <c r="E100" s="64">
        <v>2.12</v>
      </c>
      <c r="F100" s="64">
        <v>3.86</v>
      </c>
      <c r="G100" s="64">
        <v>66.930000000000007</v>
      </c>
      <c r="H100" s="64">
        <v>29.28</v>
      </c>
      <c r="I100" s="64">
        <v>1.52</v>
      </c>
      <c r="J100" s="64">
        <v>1.7</v>
      </c>
      <c r="K100" s="64">
        <v>113.08</v>
      </c>
      <c r="L100" s="64">
        <v>21.25</v>
      </c>
      <c r="M100" s="64">
        <v>68.650000000000006</v>
      </c>
      <c r="N100" s="64">
        <v>20.9</v>
      </c>
      <c r="O100" s="64">
        <v>0</v>
      </c>
      <c r="P100" s="64">
        <v>0.74</v>
      </c>
      <c r="Q100" s="64">
        <v>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436</v>
      </c>
      <c r="B101" s="64">
        <v>3.07</v>
      </c>
      <c r="C101" s="64">
        <v>44.13</v>
      </c>
      <c r="D101" s="64">
        <v>27.46</v>
      </c>
      <c r="E101" s="64">
        <v>2.1800000000000002</v>
      </c>
      <c r="F101" s="64">
        <v>3.88</v>
      </c>
      <c r="G101" s="64">
        <v>66.930000000000007</v>
      </c>
      <c r="H101" s="64">
        <v>29.28</v>
      </c>
      <c r="I101" s="64">
        <v>1.5</v>
      </c>
      <c r="J101" s="64">
        <v>1.43</v>
      </c>
      <c r="K101" s="64">
        <v>114.39</v>
      </c>
      <c r="L101" s="64">
        <v>21.13</v>
      </c>
      <c r="M101" s="64">
        <v>68.95</v>
      </c>
      <c r="N101" s="64">
        <v>20.9</v>
      </c>
      <c r="O101" s="64">
        <v>0</v>
      </c>
      <c r="P101" s="64">
        <v>0.72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4" t="s">
        <v>437</v>
      </c>
      <c r="B102" s="64">
        <v>3.06</v>
      </c>
      <c r="C102" s="64">
        <v>43.28</v>
      </c>
      <c r="D102" s="64">
        <v>26.98</v>
      </c>
      <c r="E102" s="64">
        <v>2.16</v>
      </c>
      <c r="F102" s="64">
        <v>4.05</v>
      </c>
      <c r="G102" s="64">
        <v>66.930000000000007</v>
      </c>
      <c r="H102" s="64">
        <v>29.28</v>
      </c>
      <c r="I102" s="64">
        <v>1.46</v>
      </c>
      <c r="J102" s="64">
        <v>1.24</v>
      </c>
      <c r="K102" s="64">
        <v>115.12</v>
      </c>
      <c r="L102" s="64">
        <v>21.03</v>
      </c>
      <c r="M102" s="64">
        <v>69.400000000000006</v>
      </c>
      <c r="N102" s="64">
        <v>20.9</v>
      </c>
      <c r="O102" s="64">
        <v>0</v>
      </c>
      <c r="P102" s="64">
        <v>0.72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4" t="s">
        <v>438</v>
      </c>
      <c r="B103" s="64">
        <v>3.02</v>
      </c>
      <c r="C103" s="64">
        <v>43.22</v>
      </c>
      <c r="D103" s="64">
        <v>26.92</v>
      </c>
      <c r="E103" s="64">
        <v>2.13</v>
      </c>
      <c r="F103" s="64">
        <v>3.91</v>
      </c>
      <c r="G103" s="64">
        <v>65.3</v>
      </c>
      <c r="H103" s="64">
        <v>29.42</v>
      </c>
      <c r="I103" s="64">
        <v>1.52</v>
      </c>
      <c r="J103" s="64">
        <v>0.85</v>
      </c>
      <c r="K103" s="64">
        <v>116.14</v>
      </c>
      <c r="L103" s="64">
        <v>20.71</v>
      </c>
      <c r="M103" s="64">
        <v>71.05</v>
      </c>
      <c r="N103" s="64">
        <v>21.1</v>
      </c>
      <c r="O103" s="64">
        <v>0</v>
      </c>
      <c r="P103" s="64">
        <v>0.72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4" t="s">
        <v>439</v>
      </c>
      <c r="B104" s="64">
        <v>3.06</v>
      </c>
      <c r="C104" s="64">
        <v>42.91</v>
      </c>
      <c r="D104" s="64">
        <v>26.78</v>
      </c>
      <c r="E104" s="64">
        <v>2.1800000000000002</v>
      </c>
      <c r="F104" s="64">
        <v>3.92</v>
      </c>
      <c r="G104" s="64">
        <v>59.22</v>
      </c>
      <c r="H104" s="64">
        <v>29.79</v>
      </c>
      <c r="I104" s="64">
        <v>1.42</v>
      </c>
      <c r="J104" s="64">
        <v>1.2</v>
      </c>
      <c r="K104" s="64">
        <v>116.97</v>
      </c>
      <c r="L104" s="64">
        <v>20.58</v>
      </c>
      <c r="M104" s="64">
        <v>71.540000000000006</v>
      </c>
      <c r="N104" s="64">
        <v>20.7</v>
      </c>
      <c r="O104" s="64">
        <v>0</v>
      </c>
      <c r="P104" s="64">
        <v>0.71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1.36</v>
      </c>
      <c r="C106" s="67">
        <f>MIN(C9:C104)</f>
        <v>32.32</v>
      </c>
      <c r="D106" s="67">
        <f t="shared" ref="D106:Q106" si="0">MIN(D9:D104)</f>
        <v>20.260000000000002</v>
      </c>
      <c r="E106" s="67">
        <f t="shared" si="0"/>
        <v>1.4</v>
      </c>
      <c r="F106" s="67">
        <f t="shared" si="0"/>
        <v>3.12</v>
      </c>
      <c r="G106" s="67">
        <f t="shared" si="0"/>
        <v>14.78</v>
      </c>
      <c r="H106" s="67">
        <f t="shared" si="0"/>
        <v>6.45</v>
      </c>
      <c r="I106" s="67">
        <f t="shared" si="0"/>
        <v>1.4</v>
      </c>
      <c r="J106" s="67">
        <f t="shared" si="0"/>
        <v>0.05</v>
      </c>
      <c r="K106" s="67">
        <f t="shared" si="0"/>
        <v>58.18</v>
      </c>
      <c r="L106" s="67">
        <f t="shared" si="0"/>
        <v>18.27</v>
      </c>
      <c r="M106" s="67">
        <f t="shared" si="0"/>
        <v>39.82</v>
      </c>
      <c r="N106" s="67">
        <f t="shared" si="0"/>
        <v>20.100000000000001</v>
      </c>
      <c r="O106" s="67">
        <f t="shared" si="0"/>
        <v>0</v>
      </c>
      <c r="P106" s="67">
        <f t="shared" si="0"/>
        <v>0.45</v>
      </c>
      <c r="Q106" s="67">
        <f t="shared" si="0"/>
        <v>4.6500000000000004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14.68</v>
      </c>
      <c r="C107" s="66">
        <f t="shared" ref="C107:Q107" si="1">MAX(C9:C104)</f>
        <v>55.63</v>
      </c>
      <c r="D107" s="66">
        <f t="shared" si="1"/>
        <v>42.25</v>
      </c>
      <c r="E107" s="66">
        <f t="shared" si="1"/>
        <v>2.4500000000000002</v>
      </c>
      <c r="F107" s="66">
        <f t="shared" si="1"/>
        <v>23.5</v>
      </c>
      <c r="G107" s="66">
        <f t="shared" si="1"/>
        <v>73.91</v>
      </c>
      <c r="H107" s="66">
        <f t="shared" si="1"/>
        <v>65.349999999999994</v>
      </c>
      <c r="I107" s="66">
        <f t="shared" si="1"/>
        <v>1.6</v>
      </c>
      <c r="J107" s="66">
        <f t="shared" si="1"/>
        <v>2.23</v>
      </c>
      <c r="K107" s="66">
        <f t="shared" si="1"/>
        <v>357.33</v>
      </c>
      <c r="L107" s="66">
        <f t="shared" si="1"/>
        <v>27.84</v>
      </c>
      <c r="M107" s="66">
        <f t="shared" si="1"/>
        <v>88.61</v>
      </c>
      <c r="N107" s="66">
        <f t="shared" si="1"/>
        <v>763.1</v>
      </c>
      <c r="O107" s="66">
        <f t="shared" si="1"/>
        <v>0</v>
      </c>
      <c r="P107" s="66">
        <f t="shared" si="1"/>
        <v>1.0900000000000001</v>
      </c>
      <c r="Q107" s="66">
        <f t="shared" si="1"/>
        <v>5.26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5.258387096774193</v>
      </c>
      <c r="C108" s="67">
        <f t="shared" ref="C108:Q108" si="2">AVERAGE(C9:C104)</f>
        <v>42.478924731182786</v>
      </c>
      <c r="D108" s="67">
        <f t="shared" si="2"/>
        <v>28.306559139784948</v>
      </c>
      <c r="E108" s="67">
        <f t="shared" si="2"/>
        <v>2.16</v>
      </c>
      <c r="F108" s="67">
        <f t="shared" si="2"/>
        <v>4.640833333333334</v>
      </c>
      <c r="G108" s="67">
        <f t="shared" si="2"/>
        <v>57.786781609195444</v>
      </c>
      <c r="H108" s="67">
        <f t="shared" si="2"/>
        <v>30.461494252873575</v>
      </c>
      <c r="I108" s="67">
        <f t="shared" si="2"/>
        <v>1.4988541666666666</v>
      </c>
      <c r="J108" s="67">
        <f t="shared" si="2"/>
        <v>0.89739583333333328</v>
      </c>
      <c r="K108" s="67">
        <f t="shared" si="2"/>
        <v>134.3182291666667</v>
      </c>
      <c r="L108" s="67">
        <f t="shared" si="2"/>
        <v>22.613645833333326</v>
      </c>
      <c r="M108" s="67">
        <f t="shared" si="2"/>
        <v>65.119062499999984</v>
      </c>
      <c r="N108" s="67">
        <f t="shared" si="2"/>
        <v>174.59895833333337</v>
      </c>
      <c r="O108" s="67">
        <f t="shared" si="2"/>
        <v>0</v>
      </c>
      <c r="P108" s="67">
        <f t="shared" si="2"/>
        <v>0.72437499999999988</v>
      </c>
      <c r="Q108" s="67">
        <f t="shared" si="2"/>
        <v>5.0958333333333279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2.8454812729333328</v>
      </c>
      <c r="C109" s="67">
        <f t="shared" ref="C109:Q109" si="3">STDEV(C9:C104)</f>
        <v>5.5608345992238837</v>
      </c>
      <c r="D109" s="67">
        <f t="shared" si="3"/>
        <v>3.7476675339247731</v>
      </c>
      <c r="E109" s="67">
        <f t="shared" si="3"/>
        <v>0.11364765494142068</v>
      </c>
      <c r="F109" s="67">
        <f t="shared" si="3"/>
        <v>2.7912814135849087</v>
      </c>
      <c r="G109" s="67">
        <f t="shared" si="3"/>
        <v>8.9593096305684679</v>
      </c>
      <c r="H109" s="67">
        <f t="shared" si="3"/>
        <v>9.6707660080836071</v>
      </c>
      <c r="I109" s="67">
        <f t="shared" si="3"/>
        <v>4.2744523605318344E-2</v>
      </c>
      <c r="J109" s="67">
        <f t="shared" si="3"/>
        <v>0.60691496810407641</v>
      </c>
      <c r="K109" s="67">
        <f t="shared" si="3"/>
        <v>75.59578464988067</v>
      </c>
      <c r="L109" s="67">
        <f t="shared" si="3"/>
        <v>3.0296236069125597</v>
      </c>
      <c r="M109" s="67">
        <f t="shared" si="3"/>
        <v>15.960165549736663</v>
      </c>
      <c r="N109" s="67">
        <f t="shared" si="3"/>
        <v>246.11295587907429</v>
      </c>
      <c r="O109" s="67">
        <f t="shared" si="3"/>
        <v>0</v>
      </c>
      <c r="P109" s="67">
        <f t="shared" si="3"/>
        <v>0.15040865386637495</v>
      </c>
      <c r="Q109" s="67">
        <f t="shared" si="3"/>
        <v>0.1727405518273403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COUNT(G9:G104)+9</f>
        <v>96</v>
      </c>
      <c r="H110" s="66">
        <f>COUNT(H9:H104)+9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3" sqref="G13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440</v>
      </c>
      <c r="B9" s="64">
        <v>3.12</v>
      </c>
      <c r="C9" s="64">
        <v>43.25</v>
      </c>
      <c r="D9" s="64">
        <v>27.02</v>
      </c>
      <c r="E9" s="64">
        <v>2.2000000000000002</v>
      </c>
      <c r="F9" s="64">
        <v>3.92</v>
      </c>
      <c r="G9" s="64">
        <v>59.22</v>
      </c>
      <c r="H9" s="64">
        <v>29.79</v>
      </c>
      <c r="I9" s="64">
        <v>1.5</v>
      </c>
      <c r="J9" s="64">
        <v>0.97</v>
      </c>
      <c r="K9" s="64">
        <v>120.77</v>
      </c>
      <c r="L9" s="64">
        <v>20.46</v>
      </c>
      <c r="M9" s="64">
        <v>72.290000000000006</v>
      </c>
      <c r="N9" s="64">
        <v>20.9</v>
      </c>
      <c r="O9" s="64">
        <v>0</v>
      </c>
      <c r="P9" s="64">
        <v>0.71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4" t="s">
        <v>441</v>
      </c>
      <c r="B10" s="64">
        <v>3.29</v>
      </c>
      <c r="C10" s="64">
        <v>43.67</v>
      </c>
      <c r="D10" s="64">
        <v>27.39</v>
      </c>
      <c r="E10" s="64">
        <v>2.2000000000000002</v>
      </c>
      <c r="F10" s="64">
        <v>3.81</v>
      </c>
      <c r="G10" s="64">
        <v>59.22</v>
      </c>
      <c r="H10" s="64">
        <v>29.79</v>
      </c>
      <c r="I10" s="64">
        <v>1.49</v>
      </c>
      <c r="J10" s="64">
        <v>0.69</v>
      </c>
      <c r="K10" s="64">
        <v>115.16</v>
      </c>
      <c r="L10" s="64">
        <v>20.28</v>
      </c>
      <c r="M10" s="64">
        <v>72.91</v>
      </c>
      <c r="N10" s="64">
        <v>20.8</v>
      </c>
      <c r="O10" s="64">
        <v>0</v>
      </c>
      <c r="P10" s="64">
        <v>0.68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4" t="s">
        <v>442</v>
      </c>
      <c r="B11" s="64">
        <v>3.59</v>
      </c>
      <c r="C11" s="64">
        <v>43.51</v>
      </c>
      <c r="D11" s="64">
        <v>27.53</v>
      </c>
      <c r="E11" s="64">
        <v>2.21</v>
      </c>
      <c r="F11" s="64">
        <v>3.62</v>
      </c>
      <c r="G11" s="64">
        <v>59.78</v>
      </c>
      <c r="H11" s="64">
        <v>29.25</v>
      </c>
      <c r="I11" s="64">
        <v>1.48</v>
      </c>
      <c r="J11" s="64">
        <v>1.45</v>
      </c>
      <c r="K11" s="64">
        <v>116.8</v>
      </c>
      <c r="L11" s="64">
        <v>20.53</v>
      </c>
      <c r="M11" s="64">
        <v>70.39</v>
      </c>
      <c r="N11" s="64">
        <v>20.100000000000001</v>
      </c>
      <c r="O11" s="64">
        <v>0</v>
      </c>
      <c r="P11" s="64">
        <v>0.69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4" t="s">
        <v>443</v>
      </c>
      <c r="B12" s="64">
        <v>3.86</v>
      </c>
      <c r="C12" s="64">
        <v>43.65</v>
      </c>
      <c r="D12" s="64">
        <v>27.83</v>
      </c>
      <c r="E12" s="64">
        <v>2.1800000000000002</v>
      </c>
      <c r="F12" s="64">
        <v>3.81</v>
      </c>
      <c r="G12" s="64">
        <v>61.86</v>
      </c>
      <c r="H12" s="64">
        <v>26.85</v>
      </c>
      <c r="I12" s="64">
        <v>1.47</v>
      </c>
      <c r="J12" s="64">
        <v>0.9</v>
      </c>
      <c r="K12" s="64">
        <v>119.27</v>
      </c>
      <c r="L12" s="64">
        <v>20.329999999999998</v>
      </c>
      <c r="M12" s="64">
        <v>71.58</v>
      </c>
      <c r="N12" s="64">
        <v>21.1</v>
      </c>
      <c r="O12" s="64">
        <v>0</v>
      </c>
      <c r="P12" s="64">
        <v>0.67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4" t="s">
        <v>444</v>
      </c>
      <c r="B13" s="64">
        <v>4.08</v>
      </c>
      <c r="C13" s="64">
        <v>43.03</v>
      </c>
      <c r="D13" s="64">
        <v>27.66</v>
      </c>
      <c r="E13" s="64">
        <v>2.19</v>
      </c>
      <c r="F13" s="64">
        <v>3.58</v>
      </c>
      <c r="G13" s="64">
        <v>61.86</v>
      </c>
      <c r="H13" s="64">
        <v>26.85</v>
      </c>
      <c r="I13" s="64">
        <v>1.57</v>
      </c>
      <c r="J13" s="64">
        <v>1.61</v>
      </c>
      <c r="K13" s="64">
        <v>107.92</v>
      </c>
      <c r="L13" s="64">
        <v>20.34</v>
      </c>
      <c r="M13" s="64">
        <v>70.569999999999993</v>
      </c>
      <c r="N13" s="64">
        <v>20.5</v>
      </c>
      <c r="O13" s="64">
        <v>0</v>
      </c>
      <c r="P13" s="64">
        <v>0.7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4" t="s">
        <v>445</v>
      </c>
      <c r="B14" s="64">
        <v>4.2300000000000004</v>
      </c>
      <c r="C14" s="64">
        <v>42.87</v>
      </c>
      <c r="D14" s="64">
        <v>27.7</v>
      </c>
      <c r="E14" s="64">
        <v>2.2400000000000002</v>
      </c>
      <c r="F14" s="64">
        <v>3.66</v>
      </c>
      <c r="G14" s="64">
        <v>61.86</v>
      </c>
      <c r="H14" s="64">
        <v>26.85</v>
      </c>
      <c r="I14" s="64">
        <v>1.51</v>
      </c>
      <c r="J14" s="64">
        <v>1.36</v>
      </c>
      <c r="K14" s="64">
        <v>108.68</v>
      </c>
      <c r="L14" s="64">
        <v>20.23</v>
      </c>
      <c r="M14" s="64">
        <v>71.22</v>
      </c>
      <c r="N14" s="64">
        <v>20.9</v>
      </c>
      <c r="O14" s="64">
        <v>0</v>
      </c>
      <c r="P14" s="64">
        <v>0.73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4" t="s">
        <v>446</v>
      </c>
      <c r="B15" s="64">
        <v>4.33</v>
      </c>
      <c r="C15" s="64">
        <v>42.58</v>
      </c>
      <c r="D15" s="64">
        <v>27.62</v>
      </c>
      <c r="E15" s="64">
        <v>2.2400000000000002</v>
      </c>
      <c r="F15" s="64">
        <v>3.75</v>
      </c>
      <c r="G15" s="64">
        <v>60.18</v>
      </c>
      <c r="H15" s="64">
        <v>26.55</v>
      </c>
      <c r="I15" s="64">
        <v>1.52</v>
      </c>
      <c r="J15" s="64">
        <v>1.74</v>
      </c>
      <c r="K15" s="64">
        <v>112.78</v>
      </c>
      <c r="L15" s="64">
        <v>19.989999999999998</v>
      </c>
      <c r="M15" s="64">
        <v>72.89</v>
      </c>
      <c r="N15" s="64">
        <v>21</v>
      </c>
      <c r="O15" s="64">
        <v>0</v>
      </c>
      <c r="P15" s="64">
        <v>0.71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4" t="s">
        <v>447</v>
      </c>
      <c r="B16" s="64">
        <v>4.4000000000000004</v>
      </c>
      <c r="C16" s="64">
        <v>42.63</v>
      </c>
      <c r="D16" s="64">
        <v>27.7</v>
      </c>
      <c r="E16" s="64">
        <v>2.17</v>
      </c>
      <c r="F16" s="64">
        <v>3.65</v>
      </c>
      <c r="G16" s="64">
        <v>53.46</v>
      </c>
      <c r="H16" s="64">
        <v>25.72</v>
      </c>
      <c r="I16" s="64">
        <v>1.47</v>
      </c>
      <c r="J16" s="64">
        <v>1.01</v>
      </c>
      <c r="K16" s="64">
        <v>113.49</v>
      </c>
      <c r="L16" s="64">
        <v>19.7</v>
      </c>
      <c r="M16" s="64">
        <v>74.42</v>
      </c>
      <c r="N16" s="64">
        <v>21.1</v>
      </c>
      <c r="O16" s="64">
        <v>0</v>
      </c>
      <c r="P16" s="64">
        <v>0.71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4" t="s">
        <v>448</v>
      </c>
      <c r="B17" s="64">
        <v>4.47</v>
      </c>
      <c r="C17" s="64">
        <v>42.51</v>
      </c>
      <c r="D17" s="64">
        <v>27.69</v>
      </c>
      <c r="E17" s="64">
        <v>2.14</v>
      </c>
      <c r="F17" s="64">
        <v>3.63</v>
      </c>
      <c r="G17" s="64">
        <v>53.46</v>
      </c>
      <c r="H17" s="64">
        <v>25.72</v>
      </c>
      <c r="I17" s="64">
        <v>1.51</v>
      </c>
      <c r="J17" s="64">
        <v>0.52</v>
      </c>
      <c r="K17" s="64">
        <v>110.56</v>
      </c>
      <c r="L17" s="64">
        <v>19.46</v>
      </c>
      <c r="M17" s="64">
        <v>76.16</v>
      </c>
      <c r="N17" s="64">
        <v>21.3</v>
      </c>
      <c r="O17" s="64">
        <v>0</v>
      </c>
      <c r="P17" s="64">
        <v>0.69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449</v>
      </c>
      <c r="B18" s="64">
        <v>4.68</v>
      </c>
      <c r="C18" s="64">
        <v>42.57</v>
      </c>
      <c r="D18" s="64">
        <v>27.89</v>
      </c>
      <c r="E18" s="64">
        <v>2.2000000000000002</v>
      </c>
      <c r="F18" s="64">
        <v>3.54</v>
      </c>
      <c r="G18" s="64">
        <v>53.46</v>
      </c>
      <c r="H18" s="64">
        <v>25.72</v>
      </c>
      <c r="I18" s="64">
        <v>1.55</v>
      </c>
      <c r="J18" s="64">
        <v>0.54</v>
      </c>
      <c r="K18" s="64">
        <v>112.35</v>
      </c>
      <c r="L18" s="64">
        <v>19.2</v>
      </c>
      <c r="M18" s="64">
        <v>77.510000000000005</v>
      </c>
      <c r="N18" s="64">
        <v>20.9</v>
      </c>
      <c r="O18" s="64">
        <v>0</v>
      </c>
      <c r="P18" s="64">
        <v>0.69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4" t="s">
        <v>450</v>
      </c>
      <c r="B19" s="64">
        <v>4.8499999999999996</v>
      </c>
      <c r="C19" s="64">
        <v>42.96</v>
      </c>
      <c r="D19" s="64">
        <v>28.25</v>
      </c>
      <c r="E19" s="64">
        <v>2.1800000000000002</v>
      </c>
      <c r="F19" s="64">
        <v>3.32</v>
      </c>
      <c r="G19" s="64">
        <v>53.15</v>
      </c>
      <c r="H19" s="64">
        <v>25.38</v>
      </c>
      <c r="I19" s="64">
        <v>1.49</v>
      </c>
      <c r="J19" s="64">
        <v>1.02</v>
      </c>
      <c r="K19" s="64">
        <v>120.35</v>
      </c>
      <c r="L19" s="64">
        <v>19.22</v>
      </c>
      <c r="M19" s="64">
        <v>77.069999999999993</v>
      </c>
      <c r="N19" s="64">
        <v>20.6</v>
      </c>
      <c r="O19" s="64">
        <v>0</v>
      </c>
      <c r="P19" s="64">
        <v>0.69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4" t="s">
        <v>451</v>
      </c>
      <c r="B20" s="64">
        <v>5.01</v>
      </c>
      <c r="C20" s="64">
        <v>42.62</v>
      </c>
      <c r="D20" s="64">
        <v>28.18</v>
      </c>
      <c r="E20" s="64">
        <v>2.17</v>
      </c>
      <c r="F20" s="64">
        <v>3.31</v>
      </c>
      <c r="G20" s="64">
        <v>51.9</v>
      </c>
      <c r="H20" s="64">
        <v>24.47</v>
      </c>
      <c r="I20" s="64">
        <v>1.56</v>
      </c>
      <c r="J20" s="64">
        <v>0.92</v>
      </c>
      <c r="K20" s="64">
        <v>112.41</v>
      </c>
      <c r="L20" s="64">
        <v>19.149999999999999</v>
      </c>
      <c r="M20" s="64">
        <v>77.56</v>
      </c>
      <c r="N20" s="64">
        <v>20.9</v>
      </c>
      <c r="O20" s="64">
        <v>0</v>
      </c>
      <c r="P20" s="64">
        <v>0.69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4" t="s">
        <v>452</v>
      </c>
      <c r="B21" s="64">
        <v>5.13</v>
      </c>
      <c r="C21" s="64">
        <v>42.69</v>
      </c>
      <c r="D21" s="64">
        <v>28.32</v>
      </c>
      <c r="E21" s="64">
        <v>2.1800000000000002</v>
      </c>
      <c r="F21" s="64">
        <v>3.25</v>
      </c>
      <c r="G21" s="64">
        <v>51.9</v>
      </c>
      <c r="H21" s="64">
        <v>24.47</v>
      </c>
      <c r="I21" s="64">
        <v>1.48</v>
      </c>
      <c r="J21" s="64">
        <v>0.49</v>
      </c>
      <c r="K21" s="64">
        <v>107.94</v>
      </c>
      <c r="L21" s="64">
        <v>18.93</v>
      </c>
      <c r="M21" s="64">
        <v>79.2</v>
      </c>
      <c r="N21" s="64">
        <v>21.1</v>
      </c>
      <c r="O21" s="64">
        <v>0</v>
      </c>
      <c r="P21" s="64">
        <v>0.67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4" t="s">
        <v>453</v>
      </c>
      <c r="B22" s="64">
        <v>5.24</v>
      </c>
      <c r="C22" s="64">
        <v>42.56</v>
      </c>
      <c r="D22" s="64">
        <v>28.34</v>
      </c>
      <c r="E22" s="64">
        <v>2.1800000000000002</v>
      </c>
      <c r="F22" s="64">
        <v>3.49</v>
      </c>
      <c r="G22" s="64">
        <v>51.9</v>
      </c>
      <c r="H22" s="64">
        <v>24.47</v>
      </c>
      <c r="I22" s="64">
        <v>1.48</v>
      </c>
      <c r="J22" s="64">
        <v>0.35</v>
      </c>
      <c r="K22" s="64">
        <v>105.45</v>
      </c>
      <c r="L22" s="64">
        <v>18.690000000000001</v>
      </c>
      <c r="M22" s="64">
        <v>80.84</v>
      </c>
      <c r="N22" s="64">
        <v>21.1</v>
      </c>
      <c r="O22" s="64">
        <v>0</v>
      </c>
      <c r="P22" s="64">
        <v>0.67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4" t="s">
        <v>454</v>
      </c>
      <c r="B23" s="64">
        <v>5.13</v>
      </c>
      <c r="C23" s="64">
        <v>39.79</v>
      </c>
      <c r="D23" s="64">
        <v>26.72</v>
      </c>
      <c r="E23" s="64">
        <v>2.2400000000000002</v>
      </c>
      <c r="F23" s="64">
        <v>3.58</v>
      </c>
      <c r="G23" s="64">
        <v>51.32</v>
      </c>
      <c r="H23" s="64">
        <v>24.51</v>
      </c>
      <c r="I23" s="64">
        <v>1.51</v>
      </c>
      <c r="J23" s="64">
        <v>0.57999999999999996</v>
      </c>
      <c r="K23" s="64">
        <v>109.7</v>
      </c>
      <c r="L23" s="64">
        <v>18.61</v>
      </c>
      <c r="M23" s="64">
        <v>80.86</v>
      </c>
      <c r="N23" s="64">
        <v>20.7</v>
      </c>
      <c r="O23" s="64">
        <v>0</v>
      </c>
      <c r="P23" s="64">
        <v>0.66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4" t="s">
        <v>455</v>
      </c>
      <c r="B24" s="64">
        <v>4.88</v>
      </c>
      <c r="C24" s="64">
        <v>39.909999999999997</v>
      </c>
      <c r="D24" s="64">
        <v>26.58</v>
      </c>
      <c r="E24" s="64">
        <v>2.12</v>
      </c>
      <c r="F24" s="64">
        <v>3.96</v>
      </c>
      <c r="G24" s="64">
        <v>48.97</v>
      </c>
      <c r="H24" s="64">
        <v>24.64</v>
      </c>
      <c r="I24" s="64">
        <v>1.5</v>
      </c>
      <c r="J24" s="64">
        <v>0.43</v>
      </c>
      <c r="K24" s="64">
        <v>120.34</v>
      </c>
      <c r="L24" s="64">
        <v>18.55</v>
      </c>
      <c r="M24" s="64">
        <v>80.88</v>
      </c>
      <c r="N24" s="64">
        <v>20.9</v>
      </c>
      <c r="O24" s="64">
        <v>0</v>
      </c>
      <c r="P24" s="64">
        <v>0.66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4" t="s">
        <v>456</v>
      </c>
      <c r="B25" s="64">
        <v>4.6900000000000004</v>
      </c>
      <c r="C25" s="64">
        <v>40.51</v>
      </c>
      <c r="D25" s="64">
        <v>26.76</v>
      </c>
      <c r="E25" s="64">
        <v>2.23</v>
      </c>
      <c r="F25" s="64">
        <v>3.73</v>
      </c>
      <c r="G25" s="64">
        <v>48.97</v>
      </c>
      <c r="H25" s="64">
        <v>24.64</v>
      </c>
      <c r="I25" s="64">
        <v>1.59</v>
      </c>
      <c r="J25" s="64">
        <v>0.1</v>
      </c>
      <c r="K25" s="64">
        <v>85.13</v>
      </c>
      <c r="L25" s="64">
        <v>18.45</v>
      </c>
      <c r="M25" s="64">
        <v>81.37</v>
      </c>
      <c r="N25" s="64">
        <v>21</v>
      </c>
      <c r="O25" s="64">
        <v>0</v>
      </c>
      <c r="P25" s="64">
        <v>0.66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457</v>
      </c>
      <c r="B26" s="64">
        <v>4.5</v>
      </c>
      <c r="C26" s="64">
        <v>40.47</v>
      </c>
      <c r="D26" s="64">
        <v>26.59</v>
      </c>
      <c r="E26" s="64">
        <v>2.27</v>
      </c>
      <c r="F26" s="64">
        <v>3.55</v>
      </c>
      <c r="G26" s="64">
        <v>48.97</v>
      </c>
      <c r="H26" s="64">
        <v>24.64</v>
      </c>
      <c r="I26" s="64">
        <v>1.54</v>
      </c>
      <c r="J26" s="64">
        <v>0.08</v>
      </c>
      <c r="K26" s="64">
        <v>10.59</v>
      </c>
      <c r="L26" s="64">
        <v>18.309999999999999</v>
      </c>
      <c r="M26" s="64">
        <v>81.81</v>
      </c>
      <c r="N26" s="64">
        <v>21</v>
      </c>
      <c r="O26" s="64">
        <v>0</v>
      </c>
      <c r="P26" s="64">
        <v>0.66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4" t="s">
        <v>458</v>
      </c>
      <c r="B27" s="64">
        <v>4.4000000000000004</v>
      </c>
      <c r="C27" s="64">
        <v>41.19</v>
      </c>
      <c r="D27" s="64">
        <v>26.91</v>
      </c>
      <c r="E27" s="64">
        <v>2.2799999999999998</v>
      </c>
      <c r="F27" s="64">
        <v>3.48</v>
      </c>
      <c r="G27" s="64">
        <v>48.97</v>
      </c>
      <c r="H27" s="64">
        <v>24.68</v>
      </c>
      <c r="I27" s="64">
        <v>1.47</v>
      </c>
      <c r="J27" s="64">
        <v>0.13</v>
      </c>
      <c r="K27" s="64">
        <v>327.60000000000002</v>
      </c>
      <c r="L27" s="64">
        <v>18.25</v>
      </c>
      <c r="M27" s="64">
        <v>82.76</v>
      </c>
      <c r="N27" s="64">
        <v>21.1</v>
      </c>
      <c r="O27" s="64">
        <v>0</v>
      </c>
      <c r="P27" s="64">
        <v>0.66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459</v>
      </c>
      <c r="B28" s="64">
        <v>4.46</v>
      </c>
      <c r="C28" s="64">
        <v>41.75</v>
      </c>
      <c r="D28" s="64">
        <v>27.26</v>
      </c>
      <c r="E28" s="64">
        <v>2.27</v>
      </c>
      <c r="F28" s="64">
        <v>3.43</v>
      </c>
      <c r="G28" s="64">
        <v>48.98</v>
      </c>
      <c r="H28" s="64">
        <v>24.85</v>
      </c>
      <c r="I28" s="64">
        <v>1.46</v>
      </c>
      <c r="J28" s="64">
        <v>0.25</v>
      </c>
      <c r="K28" s="64">
        <v>348.23</v>
      </c>
      <c r="L28" s="64">
        <v>18.03</v>
      </c>
      <c r="M28" s="64">
        <v>84.69</v>
      </c>
      <c r="N28" s="64">
        <v>21</v>
      </c>
      <c r="O28" s="64">
        <v>0</v>
      </c>
      <c r="P28" s="64">
        <v>0.65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4" t="s">
        <v>460</v>
      </c>
      <c r="B29" s="64">
        <v>4.82</v>
      </c>
      <c r="C29" s="64">
        <v>41.68</v>
      </c>
      <c r="D29" s="64">
        <v>27.51</v>
      </c>
      <c r="E29" s="64">
        <v>2.23</v>
      </c>
      <c r="F29" s="64">
        <v>3.79</v>
      </c>
      <c r="G29" s="64">
        <v>48.98</v>
      </c>
      <c r="H29" s="64">
        <v>24.85</v>
      </c>
      <c r="I29" s="64">
        <v>1.55</v>
      </c>
      <c r="J29" s="64">
        <v>0.18</v>
      </c>
      <c r="K29" s="64">
        <v>341.16</v>
      </c>
      <c r="L29" s="64">
        <v>17.670000000000002</v>
      </c>
      <c r="M29" s="64">
        <v>87.8</v>
      </c>
      <c r="N29" s="64">
        <v>21.1</v>
      </c>
      <c r="O29" s="64">
        <v>0</v>
      </c>
      <c r="P29" s="64">
        <v>0.65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4" t="s">
        <v>461</v>
      </c>
      <c r="B30" s="64">
        <v>5.44</v>
      </c>
      <c r="C30" s="64">
        <v>42.22</v>
      </c>
      <c r="D30" s="64">
        <v>28.31</v>
      </c>
      <c r="E30" s="64">
        <v>2.21</v>
      </c>
      <c r="F30" s="64">
        <v>3.51</v>
      </c>
      <c r="G30" s="64">
        <v>48.98</v>
      </c>
      <c r="H30" s="64">
        <v>24.85</v>
      </c>
      <c r="I30" s="64">
        <v>1.45</v>
      </c>
      <c r="J30" s="64">
        <v>0.1</v>
      </c>
      <c r="K30" s="64">
        <v>82.41</v>
      </c>
      <c r="L30" s="64">
        <v>17.46</v>
      </c>
      <c r="M30" s="64">
        <v>87.7</v>
      </c>
      <c r="N30" s="64">
        <v>21</v>
      </c>
      <c r="O30" s="64">
        <v>0</v>
      </c>
      <c r="P30" s="64">
        <v>0.65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4" t="s">
        <v>462</v>
      </c>
      <c r="B31" s="64">
        <v>5.54</v>
      </c>
      <c r="C31" s="64">
        <v>42.5</v>
      </c>
      <c r="D31" s="64">
        <v>28.54</v>
      </c>
      <c r="E31" s="64">
        <v>2.23</v>
      </c>
      <c r="F31" s="64">
        <v>3.11</v>
      </c>
      <c r="G31" s="64">
        <v>49.19</v>
      </c>
      <c r="H31" s="64">
        <v>25.08</v>
      </c>
      <c r="I31" s="64">
        <v>1.5</v>
      </c>
      <c r="J31" s="64">
        <v>0.06</v>
      </c>
      <c r="K31" s="64">
        <v>355.42</v>
      </c>
      <c r="L31" s="64">
        <v>17.28</v>
      </c>
      <c r="M31" s="64">
        <v>88.92</v>
      </c>
      <c r="N31" s="64">
        <v>21.1</v>
      </c>
      <c r="O31" s="64">
        <v>0</v>
      </c>
      <c r="P31" s="64">
        <v>0.65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4" t="s">
        <v>463</v>
      </c>
      <c r="B32" s="64">
        <v>5.6</v>
      </c>
      <c r="C32" s="64">
        <v>42.77</v>
      </c>
      <c r="D32" s="64">
        <v>28.74</v>
      </c>
      <c r="E32" s="64">
        <v>2.2200000000000002</v>
      </c>
      <c r="F32" s="64">
        <v>3.32</v>
      </c>
      <c r="G32" s="64">
        <v>50.01</v>
      </c>
      <c r="H32" s="64">
        <v>25.72</v>
      </c>
      <c r="I32" s="64">
        <v>1.61</v>
      </c>
      <c r="J32" s="64">
        <v>7.0000000000000007E-2</v>
      </c>
      <c r="K32" s="64">
        <v>302.2</v>
      </c>
      <c r="L32" s="64">
        <v>17.079999999999998</v>
      </c>
      <c r="M32" s="64">
        <v>90.45</v>
      </c>
      <c r="N32" s="64">
        <v>21.3</v>
      </c>
      <c r="O32" s="64">
        <v>0</v>
      </c>
      <c r="P32" s="64">
        <v>0.66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4" t="s">
        <v>464</v>
      </c>
      <c r="B33" s="64">
        <v>6.18</v>
      </c>
      <c r="C33" s="64">
        <v>42.58</v>
      </c>
      <c r="D33" s="64">
        <v>29.1</v>
      </c>
      <c r="E33" s="64">
        <v>2.1800000000000002</v>
      </c>
      <c r="F33" s="64">
        <v>3.22</v>
      </c>
      <c r="G33" s="64">
        <v>50.01</v>
      </c>
      <c r="H33" s="64">
        <v>25.72</v>
      </c>
      <c r="I33" s="64">
        <v>1.46</v>
      </c>
      <c r="J33" s="64">
        <v>0.19</v>
      </c>
      <c r="K33" s="64">
        <v>324.45</v>
      </c>
      <c r="L33" s="64">
        <v>16.850000000000001</v>
      </c>
      <c r="M33" s="64">
        <v>92.52</v>
      </c>
      <c r="N33" s="64">
        <v>21.9</v>
      </c>
      <c r="O33" s="64">
        <v>0</v>
      </c>
      <c r="P33" s="64">
        <v>0.68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4" t="s">
        <v>465</v>
      </c>
      <c r="B34" s="64">
        <v>7.1</v>
      </c>
      <c r="C34" s="64">
        <v>43.35</v>
      </c>
      <c r="D34" s="64">
        <v>30.26</v>
      </c>
      <c r="E34" s="64">
        <v>2.21</v>
      </c>
      <c r="F34" s="64">
        <v>3.22</v>
      </c>
      <c r="G34" s="64">
        <v>50.01</v>
      </c>
      <c r="H34" s="64">
        <v>25.72</v>
      </c>
      <c r="I34" s="64">
        <v>1.5</v>
      </c>
      <c r="J34" s="64">
        <v>0.47</v>
      </c>
      <c r="K34" s="64">
        <v>337.1</v>
      </c>
      <c r="L34" s="64">
        <v>16.920000000000002</v>
      </c>
      <c r="M34" s="64">
        <v>92.32</v>
      </c>
      <c r="N34" s="64">
        <v>28</v>
      </c>
      <c r="O34" s="64">
        <v>0</v>
      </c>
      <c r="P34" s="64">
        <v>0.7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4" t="s">
        <v>466</v>
      </c>
      <c r="B35" s="64">
        <v>8.07</v>
      </c>
      <c r="C35" s="64">
        <v>44.19</v>
      </c>
      <c r="D35" s="64">
        <v>31.5</v>
      </c>
      <c r="E35" s="64">
        <v>2.2400000000000002</v>
      </c>
      <c r="F35" s="64">
        <v>3.2</v>
      </c>
      <c r="G35" s="64">
        <v>50.61</v>
      </c>
      <c r="H35" s="64">
        <v>26.47</v>
      </c>
      <c r="I35" s="64">
        <v>1.52</v>
      </c>
      <c r="J35" s="64">
        <v>0.56000000000000005</v>
      </c>
      <c r="K35" s="64">
        <v>346.39</v>
      </c>
      <c r="L35" s="64">
        <v>17.18</v>
      </c>
      <c r="M35" s="64">
        <v>90.95</v>
      </c>
      <c r="N35" s="64">
        <v>43.4</v>
      </c>
      <c r="O35" s="64">
        <v>0</v>
      </c>
      <c r="P35" s="64">
        <v>0.72</v>
      </c>
      <c r="Q35" s="64">
        <v>5.1100000000000003</v>
      </c>
      <c r="R35" s="198"/>
      <c r="S35" s="198"/>
      <c r="T35" s="198"/>
      <c r="U35" s="198"/>
    </row>
    <row r="36" spans="1:21" s="12" customFormat="1" x14ac:dyDescent="0.25">
      <c r="A36" s="214" t="s">
        <v>467</v>
      </c>
      <c r="B36" s="64">
        <v>9.4600000000000009</v>
      </c>
      <c r="C36" s="64">
        <v>44.78</v>
      </c>
      <c r="D36" s="64">
        <v>32.950000000000003</v>
      </c>
      <c r="E36" s="64">
        <v>2.25</v>
      </c>
      <c r="F36" s="64">
        <v>3.29</v>
      </c>
      <c r="G36" s="64">
        <v>53.02</v>
      </c>
      <c r="H36" s="64">
        <v>28.52</v>
      </c>
      <c r="I36" s="64">
        <v>1.54</v>
      </c>
      <c r="J36" s="64">
        <v>0.21</v>
      </c>
      <c r="K36" s="64">
        <v>344.93</v>
      </c>
      <c r="L36" s="64">
        <v>17.350000000000001</v>
      </c>
      <c r="M36" s="64">
        <v>90.96</v>
      </c>
      <c r="N36" s="64">
        <v>63.6</v>
      </c>
      <c r="O36" s="64">
        <v>0</v>
      </c>
      <c r="P36" s="64">
        <v>0.74</v>
      </c>
      <c r="Q36" s="64">
        <v>4.8499999999999996</v>
      </c>
      <c r="R36" s="198"/>
      <c r="S36" s="198"/>
      <c r="T36" s="198"/>
      <c r="U36" s="198"/>
    </row>
    <row r="37" spans="1:21" s="12" customFormat="1" x14ac:dyDescent="0.25">
      <c r="A37" s="214" t="s">
        <v>468</v>
      </c>
      <c r="B37" s="64">
        <v>10.62</v>
      </c>
      <c r="C37" s="64">
        <v>45.16</v>
      </c>
      <c r="D37" s="64">
        <v>34.090000000000003</v>
      </c>
      <c r="E37" s="64">
        <v>2.1800000000000002</v>
      </c>
      <c r="F37" s="64">
        <v>3.24</v>
      </c>
      <c r="G37" s="64">
        <v>53.02</v>
      </c>
      <c r="H37" s="64">
        <v>28.52</v>
      </c>
      <c r="I37" s="64">
        <v>1.51</v>
      </c>
      <c r="J37" s="64">
        <v>0.3</v>
      </c>
      <c r="K37" s="64">
        <v>331.6</v>
      </c>
      <c r="L37" s="64">
        <v>17.760000000000002</v>
      </c>
      <c r="M37" s="64">
        <v>89.11</v>
      </c>
      <c r="N37" s="64">
        <v>90.3</v>
      </c>
      <c r="O37" s="64">
        <v>0</v>
      </c>
      <c r="P37" s="64">
        <v>0.69</v>
      </c>
      <c r="Q37" s="64">
        <v>4.9400000000000004</v>
      </c>
      <c r="R37" s="198"/>
      <c r="S37" s="198"/>
      <c r="T37" s="198"/>
      <c r="U37" s="198"/>
    </row>
    <row r="38" spans="1:21" s="12" customFormat="1" x14ac:dyDescent="0.25">
      <c r="A38" s="214" t="s">
        <v>469</v>
      </c>
      <c r="B38" s="64">
        <v>11.43</v>
      </c>
      <c r="C38" s="64">
        <v>46.06</v>
      </c>
      <c r="D38" s="64">
        <v>35.229999999999997</v>
      </c>
      <c r="E38" s="64">
        <v>2.23</v>
      </c>
      <c r="F38" s="64">
        <v>3.31</v>
      </c>
      <c r="G38" s="64">
        <v>53.02</v>
      </c>
      <c r="H38" s="64">
        <v>28.52</v>
      </c>
      <c r="I38" s="64">
        <v>1.51</v>
      </c>
      <c r="J38" s="64">
        <v>0.26</v>
      </c>
      <c r="K38" s="64">
        <v>341.89</v>
      </c>
      <c r="L38" s="64">
        <v>18.34</v>
      </c>
      <c r="M38" s="64">
        <v>85.97</v>
      </c>
      <c r="N38" s="64">
        <v>127.3</v>
      </c>
      <c r="O38" s="64">
        <v>0</v>
      </c>
      <c r="P38" s="64">
        <v>0.74</v>
      </c>
      <c r="Q38" s="64">
        <v>5.03</v>
      </c>
      <c r="R38" s="198"/>
      <c r="S38" s="198"/>
      <c r="T38" s="198"/>
      <c r="U38" s="198"/>
    </row>
    <row r="39" spans="1:21" s="12" customFormat="1" x14ac:dyDescent="0.25">
      <c r="A39" s="214" t="s">
        <v>470</v>
      </c>
      <c r="B39" s="64">
        <v>11.94</v>
      </c>
      <c r="C39" s="64">
        <v>46.68</v>
      </c>
      <c r="D39" s="64">
        <v>35.979999999999997</v>
      </c>
      <c r="E39" s="64">
        <v>2.2200000000000002</v>
      </c>
      <c r="F39" s="64">
        <v>3.38</v>
      </c>
      <c r="G39" s="64">
        <v>55.85</v>
      </c>
      <c r="H39" s="64">
        <v>28.58</v>
      </c>
      <c r="I39" s="64">
        <v>1.58</v>
      </c>
      <c r="J39" s="64">
        <v>0.28999999999999998</v>
      </c>
      <c r="K39" s="64">
        <v>86.43</v>
      </c>
      <c r="L39" s="64">
        <v>18.91</v>
      </c>
      <c r="M39" s="64">
        <v>83.22</v>
      </c>
      <c r="N39" s="64">
        <v>177.2</v>
      </c>
      <c r="O39" s="64">
        <v>0</v>
      </c>
      <c r="P39" s="64">
        <v>0.76</v>
      </c>
      <c r="Q39" s="64">
        <v>5.08</v>
      </c>
      <c r="R39" s="198"/>
      <c r="S39" s="198"/>
      <c r="T39" s="198"/>
      <c r="U39" s="198"/>
    </row>
    <row r="40" spans="1:21" s="12" customFormat="1" x14ac:dyDescent="0.25">
      <c r="A40" s="214" t="s">
        <v>471</v>
      </c>
      <c r="B40" s="64">
        <v>12.55</v>
      </c>
      <c r="C40" s="64">
        <v>46.98</v>
      </c>
      <c r="D40" s="64">
        <v>36.630000000000003</v>
      </c>
      <c r="E40" s="64">
        <v>2.1</v>
      </c>
      <c r="F40" s="64">
        <v>2.79</v>
      </c>
      <c r="G40" s="64">
        <v>67.16</v>
      </c>
      <c r="H40" s="64">
        <v>28.75</v>
      </c>
      <c r="I40" s="64">
        <v>1.57</v>
      </c>
      <c r="J40" s="64">
        <v>0.35</v>
      </c>
      <c r="K40" s="64">
        <v>87.51</v>
      </c>
      <c r="L40" s="64">
        <v>19.66</v>
      </c>
      <c r="M40" s="64">
        <v>79.680000000000007</v>
      </c>
      <c r="N40" s="64">
        <v>217.3</v>
      </c>
      <c r="O40" s="64">
        <v>0</v>
      </c>
      <c r="P40" s="64">
        <v>0.77</v>
      </c>
      <c r="Q40" s="64">
        <v>5.14</v>
      </c>
      <c r="R40" s="198"/>
      <c r="S40" s="198"/>
      <c r="T40" s="198"/>
      <c r="U40" s="198"/>
    </row>
    <row r="41" spans="1:21" s="12" customFormat="1" x14ac:dyDescent="0.25">
      <c r="A41" s="214" t="s">
        <v>472</v>
      </c>
      <c r="B41" s="64">
        <v>12.88</v>
      </c>
      <c r="C41" s="64">
        <v>46.96</v>
      </c>
      <c r="D41" s="64">
        <v>36.89</v>
      </c>
      <c r="E41" s="64">
        <v>2.14</v>
      </c>
      <c r="F41" s="64">
        <v>3.2</v>
      </c>
      <c r="G41" s="64">
        <v>67.16</v>
      </c>
      <c r="H41" s="64">
        <v>28.75</v>
      </c>
      <c r="I41" s="64">
        <v>1.5</v>
      </c>
      <c r="J41" s="64">
        <v>0.8</v>
      </c>
      <c r="K41" s="64">
        <v>104.09</v>
      </c>
      <c r="L41" s="64">
        <v>20.100000000000001</v>
      </c>
      <c r="M41" s="64">
        <v>77.83</v>
      </c>
      <c r="N41" s="64">
        <v>280.2</v>
      </c>
      <c r="O41" s="64">
        <v>0</v>
      </c>
      <c r="P41" s="64">
        <v>0.77</v>
      </c>
      <c r="Q41" s="64">
        <v>5.22</v>
      </c>
      <c r="R41" s="198"/>
      <c r="S41" s="198"/>
      <c r="T41" s="198"/>
      <c r="U41" s="198"/>
    </row>
    <row r="42" spans="1:21" s="12" customFormat="1" x14ac:dyDescent="0.25">
      <c r="A42" s="214" t="s">
        <v>473</v>
      </c>
      <c r="B42" s="64">
        <v>12.75</v>
      </c>
      <c r="C42" s="64">
        <v>47.07</v>
      </c>
      <c r="D42" s="64">
        <v>36.85</v>
      </c>
      <c r="E42" s="64">
        <v>2.16</v>
      </c>
      <c r="F42" s="64">
        <v>3.47</v>
      </c>
      <c r="G42" s="64">
        <v>67.16</v>
      </c>
      <c r="H42" s="64">
        <v>28.75</v>
      </c>
      <c r="I42" s="64">
        <v>1.52</v>
      </c>
      <c r="J42" s="64">
        <v>0.22</v>
      </c>
      <c r="K42" s="64">
        <v>76.569999999999993</v>
      </c>
      <c r="L42" s="64">
        <v>20.81</v>
      </c>
      <c r="M42" s="64">
        <v>75.13</v>
      </c>
      <c r="N42" s="64">
        <v>317.39999999999998</v>
      </c>
      <c r="O42" s="64">
        <v>0</v>
      </c>
      <c r="P42" s="64">
        <v>0.79</v>
      </c>
      <c r="Q42" s="64">
        <v>5.23</v>
      </c>
      <c r="R42" s="198"/>
      <c r="S42" s="198"/>
      <c r="T42" s="198"/>
      <c r="U42" s="198"/>
    </row>
    <row r="43" spans="1:21" s="12" customFormat="1" x14ac:dyDescent="0.25">
      <c r="A43" s="214" t="s">
        <v>474</v>
      </c>
      <c r="B43" s="64">
        <v>12.68</v>
      </c>
      <c r="C43" s="64">
        <v>47.51</v>
      </c>
      <c r="D43" s="64">
        <v>37.04</v>
      </c>
      <c r="E43" s="64">
        <v>2.14</v>
      </c>
      <c r="F43" s="64">
        <v>3.58</v>
      </c>
      <c r="G43" s="64">
        <v>67.989999999999995</v>
      </c>
      <c r="H43" s="64">
        <v>29.47</v>
      </c>
      <c r="I43" s="64">
        <v>1.47</v>
      </c>
      <c r="J43" s="64">
        <v>0.49</v>
      </c>
      <c r="K43" s="64">
        <v>99.89</v>
      </c>
      <c r="L43" s="64">
        <v>21.59</v>
      </c>
      <c r="M43" s="64">
        <v>71.28</v>
      </c>
      <c r="N43" s="64">
        <v>338.5</v>
      </c>
      <c r="O43" s="64">
        <v>0</v>
      </c>
      <c r="P43" s="64">
        <v>0.8</v>
      </c>
      <c r="Q43" s="64">
        <v>5.22</v>
      </c>
      <c r="R43" s="198"/>
      <c r="S43" s="198"/>
      <c r="T43" s="198"/>
      <c r="U43" s="198"/>
    </row>
    <row r="44" spans="1:21" s="12" customFormat="1" x14ac:dyDescent="0.25">
      <c r="A44" s="214" t="s">
        <v>475</v>
      </c>
      <c r="B44" s="64">
        <v>12.38</v>
      </c>
      <c r="C44" s="64">
        <v>47.93</v>
      </c>
      <c r="D44" s="64">
        <v>37.03</v>
      </c>
      <c r="E44" s="64">
        <v>2.17</v>
      </c>
      <c r="F44" s="64">
        <v>3.54</v>
      </c>
      <c r="G44" s="64">
        <v>71.319999999999993</v>
      </c>
      <c r="H44" s="64">
        <v>32.659999999999997</v>
      </c>
      <c r="I44" s="64">
        <v>1.49</v>
      </c>
      <c r="J44" s="64">
        <v>0.36</v>
      </c>
      <c r="K44" s="64">
        <v>91.24</v>
      </c>
      <c r="L44" s="64">
        <v>22.01</v>
      </c>
      <c r="M44" s="64">
        <v>69.94</v>
      </c>
      <c r="N44" s="64">
        <v>386.2</v>
      </c>
      <c r="O44" s="64">
        <v>0</v>
      </c>
      <c r="P44" s="64">
        <v>0.81</v>
      </c>
      <c r="Q44" s="64">
        <v>5.18</v>
      </c>
      <c r="R44" s="198"/>
      <c r="S44" s="198"/>
      <c r="T44" s="198"/>
      <c r="U44" s="198"/>
    </row>
    <row r="45" spans="1:21" s="12" customFormat="1" x14ac:dyDescent="0.25">
      <c r="A45" s="214" t="s">
        <v>476</v>
      </c>
      <c r="B45" s="64">
        <v>11.85</v>
      </c>
      <c r="C45" s="64">
        <v>47.91</v>
      </c>
      <c r="D45" s="64">
        <v>36.590000000000003</v>
      </c>
      <c r="E45" s="64">
        <v>2.2000000000000002</v>
      </c>
      <c r="F45" s="64">
        <v>3.56</v>
      </c>
      <c r="G45" s="64">
        <v>71.319999999999993</v>
      </c>
      <c r="H45" s="64">
        <v>32.659999999999997</v>
      </c>
      <c r="I45" s="64">
        <v>1.49</v>
      </c>
      <c r="J45" s="64">
        <v>0.27</v>
      </c>
      <c r="K45" s="64">
        <v>90.42</v>
      </c>
      <c r="L45" s="64">
        <v>22.61</v>
      </c>
      <c r="M45" s="64">
        <v>67.790000000000006</v>
      </c>
      <c r="N45" s="64">
        <v>388.9</v>
      </c>
      <c r="O45" s="64">
        <v>0</v>
      </c>
      <c r="P45" s="64">
        <v>0.82</v>
      </c>
      <c r="Q45" s="64">
        <v>5.19</v>
      </c>
      <c r="R45" s="198"/>
      <c r="S45" s="198"/>
      <c r="T45" s="198"/>
      <c r="U45" s="198"/>
    </row>
    <row r="46" spans="1:21" s="12" customFormat="1" x14ac:dyDescent="0.25">
      <c r="A46" s="214" t="s">
        <v>477</v>
      </c>
      <c r="B46" s="64">
        <v>11.26</v>
      </c>
      <c r="C46" s="64">
        <v>48.05</v>
      </c>
      <c r="D46" s="64">
        <v>36.19</v>
      </c>
      <c r="E46" s="64">
        <v>2.19</v>
      </c>
      <c r="F46" s="64">
        <v>3.39</v>
      </c>
      <c r="G46" s="64">
        <v>71.319999999999993</v>
      </c>
      <c r="H46" s="64">
        <v>32.659999999999997</v>
      </c>
      <c r="I46" s="64">
        <v>1.55</v>
      </c>
      <c r="J46" s="64">
        <v>0.28999999999999998</v>
      </c>
      <c r="K46" s="64">
        <v>96.59</v>
      </c>
      <c r="L46" s="64">
        <v>23.18</v>
      </c>
      <c r="M46" s="64">
        <v>66.58</v>
      </c>
      <c r="N46" s="64">
        <v>408.8</v>
      </c>
      <c r="O46" s="64">
        <v>0</v>
      </c>
      <c r="P46" s="64">
        <v>0.83</v>
      </c>
      <c r="Q46" s="64">
        <v>5.17</v>
      </c>
      <c r="R46" s="198"/>
      <c r="S46" s="198"/>
      <c r="T46" s="198"/>
      <c r="U46" s="198"/>
    </row>
    <row r="47" spans="1:21" s="12" customFormat="1" x14ac:dyDescent="0.25">
      <c r="A47" s="214" t="s">
        <v>478</v>
      </c>
      <c r="B47" s="64">
        <v>10.88</v>
      </c>
      <c r="C47" s="64">
        <v>48.38</v>
      </c>
      <c r="D47" s="64">
        <v>36.07</v>
      </c>
      <c r="E47" s="64">
        <v>2.16</v>
      </c>
      <c r="F47" s="64">
        <v>3.32</v>
      </c>
      <c r="G47" s="64">
        <v>71.06</v>
      </c>
      <c r="H47" s="64">
        <v>32.770000000000003</v>
      </c>
      <c r="I47" s="64">
        <v>1.45</v>
      </c>
      <c r="J47" s="64">
        <v>0.27</v>
      </c>
      <c r="K47" s="64">
        <v>336.88</v>
      </c>
      <c r="L47" s="64">
        <v>24.49</v>
      </c>
      <c r="M47" s="64">
        <v>60.37</v>
      </c>
      <c r="N47" s="64">
        <v>469.1</v>
      </c>
      <c r="O47" s="64">
        <v>0</v>
      </c>
      <c r="P47" s="64">
        <v>0.85</v>
      </c>
      <c r="Q47" s="64">
        <v>5.13</v>
      </c>
      <c r="R47" s="198"/>
      <c r="S47" s="198"/>
      <c r="T47" s="198"/>
      <c r="U47" s="198"/>
    </row>
    <row r="48" spans="1:21" s="12" customFormat="1" x14ac:dyDescent="0.25">
      <c r="A48" s="214" t="s">
        <v>479</v>
      </c>
      <c r="B48" s="64">
        <v>10.72</v>
      </c>
      <c r="C48" s="64">
        <v>48.96</v>
      </c>
      <c r="D48" s="64">
        <v>36.26</v>
      </c>
      <c r="E48" s="64">
        <v>2.21</v>
      </c>
      <c r="F48" s="64">
        <v>3.42</v>
      </c>
      <c r="G48" s="64">
        <v>70</v>
      </c>
      <c r="H48" s="64">
        <v>33.07</v>
      </c>
      <c r="I48" s="64">
        <v>1.48</v>
      </c>
      <c r="J48" s="64">
        <v>0.88</v>
      </c>
      <c r="K48" s="64">
        <v>108.63</v>
      </c>
      <c r="L48" s="64">
        <v>24.25</v>
      </c>
      <c r="M48" s="64">
        <v>62.12</v>
      </c>
      <c r="N48" s="64">
        <v>553.20000000000005</v>
      </c>
      <c r="O48" s="64">
        <v>0</v>
      </c>
      <c r="P48" s="64">
        <v>0.85</v>
      </c>
      <c r="Q48" s="64">
        <v>5.08</v>
      </c>
      <c r="R48" s="198"/>
      <c r="S48" s="198"/>
      <c r="T48" s="198"/>
      <c r="U48" s="198"/>
    </row>
    <row r="49" spans="1:21" s="12" customFormat="1" x14ac:dyDescent="0.25">
      <c r="A49" s="214" t="s">
        <v>480</v>
      </c>
      <c r="B49" s="64">
        <v>10.06</v>
      </c>
      <c r="C49" s="64">
        <v>48.57</v>
      </c>
      <c r="D49" s="64">
        <v>35.51</v>
      </c>
      <c r="E49" s="64">
        <v>2.16</v>
      </c>
      <c r="F49" s="64">
        <v>3.4</v>
      </c>
      <c r="G49" s="64">
        <v>70</v>
      </c>
      <c r="H49" s="64">
        <v>33.07</v>
      </c>
      <c r="I49" s="64">
        <v>1.54</v>
      </c>
      <c r="J49" s="64">
        <v>1.26</v>
      </c>
      <c r="K49" s="64">
        <v>101.71</v>
      </c>
      <c r="L49" s="64">
        <v>23.41</v>
      </c>
      <c r="M49" s="64">
        <v>64.569999999999993</v>
      </c>
      <c r="N49" s="64">
        <v>494.6</v>
      </c>
      <c r="O49" s="64">
        <v>0</v>
      </c>
      <c r="P49" s="64">
        <v>0.86</v>
      </c>
      <c r="Q49" s="64">
        <v>5.08</v>
      </c>
      <c r="R49" s="198"/>
      <c r="S49" s="198"/>
      <c r="T49" s="198"/>
      <c r="U49" s="198"/>
    </row>
    <row r="50" spans="1:21" s="12" customFormat="1" x14ac:dyDescent="0.25">
      <c r="A50" s="214" t="s">
        <v>481</v>
      </c>
      <c r="B50" s="64">
        <v>9.07</v>
      </c>
      <c r="C50" s="64">
        <v>48.35</v>
      </c>
      <c r="D50" s="64">
        <v>34.61</v>
      </c>
      <c r="E50" s="64">
        <v>2.2000000000000002</v>
      </c>
      <c r="F50" s="64">
        <v>3.44</v>
      </c>
      <c r="G50" s="64">
        <v>70</v>
      </c>
      <c r="H50" s="64">
        <v>33.07</v>
      </c>
      <c r="I50" s="64">
        <v>1.54</v>
      </c>
      <c r="J50" s="64">
        <v>1.05</v>
      </c>
      <c r="K50" s="64">
        <v>111.06</v>
      </c>
      <c r="L50" s="64">
        <v>24.11</v>
      </c>
      <c r="M50" s="64">
        <v>61.6</v>
      </c>
      <c r="N50" s="64">
        <v>487.5</v>
      </c>
      <c r="O50" s="64">
        <v>0</v>
      </c>
      <c r="P50" s="64">
        <v>0.86</v>
      </c>
      <c r="Q50" s="64">
        <v>5.03</v>
      </c>
      <c r="R50" s="198"/>
      <c r="S50" s="198"/>
      <c r="T50" s="198"/>
      <c r="U50" s="198"/>
    </row>
    <row r="51" spans="1:21" s="12" customFormat="1" x14ac:dyDescent="0.25">
      <c r="A51" s="214" t="s">
        <v>482</v>
      </c>
      <c r="B51" s="64">
        <v>7.79</v>
      </c>
      <c r="C51" s="64">
        <v>45.26</v>
      </c>
      <c r="D51" s="64">
        <v>31.88</v>
      </c>
      <c r="E51" s="64">
        <v>2.23</v>
      </c>
      <c r="F51" s="64">
        <v>4.0199999999999996</v>
      </c>
      <c r="G51" s="64">
        <v>69.91</v>
      </c>
      <c r="H51" s="64">
        <v>33.32</v>
      </c>
      <c r="I51" s="64">
        <v>1.48</v>
      </c>
      <c r="J51" s="64">
        <v>1.79</v>
      </c>
      <c r="K51" s="64">
        <v>109.28</v>
      </c>
      <c r="L51" s="64">
        <v>23.59</v>
      </c>
      <c r="M51" s="64">
        <v>61.7</v>
      </c>
      <c r="N51" s="64">
        <v>500.4</v>
      </c>
      <c r="O51" s="64">
        <v>0</v>
      </c>
      <c r="P51" s="64">
        <v>0.85</v>
      </c>
      <c r="Q51" s="64">
        <v>5.03</v>
      </c>
      <c r="R51" s="198"/>
      <c r="S51" s="198"/>
      <c r="T51" s="198"/>
      <c r="U51" s="198"/>
    </row>
    <row r="52" spans="1:21" s="12" customFormat="1" x14ac:dyDescent="0.25">
      <c r="A52" s="214" t="s">
        <v>483</v>
      </c>
      <c r="B52" s="64">
        <v>6.42</v>
      </c>
      <c r="C52" s="64">
        <v>46.15</v>
      </c>
      <c r="D52" s="64">
        <v>31.27</v>
      </c>
      <c r="E52" s="64">
        <v>2.21</v>
      </c>
      <c r="F52" s="64">
        <v>3.93</v>
      </c>
      <c r="G52" s="64">
        <v>69.58</v>
      </c>
      <c r="H52" s="64">
        <v>34.01</v>
      </c>
      <c r="I52" s="64">
        <v>1.55</v>
      </c>
      <c r="J52" s="64">
        <v>1.1000000000000001</v>
      </c>
      <c r="K52" s="64">
        <v>108.83</v>
      </c>
      <c r="L52" s="64">
        <v>24.45</v>
      </c>
      <c r="M52" s="64">
        <v>60.39</v>
      </c>
      <c r="N52" s="64">
        <v>600.6</v>
      </c>
      <c r="O52" s="64">
        <v>0</v>
      </c>
      <c r="P52" s="64">
        <v>0.86</v>
      </c>
      <c r="Q52" s="64">
        <v>5.0599999999999996</v>
      </c>
      <c r="R52" s="198"/>
      <c r="S52" s="198"/>
      <c r="T52" s="198"/>
      <c r="U52" s="198"/>
    </row>
    <row r="53" spans="1:21" s="12" customFormat="1" x14ac:dyDescent="0.25">
      <c r="A53" s="214" t="s">
        <v>484</v>
      </c>
      <c r="B53" s="64">
        <v>5.57</v>
      </c>
      <c r="C53" s="64">
        <v>46.26</v>
      </c>
      <c r="D53" s="64">
        <v>30.64</v>
      </c>
      <c r="E53" s="64">
        <v>2.2000000000000002</v>
      </c>
      <c r="F53" s="64">
        <v>3.95</v>
      </c>
      <c r="G53" s="64">
        <v>69.58</v>
      </c>
      <c r="H53" s="64">
        <v>34.01</v>
      </c>
      <c r="I53" s="64">
        <v>1.49</v>
      </c>
      <c r="J53" s="64">
        <v>0.28999999999999998</v>
      </c>
      <c r="K53" s="64">
        <v>91.01</v>
      </c>
      <c r="L53" s="64">
        <v>25.61</v>
      </c>
      <c r="M53" s="64">
        <v>56.2</v>
      </c>
      <c r="N53" s="64">
        <v>643.29999999999995</v>
      </c>
      <c r="O53" s="64">
        <v>0</v>
      </c>
      <c r="P53" s="64">
        <v>0.86</v>
      </c>
      <c r="Q53" s="64">
        <v>5.2</v>
      </c>
      <c r="R53" s="198"/>
      <c r="S53" s="198"/>
      <c r="T53" s="198"/>
      <c r="U53" s="198"/>
    </row>
    <row r="54" spans="1:21" s="12" customFormat="1" x14ac:dyDescent="0.25">
      <c r="A54" s="214" t="s">
        <v>485</v>
      </c>
      <c r="B54" s="64">
        <v>4.9800000000000004</v>
      </c>
      <c r="C54" s="64">
        <v>46.8</v>
      </c>
      <c r="D54" s="64">
        <v>30.47</v>
      </c>
      <c r="E54" s="64">
        <v>2.2000000000000002</v>
      </c>
      <c r="F54" s="64">
        <v>3.91</v>
      </c>
      <c r="G54" s="64">
        <v>69.58</v>
      </c>
      <c r="H54" s="64">
        <v>34.01</v>
      </c>
      <c r="I54" s="64">
        <v>1.52</v>
      </c>
      <c r="J54" s="64">
        <v>1.32</v>
      </c>
      <c r="K54" s="64">
        <v>103.83</v>
      </c>
      <c r="L54" s="64">
        <v>25.38</v>
      </c>
      <c r="M54" s="64">
        <v>56.08</v>
      </c>
      <c r="N54" s="64">
        <v>631</v>
      </c>
      <c r="O54" s="64">
        <v>0</v>
      </c>
      <c r="P54" s="64">
        <v>0.86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4" t="s">
        <v>486</v>
      </c>
      <c r="B55" s="64">
        <v>4.4000000000000004</v>
      </c>
      <c r="C55" s="64">
        <v>46.58</v>
      </c>
      <c r="D55" s="64">
        <v>29.88</v>
      </c>
      <c r="E55" s="64">
        <v>2.17</v>
      </c>
      <c r="F55" s="64">
        <v>4.21</v>
      </c>
      <c r="G55" s="64">
        <v>69.78</v>
      </c>
      <c r="H55" s="64">
        <v>34.130000000000003</v>
      </c>
      <c r="I55" s="64">
        <v>1.56</v>
      </c>
      <c r="J55" s="64">
        <v>0.63</v>
      </c>
      <c r="K55" s="64">
        <v>92.36</v>
      </c>
      <c r="L55" s="64">
        <v>25.54</v>
      </c>
      <c r="M55" s="64">
        <v>55.1</v>
      </c>
      <c r="N55" s="64">
        <v>608</v>
      </c>
      <c r="O55" s="64">
        <v>0</v>
      </c>
      <c r="P55" s="64">
        <v>0.85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4" t="s">
        <v>487</v>
      </c>
      <c r="B56" s="64">
        <v>4.1500000000000004</v>
      </c>
      <c r="C56" s="64">
        <v>46.8</v>
      </c>
      <c r="D56" s="64">
        <v>29.81</v>
      </c>
      <c r="E56" s="64">
        <v>2.12</v>
      </c>
      <c r="F56" s="64">
        <v>4.43</v>
      </c>
      <c r="G56" s="64">
        <v>70.540000000000006</v>
      </c>
      <c r="H56" s="64">
        <v>34.46</v>
      </c>
      <c r="I56" s="64">
        <v>1.55</v>
      </c>
      <c r="J56" s="64">
        <v>1.28</v>
      </c>
      <c r="K56" s="64">
        <v>104.32</v>
      </c>
      <c r="L56" s="64">
        <v>25.5</v>
      </c>
      <c r="M56" s="64">
        <v>54.27</v>
      </c>
      <c r="N56" s="64">
        <v>472.4</v>
      </c>
      <c r="O56" s="64">
        <v>0</v>
      </c>
      <c r="P56" s="64">
        <v>0.85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4" t="s">
        <v>488</v>
      </c>
      <c r="B57" s="64">
        <v>3.75</v>
      </c>
      <c r="C57" s="64">
        <v>46.1</v>
      </c>
      <c r="D57" s="64">
        <v>29.09</v>
      </c>
      <c r="E57" s="64">
        <v>2.1800000000000002</v>
      </c>
      <c r="F57" s="64">
        <v>4.4000000000000004</v>
      </c>
      <c r="G57" s="64">
        <v>70.540000000000006</v>
      </c>
      <c r="H57" s="64">
        <v>34.46</v>
      </c>
      <c r="I57" s="64">
        <v>1.59</v>
      </c>
      <c r="J57" s="64">
        <v>0.93</v>
      </c>
      <c r="K57" s="64">
        <v>106.44</v>
      </c>
      <c r="L57" s="64">
        <v>25.59</v>
      </c>
      <c r="M57" s="64">
        <v>53.8</v>
      </c>
      <c r="N57" s="64">
        <v>646.1</v>
      </c>
      <c r="O57" s="64">
        <v>0</v>
      </c>
      <c r="P57" s="64">
        <v>0.84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4" t="s">
        <v>489</v>
      </c>
      <c r="B58" s="64">
        <v>3.29</v>
      </c>
      <c r="C58" s="64">
        <v>45.52</v>
      </c>
      <c r="D58" s="64">
        <v>28.41</v>
      </c>
      <c r="E58" s="64">
        <v>2.16</v>
      </c>
      <c r="F58" s="64">
        <v>4.3600000000000003</v>
      </c>
      <c r="G58" s="64">
        <v>70.540000000000006</v>
      </c>
      <c r="H58" s="64">
        <v>34.46</v>
      </c>
      <c r="I58" s="64">
        <v>1.56</v>
      </c>
      <c r="J58" s="64">
        <v>1.28</v>
      </c>
      <c r="K58" s="64">
        <v>107.18</v>
      </c>
      <c r="L58" s="64">
        <v>25.63</v>
      </c>
      <c r="M58" s="64">
        <v>52.08</v>
      </c>
      <c r="N58" s="64">
        <v>549.4</v>
      </c>
      <c r="O58" s="64">
        <v>0</v>
      </c>
      <c r="P58" s="64">
        <v>0.82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4" t="s">
        <v>490</v>
      </c>
      <c r="B59" s="64">
        <v>2.94</v>
      </c>
      <c r="C59" s="64">
        <v>45.06</v>
      </c>
      <c r="D59" s="64">
        <v>27.87</v>
      </c>
      <c r="E59" s="64">
        <v>2.2200000000000002</v>
      </c>
      <c r="F59" s="64">
        <v>4.13</v>
      </c>
      <c r="G59" s="64">
        <v>69.34</v>
      </c>
      <c r="H59" s="64">
        <v>34.17</v>
      </c>
      <c r="I59" s="64">
        <v>1.47</v>
      </c>
      <c r="J59" s="64">
        <v>0.37</v>
      </c>
      <c r="K59" s="64">
        <v>90.81</v>
      </c>
      <c r="L59" s="64">
        <v>26.48</v>
      </c>
      <c r="M59" s="64">
        <v>49.62</v>
      </c>
      <c r="N59" s="64">
        <v>544.70000000000005</v>
      </c>
      <c r="O59" s="64">
        <v>0</v>
      </c>
      <c r="P59" s="64">
        <v>0.8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4" t="s">
        <v>491</v>
      </c>
      <c r="B60" s="64">
        <v>2.95</v>
      </c>
      <c r="C60" s="64">
        <v>45.22</v>
      </c>
      <c r="D60" s="64">
        <v>27.97</v>
      </c>
      <c r="E60" s="64">
        <v>2.21</v>
      </c>
      <c r="F60" s="64">
        <v>4.0999999999999996</v>
      </c>
      <c r="G60" s="64">
        <v>64.58</v>
      </c>
      <c r="H60" s="64">
        <v>32.89</v>
      </c>
      <c r="I60" s="64">
        <v>1.53</v>
      </c>
      <c r="J60" s="64">
        <v>0.36</v>
      </c>
      <c r="K60" s="64">
        <v>89.84</v>
      </c>
      <c r="L60" s="64">
        <v>26.89</v>
      </c>
      <c r="M60" s="64">
        <v>48.13</v>
      </c>
      <c r="N60" s="64">
        <v>576.79999999999995</v>
      </c>
      <c r="O60" s="64">
        <v>0</v>
      </c>
      <c r="P60" s="64">
        <v>0.81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4" t="s">
        <v>492</v>
      </c>
      <c r="B61" s="64">
        <v>3.1</v>
      </c>
      <c r="C61" s="64">
        <v>44.41</v>
      </c>
      <c r="D61" s="64">
        <v>27.64</v>
      </c>
      <c r="E61" s="64">
        <v>2.15</v>
      </c>
      <c r="F61" s="64">
        <v>4.17</v>
      </c>
      <c r="G61" s="64">
        <v>64.58</v>
      </c>
      <c r="H61" s="64">
        <v>32.89</v>
      </c>
      <c r="I61" s="64">
        <v>1.5</v>
      </c>
      <c r="J61" s="64">
        <v>1.53</v>
      </c>
      <c r="K61" s="64">
        <v>111.15</v>
      </c>
      <c r="L61" s="64">
        <v>26.52</v>
      </c>
      <c r="M61" s="64">
        <v>48.4</v>
      </c>
      <c r="N61" s="64">
        <v>578</v>
      </c>
      <c r="O61" s="64">
        <v>0</v>
      </c>
      <c r="P61" s="64">
        <v>0.79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4" t="s">
        <v>493</v>
      </c>
      <c r="B62" s="64">
        <v>2.97</v>
      </c>
      <c r="C62" s="64">
        <v>44.83</v>
      </c>
      <c r="D62" s="64">
        <v>27.76</v>
      </c>
      <c r="E62" s="64">
        <v>2.15</v>
      </c>
      <c r="F62" s="64">
        <v>4.3</v>
      </c>
      <c r="G62" s="64">
        <v>64.58</v>
      </c>
      <c r="H62" s="64">
        <v>32.89</v>
      </c>
      <c r="I62" s="64">
        <v>1.5</v>
      </c>
      <c r="J62" s="64">
        <v>0.99</v>
      </c>
      <c r="K62" s="64">
        <v>104.74</v>
      </c>
      <c r="L62" s="64">
        <v>26.43</v>
      </c>
      <c r="M62" s="64">
        <v>49.08</v>
      </c>
      <c r="N62" s="64">
        <v>502.7</v>
      </c>
      <c r="O62" s="64">
        <v>0</v>
      </c>
      <c r="P62" s="64">
        <v>0.78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494</v>
      </c>
      <c r="B63" s="64">
        <v>2.82</v>
      </c>
      <c r="C63" s="64">
        <v>44.02</v>
      </c>
      <c r="D63" s="64">
        <v>27.2</v>
      </c>
      <c r="E63" s="64">
        <v>2.31</v>
      </c>
      <c r="F63" s="64">
        <v>4.3</v>
      </c>
      <c r="G63" s="64">
        <v>64.06</v>
      </c>
      <c r="H63" s="64">
        <v>30.83</v>
      </c>
      <c r="I63" s="64">
        <v>1.53</v>
      </c>
      <c r="J63" s="64">
        <v>0.95</v>
      </c>
      <c r="K63" s="64">
        <v>102.16</v>
      </c>
      <c r="L63" s="64">
        <v>26.43</v>
      </c>
      <c r="M63" s="64">
        <v>47.71</v>
      </c>
      <c r="N63" s="64">
        <v>349.8</v>
      </c>
      <c r="O63" s="64">
        <v>0</v>
      </c>
      <c r="P63" s="64">
        <v>0.78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4" t="s">
        <v>495</v>
      </c>
      <c r="B64" s="64">
        <v>2.93</v>
      </c>
      <c r="C64" s="64">
        <v>44.36</v>
      </c>
      <c r="D64" s="64">
        <v>27.48</v>
      </c>
      <c r="E64" s="64">
        <v>2.16</v>
      </c>
      <c r="F64" s="64">
        <v>4.13</v>
      </c>
      <c r="G64" s="64">
        <v>61.98</v>
      </c>
      <c r="H64" s="64">
        <v>25.23</v>
      </c>
      <c r="I64" s="64">
        <v>1.48</v>
      </c>
      <c r="J64" s="64">
        <v>1.35</v>
      </c>
      <c r="K64" s="64">
        <v>107.16</v>
      </c>
      <c r="L64" s="64">
        <v>26.32</v>
      </c>
      <c r="M64" s="64">
        <v>46.11</v>
      </c>
      <c r="N64" s="64">
        <v>253.3</v>
      </c>
      <c r="O64" s="64">
        <v>0</v>
      </c>
      <c r="P64" s="64">
        <v>0.77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496</v>
      </c>
      <c r="B65" s="64">
        <v>2.79</v>
      </c>
      <c r="C65" s="64">
        <v>43.97</v>
      </c>
      <c r="D65" s="64">
        <v>27.14</v>
      </c>
      <c r="E65" s="64">
        <v>2.17</v>
      </c>
      <c r="F65" s="64">
        <v>4.32</v>
      </c>
      <c r="G65" s="64">
        <v>61.98</v>
      </c>
      <c r="H65" s="64">
        <v>25.23</v>
      </c>
      <c r="I65" s="64">
        <v>1.5</v>
      </c>
      <c r="J65" s="64">
        <v>1.7</v>
      </c>
      <c r="K65" s="64">
        <v>113.65</v>
      </c>
      <c r="L65" s="64">
        <v>25.93</v>
      </c>
      <c r="M65" s="64">
        <v>45.8</v>
      </c>
      <c r="N65" s="64">
        <v>230.4</v>
      </c>
      <c r="O65" s="64">
        <v>0</v>
      </c>
      <c r="P65" s="64">
        <v>0.74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497</v>
      </c>
      <c r="B66" s="64">
        <v>2.71</v>
      </c>
      <c r="C66" s="64">
        <v>43.29</v>
      </c>
      <c r="D66" s="64">
        <v>26.71</v>
      </c>
      <c r="E66" s="64">
        <v>2.2000000000000002</v>
      </c>
      <c r="F66" s="64">
        <v>4.09</v>
      </c>
      <c r="G66" s="64">
        <v>61.98</v>
      </c>
      <c r="H66" s="64">
        <v>25.23</v>
      </c>
      <c r="I66" s="64">
        <v>1.49</v>
      </c>
      <c r="J66" s="64">
        <v>1.21</v>
      </c>
      <c r="K66" s="64">
        <v>102.85</v>
      </c>
      <c r="L66" s="64">
        <v>25.97</v>
      </c>
      <c r="M66" s="64">
        <v>45.37</v>
      </c>
      <c r="N66" s="64">
        <v>215.2</v>
      </c>
      <c r="O66" s="64">
        <v>0</v>
      </c>
      <c r="P66" s="64">
        <v>0.69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4" t="s">
        <v>498</v>
      </c>
      <c r="B67" s="64">
        <v>2.78</v>
      </c>
      <c r="C67" s="64">
        <v>42.79</v>
      </c>
      <c r="D67" s="64">
        <v>26.49</v>
      </c>
      <c r="E67" s="64">
        <v>2.16</v>
      </c>
      <c r="F67" s="64">
        <v>4.0599999999999996</v>
      </c>
      <c r="G67" s="64">
        <v>61.2</v>
      </c>
      <c r="H67" s="64">
        <v>25.02</v>
      </c>
      <c r="I67" s="64">
        <v>1.47</v>
      </c>
      <c r="J67" s="64">
        <v>2.29</v>
      </c>
      <c r="K67" s="64">
        <v>109.57</v>
      </c>
      <c r="L67" s="64">
        <v>25.88</v>
      </c>
      <c r="M67" s="64">
        <v>42.63</v>
      </c>
      <c r="N67" s="64">
        <v>180.4</v>
      </c>
      <c r="O67" s="64">
        <v>0</v>
      </c>
      <c r="P67" s="64">
        <v>0.7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4" t="s">
        <v>499</v>
      </c>
      <c r="B68" s="64">
        <v>2.76</v>
      </c>
      <c r="C68" s="64">
        <v>42.06</v>
      </c>
      <c r="D68" s="64">
        <v>26.07</v>
      </c>
      <c r="E68" s="64">
        <v>2.15</v>
      </c>
      <c r="F68" s="64">
        <v>3.56</v>
      </c>
      <c r="G68" s="64">
        <v>58.08</v>
      </c>
      <c r="H68" s="64">
        <v>24.44</v>
      </c>
      <c r="I68" s="64">
        <v>1.53</v>
      </c>
      <c r="J68" s="64">
        <v>1.9</v>
      </c>
      <c r="K68" s="64">
        <v>109.11</v>
      </c>
      <c r="L68" s="64">
        <v>25.65</v>
      </c>
      <c r="M68" s="64">
        <v>44.42</v>
      </c>
      <c r="N68" s="64">
        <v>165.3</v>
      </c>
      <c r="O68" s="64">
        <v>0</v>
      </c>
      <c r="P68" s="64">
        <v>0.67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4" t="s">
        <v>500</v>
      </c>
      <c r="B69" s="64">
        <v>2.75</v>
      </c>
      <c r="C69" s="64">
        <v>41.6</v>
      </c>
      <c r="D69" s="64">
        <v>25.81</v>
      </c>
      <c r="E69" s="64">
        <v>2.23</v>
      </c>
      <c r="F69" s="64">
        <v>3.88</v>
      </c>
      <c r="G69" s="64">
        <v>58.08</v>
      </c>
      <c r="H69" s="64">
        <v>24.44</v>
      </c>
      <c r="I69" s="64">
        <v>1.5</v>
      </c>
      <c r="J69" s="64">
        <v>1.49</v>
      </c>
      <c r="K69" s="64">
        <v>103.21</v>
      </c>
      <c r="L69" s="64">
        <v>25.73</v>
      </c>
      <c r="M69" s="64">
        <v>44.28</v>
      </c>
      <c r="N69" s="64">
        <v>163.30000000000001</v>
      </c>
      <c r="O69" s="64">
        <v>0</v>
      </c>
      <c r="P69" s="64">
        <v>0.65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4" t="s">
        <v>501</v>
      </c>
      <c r="B70" s="64">
        <v>2.82</v>
      </c>
      <c r="C70" s="64">
        <v>41.32</v>
      </c>
      <c r="D70" s="64">
        <v>25.72</v>
      </c>
      <c r="E70" s="64">
        <v>2.2000000000000002</v>
      </c>
      <c r="F70" s="64">
        <v>3.69</v>
      </c>
      <c r="G70" s="64">
        <v>58.08</v>
      </c>
      <c r="H70" s="64">
        <v>24.44</v>
      </c>
      <c r="I70" s="64">
        <v>1.5</v>
      </c>
      <c r="J70" s="64">
        <v>1.38</v>
      </c>
      <c r="K70" s="64">
        <v>101.59</v>
      </c>
      <c r="L70" s="64">
        <v>25.68</v>
      </c>
      <c r="M70" s="64">
        <v>44.5</v>
      </c>
      <c r="N70" s="64">
        <v>133.19999999999999</v>
      </c>
      <c r="O70" s="64">
        <v>0</v>
      </c>
      <c r="P70" s="64">
        <v>0.63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4" t="s">
        <v>502</v>
      </c>
      <c r="B71" s="64">
        <v>2.91</v>
      </c>
      <c r="C71" s="64">
        <v>41.24</v>
      </c>
      <c r="D71" s="64">
        <v>25.74</v>
      </c>
      <c r="E71" s="64">
        <v>2.12</v>
      </c>
      <c r="F71" s="64">
        <v>3.86</v>
      </c>
      <c r="G71" s="64">
        <v>56.54</v>
      </c>
      <c r="H71" s="64">
        <v>24.9</v>
      </c>
      <c r="I71" s="64">
        <v>1.49</v>
      </c>
      <c r="J71" s="64">
        <v>1.6</v>
      </c>
      <c r="K71" s="64">
        <v>106.49</v>
      </c>
      <c r="L71" s="64">
        <v>25.54</v>
      </c>
      <c r="M71" s="64">
        <v>46.39</v>
      </c>
      <c r="N71" s="64">
        <v>120.7</v>
      </c>
      <c r="O71" s="64">
        <v>0</v>
      </c>
      <c r="P71" s="64">
        <v>0.62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4" t="s">
        <v>503</v>
      </c>
      <c r="B72" s="64">
        <v>3</v>
      </c>
      <c r="C72" s="64">
        <v>41.14</v>
      </c>
      <c r="D72" s="64">
        <v>25.75</v>
      </c>
      <c r="E72" s="64">
        <v>2.06</v>
      </c>
      <c r="F72" s="64">
        <v>4.34</v>
      </c>
      <c r="G72" s="64">
        <v>50.39</v>
      </c>
      <c r="H72" s="64">
        <v>26.13</v>
      </c>
      <c r="I72" s="64">
        <v>1.47</v>
      </c>
      <c r="J72" s="64">
        <v>1.47</v>
      </c>
      <c r="K72" s="64">
        <v>108.03</v>
      </c>
      <c r="L72" s="64">
        <v>25.25</v>
      </c>
      <c r="M72" s="64">
        <v>48.28</v>
      </c>
      <c r="N72" s="64">
        <v>109.8</v>
      </c>
      <c r="O72" s="64">
        <v>0</v>
      </c>
      <c r="P72" s="64">
        <v>0.63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4" t="s">
        <v>504</v>
      </c>
      <c r="B73" s="64">
        <v>3.01</v>
      </c>
      <c r="C73" s="64">
        <v>41.13</v>
      </c>
      <c r="D73" s="64">
        <v>25.76</v>
      </c>
      <c r="E73" s="64">
        <v>2.0699999999999998</v>
      </c>
      <c r="F73" s="64">
        <v>4.2</v>
      </c>
      <c r="G73" s="64">
        <v>50.39</v>
      </c>
      <c r="H73" s="64">
        <v>26.13</v>
      </c>
      <c r="I73" s="64">
        <v>1.48</v>
      </c>
      <c r="J73" s="64">
        <v>1.56</v>
      </c>
      <c r="K73" s="64">
        <v>104.27</v>
      </c>
      <c r="L73" s="64">
        <v>25.22</v>
      </c>
      <c r="M73" s="64">
        <v>47.25</v>
      </c>
      <c r="N73" s="64">
        <v>93.5</v>
      </c>
      <c r="O73" s="64">
        <v>0</v>
      </c>
      <c r="P73" s="64">
        <v>0.62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4" t="s">
        <v>505</v>
      </c>
      <c r="B74" s="64">
        <v>3.05</v>
      </c>
      <c r="C74" s="64">
        <v>41.33</v>
      </c>
      <c r="D74" s="64">
        <v>25.9</v>
      </c>
      <c r="E74" s="64">
        <v>2.2200000000000002</v>
      </c>
      <c r="F74" s="64">
        <v>3.89</v>
      </c>
      <c r="G74" s="64">
        <v>50.39</v>
      </c>
      <c r="H74" s="64">
        <v>26.13</v>
      </c>
      <c r="I74" s="64">
        <v>1.52</v>
      </c>
      <c r="J74" s="64">
        <v>1.76</v>
      </c>
      <c r="K74" s="64">
        <v>101.25</v>
      </c>
      <c r="L74" s="64">
        <v>25.07</v>
      </c>
      <c r="M74" s="64">
        <v>47.8</v>
      </c>
      <c r="N74" s="64">
        <v>66.5</v>
      </c>
      <c r="O74" s="64">
        <v>0</v>
      </c>
      <c r="P74" s="64">
        <v>0.62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4" t="s">
        <v>506</v>
      </c>
      <c r="B75" s="64">
        <v>3.07</v>
      </c>
      <c r="C75" s="64">
        <v>41.74</v>
      </c>
      <c r="D75" s="64">
        <v>26.14</v>
      </c>
      <c r="E75" s="64">
        <v>2.2000000000000002</v>
      </c>
      <c r="F75" s="64">
        <v>3.95</v>
      </c>
      <c r="G75" s="64">
        <v>50.33</v>
      </c>
      <c r="H75" s="64">
        <v>25.63</v>
      </c>
      <c r="I75" s="64">
        <v>1.44</v>
      </c>
      <c r="J75" s="64">
        <v>1.59</v>
      </c>
      <c r="K75" s="64">
        <v>103</v>
      </c>
      <c r="L75" s="64">
        <v>24.84</v>
      </c>
      <c r="M75" s="64">
        <v>49.14</v>
      </c>
      <c r="N75" s="64">
        <v>48</v>
      </c>
      <c r="O75" s="64">
        <v>0</v>
      </c>
      <c r="P75" s="64">
        <v>0.62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4" t="s">
        <v>507</v>
      </c>
      <c r="B76" s="64">
        <v>3.09</v>
      </c>
      <c r="C76" s="64">
        <v>42.09</v>
      </c>
      <c r="D76" s="64">
        <v>26.36</v>
      </c>
      <c r="E76" s="64">
        <v>2.14</v>
      </c>
      <c r="F76" s="64">
        <v>3.86</v>
      </c>
      <c r="G76" s="64">
        <v>50.1</v>
      </c>
      <c r="H76" s="64">
        <v>23.41</v>
      </c>
      <c r="I76" s="64">
        <v>1.5</v>
      </c>
      <c r="J76" s="64">
        <v>1.45</v>
      </c>
      <c r="K76" s="64">
        <v>109.93</v>
      </c>
      <c r="L76" s="64">
        <v>24.56</v>
      </c>
      <c r="M76" s="64">
        <v>50.63</v>
      </c>
      <c r="N76" s="64">
        <v>32.9</v>
      </c>
      <c r="O76" s="64">
        <v>0</v>
      </c>
      <c r="P76" s="64">
        <v>0.63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4" t="s">
        <v>508</v>
      </c>
      <c r="B77" s="64">
        <v>3.16</v>
      </c>
      <c r="C77" s="64">
        <v>42.23</v>
      </c>
      <c r="D77" s="64">
        <v>26.49</v>
      </c>
      <c r="E77" s="64">
        <v>2.13</v>
      </c>
      <c r="F77" s="64">
        <v>3.93</v>
      </c>
      <c r="G77" s="64">
        <v>50.1</v>
      </c>
      <c r="H77" s="64">
        <v>23.41</v>
      </c>
      <c r="I77" s="64">
        <v>1.53</v>
      </c>
      <c r="J77" s="64">
        <v>0.47</v>
      </c>
      <c r="K77" s="64">
        <v>99.29</v>
      </c>
      <c r="L77" s="64">
        <v>23.99</v>
      </c>
      <c r="M77" s="64">
        <v>56.43</v>
      </c>
      <c r="N77" s="64">
        <v>24.4</v>
      </c>
      <c r="O77" s="64">
        <v>0</v>
      </c>
      <c r="P77" s="64">
        <v>0.67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4" t="s">
        <v>509</v>
      </c>
      <c r="B78" s="64">
        <v>3.3</v>
      </c>
      <c r="C78" s="64">
        <v>41.2</v>
      </c>
      <c r="D78" s="64">
        <v>26.03</v>
      </c>
      <c r="E78" s="64">
        <v>2.1</v>
      </c>
      <c r="F78" s="64">
        <v>3.91</v>
      </c>
      <c r="G78" s="64">
        <v>50.1</v>
      </c>
      <c r="H78" s="64">
        <v>23.41</v>
      </c>
      <c r="I78" s="64">
        <v>1.55</v>
      </c>
      <c r="J78" s="64">
        <v>0.14000000000000001</v>
      </c>
      <c r="K78" s="64">
        <v>74.63</v>
      </c>
      <c r="L78" s="64">
        <v>23.12</v>
      </c>
      <c r="M78" s="64">
        <v>64.11</v>
      </c>
      <c r="N78" s="64">
        <v>22.5</v>
      </c>
      <c r="O78" s="64">
        <v>0</v>
      </c>
      <c r="P78" s="64">
        <v>0.73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4" t="s">
        <v>510</v>
      </c>
      <c r="B79" s="64">
        <v>3.26</v>
      </c>
      <c r="C79" s="64">
        <v>40.369999999999997</v>
      </c>
      <c r="D79" s="64">
        <v>25.54</v>
      </c>
      <c r="E79" s="64">
        <v>2.09</v>
      </c>
      <c r="F79" s="64">
        <v>4.05</v>
      </c>
      <c r="G79" s="64">
        <v>50.99</v>
      </c>
      <c r="H79" s="64">
        <v>23.73</v>
      </c>
      <c r="I79" s="64">
        <v>1.37</v>
      </c>
      <c r="J79" s="64">
        <v>0.16</v>
      </c>
      <c r="K79" s="64">
        <v>82.66</v>
      </c>
      <c r="L79" s="64">
        <v>22.94</v>
      </c>
      <c r="M79" s="64">
        <v>64.22</v>
      </c>
      <c r="N79" s="64">
        <v>21.2</v>
      </c>
      <c r="O79" s="64">
        <v>0</v>
      </c>
      <c r="P79" s="64">
        <v>0.7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4" t="s">
        <v>511</v>
      </c>
      <c r="B80" s="64">
        <v>3.12</v>
      </c>
      <c r="C80" s="64">
        <v>42.34</v>
      </c>
      <c r="D80" s="64">
        <v>26.52</v>
      </c>
      <c r="E80" s="64">
        <v>2.17</v>
      </c>
      <c r="F80" s="64">
        <v>4.12</v>
      </c>
      <c r="G80" s="64">
        <v>54.52</v>
      </c>
      <c r="H80" s="64">
        <v>24.59</v>
      </c>
      <c r="I80" s="64">
        <v>1.51</v>
      </c>
      <c r="J80" s="64">
        <v>0.35</v>
      </c>
      <c r="K80" s="64">
        <v>101.36</v>
      </c>
      <c r="L80" s="64">
        <v>22.89</v>
      </c>
      <c r="M80" s="64">
        <v>62.39</v>
      </c>
      <c r="N80" s="64">
        <v>21</v>
      </c>
      <c r="O80" s="64">
        <v>0</v>
      </c>
      <c r="P80" s="64">
        <v>0.72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4" t="s">
        <v>512</v>
      </c>
      <c r="B81" s="64">
        <v>3.07</v>
      </c>
      <c r="C81" s="64">
        <v>43.3</v>
      </c>
      <c r="D81" s="64">
        <v>27</v>
      </c>
      <c r="E81" s="64">
        <v>2.17</v>
      </c>
      <c r="F81" s="64">
        <v>4.2</v>
      </c>
      <c r="G81" s="64">
        <v>54.52</v>
      </c>
      <c r="H81" s="64">
        <v>24.59</v>
      </c>
      <c r="I81" s="64">
        <v>1.42</v>
      </c>
      <c r="J81" s="64">
        <v>0.69</v>
      </c>
      <c r="K81" s="64">
        <v>109.82</v>
      </c>
      <c r="L81" s="64">
        <v>22.85</v>
      </c>
      <c r="M81" s="64">
        <v>60.22</v>
      </c>
      <c r="N81" s="64">
        <v>21</v>
      </c>
      <c r="O81" s="64">
        <v>0</v>
      </c>
      <c r="P81" s="64">
        <v>0.76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4" t="s">
        <v>513</v>
      </c>
      <c r="B82" s="64">
        <v>3</v>
      </c>
      <c r="C82" s="64">
        <v>43.48</v>
      </c>
      <c r="D82" s="64">
        <v>27.05</v>
      </c>
      <c r="E82" s="64">
        <v>2.17</v>
      </c>
      <c r="F82" s="64">
        <v>4.04</v>
      </c>
      <c r="G82" s="64">
        <v>54.52</v>
      </c>
      <c r="H82" s="64">
        <v>24.59</v>
      </c>
      <c r="I82" s="64">
        <v>1.52</v>
      </c>
      <c r="J82" s="64">
        <v>0.63</v>
      </c>
      <c r="K82" s="64">
        <v>102.73</v>
      </c>
      <c r="L82" s="64">
        <v>22.66</v>
      </c>
      <c r="M82" s="64">
        <v>60.82</v>
      </c>
      <c r="N82" s="64">
        <v>21</v>
      </c>
      <c r="O82" s="64">
        <v>0</v>
      </c>
      <c r="P82" s="64">
        <v>0.77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4" t="s">
        <v>514</v>
      </c>
      <c r="B83" s="64">
        <v>2.88</v>
      </c>
      <c r="C83" s="64">
        <v>44.2</v>
      </c>
      <c r="D83" s="64">
        <v>27.35</v>
      </c>
      <c r="E83" s="64">
        <v>2.09</v>
      </c>
      <c r="F83" s="64">
        <v>3.91</v>
      </c>
      <c r="G83" s="64">
        <v>56.88</v>
      </c>
      <c r="H83" s="64">
        <v>26.76</v>
      </c>
      <c r="I83" s="64">
        <v>1.51</v>
      </c>
      <c r="J83" s="64">
        <v>0.46</v>
      </c>
      <c r="K83" s="64">
        <v>109.23</v>
      </c>
      <c r="L83" s="64">
        <v>22.65</v>
      </c>
      <c r="M83" s="64">
        <v>60.31</v>
      </c>
      <c r="N83" s="64">
        <v>21.1</v>
      </c>
      <c r="O83" s="64">
        <v>0</v>
      </c>
      <c r="P83" s="64">
        <v>0.78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4" t="s">
        <v>515</v>
      </c>
      <c r="B84" s="64">
        <v>2.89</v>
      </c>
      <c r="C84" s="64">
        <v>45.05</v>
      </c>
      <c r="D84" s="64">
        <v>27.82</v>
      </c>
      <c r="E84" s="64">
        <v>2.14</v>
      </c>
      <c r="F84" s="64">
        <v>3.8</v>
      </c>
      <c r="G84" s="64">
        <v>65.67</v>
      </c>
      <c r="H84" s="64">
        <v>32.659999999999997</v>
      </c>
      <c r="I84" s="64">
        <v>1.52</v>
      </c>
      <c r="J84" s="64">
        <v>0.32</v>
      </c>
      <c r="K84" s="64">
        <v>85.02</v>
      </c>
      <c r="L84" s="64">
        <v>22.48</v>
      </c>
      <c r="M84" s="64">
        <v>60.35</v>
      </c>
      <c r="N84" s="64">
        <v>21.2</v>
      </c>
      <c r="O84" s="64">
        <v>0</v>
      </c>
      <c r="P84" s="64">
        <v>0.81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4" t="s">
        <v>516</v>
      </c>
      <c r="B85" s="64">
        <v>2.96</v>
      </c>
      <c r="C85" s="64">
        <v>45.26</v>
      </c>
      <c r="D85" s="64">
        <v>28</v>
      </c>
      <c r="E85" s="64">
        <v>2.1</v>
      </c>
      <c r="F85" s="64">
        <v>3.8</v>
      </c>
      <c r="G85" s="64">
        <v>65.67</v>
      </c>
      <c r="H85" s="64">
        <v>32.659999999999997</v>
      </c>
      <c r="I85" s="64">
        <v>1.53</v>
      </c>
      <c r="J85" s="64">
        <v>0.26</v>
      </c>
      <c r="K85" s="64">
        <v>97.64</v>
      </c>
      <c r="L85" s="64">
        <v>22.14</v>
      </c>
      <c r="M85" s="64">
        <v>61.01</v>
      </c>
      <c r="N85" s="64">
        <v>21.2</v>
      </c>
      <c r="O85" s="64">
        <v>0</v>
      </c>
      <c r="P85" s="64">
        <v>0.83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4" t="s">
        <v>517</v>
      </c>
      <c r="B86" s="64">
        <v>2.94</v>
      </c>
      <c r="C86" s="64">
        <v>45.69</v>
      </c>
      <c r="D86" s="64">
        <v>28.22</v>
      </c>
      <c r="E86" s="64">
        <v>2.14</v>
      </c>
      <c r="F86" s="64">
        <v>3.93</v>
      </c>
      <c r="G86" s="64">
        <v>65.67</v>
      </c>
      <c r="H86" s="64">
        <v>32.659999999999997</v>
      </c>
      <c r="I86" s="64">
        <v>1.52</v>
      </c>
      <c r="J86" s="64">
        <v>0.35</v>
      </c>
      <c r="K86" s="64">
        <v>91.39</v>
      </c>
      <c r="L86" s="64">
        <v>22.02</v>
      </c>
      <c r="M86" s="64">
        <v>61.72</v>
      </c>
      <c r="N86" s="64">
        <v>21.1</v>
      </c>
      <c r="O86" s="64">
        <v>0</v>
      </c>
      <c r="P86" s="64">
        <v>0.86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4" t="s">
        <v>518</v>
      </c>
      <c r="B87" s="64">
        <v>3</v>
      </c>
      <c r="C87" s="64">
        <v>46.33</v>
      </c>
      <c r="D87" s="64">
        <v>28.62</v>
      </c>
      <c r="E87" s="64">
        <v>2.19</v>
      </c>
      <c r="F87" s="64">
        <v>4.08</v>
      </c>
      <c r="G87" s="64">
        <v>66.06</v>
      </c>
      <c r="H87" s="64">
        <v>33.56</v>
      </c>
      <c r="I87" s="64">
        <v>1.49</v>
      </c>
      <c r="J87" s="64">
        <v>0.46</v>
      </c>
      <c r="K87" s="64">
        <v>102.26</v>
      </c>
      <c r="L87" s="64">
        <v>21.97</v>
      </c>
      <c r="M87" s="64">
        <v>60.98</v>
      </c>
      <c r="N87" s="64">
        <v>20.9</v>
      </c>
      <c r="O87" s="64">
        <v>0</v>
      </c>
      <c r="P87" s="64">
        <v>0.87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4" t="s">
        <v>519</v>
      </c>
      <c r="B88" s="64">
        <v>3.06</v>
      </c>
      <c r="C88" s="64">
        <v>46.12</v>
      </c>
      <c r="D88" s="64">
        <v>28.56</v>
      </c>
      <c r="E88" s="64">
        <v>2.08</v>
      </c>
      <c r="F88" s="64">
        <v>4.0999999999999996</v>
      </c>
      <c r="G88" s="64">
        <v>67.489999999999995</v>
      </c>
      <c r="H88" s="64">
        <v>36.020000000000003</v>
      </c>
      <c r="I88" s="64">
        <v>1.53</v>
      </c>
      <c r="J88" s="64">
        <v>0.63</v>
      </c>
      <c r="K88" s="64">
        <v>108.1</v>
      </c>
      <c r="L88" s="64">
        <v>21.96</v>
      </c>
      <c r="M88" s="64">
        <v>59.76</v>
      </c>
      <c r="N88" s="64">
        <v>20.8</v>
      </c>
      <c r="O88" s="64">
        <v>0</v>
      </c>
      <c r="P88" s="64">
        <v>0.88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4" t="s">
        <v>520</v>
      </c>
      <c r="B89" s="64">
        <v>3.05</v>
      </c>
      <c r="C89" s="64">
        <v>45.84</v>
      </c>
      <c r="D89" s="64">
        <v>28.39</v>
      </c>
      <c r="E89" s="64">
        <v>2.14</v>
      </c>
      <c r="F89" s="64">
        <v>3.91</v>
      </c>
      <c r="G89" s="64">
        <v>67.489999999999995</v>
      </c>
      <c r="H89" s="64">
        <v>36.020000000000003</v>
      </c>
      <c r="I89" s="64">
        <v>1.44</v>
      </c>
      <c r="J89" s="64">
        <v>0.91</v>
      </c>
      <c r="K89" s="64">
        <v>116.47</v>
      </c>
      <c r="L89" s="64">
        <v>21.85</v>
      </c>
      <c r="M89" s="64">
        <v>59.29</v>
      </c>
      <c r="N89" s="64">
        <v>21</v>
      </c>
      <c r="O89" s="64">
        <v>0</v>
      </c>
      <c r="P89" s="64">
        <v>0.88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4" t="s">
        <v>521</v>
      </c>
      <c r="B90" s="64">
        <v>3.11</v>
      </c>
      <c r="C90" s="64">
        <v>45.52</v>
      </c>
      <c r="D90" s="64">
        <v>28.26</v>
      </c>
      <c r="E90" s="64">
        <v>2.16</v>
      </c>
      <c r="F90" s="64">
        <v>4.29</v>
      </c>
      <c r="G90" s="64">
        <v>67.489999999999995</v>
      </c>
      <c r="H90" s="64">
        <v>36.020000000000003</v>
      </c>
      <c r="I90" s="64">
        <v>1.54</v>
      </c>
      <c r="J90" s="64">
        <v>0.79</v>
      </c>
      <c r="K90" s="64">
        <v>109.3</v>
      </c>
      <c r="L90" s="64">
        <v>21.69</v>
      </c>
      <c r="M90" s="64">
        <v>60.18</v>
      </c>
      <c r="N90" s="64">
        <v>21.1</v>
      </c>
      <c r="O90" s="64">
        <v>0</v>
      </c>
      <c r="P90" s="64">
        <v>0.89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4" t="s">
        <v>522</v>
      </c>
      <c r="B91" s="64">
        <v>3.23</v>
      </c>
      <c r="C91" s="64">
        <v>45.92</v>
      </c>
      <c r="D91" s="64">
        <v>28.58</v>
      </c>
      <c r="E91" s="64">
        <v>2.17</v>
      </c>
      <c r="F91" s="64">
        <v>3.84</v>
      </c>
      <c r="G91" s="64">
        <v>67.41</v>
      </c>
      <c r="H91" s="64">
        <v>36.17</v>
      </c>
      <c r="I91" s="64">
        <v>1.49</v>
      </c>
      <c r="J91" s="64">
        <v>0.87</v>
      </c>
      <c r="K91" s="64">
        <v>116.85</v>
      </c>
      <c r="L91" s="64">
        <v>21.66</v>
      </c>
      <c r="M91" s="64">
        <v>60.57</v>
      </c>
      <c r="N91" s="64">
        <v>21.2</v>
      </c>
      <c r="O91" s="64">
        <v>0</v>
      </c>
      <c r="P91" s="64">
        <v>0.89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4" t="s">
        <v>523</v>
      </c>
      <c r="B92" s="64">
        <v>3.35</v>
      </c>
      <c r="C92" s="64">
        <v>45.97</v>
      </c>
      <c r="D92" s="64">
        <v>28.7</v>
      </c>
      <c r="E92" s="64">
        <v>2.1800000000000002</v>
      </c>
      <c r="F92" s="64">
        <v>3.79</v>
      </c>
      <c r="G92" s="64">
        <v>67.099999999999994</v>
      </c>
      <c r="H92" s="64">
        <v>36.909999999999997</v>
      </c>
      <c r="I92" s="64">
        <v>1.42</v>
      </c>
      <c r="J92" s="64">
        <v>0.75</v>
      </c>
      <c r="K92" s="64">
        <v>113.92</v>
      </c>
      <c r="L92" s="64">
        <v>21.46</v>
      </c>
      <c r="M92" s="64">
        <v>61.25</v>
      </c>
      <c r="N92" s="64">
        <v>21.1</v>
      </c>
      <c r="O92" s="64">
        <v>0</v>
      </c>
      <c r="P92" s="64">
        <v>0.88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4" t="s">
        <v>524</v>
      </c>
      <c r="B93" s="64">
        <v>3.34</v>
      </c>
      <c r="C93" s="64">
        <v>45.12</v>
      </c>
      <c r="D93" s="64">
        <v>28.22</v>
      </c>
      <c r="E93" s="64">
        <v>2.13</v>
      </c>
      <c r="F93" s="64">
        <v>3.79</v>
      </c>
      <c r="G93" s="64">
        <v>67.099999999999994</v>
      </c>
      <c r="H93" s="64">
        <v>36.909999999999997</v>
      </c>
      <c r="I93" s="64">
        <v>1.46</v>
      </c>
      <c r="J93" s="64">
        <v>0.75</v>
      </c>
      <c r="K93" s="64">
        <v>115.88</v>
      </c>
      <c r="L93" s="64">
        <v>21.41</v>
      </c>
      <c r="M93" s="64">
        <v>61.8</v>
      </c>
      <c r="N93" s="64">
        <v>21.1</v>
      </c>
      <c r="O93" s="64">
        <v>0</v>
      </c>
      <c r="P93" s="64">
        <v>0.88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4" t="s">
        <v>525</v>
      </c>
      <c r="B94" s="64">
        <v>3.49</v>
      </c>
      <c r="C94" s="64">
        <v>44.97</v>
      </c>
      <c r="D94" s="64">
        <v>28.26</v>
      </c>
      <c r="E94" s="64">
        <v>2.14</v>
      </c>
      <c r="F94" s="64">
        <v>3.65</v>
      </c>
      <c r="G94" s="64">
        <v>67.099999999999994</v>
      </c>
      <c r="H94" s="64">
        <v>36.909999999999997</v>
      </c>
      <c r="I94" s="64">
        <v>1.55</v>
      </c>
      <c r="J94" s="64">
        <v>0.5</v>
      </c>
      <c r="K94" s="64">
        <v>105.94</v>
      </c>
      <c r="L94" s="64">
        <v>21.14</v>
      </c>
      <c r="M94" s="64">
        <v>62.76</v>
      </c>
      <c r="N94" s="64">
        <v>21.4</v>
      </c>
      <c r="O94" s="64">
        <v>0</v>
      </c>
      <c r="P94" s="64">
        <v>0.88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4" t="s">
        <v>526</v>
      </c>
      <c r="B95" s="64">
        <v>3.75</v>
      </c>
      <c r="C95" s="64">
        <v>45.14</v>
      </c>
      <c r="D95" s="64">
        <v>28.57</v>
      </c>
      <c r="E95" s="64">
        <v>2.14</v>
      </c>
      <c r="F95" s="64">
        <v>3.51</v>
      </c>
      <c r="G95" s="64">
        <v>66.69</v>
      </c>
      <c r="H95" s="64">
        <v>35.450000000000003</v>
      </c>
      <c r="I95" s="64">
        <v>1.41</v>
      </c>
      <c r="J95" s="64">
        <v>0.8</v>
      </c>
      <c r="K95" s="64">
        <v>103.95</v>
      </c>
      <c r="L95" s="64">
        <v>21.05</v>
      </c>
      <c r="M95" s="64">
        <v>63.04</v>
      </c>
      <c r="N95" s="64">
        <v>21.1</v>
      </c>
      <c r="O95" s="64">
        <v>0</v>
      </c>
      <c r="P95" s="64">
        <v>0.87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4" t="s">
        <v>527</v>
      </c>
      <c r="B96" s="64">
        <v>4</v>
      </c>
      <c r="C96" s="64">
        <v>45.3</v>
      </c>
      <c r="D96" s="64">
        <v>28.86</v>
      </c>
      <c r="E96" s="64">
        <v>2.12</v>
      </c>
      <c r="F96" s="64">
        <v>3.62</v>
      </c>
      <c r="G96" s="64">
        <v>65.17</v>
      </c>
      <c r="H96" s="64">
        <v>31.49</v>
      </c>
      <c r="I96" s="64">
        <v>1.5</v>
      </c>
      <c r="J96" s="64">
        <v>0.98</v>
      </c>
      <c r="K96" s="64">
        <v>112.89</v>
      </c>
      <c r="L96" s="64">
        <v>20.9</v>
      </c>
      <c r="M96" s="64">
        <v>64.180000000000007</v>
      </c>
      <c r="N96" s="64">
        <v>21.2</v>
      </c>
      <c r="O96" s="64">
        <v>0</v>
      </c>
      <c r="P96" s="64">
        <v>0.88</v>
      </c>
      <c r="Q96" s="64">
        <v>5.21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528</v>
      </c>
      <c r="B97" s="64">
        <v>4.1399999999999997</v>
      </c>
      <c r="C97" s="64">
        <v>45.05</v>
      </c>
      <c r="D97" s="64">
        <v>28.83</v>
      </c>
      <c r="E97" s="64">
        <v>2.19</v>
      </c>
      <c r="F97" s="64">
        <v>3.59</v>
      </c>
      <c r="G97" s="64">
        <v>65.17</v>
      </c>
      <c r="H97" s="64">
        <v>31.49</v>
      </c>
      <c r="I97" s="64">
        <v>1.5</v>
      </c>
      <c r="J97" s="64">
        <v>1.0900000000000001</v>
      </c>
      <c r="K97" s="64">
        <v>111.84</v>
      </c>
      <c r="L97" s="64">
        <v>20.85</v>
      </c>
      <c r="M97" s="64">
        <v>65.180000000000007</v>
      </c>
      <c r="N97" s="64">
        <v>21.2</v>
      </c>
      <c r="O97" s="64">
        <v>0</v>
      </c>
      <c r="P97" s="64">
        <v>0.87</v>
      </c>
      <c r="Q97" s="64">
        <v>5.21</v>
      </c>
      <c r="R97" s="198"/>
      <c r="S97" s="198"/>
      <c r="T97" s="198"/>
      <c r="U97" s="198"/>
    </row>
    <row r="98" spans="1:33" s="12" customFormat="1" x14ac:dyDescent="0.25">
      <c r="A98" s="214" t="s">
        <v>529</v>
      </c>
      <c r="B98" s="64">
        <v>4.24</v>
      </c>
      <c r="C98" s="64">
        <v>44.9</v>
      </c>
      <c r="D98" s="64">
        <v>28.83</v>
      </c>
      <c r="E98" s="64">
        <v>2.14</v>
      </c>
      <c r="F98" s="64">
        <v>3.64</v>
      </c>
      <c r="G98" s="64">
        <v>65.17</v>
      </c>
      <c r="H98" s="64">
        <v>31.49</v>
      </c>
      <c r="I98" s="64">
        <v>1.55</v>
      </c>
      <c r="J98" s="64">
        <v>1.3</v>
      </c>
      <c r="K98" s="64">
        <v>115.38</v>
      </c>
      <c r="L98" s="64">
        <v>20.78</v>
      </c>
      <c r="M98" s="64">
        <v>65.86</v>
      </c>
      <c r="N98" s="64">
        <v>21.1</v>
      </c>
      <c r="O98" s="64">
        <v>0</v>
      </c>
      <c r="P98" s="64">
        <v>0.86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4" t="s">
        <v>530</v>
      </c>
      <c r="B99" s="64">
        <v>4.2699999999999996</v>
      </c>
      <c r="C99" s="64">
        <v>45</v>
      </c>
      <c r="D99" s="64">
        <v>28.9</v>
      </c>
      <c r="E99" s="64">
        <v>2.14</v>
      </c>
      <c r="F99" s="64">
        <v>3.6</v>
      </c>
      <c r="G99" s="64">
        <v>64.599999999999994</v>
      </c>
      <c r="H99" s="64">
        <v>31.84</v>
      </c>
      <c r="I99" s="64">
        <v>1.47</v>
      </c>
      <c r="J99" s="64">
        <v>0.86</v>
      </c>
      <c r="K99" s="64">
        <v>113.07</v>
      </c>
      <c r="L99" s="64">
        <v>20.73</v>
      </c>
      <c r="M99" s="64">
        <v>65.900000000000006</v>
      </c>
      <c r="N99" s="64">
        <v>21.2</v>
      </c>
      <c r="O99" s="64">
        <v>0</v>
      </c>
      <c r="P99" s="64">
        <v>0.86</v>
      </c>
      <c r="Q99" s="64">
        <v>5.21</v>
      </c>
      <c r="R99" s="198"/>
      <c r="S99" s="198"/>
      <c r="T99" s="198"/>
      <c r="U99" s="198"/>
    </row>
    <row r="100" spans="1:33" s="12" customFormat="1" x14ac:dyDescent="0.25">
      <c r="A100" s="214" t="s">
        <v>531</v>
      </c>
      <c r="B100" s="64">
        <v>4.3600000000000003</v>
      </c>
      <c r="C100" s="64">
        <v>44.78</v>
      </c>
      <c r="D100" s="64">
        <v>28.86</v>
      </c>
      <c r="E100" s="64">
        <v>2.15</v>
      </c>
      <c r="F100" s="64">
        <v>3.79</v>
      </c>
      <c r="G100" s="64">
        <v>62.34</v>
      </c>
      <c r="H100" s="64">
        <v>32.79</v>
      </c>
      <c r="I100" s="64">
        <v>1.42</v>
      </c>
      <c r="J100" s="64">
        <v>0.82</v>
      </c>
      <c r="K100" s="64">
        <v>114.15</v>
      </c>
      <c r="L100" s="64">
        <v>20.61</v>
      </c>
      <c r="M100" s="64">
        <v>66.14</v>
      </c>
      <c r="N100" s="64">
        <v>21.3</v>
      </c>
      <c r="O100" s="64">
        <v>0</v>
      </c>
      <c r="P100" s="64">
        <v>0.85</v>
      </c>
      <c r="Q100" s="64">
        <v>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532</v>
      </c>
      <c r="B101" s="64">
        <v>4.43</v>
      </c>
      <c r="C101" s="64">
        <v>44.92</v>
      </c>
      <c r="D101" s="64">
        <v>28.99</v>
      </c>
      <c r="E101" s="64">
        <v>2.16</v>
      </c>
      <c r="F101" s="64">
        <v>3.31</v>
      </c>
      <c r="G101" s="64">
        <v>62.34</v>
      </c>
      <c r="H101" s="64">
        <v>32.79</v>
      </c>
      <c r="I101" s="64">
        <v>1.54</v>
      </c>
      <c r="J101" s="64">
        <v>0.59</v>
      </c>
      <c r="K101" s="64">
        <v>113.98</v>
      </c>
      <c r="L101" s="64">
        <v>20.3</v>
      </c>
      <c r="M101" s="64">
        <v>67.34</v>
      </c>
      <c r="N101" s="64">
        <v>21.4</v>
      </c>
      <c r="O101" s="64">
        <v>0</v>
      </c>
      <c r="P101" s="64">
        <v>0.85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4" t="s">
        <v>533</v>
      </c>
      <c r="B102" s="64">
        <v>4.53</v>
      </c>
      <c r="C102" s="64">
        <v>45.06</v>
      </c>
      <c r="D102" s="64">
        <v>29.14</v>
      </c>
      <c r="E102" s="64">
        <v>2.15</v>
      </c>
      <c r="F102" s="64">
        <v>4.09</v>
      </c>
      <c r="G102" s="64">
        <v>62.34</v>
      </c>
      <c r="H102" s="64">
        <v>32.79</v>
      </c>
      <c r="I102" s="64">
        <v>1.51</v>
      </c>
      <c r="J102" s="64">
        <v>0.32</v>
      </c>
      <c r="K102" s="64">
        <v>102.7</v>
      </c>
      <c r="L102" s="64">
        <v>20.18</v>
      </c>
      <c r="M102" s="64">
        <v>68.650000000000006</v>
      </c>
      <c r="N102" s="64">
        <v>21.5</v>
      </c>
      <c r="O102" s="64">
        <v>0</v>
      </c>
      <c r="P102" s="64">
        <v>0.85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4" t="s">
        <v>534</v>
      </c>
      <c r="B103" s="64">
        <v>4.66</v>
      </c>
      <c r="C103" s="64">
        <v>45.09</v>
      </c>
      <c r="D103" s="64">
        <v>29.27</v>
      </c>
      <c r="E103" s="64">
        <v>2.13</v>
      </c>
      <c r="F103" s="64">
        <v>3.87</v>
      </c>
      <c r="G103" s="64">
        <v>62.2</v>
      </c>
      <c r="H103" s="64">
        <v>32.700000000000003</v>
      </c>
      <c r="I103" s="64">
        <v>1.44</v>
      </c>
      <c r="J103" s="64">
        <v>0.32</v>
      </c>
      <c r="K103" s="64">
        <v>94.25</v>
      </c>
      <c r="L103" s="64">
        <v>20.16</v>
      </c>
      <c r="M103" s="64">
        <v>68.540000000000006</v>
      </c>
      <c r="N103" s="64">
        <v>21.4</v>
      </c>
      <c r="O103" s="64">
        <v>0</v>
      </c>
      <c r="P103" s="64">
        <v>0.85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4" t="s">
        <v>535</v>
      </c>
      <c r="B104" s="64">
        <v>4.83</v>
      </c>
      <c r="C104" s="64">
        <v>45.36</v>
      </c>
      <c r="D104" s="64">
        <v>29.55</v>
      </c>
      <c r="E104" s="64">
        <v>2.0699999999999998</v>
      </c>
      <c r="F104" s="64">
        <v>3.51</v>
      </c>
      <c r="G104" s="64">
        <v>61.67</v>
      </c>
      <c r="H104" s="64">
        <v>32.46</v>
      </c>
      <c r="I104" s="64">
        <v>1.51</v>
      </c>
      <c r="J104" s="64">
        <v>0.41</v>
      </c>
      <c r="K104" s="64">
        <v>104.01</v>
      </c>
      <c r="L104" s="64">
        <v>20.07</v>
      </c>
      <c r="M104" s="64">
        <v>69.22</v>
      </c>
      <c r="N104" s="64">
        <v>21.6</v>
      </c>
      <c r="O104" s="64">
        <v>0</v>
      </c>
      <c r="P104" s="64">
        <v>0.84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2.71</v>
      </c>
      <c r="C106" s="67">
        <f>MIN(C9:C104)</f>
        <v>39.79</v>
      </c>
      <c r="D106" s="67">
        <f t="shared" ref="D106:Q106" si="0">MIN(D9:D104)</f>
        <v>25.54</v>
      </c>
      <c r="E106" s="67">
        <f t="shared" si="0"/>
        <v>2.06</v>
      </c>
      <c r="F106" s="67">
        <f t="shared" si="0"/>
        <v>2.79</v>
      </c>
      <c r="G106" s="67">
        <f t="shared" si="0"/>
        <v>48.97</v>
      </c>
      <c r="H106" s="67">
        <f t="shared" si="0"/>
        <v>23.41</v>
      </c>
      <c r="I106" s="67">
        <f t="shared" si="0"/>
        <v>1.37</v>
      </c>
      <c r="J106" s="67">
        <f t="shared" si="0"/>
        <v>0.06</v>
      </c>
      <c r="K106" s="67">
        <f t="shared" si="0"/>
        <v>10.59</v>
      </c>
      <c r="L106" s="67">
        <f t="shared" si="0"/>
        <v>16.850000000000001</v>
      </c>
      <c r="M106" s="67">
        <f t="shared" si="0"/>
        <v>42.63</v>
      </c>
      <c r="N106" s="67">
        <f t="shared" si="0"/>
        <v>20.100000000000001</v>
      </c>
      <c r="O106" s="67">
        <f t="shared" si="0"/>
        <v>0</v>
      </c>
      <c r="P106" s="67">
        <f t="shared" si="0"/>
        <v>0.62</v>
      </c>
      <c r="Q106" s="67">
        <f t="shared" si="0"/>
        <v>4.8499999999999996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12.88</v>
      </c>
      <c r="C107" s="66">
        <f t="shared" ref="C107:Q107" si="1">MAX(C9:C104)</f>
        <v>48.96</v>
      </c>
      <c r="D107" s="66">
        <f t="shared" si="1"/>
        <v>37.04</v>
      </c>
      <c r="E107" s="66">
        <f t="shared" si="1"/>
        <v>2.31</v>
      </c>
      <c r="F107" s="66">
        <f t="shared" si="1"/>
        <v>4.43</v>
      </c>
      <c r="G107" s="66">
        <f t="shared" si="1"/>
        <v>71.319999999999993</v>
      </c>
      <c r="H107" s="66">
        <f t="shared" si="1"/>
        <v>36.909999999999997</v>
      </c>
      <c r="I107" s="66">
        <f t="shared" si="1"/>
        <v>1.61</v>
      </c>
      <c r="J107" s="66">
        <f t="shared" si="1"/>
        <v>2.29</v>
      </c>
      <c r="K107" s="66">
        <f t="shared" si="1"/>
        <v>355.42</v>
      </c>
      <c r="L107" s="66">
        <f t="shared" si="1"/>
        <v>26.89</v>
      </c>
      <c r="M107" s="66">
        <f t="shared" si="1"/>
        <v>92.52</v>
      </c>
      <c r="N107" s="66">
        <f t="shared" si="1"/>
        <v>646.1</v>
      </c>
      <c r="O107" s="66">
        <f t="shared" si="1"/>
        <v>0</v>
      </c>
      <c r="P107" s="66">
        <f t="shared" si="1"/>
        <v>0.89</v>
      </c>
      <c r="Q107" s="66">
        <f t="shared" si="1"/>
        <v>5.23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5.144166666666667</v>
      </c>
      <c r="C108" s="67">
        <f t="shared" ref="C108:Q108" si="2">AVERAGE(C9:C104)</f>
        <v>44.207708333333329</v>
      </c>
      <c r="D108" s="67">
        <f t="shared" si="2"/>
        <v>29.168645833333333</v>
      </c>
      <c r="E108" s="67">
        <f t="shared" si="2"/>
        <v>2.1748958333333315</v>
      </c>
      <c r="F108" s="67">
        <f t="shared" si="2"/>
        <v>3.7445833333333347</v>
      </c>
      <c r="G108" s="67">
        <f t="shared" si="2"/>
        <v>60.175625000000018</v>
      </c>
      <c r="H108" s="67">
        <f t="shared" si="2"/>
        <v>29.206562499999993</v>
      </c>
      <c r="I108" s="67">
        <f t="shared" si="2"/>
        <v>1.5044791666666664</v>
      </c>
      <c r="J108" s="67">
        <f t="shared" si="2"/>
        <v>0.77729166666666671</v>
      </c>
      <c r="K108" s="67">
        <f t="shared" si="2"/>
        <v>132.44645833333331</v>
      </c>
      <c r="L108" s="67">
        <f t="shared" si="2"/>
        <v>21.853333333333339</v>
      </c>
      <c r="M108" s="67">
        <f t="shared" si="2"/>
        <v>65.949687500000024</v>
      </c>
      <c r="N108" s="67">
        <f t="shared" si="2"/>
        <v>156.34270833333338</v>
      </c>
      <c r="O108" s="67">
        <f t="shared" si="2"/>
        <v>0</v>
      </c>
      <c r="P108" s="67">
        <f t="shared" si="2"/>
        <v>0.75937500000000002</v>
      </c>
      <c r="Q108" s="67">
        <f t="shared" si="2"/>
        <v>5.1889583333333231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2.9389105273415996</v>
      </c>
      <c r="C109" s="67">
        <f t="shared" ref="C109:Q109" si="3">STDEV(C9:C104)</f>
        <v>2.193530909487531</v>
      </c>
      <c r="D109" s="67">
        <f t="shared" si="3"/>
        <v>3.1923344435634449</v>
      </c>
      <c r="E109" s="67">
        <f t="shared" si="3"/>
        <v>4.8471256630071458E-2</v>
      </c>
      <c r="F109" s="67">
        <f t="shared" si="3"/>
        <v>0.34482617029352375</v>
      </c>
      <c r="G109" s="67">
        <f t="shared" si="3"/>
        <v>7.6282016660476639</v>
      </c>
      <c r="H109" s="67">
        <f t="shared" si="3"/>
        <v>4.1798020169998908</v>
      </c>
      <c r="I109" s="67">
        <f t="shared" si="3"/>
        <v>4.2074365033621823E-2</v>
      </c>
      <c r="J109" s="67">
        <f t="shared" si="3"/>
        <v>0.52219270322194833</v>
      </c>
      <c r="K109" s="67">
        <f t="shared" si="3"/>
        <v>78.839112147250106</v>
      </c>
      <c r="L109" s="67">
        <f t="shared" si="3"/>
        <v>2.8842639001335981</v>
      </c>
      <c r="M109" s="67">
        <f t="shared" si="3"/>
        <v>13.453269017964899</v>
      </c>
      <c r="N109" s="67">
        <f t="shared" si="3"/>
        <v>203.6875345615083</v>
      </c>
      <c r="O109" s="67">
        <f t="shared" si="3"/>
        <v>0</v>
      </c>
      <c r="P109" s="67">
        <f t="shared" si="3"/>
        <v>8.6970200583151358E-2</v>
      </c>
      <c r="Q109" s="67">
        <f t="shared" si="3"/>
        <v>6.1155180813655244E-2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536</v>
      </c>
      <c r="B9" s="64">
        <v>4.97</v>
      </c>
      <c r="C9" s="64">
        <v>45.4</v>
      </c>
      <c r="D9" s="64">
        <v>29.69</v>
      </c>
      <c r="E9" s="64">
        <v>2.19</v>
      </c>
      <c r="F9" s="64">
        <v>3.49</v>
      </c>
      <c r="G9" s="64">
        <v>61.67</v>
      </c>
      <c r="H9" s="64">
        <v>32.46</v>
      </c>
      <c r="I9" s="64">
        <v>1.48</v>
      </c>
      <c r="J9" s="64">
        <v>0.53</v>
      </c>
      <c r="K9" s="64">
        <v>109.97</v>
      </c>
      <c r="L9" s="64">
        <v>19.89</v>
      </c>
      <c r="M9" s="64">
        <v>70.260000000000005</v>
      </c>
      <c r="N9" s="64">
        <v>21.5</v>
      </c>
      <c r="O9" s="64">
        <v>0</v>
      </c>
      <c r="P9" s="64">
        <v>0.85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4" t="s">
        <v>537</v>
      </c>
      <c r="B10" s="64">
        <v>4.9800000000000004</v>
      </c>
      <c r="C10" s="64">
        <v>44.88</v>
      </c>
      <c r="D10" s="64">
        <v>29.41</v>
      </c>
      <c r="E10" s="64">
        <v>2.2000000000000002</v>
      </c>
      <c r="F10" s="64">
        <v>3.67</v>
      </c>
      <c r="G10" s="64">
        <v>61.67</v>
      </c>
      <c r="H10" s="64">
        <v>32.46</v>
      </c>
      <c r="I10" s="64">
        <v>1.41</v>
      </c>
      <c r="J10" s="64">
        <v>0.27</v>
      </c>
      <c r="K10" s="64">
        <v>106.68</v>
      </c>
      <c r="L10" s="64">
        <v>19.75</v>
      </c>
      <c r="M10" s="64">
        <v>72.010000000000005</v>
      </c>
      <c r="N10" s="64">
        <v>21.5</v>
      </c>
      <c r="O10" s="64">
        <v>0</v>
      </c>
      <c r="P10" s="64">
        <v>0.84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4" t="s">
        <v>538</v>
      </c>
      <c r="B11" s="64">
        <v>4.71</v>
      </c>
      <c r="C11" s="64">
        <v>43.31</v>
      </c>
      <c r="D11" s="64">
        <v>28.32</v>
      </c>
      <c r="E11" s="64">
        <v>2.23</v>
      </c>
      <c r="F11" s="64">
        <v>3.95</v>
      </c>
      <c r="G11" s="64">
        <v>61.47</v>
      </c>
      <c r="H11" s="64">
        <v>32.35</v>
      </c>
      <c r="I11" s="64">
        <v>1.5</v>
      </c>
      <c r="J11" s="64">
        <v>0.47</v>
      </c>
      <c r="K11" s="64">
        <v>115.59</v>
      </c>
      <c r="L11" s="64">
        <v>19.63</v>
      </c>
      <c r="M11" s="64">
        <v>73.72</v>
      </c>
      <c r="N11" s="64">
        <v>21.4</v>
      </c>
      <c r="O11" s="64">
        <v>0</v>
      </c>
      <c r="P11" s="64">
        <v>0.83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4" t="s">
        <v>539</v>
      </c>
      <c r="B12" s="64">
        <v>4.4400000000000004</v>
      </c>
      <c r="C12" s="64">
        <v>43.97</v>
      </c>
      <c r="D12" s="64">
        <v>28.47</v>
      </c>
      <c r="E12" s="64">
        <v>2.1800000000000002</v>
      </c>
      <c r="F12" s="64">
        <v>3.7</v>
      </c>
      <c r="G12" s="64">
        <v>60.72</v>
      </c>
      <c r="H12" s="64">
        <v>31.83</v>
      </c>
      <c r="I12" s="64">
        <v>1.44</v>
      </c>
      <c r="J12" s="64">
        <v>0.26</v>
      </c>
      <c r="K12" s="64">
        <v>96.86</v>
      </c>
      <c r="L12" s="64">
        <v>19.510000000000002</v>
      </c>
      <c r="M12" s="64">
        <v>74.760000000000005</v>
      </c>
      <c r="N12" s="64">
        <v>21.3</v>
      </c>
      <c r="O12" s="64">
        <v>0</v>
      </c>
      <c r="P12" s="64">
        <v>0.83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4" t="s">
        <v>540</v>
      </c>
      <c r="B13" s="64">
        <v>4.1900000000000004</v>
      </c>
      <c r="C13" s="64">
        <v>43.62</v>
      </c>
      <c r="D13" s="64">
        <v>28.08</v>
      </c>
      <c r="E13" s="64">
        <v>2.17</v>
      </c>
      <c r="F13" s="64">
        <v>3.88</v>
      </c>
      <c r="G13" s="64">
        <v>60.72</v>
      </c>
      <c r="H13" s="64">
        <v>31.83</v>
      </c>
      <c r="I13" s="64">
        <v>1.47</v>
      </c>
      <c r="J13" s="64">
        <v>0.32</v>
      </c>
      <c r="K13" s="64">
        <v>107.1</v>
      </c>
      <c r="L13" s="64">
        <v>19.420000000000002</v>
      </c>
      <c r="M13" s="64">
        <v>74.39</v>
      </c>
      <c r="N13" s="64">
        <v>21.3</v>
      </c>
      <c r="O13" s="64">
        <v>0</v>
      </c>
      <c r="P13" s="64">
        <v>0.8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4" t="s">
        <v>541</v>
      </c>
      <c r="B14" s="64">
        <v>3.92</v>
      </c>
      <c r="C14" s="64">
        <v>43.63</v>
      </c>
      <c r="D14" s="64">
        <v>27.86</v>
      </c>
      <c r="E14" s="64">
        <v>2.2000000000000002</v>
      </c>
      <c r="F14" s="64">
        <v>3.88</v>
      </c>
      <c r="G14" s="64">
        <v>60.72</v>
      </c>
      <c r="H14" s="64">
        <v>31.83</v>
      </c>
      <c r="I14" s="64">
        <v>1.56</v>
      </c>
      <c r="J14" s="64">
        <v>0.23</v>
      </c>
      <c r="K14" s="64">
        <v>90.67</v>
      </c>
      <c r="L14" s="64">
        <v>19.260000000000002</v>
      </c>
      <c r="M14" s="64">
        <v>75.489999999999995</v>
      </c>
      <c r="N14" s="64">
        <v>21.5</v>
      </c>
      <c r="O14" s="64">
        <v>0</v>
      </c>
      <c r="P14" s="64">
        <v>0.83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4" t="s">
        <v>542</v>
      </c>
      <c r="B15" s="64">
        <v>3.72</v>
      </c>
      <c r="C15" s="64">
        <v>43.47</v>
      </c>
      <c r="D15" s="64">
        <v>27.62</v>
      </c>
      <c r="E15" s="64">
        <v>2.2200000000000002</v>
      </c>
      <c r="F15" s="64">
        <v>3.69</v>
      </c>
      <c r="G15" s="64">
        <v>60.37</v>
      </c>
      <c r="H15" s="64">
        <v>30.95</v>
      </c>
      <c r="I15" s="64">
        <v>1.53</v>
      </c>
      <c r="J15" s="64">
        <v>0.17</v>
      </c>
      <c r="K15" s="64">
        <v>117.37</v>
      </c>
      <c r="L15" s="64">
        <v>19.07</v>
      </c>
      <c r="M15" s="64">
        <v>77.77</v>
      </c>
      <c r="N15" s="64">
        <v>21.5</v>
      </c>
      <c r="O15" s="64">
        <v>0</v>
      </c>
      <c r="P15" s="64">
        <v>0.82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4" t="s">
        <v>543</v>
      </c>
      <c r="B16" s="64">
        <v>3.65</v>
      </c>
      <c r="C16" s="64">
        <v>43.42</v>
      </c>
      <c r="D16" s="64">
        <v>27.54</v>
      </c>
      <c r="E16" s="64">
        <v>2.1800000000000002</v>
      </c>
      <c r="F16" s="64">
        <v>3.87</v>
      </c>
      <c r="G16" s="64">
        <v>58.96</v>
      </c>
      <c r="H16" s="64">
        <v>28.55</v>
      </c>
      <c r="I16" s="64">
        <v>1.55</v>
      </c>
      <c r="J16" s="64">
        <v>0.37</v>
      </c>
      <c r="K16" s="64">
        <v>105.84</v>
      </c>
      <c r="L16" s="64">
        <v>19</v>
      </c>
      <c r="M16" s="64">
        <v>78.709999999999994</v>
      </c>
      <c r="N16" s="64">
        <v>21.3</v>
      </c>
      <c r="O16" s="64">
        <v>0</v>
      </c>
      <c r="P16" s="64">
        <v>0.83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4" t="s">
        <v>544</v>
      </c>
      <c r="B17" s="64">
        <v>3.6</v>
      </c>
      <c r="C17" s="64">
        <v>43.07</v>
      </c>
      <c r="D17" s="64">
        <v>27.3</v>
      </c>
      <c r="E17" s="64">
        <v>2.15</v>
      </c>
      <c r="F17" s="64">
        <v>3.72</v>
      </c>
      <c r="G17" s="64">
        <v>58.96</v>
      </c>
      <c r="H17" s="64">
        <v>28.55</v>
      </c>
      <c r="I17" s="64">
        <v>1.46</v>
      </c>
      <c r="J17" s="64">
        <v>0.38</v>
      </c>
      <c r="K17" s="64">
        <v>101.6</v>
      </c>
      <c r="L17" s="64">
        <v>18.86</v>
      </c>
      <c r="M17" s="64">
        <v>79.94</v>
      </c>
      <c r="N17" s="64">
        <v>21.3</v>
      </c>
      <c r="O17" s="64">
        <v>0</v>
      </c>
      <c r="P17" s="64">
        <v>0.82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545</v>
      </c>
      <c r="B18" s="64">
        <v>3.53</v>
      </c>
      <c r="C18" s="64">
        <v>42.87</v>
      </c>
      <c r="D18" s="64">
        <v>27.14</v>
      </c>
      <c r="E18" s="64">
        <v>2.17</v>
      </c>
      <c r="F18" s="64">
        <v>3.67</v>
      </c>
      <c r="G18" s="64">
        <v>58.96</v>
      </c>
      <c r="H18" s="64">
        <v>28.55</v>
      </c>
      <c r="I18" s="64">
        <v>1.51</v>
      </c>
      <c r="J18" s="64">
        <v>0.09</v>
      </c>
      <c r="K18" s="64">
        <v>71.25</v>
      </c>
      <c r="L18" s="64">
        <v>18.850000000000001</v>
      </c>
      <c r="M18" s="64">
        <v>79.739999999999995</v>
      </c>
      <c r="N18" s="64">
        <v>21.6</v>
      </c>
      <c r="O18" s="64">
        <v>0</v>
      </c>
      <c r="P18" s="64">
        <v>0.82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4" t="s">
        <v>546</v>
      </c>
      <c r="B19" s="64">
        <v>3.43</v>
      </c>
      <c r="C19" s="64">
        <v>43.12</v>
      </c>
      <c r="D19" s="64">
        <v>27.2</v>
      </c>
      <c r="E19" s="64">
        <v>2.2000000000000002</v>
      </c>
      <c r="F19" s="64">
        <v>3.63</v>
      </c>
      <c r="G19" s="64">
        <v>58.71</v>
      </c>
      <c r="H19" s="64">
        <v>29.02</v>
      </c>
      <c r="I19" s="64">
        <v>1.47</v>
      </c>
      <c r="J19" s="64">
        <v>0.15</v>
      </c>
      <c r="K19" s="64">
        <v>94.02</v>
      </c>
      <c r="L19" s="64">
        <v>18.739999999999998</v>
      </c>
      <c r="M19" s="64">
        <v>79.97</v>
      </c>
      <c r="N19" s="64">
        <v>21.5</v>
      </c>
      <c r="O19" s="64">
        <v>0</v>
      </c>
      <c r="P19" s="64">
        <v>0.83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4" t="s">
        <v>547</v>
      </c>
      <c r="B20" s="64">
        <v>3.35</v>
      </c>
      <c r="C20" s="64">
        <v>42.54</v>
      </c>
      <c r="D20" s="64">
        <v>26.81</v>
      </c>
      <c r="E20" s="64">
        <v>2.15</v>
      </c>
      <c r="F20" s="64">
        <v>3.81</v>
      </c>
      <c r="G20" s="64">
        <v>57.73</v>
      </c>
      <c r="H20" s="64">
        <v>30.31</v>
      </c>
      <c r="I20" s="64">
        <v>1.43</v>
      </c>
      <c r="J20" s="64">
        <v>0.13</v>
      </c>
      <c r="K20" s="64">
        <v>103.28</v>
      </c>
      <c r="L20" s="64">
        <v>18.79</v>
      </c>
      <c r="M20" s="64">
        <v>80.13</v>
      </c>
      <c r="N20" s="64">
        <v>21.4</v>
      </c>
      <c r="O20" s="64">
        <v>0</v>
      </c>
      <c r="P20" s="64">
        <v>0.82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4" t="s">
        <v>548</v>
      </c>
      <c r="B21" s="64">
        <v>3.24</v>
      </c>
      <c r="C21" s="64">
        <v>42.28</v>
      </c>
      <c r="D21" s="64">
        <v>26.58</v>
      </c>
      <c r="E21" s="64">
        <v>2.19</v>
      </c>
      <c r="F21" s="64">
        <v>3.91</v>
      </c>
      <c r="G21" s="64">
        <v>57.73</v>
      </c>
      <c r="H21" s="64">
        <v>30.31</v>
      </c>
      <c r="I21" s="64">
        <v>1.5</v>
      </c>
      <c r="J21" s="64">
        <v>0.27</v>
      </c>
      <c r="K21" s="64">
        <v>108.98</v>
      </c>
      <c r="L21" s="64">
        <v>18.809999999999999</v>
      </c>
      <c r="M21" s="64">
        <v>79.87</v>
      </c>
      <c r="N21" s="64">
        <v>21.4</v>
      </c>
      <c r="O21" s="64">
        <v>0</v>
      </c>
      <c r="P21" s="64">
        <v>0.83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4" t="s">
        <v>549</v>
      </c>
      <c r="B22" s="64">
        <v>3.18</v>
      </c>
      <c r="C22" s="64">
        <v>41.97</v>
      </c>
      <c r="D22" s="64">
        <v>26.36</v>
      </c>
      <c r="E22" s="64">
        <v>2.2200000000000002</v>
      </c>
      <c r="F22" s="64">
        <v>3.83</v>
      </c>
      <c r="G22" s="64">
        <v>57.73</v>
      </c>
      <c r="H22" s="64">
        <v>30.31</v>
      </c>
      <c r="I22" s="64">
        <v>1.51</v>
      </c>
      <c r="J22" s="64">
        <v>7.0000000000000007E-2</v>
      </c>
      <c r="K22" s="64">
        <v>94.51</v>
      </c>
      <c r="L22" s="64">
        <v>18.97</v>
      </c>
      <c r="M22" s="64">
        <v>79.42</v>
      </c>
      <c r="N22" s="64">
        <v>21.5</v>
      </c>
      <c r="O22" s="64">
        <v>0</v>
      </c>
      <c r="P22" s="64">
        <v>0.82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4" t="s">
        <v>550</v>
      </c>
      <c r="B23" s="64">
        <v>3.16</v>
      </c>
      <c r="C23" s="64">
        <v>41.67</v>
      </c>
      <c r="D23" s="64">
        <v>26.18</v>
      </c>
      <c r="E23" s="64">
        <v>2.2000000000000002</v>
      </c>
      <c r="F23" s="64">
        <v>3.75</v>
      </c>
      <c r="G23" s="64">
        <v>58.3</v>
      </c>
      <c r="H23" s="64">
        <v>31.22</v>
      </c>
      <c r="I23" s="64">
        <v>1.49</v>
      </c>
      <c r="J23" s="64">
        <v>0.15</v>
      </c>
      <c r="K23" s="64">
        <v>84.43</v>
      </c>
      <c r="L23" s="64">
        <v>19.239999999999998</v>
      </c>
      <c r="M23" s="64">
        <v>78.260000000000005</v>
      </c>
      <c r="N23" s="64">
        <v>21.7</v>
      </c>
      <c r="O23" s="64">
        <v>0</v>
      </c>
      <c r="P23" s="64">
        <v>0.82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4" t="s">
        <v>551</v>
      </c>
      <c r="B24" s="64">
        <v>3.17</v>
      </c>
      <c r="C24" s="64">
        <v>41.85</v>
      </c>
      <c r="D24" s="64">
        <v>26.29</v>
      </c>
      <c r="E24" s="64">
        <v>2</v>
      </c>
      <c r="F24" s="64">
        <v>3.55</v>
      </c>
      <c r="G24" s="64">
        <v>60.56</v>
      </c>
      <c r="H24" s="64">
        <v>33.69</v>
      </c>
      <c r="I24" s="64">
        <v>1.45</v>
      </c>
      <c r="J24" s="64">
        <v>0.05</v>
      </c>
      <c r="K24" s="64">
        <v>86.41</v>
      </c>
      <c r="L24" s="64">
        <v>19.27</v>
      </c>
      <c r="M24" s="64">
        <v>78.8</v>
      </c>
      <c r="N24" s="64">
        <v>21.9</v>
      </c>
      <c r="O24" s="64">
        <v>0</v>
      </c>
      <c r="P24" s="64">
        <v>0.82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4" t="s">
        <v>552</v>
      </c>
      <c r="B25" s="64">
        <v>3.3</v>
      </c>
      <c r="C25" s="64">
        <v>42.44</v>
      </c>
      <c r="D25" s="64">
        <v>26.72</v>
      </c>
      <c r="E25" s="64">
        <v>2.0699999999999998</v>
      </c>
      <c r="F25" s="64">
        <v>3.57</v>
      </c>
      <c r="G25" s="64">
        <v>60.56</v>
      </c>
      <c r="H25" s="64">
        <v>33.69</v>
      </c>
      <c r="I25" s="64">
        <v>1.54</v>
      </c>
      <c r="J25" s="64">
        <v>0.19</v>
      </c>
      <c r="K25" s="64">
        <v>322.99</v>
      </c>
      <c r="L25" s="64">
        <v>19.27</v>
      </c>
      <c r="M25" s="64">
        <v>79.02</v>
      </c>
      <c r="N25" s="64">
        <v>21.9</v>
      </c>
      <c r="O25" s="64">
        <v>0</v>
      </c>
      <c r="P25" s="64">
        <v>0.82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553</v>
      </c>
      <c r="B26" s="64">
        <v>3.67</v>
      </c>
      <c r="C26" s="64">
        <v>42.85</v>
      </c>
      <c r="D26" s="64">
        <v>27.24</v>
      </c>
      <c r="E26" s="64">
        <v>2.0499999999999998</v>
      </c>
      <c r="F26" s="64">
        <v>3.38</v>
      </c>
      <c r="G26" s="64">
        <v>60.56</v>
      </c>
      <c r="H26" s="64">
        <v>33.69</v>
      </c>
      <c r="I26" s="64">
        <v>1.46</v>
      </c>
      <c r="J26" s="64">
        <v>0.38</v>
      </c>
      <c r="K26" s="64">
        <v>345.74</v>
      </c>
      <c r="L26" s="64">
        <v>19.16</v>
      </c>
      <c r="M26" s="64">
        <v>79.61</v>
      </c>
      <c r="N26" s="64">
        <v>22.1</v>
      </c>
      <c r="O26" s="64">
        <v>0</v>
      </c>
      <c r="P26" s="64">
        <v>0.82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4" t="s">
        <v>554</v>
      </c>
      <c r="B27" s="64">
        <v>4.1500000000000004</v>
      </c>
      <c r="C27" s="64">
        <v>43.18</v>
      </c>
      <c r="D27" s="64">
        <v>27.8</v>
      </c>
      <c r="E27" s="64">
        <v>2.0499999999999998</v>
      </c>
      <c r="F27" s="64">
        <v>3.44</v>
      </c>
      <c r="G27" s="64">
        <v>60.46</v>
      </c>
      <c r="H27" s="64">
        <v>33.64</v>
      </c>
      <c r="I27" s="64">
        <v>1.5</v>
      </c>
      <c r="J27" s="64">
        <v>0.55000000000000004</v>
      </c>
      <c r="K27" s="64">
        <v>340.97</v>
      </c>
      <c r="L27" s="64">
        <v>18.89</v>
      </c>
      <c r="M27" s="64">
        <v>80.319999999999993</v>
      </c>
      <c r="N27" s="64">
        <v>22.6</v>
      </c>
      <c r="O27" s="64">
        <v>0</v>
      </c>
      <c r="P27" s="64">
        <v>0.83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555</v>
      </c>
      <c r="B28" s="64">
        <v>4.6500000000000004</v>
      </c>
      <c r="C28" s="64">
        <v>44.12</v>
      </c>
      <c r="D28" s="64">
        <v>28.73</v>
      </c>
      <c r="E28" s="64">
        <v>2.1</v>
      </c>
      <c r="F28" s="64">
        <v>3.67</v>
      </c>
      <c r="G28" s="64">
        <v>60.06</v>
      </c>
      <c r="H28" s="64">
        <v>33.44</v>
      </c>
      <c r="I28" s="64">
        <v>1.6</v>
      </c>
      <c r="J28" s="64">
        <v>0.19</v>
      </c>
      <c r="K28" s="64">
        <v>350.69</v>
      </c>
      <c r="L28" s="64">
        <v>18.510000000000002</v>
      </c>
      <c r="M28" s="64">
        <v>82.13</v>
      </c>
      <c r="N28" s="64">
        <v>22.3</v>
      </c>
      <c r="O28" s="64">
        <v>0</v>
      </c>
      <c r="P28" s="64">
        <v>0.82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4" t="s">
        <v>556</v>
      </c>
      <c r="B29" s="64">
        <v>5.07</v>
      </c>
      <c r="C29" s="64">
        <v>44.51</v>
      </c>
      <c r="D29" s="64">
        <v>29.28</v>
      </c>
      <c r="E29" s="64">
        <v>2.14</v>
      </c>
      <c r="F29" s="64">
        <v>3.23</v>
      </c>
      <c r="G29" s="64">
        <v>60.06</v>
      </c>
      <c r="H29" s="64">
        <v>33.44</v>
      </c>
      <c r="I29" s="64">
        <v>1.5</v>
      </c>
      <c r="J29" s="64">
        <v>0.12</v>
      </c>
      <c r="K29" s="64">
        <v>41.96</v>
      </c>
      <c r="L29" s="64">
        <v>18.23</v>
      </c>
      <c r="M29" s="64">
        <v>83.48</v>
      </c>
      <c r="N29" s="64">
        <v>22.2</v>
      </c>
      <c r="O29" s="64">
        <v>0</v>
      </c>
      <c r="P29" s="64">
        <v>0.83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4" t="s">
        <v>557</v>
      </c>
      <c r="B30" s="64">
        <v>5.5</v>
      </c>
      <c r="C30" s="64">
        <v>44.7</v>
      </c>
      <c r="D30" s="64">
        <v>29.72</v>
      </c>
      <c r="E30" s="64">
        <v>2.08</v>
      </c>
      <c r="F30" s="64">
        <v>3.56</v>
      </c>
      <c r="G30" s="64">
        <v>60.06</v>
      </c>
      <c r="H30" s="64">
        <v>33.44</v>
      </c>
      <c r="I30" s="64">
        <v>1.49</v>
      </c>
      <c r="J30" s="64">
        <v>0.16</v>
      </c>
      <c r="K30" s="64">
        <v>338.35</v>
      </c>
      <c r="L30" s="64">
        <v>18.079999999999998</v>
      </c>
      <c r="M30" s="64">
        <v>83.96</v>
      </c>
      <c r="N30" s="64">
        <v>22.2</v>
      </c>
      <c r="O30" s="64">
        <v>0</v>
      </c>
      <c r="P30" s="64">
        <v>0.84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4" t="s">
        <v>558</v>
      </c>
      <c r="B31" s="64">
        <v>5.83</v>
      </c>
      <c r="C31" s="64">
        <v>45.11</v>
      </c>
      <c r="D31" s="64">
        <v>30.21</v>
      </c>
      <c r="E31" s="64">
        <v>2.19</v>
      </c>
      <c r="F31" s="64">
        <v>3.57</v>
      </c>
      <c r="G31" s="64">
        <v>62.03</v>
      </c>
      <c r="H31" s="64">
        <v>33.26</v>
      </c>
      <c r="I31" s="64">
        <v>1.43</v>
      </c>
      <c r="J31" s="64">
        <v>0.22</v>
      </c>
      <c r="K31" s="64">
        <v>98.7</v>
      </c>
      <c r="L31" s="64">
        <v>17.899999999999999</v>
      </c>
      <c r="M31" s="64">
        <v>85</v>
      </c>
      <c r="N31" s="64">
        <v>22.2</v>
      </c>
      <c r="O31" s="64">
        <v>0</v>
      </c>
      <c r="P31" s="64">
        <v>0.84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4" t="s">
        <v>559</v>
      </c>
      <c r="B32" s="64">
        <v>6.14</v>
      </c>
      <c r="C32" s="64">
        <v>45.1</v>
      </c>
      <c r="D32" s="64">
        <v>30.46</v>
      </c>
      <c r="E32" s="64">
        <v>2.14</v>
      </c>
      <c r="F32" s="64">
        <v>3.2</v>
      </c>
      <c r="G32" s="64">
        <v>69.900000000000006</v>
      </c>
      <c r="H32" s="64">
        <v>32.76</v>
      </c>
      <c r="I32" s="64">
        <v>1.48</v>
      </c>
      <c r="J32" s="64">
        <v>0.23</v>
      </c>
      <c r="K32" s="64">
        <v>98.57</v>
      </c>
      <c r="L32" s="64">
        <v>17.77</v>
      </c>
      <c r="M32" s="64">
        <v>85.91</v>
      </c>
      <c r="N32" s="64">
        <v>22.2</v>
      </c>
      <c r="O32" s="64">
        <v>0</v>
      </c>
      <c r="P32" s="64">
        <v>0.83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4" t="s">
        <v>560</v>
      </c>
      <c r="B33" s="64">
        <v>6.46</v>
      </c>
      <c r="C33" s="64">
        <v>45.01</v>
      </c>
      <c r="D33" s="64">
        <v>30.67</v>
      </c>
      <c r="E33" s="64">
        <v>2.16</v>
      </c>
      <c r="F33" s="64">
        <v>3.34</v>
      </c>
      <c r="G33" s="64">
        <v>69.900000000000006</v>
      </c>
      <c r="H33" s="64">
        <v>32.76</v>
      </c>
      <c r="I33" s="64">
        <v>1.5</v>
      </c>
      <c r="J33" s="64">
        <v>0.11</v>
      </c>
      <c r="K33" s="64">
        <v>72</v>
      </c>
      <c r="L33" s="64">
        <v>17.61</v>
      </c>
      <c r="M33" s="64">
        <v>87.24</v>
      </c>
      <c r="N33" s="64">
        <v>22.6</v>
      </c>
      <c r="O33" s="64">
        <v>0</v>
      </c>
      <c r="P33" s="64">
        <v>0.83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4" t="s">
        <v>561</v>
      </c>
      <c r="B34" s="64">
        <v>6.96</v>
      </c>
      <c r="C34" s="64">
        <v>45.18</v>
      </c>
      <c r="D34" s="64">
        <v>31.16</v>
      </c>
      <c r="E34" s="64">
        <v>2.13</v>
      </c>
      <c r="F34" s="64">
        <v>3.37</v>
      </c>
      <c r="G34" s="64">
        <v>69.900000000000006</v>
      </c>
      <c r="H34" s="64">
        <v>32.76</v>
      </c>
      <c r="I34" s="64">
        <v>1.49</v>
      </c>
      <c r="J34" s="64">
        <v>0.12</v>
      </c>
      <c r="K34" s="64">
        <v>90.23</v>
      </c>
      <c r="L34" s="64">
        <v>17.489999999999998</v>
      </c>
      <c r="M34" s="64">
        <v>88.48</v>
      </c>
      <c r="N34" s="64">
        <v>25.6</v>
      </c>
      <c r="O34" s="64">
        <v>0</v>
      </c>
      <c r="P34" s="64">
        <v>0.83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4" t="s">
        <v>562</v>
      </c>
      <c r="B35" s="64">
        <v>7.51</v>
      </c>
      <c r="C35" s="64">
        <v>45.55</v>
      </c>
      <c r="D35" s="64">
        <v>31.8</v>
      </c>
      <c r="E35" s="64">
        <v>2.13</v>
      </c>
      <c r="F35" s="64">
        <v>3.45</v>
      </c>
      <c r="G35" s="64">
        <v>70.39</v>
      </c>
      <c r="H35" s="64">
        <v>32.880000000000003</v>
      </c>
      <c r="I35" s="64">
        <v>1.36</v>
      </c>
      <c r="J35" s="64">
        <v>0.55000000000000004</v>
      </c>
      <c r="K35" s="64">
        <v>107.14</v>
      </c>
      <c r="L35" s="64">
        <v>17.43</v>
      </c>
      <c r="M35" s="64">
        <v>89.37</v>
      </c>
      <c r="N35" s="64">
        <v>35.9</v>
      </c>
      <c r="O35" s="64">
        <v>0</v>
      </c>
      <c r="P35" s="64">
        <v>0.83</v>
      </c>
      <c r="Q35" s="64">
        <v>5.12</v>
      </c>
      <c r="R35" s="198"/>
      <c r="S35" s="198"/>
      <c r="T35" s="198"/>
      <c r="U35" s="198"/>
    </row>
    <row r="36" spans="1:21" s="12" customFormat="1" x14ac:dyDescent="0.25">
      <c r="A36" s="214" t="s">
        <v>563</v>
      </c>
      <c r="B36" s="64">
        <v>7.86</v>
      </c>
      <c r="C36" s="64">
        <v>45.75</v>
      </c>
      <c r="D36" s="64">
        <v>32.19</v>
      </c>
      <c r="E36" s="64">
        <v>2.14</v>
      </c>
      <c r="F36" s="64">
        <v>3.4</v>
      </c>
      <c r="G36" s="64">
        <v>72.39</v>
      </c>
      <c r="H36" s="64">
        <v>33.229999999999997</v>
      </c>
      <c r="I36" s="64">
        <v>1.51</v>
      </c>
      <c r="J36" s="64">
        <v>0.37</v>
      </c>
      <c r="K36" s="64">
        <v>95.88</v>
      </c>
      <c r="L36" s="64">
        <v>17.57</v>
      </c>
      <c r="M36" s="64">
        <v>88.99</v>
      </c>
      <c r="N36" s="64">
        <v>50.4</v>
      </c>
      <c r="O36" s="64">
        <v>0</v>
      </c>
      <c r="P36" s="64">
        <v>0.83</v>
      </c>
      <c r="Q36" s="64">
        <v>5</v>
      </c>
      <c r="R36" s="198"/>
      <c r="S36" s="198"/>
      <c r="T36" s="198"/>
      <c r="U36" s="198"/>
    </row>
    <row r="37" spans="1:21" s="12" customFormat="1" x14ac:dyDescent="0.25">
      <c r="A37" s="214" t="s">
        <v>564</v>
      </c>
      <c r="B37" s="64">
        <v>8.42</v>
      </c>
      <c r="C37" s="64">
        <v>45.6</v>
      </c>
      <c r="D37" s="64">
        <v>32.57</v>
      </c>
      <c r="E37" s="64">
        <v>2.12</v>
      </c>
      <c r="F37" s="64">
        <v>3.46</v>
      </c>
      <c r="G37" s="64">
        <v>72.39</v>
      </c>
      <c r="H37" s="64">
        <v>33.229999999999997</v>
      </c>
      <c r="I37" s="64">
        <v>1.55</v>
      </c>
      <c r="J37" s="64">
        <v>0.35</v>
      </c>
      <c r="K37" s="64">
        <v>101.48</v>
      </c>
      <c r="L37" s="64">
        <v>17.97</v>
      </c>
      <c r="M37" s="64">
        <v>87.07</v>
      </c>
      <c r="N37" s="64">
        <v>62.1</v>
      </c>
      <c r="O37" s="64">
        <v>0</v>
      </c>
      <c r="P37" s="64">
        <v>0.8</v>
      </c>
      <c r="Q37" s="64">
        <v>4.88</v>
      </c>
      <c r="R37" s="198"/>
      <c r="S37" s="198"/>
      <c r="T37" s="198"/>
      <c r="U37" s="198"/>
    </row>
    <row r="38" spans="1:21" s="12" customFormat="1" x14ac:dyDescent="0.25">
      <c r="A38" s="214" t="s">
        <v>565</v>
      </c>
      <c r="B38" s="64">
        <v>8.9600000000000009</v>
      </c>
      <c r="C38" s="64">
        <v>44.6</v>
      </c>
      <c r="D38" s="64">
        <v>32.450000000000003</v>
      </c>
      <c r="E38" s="64">
        <v>2.13</v>
      </c>
      <c r="F38" s="64">
        <v>3.35</v>
      </c>
      <c r="G38" s="64">
        <v>72.39</v>
      </c>
      <c r="H38" s="64">
        <v>33.229999999999997</v>
      </c>
      <c r="I38" s="64">
        <v>1.48</v>
      </c>
      <c r="J38" s="64">
        <v>0.18</v>
      </c>
      <c r="K38" s="64">
        <v>97.63</v>
      </c>
      <c r="L38" s="64">
        <v>18.32</v>
      </c>
      <c r="M38" s="64">
        <v>86.07</v>
      </c>
      <c r="N38" s="64">
        <v>74.8</v>
      </c>
      <c r="O38" s="64">
        <v>0</v>
      </c>
      <c r="P38" s="64">
        <v>0.84</v>
      </c>
      <c r="Q38" s="64">
        <v>4.92</v>
      </c>
      <c r="R38" s="198"/>
      <c r="S38" s="198"/>
      <c r="T38" s="198"/>
      <c r="U38" s="198"/>
    </row>
    <row r="39" spans="1:21" s="12" customFormat="1" x14ac:dyDescent="0.25">
      <c r="A39" s="214" t="s">
        <v>566</v>
      </c>
      <c r="B39" s="64">
        <v>9.84</v>
      </c>
      <c r="C39" s="64">
        <v>44.52</v>
      </c>
      <c r="D39" s="64">
        <v>33.11</v>
      </c>
      <c r="E39" s="64">
        <v>2.15</v>
      </c>
      <c r="F39" s="64">
        <v>3.45</v>
      </c>
      <c r="G39" s="64">
        <v>71.849999999999994</v>
      </c>
      <c r="H39" s="64">
        <v>33.69</v>
      </c>
      <c r="I39" s="64">
        <v>1.56</v>
      </c>
      <c r="J39" s="64">
        <v>7.0000000000000007E-2</v>
      </c>
      <c r="K39" s="64">
        <v>26.98</v>
      </c>
      <c r="L39" s="64">
        <v>18.690000000000001</v>
      </c>
      <c r="M39" s="64">
        <v>84.33</v>
      </c>
      <c r="N39" s="64">
        <v>76.900000000000006</v>
      </c>
      <c r="O39" s="64">
        <v>0</v>
      </c>
      <c r="P39" s="64">
        <v>0.86</v>
      </c>
      <c r="Q39" s="64">
        <v>5.0199999999999996</v>
      </c>
      <c r="R39" s="198"/>
      <c r="S39" s="198"/>
      <c r="T39" s="198"/>
      <c r="U39" s="198"/>
    </row>
    <row r="40" spans="1:21" s="12" customFormat="1" x14ac:dyDescent="0.25">
      <c r="A40" s="214" t="s">
        <v>567</v>
      </c>
      <c r="B40" s="64">
        <v>10.89</v>
      </c>
      <c r="C40" s="64">
        <v>46.19</v>
      </c>
      <c r="D40" s="64">
        <v>34.869999999999997</v>
      </c>
      <c r="E40" s="64">
        <v>2.13</v>
      </c>
      <c r="F40" s="64">
        <v>3.38</v>
      </c>
      <c r="G40" s="64">
        <v>69.69</v>
      </c>
      <c r="H40" s="64">
        <v>34.96</v>
      </c>
      <c r="I40" s="64">
        <v>1.54</v>
      </c>
      <c r="J40" s="64">
        <v>0.09</v>
      </c>
      <c r="K40" s="64">
        <v>49.15</v>
      </c>
      <c r="L40" s="64">
        <v>18.88</v>
      </c>
      <c r="M40" s="64">
        <v>83.49</v>
      </c>
      <c r="N40" s="64">
        <v>114.1</v>
      </c>
      <c r="O40" s="64">
        <v>0</v>
      </c>
      <c r="P40" s="64">
        <v>0.88</v>
      </c>
      <c r="Q40" s="64">
        <v>5.0599999999999996</v>
      </c>
      <c r="R40" s="198"/>
      <c r="S40" s="198"/>
      <c r="T40" s="198"/>
      <c r="U40" s="198"/>
    </row>
    <row r="41" spans="1:21" s="12" customFormat="1" x14ac:dyDescent="0.25">
      <c r="A41" s="214" t="s">
        <v>568</v>
      </c>
      <c r="B41" s="64">
        <v>11.72</v>
      </c>
      <c r="C41" s="64">
        <v>46.39</v>
      </c>
      <c r="D41" s="64">
        <v>35.65</v>
      </c>
      <c r="E41" s="64">
        <v>2.1</v>
      </c>
      <c r="F41" s="64">
        <v>3.42</v>
      </c>
      <c r="G41" s="64">
        <v>69.69</v>
      </c>
      <c r="H41" s="64">
        <v>34.96</v>
      </c>
      <c r="I41" s="64">
        <v>1.56</v>
      </c>
      <c r="J41" s="64">
        <v>0.19</v>
      </c>
      <c r="K41" s="64">
        <v>100.29</v>
      </c>
      <c r="L41" s="64">
        <v>19.350000000000001</v>
      </c>
      <c r="M41" s="64">
        <v>81.52</v>
      </c>
      <c r="N41" s="64">
        <v>160</v>
      </c>
      <c r="O41" s="64">
        <v>0</v>
      </c>
      <c r="P41" s="64">
        <v>0.9</v>
      </c>
      <c r="Q41" s="64">
        <v>5.15</v>
      </c>
      <c r="R41" s="198"/>
      <c r="S41" s="198"/>
      <c r="T41" s="198"/>
      <c r="U41" s="198"/>
    </row>
    <row r="42" spans="1:21" s="12" customFormat="1" x14ac:dyDescent="0.25">
      <c r="A42" s="214" t="s">
        <v>569</v>
      </c>
      <c r="B42" s="64">
        <v>12.27</v>
      </c>
      <c r="C42" s="64">
        <v>46.97</v>
      </c>
      <c r="D42" s="64">
        <v>36.409999999999997</v>
      </c>
      <c r="E42" s="64">
        <v>2.17</v>
      </c>
      <c r="F42" s="64">
        <v>3.39</v>
      </c>
      <c r="G42" s="64">
        <v>69.69</v>
      </c>
      <c r="H42" s="64">
        <v>34.96</v>
      </c>
      <c r="I42" s="64">
        <v>1.51</v>
      </c>
      <c r="J42" s="64">
        <v>0.13</v>
      </c>
      <c r="K42" s="64">
        <v>74.11</v>
      </c>
      <c r="L42" s="64">
        <v>19.77</v>
      </c>
      <c r="M42" s="64">
        <v>80.040000000000006</v>
      </c>
      <c r="N42" s="64">
        <v>190.6</v>
      </c>
      <c r="O42" s="64">
        <v>0</v>
      </c>
      <c r="P42" s="64">
        <v>0.91</v>
      </c>
      <c r="Q42" s="64">
        <v>5.17</v>
      </c>
      <c r="R42" s="198"/>
      <c r="S42" s="198"/>
      <c r="T42" s="198"/>
      <c r="U42" s="198"/>
    </row>
    <row r="43" spans="1:21" s="12" customFormat="1" x14ac:dyDescent="0.25">
      <c r="A43" s="214" t="s">
        <v>570</v>
      </c>
      <c r="B43" s="64">
        <v>13.1</v>
      </c>
      <c r="C43" s="64">
        <v>47.86</v>
      </c>
      <c r="D43" s="64">
        <v>37.57</v>
      </c>
      <c r="E43" s="64">
        <v>2.15</v>
      </c>
      <c r="F43" s="64">
        <v>3.34</v>
      </c>
      <c r="G43" s="64">
        <v>70.239999999999995</v>
      </c>
      <c r="H43" s="64">
        <v>32.729999999999997</v>
      </c>
      <c r="I43" s="64">
        <v>1.48</v>
      </c>
      <c r="J43" s="64">
        <v>0.26</v>
      </c>
      <c r="K43" s="64">
        <v>9.3000000000000007</v>
      </c>
      <c r="L43" s="64">
        <v>20.7</v>
      </c>
      <c r="M43" s="64">
        <v>76.209999999999994</v>
      </c>
      <c r="N43" s="64">
        <v>249.8</v>
      </c>
      <c r="O43" s="64">
        <v>0</v>
      </c>
      <c r="P43" s="64">
        <v>0.93</v>
      </c>
      <c r="Q43" s="64">
        <v>5.2</v>
      </c>
      <c r="R43" s="198"/>
      <c r="S43" s="198"/>
      <c r="T43" s="198"/>
      <c r="U43" s="198"/>
    </row>
    <row r="44" spans="1:21" s="12" customFormat="1" x14ac:dyDescent="0.25">
      <c r="A44" s="214" t="s">
        <v>571</v>
      </c>
      <c r="B44" s="64">
        <v>13.8</v>
      </c>
      <c r="C44" s="64">
        <v>48.62</v>
      </c>
      <c r="D44" s="64">
        <v>38.54</v>
      </c>
      <c r="E44" s="64">
        <v>2.11</v>
      </c>
      <c r="F44" s="64">
        <v>3.37</v>
      </c>
      <c r="G44" s="64">
        <v>72.430000000000007</v>
      </c>
      <c r="H44" s="64">
        <v>22.79</v>
      </c>
      <c r="I44" s="64">
        <v>1.43</v>
      </c>
      <c r="J44" s="64">
        <v>0.2</v>
      </c>
      <c r="K44" s="64">
        <v>28.58</v>
      </c>
      <c r="L44" s="64">
        <v>21.34</v>
      </c>
      <c r="M44" s="64">
        <v>73.989999999999995</v>
      </c>
      <c r="N44" s="64">
        <v>249.6</v>
      </c>
      <c r="O44" s="64">
        <v>0</v>
      </c>
      <c r="P44" s="64">
        <v>0.96</v>
      </c>
      <c r="Q44" s="64">
        <v>5.31</v>
      </c>
      <c r="R44" s="198"/>
      <c r="S44" s="198"/>
      <c r="T44" s="198"/>
      <c r="U44" s="198"/>
    </row>
    <row r="45" spans="1:21" s="12" customFormat="1" x14ac:dyDescent="0.25">
      <c r="A45" s="214" t="s">
        <v>572</v>
      </c>
      <c r="B45" s="64">
        <v>14.3</v>
      </c>
      <c r="C45" s="64">
        <v>48.63</v>
      </c>
      <c r="D45" s="64">
        <v>38.950000000000003</v>
      </c>
      <c r="E45" s="64">
        <v>2.15</v>
      </c>
      <c r="F45" s="64">
        <v>3.4</v>
      </c>
      <c r="G45" s="64">
        <v>72.430000000000007</v>
      </c>
      <c r="H45" s="64">
        <v>22.79</v>
      </c>
      <c r="I45" s="64">
        <v>1.48</v>
      </c>
      <c r="J45" s="64">
        <v>0.61</v>
      </c>
      <c r="K45" s="64">
        <v>334.68</v>
      </c>
      <c r="L45" s="64">
        <v>22.1</v>
      </c>
      <c r="M45" s="64">
        <v>70.44</v>
      </c>
      <c r="N45" s="64">
        <v>259.39999999999998</v>
      </c>
      <c r="O45" s="64">
        <v>0</v>
      </c>
      <c r="P45" s="64">
        <v>0.97</v>
      </c>
      <c r="Q45" s="64">
        <v>5.37</v>
      </c>
      <c r="R45" s="198"/>
      <c r="S45" s="198"/>
      <c r="T45" s="198"/>
      <c r="U45" s="198"/>
    </row>
    <row r="46" spans="1:21" s="12" customFormat="1" x14ac:dyDescent="0.25">
      <c r="A46" s="214" t="s">
        <v>573</v>
      </c>
      <c r="B46" s="64">
        <v>14.6</v>
      </c>
      <c r="C46" s="64">
        <v>48.46</v>
      </c>
      <c r="D46" s="64">
        <v>39.090000000000003</v>
      </c>
      <c r="E46" s="64">
        <v>2.15</v>
      </c>
      <c r="F46" s="64">
        <v>3.28</v>
      </c>
      <c r="G46" s="64">
        <v>72.430000000000007</v>
      </c>
      <c r="H46" s="64">
        <v>22.79</v>
      </c>
      <c r="I46" s="64">
        <v>1.49</v>
      </c>
      <c r="J46" s="64">
        <v>0.59</v>
      </c>
      <c r="K46" s="64">
        <v>336.11</v>
      </c>
      <c r="L46" s="64">
        <v>22.36</v>
      </c>
      <c r="M46" s="64">
        <v>70.23</v>
      </c>
      <c r="N46" s="64">
        <v>209.3</v>
      </c>
      <c r="O46" s="64">
        <v>0</v>
      </c>
      <c r="P46" s="64">
        <v>0.99</v>
      </c>
      <c r="Q46" s="64">
        <v>5.46</v>
      </c>
      <c r="R46" s="198"/>
      <c r="S46" s="198"/>
      <c r="T46" s="198"/>
      <c r="U46" s="198"/>
    </row>
    <row r="47" spans="1:21" s="12" customFormat="1" x14ac:dyDescent="0.25">
      <c r="A47" s="214" t="s">
        <v>574</v>
      </c>
      <c r="B47" s="64">
        <v>14.5</v>
      </c>
      <c r="C47" s="64">
        <v>49.63</v>
      </c>
      <c r="D47" s="64">
        <v>39.659999999999997</v>
      </c>
      <c r="E47" s="64">
        <v>2.1800000000000002</v>
      </c>
      <c r="F47" s="64">
        <v>3.34</v>
      </c>
      <c r="G47" s="64">
        <v>73.260000000000005</v>
      </c>
      <c r="H47" s="64">
        <v>23.54</v>
      </c>
      <c r="I47" s="64">
        <v>1.53</v>
      </c>
      <c r="J47" s="64">
        <v>0.72</v>
      </c>
      <c r="K47" s="64">
        <v>343.48</v>
      </c>
      <c r="L47" s="64">
        <v>22.09</v>
      </c>
      <c r="M47" s="64">
        <v>72.37</v>
      </c>
      <c r="N47" s="64">
        <v>166.2</v>
      </c>
      <c r="O47" s="64">
        <v>0</v>
      </c>
      <c r="P47" s="210" t="s">
        <v>36</v>
      </c>
      <c r="Q47" s="216">
        <v>5.46</v>
      </c>
      <c r="R47" s="198"/>
      <c r="S47" s="198"/>
      <c r="T47" s="198"/>
      <c r="U47" s="198"/>
    </row>
    <row r="48" spans="1:21" s="12" customFormat="1" x14ac:dyDescent="0.25">
      <c r="A48" s="214" t="s">
        <v>575</v>
      </c>
      <c r="B48" s="64">
        <v>14.55</v>
      </c>
      <c r="C48" s="64">
        <v>50.41</v>
      </c>
      <c r="D48" s="64">
        <v>40.130000000000003</v>
      </c>
      <c r="E48" s="64">
        <v>2.14</v>
      </c>
      <c r="F48" s="64">
        <v>3.29</v>
      </c>
      <c r="G48" s="64">
        <v>76.58</v>
      </c>
      <c r="H48" s="64">
        <v>25.56</v>
      </c>
      <c r="I48" s="64">
        <v>1.58</v>
      </c>
      <c r="J48" s="64">
        <v>0.49</v>
      </c>
      <c r="K48" s="64">
        <v>334.19</v>
      </c>
      <c r="L48" s="64">
        <v>21.87</v>
      </c>
      <c r="M48" s="64">
        <v>73.91</v>
      </c>
      <c r="N48" s="64">
        <v>123</v>
      </c>
      <c r="O48" s="64">
        <v>0</v>
      </c>
      <c r="P48" s="210" t="s">
        <v>36</v>
      </c>
      <c r="Q48" s="216">
        <v>5.5</v>
      </c>
      <c r="R48" s="198"/>
      <c r="S48" s="198"/>
      <c r="T48" s="198"/>
      <c r="U48" s="198"/>
    </row>
    <row r="49" spans="1:21" s="12" customFormat="1" x14ac:dyDescent="0.25">
      <c r="A49" s="214" t="s">
        <v>576</v>
      </c>
      <c r="B49" s="64">
        <v>14.61</v>
      </c>
      <c r="C49" s="64">
        <v>50.48</v>
      </c>
      <c r="D49" s="64">
        <v>40.22</v>
      </c>
      <c r="E49" s="64">
        <v>2.1800000000000002</v>
      </c>
      <c r="F49" s="64">
        <v>3.4</v>
      </c>
      <c r="G49" s="64">
        <v>76.58</v>
      </c>
      <c r="H49" s="64">
        <v>25.56</v>
      </c>
      <c r="I49" s="64">
        <v>1.45</v>
      </c>
      <c r="J49" s="64">
        <v>0.82</v>
      </c>
      <c r="K49" s="64">
        <v>344.81</v>
      </c>
      <c r="L49" s="64">
        <v>21.89</v>
      </c>
      <c r="M49" s="64">
        <v>74.22</v>
      </c>
      <c r="N49" s="64">
        <v>126.6</v>
      </c>
      <c r="O49" s="64">
        <v>0</v>
      </c>
      <c r="P49" s="210" t="s">
        <v>36</v>
      </c>
      <c r="Q49" s="216">
        <v>5.55</v>
      </c>
      <c r="R49" s="198"/>
      <c r="S49" s="198"/>
      <c r="T49" s="198"/>
      <c r="U49" s="198"/>
    </row>
    <row r="50" spans="1:21" s="12" customFormat="1" x14ac:dyDescent="0.25">
      <c r="A50" s="214" t="s">
        <v>577</v>
      </c>
      <c r="B50" s="64">
        <v>14.87</v>
      </c>
      <c r="C50" s="64">
        <v>51.77</v>
      </c>
      <c r="D50" s="64">
        <v>41.14</v>
      </c>
      <c r="E50" s="64">
        <v>2.15</v>
      </c>
      <c r="F50" s="64">
        <v>3.3</v>
      </c>
      <c r="G50" s="64">
        <v>76.58</v>
      </c>
      <c r="H50" s="64">
        <v>25.56</v>
      </c>
      <c r="I50" s="64">
        <v>1.48</v>
      </c>
      <c r="J50" s="64">
        <v>0.57999999999999996</v>
      </c>
      <c r="K50" s="64">
        <v>342.49</v>
      </c>
      <c r="L50" s="64">
        <v>22.13</v>
      </c>
      <c r="M50" s="64">
        <v>72.86</v>
      </c>
      <c r="N50" s="64">
        <v>153.69999999999999</v>
      </c>
      <c r="O50" s="64">
        <v>0</v>
      </c>
      <c r="P50" s="210" t="s">
        <v>36</v>
      </c>
      <c r="Q50" s="216">
        <v>5.58</v>
      </c>
      <c r="R50" s="198"/>
      <c r="S50" s="198"/>
      <c r="T50" s="198"/>
      <c r="U50" s="198"/>
    </row>
    <row r="51" spans="1:21" s="12" customFormat="1" x14ac:dyDescent="0.25">
      <c r="A51" s="214" t="s">
        <v>578</v>
      </c>
      <c r="B51" s="64">
        <v>15.65</v>
      </c>
      <c r="C51" s="64">
        <v>53.35</v>
      </c>
      <c r="D51" s="64">
        <v>42.63</v>
      </c>
      <c r="E51" s="64">
        <v>2.1800000000000002</v>
      </c>
      <c r="F51" s="64">
        <v>3.28</v>
      </c>
      <c r="G51" s="64">
        <v>77.8</v>
      </c>
      <c r="H51" s="64">
        <v>26.61</v>
      </c>
      <c r="I51" s="64">
        <v>1.52</v>
      </c>
      <c r="J51" s="64">
        <v>0.95</v>
      </c>
      <c r="K51" s="64">
        <v>344.68</v>
      </c>
      <c r="L51" s="64">
        <v>22.84</v>
      </c>
      <c r="M51" s="64">
        <v>70.08</v>
      </c>
      <c r="N51" s="64">
        <v>211.3</v>
      </c>
      <c r="O51" s="64">
        <v>0</v>
      </c>
      <c r="P51" s="210" t="s">
        <v>36</v>
      </c>
      <c r="Q51" s="216">
        <v>5.7</v>
      </c>
      <c r="R51" s="198"/>
      <c r="S51" s="198"/>
      <c r="T51" s="198"/>
      <c r="U51" s="198"/>
    </row>
    <row r="52" spans="1:21" s="12" customFormat="1" x14ac:dyDescent="0.25">
      <c r="A52" s="214" t="s">
        <v>579</v>
      </c>
      <c r="B52" s="64">
        <v>16.16</v>
      </c>
      <c r="C52" s="64">
        <v>57.41</v>
      </c>
      <c r="D52" s="64">
        <v>45.29</v>
      </c>
      <c r="E52" s="64">
        <v>2.2200000000000002</v>
      </c>
      <c r="F52" s="64">
        <v>3.56</v>
      </c>
      <c r="G52" s="64">
        <v>82.66</v>
      </c>
      <c r="H52" s="64">
        <v>29.46</v>
      </c>
      <c r="I52" s="64">
        <v>1.42</v>
      </c>
      <c r="J52" s="64">
        <v>0.67</v>
      </c>
      <c r="K52" s="64">
        <v>340.31</v>
      </c>
      <c r="L52" s="64">
        <v>23.36</v>
      </c>
      <c r="M52" s="64">
        <v>67.400000000000006</v>
      </c>
      <c r="N52" s="64">
        <v>217.1</v>
      </c>
      <c r="O52" s="64">
        <v>0</v>
      </c>
      <c r="P52" s="210" t="s">
        <v>36</v>
      </c>
      <c r="Q52" s="216">
        <v>6.05</v>
      </c>
      <c r="R52" s="198"/>
      <c r="S52" s="198"/>
      <c r="T52" s="198"/>
      <c r="U52" s="198"/>
    </row>
    <row r="53" spans="1:21" s="12" customFormat="1" x14ac:dyDescent="0.25">
      <c r="A53" s="214" t="s">
        <v>580</v>
      </c>
      <c r="B53" s="64">
        <v>14.96</v>
      </c>
      <c r="C53" s="64">
        <v>58.94</v>
      </c>
      <c r="D53" s="64">
        <v>45.17</v>
      </c>
      <c r="E53" s="64">
        <v>2.14</v>
      </c>
      <c r="F53" s="64">
        <v>3.46</v>
      </c>
      <c r="G53" s="64">
        <v>82.66</v>
      </c>
      <c r="H53" s="64">
        <v>29.46</v>
      </c>
      <c r="I53" s="64">
        <v>1.54</v>
      </c>
      <c r="J53" s="64">
        <v>0.54</v>
      </c>
      <c r="K53" s="64">
        <v>330.47</v>
      </c>
      <c r="L53" s="64">
        <v>23.23</v>
      </c>
      <c r="M53" s="64">
        <v>67.099999999999994</v>
      </c>
      <c r="N53" s="64">
        <v>203.3</v>
      </c>
      <c r="O53" s="64">
        <v>0</v>
      </c>
      <c r="P53" s="210" t="s">
        <v>36</v>
      </c>
      <c r="Q53" s="216">
        <v>6.27</v>
      </c>
      <c r="R53" s="198"/>
      <c r="S53" s="198"/>
      <c r="T53" s="198"/>
      <c r="U53" s="198"/>
    </row>
    <row r="54" spans="1:21" s="12" customFormat="1" x14ac:dyDescent="0.25">
      <c r="A54" s="214" t="s">
        <v>581</v>
      </c>
      <c r="B54" s="64">
        <v>14.29</v>
      </c>
      <c r="C54" s="64">
        <v>58.05</v>
      </c>
      <c r="D54" s="64">
        <v>44.15</v>
      </c>
      <c r="E54" s="64">
        <v>2.81</v>
      </c>
      <c r="F54" s="64">
        <v>3.41</v>
      </c>
      <c r="G54" s="64">
        <v>82.66</v>
      </c>
      <c r="H54" s="64">
        <v>29.46</v>
      </c>
      <c r="I54" s="64">
        <v>1.52</v>
      </c>
      <c r="J54" s="64">
        <v>0.61</v>
      </c>
      <c r="K54" s="64">
        <v>344.28</v>
      </c>
      <c r="L54" s="64">
        <v>23.38</v>
      </c>
      <c r="M54" s="64">
        <v>66.290000000000006</v>
      </c>
      <c r="N54" s="64">
        <v>239.6</v>
      </c>
      <c r="O54" s="64">
        <v>0</v>
      </c>
      <c r="P54" s="210" t="s">
        <v>36</v>
      </c>
      <c r="Q54" s="216">
        <v>6.17</v>
      </c>
      <c r="R54" s="198"/>
      <c r="S54" s="198"/>
      <c r="T54" s="198"/>
      <c r="U54" s="198"/>
    </row>
    <row r="55" spans="1:21" s="12" customFormat="1" x14ac:dyDescent="0.25">
      <c r="A55" s="214" t="s">
        <v>582</v>
      </c>
      <c r="B55" s="64">
        <v>14.29</v>
      </c>
      <c r="C55" s="64">
        <v>58.05</v>
      </c>
      <c r="D55" s="64">
        <v>44.15</v>
      </c>
      <c r="E55" s="64">
        <v>2.81</v>
      </c>
      <c r="F55" s="64">
        <v>3.41</v>
      </c>
      <c r="G55" s="64">
        <v>82.66</v>
      </c>
      <c r="H55" s="64">
        <v>29.46</v>
      </c>
      <c r="I55" s="64">
        <v>1.52</v>
      </c>
      <c r="J55" s="64">
        <v>0.61</v>
      </c>
      <c r="K55" s="64">
        <v>344.28</v>
      </c>
      <c r="L55" s="64">
        <v>23.38</v>
      </c>
      <c r="M55" s="64">
        <v>66.290000000000006</v>
      </c>
      <c r="N55" s="64">
        <v>239.6</v>
      </c>
      <c r="O55" s="64">
        <v>0</v>
      </c>
      <c r="P55" s="210" t="s">
        <v>36</v>
      </c>
      <c r="Q55" s="216">
        <v>6.17</v>
      </c>
      <c r="R55" s="198"/>
      <c r="S55" s="198"/>
      <c r="T55" s="198"/>
      <c r="U55" s="198"/>
    </row>
    <row r="56" spans="1:21" s="12" customFormat="1" x14ac:dyDescent="0.25">
      <c r="A56" s="214" t="s">
        <v>583</v>
      </c>
      <c r="B56" s="64">
        <v>12.41</v>
      </c>
      <c r="C56" s="64">
        <v>56.74</v>
      </c>
      <c r="D56" s="64">
        <v>41.92</v>
      </c>
      <c r="E56" s="64">
        <v>14.2</v>
      </c>
      <c r="F56" s="64">
        <v>5.63</v>
      </c>
      <c r="G56" s="64">
        <v>79.8</v>
      </c>
      <c r="H56" s="64">
        <v>33.44</v>
      </c>
      <c r="I56" s="64">
        <v>1.48</v>
      </c>
      <c r="J56" s="64">
        <v>0.34</v>
      </c>
      <c r="K56" s="64">
        <v>354.02</v>
      </c>
      <c r="L56" s="64">
        <v>23.35</v>
      </c>
      <c r="M56" s="64">
        <v>66.319999999999993</v>
      </c>
      <c r="N56" s="64">
        <v>233.4</v>
      </c>
      <c r="O56" s="64">
        <v>0</v>
      </c>
      <c r="P56" s="210" t="s">
        <v>36</v>
      </c>
      <c r="Q56" s="216">
        <v>6</v>
      </c>
      <c r="R56" s="198"/>
      <c r="S56" s="198"/>
      <c r="T56" s="198"/>
      <c r="U56" s="198"/>
    </row>
    <row r="57" spans="1:21" s="12" customFormat="1" x14ac:dyDescent="0.25">
      <c r="A57" s="214" t="s">
        <v>584</v>
      </c>
      <c r="B57" s="64">
        <v>3.77</v>
      </c>
      <c r="C57" s="64">
        <v>60.16</v>
      </c>
      <c r="D57" s="64">
        <v>36.869999999999997</v>
      </c>
      <c r="E57" s="64">
        <v>32.770000000000003</v>
      </c>
      <c r="F57" s="64">
        <v>9.4700000000000006</v>
      </c>
      <c r="G57" s="64">
        <v>76.78</v>
      </c>
      <c r="H57" s="64">
        <v>36.4</v>
      </c>
      <c r="I57" s="64">
        <v>1.45</v>
      </c>
      <c r="J57" s="64">
        <v>0.23</v>
      </c>
      <c r="K57" s="64">
        <v>60.63</v>
      </c>
      <c r="L57" s="64">
        <v>23.26</v>
      </c>
      <c r="M57" s="64">
        <v>67.239999999999995</v>
      </c>
      <c r="N57" s="64">
        <v>298.60000000000002</v>
      </c>
      <c r="O57" s="64">
        <v>0</v>
      </c>
      <c r="P57" s="210" t="s">
        <v>36</v>
      </c>
      <c r="Q57" s="6" t="s">
        <v>42</v>
      </c>
      <c r="R57" s="198"/>
      <c r="S57" s="198"/>
      <c r="T57" s="198"/>
      <c r="U57" s="198"/>
    </row>
    <row r="58" spans="1:21" s="12" customFormat="1" x14ac:dyDescent="0.25">
      <c r="A58" s="214" t="s">
        <v>585</v>
      </c>
      <c r="B58" s="64">
        <v>3.26</v>
      </c>
      <c r="C58" s="64">
        <v>59.58</v>
      </c>
      <c r="D58" s="64">
        <v>36.14</v>
      </c>
      <c r="E58" s="64">
        <v>35.68</v>
      </c>
      <c r="F58" s="64">
        <v>5.79</v>
      </c>
      <c r="G58" s="64">
        <v>76.78</v>
      </c>
      <c r="H58" s="64">
        <v>36.4</v>
      </c>
      <c r="I58" s="64">
        <v>1.45</v>
      </c>
      <c r="J58" s="64">
        <v>0.5</v>
      </c>
      <c r="K58" s="64">
        <v>340.26</v>
      </c>
      <c r="L58" s="64">
        <v>23.89</v>
      </c>
      <c r="M58" s="64">
        <v>64.12</v>
      </c>
      <c r="N58" s="64">
        <v>296.3</v>
      </c>
      <c r="O58" s="64">
        <v>0</v>
      </c>
      <c r="P58" s="210" t="s">
        <v>36</v>
      </c>
      <c r="Q58" s="216">
        <v>5.59</v>
      </c>
      <c r="R58" s="198"/>
      <c r="S58" s="198"/>
      <c r="T58" s="198"/>
      <c r="U58" s="198"/>
    </row>
    <row r="59" spans="1:21" s="12" customFormat="1" x14ac:dyDescent="0.25">
      <c r="A59" s="214" t="s">
        <v>586</v>
      </c>
      <c r="B59" s="64">
        <v>4.1900000000000004</v>
      </c>
      <c r="C59" s="64">
        <v>59.23</v>
      </c>
      <c r="D59" s="64">
        <v>36.700000000000003</v>
      </c>
      <c r="E59" s="64">
        <v>38</v>
      </c>
      <c r="F59" s="64">
        <v>4.7300000000000004</v>
      </c>
      <c r="G59" s="64">
        <v>78.33</v>
      </c>
      <c r="H59" s="64">
        <v>37.03</v>
      </c>
      <c r="I59" s="64">
        <v>1.52</v>
      </c>
      <c r="J59" s="64">
        <v>0.77</v>
      </c>
      <c r="K59" s="64">
        <v>345.81</v>
      </c>
      <c r="L59" s="64">
        <v>24.44</v>
      </c>
      <c r="M59" s="64">
        <v>61.51</v>
      </c>
      <c r="N59" s="64">
        <v>280.8</v>
      </c>
      <c r="O59" s="64">
        <v>0</v>
      </c>
      <c r="P59" s="210" t="s">
        <v>36</v>
      </c>
      <c r="Q59" s="216">
        <v>5.46</v>
      </c>
      <c r="R59" s="198"/>
      <c r="S59" s="198"/>
      <c r="T59" s="198"/>
      <c r="U59" s="198"/>
    </row>
    <row r="60" spans="1:21" s="12" customFormat="1" x14ac:dyDescent="0.25">
      <c r="A60" s="214" t="s">
        <v>587</v>
      </c>
      <c r="B60" s="64">
        <v>4.1900000000000004</v>
      </c>
      <c r="C60" s="64">
        <v>59.23</v>
      </c>
      <c r="D60" s="64">
        <v>36.700000000000003</v>
      </c>
      <c r="E60" s="64">
        <v>38</v>
      </c>
      <c r="F60" s="64">
        <v>4.7300000000000004</v>
      </c>
      <c r="G60" s="64">
        <v>78.33</v>
      </c>
      <c r="H60" s="64">
        <v>37.03</v>
      </c>
      <c r="I60" s="64">
        <v>1.52</v>
      </c>
      <c r="J60" s="64">
        <v>0.77</v>
      </c>
      <c r="K60" s="64">
        <v>345.81</v>
      </c>
      <c r="L60" s="64">
        <v>24.44</v>
      </c>
      <c r="M60" s="64">
        <v>61.51</v>
      </c>
      <c r="N60" s="64">
        <v>280.8</v>
      </c>
      <c r="O60" s="64">
        <v>0</v>
      </c>
      <c r="P60" s="210" t="s">
        <v>36</v>
      </c>
      <c r="Q60" s="216">
        <v>5.46</v>
      </c>
      <c r="R60" s="198"/>
      <c r="S60" s="198"/>
      <c r="T60" s="198"/>
      <c r="U60" s="198"/>
    </row>
    <row r="61" spans="1:21" s="12" customFormat="1" x14ac:dyDescent="0.25">
      <c r="A61" s="214" t="s">
        <v>588</v>
      </c>
      <c r="B61" s="64">
        <v>4.71</v>
      </c>
      <c r="C61" s="64">
        <v>60.33</v>
      </c>
      <c r="D61" s="64">
        <v>37.72</v>
      </c>
      <c r="E61" s="211" t="s">
        <v>40</v>
      </c>
      <c r="F61" s="64">
        <v>5.46</v>
      </c>
      <c r="G61" s="64">
        <v>84.56</v>
      </c>
      <c r="H61" s="64">
        <v>39.840000000000003</v>
      </c>
      <c r="I61" s="64">
        <v>1.51</v>
      </c>
      <c r="J61" s="64">
        <v>0.41</v>
      </c>
      <c r="K61" s="64">
        <v>36.1</v>
      </c>
      <c r="L61" s="64">
        <v>24.49</v>
      </c>
      <c r="M61" s="64">
        <v>59.19</v>
      </c>
      <c r="N61" s="64">
        <v>310.89999999999998</v>
      </c>
      <c r="O61" s="64">
        <v>0</v>
      </c>
      <c r="P61" s="210" t="s">
        <v>36</v>
      </c>
      <c r="Q61" s="216">
        <v>5.3</v>
      </c>
      <c r="R61" s="198"/>
      <c r="S61" s="198"/>
      <c r="T61" s="198"/>
      <c r="U61" s="198"/>
    </row>
    <row r="62" spans="1:21" s="12" customFormat="1" x14ac:dyDescent="0.25">
      <c r="A62" s="214" t="s">
        <v>589</v>
      </c>
      <c r="B62" s="64">
        <v>3.69</v>
      </c>
      <c r="C62" s="64">
        <v>58.06</v>
      </c>
      <c r="D62" s="64">
        <v>35.65</v>
      </c>
      <c r="E62" s="211" t="s">
        <v>40</v>
      </c>
      <c r="F62" s="64">
        <v>5.58</v>
      </c>
      <c r="G62" s="64">
        <v>84.56</v>
      </c>
      <c r="H62" s="64">
        <v>39.840000000000003</v>
      </c>
      <c r="I62" s="64">
        <v>1.55</v>
      </c>
      <c r="J62" s="64">
        <v>0.28000000000000003</v>
      </c>
      <c r="K62" s="64">
        <v>72.13</v>
      </c>
      <c r="L62" s="64">
        <v>23.92</v>
      </c>
      <c r="M62" s="64">
        <v>60.55</v>
      </c>
      <c r="N62" s="64">
        <v>260.8</v>
      </c>
      <c r="O62" s="64">
        <v>0</v>
      </c>
      <c r="P62" s="210" t="s">
        <v>36</v>
      </c>
      <c r="Q62" s="216">
        <v>0</v>
      </c>
      <c r="R62" s="198"/>
      <c r="S62" s="198"/>
      <c r="T62" s="198"/>
      <c r="U62" s="198"/>
    </row>
    <row r="63" spans="1:21" s="12" customFormat="1" x14ac:dyDescent="0.25">
      <c r="A63" s="214" t="s">
        <v>590</v>
      </c>
      <c r="B63" s="64">
        <v>3.42</v>
      </c>
      <c r="C63" s="64">
        <v>58.21</v>
      </c>
      <c r="D63" s="64">
        <v>35.51</v>
      </c>
      <c r="E63" s="211" t="s">
        <v>40</v>
      </c>
      <c r="F63" s="64">
        <v>6.89</v>
      </c>
      <c r="G63" s="64">
        <v>84.16</v>
      </c>
      <c r="H63" s="64">
        <v>38.909999999999997</v>
      </c>
      <c r="I63" s="64">
        <v>1.51</v>
      </c>
      <c r="J63" s="64">
        <v>0.87</v>
      </c>
      <c r="K63" s="64">
        <v>103.81</v>
      </c>
      <c r="L63" s="64">
        <v>23.53</v>
      </c>
      <c r="M63" s="64">
        <v>62.51</v>
      </c>
      <c r="N63" s="64">
        <v>234.7</v>
      </c>
      <c r="O63" s="64">
        <v>0</v>
      </c>
      <c r="P63" s="210" t="s">
        <v>36</v>
      </c>
      <c r="Q63" s="216">
        <v>5.08</v>
      </c>
      <c r="R63" s="198"/>
      <c r="S63" s="198"/>
      <c r="T63" s="198"/>
      <c r="U63" s="198"/>
    </row>
    <row r="64" spans="1:21" s="12" customFormat="1" x14ac:dyDescent="0.25">
      <c r="A64" s="214" t="s">
        <v>591</v>
      </c>
      <c r="B64" s="64">
        <v>51.62</v>
      </c>
      <c r="C64" s="64">
        <v>5.57</v>
      </c>
      <c r="D64" s="64">
        <v>45.12</v>
      </c>
      <c r="E64" s="64">
        <v>23.2</v>
      </c>
      <c r="F64" s="64">
        <v>6.75</v>
      </c>
      <c r="G64" s="64">
        <v>82.55</v>
      </c>
      <c r="H64" s="64">
        <v>36.409999999999997</v>
      </c>
      <c r="I64" s="64">
        <v>1.48</v>
      </c>
      <c r="J64" s="64">
        <v>0.37</v>
      </c>
      <c r="K64" s="64">
        <v>75.95</v>
      </c>
      <c r="L64" s="64">
        <v>23.8</v>
      </c>
      <c r="M64" s="64">
        <v>61.38</v>
      </c>
      <c r="N64" s="64">
        <v>233</v>
      </c>
      <c r="O64" s="64">
        <v>0</v>
      </c>
      <c r="P64" s="210" t="s">
        <v>36</v>
      </c>
      <c r="Q64" s="216">
        <v>4.9400000000000004</v>
      </c>
      <c r="R64" s="198"/>
      <c r="S64" s="198"/>
      <c r="T64" s="198"/>
      <c r="U64" s="198"/>
    </row>
    <row r="65" spans="1:21" s="12" customFormat="1" x14ac:dyDescent="0.25">
      <c r="A65" s="214" t="s">
        <v>592</v>
      </c>
      <c r="B65" s="64">
        <v>167.4</v>
      </c>
      <c r="C65" s="64">
        <v>15.65</v>
      </c>
      <c r="D65" s="64">
        <v>148.51</v>
      </c>
      <c r="E65" s="64">
        <v>2.17</v>
      </c>
      <c r="F65" s="64">
        <v>5.0199999999999996</v>
      </c>
      <c r="G65" s="64">
        <v>82.55</v>
      </c>
      <c r="H65" s="64">
        <v>36.409999999999997</v>
      </c>
      <c r="I65" s="64">
        <v>1.52</v>
      </c>
      <c r="J65" s="64">
        <v>0.38</v>
      </c>
      <c r="K65" s="64">
        <v>333.76</v>
      </c>
      <c r="L65" s="64">
        <v>23.92</v>
      </c>
      <c r="M65" s="64">
        <v>58.94</v>
      </c>
      <c r="N65" s="64">
        <v>165.2</v>
      </c>
      <c r="O65" s="64">
        <v>0</v>
      </c>
      <c r="P65" s="210" t="s">
        <v>36</v>
      </c>
      <c r="Q65" s="216">
        <v>4.8899999999999997</v>
      </c>
      <c r="R65" s="198"/>
      <c r="S65" s="198"/>
      <c r="T65" s="198"/>
      <c r="U65" s="198"/>
    </row>
    <row r="66" spans="1:21" s="12" customFormat="1" x14ac:dyDescent="0.25">
      <c r="A66" s="214" t="s">
        <v>593</v>
      </c>
      <c r="B66" s="64">
        <v>4.84</v>
      </c>
      <c r="C66" s="64">
        <v>53.19</v>
      </c>
      <c r="D66" s="64">
        <v>38.29</v>
      </c>
      <c r="E66" s="64">
        <v>2.19</v>
      </c>
      <c r="F66" s="64">
        <v>4.4000000000000004</v>
      </c>
      <c r="G66" s="64">
        <v>82.55</v>
      </c>
      <c r="H66" s="64">
        <v>36.409999999999997</v>
      </c>
      <c r="I66" s="64">
        <v>1.46</v>
      </c>
      <c r="J66" s="64">
        <v>0.1</v>
      </c>
      <c r="K66" s="64">
        <v>2.48</v>
      </c>
      <c r="L66" s="64">
        <v>23.8</v>
      </c>
      <c r="M66" s="64">
        <v>60.14</v>
      </c>
      <c r="N66" s="64">
        <v>114.1</v>
      </c>
      <c r="O66" s="64">
        <v>0</v>
      </c>
      <c r="P66" s="210" t="s">
        <v>36</v>
      </c>
      <c r="Q66" s="216">
        <v>4.9400000000000004</v>
      </c>
      <c r="R66" s="198"/>
      <c r="S66" s="198"/>
      <c r="T66" s="198"/>
      <c r="U66" s="198"/>
    </row>
    <row r="67" spans="1:21" s="12" customFormat="1" x14ac:dyDescent="0.25">
      <c r="A67" s="214" t="s">
        <v>594</v>
      </c>
      <c r="B67" s="64">
        <v>4.08</v>
      </c>
      <c r="C67" s="64">
        <v>52.71</v>
      </c>
      <c r="D67" s="64">
        <v>33.01</v>
      </c>
      <c r="E67" s="64">
        <v>2.21</v>
      </c>
      <c r="F67" s="64">
        <v>252.71</v>
      </c>
      <c r="G67" s="64">
        <v>82</v>
      </c>
      <c r="H67" s="64">
        <v>36.880000000000003</v>
      </c>
      <c r="I67" s="64">
        <v>1.47</v>
      </c>
      <c r="J67" s="64">
        <v>0.36</v>
      </c>
      <c r="K67" s="64">
        <v>339.76</v>
      </c>
      <c r="L67" s="64">
        <v>23.47</v>
      </c>
      <c r="M67" s="64">
        <v>61.53</v>
      </c>
      <c r="N67" s="64">
        <v>117.6</v>
      </c>
      <c r="O67" s="64">
        <v>0</v>
      </c>
      <c r="P67" s="64">
        <v>0.01</v>
      </c>
      <c r="Q67" s="64">
        <v>4.95</v>
      </c>
      <c r="R67" s="198"/>
      <c r="S67" s="198"/>
      <c r="T67" s="198"/>
      <c r="U67" s="198"/>
    </row>
    <row r="68" spans="1:21" s="12" customFormat="1" x14ac:dyDescent="0.25">
      <c r="A68" s="214" t="s">
        <v>595</v>
      </c>
      <c r="B68" s="64">
        <v>4.78</v>
      </c>
      <c r="C68" s="64">
        <v>52.64</v>
      </c>
      <c r="D68" s="64">
        <v>33.53</v>
      </c>
      <c r="E68" s="64">
        <v>2.2400000000000002</v>
      </c>
      <c r="F68" s="64">
        <v>5.54</v>
      </c>
      <c r="G68" s="64">
        <v>79.790000000000006</v>
      </c>
      <c r="H68" s="64">
        <v>38.18</v>
      </c>
      <c r="I68" s="64">
        <v>1.51</v>
      </c>
      <c r="J68" s="64">
        <v>0.39</v>
      </c>
      <c r="K68" s="64">
        <v>334.84</v>
      </c>
      <c r="L68" s="64">
        <v>23.67</v>
      </c>
      <c r="M68" s="64">
        <v>61.02</v>
      </c>
      <c r="N68" s="64">
        <v>116.1</v>
      </c>
      <c r="O68" s="64">
        <v>0</v>
      </c>
      <c r="P68" s="212" t="s">
        <v>42</v>
      </c>
      <c r="Q68" s="64">
        <v>4.84</v>
      </c>
      <c r="R68" s="198"/>
      <c r="S68" s="198"/>
      <c r="T68" s="198"/>
      <c r="U68" s="198"/>
    </row>
    <row r="69" spans="1:21" s="12" customFormat="1" x14ac:dyDescent="0.25">
      <c r="A69" s="214" t="s">
        <v>596</v>
      </c>
      <c r="B69" s="64">
        <v>5.44</v>
      </c>
      <c r="C69" s="64">
        <v>56.83</v>
      </c>
      <c r="D69" s="64">
        <v>36.369999999999997</v>
      </c>
      <c r="E69" s="64">
        <v>2.2799999999999998</v>
      </c>
      <c r="F69" s="64">
        <v>6.03</v>
      </c>
      <c r="G69" s="64">
        <v>79.790000000000006</v>
      </c>
      <c r="H69" s="64">
        <v>38.18</v>
      </c>
      <c r="I69" s="64">
        <v>1.47</v>
      </c>
      <c r="J69" s="64">
        <v>0.3</v>
      </c>
      <c r="K69" s="64">
        <v>358.04</v>
      </c>
      <c r="L69" s="64">
        <v>23.37</v>
      </c>
      <c r="M69" s="64">
        <v>62.15</v>
      </c>
      <c r="N69" s="64">
        <v>97.1</v>
      </c>
      <c r="O69" s="64">
        <v>0</v>
      </c>
      <c r="P69" s="212" t="s">
        <v>42</v>
      </c>
      <c r="Q69" s="64">
        <v>5.0599999999999996</v>
      </c>
      <c r="R69" s="198"/>
      <c r="S69" s="198"/>
      <c r="T69" s="198"/>
      <c r="U69" s="198"/>
    </row>
    <row r="70" spans="1:21" s="12" customFormat="1" x14ac:dyDescent="0.25">
      <c r="A70" s="214" t="s">
        <v>597</v>
      </c>
      <c r="B70" s="64">
        <v>3.87</v>
      </c>
      <c r="C70" s="64">
        <v>65.86</v>
      </c>
      <c r="D70" s="64">
        <v>40.1</v>
      </c>
      <c r="E70" s="64">
        <v>2.34</v>
      </c>
      <c r="F70" s="64">
        <v>6.48</v>
      </c>
      <c r="G70" s="64">
        <v>79.790000000000006</v>
      </c>
      <c r="H70" s="64">
        <v>38.18</v>
      </c>
      <c r="I70" s="64">
        <v>1.59</v>
      </c>
      <c r="J70" s="64">
        <v>0.81</v>
      </c>
      <c r="K70" s="64">
        <v>342.75</v>
      </c>
      <c r="L70" s="64">
        <v>23.37</v>
      </c>
      <c r="M70" s="64">
        <v>61.3</v>
      </c>
      <c r="N70" s="64">
        <v>92.3</v>
      </c>
      <c r="O70" s="64">
        <v>0</v>
      </c>
      <c r="P70" s="212" t="s">
        <v>42</v>
      </c>
      <c r="Q70" s="64">
        <v>5.47</v>
      </c>
      <c r="R70" s="198"/>
      <c r="S70" s="198"/>
      <c r="T70" s="198"/>
      <c r="U70" s="198"/>
    </row>
    <row r="71" spans="1:21" s="12" customFormat="1" x14ac:dyDescent="0.25">
      <c r="A71" s="214" t="s">
        <v>598</v>
      </c>
      <c r="B71" s="64">
        <v>4.04</v>
      </c>
      <c r="C71" s="64">
        <v>64.84</v>
      </c>
      <c r="D71" s="64">
        <v>39.67</v>
      </c>
      <c r="E71" s="64">
        <v>2.33</v>
      </c>
      <c r="F71" s="64">
        <v>4.8499999999999996</v>
      </c>
      <c r="G71" s="64">
        <v>82.48</v>
      </c>
      <c r="H71" s="64">
        <v>37.58</v>
      </c>
      <c r="I71" s="64">
        <v>1.46</v>
      </c>
      <c r="J71" s="64">
        <v>0.89</v>
      </c>
      <c r="K71" s="64">
        <v>335.42</v>
      </c>
      <c r="L71" s="64">
        <v>23.41</v>
      </c>
      <c r="M71" s="64">
        <v>60.21</v>
      </c>
      <c r="N71" s="64">
        <v>101.9</v>
      </c>
      <c r="O71" s="64">
        <v>0</v>
      </c>
      <c r="P71" s="212" t="s">
        <v>42</v>
      </c>
      <c r="Q71" s="64">
        <v>5.38</v>
      </c>
      <c r="R71" s="198"/>
      <c r="S71" s="198"/>
      <c r="T71" s="198"/>
      <c r="U71" s="198"/>
    </row>
    <row r="72" spans="1:21" s="12" customFormat="1" x14ac:dyDescent="0.25">
      <c r="A72" s="214" t="s">
        <v>599</v>
      </c>
      <c r="B72" s="64">
        <v>4.8099999999999996</v>
      </c>
      <c r="C72" s="64">
        <v>62.78</v>
      </c>
      <c r="D72" s="64">
        <v>39.15</v>
      </c>
      <c r="E72" s="64">
        <v>2.0099999999999998</v>
      </c>
      <c r="F72" s="64">
        <v>4.58</v>
      </c>
      <c r="G72" s="64">
        <v>93.24</v>
      </c>
      <c r="H72" s="64">
        <v>35.93</v>
      </c>
      <c r="I72" s="64">
        <v>1.45</v>
      </c>
      <c r="J72" s="64">
        <v>0.48</v>
      </c>
      <c r="K72" s="64">
        <v>342.07</v>
      </c>
      <c r="L72" s="64">
        <v>23.27</v>
      </c>
      <c r="M72" s="64">
        <v>60.93</v>
      </c>
      <c r="N72" s="64">
        <v>88.5</v>
      </c>
      <c r="O72" s="64">
        <v>0</v>
      </c>
      <c r="P72" s="64">
        <v>0.95</v>
      </c>
      <c r="Q72" s="64">
        <v>5.29</v>
      </c>
      <c r="R72" s="198"/>
      <c r="S72" s="198"/>
      <c r="T72" s="198"/>
      <c r="U72" s="198"/>
    </row>
    <row r="73" spans="1:21" s="12" customFormat="1" x14ac:dyDescent="0.25">
      <c r="A73" s="214" t="s">
        <v>600</v>
      </c>
      <c r="B73" s="64">
        <v>5.12</v>
      </c>
      <c r="C73" s="64">
        <v>60.1</v>
      </c>
      <c r="D73" s="64">
        <v>37.92</v>
      </c>
      <c r="E73" s="64">
        <v>2.0499999999999998</v>
      </c>
      <c r="F73" s="64">
        <v>4.21</v>
      </c>
      <c r="G73" s="64">
        <v>93.24</v>
      </c>
      <c r="H73" s="64">
        <v>35.93</v>
      </c>
      <c r="I73" s="64">
        <v>1.53</v>
      </c>
      <c r="J73" s="64">
        <v>0.17</v>
      </c>
      <c r="K73" s="64">
        <v>76.98</v>
      </c>
      <c r="L73" s="64">
        <v>22.89</v>
      </c>
      <c r="M73" s="64">
        <v>62.48</v>
      </c>
      <c r="N73" s="64">
        <v>66.2</v>
      </c>
      <c r="O73" s="64">
        <v>0</v>
      </c>
      <c r="P73" s="64">
        <v>0.95</v>
      </c>
      <c r="Q73" s="64">
        <v>5.22</v>
      </c>
      <c r="R73" s="198"/>
      <c r="S73" s="198"/>
      <c r="T73" s="198"/>
      <c r="U73" s="198"/>
    </row>
    <row r="74" spans="1:21" s="12" customFormat="1" x14ac:dyDescent="0.25">
      <c r="A74" s="214" t="s">
        <v>601</v>
      </c>
      <c r="B74" s="64">
        <v>5.98</v>
      </c>
      <c r="C74" s="64">
        <v>59.7</v>
      </c>
      <c r="D74" s="64">
        <v>38.39</v>
      </c>
      <c r="E74" s="64">
        <v>2.11</v>
      </c>
      <c r="F74" s="64">
        <v>4.1500000000000004</v>
      </c>
      <c r="G74" s="64">
        <v>93.24</v>
      </c>
      <c r="H74" s="64">
        <v>35.93</v>
      </c>
      <c r="I74" s="64">
        <v>1.53</v>
      </c>
      <c r="J74" s="64">
        <v>0.16</v>
      </c>
      <c r="K74" s="64">
        <v>49.8</v>
      </c>
      <c r="L74" s="64">
        <v>22.68</v>
      </c>
      <c r="M74" s="64">
        <v>63.02</v>
      </c>
      <c r="N74" s="64">
        <v>55.1</v>
      </c>
      <c r="O74" s="64">
        <v>0</v>
      </c>
      <c r="P74" s="64">
        <v>0.97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4" t="s">
        <v>602</v>
      </c>
      <c r="B75" s="64">
        <v>6.44</v>
      </c>
      <c r="C75" s="64">
        <v>62.64</v>
      </c>
      <c r="D75" s="64">
        <v>40.39</v>
      </c>
      <c r="E75" s="64">
        <v>2.14</v>
      </c>
      <c r="F75" s="64">
        <v>3.83</v>
      </c>
      <c r="G75" s="64">
        <v>91.2</v>
      </c>
      <c r="H75" s="64">
        <v>36.26</v>
      </c>
      <c r="I75" s="64">
        <v>1.48</v>
      </c>
      <c r="J75" s="64">
        <v>0.21</v>
      </c>
      <c r="K75" s="64">
        <v>356.02</v>
      </c>
      <c r="L75" s="64">
        <v>22.55</v>
      </c>
      <c r="M75" s="64">
        <v>62.57</v>
      </c>
      <c r="N75" s="64">
        <v>39.4</v>
      </c>
      <c r="O75" s="64">
        <v>0</v>
      </c>
      <c r="P75" s="64">
        <v>0.97</v>
      </c>
      <c r="Q75" s="64">
        <v>5.04</v>
      </c>
      <c r="R75" s="198"/>
      <c r="S75" s="198"/>
      <c r="T75" s="198"/>
      <c r="U75" s="198"/>
    </row>
    <row r="76" spans="1:21" s="12" customFormat="1" x14ac:dyDescent="0.25">
      <c r="A76" s="214" t="s">
        <v>603</v>
      </c>
      <c r="B76" s="64">
        <v>6.73</v>
      </c>
      <c r="C76" s="64">
        <v>61.41</v>
      </c>
      <c r="D76" s="64">
        <v>39.93</v>
      </c>
      <c r="E76" s="64">
        <v>2.09</v>
      </c>
      <c r="F76" s="64">
        <v>3.84</v>
      </c>
      <c r="G76" s="64">
        <v>83.07</v>
      </c>
      <c r="H76" s="64">
        <v>37.729999999999997</v>
      </c>
      <c r="I76" s="64">
        <v>1.52</v>
      </c>
      <c r="J76" s="64">
        <v>0.08</v>
      </c>
      <c r="K76" s="64">
        <v>54.56</v>
      </c>
      <c r="L76" s="64">
        <v>22.37</v>
      </c>
      <c r="M76" s="64">
        <v>63.32</v>
      </c>
      <c r="N76" s="64">
        <v>29</v>
      </c>
      <c r="O76" s="64">
        <v>0</v>
      </c>
      <c r="P76" s="64">
        <v>0.98</v>
      </c>
      <c r="Q76" s="64">
        <v>5.0199999999999996</v>
      </c>
      <c r="R76" s="198"/>
      <c r="S76" s="198"/>
      <c r="T76" s="198"/>
      <c r="U76" s="198"/>
    </row>
    <row r="77" spans="1:21" s="12" customFormat="1" x14ac:dyDescent="0.25">
      <c r="A77" s="214" t="s">
        <v>604</v>
      </c>
      <c r="B77" s="64">
        <v>7.38</v>
      </c>
      <c r="C77" s="64">
        <v>58.96</v>
      </c>
      <c r="D77" s="64">
        <v>39.1</v>
      </c>
      <c r="E77" s="64">
        <v>2.15</v>
      </c>
      <c r="F77" s="64">
        <v>3.77</v>
      </c>
      <c r="G77" s="64">
        <v>83.07</v>
      </c>
      <c r="H77" s="64">
        <v>37.729999999999997</v>
      </c>
      <c r="I77" s="64">
        <v>1.52</v>
      </c>
      <c r="J77" s="64">
        <v>0.12</v>
      </c>
      <c r="K77" s="64">
        <v>340.41</v>
      </c>
      <c r="L77" s="64">
        <v>22.06</v>
      </c>
      <c r="M77" s="64">
        <v>68</v>
      </c>
      <c r="N77" s="64">
        <v>24.5</v>
      </c>
      <c r="O77" s="64">
        <v>0</v>
      </c>
      <c r="P77" s="64">
        <v>0.99</v>
      </c>
      <c r="Q77" s="64">
        <v>5.09</v>
      </c>
      <c r="R77" s="198"/>
      <c r="S77" s="198"/>
      <c r="T77" s="198"/>
      <c r="U77" s="198"/>
    </row>
    <row r="78" spans="1:21" s="12" customFormat="1" x14ac:dyDescent="0.25">
      <c r="A78" s="214" t="s">
        <v>605</v>
      </c>
      <c r="B78" s="64">
        <v>7.99</v>
      </c>
      <c r="C78" s="64">
        <v>58.38</v>
      </c>
      <c r="D78" s="64">
        <v>39.270000000000003</v>
      </c>
      <c r="E78" s="64">
        <v>2.16</v>
      </c>
      <c r="F78" s="64">
        <v>3.69</v>
      </c>
      <c r="G78" s="64">
        <v>83.07</v>
      </c>
      <c r="H78" s="64">
        <v>37.729999999999997</v>
      </c>
      <c r="I78" s="64">
        <v>1.5</v>
      </c>
      <c r="J78" s="64">
        <v>0.31</v>
      </c>
      <c r="K78" s="64">
        <v>305.81</v>
      </c>
      <c r="L78" s="64">
        <v>21.65</v>
      </c>
      <c r="M78" s="64">
        <v>73.78</v>
      </c>
      <c r="N78" s="64">
        <v>23.1</v>
      </c>
      <c r="O78" s="64">
        <v>0</v>
      </c>
      <c r="P78" s="64">
        <v>1</v>
      </c>
      <c r="Q78" s="64">
        <v>5.12</v>
      </c>
      <c r="R78" s="198"/>
      <c r="S78" s="198"/>
      <c r="T78" s="198"/>
      <c r="U78" s="198"/>
    </row>
    <row r="79" spans="1:21" s="12" customFormat="1" x14ac:dyDescent="0.25">
      <c r="A79" s="214" t="s">
        <v>606</v>
      </c>
      <c r="B79" s="64">
        <v>8.84</v>
      </c>
      <c r="C79" s="64">
        <v>65.33</v>
      </c>
      <c r="D79" s="64">
        <v>43.78</v>
      </c>
      <c r="E79" s="64">
        <v>2.17</v>
      </c>
      <c r="F79" s="64">
        <v>4.42</v>
      </c>
      <c r="G79" s="64">
        <v>82.63</v>
      </c>
      <c r="H79" s="64">
        <v>37.39</v>
      </c>
      <c r="I79" s="64">
        <v>1.55</v>
      </c>
      <c r="J79" s="64">
        <v>0.28000000000000003</v>
      </c>
      <c r="K79" s="64">
        <v>309.87</v>
      </c>
      <c r="L79" s="64">
        <v>21.54</v>
      </c>
      <c r="M79" s="64">
        <v>73.89</v>
      </c>
      <c r="N79" s="64">
        <v>23</v>
      </c>
      <c r="O79" s="64">
        <v>0</v>
      </c>
      <c r="P79" s="64">
        <v>1.03</v>
      </c>
      <c r="Q79" s="64">
        <v>5.51</v>
      </c>
      <c r="R79" s="198"/>
      <c r="S79" s="198"/>
      <c r="T79" s="198"/>
      <c r="U79" s="198"/>
    </row>
    <row r="80" spans="1:21" s="12" customFormat="1" x14ac:dyDescent="0.25">
      <c r="A80" s="214" t="s">
        <v>607</v>
      </c>
      <c r="B80" s="64">
        <v>9.1999999999999993</v>
      </c>
      <c r="C80" s="64">
        <v>70.27</v>
      </c>
      <c r="D80" s="64">
        <v>46.81</v>
      </c>
      <c r="E80" s="64">
        <v>2.16</v>
      </c>
      <c r="F80" s="64">
        <v>3.7</v>
      </c>
      <c r="G80" s="64">
        <v>80.89</v>
      </c>
      <c r="H80" s="64">
        <v>36.479999999999997</v>
      </c>
      <c r="I80" s="64">
        <v>1.5</v>
      </c>
      <c r="J80" s="64">
        <v>0.08</v>
      </c>
      <c r="K80" s="64">
        <v>318.32</v>
      </c>
      <c r="L80" s="64">
        <v>21.42</v>
      </c>
      <c r="M80" s="64">
        <v>73.53</v>
      </c>
      <c r="N80" s="64">
        <v>22.9</v>
      </c>
      <c r="O80" s="64">
        <v>0</v>
      </c>
      <c r="P80" s="64">
        <v>1.03</v>
      </c>
      <c r="Q80" s="64">
        <v>5.47</v>
      </c>
      <c r="R80" s="198"/>
      <c r="S80" s="198"/>
      <c r="T80" s="198"/>
      <c r="U80" s="198"/>
    </row>
    <row r="81" spans="1:26" s="12" customFormat="1" x14ac:dyDescent="0.25">
      <c r="A81" s="214" t="s">
        <v>608</v>
      </c>
      <c r="B81" s="64">
        <v>9.43</v>
      </c>
      <c r="C81" s="64">
        <v>69.16</v>
      </c>
      <c r="D81" s="64">
        <v>46.38</v>
      </c>
      <c r="E81" s="64">
        <v>2.2000000000000002</v>
      </c>
      <c r="F81" s="64">
        <v>3.63</v>
      </c>
      <c r="G81" s="64">
        <v>80.89</v>
      </c>
      <c r="H81" s="64">
        <v>36.479999999999997</v>
      </c>
      <c r="I81" s="64">
        <v>1.49</v>
      </c>
      <c r="J81" s="64">
        <v>0.08</v>
      </c>
      <c r="K81" s="64">
        <v>34.57</v>
      </c>
      <c r="L81" s="64">
        <v>21.55</v>
      </c>
      <c r="M81" s="64">
        <v>66.2</v>
      </c>
      <c r="N81" s="64">
        <v>22.8</v>
      </c>
      <c r="O81" s="64">
        <v>0</v>
      </c>
      <c r="P81" s="64">
        <v>1.06</v>
      </c>
      <c r="Q81" s="64">
        <v>5.3</v>
      </c>
      <c r="R81" s="198"/>
      <c r="S81" s="198"/>
      <c r="T81" s="198"/>
      <c r="U81" s="198"/>
    </row>
    <row r="82" spans="1:26" s="12" customFormat="1" x14ac:dyDescent="0.25">
      <c r="A82" s="214" t="s">
        <v>609</v>
      </c>
      <c r="B82" s="64">
        <v>9.93</v>
      </c>
      <c r="C82" s="64">
        <v>67.5</v>
      </c>
      <c r="D82" s="64">
        <v>45.86</v>
      </c>
      <c r="E82" s="64">
        <v>2.16</v>
      </c>
      <c r="F82" s="64">
        <v>3.52</v>
      </c>
      <c r="G82" s="64">
        <v>80.89</v>
      </c>
      <c r="H82" s="64">
        <v>36.479999999999997</v>
      </c>
      <c r="I82" s="64">
        <v>1.5</v>
      </c>
      <c r="J82" s="64">
        <v>0.08</v>
      </c>
      <c r="K82" s="64">
        <v>50.75</v>
      </c>
      <c r="L82" s="64">
        <v>21.66</v>
      </c>
      <c r="M82" s="64">
        <v>64.22</v>
      </c>
      <c r="N82" s="64">
        <v>22.6</v>
      </c>
      <c r="O82" s="64">
        <v>0</v>
      </c>
      <c r="P82" s="64">
        <v>1.05</v>
      </c>
      <c r="Q82" s="64">
        <v>5.1100000000000003</v>
      </c>
      <c r="R82" s="198"/>
      <c r="S82" s="198"/>
      <c r="T82" s="198"/>
      <c r="U82" s="198"/>
    </row>
    <row r="83" spans="1:26" s="12" customFormat="1" x14ac:dyDescent="0.25">
      <c r="A83" s="214" t="s">
        <v>610</v>
      </c>
      <c r="B83" s="64">
        <v>10.56</v>
      </c>
      <c r="C83" s="64">
        <v>65.17</v>
      </c>
      <c r="D83" s="64">
        <v>45.08</v>
      </c>
      <c r="E83" s="64">
        <v>2.14</v>
      </c>
      <c r="F83" s="64">
        <v>3.42</v>
      </c>
      <c r="G83" s="64">
        <v>80.77</v>
      </c>
      <c r="H83" s="64">
        <v>36.82</v>
      </c>
      <c r="I83" s="64">
        <v>1.47</v>
      </c>
      <c r="J83" s="64">
        <v>0.17</v>
      </c>
      <c r="K83" s="64">
        <v>76.739999999999995</v>
      </c>
      <c r="L83" s="64">
        <v>21.7</v>
      </c>
      <c r="M83" s="64">
        <v>63.04</v>
      </c>
      <c r="N83" s="64">
        <v>22.6</v>
      </c>
      <c r="O83" s="64">
        <v>0</v>
      </c>
      <c r="P83" s="64">
        <v>1.06</v>
      </c>
      <c r="Q83" s="64">
        <v>5.08</v>
      </c>
      <c r="R83" s="198"/>
      <c r="S83" s="198"/>
      <c r="T83" s="198"/>
      <c r="U83" s="198"/>
    </row>
    <row r="84" spans="1:26" s="12" customFormat="1" x14ac:dyDescent="0.25">
      <c r="A84" s="214" t="s">
        <v>611</v>
      </c>
      <c r="B84" s="64">
        <v>11.02</v>
      </c>
      <c r="C84" s="64">
        <v>63.2</v>
      </c>
      <c r="D84" s="64">
        <v>44.37</v>
      </c>
      <c r="E84" s="64">
        <v>2.14</v>
      </c>
      <c r="F84" s="64">
        <v>3.41</v>
      </c>
      <c r="G84" s="64">
        <v>80.3</v>
      </c>
      <c r="H84" s="64">
        <v>37.76</v>
      </c>
      <c r="I84" s="64">
        <v>1.48</v>
      </c>
      <c r="J84" s="64">
        <v>0.22</v>
      </c>
      <c r="K84" s="64">
        <v>95.34</v>
      </c>
      <c r="L84" s="64">
        <v>21.73</v>
      </c>
      <c r="M84" s="64">
        <v>61.8</v>
      </c>
      <c r="N84" s="64">
        <v>22.8</v>
      </c>
      <c r="O84" s="64">
        <v>0</v>
      </c>
      <c r="P84" s="64">
        <v>1.04</v>
      </c>
      <c r="Q84" s="64">
        <v>5.04</v>
      </c>
      <c r="R84" s="198"/>
      <c r="S84" s="198"/>
      <c r="T84" s="198"/>
      <c r="U84" s="198"/>
    </row>
    <row r="85" spans="1:26" s="12" customFormat="1" x14ac:dyDescent="0.25">
      <c r="A85" s="214" t="s">
        <v>612</v>
      </c>
      <c r="B85" s="64">
        <v>11.11</v>
      </c>
      <c r="C85" s="64">
        <v>61.11</v>
      </c>
      <c r="D85" s="64">
        <v>43.28</v>
      </c>
      <c r="E85" s="64">
        <v>2.15</v>
      </c>
      <c r="F85" s="64">
        <v>3.54</v>
      </c>
      <c r="G85" s="64">
        <v>80.3</v>
      </c>
      <c r="H85" s="64">
        <v>37.76</v>
      </c>
      <c r="I85" s="64">
        <v>1.49</v>
      </c>
      <c r="J85" s="64">
        <v>0.18</v>
      </c>
      <c r="K85" s="64">
        <v>87.74</v>
      </c>
      <c r="L85" s="64">
        <v>21.66</v>
      </c>
      <c r="M85" s="64">
        <v>62.2</v>
      </c>
      <c r="N85" s="64">
        <v>23</v>
      </c>
      <c r="O85" s="64">
        <v>0</v>
      </c>
      <c r="P85" s="64">
        <v>1.02</v>
      </c>
      <c r="Q85" s="64">
        <v>4.96</v>
      </c>
      <c r="R85" s="198"/>
      <c r="S85" s="198"/>
      <c r="T85" s="198"/>
      <c r="U85" s="198"/>
    </row>
    <row r="86" spans="1:26" s="12" customFormat="1" x14ac:dyDescent="0.25">
      <c r="A86" s="214" t="s">
        <v>613</v>
      </c>
      <c r="B86" s="64">
        <v>11.34</v>
      </c>
      <c r="C86" s="64">
        <v>59.84</v>
      </c>
      <c r="D86" s="64">
        <v>42.77</v>
      </c>
      <c r="E86" s="64">
        <v>2.19</v>
      </c>
      <c r="F86" s="64">
        <v>3.57</v>
      </c>
      <c r="G86" s="64">
        <v>80.3</v>
      </c>
      <c r="H86" s="64">
        <v>37.76</v>
      </c>
      <c r="I86" s="64">
        <v>1.54</v>
      </c>
      <c r="J86" s="64">
        <v>0.33</v>
      </c>
      <c r="K86" s="64">
        <v>96.12</v>
      </c>
      <c r="L86" s="64">
        <v>21.63</v>
      </c>
      <c r="M86" s="64">
        <v>61.75</v>
      </c>
      <c r="N86" s="64">
        <v>22.9</v>
      </c>
      <c r="O86" s="64">
        <v>0</v>
      </c>
      <c r="P86" s="64">
        <v>1.03</v>
      </c>
      <c r="Q86" s="64">
        <v>4.92</v>
      </c>
      <c r="R86" s="198"/>
      <c r="S86" s="198"/>
      <c r="T86" s="198"/>
      <c r="U86" s="198"/>
    </row>
    <row r="87" spans="1:26" s="12" customFormat="1" x14ac:dyDescent="0.25">
      <c r="A87" s="214" t="s">
        <v>614</v>
      </c>
      <c r="B87" s="64">
        <v>11.53</v>
      </c>
      <c r="C87" s="64">
        <v>58.32</v>
      </c>
      <c r="D87" s="64">
        <v>42.08</v>
      </c>
      <c r="E87" s="64">
        <v>2.1800000000000002</v>
      </c>
      <c r="F87" s="64">
        <v>3.54</v>
      </c>
      <c r="G87" s="64">
        <v>80.02</v>
      </c>
      <c r="H87" s="64">
        <v>37.090000000000003</v>
      </c>
      <c r="I87" s="64">
        <v>1.48</v>
      </c>
      <c r="J87" s="64">
        <v>0.32</v>
      </c>
      <c r="K87" s="64">
        <v>101.85</v>
      </c>
      <c r="L87" s="64">
        <v>21.56</v>
      </c>
      <c r="M87" s="64">
        <v>61.74</v>
      </c>
      <c r="N87" s="64">
        <v>22.9</v>
      </c>
      <c r="O87" s="64">
        <v>0</v>
      </c>
      <c r="P87" s="64">
        <v>1.02</v>
      </c>
      <c r="Q87" s="64">
        <v>4.93</v>
      </c>
      <c r="R87" s="198"/>
      <c r="S87" s="198"/>
      <c r="T87" s="198"/>
      <c r="U87" s="198"/>
    </row>
    <row r="88" spans="1:26" s="12" customFormat="1" x14ac:dyDescent="0.25">
      <c r="A88" s="214" t="s">
        <v>615</v>
      </c>
      <c r="B88" s="64">
        <v>11.47</v>
      </c>
      <c r="C88" s="64">
        <v>57.23</v>
      </c>
      <c r="D88" s="64">
        <v>41.42</v>
      </c>
      <c r="E88" s="64">
        <v>2.02</v>
      </c>
      <c r="F88" s="64">
        <v>3.37</v>
      </c>
      <c r="G88" s="64">
        <v>78.86</v>
      </c>
      <c r="H88" s="64">
        <v>35.24</v>
      </c>
      <c r="I88" s="64">
        <v>1.44</v>
      </c>
      <c r="J88" s="64">
        <v>0.54</v>
      </c>
      <c r="K88" s="64">
        <v>105.78</v>
      </c>
      <c r="L88" s="64">
        <v>21.55</v>
      </c>
      <c r="M88" s="64">
        <v>61.45</v>
      </c>
      <c r="N88" s="64">
        <v>22.9</v>
      </c>
      <c r="O88" s="64">
        <v>0</v>
      </c>
      <c r="P88" s="64">
        <v>1.02</v>
      </c>
      <c r="Q88" s="64">
        <v>4.93</v>
      </c>
      <c r="R88" s="198"/>
      <c r="S88" s="198"/>
      <c r="T88" s="198"/>
      <c r="U88" s="198"/>
    </row>
    <row r="89" spans="1:26" s="12" customFormat="1" x14ac:dyDescent="0.25">
      <c r="A89" s="214" t="s">
        <v>616</v>
      </c>
      <c r="B89" s="64">
        <v>11.35</v>
      </c>
      <c r="C89" s="64">
        <v>56.26</v>
      </c>
      <c r="D89" s="64">
        <v>40.799999999999997</v>
      </c>
      <c r="E89" s="64">
        <v>2.13</v>
      </c>
      <c r="F89" s="64">
        <v>3.57</v>
      </c>
      <c r="G89" s="64">
        <v>78.86</v>
      </c>
      <c r="H89" s="64">
        <v>35.24</v>
      </c>
      <c r="I89" s="64">
        <v>1.55</v>
      </c>
      <c r="J89" s="64">
        <v>0.5</v>
      </c>
      <c r="K89" s="64">
        <v>98.3</v>
      </c>
      <c r="L89" s="64">
        <v>21.41</v>
      </c>
      <c r="M89" s="64">
        <v>62.33</v>
      </c>
      <c r="N89" s="64">
        <v>22.3</v>
      </c>
      <c r="O89" s="64">
        <v>0</v>
      </c>
      <c r="P89" s="64">
        <v>1.02</v>
      </c>
      <c r="Q89" s="64">
        <v>4.95</v>
      </c>
      <c r="R89" s="198"/>
      <c r="S89" s="198"/>
      <c r="T89" s="198"/>
      <c r="U89" s="198"/>
    </row>
    <row r="90" spans="1:26" s="12" customFormat="1" x14ac:dyDescent="0.25">
      <c r="A90" s="214" t="s">
        <v>617</v>
      </c>
      <c r="B90" s="64">
        <v>11.36</v>
      </c>
      <c r="C90" s="64">
        <v>55.52</v>
      </c>
      <c r="D90" s="64">
        <v>40.4</v>
      </c>
      <c r="E90" s="64">
        <v>2.17</v>
      </c>
      <c r="F90" s="64">
        <v>3.58</v>
      </c>
      <c r="G90" s="64">
        <v>78.86</v>
      </c>
      <c r="H90" s="64">
        <v>35.24</v>
      </c>
      <c r="I90" s="64">
        <v>1.5</v>
      </c>
      <c r="J90" s="64">
        <v>0.84</v>
      </c>
      <c r="K90" s="64">
        <v>106.7</v>
      </c>
      <c r="L90" s="64">
        <v>21.41</v>
      </c>
      <c r="M90" s="64">
        <v>61.25</v>
      </c>
      <c r="N90" s="64">
        <v>22.8</v>
      </c>
      <c r="O90" s="64">
        <v>0</v>
      </c>
      <c r="P90" s="64">
        <v>1</v>
      </c>
      <c r="Q90" s="64">
        <v>4.9400000000000004</v>
      </c>
      <c r="R90" s="198"/>
      <c r="S90" s="198"/>
      <c r="T90" s="198"/>
      <c r="U90" s="198"/>
    </row>
    <row r="91" spans="1:26" s="12" customFormat="1" x14ac:dyDescent="0.25">
      <c r="A91" s="214" t="s">
        <v>618</v>
      </c>
      <c r="B91" s="64">
        <v>11.18</v>
      </c>
      <c r="C91" s="64">
        <v>54.51</v>
      </c>
      <c r="D91" s="64">
        <v>39.700000000000003</v>
      </c>
      <c r="E91" s="64">
        <v>2.1800000000000002</v>
      </c>
      <c r="F91" s="64">
        <v>3.56</v>
      </c>
      <c r="G91" s="64">
        <v>78</v>
      </c>
      <c r="H91" s="64">
        <v>35.39</v>
      </c>
      <c r="I91" s="64">
        <v>1.49</v>
      </c>
      <c r="J91" s="64">
        <v>0.66</v>
      </c>
      <c r="K91" s="64">
        <v>107.74</v>
      </c>
      <c r="L91" s="64">
        <v>21.44</v>
      </c>
      <c r="M91" s="64">
        <v>60.77</v>
      </c>
      <c r="N91" s="64">
        <v>23</v>
      </c>
      <c r="O91" s="64">
        <v>0</v>
      </c>
      <c r="P91" s="64">
        <v>0.98</v>
      </c>
      <c r="Q91" s="64">
        <v>4.9400000000000004</v>
      </c>
      <c r="R91" s="198"/>
      <c r="S91" s="198"/>
      <c r="T91" s="198"/>
      <c r="U91" s="198"/>
    </row>
    <row r="92" spans="1:26" s="12" customFormat="1" x14ac:dyDescent="0.25">
      <c r="A92" s="214" t="s">
        <v>619</v>
      </c>
      <c r="B92" s="64">
        <v>11.03</v>
      </c>
      <c r="C92" s="64">
        <v>54.28</v>
      </c>
      <c r="D92" s="64">
        <v>39.450000000000003</v>
      </c>
      <c r="E92" s="64">
        <v>2.2200000000000002</v>
      </c>
      <c r="F92" s="64">
        <v>3.57</v>
      </c>
      <c r="G92" s="64">
        <v>74.540000000000006</v>
      </c>
      <c r="H92" s="64">
        <v>36.04</v>
      </c>
      <c r="I92" s="64">
        <v>1.49</v>
      </c>
      <c r="J92" s="64">
        <v>0.47</v>
      </c>
      <c r="K92" s="64">
        <v>100.69</v>
      </c>
      <c r="L92" s="64">
        <v>21.35</v>
      </c>
      <c r="M92" s="64">
        <v>61.06</v>
      </c>
      <c r="N92" s="64">
        <v>23</v>
      </c>
      <c r="O92" s="64">
        <v>0</v>
      </c>
      <c r="P92" s="64">
        <v>0.96</v>
      </c>
      <c r="Q92" s="64">
        <v>4.93</v>
      </c>
      <c r="R92" s="198"/>
      <c r="S92" s="198"/>
      <c r="T92" s="198"/>
      <c r="U92" s="198"/>
    </row>
    <row r="93" spans="1:26" s="12" customFormat="1" x14ac:dyDescent="0.25">
      <c r="A93" s="214" t="s">
        <v>620</v>
      </c>
      <c r="B93" s="64">
        <v>11.18</v>
      </c>
      <c r="C93" s="64">
        <v>52.91</v>
      </c>
      <c r="D93" s="64">
        <v>38.81</v>
      </c>
      <c r="E93" s="64">
        <v>2.19</v>
      </c>
      <c r="F93" s="64">
        <v>3.51</v>
      </c>
      <c r="G93" s="64">
        <v>74.540000000000006</v>
      </c>
      <c r="H93" s="64">
        <v>36.04</v>
      </c>
      <c r="I93" s="64">
        <v>1.49</v>
      </c>
      <c r="J93" s="64">
        <v>0.49</v>
      </c>
      <c r="K93" s="64">
        <v>103.38</v>
      </c>
      <c r="L93" s="64">
        <v>21.27</v>
      </c>
      <c r="M93" s="64">
        <v>61.15</v>
      </c>
      <c r="N93" s="64">
        <v>23</v>
      </c>
      <c r="O93" s="64">
        <v>0</v>
      </c>
      <c r="P93" s="64">
        <v>0.96</v>
      </c>
      <c r="Q93" s="64">
        <v>4.93</v>
      </c>
      <c r="R93" s="198"/>
      <c r="S93" s="198"/>
      <c r="T93" s="198"/>
      <c r="U93" s="198"/>
    </row>
    <row r="94" spans="1:26" s="12" customFormat="1" x14ac:dyDescent="0.25">
      <c r="A94" s="214" t="s">
        <v>621</v>
      </c>
      <c r="B94" s="64">
        <v>11.08</v>
      </c>
      <c r="C94" s="64">
        <v>47.79</v>
      </c>
      <c r="D94" s="64">
        <v>35.9</v>
      </c>
      <c r="E94" s="64">
        <v>2.2000000000000002</v>
      </c>
      <c r="F94" s="64">
        <v>3.82</v>
      </c>
      <c r="G94" s="64">
        <v>74.540000000000006</v>
      </c>
      <c r="H94" s="64">
        <v>36.04</v>
      </c>
      <c r="I94" s="64">
        <v>1.53</v>
      </c>
      <c r="J94" s="64">
        <v>0.63</v>
      </c>
      <c r="K94" s="64">
        <v>102.47</v>
      </c>
      <c r="L94" s="64">
        <v>21.13</v>
      </c>
      <c r="M94" s="64">
        <v>61.89</v>
      </c>
      <c r="N94" s="64">
        <v>23</v>
      </c>
      <c r="O94" s="64">
        <v>0</v>
      </c>
      <c r="P94" s="64">
        <v>0.94</v>
      </c>
      <c r="Q94" s="64">
        <v>5.0599999999999996</v>
      </c>
      <c r="R94" s="198"/>
      <c r="S94" s="198"/>
      <c r="T94" s="198"/>
      <c r="U94" s="198"/>
    </row>
    <row r="95" spans="1:26" s="12" customFormat="1" x14ac:dyDescent="0.25">
      <c r="A95" s="214" t="s">
        <v>622</v>
      </c>
      <c r="B95" s="64">
        <v>10.62</v>
      </c>
      <c r="C95" s="64">
        <v>49.09</v>
      </c>
      <c r="D95" s="64">
        <v>36.25</v>
      </c>
      <c r="E95" s="64">
        <v>2.16</v>
      </c>
      <c r="F95" s="64">
        <v>3.71</v>
      </c>
      <c r="G95" s="64">
        <v>72.72</v>
      </c>
      <c r="H95" s="64">
        <v>35.020000000000003</v>
      </c>
      <c r="I95" s="64">
        <v>1.52</v>
      </c>
      <c r="J95" s="64">
        <v>1.1100000000000001</v>
      </c>
      <c r="K95" s="64">
        <v>105.83</v>
      </c>
      <c r="L95" s="64">
        <v>21.02</v>
      </c>
      <c r="M95" s="64">
        <v>63.13</v>
      </c>
      <c r="N95" s="64">
        <v>23.1</v>
      </c>
      <c r="O95" s="64">
        <v>0</v>
      </c>
      <c r="P95" s="64">
        <v>0.91</v>
      </c>
      <c r="Q95" s="64">
        <v>5.05</v>
      </c>
      <c r="R95" s="198"/>
      <c r="S95" s="198"/>
      <c r="T95" s="198"/>
      <c r="U95" s="198"/>
    </row>
    <row r="96" spans="1:26" s="12" customFormat="1" x14ac:dyDescent="0.25">
      <c r="A96" s="214" t="s">
        <v>623</v>
      </c>
      <c r="B96" s="64">
        <v>10.06</v>
      </c>
      <c r="C96" s="64">
        <v>49.84</v>
      </c>
      <c r="D96" s="64">
        <v>36.22</v>
      </c>
      <c r="E96" s="64">
        <v>2.19</v>
      </c>
      <c r="F96" s="64">
        <v>3.38</v>
      </c>
      <c r="G96" s="64">
        <v>65.42</v>
      </c>
      <c r="H96" s="64">
        <v>32.24</v>
      </c>
      <c r="I96" s="64">
        <v>1.49</v>
      </c>
      <c r="J96" s="64">
        <v>0.32</v>
      </c>
      <c r="K96" s="64">
        <v>91.38</v>
      </c>
      <c r="L96" s="64">
        <v>20.88</v>
      </c>
      <c r="M96" s="64">
        <v>65.13</v>
      </c>
      <c r="N96" s="64">
        <v>23.1</v>
      </c>
      <c r="O96" s="64">
        <v>0</v>
      </c>
      <c r="P96" s="64">
        <v>0.9</v>
      </c>
      <c r="Q96" s="64">
        <v>4.9800000000000004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624</v>
      </c>
      <c r="B97" s="64">
        <v>10.43</v>
      </c>
      <c r="C97" s="64">
        <v>48.88</v>
      </c>
      <c r="D97" s="64">
        <v>35.99</v>
      </c>
      <c r="E97" s="64">
        <v>2.21</v>
      </c>
      <c r="F97" s="64">
        <v>3.52</v>
      </c>
      <c r="G97" s="64">
        <v>65.42</v>
      </c>
      <c r="H97" s="64">
        <v>32.24</v>
      </c>
      <c r="I97" s="64">
        <v>1.43</v>
      </c>
      <c r="J97" s="64">
        <v>0.82</v>
      </c>
      <c r="K97" s="64">
        <v>101.12</v>
      </c>
      <c r="L97" s="64">
        <v>20.75</v>
      </c>
      <c r="M97" s="64">
        <v>66.510000000000005</v>
      </c>
      <c r="N97" s="64">
        <v>22.9</v>
      </c>
      <c r="O97" s="64">
        <v>0</v>
      </c>
      <c r="P97" s="64">
        <v>0.89</v>
      </c>
      <c r="Q97" s="64">
        <v>5</v>
      </c>
      <c r="R97" s="198"/>
      <c r="S97" s="198"/>
      <c r="T97" s="198"/>
      <c r="U97" s="198"/>
    </row>
    <row r="98" spans="1:33" s="12" customFormat="1" x14ac:dyDescent="0.25">
      <c r="A98" s="214" t="s">
        <v>625</v>
      </c>
      <c r="B98" s="64">
        <v>10.37</v>
      </c>
      <c r="C98" s="64">
        <v>48.75</v>
      </c>
      <c r="D98" s="64">
        <v>35.869999999999997</v>
      </c>
      <c r="E98" s="64">
        <v>2.15</v>
      </c>
      <c r="F98" s="64">
        <v>3.58</v>
      </c>
      <c r="G98" s="64">
        <v>65.42</v>
      </c>
      <c r="H98" s="64">
        <v>32.24</v>
      </c>
      <c r="I98" s="64">
        <v>1.47</v>
      </c>
      <c r="J98" s="64">
        <v>0.34</v>
      </c>
      <c r="K98" s="64">
        <v>99.27</v>
      </c>
      <c r="L98" s="64">
        <v>20.38</v>
      </c>
      <c r="M98" s="64">
        <v>70.89</v>
      </c>
      <c r="N98" s="64">
        <v>21.4</v>
      </c>
      <c r="O98" s="64">
        <v>0</v>
      </c>
      <c r="P98" s="64">
        <v>0.86</v>
      </c>
      <c r="Q98" s="64">
        <v>5.01</v>
      </c>
      <c r="R98" s="198"/>
      <c r="S98" s="198"/>
      <c r="T98" s="198"/>
      <c r="U98" s="198"/>
    </row>
    <row r="99" spans="1:33" s="12" customFormat="1" x14ac:dyDescent="0.25">
      <c r="A99" s="214" t="s">
        <v>626</v>
      </c>
      <c r="B99" s="64">
        <v>10.23</v>
      </c>
      <c r="C99" s="64">
        <v>50.18</v>
      </c>
      <c r="D99" s="64">
        <v>36.54</v>
      </c>
      <c r="E99" s="64">
        <v>2.2000000000000002</v>
      </c>
      <c r="F99" s="64">
        <v>3.54</v>
      </c>
      <c r="G99" s="64">
        <v>64.290000000000006</v>
      </c>
      <c r="H99" s="64">
        <v>31.95</v>
      </c>
      <c r="I99" s="64">
        <v>1.44</v>
      </c>
      <c r="J99" s="64">
        <v>0.17</v>
      </c>
      <c r="K99" s="64">
        <v>82.42</v>
      </c>
      <c r="L99" s="64">
        <v>20.18</v>
      </c>
      <c r="M99" s="64">
        <v>72.680000000000007</v>
      </c>
      <c r="N99" s="64">
        <v>21.6</v>
      </c>
      <c r="O99" s="64">
        <v>0</v>
      </c>
      <c r="P99" s="64">
        <v>0.85</v>
      </c>
      <c r="Q99" s="64">
        <v>4.9400000000000004</v>
      </c>
      <c r="R99" s="198"/>
      <c r="S99" s="198"/>
      <c r="T99" s="198"/>
      <c r="U99" s="198"/>
    </row>
    <row r="100" spans="1:33" s="12" customFormat="1" x14ac:dyDescent="0.25">
      <c r="A100" s="214" t="s">
        <v>627</v>
      </c>
      <c r="B100" s="64">
        <v>10.71</v>
      </c>
      <c r="C100" s="64">
        <v>49.87</v>
      </c>
      <c r="D100" s="64">
        <v>36.75</v>
      </c>
      <c r="E100" s="64">
        <v>2.13</v>
      </c>
      <c r="F100" s="64">
        <v>3.66</v>
      </c>
      <c r="G100" s="64">
        <v>59.77</v>
      </c>
      <c r="H100" s="64">
        <v>31.16</v>
      </c>
      <c r="I100" s="64">
        <v>1.51</v>
      </c>
      <c r="J100" s="64">
        <v>0.37</v>
      </c>
      <c r="K100" s="64">
        <v>95.74</v>
      </c>
      <c r="L100" s="64">
        <v>20.22</v>
      </c>
      <c r="M100" s="64">
        <v>71.91</v>
      </c>
      <c r="N100" s="64">
        <v>22.3</v>
      </c>
      <c r="O100" s="64">
        <v>0</v>
      </c>
      <c r="P100" s="64">
        <v>0.83</v>
      </c>
      <c r="Q100" s="64">
        <v>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628</v>
      </c>
      <c r="B101" s="64">
        <v>10.69</v>
      </c>
      <c r="C101" s="64">
        <v>49.83</v>
      </c>
      <c r="D101" s="64">
        <v>36.72</v>
      </c>
      <c r="E101" s="64">
        <v>2.2000000000000002</v>
      </c>
      <c r="F101" s="64">
        <v>3.59</v>
      </c>
      <c r="G101" s="64">
        <v>59.77</v>
      </c>
      <c r="H101" s="64">
        <v>31.16</v>
      </c>
      <c r="I101" s="64">
        <v>1.42</v>
      </c>
      <c r="J101" s="64">
        <v>0.16</v>
      </c>
      <c r="K101" s="64">
        <v>349.56</v>
      </c>
      <c r="L101" s="64">
        <v>20.190000000000001</v>
      </c>
      <c r="M101" s="64">
        <v>72.349999999999994</v>
      </c>
      <c r="N101" s="64">
        <v>23</v>
      </c>
      <c r="O101" s="64">
        <v>0</v>
      </c>
      <c r="P101" s="64">
        <v>0.8</v>
      </c>
      <c r="Q101" s="64">
        <v>5.04</v>
      </c>
      <c r="R101" s="198"/>
      <c r="S101" s="198"/>
      <c r="T101" s="198"/>
      <c r="U101" s="198"/>
    </row>
    <row r="102" spans="1:33" s="12" customFormat="1" x14ac:dyDescent="0.25">
      <c r="A102" s="214" t="s">
        <v>629</v>
      </c>
      <c r="B102" s="64">
        <v>10.31</v>
      </c>
      <c r="C102" s="64">
        <v>49.8</v>
      </c>
      <c r="D102" s="64">
        <v>36.4</v>
      </c>
      <c r="E102" s="64">
        <v>2.2000000000000002</v>
      </c>
      <c r="F102" s="64">
        <v>3.62</v>
      </c>
      <c r="G102" s="64">
        <v>59.77</v>
      </c>
      <c r="H102" s="64">
        <v>31.16</v>
      </c>
      <c r="I102" s="64">
        <v>1.43</v>
      </c>
      <c r="J102" s="64">
        <v>0.13</v>
      </c>
      <c r="K102" s="64">
        <v>13.97</v>
      </c>
      <c r="L102" s="64">
        <v>20.100000000000001</v>
      </c>
      <c r="M102" s="64">
        <v>73.489999999999995</v>
      </c>
      <c r="N102" s="64">
        <v>23.1</v>
      </c>
      <c r="O102" s="64">
        <v>0</v>
      </c>
      <c r="P102" s="64">
        <v>0.78</v>
      </c>
      <c r="Q102" s="64">
        <v>5.0199999999999996</v>
      </c>
      <c r="R102" s="198"/>
      <c r="S102" s="198"/>
      <c r="T102" s="198"/>
      <c r="U102" s="198"/>
    </row>
    <row r="103" spans="1:33" s="12" customFormat="1" x14ac:dyDescent="0.25">
      <c r="A103" s="214" t="s">
        <v>630</v>
      </c>
      <c r="B103" s="64">
        <v>9.9700000000000006</v>
      </c>
      <c r="C103" s="64">
        <v>49.6</v>
      </c>
      <c r="D103" s="64">
        <v>36.01</v>
      </c>
      <c r="E103" s="64">
        <v>2.15</v>
      </c>
      <c r="F103" s="64">
        <v>3.61</v>
      </c>
      <c r="G103" s="64">
        <v>59.27</v>
      </c>
      <c r="H103" s="64">
        <v>30.11</v>
      </c>
      <c r="I103" s="64">
        <v>1.56</v>
      </c>
      <c r="J103" s="64">
        <v>0.12</v>
      </c>
      <c r="K103" s="64">
        <v>7.03</v>
      </c>
      <c r="L103" s="64">
        <v>19.97</v>
      </c>
      <c r="M103" s="64">
        <v>75.31</v>
      </c>
      <c r="N103" s="64">
        <v>23.2</v>
      </c>
      <c r="O103" s="64">
        <v>0</v>
      </c>
      <c r="P103" s="64">
        <v>0.76</v>
      </c>
      <c r="Q103" s="64">
        <v>5</v>
      </c>
      <c r="R103" s="198"/>
      <c r="S103" s="198"/>
      <c r="T103" s="198"/>
      <c r="U103" s="198"/>
    </row>
    <row r="104" spans="1:33" s="12" customFormat="1" x14ac:dyDescent="0.25">
      <c r="A104" s="214" t="s">
        <v>631</v>
      </c>
      <c r="B104" s="64">
        <v>9.4600000000000009</v>
      </c>
      <c r="C104" s="64">
        <v>49.66</v>
      </c>
      <c r="D104" s="64">
        <v>35.64</v>
      </c>
      <c r="E104" s="64">
        <v>2.2000000000000002</v>
      </c>
      <c r="F104" s="64">
        <v>3.55</v>
      </c>
      <c r="G104" s="64">
        <v>57.29</v>
      </c>
      <c r="H104" s="64">
        <v>27.27</v>
      </c>
      <c r="I104" s="64">
        <v>1.52</v>
      </c>
      <c r="J104" s="64">
        <v>0.09</v>
      </c>
      <c r="K104" s="64">
        <v>11.73</v>
      </c>
      <c r="L104" s="64">
        <v>19.8</v>
      </c>
      <c r="M104" s="64">
        <v>76.94</v>
      </c>
      <c r="N104" s="64">
        <v>23.2</v>
      </c>
      <c r="O104" s="64">
        <v>0</v>
      </c>
      <c r="P104" s="64">
        <v>0.74</v>
      </c>
      <c r="Q104" s="64">
        <v>4.95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3.16</v>
      </c>
      <c r="C106" s="67">
        <f>MIN(C9:C104)</f>
        <v>5.57</v>
      </c>
      <c r="D106" s="67">
        <f t="shared" ref="D106:Q106" si="0">MIN(D9:D104)</f>
        <v>26.18</v>
      </c>
      <c r="E106" s="67">
        <f t="shared" si="0"/>
        <v>2</v>
      </c>
      <c r="F106" s="67">
        <f t="shared" si="0"/>
        <v>3.2</v>
      </c>
      <c r="G106" s="67">
        <f t="shared" si="0"/>
        <v>57.29</v>
      </c>
      <c r="H106" s="67">
        <f t="shared" si="0"/>
        <v>22.79</v>
      </c>
      <c r="I106" s="67">
        <f t="shared" si="0"/>
        <v>1.36</v>
      </c>
      <c r="J106" s="67">
        <f t="shared" si="0"/>
        <v>0.05</v>
      </c>
      <c r="K106" s="67">
        <f t="shared" si="0"/>
        <v>2.48</v>
      </c>
      <c r="L106" s="67">
        <f t="shared" si="0"/>
        <v>17.43</v>
      </c>
      <c r="M106" s="67">
        <f t="shared" si="0"/>
        <v>58.94</v>
      </c>
      <c r="N106" s="67">
        <f t="shared" si="0"/>
        <v>21.3</v>
      </c>
      <c r="O106" s="67">
        <f t="shared" si="0"/>
        <v>0</v>
      </c>
      <c r="P106" s="67">
        <f t="shared" si="0"/>
        <v>0.01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167.4</v>
      </c>
      <c r="C107" s="66">
        <f t="shared" ref="C107:Q107" si="1">MAX(C9:C104)</f>
        <v>70.27</v>
      </c>
      <c r="D107" s="66">
        <f t="shared" si="1"/>
        <v>148.51</v>
      </c>
      <c r="E107" s="66">
        <f t="shared" si="1"/>
        <v>38</v>
      </c>
      <c r="F107" s="66">
        <f t="shared" si="1"/>
        <v>252.71</v>
      </c>
      <c r="G107" s="66">
        <f t="shared" si="1"/>
        <v>93.24</v>
      </c>
      <c r="H107" s="66">
        <f t="shared" si="1"/>
        <v>39.840000000000003</v>
      </c>
      <c r="I107" s="66">
        <f t="shared" si="1"/>
        <v>1.6</v>
      </c>
      <c r="J107" s="66">
        <f t="shared" si="1"/>
        <v>1.1100000000000001</v>
      </c>
      <c r="K107" s="66">
        <f t="shared" si="1"/>
        <v>358.04</v>
      </c>
      <c r="L107" s="66">
        <f t="shared" si="1"/>
        <v>24.49</v>
      </c>
      <c r="M107" s="66">
        <f t="shared" si="1"/>
        <v>89.37</v>
      </c>
      <c r="N107" s="66">
        <f t="shared" si="1"/>
        <v>310.89999999999998</v>
      </c>
      <c r="O107" s="66">
        <f t="shared" si="1"/>
        <v>0</v>
      </c>
      <c r="P107" s="66">
        <f t="shared" si="1"/>
        <v>1.06</v>
      </c>
      <c r="Q107" s="66">
        <f t="shared" si="1"/>
        <v>6.27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10.257708333333335</v>
      </c>
      <c r="C108" s="67">
        <f t="shared" ref="C108:Q108" si="2">AVERAGE(C9:C104)</f>
        <v>51.012500000000017</v>
      </c>
      <c r="D108" s="67">
        <f t="shared" si="2"/>
        <v>37.123125000000009</v>
      </c>
      <c r="E108" s="67">
        <f t="shared" si="2"/>
        <v>3.9904301075268807</v>
      </c>
      <c r="F108" s="67">
        <f t="shared" si="2"/>
        <v>6.5321875000000018</v>
      </c>
      <c r="G108" s="67">
        <f t="shared" si="2"/>
        <v>72.553958333333341</v>
      </c>
      <c r="H108" s="67">
        <f t="shared" si="2"/>
        <v>33.293437499999989</v>
      </c>
      <c r="I108" s="67">
        <f t="shared" si="2"/>
        <v>1.4949999999999999</v>
      </c>
      <c r="J108" s="67">
        <f t="shared" si="2"/>
        <v>0.35999999999999993</v>
      </c>
      <c r="K108" s="67">
        <f t="shared" si="2"/>
        <v>169.65322916666665</v>
      </c>
      <c r="L108" s="67">
        <f t="shared" si="2"/>
        <v>20.976250000000011</v>
      </c>
      <c r="M108" s="67">
        <f t="shared" si="2"/>
        <v>71.260312500000012</v>
      </c>
      <c r="N108" s="67">
        <f t="shared" si="2"/>
        <v>84.73541666666668</v>
      </c>
      <c r="O108" s="67">
        <f t="shared" si="2"/>
        <v>0</v>
      </c>
      <c r="P108" s="67">
        <f t="shared" si="2"/>
        <v>0.88277777777777766</v>
      </c>
      <c r="Q108" s="67">
        <f t="shared" si="2"/>
        <v>5.1569473684210525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17.241814807347783</v>
      </c>
      <c r="C109" s="67">
        <f t="shared" ref="C109:Q109" si="3">STDEV(C9:C104)</f>
        <v>9.615564903896745</v>
      </c>
      <c r="D109" s="67">
        <f t="shared" si="3"/>
        <v>12.863951534382668</v>
      </c>
      <c r="E109" s="67">
        <f t="shared" si="3"/>
        <v>7.303027054641305</v>
      </c>
      <c r="F109" s="67">
        <f t="shared" si="3"/>
        <v>25.408567978999152</v>
      </c>
      <c r="G109" s="67">
        <f t="shared" si="3"/>
        <v>9.9025548515378379</v>
      </c>
      <c r="H109" s="67">
        <f t="shared" si="3"/>
        <v>3.9419129281220231</v>
      </c>
      <c r="I109" s="67">
        <f t="shared" si="3"/>
        <v>4.23270474681193E-2</v>
      </c>
      <c r="J109" s="67">
        <f t="shared" si="3"/>
        <v>0.24329752199832691</v>
      </c>
      <c r="K109" s="67">
        <f t="shared" si="3"/>
        <v>125.96864950408809</v>
      </c>
      <c r="L109" s="67">
        <f t="shared" si="3"/>
        <v>1.9750678869078744</v>
      </c>
      <c r="M109" s="67">
        <f t="shared" si="3"/>
        <v>8.7747368775215531</v>
      </c>
      <c r="N109" s="67">
        <f t="shared" si="3"/>
        <v>90.313947141322629</v>
      </c>
      <c r="O109" s="67">
        <f t="shared" si="3"/>
        <v>0</v>
      </c>
      <c r="P109" s="67">
        <f t="shared" si="3"/>
        <v>0.13530583221580589</v>
      </c>
      <c r="Q109" s="67">
        <f t="shared" si="3"/>
        <v>0.60629336639669096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O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COUNT(E9:E104)+3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COUNT(P9:P104)+24</f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2" sqref="G1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632</v>
      </c>
      <c r="B9" s="64">
        <v>8.51</v>
      </c>
      <c r="C9" s="64">
        <v>48.47</v>
      </c>
      <c r="D9" s="64">
        <v>34.22</v>
      </c>
      <c r="E9" s="64">
        <v>2.2000000000000002</v>
      </c>
      <c r="F9" s="64">
        <v>3.61</v>
      </c>
      <c r="G9" s="64">
        <v>57.29</v>
      </c>
      <c r="H9" s="64">
        <v>27.27</v>
      </c>
      <c r="I9" s="64">
        <v>1.54</v>
      </c>
      <c r="J9" s="64">
        <v>0.22</v>
      </c>
      <c r="K9" s="64">
        <v>84.67</v>
      </c>
      <c r="L9" s="64">
        <v>19.62</v>
      </c>
      <c r="M9" s="64">
        <v>78.989999999999995</v>
      </c>
      <c r="N9" s="64">
        <v>23.3</v>
      </c>
      <c r="O9" s="64">
        <v>0</v>
      </c>
      <c r="P9" s="64">
        <v>0.71</v>
      </c>
      <c r="Q9" s="64">
        <v>4.87</v>
      </c>
      <c r="R9" s="198"/>
      <c r="S9" s="198"/>
      <c r="T9" s="198"/>
      <c r="U9" s="198"/>
    </row>
    <row r="10" spans="1:21" s="12" customFormat="1" x14ac:dyDescent="0.25">
      <c r="A10" s="214" t="s">
        <v>633</v>
      </c>
      <c r="B10" s="64">
        <v>7.59</v>
      </c>
      <c r="C10" s="64">
        <v>47.7</v>
      </c>
      <c r="D10" s="64">
        <v>33.06</v>
      </c>
      <c r="E10" s="64">
        <v>2.21</v>
      </c>
      <c r="F10" s="64">
        <v>7.36</v>
      </c>
      <c r="G10" s="64">
        <v>57.29</v>
      </c>
      <c r="H10" s="64">
        <v>27.27</v>
      </c>
      <c r="I10" s="64">
        <v>1.53</v>
      </c>
      <c r="J10" s="64">
        <v>0.17</v>
      </c>
      <c r="K10" s="64">
        <v>60.36</v>
      </c>
      <c r="L10" s="64">
        <v>19.600000000000001</v>
      </c>
      <c r="M10" s="64">
        <v>79.63</v>
      </c>
      <c r="N10" s="64">
        <v>23.1</v>
      </c>
      <c r="O10" s="64">
        <v>0</v>
      </c>
      <c r="P10" s="64">
        <v>0.69</v>
      </c>
      <c r="Q10" s="64">
        <v>4.8099999999999996</v>
      </c>
      <c r="R10" s="198"/>
      <c r="S10" s="198"/>
      <c r="T10" s="198"/>
      <c r="U10" s="198"/>
    </row>
    <row r="11" spans="1:21" s="12" customFormat="1" x14ac:dyDescent="0.25">
      <c r="A11" s="214" t="s">
        <v>634</v>
      </c>
      <c r="B11" s="64">
        <v>6.8</v>
      </c>
      <c r="C11" s="64">
        <v>47.08</v>
      </c>
      <c r="D11" s="64">
        <v>32.08</v>
      </c>
      <c r="E11" s="64">
        <v>2.27</v>
      </c>
      <c r="F11" s="64">
        <v>11.16</v>
      </c>
      <c r="G11" s="64">
        <v>56.32</v>
      </c>
      <c r="H11" s="64">
        <v>27.51</v>
      </c>
      <c r="I11" s="64">
        <v>1.44</v>
      </c>
      <c r="J11" s="64">
        <v>7.0000000000000007E-2</v>
      </c>
      <c r="K11" s="64">
        <v>12.62</v>
      </c>
      <c r="L11" s="64">
        <v>19.52</v>
      </c>
      <c r="M11" s="64">
        <v>80.42</v>
      </c>
      <c r="N11" s="64">
        <v>23.1</v>
      </c>
      <c r="O11" s="64">
        <v>0</v>
      </c>
      <c r="P11" s="64">
        <v>0.67</v>
      </c>
      <c r="Q11" s="64">
        <v>4.8600000000000003</v>
      </c>
      <c r="R11" s="198"/>
      <c r="S11" s="198"/>
      <c r="T11" s="198"/>
      <c r="U11" s="198"/>
    </row>
    <row r="12" spans="1:21" s="12" customFormat="1" x14ac:dyDescent="0.25">
      <c r="A12" s="214" t="s">
        <v>635</v>
      </c>
      <c r="B12" s="64">
        <v>6.2</v>
      </c>
      <c r="C12" s="64">
        <v>46.93</v>
      </c>
      <c r="D12" s="64">
        <v>31.52</v>
      </c>
      <c r="E12" s="64">
        <v>2.1800000000000002</v>
      </c>
      <c r="F12" s="64">
        <v>18.62</v>
      </c>
      <c r="G12" s="64">
        <v>52.45</v>
      </c>
      <c r="H12" s="64">
        <v>28.54</v>
      </c>
      <c r="I12" s="64">
        <v>1.5</v>
      </c>
      <c r="J12" s="64">
        <v>0.17</v>
      </c>
      <c r="K12" s="64">
        <v>48.58</v>
      </c>
      <c r="L12" s="64">
        <v>19.48</v>
      </c>
      <c r="M12" s="64">
        <v>82.44</v>
      </c>
      <c r="N12" s="64">
        <v>23.3</v>
      </c>
      <c r="O12" s="64">
        <v>0</v>
      </c>
      <c r="P12" s="64">
        <v>0.64</v>
      </c>
      <c r="Q12" s="64">
        <v>5.0599999999999996</v>
      </c>
      <c r="R12" s="198"/>
      <c r="S12" s="198"/>
      <c r="T12" s="198"/>
      <c r="U12" s="198"/>
    </row>
    <row r="13" spans="1:21" s="12" customFormat="1" x14ac:dyDescent="0.25">
      <c r="A13" s="214" t="s">
        <v>636</v>
      </c>
      <c r="B13" s="64">
        <v>5.9</v>
      </c>
      <c r="C13" s="64">
        <v>46.95</v>
      </c>
      <c r="D13" s="64">
        <v>31.29</v>
      </c>
      <c r="E13" s="64">
        <v>2.25</v>
      </c>
      <c r="F13" s="64">
        <v>24.21</v>
      </c>
      <c r="G13" s="64">
        <v>52.45</v>
      </c>
      <c r="H13" s="64">
        <v>28.54</v>
      </c>
      <c r="I13" s="64">
        <v>1.52</v>
      </c>
      <c r="J13" s="64">
        <v>0.34</v>
      </c>
      <c r="K13" s="64">
        <v>344.81</v>
      </c>
      <c r="L13" s="64">
        <v>19.2</v>
      </c>
      <c r="M13" s="64">
        <v>86.76</v>
      </c>
      <c r="N13" s="64">
        <v>22.8</v>
      </c>
      <c r="O13" s="64">
        <v>0</v>
      </c>
      <c r="P13" s="64">
        <v>0.66</v>
      </c>
      <c r="Q13" s="64">
        <v>5.12</v>
      </c>
      <c r="R13" s="198"/>
      <c r="S13" s="198"/>
      <c r="T13" s="198"/>
      <c r="U13" s="198"/>
    </row>
    <row r="14" spans="1:21" s="12" customFormat="1" x14ac:dyDescent="0.25">
      <c r="A14" s="214" t="s">
        <v>637</v>
      </c>
      <c r="B14" s="64">
        <v>5.84</v>
      </c>
      <c r="C14" s="64">
        <v>46.1</v>
      </c>
      <c r="D14" s="64">
        <v>30.77</v>
      </c>
      <c r="E14" s="64">
        <v>2.2400000000000002</v>
      </c>
      <c r="F14" s="64">
        <v>24.39</v>
      </c>
      <c r="G14" s="64">
        <v>52.45</v>
      </c>
      <c r="H14" s="64">
        <v>28.54</v>
      </c>
      <c r="I14" s="64">
        <v>1.45</v>
      </c>
      <c r="J14" s="64">
        <v>0.51</v>
      </c>
      <c r="K14" s="64">
        <v>336.79</v>
      </c>
      <c r="L14" s="64">
        <v>18.86</v>
      </c>
      <c r="M14" s="64">
        <v>90.07</v>
      </c>
      <c r="N14" s="64">
        <v>23.5</v>
      </c>
      <c r="O14" s="64">
        <v>0</v>
      </c>
      <c r="P14" s="64">
        <v>0.67</v>
      </c>
      <c r="Q14" s="64">
        <v>5.2</v>
      </c>
      <c r="R14" s="198"/>
      <c r="S14" s="198"/>
      <c r="T14" s="198"/>
      <c r="U14" s="198"/>
    </row>
    <row r="15" spans="1:21" s="12" customFormat="1" x14ac:dyDescent="0.25">
      <c r="A15" s="214" t="s">
        <v>638</v>
      </c>
      <c r="B15" s="64">
        <v>5.78</v>
      </c>
      <c r="C15" s="64">
        <v>45.75</v>
      </c>
      <c r="D15" s="64">
        <v>30.53</v>
      </c>
      <c r="E15" s="64">
        <v>2.2200000000000002</v>
      </c>
      <c r="F15" s="64">
        <v>23.39</v>
      </c>
      <c r="G15" s="64">
        <v>50.96</v>
      </c>
      <c r="H15" s="64">
        <v>27.36</v>
      </c>
      <c r="I15" s="64">
        <v>1.51</v>
      </c>
      <c r="J15" s="64">
        <v>0.53</v>
      </c>
      <c r="K15" s="64">
        <v>332.86</v>
      </c>
      <c r="L15" s="64">
        <v>18.68</v>
      </c>
      <c r="M15" s="64">
        <v>93.79</v>
      </c>
      <c r="N15" s="64">
        <v>23.4</v>
      </c>
      <c r="O15" s="64">
        <v>0</v>
      </c>
      <c r="P15" s="64">
        <v>0.65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4" t="s">
        <v>639</v>
      </c>
      <c r="B16" s="64">
        <v>5.81</v>
      </c>
      <c r="C16" s="64">
        <v>45.75</v>
      </c>
      <c r="D16" s="64">
        <v>30.56</v>
      </c>
      <c r="E16" s="64">
        <v>2.19</v>
      </c>
      <c r="F16" s="64">
        <v>22.58</v>
      </c>
      <c r="G16" s="64">
        <v>45.01</v>
      </c>
      <c r="H16" s="64">
        <v>24.15</v>
      </c>
      <c r="I16" s="64">
        <v>1.44</v>
      </c>
      <c r="J16" s="64">
        <v>0.57999999999999996</v>
      </c>
      <c r="K16" s="64">
        <v>340.93</v>
      </c>
      <c r="L16" s="64">
        <v>18.350000000000001</v>
      </c>
      <c r="M16" s="64">
        <v>95.93</v>
      </c>
      <c r="N16" s="64">
        <v>21.9</v>
      </c>
      <c r="O16" s="64">
        <v>0</v>
      </c>
      <c r="P16" s="64">
        <v>0.63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4" t="s">
        <v>640</v>
      </c>
      <c r="B17" s="64">
        <v>5.88</v>
      </c>
      <c r="C17" s="64">
        <v>45.05</v>
      </c>
      <c r="D17" s="64">
        <v>30.22</v>
      </c>
      <c r="E17" s="64">
        <v>2.2400000000000002</v>
      </c>
      <c r="F17" s="64">
        <v>24.36</v>
      </c>
      <c r="G17" s="64">
        <v>45.01</v>
      </c>
      <c r="H17" s="64">
        <v>24.15</v>
      </c>
      <c r="I17" s="64">
        <v>1.44</v>
      </c>
      <c r="J17" s="64">
        <v>0.79</v>
      </c>
      <c r="K17" s="64">
        <v>344.82</v>
      </c>
      <c r="L17" s="64">
        <v>18.350000000000001</v>
      </c>
      <c r="M17" s="64">
        <v>96.21</v>
      </c>
      <c r="N17" s="64">
        <v>22.3</v>
      </c>
      <c r="O17" s="64">
        <v>0</v>
      </c>
      <c r="P17" s="64">
        <v>0.61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641</v>
      </c>
      <c r="B18" s="64">
        <v>5.81</v>
      </c>
      <c r="C18" s="64">
        <v>44.88</v>
      </c>
      <c r="D18" s="64">
        <v>30.07</v>
      </c>
      <c r="E18" s="64">
        <v>2.2400000000000002</v>
      </c>
      <c r="F18" s="64">
        <v>23.24</v>
      </c>
      <c r="G18" s="64">
        <v>45.01</v>
      </c>
      <c r="H18" s="64">
        <v>24.15</v>
      </c>
      <c r="I18" s="64">
        <v>1.56</v>
      </c>
      <c r="J18" s="64">
        <v>0.91</v>
      </c>
      <c r="K18" s="64">
        <v>341.36</v>
      </c>
      <c r="L18" s="64">
        <v>18.22</v>
      </c>
      <c r="M18" s="64">
        <v>97.55</v>
      </c>
      <c r="N18" s="64">
        <v>22.8</v>
      </c>
      <c r="O18" s="64">
        <v>0</v>
      </c>
      <c r="P18" s="64">
        <v>0.6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4" t="s">
        <v>642</v>
      </c>
      <c r="B19" s="64">
        <v>5.78</v>
      </c>
      <c r="C19" s="64">
        <v>44.91</v>
      </c>
      <c r="D19" s="64">
        <v>30.07</v>
      </c>
      <c r="E19" s="64">
        <v>2.21</v>
      </c>
      <c r="F19" s="64">
        <v>24.82</v>
      </c>
      <c r="G19" s="64">
        <v>43.95</v>
      </c>
      <c r="H19" s="64">
        <v>24.69</v>
      </c>
      <c r="I19" s="64">
        <v>1.48</v>
      </c>
      <c r="J19" s="64">
        <v>0.85</v>
      </c>
      <c r="K19" s="64">
        <v>336.87</v>
      </c>
      <c r="L19" s="64">
        <v>18.11</v>
      </c>
      <c r="M19" s="64">
        <v>98.08</v>
      </c>
      <c r="N19" s="64">
        <v>22.4</v>
      </c>
      <c r="O19" s="64">
        <v>0</v>
      </c>
      <c r="P19" s="64">
        <v>0.56999999999999995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4" t="s">
        <v>643</v>
      </c>
      <c r="B20" s="64">
        <v>5.74</v>
      </c>
      <c r="C20" s="64">
        <v>44.9</v>
      </c>
      <c r="D20" s="64">
        <v>30.02</v>
      </c>
      <c r="E20" s="64">
        <v>2.25</v>
      </c>
      <c r="F20" s="64">
        <v>22.31</v>
      </c>
      <c r="G20" s="64">
        <v>39.729999999999997</v>
      </c>
      <c r="H20" s="64">
        <v>26.24</v>
      </c>
      <c r="I20" s="64">
        <v>1.53</v>
      </c>
      <c r="J20" s="64">
        <v>0.77</v>
      </c>
      <c r="K20" s="64">
        <v>342.14</v>
      </c>
      <c r="L20" s="64">
        <v>18.04</v>
      </c>
      <c r="M20" s="64">
        <v>98.1</v>
      </c>
      <c r="N20" s="64">
        <v>23.1</v>
      </c>
      <c r="O20" s="64">
        <v>0</v>
      </c>
      <c r="P20" s="64">
        <v>0.56000000000000005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4" t="s">
        <v>644</v>
      </c>
      <c r="B21" s="64">
        <v>5.69</v>
      </c>
      <c r="C21" s="64">
        <v>44.32</v>
      </c>
      <c r="D21" s="64">
        <v>29.67</v>
      </c>
      <c r="E21" s="64">
        <v>2.2200000000000002</v>
      </c>
      <c r="F21" s="64">
        <v>25.26</v>
      </c>
      <c r="G21" s="64">
        <v>39.729999999999997</v>
      </c>
      <c r="H21" s="64">
        <v>26.24</v>
      </c>
      <c r="I21" s="64">
        <v>1.45</v>
      </c>
      <c r="J21" s="64">
        <v>0.85</v>
      </c>
      <c r="K21" s="64">
        <v>339.84</v>
      </c>
      <c r="L21" s="64">
        <v>18.09</v>
      </c>
      <c r="M21" s="64">
        <v>97.81</v>
      </c>
      <c r="N21" s="64">
        <v>23.3</v>
      </c>
      <c r="O21" s="64">
        <v>0</v>
      </c>
      <c r="P21" s="64">
        <v>0.55000000000000004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4" t="s">
        <v>645</v>
      </c>
      <c r="B22" s="64">
        <v>5.65</v>
      </c>
      <c r="C22" s="64">
        <v>44.01</v>
      </c>
      <c r="D22" s="64">
        <v>29.46</v>
      </c>
      <c r="E22" s="64">
        <v>2.27</v>
      </c>
      <c r="F22" s="64">
        <v>20.95</v>
      </c>
      <c r="G22" s="64">
        <v>39.729999999999997</v>
      </c>
      <c r="H22" s="64">
        <v>26.24</v>
      </c>
      <c r="I22" s="64">
        <v>1.47</v>
      </c>
      <c r="J22" s="64">
        <v>0.53</v>
      </c>
      <c r="K22" s="64">
        <v>345.99</v>
      </c>
      <c r="L22" s="64">
        <v>18.05</v>
      </c>
      <c r="M22" s="64">
        <v>97.55</v>
      </c>
      <c r="N22" s="64">
        <v>23.4</v>
      </c>
      <c r="O22" s="64">
        <v>0</v>
      </c>
      <c r="P22" s="64">
        <v>0.53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4" t="s">
        <v>646</v>
      </c>
      <c r="B23" s="64">
        <v>5.69</v>
      </c>
      <c r="C23" s="64">
        <v>44.01</v>
      </c>
      <c r="D23" s="64">
        <v>29.5</v>
      </c>
      <c r="E23" s="64">
        <v>2.27</v>
      </c>
      <c r="F23" s="64">
        <v>21.96</v>
      </c>
      <c r="G23" s="64">
        <v>39.22</v>
      </c>
      <c r="H23" s="64">
        <v>25.22</v>
      </c>
      <c r="I23" s="64">
        <v>1.51</v>
      </c>
      <c r="J23" s="64">
        <v>0.51</v>
      </c>
      <c r="K23" s="64">
        <v>329.5</v>
      </c>
      <c r="L23" s="64">
        <v>17.93</v>
      </c>
      <c r="M23" s="64">
        <v>97.76</v>
      </c>
      <c r="N23" s="64">
        <v>23.4</v>
      </c>
      <c r="O23" s="64">
        <v>0</v>
      </c>
      <c r="P23" s="64">
        <v>0.52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4" t="s">
        <v>647</v>
      </c>
      <c r="B24" s="64">
        <v>5.81</v>
      </c>
      <c r="C24" s="64">
        <v>44.16</v>
      </c>
      <c r="D24" s="64">
        <v>29.68</v>
      </c>
      <c r="E24" s="64">
        <v>2.0299999999999998</v>
      </c>
      <c r="F24" s="64">
        <v>22.06</v>
      </c>
      <c r="G24" s="64">
        <v>37.18</v>
      </c>
      <c r="H24" s="64">
        <v>22.43</v>
      </c>
      <c r="I24" s="64">
        <v>1.42</v>
      </c>
      <c r="J24" s="64">
        <v>0.83</v>
      </c>
      <c r="K24" s="64">
        <v>345.55</v>
      </c>
      <c r="L24" s="64">
        <v>17.97</v>
      </c>
      <c r="M24" s="64">
        <v>97.92</v>
      </c>
      <c r="N24" s="64">
        <v>23.4</v>
      </c>
      <c r="O24" s="64">
        <v>0</v>
      </c>
      <c r="P24" s="64">
        <v>0.51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4" t="s">
        <v>648</v>
      </c>
      <c r="B25" s="64">
        <v>5.94</v>
      </c>
      <c r="C25" s="64">
        <v>42.66</v>
      </c>
      <c r="D25" s="64">
        <v>28.95</v>
      </c>
      <c r="E25" s="64">
        <v>2.2400000000000002</v>
      </c>
      <c r="F25" s="64">
        <v>18.41</v>
      </c>
      <c r="G25" s="64">
        <v>37.18</v>
      </c>
      <c r="H25" s="64">
        <v>22.43</v>
      </c>
      <c r="I25" s="64">
        <v>1.55</v>
      </c>
      <c r="J25" s="64">
        <v>1.05</v>
      </c>
      <c r="K25" s="64">
        <v>339.49</v>
      </c>
      <c r="L25" s="64">
        <v>17.79</v>
      </c>
      <c r="M25" s="64">
        <v>98.14</v>
      </c>
      <c r="N25" s="64">
        <v>23.8</v>
      </c>
      <c r="O25" s="64">
        <v>0</v>
      </c>
      <c r="P25" s="64">
        <v>0.5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649</v>
      </c>
      <c r="B26" s="64">
        <v>6.19</v>
      </c>
      <c r="C26" s="64">
        <v>39.96</v>
      </c>
      <c r="D26" s="64">
        <v>27.66</v>
      </c>
      <c r="E26" s="64">
        <v>2.33</v>
      </c>
      <c r="F26" s="64">
        <v>12.78</v>
      </c>
      <c r="G26" s="64">
        <v>37.18</v>
      </c>
      <c r="H26" s="64">
        <v>22.43</v>
      </c>
      <c r="I26" s="64">
        <v>1.51</v>
      </c>
      <c r="J26" s="64">
        <v>0.54</v>
      </c>
      <c r="K26" s="64">
        <v>337.38</v>
      </c>
      <c r="L26" s="64">
        <v>17.45</v>
      </c>
      <c r="M26" s="64">
        <v>98.18</v>
      </c>
      <c r="N26" s="64">
        <v>23.4</v>
      </c>
      <c r="O26" s="64">
        <v>0.2</v>
      </c>
      <c r="P26" s="64">
        <v>0.46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4" t="s">
        <v>650</v>
      </c>
      <c r="B27" s="64">
        <v>6.53</v>
      </c>
      <c r="C27" s="64">
        <v>39.44</v>
      </c>
      <c r="D27" s="64">
        <v>27.65</v>
      </c>
      <c r="E27" s="64">
        <v>2.42</v>
      </c>
      <c r="F27" s="64">
        <v>8.8000000000000007</v>
      </c>
      <c r="G27" s="64">
        <v>36.69</v>
      </c>
      <c r="H27" s="64">
        <v>22.72</v>
      </c>
      <c r="I27" s="64">
        <v>1.46</v>
      </c>
      <c r="J27" s="64">
        <v>0.36</v>
      </c>
      <c r="K27" s="64">
        <v>337.69</v>
      </c>
      <c r="L27" s="64">
        <v>17.34</v>
      </c>
      <c r="M27" s="64">
        <v>98.18</v>
      </c>
      <c r="N27" s="64">
        <v>23.6</v>
      </c>
      <c r="O27" s="64">
        <v>0</v>
      </c>
      <c r="P27" s="64">
        <v>0.41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651</v>
      </c>
      <c r="B28" s="64">
        <v>7.01</v>
      </c>
      <c r="C28" s="64">
        <v>40.729999999999997</v>
      </c>
      <c r="D28" s="64">
        <v>28.74</v>
      </c>
      <c r="E28" s="64">
        <v>2.57</v>
      </c>
      <c r="F28" s="64">
        <v>10.95</v>
      </c>
      <c r="G28" s="64">
        <v>34.72</v>
      </c>
      <c r="H28" s="64">
        <v>24.15</v>
      </c>
      <c r="I28" s="64">
        <v>1.58</v>
      </c>
      <c r="J28" s="64">
        <v>0.59</v>
      </c>
      <c r="K28" s="64">
        <v>340.83</v>
      </c>
      <c r="L28" s="64">
        <v>17.37</v>
      </c>
      <c r="M28" s="64">
        <v>98.17</v>
      </c>
      <c r="N28" s="64">
        <v>23.8</v>
      </c>
      <c r="O28" s="64">
        <v>0</v>
      </c>
      <c r="P28" s="64">
        <v>0.41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4" t="s">
        <v>652</v>
      </c>
      <c r="B29" s="64">
        <v>7.31</v>
      </c>
      <c r="C29" s="64">
        <v>41.24</v>
      </c>
      <c r="D29" s="64">
        <v>29.27</v>
      </c>
      <c r="E29" s="64">
        <v>2.5499999999999998</v>
      </c>
      <c r="F29" s="64">
        <v>9.5399999999999991</v>
      </c>
      <c r="G29" s="64">
        <v>34.72</v>
      </c>
      <c r="H29" s="64">
        <v>24.15</v>
      </c>
      <c r="I29" s="64">
        <v>1.51</v>
      </c>
      <c r="J29" s="64">
        <v>0.62</v>
      </c>
      <c r="K29" s="64">
        <v>340.38</v>
      </c>
      <c r="L29" s="64">
        <v>17.32</v>
      </c>
      <c r="M29" s="64">
        <v>98.18</v>
      </c>
      <c r="N29" s="64">
        <v>23.9</v>
      </c>
      <c r="O29" s="64">
        <v>0</v>
      </c>
      <c r="P29" s="64">
        <v>0.42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4" t="s">
        <v>653</v>
      </c>
      <c r="B30" s="64">
        <v>7.65</v>
      </c>
      <c r="C30" s="64">
        <v>41.5</v>
      </c>
      <c r="D30" s="64">
        <v>29.69</v>
      </c>
      <c r="E30" s="64">
        <v>2.4700000000000002</v>
      </c>
      <c r="F30" s="64">
        <v>8.25</v>
      </c>
      <c r="G30" s="64">
        <v>34.72</v>
      </c>
      <c r="H30" s="64">
        <v>24.15</v>
      </c>
      <c r="I30" s="64">
        <v>1.46</v>
      </c>
      <c r="J30" s="64">
        <v>0.4</v>
      </c>
      <c r="K30" s="64">
        <v>345.51</v>
      </c>
      <c r="L30" s="64">
        <v>17.329999999999998</v>
      </c>
      <c r="M30" s="64">
        <v>98.18</v>
      </c>
      <c r="N30" s="64">
        <v>24</v>
      </c>
      <c r="O30" s="64">
        <v>0</v>
      </c>
      <c r="P30" s="64">
        <v>0.42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4" t="s">
        <v>654</v>
      </c>
      <c r="B31" s="64">
        <v>7.95</v>
      </c>
      <c r="C31" s="64">
        <v>41.78</v>
      </c>
      <c r="D31" s="64">
        <v>30.08</v>
      </c>
      <c r="E31" s="64">
        <v>2.39</v>
      </c>
      <c r="F31" s="64">
        <v>7.19</v>
      </c>
      <c r="G31" s="64">
        <v>33.96</v>
      </c>
      <c r="H31" s="64">
        <v>22.1</v>
      </c>
      <c r="I31" s="64">
        <v>1.51</v>
      </c>
      <c r="J31" s="64">
        <v>0.59</v>
      </c>
      <c r="K31" s="64">
        <v>329.99</v>
      </c>
      <c r="L31" s="64">
        <v>17.3</v>
      </c>
      <c r="M31" s="64">
        <v>98.18</v>
      </c>
      <c r="N31" s="64">
        <v>23.8</v>
      </c>
      <c r="O31" s="64">
        <v>0</v>
      </c>
      <c r="P31" s="64">
        <v>0.43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4" t="s">
        <v>655</v>
      </c>
      <c r="B32" s="64">
        <v>8.3800000000000008</v>
      </c>
      <c r="C32" s="64">
        <v>42.57</v>
      </c>
      <c r="D32" s="64">
        <v>30.86</v>
      </c>
      <c r="E32" s="64">
        <v>2.3199999999999998</v>
      </c>
      <c r="F32" s="64">
        <v>7.18</v>
      </c>
      <c r="G32" s="64">
        <v>30.9</v>
      </c>
      <c r="H32" s="64">
        <v>16.52</v>
      </c>
      <c r="I32" s="64">
        <v>1.52</v>
      </c>
      <c r="J32" s="64">
        <v>0.38</v>
      </c>
      <c r="K32" s="64">
        <v>340.67</v>
      </c>
      <c r="L32" s="64">
        <v>17.190000000000001</v>
      </c>
      <c r="M32" s="64">
        <v>98.18</v>
      </c>
      <c r="N32" s="64">
        <v>23.8</v>
      </c>
      <c r="O32" s="64">
        <v>0</v>
      </c>
      <c r="P32" s="64">
        <v>0.41</v>
      </c>
      <c r="Q32" s="64">
        <v>5.05</v>
      </c>
      <c r="R32" s="198"/>
      <c r="S32" s="198"/>
      <c r="T32" s="198"/>
      <c r="U32" s="198"/>
    </row>
    <row r="33" spans="1:21" s="12" customFormat="1" x14ac:dyDescent="0.25">
      <c r="A33" s="214" t="s">
        <v>656</v>
      </c>
      <c r="B33" s="64">
        <v>8.86</v>
      </c>
      <c r="C33" s="64">
        <v>42.64</v>
      </c>
      <c r="D33" s="64">
        <v>31.28</v>
      </c>
      <c r="E33" s="64">
        <v>2.37</v>
      </c>
      <c r="F33" s="64">
        <v>6.69</v>
      </c>
      <c r="G33" s="64">
        <v>30.9</v>
      </c>
      <c r="H33" s="64">
        <v>16.52</v>
      </c>
      <c r="I33" s="64">
        <v>1.43</v>
      </c>
      <c r="J33" s="64">
        <v>0.68</v>
      </c>
      <c r="K33" s="64">
        <v>340.44</v>
      </c>
      <c r="L33" s="64">
        <v>17.14</v>
      </c>
      <c r="M33" s="64">
        <v>98.18</v>
      </c>
      <c r="N33" s="64">
        <v>23.8</v>
      </c>
      <c r="O33" s="64">
        <v>0</v>
      </c>
      <c r="P33" s="64">
        <v>0.4</v>
      </c>
      <c r="Q33" s="64">
        <v>4.72</v>
      </c>
      <c r="R33" s="198"/>
      <c r="S33" s="198"/>
      <c r="T33" s="198"/>
      <c r="U33" s="198"/>
    </row>
    <row r="34" spans="1:21" s="12" customFormat="1" x14ac:dyDescent="0.25">
      <c r="A34" s="214" t="s">
        <v>657</v>
      </c>
      <c r="B34" s="64">
        <v>9.2200000000000006</v>
      </c>
      <c r="C34" s="64">
        <v>43.26</v>
      </c>
      <c r="D34" s="64">
        <v>31.92</v>
      </c>
      <c r="E34" s="64">
        <v>2.37</v>
      </c>
      <c r="F34" s="64">
        <v>6.81</v>
      </c>
      <c r="G34" s="64">
        <v>30.9</v>
      </c>
      <c r="H34" s="64">
        <v>16.52</v>
      </c>
      <c r="I34" s="64">
        <v>1.45</v>
      </c>
      <c r="J34" s="64">
        <v>0.17</v>
      </c>
      <c r="K34" s="64">
        <v>17.11</v>
      </c>
      <c r="L34" s="64">
        <v>16.98</v>
      </c>
      <c r="M34" s="64">
        <v>98.18</v>
      </c>
      <c r="N34" s="64">
        <v>24.4</v>
      </c>
      <c r="O34" s="64">
        <v>0</v>
      </c>
      <c r="P34" s="64">
        <v>0.41</v>
      </c>
      <c r="Q34" s="64">
        <v>5</v>
      </c>
      <c r="R34" s="198"/>
      <c r="S34" s="198"/>
      <c r="T34" s="198"/>
      <c r="U34" s="198"/>
    </row>
    <row r="35" spans="1:21" s="12" customFormat="1" x14ac:dyDescent="0.25">
      <c r="A35" s="214" t="s">
        <v>658</v>
      </c>
      <c r="B35" s="64">
        <v>9.6</v>
      </c>
      <c r="C35" s="64">
        <v>43.11</v>
      </c>
      <c r="D35" s="64">
        <v>32.130000000000003</v>
      </c>
      <c r="E35" s="64">
        <v>2.36</v>
      </c>
      <c r="F35" s="64">
        <v>6.24</v>
      </c>
      <c r="G35" s="64">
        <v>30.58</v>
      </c>
      <c r="H35" s="64">
        <v>17.04</v>
      </c>
      <c r="I35" s="64">
        <v>1.51</v>
      </c>
      <c r="J35" s="64">
        <v>0.6</v>
      </c>
      <c r="K35" s="64">
        <v>92.51</v>
      </c>
      <c r="L35" s="64">
        <v>16.809999999999999</v>
      </c>
      <c r="M35" s="64">
        <v>98.18</v>
      </c>
      <c r="N35" s="64">
        <v>28.4</v>
      </c>
      <c r="O35" s="64">
        <v>0.2</v>
      </c>
      <c r="P35" s="64">
        <v>0.43</v>
      </c>
      <c r="Q35" s="64">
        <v>4.99</v>
      </c>
      <c r="R35" s="198"/>
      <c r="S35" s="198"/>
      <c r="T35" s="198"/>
      <c r="U35" s="198"/>
    </row>
    <row r="36" spans="1:21" s="12" customFormat="1" x14ac:dyDescent="0.25">
      <c r="A36" s="214" t="s">
        <v>659</v>
      </c>
      <c r="B36" s="64">
        <v>9.83</v>
      </c>
      <c r="C36" s="64">
        <v>43.35</v>
      </c>
      <c r="D36" s="64">
        <v>32.450000000000003</v>
      </c>
      <c r="E36" s="64">
        <v>2.44</v>
      </c>
      <c r="F36" s="64">
        <v>8.94</v>
      </c>
      <c r="G36" s="64">
        <v>29.31</v>
      </c>
      <c r="H36" s="64">
        <v>18.45</v>
      </c>
      <c r="I36" s="64">
        <v>1.44</v>
      </c>
      <c r="J36" s="64">
        <v>0.17</v>
      </c>
      <c r="K36" s="64">
        <v>55.08</v>
      </c>
      <c r="L36" s="64">
        <v>16.62</v>
      </c>
      <c r="M36" s="64">
        <v>98.18</v>
      </c>
      <c r="N36" s="64">
        <v>30.8</v>
      </c>
      <c r="O36" s="64">
        <v>0</v>
      </c>
      <c r="P36" s="64">
        <v>0.43</v>
      </c>
      <c r="Q36" s="64">
        <v>5.4</v>
      </c>
      <c r="R36" s="198"/>
      <c r="S36" s="198"/>
      <c r="T36" s="198"/>
      <c r="U36" s="198"/>
    </row>
    <row r="37" spans="1:21" s="12" customFormat="1" x14ac:dyDescent="0.25">
      <c r="A37" s="214" t="s">
        <v>660</v>
      </c>
      <c r="B37" s="64">
        <v>9.99</v>
      </c>
      <c r="C37" s="64">
        <v>42.67</v>
      </c>
      <c r="D37" s="64">
        <v>32.200000000000003</v>
      </c>
      <c r="E37" s="64">
        <v>2.4</v>
      </c>
      <c r="F37" s="64">
        <v>7.94</v>
      </c>
      <c r="G37" s="64">
        <v>29.31</v>
      </c>
      <c r="H37" s="64">
        <v>18.45</v>
      </c>
      <c r="I37" s="64">
        <v>1.42</v>
      </c>
      <c r="J37" s="64">
        <v>0.21</v>
      </c>
      <c r="K37" s="64">
        <v>346.06</v>
      </c>
      <c r="L37" s="64">
        <v>16.600000000000001</v>
      </c>
      <c r="M37" s="64">
        <v>98.18</v>
      </c>
      <c r="N37" s="64">
        <v>40.4</v>
      </c>
      <c r="O37" s="64">
        <v>0</v>
      </c>
      <c r="P37" s="64">
        <v>0.47</v>
      </c>
      <c r="Q37" s="64">
        <v>5.0199999999999996</v>
      </c>
      <c r="R37" s="198"/>
      <c r="S37" s="198"/>
      <c r="T37" s="198"/>
      <c r="U37" s="198"/>
    </row>
    <row r="38" spans="1:21" s="12" customFormat="1" x14ac:dyDescent="0.25">
      <c r="A38" s="214" t="s">
        <v>661</v>
      </c>
      <c r="B38" s="64">
        <v>10.42</v>
      </c>
      <c r="C38" s="64">
        <v>42.04</v>
      </c>
      <c r="D38" s="64">
        <v>32.200000000000003</v>
      </c>
      <c r="E38" s="64">
        <v>2.39</v>
      </c>
      <c r="F38" s="64">
        <v>7.39</v>
      </c>
      <c r="G38" s="64">
        <v>29.31</v>
      </c>
      <c r="H38" s="64">
        <v>18.45</v>
      </c>
      <c r="I38" s="64">
        <v>1.49</v>
      </c>
      <c r="J38" s="64">
        <v>0.19</v>
      </c>
      <c r="K38" s="64">
        <v>56.89</v>
      </c>
      <c r="L38" s="64">
        <v>16.64</v>
      </c>
      <c r="M38" s="64">
        <v>98.18</v>
      </c>
      <c r="N38" s="64">
        <v>57.3</v>
      </c>
      <c r="O38" s="64">
        <v>0</v>
      </c>
      <c r="P38" s="64">
        <v>0.47</v>
      </c>
      <c r="Q38" s="64">
        <v>5.15</v>
      </c>
      <c r="R38" s="198"/>
      <c r="S38" s="198"/>
      <c r="T38" s="198"/>
      <c r="U38" s="198"/>
    </row>
    <row r="39" spans="1:21" s="12" customFormat="1" x14ac:dyDescent="0.25">
      <c r="A39" s="214" t="s">
        <v>662</v>
      </c>
      <c r="B39" s="64">
        <v>10.78</v>
      </c>
      <c r="C39" s="64">
        <v>42.03</v>
      </c>
      <c r="D39" s="64">
        <v>32.49</v>
      </c>
      <c r="E39" s="64">
        <v>2.37</v>
      </c>
      <c r="F39" s="64">
        <v>7.46</v>
      </c>
      <c r="G39" s="64">
        <v>28.57</v>
      </c>
      <c r="H39" s="64">
        <v>18.54</v>
      </c>
      <c r="I39" s="64">
        <v>1.5</v>
      </c>
      <c r="J39" s="64">
        <v>0.45</v>
      </c>
      <c r="K39" s="64">
        <v>334.55</v>
      </c>
      <c r="L39" s="64">
        <v>16.84</v>
      </c>
      <c r="M39" s="64">
        <v>98.18</v>
      </c>
      <c r="N39" s="64">
        <v>71.099999999999994</v>
      </c>
      <c r="O39" s="64">
        <v>0.2</v>
      </c>
      <c r="P39" s="64">
        <v>0.53</v>
      </c>
      <c r="Q39" s="64">
        <v>5.0199999999999996</v>
      </c>
      <c r="R39" s="198"/>
      <c r="S39" s="198"/>
      <c r="T39" s="198"/>
      <c r="U39" s="198"/>
    </row>
    <row r="40" spans="1:21" s="12" customFormat="1" x14ac:dyDescent="0.25">
      <c r="A40" s="214" t="s">
        <v>663</v>
      </c>
      <c r="B40" s="64">
        <v>11.57</v>
      </c>
      <c r="C40" s="64">
        <v>43.55</v>
      </c>
      <c r="D40" s="64">
        <v>33.96</v>
      </c>
      <c r="E40" s="64">
        <v>2.21</v>
      </c>
      <c r="F40" s="64">
        <v>8.0500000000000007</v>
      </c>
      <c r="G40" s="64">
        <v>25.63</v>
      </c>
      <c r="H40" s="64">
        <v>18.8</v>
      </c>
      <c r="I40" s="64">
        <v>1.45</v>
      </c>
      <c r="J40" s="64">
        <v>1.1200000000000001</v>
      </c>
      <c r="K40" s="64">
        <v>342.87</v>
      </c>
      <c r="L40" s="64">
        <v>17.04</v>
      </c>
      <c r="M40" s="64">
        <v>98.18</v>
      </c>
      <c r="N40" s="64">
        <v>76.400000000000006</v>
      </c>
      <c r="O40" s="64">
        <v>0</v>
      </c>
      <c r="P40" s="64">
        <v>0.53</v>
      </c>
      <c r="Q40" s="64">
        <v>4.4400000000000004</v>
      </c>
      <c r="R40" s="198"/>
      <c r="S40" s="198"/>
      <c r="T40" s="198"/>
      <c r="U40" s="198"/>
    </row>
    <row r="41" spans="1:21" s="12" customFormat="1" x14ac:dyDescent="0.25">
      <c r="A41" s="214" t="s">
        <v>664</v>
      </c>
      <c r="B41" s="64">
        <v>12.49</v>
      </c>
      <c r="C41" s="64">
        <v>44.04</v>
      </c>
      <c r="D41" s="64">
        <v>34.97</v>
      </c>
      <c r="E41" s="64">
        <v>2.39</v>
      </c>
      <c r="F41" s="64">
        <v>7.75</v>
      </c>
      <c r="G41" s="64">
        <v>25.63</v>
      </c>
      <c r="H41" s="64">
        <v>18.8</v>
      </c>
      <c r="I41" s="64">
        <v>1.49</v>
      </c>
      <c r="J41" s="64">
        <v>0.69</v>
      </c>
      <c r="K41" s="64">
        <v>336</v>
      </c>
      <c r="L41" s="64">
        <v>16.97</v>
      </c>
      <c r="M41" s="64">
        <v>98.18</v>
      </c>
      <c r="N41" s="64">
        <v>83.3</v>
      </c>
      <c r="O41" s="64">
        <v>0</v>
      </c>
      <c r="P41" s="64">
        <v>0.48</v>
      </c>
      <c r="Q41" s="64">
        <v>4.6500000000000004</v>
      </c>
      <c r="R41" s="198"/>
      <c r="S41" s="198"/>
      <c r="T41" s="198"/>
      <c r="U41" s="198"/>
    </row>
    <row r="42" spans="1:21" s="12" customFormat="1" x14ac:dyDescent="0.25">
      <c r="A42" s="214" t="s">
        <v>665</v>
      </c>
      <c r="B42" s="64">
        <v>13.42</v>
      </c>
      <c r="C42" s="64">
        <v>44.67</v>
      </c>
      <c r="D42" s="64">
        <v>36.06</v>
      </c>
      <c r="E42" s="64">
        <v>2.36</v>
      </c>
      <c r="F42" s="64">
        <v>6.81</v>
      </c>
      <c r="G42" s="64">
        <v>25.63</v>
      </c>
      <c r="H42" s="64">
        <v>18.8</v>
      </c>
      <c r="I42" s="64">
        <v>1.44</v>
      </c>
      <c r="J42" s="64">
        <v>0.38</v>
      </c>
      <c r="K42" s="64">
        <v>57.6</v>
      </c>
      <c r="L42" s="64">
        <v>16.8</v>
      </c>
      <c r="M42" s="64">
        <v>98.18</v>
      </c>
      <c r="N42" s="64">
        <v>98.9</v>
      </c>
      <c r="O42" s="64">
        <v>0</v>
      </c>
      <c r="P42" s="64">
        <v>0.42</v>
      </c>
      <c r="Q42" s="64">
        <v>4.8600000000000003</v>
      </c>
      <c r="R42" s="198"/>
      <c r="S42" s="198"/>
      <c r="T42" s="198"/>
      <c r="U42" s="198"/>
    </row>
    <row r="43" spans="1:21" s="12" customFormat="1" x14ac:dyDescent="0.25">
      <c r="A43" s="214" t="s">
        <v>666</v>
      </c>
      <c r="B43" s="64">
        <v>13.93</v>
      </c>
      <c r="C43" s="64">
        <v>44.45</v>
      </c>
      <c r="D43" s="64">
        <v>36.35</v>
      </c>
      <c r="E43" s="64">
        <v>2.34</v>
      </c>
      <c r="F43" s="64">
        <v>5.83</v>
      </c>
      <c r="G43" s="64">
        <v>25.06</v>
      </c>
      <c r="H43" s="64">
        <v>18.329999999999998</v>
      </c>
      <c r="I43" s="64">
        <v>1.57</v>
      </c>
      <c r="J43" s="64">
        <v>0.53</v>
      </c>
      <c r="K43" s="64">
        <v>85.42</v>
      </c>
      <c r="L43" s="64">
        <v>16.84</v>
      </c>
      <c r="M43" s="64">
        <v>98.17</v>
      </c>
      <c r="N43" s="64">
        <v>99.8</v>
      </c>
      <c r="O43" s="64">
        <v>0</v>
      </c>
      <c r="P43" s="64">
        <v>0.38</v>
      </c>
      <c r="Q43" s="64">
        <v>5.18</v>
      </c>
      <c r="R43" s="198"/>
      <c r="S43" s="198"/>
      <c r="T43" s="198"/>
      <c r="U43" s="198"/>
    </row>
    <row r="44" spans="1:21" s="12" customFormat="1" x14ac:dyDescent="0.25">
      <c r="A44" s="214" t="s">
        <v>667</v>
      </c>
      <c r="B44" s="64">
        <v>14.54</v>
      </c>
      <c r="C44" s="64">
        <v>45.41</v>
      </c>
      <c r="D44" s="64">
        <v>37.369999999999997</v>
      </c>
      <c r="E44" s="64">
        <v>2.39</v>
      </c>
      <c r="F44" s="64">
        <v>6.5</v>
      </c>
      <c r="G44" s="64">
        <v>22.78</v>
      </c>
      <c r="H44" s="64">
        <v>16.28</v>
      </c>
      <c r="I44" s="64">
        <v>1.5</v>
      </c>
      <c r="J44" s="64">
        <v>0.26</v>
      </c>
      <c r="K44" s="64">
        <v>356.05</v>
      </c>
      <c r="L44" s="64">
        <v>16.77</v>
      </c>
      <c r="M44" s="64">
        <v>98.14</v>
      </c>
      <c r="N44" s="64">
        <v>51.1</v>
      </c>
      <c r="O44" s="64">
        <v>0</v>
      </c>
      <c r="P44" s="64">
        <v>0.36</v>
      </c>
      <c r="Q44" s="64">
        <v>4.84</v>
      </c>
      <c r="R44" s="198"/>
      <c r="S44" s="198"/>
      <c r="T44" s="198"/>
      <c r="U44" s="198"/>
    </row>
    <row r="45" spans="1:21" s="12" customFormat="1" x14ac:dyDescent="0.25">
      <c r="A45" s="214" t="s">
        <v>668</v>
      </c>
      <c r="B45" s="64">
        <v>15.31</v>
      </c>
      <c r="C45" s="64">
        <v>44.67</v>
      </c>
      <c r="D45" s="64">
        <v>37.58</v>
      </c>
      <c r="E45" s="64">
        <v>2.36</v>
      </c>
      <c r="F45" s="64">
        <v>7.66</v>
      </c>
      <c r="G45" s="64">
        <v>22.78</v>
      </c>
      <c r="H45" s="64">
        <v>16.28</v>
      </c>
      <c r="I45" s="64">
        <v>1.51</v>
      </c>
      <c r="J45" s="64">
        <v>0.18</v>
      </c>
      <c r="K45" s="64">
        <v>23.27</v>
      </c>
      <c r="L45" s="64">
        <v>16.52</v>
      </c>
      <c r="M45" s="64">
        <v>98.17</v>
      </c>
      <c r="N45" s="64">
        <v>79.7</v>
      </c>
      <c r="O45" s="64">
        <v>1</v>
      </c>
      <c r="P45" s="64">
        <v>0.39</v>
      </c>
      <c r="Q45" s="64">
        <v>5.1100000000000003</v>
      </c>
      <c r="R45" s="198"/>
      <c r="S45" s="198"/>
      <c r="T45" s="198"/>
      <c r="U45" s="198"/>
    </row>
    <row r="46" spans="1:21" s="12" customFormat="1" x14ac:dyDescent="0.25">
      <c r="A46" s="214" t="s">
        <v>669</v>
      </c>
      <c r="B46" s="64">
        <v>15.71</v>
      </c>
      <c r="C46" s="64">
        <v>44.43</v>
      </c>
      <c r="D46" s="64">
        <v>37.770000000000003</v>
      </c>
      <c r="E46" s="64">
        <v>2.36</v>
      </c>
      <c r="F46" s="64">
        <v>8.34</v>
      </c>
      <c r="G46" s="64">
        <v>22.78</v>
      </c>
      <c r="H46" s="64">
        <v>16.28</v>
      </c>
      <c r="I46" s="64">
        <v>1.48</v>
      </c>
      <c r="J46" s="64">
        <v>0.35</v>
      </c>
      <c r="K46" s="64">
        <v>89.95</v>
      </c>
      <c r="L46" s="64">
        <v>16.23</v>
      </c>
      <c r="M46" s="64">
        <v>98.18</v>
      </c>
      <c r="N46" s="64">
        <v>88.6</v>
      </c>
      <c r="O46" s="64">
        <v>0.4</v>
      </c>
      <c r="P46" s="64">
        <v>0.37</v>
      </c>
      <c r="Q46" s="64">
        <v>5.96</v>
      </c>
      <c r="R46" s="198"/>
      <c r="S46" s="198"/>
      <c r="T46" s="198"/>
      <c r="U46" s="198"/>
    </row>
    <row r="47" spans="1:21" s="12" customFormat="1" x14ac:dyDescent="0.25">
      <c r="A47" s="214" t="s">
        <v>670</v>
      </c>
      <c r="B47" s="64">
        <v>15.67</v>
      </c>
      <c r="C47" s="64">
        <v>44.09</v>
      </c>
      <c r="D47" s="64">
        <v>37.549999999999997</v>
      </c>
      <c r="E47" s="64">
        <v>2.34</v>
      </c>
      <c r="F47" s="64">
        <v>8.73</v>
      </c>
      <c r="G47" s="64">
        <v>21.95</v>
      </c>
      <c r="H47" s="64">
        <v>15.01</v>
      </c>
      <c r="I47" s="64">
        <v>1.53</v>
      </c>
      <c r="J47" s="64">
        <v>0.36</v>
      </c>
      <c r="K47" s="64">
        <v>86.21</v>
      </c>
      <c r="L47" s="64">
        <v>16.16</v>
      </c>
      <c r="M47" s="64">
        <v>98.18</v>
      </c>
      <c r="N47" s="64">
        <v>85.1</v>
      </c>
      <c r="O47" s="64">
        <v>0</v>
      </c>
      <c r="P47" s="64">
        <v>0.39</v>
      </c>
      <c r="Q47" s="64">
        <v>6.61</v>
      </c>
      <c r="R47" s="198"/>
      <c r="S47" s="198"/>
      <c r="T47" s="198"/>
      <c r="U47" s="198"/>
    </row>
    <row r="48" spans="1:21" s="12" customFormat="1" x14ac:dyDescent="0.25">
      <c r="A48" s="214" t="s">
        <v>671</v>
      </c>
      <c r="B48" s="64">
        <v>15.66</v>
      </c>
      <c r="C48" s="64">
        <v>44.18</v>
      </c>
      <c r="D48" s="64">
        <v>37.590000000000003</v>
      </c>
      <c r="E48" s="64">
        <v>2.3199999999999998</v>
      </c>
      <c r="F48" s="64">
        <v>8.43</v>
      </c>
      <c r="G48" s="64">
        <v>18.600000000000001</v>
      </c>
      <c r="H48" s="64">
        <v>11.56</v>
      </c>
      <c r="I48" s="64">
        <v>1.5</v>
      </c>
      <c r="J48" s="64">
        <v>0.28999999999999998</v>
      </c>
      <c r="K48" s="64">
        <v>11.44</v>
      </c>
      <c r="L48" s="64">
        <v>16.29</v>
      </c>
      <c r="M48" s="64">
        <v>98.19</v>
      </c>
      <c r="N48" s="64">
        <v>129.19999999999999</v>
      </c>
      <c r="O48" s="64">
        <v>0</v>
      </c>
      <c r="P48" s="64">
        <v>0.55000000000000004</v>
      </c>
      <c r="Q48" s="64">
        <v>6.26</v>
      </c>
      <c r="R48" s="198"/>
      <c r="S48" s="198"/>
      <c r="T48" s="198"/>
      <c r="U48" s="198"/>
    </row>
    <row r="49" spans="1:21" s="12" customFormat="1" x14ac:dyDescent="0.25">
      <c r="A49" s="214" t="s">
        <v>672</v>
      </c>
      <c r="B49" s="64">
        <v>16.010000000000002</v>
      </c>
      <c r="C49" s="64">
        <v>43.98</v>
      </c>
      <c r="D49" s="64">
        <v>37.75</v>
      </c>
      <c r="E49" s="64">
        <v>2.27</v>
      </c>
      <c r="F49" s="64">
        <v>8.6</v>
      </c>
      <c r="G49" s="64">
        <v>18.600000000000001</v>
      </c>
      <c r="H49" s="64">
        <v>11.56</v>
      </c>
      <c r="I49" s="64">
        <v>1.5</v>
      </c>
      <c r="J49" s="64">
        <v>0.28999999999999998</v>
      </c>
      <c r="K49" s="64">
        <v>3.06</v>
      </c>
      <c r="L49" s="64">
        <v>16.34</v>
      </c>
      <c r="M49" s="64">
        <v>98.18</v>
      </c>
      <c r="N49" s="64">
        <v>98.9</v>
      </c>
      <c r="O49" s="64">
        <v>0</v>
      </c>
      <c r="P49" s="64">
        <v>0.53</v>
      </c>
      <c r="Q49" s="64">
        <v>5.74</v>
      </c>
      <c r="R49" s="198"/>
      <c r="S49" s="198"/>
      <c r="T49" s="198"/>
      <c r="U49" s="198"/>
    </row>
    <row r="50" spans="1:21" s="12" customFormat="1" x14ac:dyDescent="0.25">
      <c r="A50" s="214" t="s">
        <v>673</v>
      </c>
      <c r="B50" s="64">
        <v>16.309999999999999</v>
      </c>
      <c r="C50" s="64">
        <v>44.14</v>
      </c>
      <c r="D50" s="64">
        <v>38.090000000000003</v>
      </c>
      <c r="E50" s="64">
        <v>2.27</v>
      </c>
      <c r="F50" s="64">
        <v>9.18</v>
      </c>
      <c r="G50" s="64">
        <v>18.600000000000001</v>
      </c>
      <c r="H50" s="64">
        <v>11.56</v>
      </c>
      <c r="I50" s="64">
        <v>1.51</v>
      </c>
      <c r="J50" s="64">
        <v>0.18</v>
      </c>
      <c r="K50" s="64">
        <v>350.37</v>
      </c>
      <c r="L50" s="64">
        <v>16.399999999999999</v>
      </c>
      <c r="M50" s="64">
        <v>98.18</v>
      </c>
      <c r="N50" s="64">
        <v>100</v>
      </c>
      <c r="O50" s="64">
        <v>0</v>
      </c>
      <c r="P50" s="64">
        <v>0.59</v>
      </c>
      <c r="Q50" s="64">
        <v>5.65</v>
      </c>
      <c r="R50" s="198"/>
      <c r="S50" s="198"/>
      <c r="T50" s="198"/>
      <c r="U50" s="198"/>
    </row>
    <row r="51" spans="1:21" s="12" customFormat="1" x14ac:dyDescent="0.25">
      <c r="A51" s="214" t="s">
        <v>674</v>
      </c>
      <c r="B51" s="64">
        <v>16.75</v>
      </c>
      <c r="C51" s="64">
        <v>44.5</v>
      </c>
      <c r="D51" s="64">
        <v>38.64</v>
      </c>
      <c r="E51" s="64">
        <v>2.29</v>
      </c>
      <c r="F51" s="64">
        <v>9.6</v>
      </c>
      <c r="G51" s="64">
        <v>17.98</v>
      </c>
      <c r="H51" s="64">
        <v>10.84</v>
      </c>
      <c r="I51" s="64">
        <v>1.47</v>
      </c>
      <c r="J51" s="64">
        <v>0.61</v>
      </c>
      <c r="K51" s="64">
        <v>330.61</v>
      </c>
      <c r="L51" s="64">
        <v>16.5</v>
      </c>
      <c r="M51" s="64">
        <v>98.18</v>
      </c>
      <c r="N51" s="64">
        <v>108.5</v>
      </c>
      <c r="O51" s="64">
        <v>0</v>
      </c>
      <c r="P51" s="64">
        <v>0.61</v>
      </c>
      <c r="Q51" s="64">
        <v>5.44</v>
      </c>
      <c r="R51" s="198"/>
      <c r="S51" s="198"/>
      <c r="T51" s="198"/>
      <c r="U51" s="198"/>
    </row>
    <row r="52" spans="1:21" s="12" customFormat="1" x14ac:dyDescent="0.25">
      <c r="A52" s="214" t="s">
        <v>675</v>
      </c>
      <c r="B52" s="64">
        <v>17.149999999999999</v>
      </c>
      <c r="C52" s="64">
        <v>44.72</v>
      </c>
      <c r="D52" s="64">
        <v>39.08</v>
      </c>
      <c r="E52" s="64">
        <v>2.2599999999999998</v>
      </c>
      <c r="F52" s="64">
        <v>8.75</v>
      </c>
      <c r="G52" s="64">
        <v>15.46</v>
      </c>
      <c r="H52" s="64">
        <v>8.8800000000000008</v>
      </c>
      <c r="I52" s="64">
        <v>1.49</v>
      </c>
      <c r="J52" s="64">
        <v>0.25</v>
      </c>
      <c r="K52" s="64">
        <v>15.08</v>
      </c>
      <c r="L52" s="64">
        <v>16.5</v>
      </c>
      <c r="M52" s="64">
        <v>98.18</v>
      </c>
      <c r="N52" s="64">
        <v>105.5</v>
      </c>
      <c r="O52" s="64">
        <v>0</v>
      </c>
      <c r="P52" s="64">
        <v>0.59</v>
      </c>
      <c r="Q52" s="64">
        <v>5.23</v>
      </c>
      <c r="R52" s="198"/>
      <c r="S52" s="198"/>
      <c r="T52" s="198"/>
      <c r="U52" s="198"/>
    </row>
    <row r="53" spans="1:21" s="12" customFormat="1" x14ac:dyDescent="0.25">
      <c r="A53" s="214" t="s">
        <v>676</v>
      </c>
      <c r="B53" s="64">
        <v>17.72</v>
      </c>
      <c r="C53" s="64">
        <v>41.73</v>
      </c>
      <c r="D53" s="64">
        <v>37.880000000000003</v>
      </c>
      <c r="E53" s="64">
        <v>2.2999999999999998</v>
      </c>
      <c r="F53" s="64">
        <v>8.74</v>
      </c>
      <c r="G53" s="64">
        <v>15.46</v>
      </c>
      <c r="H53" s="64">
        <v>8.8800000000000008</v>
      </c>
      <c r="I53" s="64">
        <v>1.48</v>
      </c>
      <c r="J53" s="64">
        <v>0.28999999999999998</v>
      </c>
      <c r="K53" s="64">
        <v>4.91</v>
      </c>
      <c r="L53" s="64">
        <v>16.63</v>
      </c>
      <c r="M53" s="64">
        <v>98.17</v>
      </c>
      <c r="N53" s="64">
        <v>109.8</v>
      </c>
      <c r="O53" s="64">
        <v>0</v>
      </c>
      <c r="P53" s="64">
        <v>0.56000000000000005</v>
      </c>
      <c r="Q53" s="64">
        <v>5.69</v>
      </c>
      <c r="R53" s="198"/>
      <c r="S53" s="198"/>
      <c r="T53" s="198"/>
      <c r="U53" s="198"/>
    </row>
    <row r="54" spans="1:21" s="12" customFormat="1" x14ac:dyDescent="0.25">
      <c r="A54" s="214" t="s">
        <v>677</v>
      </c>
      <c r="B54" s="64">
        <v>17.73</v>
      </c>
      <c r="C54" s="64">
        <v>40.58</v>
      </c>
      <c r="D54" s="64">
        <v>37.26</v>
      </c>
      <c r="E54" s="64">
        <v>2.29</v>
      </c>
      <c r="F54" s="64">
        <v>7.85</v>
      </c>
      <c r="G54" s="64">
        <v>15.46</v>
      </c>
      <c r="H54" s="64">
        <v>8.8800000000000008</v>
      </c>
      <c r="I54" s="64">
        <v>1.46</v>
      </c>
      <c r="J54" s="64">
        <v>0.25</v>
      </c>
      <c r="K54" s="64">
        <v>358.14</v>
      </c>
      <c r="L54" s="64">
        <v>16.64</v>
      </c>
      <c r="M54" s="64">
        <v>98.17</v>
      </c>
      <c r="N54" s="64">
        <v>96.4</v>
      </c>
      <c r="O54" s="64">
        <v>0</v>
      </c>
      <c r="P54" s="64">
        <v>0.65</v>
      </c>
      <c r="Q54" s="64">
        <v>5.78</v>
      </c>
      <c r="R54" s="198"/>
      <c r="S54" s="198"/>
      <c r="T54" s="198"/>
      <c r="U54" s="198"/>
    </row>
    <row r="55" spans="1:21" s="12" customFormat="1" x14ac:dyDescent="0.25">
      <c r="A55" s="214" t="s">
        <v>678</v>
      </c>
      <c r="B55" s="64">
        <v>17.64</v>
      </c>
      <c r="C55" s="64">
        <v>41.17</v>
      </c>
      <c r="D55" s="64">
        <v>37.51</v>
      </c>
      <c r="E55" s="64">
        <v>2.2400000000000002</v>
      </c>
      <c r="F55" s="64">
        <v>9.43</v>
      </c>
      <c r="G55" s="64">
        <v>14.92</v>
      </c>
      <c r="H55" s="64">
        <v>8.42</v>
      </c>
      <c r="I55" s="64">
        <v>1.49</v>
      </c>
      <c r="J55" s="64">
        <v>0.28000000000000003</v>
      </c>
      <c r="K55" s="64">
        <v>9.8800000000000008</v>
      </c>
      <c r="L55" s="64">
        <v>16.66</v>
      </c>
      <c r="M55" s="64">
        <v>98.13</v>
      </c>
      <c r="N55" s="64">
        <v>89</v>
      </c>
      <c r="O55" s="64">
        <v>0</v>
      </c>
      <c r="P55" s="64">
        <v>0.52</v>
      </c>
      <c r="Q55" s="64">
        <v>5.97</v>
      </c>
      <c r="R55" s="198"/>
      <c r="S55" s="198"/>
      <c r="T55" s="198"/>
      <c r="U55" s="198"/>
    </row>
    <row r="56" spans="1:21" s="12" customFormat="1" x14ac:dyDescent="0.25">
      <c r="A56" s="214" t="s">
        <v>679</v>
      </c>
      <c r="B56" s="64">
        <v>17.440000000000001</v>
      </c>
      <c r="C56" s="64">
        <v>42.23</v>
      </c>
      <c r="D56" s="64">
        <v>37.94</v>
      </c>
      <c r="E56" s="64">
        <v>2.2200000000000002</v>
      </c>
      <c r="F56" s="64">
        <v>8.01</v>
      </c>
      <c r="G56" s="64">
        <v>12.75</v>
      </c>
      <c r="H56" s="64">
        <v>7.17</v>
      </c>
      <c r="I56" s="64">
        <v>1.48</v>
      </c>
      <c r="J56" s="64">
        <v>0.31</v>
      </c>
      <c r="K56" s="64">
        <v>75.36</v>
      </c>
      <c r="L56" s="64">
        <v>16.62</v>
      </c>
      <c r="M56" s="64">
        <v>98.13</v>
      </c>
      <c r="N56" s="64">
        <v>146.5</v>
      </c>
      <c r="O56" s="64">
        <v>0.2</v>
      </c>
      <c r="P56" s="64">
        <v>0.53</v>
      </c>
      <c r="Q56" s="64">
        <v>5.7</v>
      </c>
      <c r="R56" s="198"/>
      <c r="S56" s="198"/>
      <c r="T56" s="198"/>
      <c r="U56" s="198"/>
    </row>
    <row r="57" spans="1:21" s="12" customFormat="1" x14ac:dyDescent="0.25">
      <c r="A57" s="214" t="s">
        <v>680</v>
      </c>
      <c r="B57" s="64">
        <v>17.690000000000001</v>
      </c>
      <c r="C57" s="64">
        <v>42.39</v>
      </c>
      <c r="D57" s="64">
        <v>38.22</v>
      </c>
      <c r="E57" s="64">
        <v>2.3199999999999998</v>
      </c>
      <c r="F57" s="64">
        <v>6.52</v>
      </c>
      <c r="G57" s="64">
        <v>12.75</v>
      </c>
      <c r="H57" s="64">
        <v>7.17</v>
      </c>
      <c r="I57" s="64">
        <v>1.42</v>
      </c>
      <c r="J57" s="64">
        <v>0.27</v>
      </c>
      <c r="K57" s="64">
        <v>54.51</v>
      </c>
      <c r="L57" s="64">
        <v>16.84</v>
      </c>
      <c r="M57" s="64">
        <v>98.16</v>
      </c>
      <c r="N57" s="64">
        <v>181.1</v>
      </c>
      <c r="O57" s="64">
        <v>0</v>
      </c>
      <c r="P57" s="64">
        <v>0.51</v>
      </c>
      <c r="Q57" s="64">
        <v>5.08</v>
      </c>
      <c r="R57" s="198"/>
      <c r="S57" s="198"/>
      <c r="T57" s="198"/>
      <c r="U57" s="198"/>
    </row>
    <row r="58" spans="1:21" s="12" customFormat="1" x14ac:dyDescent="0.25">
      <c r="A58" s="214" t="s">
        <v>681</v>
      </c>
      <c r="B58" s="64">
        <v>17.89</v>
      </c>
      <c r="C58" s="64">
        <v>42.37</v>
      </c>
      <c r="D58" s="64">
        <v>38.369999999999997</v>
      </c>
      <c r="E58" s="64">
        <v>2.35</v>
      </c>
      <c r="F58" s="64">
        <v>6.97</v>
      </c>
      <c r="G58" s="64">
        <v>12.75</v>
      </c>
      <c r="H58" s="64">
        <v>7.17</v>
      </c>
      <c r="I58" s="64">
        <v>1.51</v>
      </c>
      <c r="J58" s="64">
        <v>0.6</v>
      </c>
      <c r="K58" s="64">
        <v>339.72</v>
      </c>
      <c r="L58" s="64">
        <v>16.64</v>
      </c>
      <c r="M58" s="64">
        <v>98.17</v>
      </c>
      <c r="N58" s="64">
        <v>112.4</v>
      </c>
      <c r="O58" s="64">
        <v>0</v>
      </c>
      <c r="P58" s="64">
        <v>0.48</v>
      </c>
      <c r="Q58" s="64">
        <v>5.16</v>
      </c>
      <c r="R58" s="198"/>
      <c r="S58" s="198"/>
      <c r="T58" s="198"/>
      <c r="U58" s="198"/>
    </row>
    <row r="59" spans="1:21" s="12" customFormat="1" x14ac:dyDescent="0.25">
      <c r="A59" s="214" t="s">
        <v>682</v>
      </c>
      <c r="B59" s="64">
        <v>18.36</v>
      </c>
      <c r="C59" s="64">
        <v>43.7</v>
      </c>
      <c r="D59" s="64">
        <v>39.49</v>
      </c>
      <c r="E59" s="64">
        <v>2.41</v>
      </c>
      <c r="F59" s="64">
        <v>7.6</v>
      </c>
      <c r="G59" s="64">
        <v>12.93</v>
      </c>
      <c r="H59" s="64">
        <v>7.76</v>
      </c>
      <c r="I59" s="64">
        <v>1.57</v>
      </c>
      <c r="J59" s="64">
        <v>0.68</v>
      </c>
      <c r="K59" s="64">
        <v>333.09</v>
      </c>
      <c r="L59" s="64">
        <v>16.7</v>
      </c>
      <c r="M59" s="64">
        <v>98.13</v>
      </c>
      <c r="N59" s="64">
        <v>96.3</v>
      </c>
      <c r="O59" s="64">
        <v>0</v>
      </c>
      <c r="P59" s="64">
        <v>0.51</v>
      </c>
      <c r="Q59" s="64">
        <v>4.5599999999999996</v>
      </c>
      <c r="R59" s="198"/>
      <c r="S59" s="198"/>
      <c r="T59" s="198"/>
      <c r="U59" s="198"/>
    </row>
    <row r="60" spans="1:21" s="12" customFormat="1" x14ac:dyDescent="0.25">
      <c r="A60" s="214" t="s">
        <v>683</v>
      </c>
      <c r="B60" s="64">
        <v>19.010000000000002</v>
      </c>
      <c r="C60" s="64">
        <v>44.64</v>
      </c>
      <c r="D60" s="64">
        <v>40.53</v>
      </c>
      <c r="E60" s="64">
        <v>2.39</v>
      </c>
      <c r="F60" s="64">
        <v>10.24</v>
      </c>
      <c r="G60" s="64">
        <v>13.62</v>
      </c>
      <c r="H60" s="64">
        <v>10.41</v>
      </c>
      <c r="I60" s="64">
        <v>1.52</v>
      </c>
      <c r="J60" s="64">
        <v>0.72</v>
      </c>
      <c r="K60" s="64">
        <v>325.06</v>
      </c>
      <c r="L60" s="64">
        <v>16.8</v>
      </c>
      <c r="M60" s="64">
        <v>98.12</v>
      </c>
      <c r="N60" s="64">
        <v>124.6</v>
      </c>
      <c r="O60" s="64">
        <v>0</v>
      </c>
      <c r="P60" s="64">
        <v>0.48</v>
      </c>
      <c r="Q60" s="64">
        <v>4.7300000000000004</v>
      </c>
      <c r="R60" s="198"/>
      <c r="S60" s="198"/>
      <c r="T60" s="198"/>
      <c r="U60" s="198"/>
    </row>
    <row r="61" spans="1:21" s="12" customFormat="1" x14ac:dyDescent="0.25">
      <c r="A61" s="214" t="s">
        <v>684</v>
      </c>
      <c r="B61" s="64">
        <v>19.47</v>
      </c>
      <c r="C61" s="64">
        <v>45.08</v>
      </c>
      <c r="D61" s="64">
        <v>41.14</v>
      </c>
      <c r="E61" s="64">
        <v>2.42</v>
      </c>
      <c r="F61" s="64">
        <v>8.11</v>
      </c>
      <c r="G61" s="64">
        <v>13.62</v>
      </c>
      <c r="H61" s="64">
        <v>10.41</v>
      </c>
      <c r="I61" s="64">
        <v>1.5</v>
      </c>
      <c r="J61" s="64">
        <v>0.76</v>
      </c>
      <c r="K61" s="64">
        <v>342.13</v>
      </c>
      <c r="L61" s="64">
        <v>17.010000000000002</v>
      </c>
      <c r="M61" s="64">
        <v>98.1</v>
      </c>
      <c r="N61" s="64">
        <v>123.2</v>
      </c>
      <c r="O61" s="64">
        <v>0</v>
      </c>
      <c r="P61" s="64">
        <v>0.51</v>
      </c>
      <c r="Q61" s="64">
        <v>4.5999999999999996</v>
      </c>
      <c r="R61" s="198"/>
      <c r="S61" s="198"/>
      <c r="T61" s="198"/>
      <c r="U61" s="198"/>
    </row>
    <row r="62" spans="1:21" s="12" customFormat="1" x14ac:dyDescent="0.25">
      <c r="A62" s="214" t="s">
        <v>685</v>
      </c>
      <c r="B62" s="64">
        <v>19.91</v>
      </c>
      <c r="C62" s="64">
        <v>45.07</v>
      </c>
      <c r="D62" s="64">
        <v>41.49</v>
      </c>
      <c r="E62" s="64">
        <v>2.4300000000000002</v>
      </c>
      <c r="F62" s="64">
        <v>8.93</v>
      </c>
      <c r="G62" s="64">
        <v>13.62</v>
      </c>
      <c r="H62" s="64">
        <v>10.41</v>
      </c>
      <c r="I62" s="64">
        <v>1.46</v>
      </c>
      <c r="J62" s="64">
        <v>0.46</v>
      </c>
      <c r="K62" s="64">
        <v>349.05</v>
      </c>
      <c r="L62" s="64">
        <v>16.89</v>
      </c>
      <c r="M62" s="64">
        <v>97.61</v>
      </c>
      <c r="N62" s="64">
        <v>100.9</v>
      </c>
      <c r="O62" s="64">
        <v>0</v>
      </c>
      <c r="P62" s="64">
        <v>0.46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686</v>
      </c>
      <c r="B63" s="64">
        <v>20.27</v>
      </c>
      <c r="C63" s="64">
        <v>45.39</v>
      </c>
      <c r="D63" s="64">
        <v>41.95</v>
      </c>
      <c r="E63" s="64">
        <v>2.38</v>
      </c>
      <c r="F63" s="64">
        <v>7.51</v>
      </c>
      <c r="G63" s="64">
        <v>13.24</v>
      </c>
      <c r="H63" s="64">
        <v>10.25</v>
      </c>
      <c r="I63" s="64">
        <v>1.47</v>
      </c>
      <c r="J63" s="64">
        <v>0.35</v>
      </c>
      <c r="K63" s="64">
        <v>4.2300000000000004</v>
      </c>
      <c r="L63" s="64">
        <v>16.84</v>
      </c>
      <c r="M63" s="64">
        <v>97.15</v>
      </c>
      <c r="N63" s="64">
        <v>118.8</v>
      </c>
      <c r="O63" s="64">
        <v>0</v>
      </c>
      <c r="P63" s="64">
        <v>0.55000000000000004</v>
      </c>
      <c r="Q63" s="64">
        <v>4.67</v>
      </c>
      <c r="R63" s="198"/>
      <c r="S63" s="198"/>
      <c r="T63" s="198"/>
      <c r="U63" s="198"/>
    </row>
    <row r="64" spans="1:21" s="12" customFormat="1" x14ac:dyDescent="0.25">
      <c r="A64" s="214" t="s">
        <v>687</v>
      </c>
      <c r="B64" s="64">
        <v>20.91</v>
      </c>
      <c r="C64" s="64">
        <v>45.82</v>
      </c>
      <c r="D64" s="64">
        <v>42.7</v>
      </c>
      <c r="E64" s="64">
        <v>2.4300000000000002</v>
      </c>
      <c r="F64" s="64">
        <v>7.1</v>
      </c>
      <c r="G64" s="64">
        <v>11.73</v>
      </c>
      <c r="H64" s="64">
        <v>9.81</v>
      </c>
      <c r="I64" s="64">
        <v>1.48</v>
      </c>
      <c r="J64" s="64">
        <v>0.42</v>
      </c>
      <c r="K64" s="64">
        <v>346.17</v>
      </c>
      <c r="L64" s="64">
        <v>17.190000000000001</v>
      </c>
      <c r="M64" s="64">
        <v>95.98</v>
      </c>
      <c r="N64" s="64">
        <v>114</v>
      </c>
      <c r="O64" s="64">
        <v>0</v>
      </c>
      <c r="P64" s="64">
        <v>0.55000000000000004</v>
      </c>
      <c r="Q64" s="64">
        <v>4.3600000000000003</v>
      </c>
      <c r="R64" s="198"/>
      <c r="S64" s="198"/>
      <c r="T64" s="198"/>
      <c r="U64" s="198"/>
    </row>
    <row r="65" spans="1:21" s="12" customFormat="1" x14ac:dyDescent="0.25">
      <c r="A65" s="214" t="s">
        <v>688</v>
      </c>
      <c r="B65" s="64">
        <v>21.23</v>
      </c>
      <c r="C65" s="64">
        <v>46.05</v>
      </c>
      <c r="D65" s="64">
        <v>43.08</v>
      </c>
      <c r="E65" s="64">
        <v>2.35</v>
      </c>
      <c r="F65" s="64">
        <v>8.1999999999999993</v>
      </c>
      <c r="G65" s="64">
        <v>11.73</v>
      </c>
      <c r="H65" s="64">
        <v>9.81</v>
      </c>
      <c r="I65" s="64">
        <v>1.5</v>
      </c>
      <c r="J65" s="64">
        <v>0.57999999999999996</v>
      </c>
      <c r="K65" s="64">
        <v>328.73</v>
      </c>
      <c r="L65" s="64">
        <v>17.05</v>
      </c>
      <c r="M65" s="64">
        <v>95.97</v>
      </c>
      <c r="N65" s="64">
        <v>85.6</v>
      </c>
      <c r="O65" s="64">
        <v>0</v>
      </c>
      <c r="P65" s="64">
        <v>0.52</v>
      </c>
      <c r="Q65" s="64">
        <v>5.28</v>
      </c>
      <c r="R65" s="198"/>
      <c r="S65" s="198"/>
      <c r="T65" s="198"/>
      <c r="U65" s="198"/>
    </row>
    <row r="66" spans="1:21" s="12" customFormat="1" x14ac:dyDescent="0.25">
      <c r="A66" s="214" t="s">
        <v>689</v>
      </c>
      <c r="B66" s="64">
        <v>21.41</v>
      </c>
      <c r="C66" s="64">
        <v>45.94</v>
      </c>
      <c r="D66" s="64">
        <v>43.17</v>
      </c>
      <c r="E66" s="64">
        <v>2.4300000000000002</v>
      </c>
      <c r="F66" s="64">
        <v>8.77</v>
      </c>
      <c r="G66" s="64">
        <v>11.73</v>
      </c>
      <c r="H66" s="64">
        <v>9.81</v>
      </c>
      <c r="I66" s="64">
        <v>1.49</v>
      </c>
      <c r="J66" s="64">
        <v>0.54</v>
      </c>
      <c r="K66" s="64">
        <v>337.48</v>
      </c>
      <c r="L66" s="64">
        <v>16.93</v>
      </c>
      <c r="M66" s="64">
        <v>95.55</v>
      </c>
      <c r="N66" s="64">
        <v>68.5</v>
      </c>
      <c r="O66" s="64">
        <v>0</v>
      </c>
      <c r="P66" s="64">
        <v>0.52</v>
      </c>
      <c r="Q66" s="64">
        <v>5.19</v>
      </c>
      <c r="R66" s="198"/>
      <c r="S66" s="198"/>
      <c r="T66" s="198"/>
      <c r="U66" s="198"/>
    </row>
    <row r="67" spans="1:21" s="12" customFormat="1" x14ac:dyDescent="0.25">
      <c r="A67" s="214" t="s">
        <v>690</v>
      </c>
      <c r="B67" s="64">
        <v>21.9</v>
      </c>
      <c r="C67" s="64">
        <v>45.98</v>
      </c>
      <c r="D67" s="64">
        <v>43.58</v>
      </c>
      <c r="E67" s="64">
        <v>2.42</v>
      </c>
      <c r="F67" s="64">
        <v>7.3</v>
      </c>
      <c r="G67" s="64">
        <v>12.61</v>
      </c>
      <c r="H67" s="64">
        <v>9.86</v>
      </c>
      <c r="I67" s="64">
        <v>1.49</v>
      </c>
      <c r="J67" s="64">
        <v>0.69</v>
      </c>
      <c r="K67" s="64">
        <v>336.16</v>
      </c>
      <c r="L67" s="64">
        <v>16.98</v>
      </c>
      <c r="M67" s="64">
        <v>96.47</v>
      </c>
      <c r="N67" s="64">
        <v>86.2</v>
      </c>
      <c r="O67" s="64">
        <v>0</v>
      </c>
      <c r="P67" s="64">
        <v>0.56999999999999995</v>
      </c>
      <c r="Q67" s="64">
        <v>4.93</v>
      </c>
      <c r="R67" s="198"/>
      <c r="S67" s="198"/>
      <c r="T67" s="198"/>
      <c r="U67" s="198"/>
    </row>
    <row r="68" spans="1:21" s="12" customFormat="1" x14ac:dyDescent="0.25">
      <c r="A68" s="214" t="s">
        <v>691</v>
      </c>
      <c r="B68" s="64">
        <v>22.57</v>
      </c>
      <c r="C68" s="64">
        <v>48.74</v>
      </c>
      <c r="D68" s="64">
        <v>45.65</v>
      </c>
      <c r="E68" s="64">
        <v>2.5099999999999998</v>
      </c>
      <c r="F68" s="64">
        <v>7.4</v>
      </c>
      <c r="G68" s="64">
        <v>15.89</v>
      </c>
      <c r="H68" s="64">
        <v>9.99</v>
      </c>
      <c r="I68" s="64">
        <v>1.47</v>
      </c>
      <c r="J68" s="64">
        <v>0.74</v>
      </c>
      <c r="K68" s="64">
        <v>333.48</v>
      </c>
      <c r="L68" s="64">
        <v>17.12</v>
      </c>
      <c r="M68" s="64">
        <v>94.68</v>
      </c>
      <c r="N68" s="64">
        <v>89.9</v>
      </c>
      <c r="O68" s="64">
        <v>0</v>
      </c>
      <c r="P68" s="64">
        <v>0.59</v>
      </c>
      <c r="Q68" s="64">
        <v>4.1100000000000003</v>
      </c>
      <c r="R68" s="198"/>
      <c r="S68" s="198"/>
      <c r="T68" s="198"/>
      <c r="U68" s="198"/>
    </row>
    <row r="69" spans="1:21" s="12" customFormat="1" x14ac:dyDescent="0.25">
      <c r="A69" s="214" t="s">
        <v>692</v>
      </c>
      <c r="B69" s="64">
        <v>23.24</v>
      </c>
      <c r="C69" s="64">
        <v>49.47</v>
      </c>
      <c r="D69" s="64">
        <v>46.58</v>
      </c>
      <c r="E69" s="64">
        <v>2.5499999999999998</v>
      </c>
      <c r="F69" s="64">
        <v>11.94</v>
      </c>
      <c r="G69" s="64">
        <v>15.89</v>
      </c>
      <c r="H69" s="64">
        <v>9.99</v>
      </c>
      <c r="I69" s="64">
        <v>1.46</v>
      </c>
      <c r="J69" s="64">
        <v>0.42</v>
      </c>
      <c r="K69" s="64">
        <v>354.61</v>
      </c>
      <c r="L69" s="64">
        <v>16.739999999999998</v>
      </c>
      <c r="M69" s="64">
        <v>96.64</v>
      </c>
      <c r="N69" s="64">
        <v>85.4</v>
      </c>
      <c r="O69" s="64">
        <v>0</v>
      </c>
      <c r="P69" s="64">
        <v>0.46</v>
      </c>
      <c r="Q69" s="64">
        <v>5.4</v>
      </c>
      <c r="R69" s="198"/>
      <c r="S69" s="198"/>
      <c r="T69" s="198"/>
      <c r="U69" s="198"/>
    </row>
    <row r="70" spans="1:21" s="12" customFormat="1" x14ac:dyDescent="0.25">
      <c r="A70" s="214" t="s">
        <v>693</v>
      </c>
      <c r="B70" s="64">
        <v>23.22</v>
      </c>
      <c r="C70" s="64">
        <v>49.67</v>
      </c>
      <c r="D70" s="64">
        <v>46.68</v>
      </c>
      <c r="E70" s="64">
        <v>2.5099999999999998</v>
      </c>
      <c r="F70" s="64">
        <v>8.93</v>
      </c>
      <c r="G70" s="64">
        <v>15.89</v>
      </c>
      <c r="H70" s="64">
        <v>9.99</v>
      </c>
      <c r="I70" s="64">
        <v>1.47</v>
      </c>
      <c r="J70" s="64">
        <v>0.74</v>
      </c>
      <c r="K70" s="64">
        <v>341.2</v>
      </c>
      <c r="L70" s="64">
        <v>16.52</v>
      </c>
      <c r="M70" s="64">
        <v>98.15</v>
      </c>
      <c r="N70" s="64">
        <v>79.099999999999994</v>
      </c>
      <c r="O70" s="64">
        <v>0</v>
      </c>
      <c r="P70" s="64">
        <v>0.52</v>
      </c>
      <c r="Q70" s="64">
        <v>5.46</v>
      </c>
      <c r="R70" s="198"/>
      <c r="S70" s="198"/>
      <c r="T70" s="198"/>
      <c r="U70" s="198"/>
    </row>
    <row r="71" spans="1:21" s="12" customFormat="1" x14ac:dyDescent="0.25">
      <c r="A71" s="214" t="s">
        <v>694</v>
      </c>
      <c r="B71" s="64">
        <v>23.13</v>
      </c>
      <c r="C71" s="64">
        <v>49.93</v>
      </c>
      <c r="D71" s="64">
        <v>46.75</v>
      </c>
      <c r="E71" s="64">
        <v>2.56</v>
      </c>
      <c r="F71" s="64">
        <v>15.82</v>
      </c>
      <c r="G71" s="64">
        <v>15.85</v>
      </c>
      <c r="H71" s="64">
        <v>10.07</v>
      </c>
      <c r="I71" s="64">
        <v>1.46</v>
      </c>
      <c r="J71" s="64">
        <v>1.06</v>
      </c>
      <c r="K71" s="64">
        <v>340.84</v>
      </c>
      <c r="L71" s="64">
        <v>16.55</v>
      </c>
      <c r="M71" s="64">
        <v>98.13</v>
      </c>
      <c r="N71" s="64">
        <v>60.3</v>
      </c>
      <c r="O71" s="64">
        <v>0</v>
      </c>
      <c r="P71" s="64">
        <v>0.49</v>
      </c>
      <c r="Q71" s="64">
        <v>6.11</v>
      </c>
      <c r="R71" s="198"/>
      <c r="S71" s="198"/>
      <c r="T71" s="198"/>
      <c r="U71" s="198"/>
    </row>
    <row r="72" spans="1:21" s="12" customFormat="1" x14ac:dyDescent="0.25">
      <c r="A72" s="214" t="s">
        <v>695</v>
      </c>
      <c r="B72" s="64">
        <v>22.68</v>
      </c>
      <c r="C72" s="64">
        <v>49.88</v>
      </c>
      <c r="D72" s="64">
        <v>46.36</v>
      </c>
      <c r="E72" s="64">
        <v>2.3199999999999998</v>
      </c>
      <c r="F72" s="64">
        <v>10.64</v>
      </c>
      <c r="G72" s="64">
        <v>15.72</v>
      </c>
      <c r="H72" s="64">
        <v>10.28</v>
      </c>
      <c r="I72" s="64">
        <v>1.44</v>
      </c>
      <c r="J72" s="64">
        <v>0.31</v>
      </c>
      <c r="K72" s="64">
        <v>352.85</v>
      </c>
      <c r="L72" s="64">
        <v>16.489999999999998</v>
      </c>
      <c r="M72" s="64">
        <v>98.14</v>
      </c>
      <c r="N72" s="64">
        <v>56.3</v>
      </c>
      <c r="O72" s="64">
        <v>0</v>
      </c>
      <c r="P72" s="64">
        <v>0.62</v>
      </c>
      <c r="Q72" s="64">
        <v>6.49</v>
      </c>
      <c r="R72" s="198"/>
      <c r="S72" s="198"/>
      <c r="T72" s="198"/>
      <c r="U72" s="198"/>
    </row>
    <row r="73" spans="1:21" s="12" customFormat="1" x14ac:dyDescent="0.25">
      <c r="A73" s="214" t="s">
        <v>696</v>
      </c>
      <c r="B73" s="64">
        <v>22.45</v>
      </c>
      <c r="C73" s="64">
        <v>49.6</v>
      </c>
      <c r="D73" s="64">
        <v>46.03</v>
      </c>
      <c r="E73" s="64">
        <v>2.62</v>
      </c>
      <c r="F73" s="64">
        <v>14.08</v>
      </c>
      <c r="G73" s="64">
        <v>15.72</v>
      </c>
      <c r="H73" s="64">
        <v>10.28</v>
      </c>
      <c r="I73" s="64">
        <v>1.47</v>
      </c>
      <c r="J73" s="64">
        <v>0.83</v>
      </c>
      <c r="K73" s="64">
        <v>333.93</v>
      </c>
      <c r="L73" s="64">
        <v>16.489999999999998</v>
      </c>
      <c r="M73" s="64">
        <v>97.81</v>
      </c>
      <c r="N73" s="64">
        <v>52.1</v>
      </c>
      <c r="O73" s="64">
        <v>0</v>
      </c>
      <c r="P73" s="64">
        <v>0.47</v>
      </c>
      <c r="Q73" s="64">
        <v>6.39</v>
      </c>
      <c r="R73" s="198"/>
      <c r="S73" s="198"/>
      <c r="T73" s="198"/>
      <c r="U73" s="198"/>
    </row>
    <row r="74" spans="1:21" s="12" customFormat="1" x14ac:dyDescent="0.25">
      <c r="A74" s="214" t="s">
        <v>697</v>
      </c>
      <c r="B74" s="64">
        <v>22.09</v>
      </c>
      <c r="C74" s="64">
        <v>49.27</v>
      </c>
      <c r="D74" s="64">
        <v>45.55</v>
      </c>
      <c r="E74" s="64">
        <v>2.65</v>
      </c>
      <c r="F74" s="64">
        <v>15.69</v>
      </c>
      <c r="G74" s="64">
        <v>15.72</v>
      </c>
      <c r="H74" s="64">
        <v>10.28</v>
      </c>
      <c r="I74" s="64">
        <v>1.48</v>
      </c>
      <c r="J74" s="64">
        <v>0.77</v>
      </c>
      <c r="K74" s="64">
        <v>335.82</v>
      </c>
      <c r="L74" s="64">
        <v>16.239999999999998</v>
      </c>
      <c r="M74" s="64">
        <v>98.13</v>
      </c>
      <c r="N74" s="64">
        <v>40.200000000000003</v>
      </c>
      <c r="O74" s="64">
        <v>0</v>
      </c>
      <c r="P74" s="64">
        <v>0.47</v>
      </c>
      <c r="Q74" s="64">
        <v>6.77</v>
      </c>
      <c r="R74" s="198"/>
      <c r="S74" s="198"/>
      <c r="T74" s="198"/>
      <c r="U74" s="198"/>
    </row>
    <row r="75" spans="1:21" s="12" customFormat="1" x14ac:dyDescent="0.25">
      <c r="A75" s="214" t="s">
        <v>698</v>
      </c>
      <c r="B75" s="64">
        <v>21.54</v>
      </c>
      <c r="C75" s="64">
        <v>49.64</v>
      </c>
      <c r="D75" s="64">
        <v>45.31</v>
      </c>
      <c r="E75" s="64">
        <v>2.66</v>
      </c>
      <c r="F75" s="64">
        <v>13.52</v>
      </c>
      <c r="G75" s="64">
        <v>16.690000000000001</v>
      </c>
      <c r="H75" s="64">
        <v>10.39</v>
      </c>
      <c r="I75" s="64">
        <v>1.51</v>
      </c>
      <c r="J75" s="64">
        <v>0.87</v>
      </c>
      <c r="K75" s="64">
        <v>337.61</v>
      </c>
      <c r="L75" s="64">
        <v>16.05</v>
      </c>
      <c r="M75" s="64">
        <v>98.15</v>
      </c>
      <c r="N75" s="64">
        <v>36.700000000000003</v>
      </c>
      <c r="O75" s="64">
        <v>0</v>
      </c>
      <c r="P75" s="64">
        <v>0.5</v>
      </c>
      <c r="Q75" s="64">
        <v>6.23</v>
      </c>
      <c r="R75" s="198"/>
      <c r="S75" s="198"/>
      <c r="T75" s="198"/>
      <c r="U75" s="198"/>
    </row>
    <row r="76" spans="1:21" s="12" customFormat="1" x14ac:dyDescent="0.25">
      <c r="A76" s="214" t="s">
        <v>699</v>
      </c>
      <c r="B76" s="64">
        <v>21.56</v>
      </c>
      <c r="C76" s="64">
        <v>50.05</v>
      </c>
      <c r="D76" s="64">
        <v>45.55</v>
      </c>
      <c r="E76" s="64">
        <v>2.57</v>
      </c>
      <c r="F76" s="64">
        <v>9.83</v>
      </c>
      <c r="G76" s="64">
        <v>20.55</v>
      </c>
      <c r="H76" s="64">
        <v>10.89</v>
      </c>
      <c r="I76" s="64">
        <v>1.48</v>
      </c>
      <c r="J76" s="64">
        <v>0.32</v>
      </c>
      <c r="K76" s="64">
        <v>338.54</v>
      </c>
      <c r="L76" s="64">
        <v>15.93</v>
      </c>
      <c r="M76" s="64">
        <v>98.16</v>
      </c>
      <c r="N76" s="64">
        <v>29.1</v>
      </c>
      <c r="O76" s="64">
        <v>0.6</v>
      </c>
      <c r="P76" s="64">
        <v>0.62</v>
      </c>
      <c r="Q76" s="64">
        <v>5.4</v>
      </c>
      <c r="R76" s="198"/>
      <c r="S76" s="198"/>
      <c r="T76" s="198"/>
      <c r="U76" s="198"/>
    </row>
    <row r="77" spans="1:21" s="12" customFormat="1" x14ac:dyDescent="0.25">
      <c r="A77" s="214" t="s">
        <v>700</v>
      </c>
      <c r="B77" s="64">
        <v>22.28</v>
      </c>
      <c r="C77" s="64">
        <v>49.43</v>
      </c>
      <c r="D77" s="64">
        <v>45.79</v>
      </c>
      <c r="E77" s="64">
        <v>2.52</v>
      </c>
      <c r="F77" s="64">
        <v>6.68</v>
      </c>
      <c r="G77" s="64">
        <v>20.55</v>
      </c>
      <c r="H77" s="64">
        <v>10.89</v>
      </c>
      <c r="I77" s="64">
        <v>1.44</v>
      </c>
      <c r="J77" s="64">
        <v>0.47</v>
      </c>
      <c r="K77" s="64">
        <v>321.64999999999998</v>
      </c>
      <c r="L77" s="64">
        <v>15.56</v>
      </c>
      <c r="M77" s="64">
        <v>98.18</v>
      </c>
      <c r="N77" s="64">
        <v>25.6</v>
      </c>
      <c r="O77" s="64">
        <v>1.8</v>
      </c>
      <c r="P77" s="64">
        <v>0.47</v>
      </c>
      <c r="Q77" s="64">
        <v>2.2599999999999998</v>
      </c>
      <c r="R77" s="198"/>
      <c r="S77" s="198"/>
      <c r="T77" s="198"/>
      <c r="U77" s="198"/>
    </row>
    <row r="78" spans="1:21" s="12" customFormat="1" x14ac:dyDescent="0.25">
      <c r="A78" s="214" t="s">
        <v>701</v>
      </c>
      <c r="B78" s="64">
        <v>22.89</v>
      </c>
      <c r="C78" s="64">
        <v>49.1</v>
      </c>
      <c r="D78" s="64">
        <v>46.1</v>
      </c>
      <c r="E78" s="64">
        <v>2.4700000000000002</v>
      </c>
      <c r="F78" s="64">
        <v>6.35</v>
      </c>
      <c r="G78" s="64">
        <v>20.55</v>
      </c>
      <c r="H78" s="64">
        <v>10.89</v>
      </c>
      <c r="I78" s="64">
        <v>1.57</v>
      </c>
      <c r="J78" s="64">
        <v>0.28000000000000003</v>
      </c>
      <c r="K78" s="64">
        <v>341.65</v>
      </c>
      <c r="L78" s="64">
        <v>15.32</v>
      </c>
      <c r="M78" s="64">
        <v>98.19</v>
      </c>
      <c r="N78" s="64">
        <v>24.1</v>
      </c>
      <c r="O78" s="64">
        <v>1.4</v>
      </c>
      <c r="P78" s="64">
        <v>0.39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4" t="s">
        <v>702</v>
      </c>
      <c r="B79" s="64">
        <v>23.52</v>
      </c>
      <c r="C79" s="64">
        <v>48.94</v>
      </c>
      <c r="D79" s="64">
        <v>46.52</v>
      </c>
      <c r="E79" s="64">
        <v>2.39</v>
      </c>
      <c r="F79" s="64">
        <v>5.72</v>
      </c>
      <c r="G79" s="64">
        <v>20.329999999999998</v>
      </c>
      <c r="H79" s="64">
        <v>10.18</v>
      </c>
      <c r="I79" s="64">
        <v>1.51</v>
      </c>
      <c r="J79" s="64">
        <v>0.39</v>
      </c>
      <c r="K79" s="64">
        <v>342.9</v>
      </c>
      <c r="L79" s="64">
        <v>15.34</v>
      </c>
      <c r="M79" s="64">
        <v>98.2</v>
      </c>
      <c r="N79" s="64">
        <v>23.9</v>
      </c>
      <c r="O79" s="64">
        <v>0.4</v>
      </c>
      <c r="P79" s="64">
        <v>0.5</v>
      </c>
      <c r="Q79" s="64">
        <v>5.77</v>
      </c>
      <c r="R79" s="198"/>
      <c r="S79" s="198"/>
      <c r="T79" s="198"/>
      <c r="U79" s="198"/>
    </row>
    <row r="80" spans="1:21" s="12" customFormat="1" x14ac:dyDescent="0.25">
      <c r="A80" s="214" t="s">
        <v>703</v>
      </c>
      <c r="B80" s="64">
        <v>24.08</v>
      </c>
      <c r="C80" s="64">
        <v>48.44</v>
      </c>
      <c r="D80" s="64">
        <v>46.69</v>
      </c>
      <c r="E80" s="64">
        <v>2.4</v>
      </c>
      <c r="F80" s="64">
        <v>5.55</v>
      </c>
      <c r="G80" s="64">
        <v>19.440000000000001</v>
      </c>
      <c r="H80" s="64">
        <v>8.26</v>
      </c>
      <c r="I80" s="64">
        <v>1.45</v>
      </c>
      <c r="J80" s="64">
        <v>0.42</v>
      </c>
      <c r="K80" s="64">
        <v>332.71</v>
      </c>
      <c r="L80" s="64">
        <v>15.4</v>
      </c>
      <c r="M80" s="64">
        <v>98.2</v>
      </c>
      <c r="N80" s="64">
        <v>24</v>
      </c>
      <c r="O80" s="64">
        <v>0</v>
      </c>
      <c r="P80" s="64">
        <v>0.61</v>
      </c>
      <c r="Q80" s="64">
        <v>6.05</v>
      </c>
      <c r="R80" s="198"/>
      <c r="S80" s="198"/>
      <c r="T80" s="198"/>
      <c r="U80" s="198"/>
    </row>
    <row r="81" spans="1:26" s="12" customFormat="1" x14ac:dyDescent="0.25">
      <c r="A81" s="214" t="s">
        <v>704</v>
      </c>
      <c r="B81" s="64">
        <v>25.62</v>
      </c>
      <c r="C81" s="64">
        <v>45.91</v>
      </c>
      <c r="D81" s="64">
        <v>46.53</v>
      </c>
      <c r="E81" s="64">
        <v>2.41</v>
      </c>
      <c r="F81" s="64">
        <v>4.53</v>
      </c>
      <c r="G81" s="64">
        <v>19.440000000000001</v>
      </c>
      <c r="H81" s="64">
        <v>8.26</v>
      </c>
      <c r="I81" s="64">
        <v>1.49</v>
      </c>
      <c r="J81" s="64">
        <v>0.39</v>
      </c>
      <c r="K81" s="64">
        <v>97.34</v>
      </c>
      <c r="L81" s="64">
        <v>15.32</v>
      </c>
      <c r="M81" s="64">
        <v>98.2</v>
      </c>
      <c r="N81" s="64">
        <v>24.3</v>
      </c>
      <c r="O81" s="64">
        <v>0</v>
      </c>
      <c r="P81" s="64">
        <v>0.65</v>
      </c>
      <c r="Q81" s="64">
        <v>2.68</v>
      </c>
      <c r="R81" s="198"/>
      <c r="S81" s="198"/>
      <c r="T81" s="198"/>
      <c r="U81" s="198"/>
    </row>
    <row r="82" spans="1:26" s="12" customFormat="1" x14ac:dyDescent="0.25">
      <c r="A82" s="214" t="s">
        <v>705</v>
      </c>
      <c r="B82" s="64">
        <v>26.54</v>
      </c>
      <c r="C82" s="64">
        <v>44.95</v>
      </c>
      <c r="D82" s="64">
        <v>46.74</v>
      </c>
      <c r="E82" s="64">
        <v>2.33</v>
      </c>
      <c r="F82" s="64">
        <v>4.78</v>
      </c>
      <c r="G82" s="64">
        <v>19.440000000000001</v>
      </c>
      <c r="H82" s="64">
        <v>8.26</v>
      </c>
      <c r="I82" s="64">
        <v>1.54</v>
      </c>
      <c r="J82" s="64">
        <v>0.26</v>
      </c>
      <c r="K82" s="64">
        <v>90.05</v>
      </c>
      <c r="L82" s="64">
        <v>15.32</v>
      </c>
      <c r="M82" s="64">
        <v>98.2</v>
      </c>
      <c r="N82" s="64">
        <v>24.1</v>
      </c>
      <c r="O82" s="64">
        <v>0</v>
      </c>
      <c r="P82" s="64">
        <v>0.63</v>
      </c>
      <c r="Q82" s="64">
        <v>6.11</v>
      </c>
      <c r="R82" s="198"/>
      <c r="S82" s="198"/>
      <c r="T82" s="198"/>
      <c r="U82" s="198"/>
    </row>
    <row r="83" spans="1:26" s="12" customFormat="1" x14ac:dyDescent="0.25">
      <c r="A83" s="214" t="s">
        <v>706</v>
      </c>
      <c r="B83" s="64">
        <v>26.3</v>
      </c>
      <c r="C83" s="64">
        <v>45.29</v>
      </c>
      <c r="D83" s="64">
        <v>46.73</v>
      </c>
      <c r="E83" s="64">
        <v>2.31</v>
      </c>
      <c r="F83" s="64">
        <v>4.6100000000000003</v>
      </c>
      <c r="G83" s="64">
        <v>18.86</v>
      </c>
      <c r="H83" s="64">
        <v>8.1999999999999993</v>
      </c>
      <c r="I83" s="64">
        <v>1.52</v>
      </c>
      <c r="J83" s="64">
        <v>0.15</v>
      </c>
      <c r="K83" s="64">
        <v>40.950000000000003</v>
      </c>
      <c r="L83" s="64">
        <v>15.37</v>
      </c>
      <c r="M83" s="64">
        <v>98.2</v>
      </c>
      <c r="N83" s="64">
        <v>24.2</v>
      </c>
      <c r="O83" s="64">
        <v>0</v>
      </c>
      <c r="P83" s="64">
        <v>0.6</v>
      </c>
      <c r="Q83" s="64">
        <v>7.17</v>
      </c>
      <c r="R83" s="198"/>
      <c r="S83" s="198"/>
      <c r="T83" s="198"/>
      <c r="U83" s="198"/>
    </row>
    <row r="84" spans="1:26" s="12" customFormat="1" x14ac:dyDescent="0.25">
      <c r="A84" s="214" t="s">
        <v>707</v>
      </c>
      <c r="B84" s="64">
        <v>26.08</v>
      </c>
      <c r="C84" s="64">
        <v>45.04</v>
      </c>
      <c r="D84" s="64">
        <v>46.42</v>
      </c>
      <c r="E84" s="64">
        <v>2.2999999999999998</v>
      </c>
      <c r="F84" s="64">
        <v>4.76</v>
      </c>
      <c r="G84" s="64">
        <v>16.53</v>
      </c>
      <c r="H84" s="64">
        <v>8.06</v>
      </c>
      <c r="I84" s="64">
        <v>1.48</v>
      </c>
      <c r="J84" s="64">
        <v>0.21</v>
      </c>
      <c r="K84" s="64">
        <v>76.39</v>
      </c>
      <c r="L84" s="64">
        <v>15.46</v>
      </c>
      <c r="M84" s="64">
        <v>98.2</v>
      </c>
      <c r="N84" s="64">
        <v>24</v>
      </c>
      <c r="O84" s="64">
        <v>0</v>
      </c>
      <c r="P84" s="64">
        <v>0.6</v>
      </c>
      <c r="Q84" s="64">
        <v>7.17</v>
      </c>
      <c r="R84" s="198"/>
      <c r="S84" s="198"/>
      <c r="T84" s="198"/>
      <c r="U84" s="198"/>
    </row>
    <row r="85" spans="1:26" s="12" customFormat="1" x14ac:dyDescent="0.25">
      <c r="A85" s="214" t="s">
        <v>708</v>
      </c>
      <c r="B85" s="64">
        <v>25.85</v>
      </c>
      <c r="C85" s="64">
        <v>44.93</v>
      </c>
      <c r="D85" s="64">
        <v>46.17</v>
      </c>
      <c r="E85" s="64">
        <v>2.31</v>
      </c>
      <c r="F85" s="64">
        <v>4.72</v>
      </c>
      <c r="G85" s="64">
        <v>16.53</v>
      </c>
      <c r="H85" s="64">
        <v>8.06</v>
      </c>
      <c r="I85" s="64">
        <v>1.55</v>
      </c>
      <c r="J85" s="64">
        <v>0.17</v>
      </c>
      <c r="K85" s="64">
        <v>39.9</v>
      </c>
      <c r="L85" s="64">
        <v>15.52</v>
      </c>
      <c r="M85" s="64">
        <v>98.2</v>
      </c>
      <c r="N85" s="64">
        <v>23.9</v>
      </c>
      <c r="O85" s="64">
        <v>0</v>
      </c>
      <c r="P85" s="64">
        <v>0.62</v>
      </c>
      <c r="Q85" s="64">
        <v>7.03</v>
      </c>
      <c r="R85" s="198"/>
      <c r="S85" s="198"/>
      <c r="T85" s="198"/>
      <c r="U85" s="198"/>
    </row>
    <row r="86" spans="1:26" s="12" customFormat="1" x14ac:dyDescent="0.25">
      <c r="A86" s="214" t="s">
        <v>709</v>
      </c>
      <c r="B86" s="64">
        <v>25.71</v>
      </c>
      <c r="C86" s="64">
        <v>44.46</v>
      </c>
      <c r="D86" s="64">
        <v>45.8</v>
      </c>
      <c r="E86" s="64">
        <v>2.2599999999999998</v>
      </c>
      <c r="F86" s="64">
        <v>5.34</v>
      </c>
      <c r="G86" s="64">
        <v>16.53</v>
      </c>
      <c r="H86" s="64">
        <v>8.06</v>
      </c>
      <c r="I86" s="64">
        <v>1.5</v>
      </c>
      <c r="J86" s="64">
        <v>0.28000000000000003</v>
      </c>
      <c r="K86" s="64">
        <v>72.16</v>
      </c>
      <c r="L86" s="64">
        <v>15.51</v>
      </c>
      <c r="M86" s="64">
        <v>98.2</v>
      </c>
      <c r="N86" s="64">
        <v>24.1</v>
      </c>
      <c r="O86" s="64">
        <v>0</v>
      </c>
      <c r="P86" s="64">
        <v>0.55000000000000004</v>
      </c>
      <c r="Q86" s="64">
        <v>7.2</v>
      </c>
      <c r="R86" s="198"/>
      <c r="S86" s="198"/>
      <c r="T86" s="198"/>
      <c r="U86" s="198"/>
    </row>
    <row r="87" spans="1:26" s="12" customFormat="1" x14ac:dyDescent="0.25">
      <c r="A87" s="214" t="s">
        <v>710</v>
      </c>
      <c r="B87" s="64">
        <v>25.73</v>
      </c>
      <c r="C87" s="64">
        <v>43.87</v>
      </c>
      <c r="D87" s="64">
        <v>45.48</v>
      </c>
      <c r="E87" s="64">
        <v>2.25</v>
      </c>
      <c r="F87" s="64">
        <v>4.87</v>
      </c>
      <c r="G87" s="64">
        <v>16.100000000000001</v>
      </c>
      <c r="H87" s="64">
        <v>7.97</v>
      </c>
      <c r="I87" s="64">
        <v>1.47</v>
      </c>
      <c r="J87" s="64">
        <v>0.23</v>
      </c>
      <c r="K87" s="64">
        <v>46.58</v>
      </c>
      <c r="L87" s="64">
        <v>15.52</v>
      </c>
      <c r="M87" s="64">
        <v>98.2</v>
      </c>
      <c r="N87" s="64">
        <v>24.3</v>
      </c>
      <c r="O87" s="64">
        <v>0</v>
      </c>
      <c r="P87" s="64">
        <v>0.56000000000000005</v>
      </c>
      <c r="Q87" s="64">
        <v>6.55</v>
      </c>
      <c r="R87" s="198"/>
      <c r="S87" s="198"/>
      <c r="T87" s="198"/>
      <c r="U87" s="198"/>
    </row>
    <row r="88" spans="1:26" s="12" customFormat="1" x14ac:dyDescent="0.25">
      <c r="A88" s="214" t="s">
        <v>711</v>
      </c>
      <c r="B88" s="64">
        <v>25.52</v>
      </c>
      <c r="C88" s="64">
        <v>43.68</v>
      </c>
      <c r="D88" s="64">
        <v>45.21</v>
      </c>
      <c r="E88" s="64">
        <v>2.13</v>
      </c>
      <c r="F88" s="64">
        <v>4.8099999999999996</v>
      </c>
      <c r="G88" s="64">
        <v>14.5</v>
      </c>
      <c r="H88" s="64">
        <v>7.75</v>
      </c>
      <c r="I88" s="64">
        <v>1.39</v>
      </c>
      <c r="J88" s="64">
        <v>0.28000000000000003</v>
      </c>
      <c r="K88" s="64">
        <v>328.71</v>
      </c>
      <c r="L88" s="64">
        <v>15.53</v>
      </c>
      <c r="M88" s="64">
        <v>98.18</v>
      </c>
      <c r="N88" s="64">
        <v>24.6</v>
      </c>
      <c r="O88" s="64">
        <v>0</v>
      </c>
      <c r="P88" s="64">
        <v>0.53</v>
      </c>
      <c r="Q88" s="64">
        <v>7.22</v>
      </c>
      <c r="R88" s="198"/>
      <c r="S88" s="198"/>
      <c r="T88" s="198"/>
      <c r="U88" s="198"/>
    </row>
    <row r="89" spans="1:26" s="12" customFormat="1" x14ac:dyDescent="0.25">
      <c r="A89" s="214" t="s">
        <v>712</v>
      </c>
      <c r="B89" s="64">
        <v>25.15</v>
      </c>
      <c r="C89" s="64">
        <v>43.64</v>
      </c>
      <c r="D89" s="64">
        <v>44.89</v>
      </c>
      <c r="E89" s="64">
        <v>2.2200000000000002</v>
      </c>
      <c r="F89" s="64">
        <v>5.49</v>
      </c>
      <c r="G89" s="64">
        <v>14.5</v>
      </c>
      <c r="H89" s="64">
        <v>7.75</v>
      </c>
      <c r="I89" s="64">
        <v>1.41</v>
      </c>
      <c r="J89" s="64">
        <v>0.32</v>
      </c>
      <c r="K89" s="64">
        <v>321.66000000000003</v>
      </c>
      <c r="L89" s="64">
        <v>15.52</v>
      </c>
      <c r="M89" s="64">
        <v>98.19</v>
      </c>
      <c r="N89" s="64">
        <v>24.8</v>
      </c>
      <c r="O89" s="64">
        <v>0</v>
      </c>
      <c r="P89" s="64">
        <v>0.6</v>
      </c>
      <c r="Q89" s="64">
        <v>7.28</v>
      </c>
      <c r="R89" s="198"/>
      <c r="S89" s="198"/>
      <c r="T89" s="198"/>
      <c r="U89" s="198"/>
    </row>
    <row r="90" spans="1:26" s="12" customFormat="1" x14ac:dyDescent="0.25">
      <c r="A90" s="214" t="s">
        <v>713</v>
      </c>
      <c r="B90" s="64">
        <v>24.86</v>
      </c>
      <c r="C90" s="64">
        <v>43.67</v>
      </c>
      <c r="D90" s="64">
        <v>44.68</v>
      </c>
      <c r="E90" s="64">
        <v>2.2000000000000002</v>
      </c>
      <c r="F90" s="64">
        <v>5.17</v>
      </c>
      <c r="G90" s="64">
        <v>14.5</v>
      </c>
      <c r="H90" s="64">
        <v>7.75</v>
      </c>
      <c r="I90" s="64">
        <v>1.43</v>
      </c>
      <c r="J90" s="64">
        <v>0.19</v>
      </c>
      <c r="K90" s="64">
        <v>16.29</v>
      </c>
      <c r="L90" s="64">
        <v>15.53</v>
      </c>
      <c r="M90" s="64">
        <v>98.18</v>
      </c>
      <c r="N90" s="64">
        <v>24.5</v>
      </c>
      <c r="O90" s="64">
        <v>0</v>
      </c>
      <c r="P90" s="64">
        <v>0.62</v>
      </c>
      <c r="Q90" s="64">
        <v>7.11</v>
      </c>
      <c r="R90" s="198"/>
      <c r="S90" s="198"/>
      <c r="T90" s="198"/>
      <c r="U90" s="198"/>
    </row>
    <row r="91" spans="1:26" s="12" customFormat="1" x14ac:dyDescent="0.25">
      <c r="A91" s="214" t="s">
        <v>714</v>
      </c>
      <c r="B91" s="64">
        <v>24.97</v>
      </c>
      <c r="C91" s="64">
        <v>42.61</v>
      </c>
      <c r="D91" s="64">
        <v>44.18</v>
      </c>
      <c r="E91" s="64">
        <v>2.23</v>
      </c>
      <c r="F91" s="64">
        <v>5.01</v>
      </c>
      <c r="G91" s="64">
        <v>13.75</v>
      </c>
      <c r="H91" s="64">
        <v>7.69</v>
      </c>
      <c r="I91" s="64">
        <v>1.54</v>
      </c>
      <c r="J91" s="64">
        <v>0.15</v>
      </c>
      <c r="K91" s="64">
        <v>358.15</v>
      </c>
      <c r="L91" s="64">
        <v>15.56</v>
      </c>
      <c r="M91" s="64">
        <v>98.18</v>
      </c>
      <c r="N91" s="64">
        <v>24.2</v>
      </c>
      <c r="O91" s="64">
        <v>0</v>
      </c>
      <c r="P91" s="64">
        <v>0.63</v>
      </c>
      <c r="Q91" s="64">
        <v>6.59</v>
      </c>
      <c r="R91" s="198"/>
      <c r="S91" s="198"/>
      <c r="T91" s="198"/>
      <c r="U91" s="198"/>
    </row>
    <row r="92" spans="1:26" s="12" customFormat="1" x14ac:dyDescent="0.25">
      <c r="A92" s="214" t="s">
        <v>715</v>
      </c>
      <c r="B92" s="64">
        <v>25.3</v>
      </c>
      <c r="C92" s="64">
        <v>43.61</v>
      </c>
      <c r="D92" s="64">
        <v>45</v>
      </c>
      <c r="E92" s="64">
        <v>2.25</v>
      </c>
      <c r="F92" s="64">
        <v>4.92</v>
      </c>
      <c r="G92" s="64">
        <v>10.97</v>
      </c>
      <c r="H92" s="64">
        <v>7.42</v>
      </c>
      <c r="I92" s="64">
        <v>1.51</v>
      </c>
      <c r="J92" s="64">
        <v>0.19</v>
      </c>
      <c r="K92" s="64">
        <v>350.33</v>
      </c>
      <c r="L92" s="64">
        <v>15.59</v>
      </c>
      <c r="M92" s="64">
        <v>98.18</v>
      </c>
      <c r="N92" s="64">
        <v>24.3</v>
      </c>
      <c r="O92" s="64">
        <v>0</v>
      </c>
      <c r="P92" s="64">
        <v>0.66</v>
      </c>
      <c r="Q92" s="64">
        <v>6.68</v>
      </c>
      <c r="R92" s="198"/>
      <c r="S92" s="198"/>
      <c r="T92" s="198"/>
      <c r="U92" s="198"/>
    </row>
    <row r="93" spans="1:26" s="12" customFormat="1" x14ac:dyDescent="0.25">
      <c r="A93" s="214" t="s">
        <v>716</v>
      </c>
      <c r="B93" s="64">
        <v>25.26</v>
      </c>
      <c r="C93" s="64">
        <v>43.1</v>
      </c>
      <c r="D93" s="64">
        <v>44.68</v>
      </c>
      <c r="E93" s="64">
        <v>2.23</v>
      </c>
      <c r="F93" s="64">
        <v>5.29</v>
      </c>
      <c r="G93" s="64">
        <v>10.97</v>
      </c>
      <c r="H93" s="64">
        <v>7.42</v>
      </c>
      <c r="I93" s="64">
        <v>1.56</v>
      </c>
      <c r="J93" s="64">
        <v>0.26</v>
      </c>
      <c r="K93" s="64">
        <v>36.840000000000003</v>
      </c>
      <c r="L93" s="64">
        <v>15.63</v>
      </c>
      <c r="M93" s="64">
        <v>98.18</v>
      </c>
      <c r="N93" s="64">
        <v>24.7</v>
      </c>
      <c r="O93" s="64">
        <v>0</v>
      </c>
      <c r="P93" s="64">
        <v>0.54</v>
      </c>
      <c r="Q93" s="64">
        <v>7.25</v>
      </c>
      <c r="R93" s="198"/>
      <c r="S93" s="198"/>
      <c r="T93" s="198"/>
      <c r="U93" s="198"/>
    </row>
    <row r="94" spans="1:26" s="12" customFormat="1" x14ac:dyDescent="0.25">
      <c r="A94" s="214" t="s">
        <v>717</v>
      </c>
      <c r="B94" s="64">
        <v>25.09</v>
      </c>
      <c r="C94" s="64">
        <v>42.78</v>
      </c>
      <c r="D94" s="64">
        <v>44.37</v>
      </c>
      <c r="E94" s="64">
        <v>2.2400000000000002</v>
      </c>
      <c r="F94" s="64">
        <v>5.04</v>
      </c>
      <c r="G94" s="64">
        <v>10.97</v>
      </c>
      <c r="H94" s="64">
        <v>7.42</v>
      </c>
      <c r="I94" s="64">
        <v>1.52</v>
      </c>
      <c r="J94" s="64">
        <v>0.19</v>
      </c>
      <c r="K94" s="64">
        <v>27.49</v>
      </c>
      <c r="L94" s="64">
        <v>15.68</v>
      </c>
      <c r="M94" s="64">
        <v>98.18</v>
      </c>
      <c r="N94" s="64">
        <v>24.7</v>
      </c>
      <c r="O94" s="64">
        <v>0</v>
      </c>
      <c r="P94" s="64">
        <v>0.54</v>
      </c>
      <c r="Q94" s="64">
        <v>6.98</v>
      </c>
      <c r="R94" s="198"/>
      <c r="S94" s="198"/>
      <c r="T94" s="198"/>
      <c r="U94" s="198"/>
    </row>
    <row r="95" spans="1:26" s="12" customFormat="1" x14ac:dyDescent="0.25">
      <c r="A95" s="214" t="s">
        <v>718</v>
      </c>
      <c r="B95" s="64">
        <v>25.26</v>
      </c>
      <c r="C95" s="64">
        <v>42.67</v>
      </c>
      <c r="D95" s="64">
        <v>44.45</v>
      </c>
      <c r="E95" s="64">
        <v>2.29</v>
      </c>
      <c r="F95" s="64">
        <v>4.6500000000000004</v>
      </c>
      <c r="G95" s="64">
        <v>10.73</v>
      </c>
      <c r="H95" s="64">
        <v>7.21</v>
      </c>
      <c r="I95" s="64">
        <v>1.52</v>
      </c>
      <c r="J95" s="64">
        <v>0.17</v>
      </c>
      <c r="K95" s="64">
        <v>64.040000000000006</v>
      </c>
      <c r="L95" s="64">
        <v>15.69</v>
      </c>
      <c r="M95" s="64">
        <v>98.18</v>
      </c>
      <c r="N95" s="64">
        <v>24.8</v>
      </c>
      <c r="O95" s="64">
        <v>0</v>
      </c>
      <c r="P95" s="64">
        <v>0.48</v>
      </c>
      <c r="Q95" s="64">
        <v>6.52</v>
      </c>
      <c r="R95" s="198"/>
      <c r="S95" s="198"/>
      <c r="T95" s="198"/>
      <c r="U95" s="198"/>
    </row>
    <row r="96" spans="1:26" s="12" customFormat="1" x14ac:dyDescent="0.25">
      <c r="A96" s="214" t="s">
        <v>719</v>
      </c>
      <c r="B96" s="64">
        <v>25.21</v>
      </c>
      <c r="C96" s="64">
        <v>43.92</v>
      </c>
      <c r="D96" s="64">
        <v>45.1</v>
      </c>
      <c r="E96" s="64">
        <v>2.2200000000000002</v>
      </c>
      <c r="F96" s="64">
        <v>5.55</v>
      </c>
      <c r="G96" s="64">
        <v>9.84</v>
      </c>
      <c r="H96" s="64">
        <v>6.64</v>
      </c>
      <c r="I96" s="64">
        <v>1.54</v>
      </c>
      <c r="J96" s="64">
        <v>0.16</v>
      </c>
      <c r="K96" s="64">
        <v>50.48</v>
      </c>
      <c r="L96" s="64">
        <v>15.76</v>
      </c>
      <c r="M96" s="64">
        <v>98.18</v>
      </c>
      <c r="N96" s="64">
        <v>24.7</v>
      </c>
      <c r="O96" s="64">
        <v>0</v>
      </c>
      <c r="P96" s="64">
        <v>0.4</v>
      </c>
      <c r="Q96" s="64">
        <v>7.27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720</v>
      </c>
      <c r="B97" s="64">
        <v>25.32</v>
      </c>
      <c r="C97" s="64">
        <v>43.7</v>
      </c>
      <c r="D97" s="64">
        <v>45.07</v>
      </c>
      <c r="E97" s="64">
        <v>2.2000000000000002</v>
      </c>
      <c r="F97" s="64">
        <v>5.07</v>
      </c>
      <c r="G97" s="64">
        <v>9.84</v>
      </c>
      <c r="H97" s="64">
        <v>6.64</v>
      </c>
      <c r="I97" s="64">
        <v>1.58</v>
      </c>
      <c r="J97" s="64">
        <v>0.13</v>
      </c>
      <c r="K97" s="64">
        <v>15.49</v>
      </c>
      <c r="L97" s="64">
        <v>15.84</v>
      </c>
      <c r="M97" s="64">
        <v>98.18</v>
      </c>
      <c r="N97" s="64">
        <v>24.6</v>
      </c>
      <c r="O97" s="64">
        <v>0</v>
      </c>
      <c r="P97" s="64">
        <v>0.51</v>
      </c>
      <c r="Q97" s="64">
        <v>7.21</v>
      </c>
      <c r="R97" s="198"/>
      <c r="S97" s="198"/>
      <c r="T97" s="198"/>
      <c r="U97" s="198"/>
    </row>
    <row r="98" spans="1:33" s="12" customFormat="1" x14ac:dyDescent="0.25">
      <c r="A98" s="214" t="s">
        <v>721</v>
      </c>
      <c r="B98" s="64">
        <v>25.29</v>
      </c>
      <c r="C98" s="64">
        <v>43.66</v>
      </c>
      <c r="D98" s="64">
        <v>45.03</v>
      </c>
      <c r="E98" s="64">
        <v>2.19</v>
      </c>
      <c r="F98" s="64">
        <v>5.63</v>
      </c>
      <c r="G98" s="64">
        <v>9.84</v>
      </c>
      <c r="H98" s="64">
        <v>6.64</v>
      </c>
      <c r="I98" s="64">
        <v>1.49</v>
      </c>
      <c r="J98" s="64">
        <v>0.21</v>
      </c>
      <c r="K98" s="64">
        <v>8.31</v>
      </c>
      <c r="L98" s="64">
        <v>15.86</v>
      </c>
      <c r="M98" s="64">
        <v>98.18</v>
      </c>
      <c r="N98" s="64">
        <v>24.8</v>
      </c>
      <c r="O98" s="64">
        <v>0</v>
      </c>
      <c r="P98" s="64">
        <v>0.39</v>
      </c>
      <c r="Q98" s="64">
        <v>7.93</v>
      </c>
      <c r="R98" s="198"/>
      <c r="S98" s="198"/>
      <c r="T98" s="198"/>
      <c r="U98" s="198"/>
    </row>
    <row r="99" spans="1:33" s="12" customFormat="1" x14ac:dyDescent="0.25">
      <c r="A99" s="214" t="s">
        <v>722</v>
      </c>
      <c r="B99" s="64">
        <v>25.1</v>
      </c>
      <c r="C99" s="64">
        <v>43.1</v>
      </c>
      <c r="D99" s="64">
        <v>44.56</v>
      </c>
      <c r="E99" s="64">
        <v>2.2200000000000002</v>
      </c>
      <c r="F99" s="64">
        <v>6.31</v>
      </c>
      <c r="G99" s="64">
        <v>9.49</v>
      </c>
      <c r="H99" s="64">
        <v>6.17</v>
      </c>
      <c r="I99" s="64">
        <v>1.49</v>
      </c>
      <c r="J99" s="64">
        <v>0.36</v>
      </c>
      <c r="K99" s="64">
        <v>325.45</v>
      </c>
      <c r="L99" s="64">
        <v>15.91</v>
      </c>
      <c r="M99" s="64">
        <v>98.18</v>
      </c>
      <c r="N99" s="64">
        <v>24.5</v>
      </c>
      <c r="O99" s="64">
        <v>0</v>
      </c>
      <c r="P99" s="64">
        <v>0.35</v>
      </c>
      <c r="Q99" s="64">
        <v>8.23</v>
      </c>
      <c r="R99" s="198"/>
      <c r="S99" s="198"/>
      <c r="T99" s="198"/>
      <c r="U99" s="198"/>
    </row>
    <row r="100" spans="1:33" s="12" customFormat="1" x14ac:dyDescent="0.25">
      <c r="A100" s="214" t="s">
        <v>723</v>
      </c>
      <c r="B100" s="64">
        <v>25</v>
      </c>
      <c r="C100" s="64">
        <v>43.09</v>
      </c>
      <c r="D100" s="64">
        <v>44.48</v>
      </c>
      <c r="E100" s="64">
        <v>2.2200000000000002</v>
      </c>
      <c r="F100" s="64">
        <v>5.91</v>
      </c>
      <c r="G100" s="64">
        <v>8.2200000000000006</v>
      </c>
      <c r="H100" s="64">
        <v>4.87</v>
      </c>
      <c r="I100" s="64">
        <v>1.55</v>
      </c>
      <c r="J100" s="64">
        <v>0.24</v>
      </c>
      <c r="K100" s="64">
        <v>49.42</v>
      </c>
      <c r="L100" s="64">
        <v>15.91</v>
      </c>
      <c r="M100" s="64">
        <v>98.18</v>
      </c>
      <c r="N100" s="64">
        <v>24.8</v>
      </c>
      <c r="O100" s="64">
        <v>0</v>
      </c>
      <c r="P100" s="64">
        <v>0.34</v>
      </c>
      <c r="Q100" s="64">
        <v>8.0500000000000007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724</v>
      </c>
      <c r="B101" s="64">
        <v>24.67</v>
      </c>
      <c r="C101" s="64">
        <v>42.54</v>
      </c>
      <c r="D101" s="64">
        <v>43.91</v>
      </c>
      <c r="E101" s="64">
        <v>2.19</v>
      </c>
      <c r="F101" s="64">
        <v>6.57</v>
      </c>
      <c r="G101" s="64">
        <v>8.2200000000000006</v>
      </c>
      <c r="H101" s="64">
        <v>4.87</v>
      </c>
      <c r="I101" s="64">
        <v>1.49</v>
      </c>
      <c r="J101" s="64">
        <v>0.4</v>
      </c>
      <c r="K101" s="64">
        <v>80.650000000000006</v>
      </c>
      <c r="L101" s="64">
        <v>15.89</v>
      </c>
      <c r="M101" s="64">
        <v>98.18</v>
      </c>
      <c r="N101" s="64">
        <v>24.7</v>
      </c>
      <c r="O101" s="64">
        <v>0</v>
      </c>
      <c r="P101" s="64">
        <v>0.31</v>
      </c>
      <c r="Q101" s="64">
        <v>8.2200000000000006</v>
      </c>
      <c r="R101" s="198"/>
      <c r="S101" s="198"/>
      <c r="T101" s="198"/>
      <c r="U101" s="198"/>
    </row>
    <row r="102" spans="1:33" s="12" customFormat="1" x14ac:dyDescent="0.25">
      <c r="A102" s="214" t="s">
        <v>725</v>
      </c>
      <c r="B102" s="64">
        <v>23.91</v>
      </c>
      <c r="C102" s="64">
        <v>42.19</v>
      </c>
      <c r="D102" s="64">
        <v>43.11</v>
      </c>
      <c r="E102" s="64">
        <v>2.23</v>
      </c>
      <c r="F102" s="64">
        <v>6.78</v>
      </c>
      <c r="G102" s="64">
        <v>8.2200000000000006</v>
      </c>
      <c r="H102" s="64">
        <v>4.87</v>
      </c>
      <c r="I102" s="64">
        <v>1.52</v>
      </c>
      <c r="J102" s="64">
        <v>0.2</v>
      </c>
      <c r="K102" s="64">
        <v>33.659999999999997</v>
      </c>
      <c r="L102" s="64">
        <v>15.91</v>
      </c>
      <c r="M102" s="64">
        <v>98.18</v>
      </c>
      <c r="N102" s="64">
        <v>24.5</v>
      </c>
      <c r="O102" s="64">
        <v>0</v>
      </c>
      <c r="P102" s="64">
        <v>0.27</v>
      </c>
      <c r="Q102" s="64">
        <v>8.76</v>
      </c>
      <c r="R102" s="198"/>
      <c r="S102" s="198"/>
      <c r="T102" s="198"/>
      <c r="U102" s="198"/>
    </row>
    <row r="103" spans="1:33" s="12" customFormat="1" x14ac:dyDescent="0.25">
      <c r="A103" s="214" t="s">
        <v>726</v>
      </c>
      <c r="B103" s="64">
        <v>23.13</v>
      </c>
      <c r="C103" s="64">
        <v>42.14</v>
      </c>
      <c r="D103" s="64">
        <v>42.45</v>
      </c>
      <c r="E103" s="64">
        <v>2.25</v>
      </c>
      <c r="F103" s="64">
        <v>6.82</v>
      </c>
      <c r="G103" s="64">
        <v>8.06</v>
      </c>
      <c r="H103" s="64">
        <v>5.53</v>
      </c>
      <c r="I103" s="64">
        <v>1.55</v>
      </c>
      <c r="J103" s="64">
        <v>0.4</v>
      </c>
      <c r="K103" s="64">
        <v>85.35</v>
      </c>
      <c r="L103" s="64">
        <v>15.88</v>
      </c>
      <c r="M103" s="64">
        <v>98.18</v>
      </c>
      <c r="N103" s="64">
        <v>24.3</v>
      </c>
      <c r="O103" s="64">
        <v>0</v>
      </c>
      <c r="P103" s="64">
        <v>0.25</v>
      </c>
      <c r="Q103" s="64">
        <v>8.57</v>
      </c>
      <c r="R103" s="198"/>
      <c r="S103" s="198"/>
      <c r="T103" s="198"/>
      <c r="U103" s="198"/>
    </row>
    <row r="104" spans="1:33" s="12" customFormat="1" x14ac:dyDescent="0.25">
      <c r="A104" s="214" t="s">
        <v>727</v>
      </c>
      <c r="B104" s="64">
        <v>22.53</v>
      </c>
      <c r="C104" s="64">
        <v>41.88</v>
      </c>
      <c r="D104" s="64">
        <v>41.83</v>
      </c>
      <c r="E104" s="64">
        <v>2.13</v>
      </c>
      <c r="F104" s="64">
        <v>6.77</v>
      </c>
      <c r="G104" s="64">
        <v>7.46</v>
      </c>
      <c r="H104" s="64">
        <v>7.31</v>
      </c>
      <c r="I104" s="64">
        <v>1.52</v>
      </c>
      <c r="J104" s="64">
        <v>0.3</v>
      </c>
      <c r="K104" s="64">
        <v>77.7</v>
      </c>
      <c r="L104" s="64">
        <v>15.89</v>
      </c>
      <c r="M104" s="64">
        <v>98.18</v>
      </c>
      <c r="N104" s="64">
        <v>24.1</v>
      </c>
      <c r="O104" s="64">
        <v>0</v>
      </c>
      <c r="P104" s="64">
        <v>0.23</v>
      </c>
      <c r="Q104" s="64">
        <v>8.49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5.65</v>
      </c>
      <c r="C106" s="67">
        <f>MIN(C9:C104)</f>
        <v>39.44</v>
      </c>
      <c r="D106" s="67">
        <f t="shared" ref="D106:Q106" si="0">MIN(D9:D104)</f>
        <v>27.65</v>
      </c>
      <c r="E106" s="67">
        <f t="shared" si="0"/>
        <v>2.0299999999999998</v>
      </c>
      <c r="F106" s="67">
        <f t="shared" si="0"/>
        <v>3.61</v>
      </c>
      <c r="G106" s="67">
        <f t="shared" si="0"/>
        <v>7.46</v>
      </c>
      <c r="H106" s="67">
        <f t="shared" si="0"/>
        <v>4.87</v>
      </c>
      <c r="I106" s="67">
        <f t="shared" si="0"/>
        <v>1.39</v>
      </c>
      <c r="J106" s="67">
        <f t="shared" si="0"/>
        <v>7.0000000000000007E-2</v>
      </c>
      <c r="K106" s="67">
        <f t="shared" si="0"/>
        <v>3.06</v>
      </c>
      <c r="L106" s="67">
        <f t="shared" si="0"/>
        <v>15.32</v>
      </c>
      <c r="M106" s="67">
        <f t="shared" si="0"/>
        <v>78.989999999999995</v>
      </c>
      <c r="N106" s="67">
        <f t="shared" si="0"/>
        <v>21.9</v>
      </c>
      <c r="O106" s="67">
        <f t="shared" si="0"/>
        <v>0</v>
      </c>
      <c r="P106" s="67">
        <f t="shared" si="0"/>
        <v>0.23</v>
      </c>
      <c r="Q106" s="67">
        <f t="shared" si="0"/>
        <v>2.2599999999999998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26.54</v>
      </c>
      <c r="C107" s="66">
        <f t="shared" ref="C107:Q107" si="1">MAX(C9:C104)</f>
        <v>50.05</v>
      </c>
      <c r="D107" s="66">
        <f t="shared" si="1"/>
        <v>46.75</v>
      </c>
      <c r="E107" s="66">
        <f t="shared" si="1"/>
        <v>2.66</v>
      </c>
      <c r="F107" s="66">
        <f t="shared" si="1"/>
        <v>25.26</v>
      </c>
      <c r="G107" s="66">
        <f t="shared" si="1"/>
        <v>57.29</v>
      </c>
      <c r="H107" s="66">
        <f t="shared" si="1"/>
        <v>28.54</v>
      </c>
      <c r="I107" s="66">
        <f t="shared" si="1"/>
        <v>1.58</v>
      </c>
      <c r="J107" s="66">
        <f t="shared" si="1"/>
        <v>1.1200000000000001</v>
      </c>
      <c r="K107" s="66">
        <f t="shared" si="1"/>
        <v>358.15</v>
      </c>
      <c r="L107" s="66">
        <f t="shared" si="1"/>
        <v>19.62</v>
      </c>
      <c r="M107" s="66">
        <f t="shared" si="1"/>
        <v>98.2</v>
      </c>
      <c r="N107" s="66">
        <f t="shared" si="1"/>
        <v>181.1</v>
      </c>
      <c r="O107" s="66">
        <f t="shared" si="1"/>
        <v>1.8</v>
      </c>
      <c r="P107" s="66">
        <f t="shared" si="1"/>
        <v>0.71</v>
      </c>
      <c r="Q107" s="66">
        <f t="shared" si="1"/>
        <v>8.76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16.728020833333328</v>
      </c>
      <c r="C108" s="67">
        <f t="shared" ref="C108:Q108" si="2">AVERAGE(C9:C104)</f>
        <v>44.619895833333317</v>
      </c>
      <c r="D108" s="67">
        <f t="shared" si="2"/>
        <v>38.685312499999995</v>
      </c>
      <c r="E108" s="67">
        <f t="shared" si="2"/>
        <v>2.328749999999999</v>
      </c>
      <c r="F108" s="67">
        <f t="shared" si="2"/>
        <v>9.8115624999999973</v>
      </c>
      <c r="G108" s="67">
        <f t="shared" si="2"/>
        <v>23.494062499999988</v>
      </c>
      <c r="H108" s="67">
        <f t="shared" si="2"/>
        <v>14.09958333333333</v>
      </c>
      <c r="I108" s="67">
        <f t="shared" si="2"/>
        <v>1.4922916666666675</v>
      </c>
      <c r="J108" s="67">
        <f t="shared" si="2"/>
        <v>0.4352083333333332</v>
      </c>
      <c r="K108" s="67">
        <f t="shared" si="2"/>
        <v>218.50000000000014</v>
      </c>
      <c r="L108" s="67">
        <f t="shared" si="2"/>
        <v>16.749166666666664</v>
      </c>
      <c r="M108" s="67">
        <f t="shared" si="2"/>
        <v>96.949895833333343</v>
      </c>
      <c r="N108" s="67">
        <f t="shared" si="2"/>
        <v>51.10729166666669</v>
      </c>
      <c r="O108" s="67">
        <f t="shared" si="2"/>
        <v>6.6666666666666666E-2</v>
      </c>
      <c r="P108" s="67">
        <f t="shared" si="2"/>
        <v>0.51093750000000004</v>
      </c>
      <c r="Q108" s="67">
        <f t="shared" si="2"/>
        <v>5.7254166666666677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7.4504091897222811</v>
      </c>
      <c r="C109" s="67">
        <f t="shared" ref="C109:Q109" si="3">STDEV(C9:C104)</f>
        <v>2.4927192907985649</v>
      </c>
      <c r="D109" s="67">
        <f t="shared" si="3"/>
        <v>6.4192783580522601</v>
      </c>
      <c r="E109" s="67">
        <f t="shared" si="3"/>
        <v>0.12134552666705627</v>
      </c>
      <c r="F109" s="67">
        <f t="shared" si="3"/>
        <v>5.840920678711532</v>
      </c>
      <c r="G109" s="67">
        <f t="shared" si="3"/>
        <v>13.182695401897561</v>
      </c>
      <c r="H109" s="67">
        <f t="shared" si="3"/>
        <v>7.2698604803330849</v>
      </c>
      <c r="I109" s="67">
        <f t="shared" si="3"/>
        <v>4.0974425057246772E-2</v>
      </c>
      <c r="J109" s="67">
        <f t="shared" si="3"/>
        <v>0.24325416279952622</v>
      </c>
      <c r="K109" s="67">
        <f t="shared" si="3"/>
        <v>145.47394224975196</v>
      </c>
      <c r="L109" s="67">
        <f t="shared" si="3"/>
        <v>1.0639881941041371</v>
      </c>
      <c r="M109" s="67">
        <f t="shared" si="3"/>
        <v>3.8273251604445622</v>
      </c>
      <c r="N109" s="67">
        <f t="shared" si="3"/>
        <v>37.78845060204911</v>
      </c>
      <c r="O109" s="67">
        <f t="shared" si="3"/>
        <v>0.26384471775595453</v>
      </c>
      <c r="P109" s="67">
        <f t="shared" si="3"/>
        <v>0.10192957450070454</v>
      </c>
      <c r="Q109" s="67">
        <f t="shared" si="3"/>
        <v>1.161368445699583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9" sqref="G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728</v>
      </c>
      <c r="B9" s="64">
        <v>21.73</v>
      </c>
      <c r="C9" s="64">
        <v>41.82</v>
      </c>
      <c r="D9" s="64">
        <v>41.15</v>
      </c>
      <c r="E9" s="64">
        <v>2.17</v>
      </c>
      <c r="F9" s="64">
        <v>7.76</v>
      </c>
      <c r="G9" s="64">
        <v>7.46</v>
      </c>
      <c r="H9" s="64">
        <v>7.31</v>
      </c>
      <c r="I9" s="64">
        <v>1.49</v>
      </c>
      <c r="J9" s="64">
        <v>0.49</v>
      </c>
      <c r="K9" s="64">
        <v>329.13</v>
      </c>
      <c r="L9" s="64">
        <v>15.96</v>
      </c>
      <c r="M9" s="64">
        <v>98.18</v>
      </c>
      <c r="N9" s="64">
        <v>24.1</v>
      </c>
      <c r="O9" s="64">
        <v>0</v>
      </c>
      <c r="P9" s="64">
        <v>0.22</v>
      </c>
      <c r="Q9" s="64">
        <v>8.52</v>
      </c>
      <c r="R9" s="198"/>
      <c r="S9" s="198"/>
      <c r="T9" s="198"/>
      <c r="U9" s="198"/>
    </row>
    <row r="10" spans="1:21" s="12" customFormat="1" x14ac:dyDescent="0.25">
      <c r="A10" s="214" t="s">
        <v>729</v>
      </c>
      <c r="B10" s="64">
        <v>21.12</v>
      </c>
      <c r="C10" s="64">
        <v>41.5</v>
      </c>
      <c r="D10" s="64">
        <v>40.49</v>
      </c>
      <c r="E10" s="64">
        <v>2.2200000000000002</v>
      </c>
      <c r="F10" s="64">
        <v>7.94</v>
      </c>
      <c r="G10" s="64">
        <v>7.46</v>
      </c>
      <c r="H10" s="64">
        <v>7.31</v>
      </c>
      <c r="I10" s="64">
        <v>1.48</v>
      </c>
      <c r="J10" s="64">
        <v>0.15</v>
      </c>
      <c r="K10" s="64">
        <v>53.24</v>
      </c>
      <c r="L10" s="64">
        <v>15.99</v>
      </c>
      <c r="M10" s="64">
        <v>98.18</v>
      </c>
      <c r="N10" s="64">
        <v>24.1</v>
      </c>
      <c r="O10" s="64">
        <v>0</v>
      </c>
      <c r="P10" s="64">
        <v>0.22</v>
      </c>
      <c r="Q10" s="64">
        <v>8.6300000000000008</v>
      </c>
      <c r="R10" s="198"/>
      <c r="S10" s="198"/>
      <c r="T10" s="198"/>
      <c r="U10" s="198"/>
    </row>
    <row r="11" spans="1:21" s="12" customFormat="1" x14ac:dyDescent="0.25">
      <c r="A11" s="214" t="s">
        <v>730</v>
      </c>
      <c r="B11" s="64">
        <v>20.48</v>
      </c>
      <c r="C11" s="64">
        <v>41.3</v>
      </c>
      <c r="D11" s="64">
        <v>39.86</v>
      </c>
      <c r="E11" s="64">
        <v>2.1800000000000002</v>
      </c>
      <c r="F11" s="64">
        <v>7.67</v>
      </c>
      <c r="G11" s="64">
        <v>7.4</v>
      </c>
      <c r="H11" s="64">
        <v>6.91</v>
      </c>
      <c r="I11" s="64">
        <v>1.48</v>
      </c>
      <c r="J11" s="64">
        <v>0.2</v>
      </c>
      <c r="K11" s="64">
        <v>15.77</v>
      </c>
      <c r="L11" s="64">
        <v>15.97</v>
      </c>
      <c r="M11" s="64">
        <v>98.18</v>
      </c>
      <c r="N11" s="64">
        <v>24.1</v>
      </c>
      <c r="O11" s="64">
        <v>0</v>
      </c>
      <c r="P11" s="64">
        <v>0.21</v>
      </c>
      <c r="Q11" s="64">
        <v>8.4600000000000009</v>
      </c>
      <c r="R11" s="198"/>
      <c r="S11" s="198"/>
      <c r="T11" s="198"/>
      <c r="U11" s="198"/>
    </row>
    <row r="12" spans="1:21" s="12" customFormat="1" x14ac:dyDescent="0.25">
      <c r="A12" s="214" t="s">
        <v>731</v>
      </c>
      <c r="B12" s="64">
        <v>19.88</v>
      </c>
      <c r="C12" s="64">
        <v>41.09</v>
      </c>
      <c r="D12" s="64">
        <v>39.26</v>
      </c>
      <c r="E12" s="64">
        <v>2.19</v>
      </c>
      <c r="F12" s="64">
        <v>8.94</v>
      </c>
      <c r="G12" s="64">
        <v>7.19</v>
      </c>
      <c r="H12" s="64">
        <v>5.14</v>
      </c>
      <c r="I12" s="64">
        <v>1.45</v>
      </c>
      <c r="J12" s="64">
        <v>0.28999999999999998</v>
      </c>
      <c r="K12" s="64">
        <v>353.21</v>
      </c>
      <c r="L12" s="64">
        <v>16.02</v>
      </c>
      <c r="M12" s="64">
        <v>98.18</v>
      </c>
      <c r="N12" s="64">
        <v>24.1</v>
      </c>
      <c r="O12" s="64">
        <v>0</v>
      </c>
      <c r="P12" s="64">
        <v>0.19</v>
      </c>
      <c r="Q12" s="64">
        <v>8.4700000000000006</v>
      </c>
      <c r="R12" s="198"/>
      <c r="S12" s="198"/>
      <c r="T12" s="198"/>
      <c r="U12" s="198"/>
    </row>
    <row r="13" spans="1:21" s="12" customFormat="1" x14ac:dyDescent="0.25">
      <c r="A13" s="214" t="s">
        <v>732</v>
      </c>
      <c r="B13" s="64">
        <v>19.22</v>
      </c>
      <c r="C13" s="64">
        <v>38.22</v>
      </c>
      <c r="D13" s="64">
        <v>37.15</v>
      </c>
      <c r="E13" s="64">
        <v>2.17</v>
      </c>
      <c r="F13" s="64">
        <v>8.18</v>
      </c>
      <c r="G13" s="64">
        <v>7.19</v>
      </c>
      <c r="H13" s="64">
        <v>5.14</v>
      </c>
      <c r="I13" s="64">
        <v>1.38</v>
      </c>
      <c r="J13" s="64">
        <v>0.21</v>
      </c>
      <c r="K13" s="64">
        <v>359.97</v>
      </c>
      <c r="L13" s="64">
        <v>16.04</v>
      </c>
      <c r="M13" s="64">
        <v>98.18</v>
      </c>
      <c r="N13" s="64">
        <v>24.1</v>
      </c>
      <c r="O13" s="64">
        <v>0</v>
      </c>
      <c r="P13" s="64">
        <v>0.18</v>
      </c>
      <c r="Q13" s="64">
        <v>8.02</v>
      </c>
      <c r="R13" s="198"/>
      <c r="S13" s="198"/>
      <c r="T13" s="198"/>
      <c r="U13" s="198"/>
    </row>
    <row r="14" spans="1:21" s="12" customFormat="1" x14ac:dyDescent="0.25">
      <c r="A14" s="214" t="s">
        <v>733</v>
      </c>
      <c r="B14" s="64">
        <v>18.34</v>
      </c>
      <c r="C14" s="64">
        <v>37.72</v>
      </c>
      <c r="D14" s="64">
        <v>36.17</v>
      </c>
      <c r="E14" s="64">
        <v>2.21</v>
      </c>
      <c r="F14" s="64">
        <v>8.16</v>
      </c>
      <c r="G14" s="64">
        <v>7.19</v>
      </c>
      <c r="H14" s="64">
        <v>5.14</v>
      </c>
      <c r="I14" s="64">
        <v>1.5</v>
      </c>
      <c r="J14" s="64">
        <v>0.37</v>
      </c>
      <c r="K14" s="64">
        <v>350.82</v>
      </c>
      <c r="L14" s="64">
        <v>16.03</v>
      </c>
      <c r="M14" s="64">
        <v>98.18</v>
      </c>
      <c r="N14" s="64">
        <v>24.1</v>
      </c>
      <c r="O14" s="64">
        <v>0</v>
      </c>
      <c r="P14" s="64">
        <v>0.18</v>
      </c>
      <c r="Q14" s="64">
        <v>7.57</v>
      </c>
      <c r="R14" s="198"/>
      <c r="S14" s="198"/>
      <c r="T14" s="198"/>
      <c r="U14" s="198"/>
    </row>
    <row r="15" spans="1:21" s="12" customFormat="1" x14ac:dyDescent="0.25">
      <c r="A15" s="214" t="s">
        <v>734</v>
      </c>
      <c r="B15" s="64">
        <v>17.420000000000002</v>
      </c>
      <c r="C15" s="64">
        <v>37.82</v>
      </c>
      <c r="D15" s="64">
        <v>35.479999999999997</v>
      </c>
      <c r="E15" s="64">
        <v>2.17</v>
      </c>
      <c r="F15" s="64">
        <v>8.31</v>
      </c>
      <c r="G15" s="64">
        <v>7.14</v>
      </c>
      <c r="H15" s="64">
        <v>5.0599999999999996</v>
      </c>
      <c r="I15" s="64">
        <v>1.47</v>
      </c>
      <c r="J15" s="64">
        <v>0.34</v>
      </c>
      <c r="K15" s="64">
        <v>324.02999999999997</v>
      </c>
      <c r="L15" s="64">
        <v>16.02</v>
      </c>
      <c r="M15" s="64">
        <v>98.18</v>
      </c>
      <c r="N15" s="64">
        <v>24.1</v>
      </c>
      <c r="O15" s="64">
        <v>0</v>
      </c>
      <c r="P15" s="64">
        <v>0.16</v>
      </c>
      <c r="Q15" s="64">
        <v>7.24</v>
      </c>
      <c r="R15" s="198"/>
      <c r="S15" s="198"/>
      <c r="T15" s="198"/>
      <c r="U15" s="198"/>
    </row>
    <row r="16" spans="1:21" s="12" customFormat="1" x14ac:dyDescent="0.25">
      <c r="A16" s="214" t="s">
        <v>735</v>
      </c>
      <c r="B16" s="64">
        <v>16.66</v>
      </c>
      <c r="C16" s="64">
        <v>38.31</v>
      </c>
      <c r="D16" s="64">
        <v>35.14</v>
      </c>
      <c r="E16" s="64">
        <v>2.16</v>
      </c>
      <c r="F16" s="64">
        <v>7.58</v>
      </c>
      <c r="G16" s="64">
        <v>6.93</v>
      </c>
      <c r="H16" s="64">
        <v>4.8499999999999996</v>
      </c>
      <c r="I16" s="64">
        <v>1.45</v>
      </c>
      <c r="J16" s="64">
        <v>0.17</v>
      </c>
      <c r="K16" s="64">
        <v>45.94</v>
      </c>
      <c r="L16" s="64">
        <v>15.99</v>
      </c>
      <c r="M16" s="64">
        <v>98.18</v>
      </c>
      <c r="N16" s="64">
        <v>24.1</v>
      </c>
      <c r="O16" s="64">
        <v>0</v>
      </c>
      <c r="P16" s="64">
        <v>0.17</v>
      </c>
      <c r="Q16" s="64">
        <v>6.97</v>
      </c>
      <c r="R16" s="198"/>
      <c r="S16" s="198"/>
      <c r="T16" s="198"/>
      <c r="U16" s="198"/>
    </row>
    <row r="17" spans="1:21" s="12" customFormat="1" x14ac:dyDescent="0.25">
      <c r="A17" s="214" t="s">
        <v>736</v>
      </c>
      <c r="B17" s="64">
        <v>15.93</v>
      </c>
      <c r="C17" s="64">
        <v>37.35</v>
      </c>
      <c r="D17" s="64">
        <v>34.03</v>
      </c>
      <c r="E17" s="64">
        <v>2.25</v>
      </c>
      <c r="F17" s="64">
        <v>7.85</v>
      </c>
      <c r="G17" s="64">
        <v>6.93</v>
      </c>
      <c r="H17" s="64">
        <v>4.8499999999999996</v>
      </c>
      <c r="I17" s="64">
        <v>1.53</v>
      </c>
      <c r="J17" s="64">
        <v>0.38</v>
      </c>
      <c r="K17" s="64">
        <v>321.62</v>
      </c>
      <c r="L17" s="64">
        <v>16.02</v>
      </c>
      <c r="M17" s="64">
        <v>98.18</v>
      </c>
      <c r="N17" s="64">
        <v>24.1</v>
      </c>
      <c r="O17" s="64">
        <v>0</v>
      </c>
      <c r="P17" s="64">
        <v>0.16</v>
      </c>
      <c r="Q17" s="64">
        <v>6.59</v>
      </c>
      <c r="R17" s="198"/>
      <c r="S17" s="198"/>
      <c r="T17" s="198"/>
      <c r="U17" s="198"/>
    </row>
    <row r="18" spans="1:21" s="12" customFormat="1" x14ac:dyDescent="0.25">
      <c r="A18" s="214" t="s">
        <v>737</v>
      </c>
      <c r="B18" s="64">
        <v>15.28</v>
      </c>
      <c r="C18" s="64">
        <v>37.64</v>
      </c>
      <c r="D18" s="64">
        <v>33.67</v>
      </c>
      <c r="E18" s="64">
        <v>2.19</v>
      </c>
      <c r="F18" s="64">
        <v>8.07</v>
      </c>
      <c r="G18" s="64">
        <v>6.93</v>
      </c>
      <c r="H18" s="64">
        <v>4.8499999999999996</v>
      </c>
      <c r="I18" s="64">
        <v>1.46</v>
      </c>
      <c r="J18" s="64">
        <v>0.31</v>
      </c>
      <c r="K18" s="64">
        <v>340.14</v>
      </c>
      <c r="L18" s="64">
        <v>16</v>
      </c>
      <c r="M18" s="64">
        <v>98.18</v>
      </c>
      <c r="N18" s="64">
        <v>24.1</v>
      </c>
      <c r="O18" s="64">
        <v>0</v>
      </c>
      <c r="P18" s="64">
        <v>0.16</v>
      </c>
      <c r="Q18" s="64">
        <v>6.37</v>
      </c>
      <c r="R18" s="198"/>
      <c r="S18" s="198"/>
      <c r="T18" s="198"/>
      <c r="U18" s="198"/>
    </row>
    <row r="19" spans="1:21" s="12" customFormat="1" x14ac:dyDescent="0.25">
      <c r="A19" s="214" t="s">
        <v>738</v>
      </c>
      <c r="B19" s="64">
        <v>14.74</v>
      </c>
      <c r="C19" s="64">
        <v>37.07</v>
      </c>
      <c r="D19" s="64">
        <v>32.92</v>
      </c>
      <c r="E19" s="64">
        <v>2.19</v>
      </c>
      <c r="F19" s="64">
        <v>7.75</v>
      </c>
      <c r="G19" s="64">
        <v>7.16</v>
      </c>
      <c r="H19" s="64">
        <v>4.9800000000000004</v>
      </c>
      <c r="I19" s="64">
        <v>1.49</v>
      </c>
      <c r="J19" s="64">
        <v>0.16</v>
      </c>
      <c r="K19" s="64">
        <v>18.690000000000001</v>
      </c>
      <c r="L19" s="64">
        <v>16</v>
      </c>
      <c r="M19" s="64">
        <v>98.18</v>
      </c>
      <c r="N19" s="64">
        <v>24.1</v>
      </c>
      <c r="O19" s="64">
        <v>0</v>
      </c>
      <c r="P19" s="64">
        <v>0.16</v>
      </c>
      <c r="Q19" s="64">
        <v>6.11</v>
      </c>
      <c r="R19" s="198"/>
      <c r="S19" s="198"/>
      <c r="T19" s="198"/>
      <c r="U19" s="198"/>
    </row>
    <row r="20" spans="1:21" s="12" customFormat="1" x14ac:dyDescent="0.25">
      <c r="A20" s="214" t="s">
        <v>739</v>
      </c>
      <c r="B20" s="64">
        <v>14.2</v>
      </c>
      <c r="C20" s="64">
        <v>37.35</v>
      </c>
      <c r="D20" s="64">
        <v>32.64</v>
      </c>
      <c r="E20" s="64">
        <v>2.14</v>
      </c>
      <c r="F20" s="64">
        <v>8.02</v>
      </c>
      <c r="G20" s="64">
        <v>8.08</v>
      </c>
      <c r="H20" s="64">
        <v>5.31</v>
      </c>
      <c r="I20" s="64">
        <v>1.55</v>
      </c>
      <c r="J20" s="64">
        <v>0.18</v>
      </c>
      <c r="K20" s="64">
        <v>341.69</v>
      </c>
      <c r="L20" s="64">
        <v>15.99</v>
      </c>
      <c r="M20" s="64">
        <v>98.18</v>
      </c>
      <c r="N20" s="64">
        <v>24.1</v>
      </c>
      <c r="O20" s="64">
        <v>0</v>
      </c>
      <c r="P20" s="64">
        <v>0.15</v>
      </c>
      <c r="Q20" s="64">
        <v>5.9</v>
      </c>
      <c r="R20" s="198"/>
      <c r="S20" s="198"/>
      <c r="T20" s="198"/>
      <c r="U20" s="198"/>
    </row>
    <row r="21" spans="1:21" s="12" customFormat="1" x14ac:dyDescent="0.25">
      <c r="A21" s="214" t="s">
        <v>740</v>
      </c>
      <c r="B21" s="64">
        <v>13.68</v>
      </c>
      <c r="C21" s="64">
        <v>37.299999999999997</v>
      </c>
      <c r="D21" s="64">
        <v>32.21</v>
      </c>
      <c r="E21" s="64">
        <v>2.2000000000000002</v>
      </c>
      <c r="F21" s="64">
        <v>7.38</v>
      </c>
      <c r="G21" s="64">
        <v>8.08</v>
      </c>
      <c r="H21" s="64">
        <v>5.31</v>
      </c>
      <c r="I21" s="64">
        <v>1.47</v>
      </c>
      <c r="J21" s="64">
        <v>0.17</v>
      </c>
      <c r="K21" s="64">
        <v>52</v>
      </c>
      <c r="L21" s="64">
        <v>15.96</v>
      </c>
      <c r="M21" s="64">
        <v>98.18</v>
      </c>
      <c r="N21" s="64">
        <v>24.1</v>
      </c>
      <c r="O21" s="64">
        <v>0</v>
      </c>
      <c r="P21" s="64">
        <v>0.16</v>
      </c>
      <c r="Q21" s="64">
        <v>5.71</v>
      </c>
      <c r="R21" s="198"/>
      <c r="S21" s="198"/>
      <c r="T21" s="198"/>
      <c r="U21" s="198"/>
    </row>
    <row r="22" spans="1:21" s="12" customFormat="1" x14ac:dyDescent="0.25">
      <c r="A22" s="214" t="s">
        <v>741</v>
      </c>
      <c r="B22" s="64">
        <v>13.19</v>
      </c>
      <c r="C22" s="64">
        <v>37.15</v>
      </c>
      <c r="D22" s="64">
        <v>31.73</v>
      </c>
      <c r="E22" s="64">
        <v>2.21</v>
      </c>
      <c r="F22" s="64">
        <v>7.38</v>
      </c>
      <c r="G22" s="64">
        <v>8.08</v>
      </c>
      <c r="H22" s="64">
        <v>5.31</v>
      </c>
      <c r="I22" s="64">
        <v>1.53</v>
      </c>
      <c r="J22" s="64">
        <v>0.28000000000000003</v>
      </c>
      <c r="K22" s="64">
        <v>5.55</v>
      </c>
      <c r="L22" s="64">
        <v>15.99</v>
      </c>
      <c r="M22" s="64">
        <v>98.18</v>
      </c>
      <c r="N22" s="64">
        <v>24.1</v>
      </c>
      <c r="O22" s="64">
        <v>0</v>
      </c>
      <c r="P22" s="64">
        <v>0.15</v>
      </c>
      <c r="Q22" s="64">
        <v>5.56</v>
      </c>
      <c r="R22" s="198"/>
      <c r="S22" s="198"/>
      <c r="T22" s="198"/>
      <c r="U22" s="198"/>
    </row>
    <row r="23" spans="1:21" s="12" customFormat="1" x14ac:dyDescent="0.25">
      <c r="A23" s="214" t="s">
        <v>742</v>
      </c>
      <c r="B23" s="64">
        <v>12.85</v>
      </c>
      <c r="C23" s="64">
        <v>36.97</v>
      </c>
      <c r="D23" s="64">
        <v>31.35</v>
      </c>
      <c r="E23" s="64">
        <v>2.2000000000000002</v>
      </c>
      <c r="F23" s="64">
        <v>7.28</v>
      </c>
      <c r="G23" s="64">
        <v>7.87</v>
      </c>
      <c r="H23" s="64">
        <v>4.92</v>
      </c>
      <c r="I23" s="64">
        <v>1.52</v>
      </c>
      <c r="J23" s="64">
        <v>0.28000000000000003</v>
      </c>
      <c r="K23" s="64">
        <v>349.32</v>
      </c>
      <c r="L23" s="64">
        <v>16</v>
      </c>
      <c r="M23" s="64">
        <v>98.18</v>
      </c>
      <c r="N23" s="64">
        <v>24.1</v>
      </c>
      <c r="O23" s="64">
        <v>0</v>
      </c>
      <c r="P23" s="64">
        <v>0.17</v>
      </c>
      <c r="Q23" s="64">
        <v>5.34</v>
      </c>
      <c r="R23" s="198"/>
      <c r="S23" s="198"/>
      <c r="T23" s="198"/>
      <c r="U23" s="198"/>
    </row>
    <row r="24" spans="1:21" s="12" customFormat="1" x14ac:dyDescent="0.25">
      <c r="A24" s="214" t="s">
        <v>743</v>
      </c>
      <c r="B24" s="64">
        <v>12.72</v>
      </c>
      <c r="C24" s="64">
        <v>37.119999999999997</v>
      </c>
      <c r="D24" s="64">
        <v>31.33</v>
      </c>
      <c r="E24" s="64">
        <v>2.09</v>
      </c>
      <c r="F24" s="64">
        <v>7.25</v>
      </c>
      <c r="G24" s="64">
        <v>7</v>
      </c>
      <c r="H24" s="64">
        <v>3.82</v>
      </c>
      <c r="I24" s="64">
        <v>1.48</v>
      </c>
      <c r="J24" s="64">
        <v>0.22</v>
      </c>
      <c r="K24" s="64">
        <v>321.87</v>
      </c>
      <c r="L24" s="64">
        <v>16</v>
      </c>
      <c r="M24" s="64">
        <v>98.18</v>
      </c>
      <c r="N24" s="64">
        <v>24.1</v>
      </c>
      <c r="O24" s="64">
        <v>0</v>
      </c>
      <c r="P24" s="64">
        <v>0.17</v>
      </c>
      <c r="Q24" s="64">
        <v>5.34</v>
      </c>
      <c r="R24" s="198"/>
      <c r="S24" s="198"/>
      <c r="T24" s="198"/>
      <c r="U24" s="198"/>
    </row>
    <row r="25" spans="1:21" s="12" customFormat="1" x14ac:dyDescent="0.25">
      <c r="A25" s="214" t="s">
        <v>744</v>
      </c>
      <c r="B25" s="64">
        <v>12.5</v>
      </c>
      <c r="C25" s="64">
        <v>37.020000000000003</v>
      </c>
      <c r="D25" s="64">
        <v>31.1</v>
      </c>
      <c r="E25" s="64">
        <v>2.16</v>
      </c>
      <c r="F25" s="64">
        <v>7.64</v>
      </c>
      <c r="G25" s="64">
        <v>7</v>
      </c>
      <c r="H25" s="64">
        <v>3.82</v>
      </c>
      <c r="I25" s="64">
        <v>1.46</v>
      </c>
      <c r="J25" s="64">
        <v>0.38</v>
      </c>
      <c r="K25" s="64">
        <v>342.81</v>
      </c>
      <c r="L25" s="64">
        <v>16.02</v>
      </c>
      <c r="M25" s="64">
        <v>98.18</v>
      </c>
      <c r="N25" s="64">
        <v>24.1</v>
      </c>
      <c r="O25" s="64">
        <v>0</v>
      </c>
      <c r="P25" s="64">
        <v>0.16</v>
      </c>
      <c r="Q25" s="64">
        <v>5.26</v>
      </c>
      <c r="R25" s="198"/>
      <c r="S25" s="198"/>
      <c r="T25" s="198"/>
      <c r="U25" s="198"/>
    </row>
    <row r="26" spans="1:21" s="12" customFormat="1" x14ac:dyDescent="0.25">
      <c r="A26" s="214" t="s">
        <v>745</v>
      </c>
      <c r="B26" s="64">
        <v>12.34</v>
      </c>
      <c r="C26" s="64">
        <v>37.409999999999997</v>
      </c>
      <c r="D26" s="64">
        <v>31.19</v>
      </c>
      <c r="E26" s="64">
        <v>2.12</v>
      </c>
      <c r="F26" s="64">
        <v>7.01</v>
      </c>
      <c r="G26" s="64">
        <v>7</v>
      </c>
      <c r="H26" s="64">
        <v>3.82</v>
      </c>
      <c r="I26" s="64">
        <v>1.48</v>
      </c>
      <c r="J26" s="64">
        <v>0.33</v>
      </c>
      <c r="K26" s="64">
        <v>329.67</v>
      </c>
      <c r="L26" s="64">
        <v>16.010000000000002</v>
      </c>
      <c r="M26" s="64">
        <v>98.18</v>
      </c>
      <c r="N26" s="64">
        <v>24.1</v>
      </c>
      <c r="O26" s="64">
        <v>0</v>
      </c>
      <c r="P26" s="64">
        <v>0.16</v>
      </c>
      <c r="Q26" s="64">
        <v>5.26</v>
      </c>
      <c r="R26" s="198"/>
      <c r="S26" s="198"/>
      <c r="T26" s="198"/>
      <c r="U26" s="198"/>
    </row>
    <row r="27" spans="1:21" s="12" customFormat="1" x14ac:dyDescent="0.25">
      <c r="A27" s="214" t="s">
        <v>746</v>
      </c>
      <c r="B27" s="64">
        <v>12.27</v>
      </c>
      <c r="C27" s="64">
        <v>37.700000000000003</v>
      </c>
      <c r="D27" s="64">
        <v>31.3</v>
      </c>
      <c r="E27" s="64">
        <v>2.2200000000000002</v>
      </c>
      <c r="F27" s="64">
        <v>6.54</v>
      </c>
      <c r="G27" s="64">
        <v>7.65</v>
      </c>
      <c r="H27" s="64">
        <v>3.81</v>
      </c>
      <c r="I27" s="64">
        <v>1.52</v>
      </c>
      <c r="J27" s="64">
        <v>0.15</v>
      </c>
      <c r="K27" s="64">
        <v>31.92</v>
      </c>
      <c r="L27" s="64">
        <v>16</v>
      </c>
      <c r="M27" s="64">
        <v>98.18</v>
      </c>
      <c r="N27" s="64">
        <v>24.1</v>
      </c>
      <c r="O27" s="64">
        <v>0</v>
      </c>
      <c r="P27" s="64">
        <v>0.16</v>
      </c>
      <c r="Q27" s="64">
        <v>5.24</v>
      </c>
      <c r="R27" s="198"/>
      <c r="S27" s="198"/>
      <c r="T27" s="198"/>
      <c r="U27" s="198"/>
    </row>
    <row r="28" spans="1:21" s="12" customFormat="1" x14ac:dyDescent="0.25">
      <c r="A28" s="214" t="s">
        <v>747</v>
      </c>
      <c r="B28" s="64">
        <v>12.3</v>
      </c>
      <c r="C28" s="64">
        <v>39.22</v>
      </c>
      <c r="D28" s="64">
        <v>32.15</v>
      </c>
      <c r="E28" s="64">
        <v>2.2000000000000002</v>
      </c>
      <c r="F28" s="64">
        <v>5.85</v>
      </c>
      <c r="G28" s="64">
        <v>10.26</v>
      </c>
      <c r="H28" s="64">
        <v>3.76</v>
      </c>
      <c r="I28" s="64">
        <v>1.59</v>
      </c>
      <c r="J28" s="64">
        <v>0.25</v>
      </c>
      <c r="K28" s="64">
        <v>63.16</v>
      </c>
      <c r="L28" s="64">
        <v>15.93</v>
      </c>
      <c r="M28" s="64">
        <v>98.18</v>
      </c>
      <c r="N28" s="64">
        <v>24.1</v>
      </c>
      <c r="O28" s="64">
        <v>0</v>
      </c>
      <c r="P28" s="64">
        <v>0.14000000000000001</v>
      </c>
      <c r="Q28" s="64">
        <v>5.41</v>
      </c>
      <c r="R28" s="198"/>
      <c r="S28" s="198"/>
      <c r="T28" s="198"/>
      <c r="U28" s="198"/>
    </row>
    <row r="29" spans="1:21" s="12" customFormat="1" x14ac:dyDescent="0.25">
      <c r="A29" s="214" t="s">
        <v>748</v>
      </c>
      <c r="B29" s="64">
        <v>12.72</v>
      </c>
      <c r="C29" s="64">
        <v>39.32</v>
      </c>
      <c r="D29" s="64">
        <v>32.54</v>
      </c>
      <c r="E29" s="64">
        <v>2.2000000000000002</v>
      </c>
      <c r="F29" s="64">
        <v>5.0199999999999996</v>
      </c>
      <c r="G29" s="64">
        <v>10.26</v>
      </c>
      <c r="H29" s="64">
        <v>3.76</v>
      </c>
      <c r="I29" s="64">
        <v>1.51</v>
      </c>
      <c r="J29" s="64">
        <v>0.27</v>
      </c>
      <c r="K29" s="64">
        <v>50.81</v>
      </c>
      <c r="L29" s="64">
        <v>15.97</v>
      </c>
      <c r="M29" s="64">
        <v>98.18</v>
      </c>
      <c r="N29" s="64">
        <v>24.1</v>
      </c>
      <c r="O29" s="64">
        <v>0</v>
      </c>
      <c r="P29" s="64">
        <v>0.17</v>
      </c>
      <c r="Q29" s="64">
        <v>5.63</v>
      </c>
      <c r="R29" s="198"/>
      <c r="S29" s="198"/>
      <c r="T29" s="198"/>
      <c r="U29" s="198"/>
    </row>
    <row r="30" spans="1:21" s="12" customFormat="1" x14ac:dyDescent="0.25">
      <c r="A30" s="214" t="s">
        <v>749</v>
      </c>
      <c r="B30" s="64">
        <v>13.21</v>
      </c>
      <c r="C30" s="64">
        <v>39.19</v>
      </c>
      <c r="D30" s="64">
        <v>32.86</v>
      </c>
      <c r="E30" s="64">
        <v>2.2000000000000002</v>
      </c>
      <c r="F30" s="64">
        <v>5.35</v>
      </c>
      <c r="G30" s="64">
        <v>10.26</v>
      </c>
      <c r="H30" s="64">
        <v>3.76</v>
      </c>
      <c r="I30" s="64">
        <v>1.48</v>
      </c>
      <c r="J30" s="64">
        <v>0.26</v>
      </c>
      <c r="K30" s="64">
        <v>29.93</v>
      </c>
      <c r="L30" s="64">
        <v>15.98</v>
      </c>
      <c r="M30" s="64">
        <v>98.18</v>
      </c>
      <c r="N30" s="64">
        <v>24.1</v>
      </c>
      <c r="O30" s="64">
        <v>0</v>
      </c>
      <c r="P30" s="64">
        <v>0.17</v>
      </c>
      <c r="Q30" s="64">
        <v>5.81</v>
      </c>
      <c r="R30" s="198"/>
      <c r="S30" s="198"/>
      <c r="T30" s="198"/>
      <c r="U30" s="198"/>
    </row>
    <row r="31" spans="1:21" s="12" customFormat="1" x14ac:dyDescent="0.25">
      <c r="A31" s="214" t="s">
        <v>750</v>
      </c>
      <c r="B31" s="64">
        <v>13.57</v>
      </c>
      <c r="C31" s="64">
        <v>39.29</v>
      </c>
      <c r="D31" s="64">
        <v>33.21</v>
      </c>
      <c r="E31" s="64">
        <v>2.15</v>
      </c>
      <c r="F31" s="64">
        <v>5.24</v>
      </c>
      <c r="G31" s="64">
        <v>10.36</v>
      </c>
      <c r="H31" s="64">
        <v>3.57</v>
      </c>
      <c r="I31" s="64">
        <v>1.55</v>
      </c>
      <c r="J31" s="64">
        <v>0.22</v>
      </c>
      <c r="K31" s="64">
        <v>51.25</v>
      </c>
      <c r="L31" s="64">
        <v>16</v>
      </c>
      <c r="M31" s="64">
        <v>98.17</v>
      </c>
      <c r="N31" s="64">
        <v>24.1</v>
      </c>
      <c r="O31" s="64">
        <v>0</v>
      </c>
      <c r="P31" s="64">
        <v>0.17</v>
      </c>
      <c r="Q31" s="64">
        <v>5.89</v>
      </c>
      <c r="R31" s="198"/>
      <c r="S31" s="198"/>
      <c r="T31" s="198"/>
      <c r="U31" s="198"/>
    </row>
    <row r="32" spans="1:21" s="12" customFormat="1" x14ac:dyDescent="0.25">
      <c r="A32" s="214" t="s">
        <v>751</v>
      </c>
      <c r="B32" s="64">
        <v>13.97</v>
      </c>
      <c r="C32" s="64">
        <v>39.67</v>
      </c>
      <c r="D32" s="64">
        <v>33.74</v>
      </c>
      <c r="E32" s="64">
        <v>2.13</v>
      </c>
      <c r="F32" s="64">
        <v>6.42</v>
      </c>
      <c r="G32" s="64">
        <v>10.76</v>
      </c>
      <c r="H32" s="64">
        <v>3.03</v>
      </c>
      <c r="I32" s="64">
        <v>1.55</v>
      </c>
      <c r="J32" s="64">
        <v>0.46</v>
      </c>
      <c r="K32" s="64">
        <v>95.89</v>
      </c>
      <c r="L32" s="64">
        <v>16.010000000000002</v>
      </c>
      <c r="M32" s="64">
        <v>98.17</v>
      </c>
      <c r="N32" s="64">
        <v>24.1</v>
      </c>
      <c r="O32" s="64">
        <v>0</v>
      </c>
      <c r="P32" s="64">
        <v>0.17</v>
      </c>
      <c r="Q32" s="64">
        <v>6.12</v>
      </c>
      <c r="R32" s="198"/>
      <c r="S32" s="198"/>
      <c r="T32" s="198"/>
      <c r="U32" s="198"/>
    </row>
    <row r="33" spans="1:21" s="12" customFormat="1" x14ac:dyDescent="0.25">
      <c r="A33" s="214" t="s">
        <v>752</v>
      </c>
      <c r="B33" s="64">
        <v>14.02</v>
      </c>
      <c r="C33" s="64">
        <v>39.450000000000003</v>
      </c>
      <c r="D33" s="64">
        <v>33.659999999999997</v>
      </c>
      <c r="E33" s="64">
        <v>2.09</v>
      </c>
      <c r="F33" s="64">
        <v>6.74</v>
      </c>
      <c r="G33" s="64">
        <v>10.76</v>
      </c>
      <c r="H33" s="64">
        <v>3.03</v>
      </c>
      <c r="I33" s="64">
        <v>1.52</v>
      </c>
      <c r="J33" s="64">
        <v>0.3</v>
      </c>
      <c r="K33" s="64">
        <v>75.27</v>
      </c>
      <c r="L33" s="64">
        <v>16.02</v>
      </c>
      <c r="M33" s="64">
        <v>98.18</v>
      </c>
      <c r="N33" s="64">
        <v>24.3</v>
      </c>
      <c r="O33" s="64">
        <v>0</v>
      </c>
      <c r="P33" s="64">
        <v>0.18</v>
      </c>
      <c r="Q33" s="64">
        <v>6.14</v>
      </c>
      <c r="R33" s="198"/>
      <c r="S33" s="198"/>
      <c r="T33" s="198"/>
      <c r="U33" s="198"/>
    </row>
    <row r="34" spans="1:21" s="12" customFormat="1" x14ac:dyDescent="0.25">
      <c r="A34" s="214" t="s">
        <v>753</v>
      </c>
      <c r="B34" s="64">
        <v>14.21</v>
      </c>
      <c r="C34" s="64">
        <v>39.65</v>
      </c>
      <c r="D34" s="64">
        <v>33.93</v>
      </c>
      <c r="E34" s="64">
        <v>2.14</v>
      </c>
      <c r="F34" s="64">
        <v>6.24</v>
      </c>
      <c r="G34" s="64">
        <v>10.76</v>
      </c>
      <c r="H34" s="64">
        <v>3.03</v>
      </c>
      <c r="I34" s="64">
        <v>1.45</v>
      </c>
      <c r="J34" s="64">
        <v>0.28999999999999998</v>
      </c>
      <c r="K34" s="64">
        <v>338.34</v>
      </c>
      <c r="L34" s="64">
        <v>16.059999999999999</v>
      </c>
      <c r="M34" s="64">
        <v>98.16</v>
      </c>
      <c r="N34" s="64">
        <v>25.8</v>
      </c>
      <c r="O34" s="64">
        <v>0</v>
      </c>
      <c r="P34" s="64">
        <v>0.21</v>
      </c>
      <c r="Q34" s="64">
        <v>5.94</v>
      </c>
      <c r="R34" s="198"/>
      <c r="S34" s="198"/>
      <c r="T34" s="198"/>
      <c r="U34" s="198"/>
    </row>
    <row r="35" spans="1:21" s="12" customFormat="1" x14ac:dyDescent="0.25">
      <c r="A35" s="214" t="s">
        <v>754</v>
      </c>
      <c r="B35" s="64">
        <v>14.76</v>
      </c>
      <c r="C35" s="64">
        <v>39.75</v>
      </c>
      <c r="D35" s="64">
        <v>34.42</v>
      </c>
      <c r="E35" s="64">
        <v>2.14</v>
      </c>
      <c r="F35" s="64">
        <v>6.39</v>
      </c>
      <c r="G35" s="64">
        <v>11.13</v>
      </c>
      <c r="H35" s="64">
        <v>3.2</v>
      </c>
      <c r="I35" s="64">
        <v>1.5</v>
      </c>
      <c r="J35" s="64">
        <v>0.2</v>
      </c>
      <c r="K35" s="64">
        <v>28.64</v>
      </c>
      <c r="L35" s="64">
        <v>15.99</v>
      </c>
      <c r="M35" s="64">
        <v>98.18</v>
      </c>
      <c r="N35" s="64">
        <v>31.2</v>
      </c>
      <c r="O35" s="64">
        <v>0.2</v>
      </c>
      <c r="P35" s="64">
        <v>0.2</v>
      </c>
      <c r="Q35" s="64">
        <v>5.92</v>
      </c>
      <c r="R35" s="198"/>
      <c r="S35" s="198"/>
      <c r="T35" s="198"/>
      <c r="U35" s="198"/>
    </row>
    <row r="36" spans="1:21" s="12" customFormat="1" x14ac:dyDescent="0.25">
      <c r="A36" s="214" t="s">
        <v>755</v>
      </c>
      <c r="B36" s="64">
        <v>15.18</v>
      </c>
      <c r="C36" s="64">
        <v>40.03</v>
      </c>
      <c r="D36" s="64">
        <v>34.909999999999997</v>
      </c>
      <c r="E36" s="64">
        <v>2.1800000000000002</v>
      </c>
      <c r="F36" s="64">
        <v>5.93</v>
      </c>
      <c r="G36" s="64">
        <v>12.63</v>
      </c>
      <c r="H36" s="64">
        <v>3.66</v>
      </c>
      <c r="I36" s="64">
        <v>1.52</v>
      </c>
      <c r="J36" s="64">
        <v>0.41</v>
      </c>
      <c r="K36" s="64">
        <v>325.58</v>
      </c>
      <c r="L36" s="64">
        <v>15.97</v>
      </c>
      <c r="M36" s="64">
        <v>98.18</v>
      </c>
      <c r="N36" s="64">
        <v>42.8</v>
      </c>
      <c r="O36" s="64">
        <v>0</v>
      </c>
      <c r="P36" s="64">
        <v>0.27</v>
      </c>
      <c r="Q36" s="64">
        <v>6.07</v>
      </c>
      <c r="R36" s="198"/>
      <c r="S36" s="198"/>
      <c r="T36" s="198"/>
      <c r="U36" s="198"/>
    </row>
    <row r="37" spans="1:21" s="12" customFormat="1" x14ac:dyDescent="0.25">
      <c r="A37" s="214" t="s">
        <v>756</v>
      </c>
      <c r="B37" s="64">
        <v>16.04</v>
      </c>
      <c r="C37" s="64">
        <v>40.26</v>
      </c>
      <c r="D37" s="64">
        <v>35.729999999999997</v>
      </c>
      <c r="E37" s="64">
        <v>2.14</v>
      </c>
      <c r="F37" s="64">
        <v>5.23</v>
      </c>
      <c r="G37" s="64">
        <v>12.63</v>
      </c>
      <c r="H37" s="64">
        <v>3.66</v>
      </c>
      <c r="I37" s="64">
        <v>1.52</v>
      </c>
      <c r="J37" s="64">
        <v>0.35</v>
      </c>
      <c r="K37" s="64">
        <v>327.87</v>
      </c>
      <c r="L37" s="64">
        <v>16.03</v>
      </c>
      <c r="M37" s="64">
        <v>98.18</v>
      </c>
      <c r="N37" s="64">
        <v>46.1</v>
      </c>
      <c r="O37" s="64">
        <v>0</v>
      </c>
      <c r="P37" s="64">
        <v>0.36</v>
      </c>
      <c r="Q37" s="64">
        <v>5.12</v>
      </c>
      <c r="R37" s="198"/>
      <c r="S37" s="198"/>
      <c r="T37" s="198"/>
      <c r="U37" s="198"/>
    </row>
    <row r="38" spans="1:21" s="12" customFormat="1" x14ac:dyDescent="0.25">
      <c r="A38" s="214" t="s">
        <v>757</v>
      </c>
      <c r="B38" s="64">
        <v>17.010000000000002</v>
      </c>
      <c r="C38" s="64">
        <v>40.409999999999997</v>
      </c>
      <c r="D38" s="64">
        <v>36.590000000000003</v>
      </c>
      <c r="E38" s="64">
        <v>2.13</v>
      </c>
      <c r="F38" s="64">
        <v>5.19</v>
      </c>
      <c r="G38" s="64">
        <v>12.63</v>
      </c>
      <c r="H38" s="64">
        <v>3.66</v>
      </c>
      <c r="I38" s="64">
        <v>1.5</v>
      </c>
      <c r="J38" s="64">
        <v>0.21</v>
      </c>
      <c r="K38" s="64">
        <v>358.02</v>
      </c>
      <c r="L38" s="64">
        <v>16.07</v>
      </c>
      <c r="M38" s="64">
        <v>98.18</v>
      </c>
      <c r="N38" s="64">
        <v>62.6</v>
      </c>
      <c r="O38" s="64">
        <v>0</v>
      </c>
      <c r="P38" s="64">
        <v>0.37</v>
      </c>
      <c r="Q38" s="64">
        <v>5.5</v>
      </c>
      <c r="R38" s="198"/>
      <c r="S38" s="198"/>
      <c r="T38" s="198"/>
      <c r="U38" s="198"/>
    </row>
    <row r="39" spans="1:21" s="12" customFormat="1" x14ac:dyDescent="0.25">
      <c r="A39" s="214" t="s">
        <v>758</v>
      </c>
      <c r="B39" s="64">
        <v>17.84</v>
      </c>
      <c r="C39" s="64">
        <v>40.520000000000003</v>
      </c>
      <c r="D39" s="64">
        <v>37.31</v>
      </c>
      <c r="E39" s="64">
        <v>2.16</v>
      </c>
      <c r="F39" s="64">
        <v>5.0199999999999996</v>
      </c>
      <c r="G39" s="64">
        <v>12.67</v>
      </c>
      <c r="H39" s="64">
        <v>4.0199999999999996</v>
      </c>
      <c r="I39" s="64">
        <v>1.45</v>
      </c>
      <c r="J39" s="64">
        <v>0.2</v>
      </c>
      <c r="K39" s="64">
        <v>54.8</v>
      </c>
      <c r="L39" s="64">
        <v>16.11</v>
      </c>
      <c r="M39" s="64">
        <v>98.18</v>
      </c>
      <c r="N39" s="64">
        <v>57.1</v>
      </c>
      <c r="O39" s="64">
        <v>0</v>
      </c>
      <c r="P39" s="64">
        <v>0.35</v>
      </c>
      <c r="Q39" s="64">
        <v>5.53</v>
      </c>
      <c r="R39" s="198"/>
      <c r="S39" s="198"/>
      <c r="T39" s="198"/>
      <c r="U39" s="198"/>
    </row>
    <row r="40" spans="1:21" s="12" customFormat="1" x14ac:dyDescent="0.25">
      <c r="A40" s="214" t="s">
        <v>759</v>
      </c>
      <c r="B40" s="64">
        <v>18.68</v>
      </c>
      <c r="C40" s="64">
        <v>40.56</v>
      </c>
      <c r="D40" s="64">
        <v>38.01</v>
      </c>
      <c r="E40" s="64">
        <v>2.2999999999999998</v>
      </c>
      <c r="F40" s="64">
        <v>5.01</v>
      </c>
      <c r="G40" s="64">
        <v>12.84</v>
      </c>
      <c r="H40" s="64">
        <v>5.01</v>
      </c>
      <c r="I40" s="64">
        <v>1.53</v>
      </c>
      <c r="J40" s="64">
        <v>0.24</v>
      </c>
      <c r="K40" s="64">
        <v>344.79</v>
      </c>
      <c r="L40" s="64">
        <v>16.22</v>
      </c>
      <c r="M40" s="64">
        <v>98.18</v>
      </c>
      <c r="N40" s="64">
        <v>46.2</v>
      </c>
      <c r="O40" s="64">
        <v>0</v>
      </c>
      <c r="P40" s="64">
        <v>0.41</v>
      </c>
      <c r="Q40" s="64">
        <v>5.45</v>
      </c>
      <c r="R40" s="198"/>
      <c r="S40" s="198"/>
      <c r="T40" s="198"/>
      <c r="U40" s="198"/>
    </row>
    <row r="41" spans="1:21" s="12" customFormat="1" x14ac:dyDescent="0.25">
      <c r="A41" s="214" t="s">
        <v>760</v>
      </c>
      <c r="B41" s="64">
        <v>19.600000000000001</v>
      </c>
      <c r="C41" s="64">
        <v>38.840000000000003</v>
      </c>
      <c r="D41" s="64">
        <v>37.799999999999997</v>
      </c>
      <c r="E41" s="64">
        <v>2.34</v>
      </c>
      <c r="F41" s="64">
        <v>5.2</v>
      </c>
      <c r="G41" s="64">
        <v>12.84</v>
      </c>
      <c r="H41" s="64">
        <v>5.01</v>
      </c>
      <c r="I41" s="64">
        <v>1.55</v>
      </c>
      <c r="J41" s="64">
        <v>0.3</v>
      </c>
      <c r="K41" s="64">
        <v>68.040000000000006</v>
      </c>
      <c r="L41" s="64">
        <v>16.28</v>
      </c>
      <c r="M41" s="64">
        <v>98.15</v>
      </c>
      <c r="N41" s="64">
        <v>63.7</v>
      </c>
      <c r="O41" s="64">
        <v>0</v>
      </c>
      <c r="P41" s="64">
        <v>0.37</v>
      </c>
      <c r="Q41" s="64">
        <v>5.49</v>
      </c>
      <c r="R41" s="198"/>
      <c r="S41" s="198"/>
      <c r="T41" s="198"/>
      <c r="U41" s="198"/>
    </row>
    <row r="42" spans="1:21" s="12" customFormat="1" x14ac:dyDescent="0.25">
      <c r="A42" s="214" t="s">
        <v>761</v>
      </c>
      <c r="B42" s="64">
        <v>20</v>
      </c>
      <c r="C42" s="64">
        <v>38.770000000000003</v>
      </c>
      <c r="D42" s="64">
        <v>38.08</v>
      </c>
      <c r="E42" s="64">
        <v>2.2799999999999998</v>
      </c>
      <c r="F42" s="64">
        <v>4.91</v>
      </c>
      <c r="G42" s="64">
        <v>12.84</v>
      </c>
      <c r="H42" s="64">
        <v>5.01</v>
      </c>
      <c r="I42" s="64">
        <v>1.47</v>
      </c>
      <c r="J42" s="64">
        <v>0.31</v>
      </c>
      <c r="K42" s="64">
        <v>52.6</v>
      </c>
      <c r="L42" s="64">
        <v>16.41</v>
      </c>
      <c r="M42" s="64">
        <v>98.15</v>
      </c>
      <c r="N42" s="64">
        <v>82.8</v>
      </c>
      <c r="O42" s="64">
        <v>0</v>
      </c>
      <c r="P42" s="64">
        <v>0.38</v>
      </c>
      <c r="Q42" s="64">
        <v>5.87</v>
      </c>
      <c r="R42" s="198"/>
      <c r="S42" s="198"/>
      <c r="T42" s="198"/>
      <c r="U42" s="198"/>
    </row>
    <row r="43" spans="1:21" s="12" customFormat="1" x14ac:dyDescent="0.25">
      <c r="A43" s="214" t="s">
        <v>762</v>
      </c>
      <c r="B43" s="64">
        <v>20.59</v>
      </c>
      <c r="C43" s="64">
        <v>39.229999999999997</v>
      </c>
      <c r="D43" s="64">
        <v>38.81</v>
      </c>
      <c r="E43" s="64">
        <v>2.29</v>
      </c>
      <c r="F43" s="64">
        <v>5.05</v>
      </c>
      <c r="G43" s="64">
        <v>13.17</v>
      </c>
      <c r="H43" s="64">
        <v>5.17</v>
      </c>
      <c r="I43" s="64">
        <v>1.5</v>
      </c>
      <c r="J43" s="64">
        <v>0.27</v>
      </c>
      <c r="K43" s="64">
        <v>89.18</v>
      </c>
      <c r="L43" s="64">
        <v>16.55</v>
      </c>
      <c r="M43" s="64">
        <v>98.15</v>
      </c>
      <c r="N43" s="64">
        <v>93.7</v>
      </c>
      <c r="O43" s="64">
        <v>0</v>
      </c>
      <c r="P43" s="64">
        <v>0.39</v>
      </c>
      <c r="Q43" s="64">
        <v>5.86</v>
      </c>
      <c r="R43" s="198"/>
      <c r="S43" s="198"/>
      <c r="T43" s="198"/>
      <c r="U43" s="198"/>
    </row>
    <row r="44" spans="1:21" s="12" customFormat="1" x14ac:dyDescent="0.25">
      <c r="A44" s="214" t="s">
        <v>763</v>
      </c>
      <c r="B44" s="64">
        <v>20.83</v>
      </c>
      <c r="C44" s="64">
        <v>39.96</v>
      </c>
      <c r="D44" s="64">
        <v>39.4</v>
      </c>
      <c r="E44" s="64">
        <v>2.23</v>
      </c>
      <c r="F44" s="64">
        <v>5.03</v>
      </c>
      <c r="G44" s="64">
        <v>14.49</v>
      </c>
      <c r="H44" s="64">
        <v>5.63</v>
      </c>
      <c r="I44" s="64">
        <v>1.5</v>
      </c>
      <c r="J44" s="64">
        <v>0.32</v>
      </c>
      <c r="K44" s="64">
        <v>54.71</v>
      </c>
      <c r="L44" s="64">
        <v>16.62</v>
      </c>
      <c r="M44" s="64">
        <v>98.15</v>
      </c>
      <c r="N44" s="64">
        <v>91.8</v>
      </c>
      <c r="O44" s="64">
        <v>0</v>
      </c>
      <c r="P44" s="64">
        <v>0.36</v>
      </c>
      <c r="Q44" s="64">
        <v>6.22</v>
      </c>
      <c r="R44" s="198"/>
      <c r="S44" s="198"/>
      <c r="T44" s="198"/>
      <c r="U44" s="198"/>
    </row>
    <row r="45" spans="1:21" s="12" customFormat="1" x14ac:dyDescent="0.25">
      <c r="A45" s="214" t="s">
        <v>764</v>
      </c>
      <c r="B45" s="64">
        <v>20.84</v>
      </c>
      <c r="C45" s="64">
        <v>39.76</v>
      </c>
      <c r="D45" s="64">
        <v>39.299999999999997</v>
      </c>
      <c r="E45" s="64">
        <v>2.2400000000000002</v>
      </c>
      <c r="F45" s="64">
        <v>5.15</v>
      </c>
      <c r="G45" s="64">
        <v>14.49</v>
      </c>
      <c r="H45" s="64">
        <v>5.63</v>
      </c>
      <c r="I45" s="64">
        <v>1.46</v>
      </c>
      <c r="J45" s="64">
        <v>0.36</v>
      </c>
      <c r="K45" s="64">
        <v>66.66</v>
      </c>
      <c r="L45" s="64">
        <v>16.760000000000002</v>
      </c>
      <c r="M45" s="64">
        <v>98.15</v>
      </c>
      <c r="N45" s="64">
        <v>109</v>
      </c>
      <c r="O45" s="64">
        <v>0</v>
      </c>
      <c r="P45" s="64">
        <v>0.43</v>
      </c>
      <c r="Q45" s="64">
        <v>6.19</v>
      </c>
      <c r="R45" s="198"/>
      <c r="S45" s="198"/>
      <c r="T45" s="198"/>
      <c r="U45" s="198"/>
    </row>
    <row r="46" spans="1:21" s="12" customFormat="1" x14ac:dyDescent="0.25">
      <c r="A46" s="214" t="s">
        <v>765</v>
      </c>
      <c r="B46" s="64">
        <v>21.2</v>
      </c>
      <c r="C46" s="64">
        <v>39.78</v>
      </c>
      <c r="D46" s="64">
        <v>39.6</v>
      </c>
      <c r="E46" s="64">
        <v>2.21</v>
      </c>
      <c r="F46" s="64">
        <v>5.21</v>
      </c>
      <c r="G46" s="64">
        <v>14.49</v>
      </c>
      <c r="H46" s="64">
        <v>5.63</v>
      </c>
      <c r="I46" s="64">
        <v>1.46</v>
      </c>
      <c r="J46" s="64">
        <v>0.38</v>
      </c>
      <c r="K46" s="64">
        <v>90.19</v>
      </c>
      <c r="L46" s="64">
        <v>16.989999999999998</v>
      </c>
      <c r="M46" s="64">
        <v>98.11</v>
      </c>
      <c r="N46" s="64">
        <v>152.30000000000001</v>
      </c>
      <c r="O46" s="64">
        <v>0</v>
      </c>
      <c r="P46" s="64">
        <v>0.41</v>
      </c>
      <c r="Q46" s="64">
        <v>6.01</v>
      </c>
      <c r="R46" s="198"/>
      <c r="S46" s="198"/>
      <c r="T46" s="198"/>
      <c r="U46" s="198"/>
    </row>
    <row r="47" spans="1:21" s="12" customFormat="1" x14ac:dyDescent="0.25">
      <c r="A47" s="214" t="s">
        <v>766</v>
      </c>
      <c r="B47" s="64">
        <v>21.01</v>
      </c>
      <c r="C47" s="64">
        <v>39.92</v>
      </c>
      <c r="D47" s="64">
        <v>39.520000000000003</v>
      </c>
      <c r="E47" s="64">
        <v>2.2599999999999998</v>
      </c>
      <c r="F47" s="64">
        <v>5.19</v>
      </c>
      <c r="G47" s="64">
        <v>15.68</v>
      </c>
      <c r="H47" s="64">
        <v>5.19</v>
      </c>
      <c r="I47" s="64">
        <v>1.54</v>
      </c>
      <c r="J47" s="64">
        <v>0.89</v>
      </c>
      <c r="K47" s="64">
        <v>97.63</v>
      </c>
      <c r="L47" s="64">
        <v>16.95</v>
      </c>
      <c r="M47" s="64">
        <v>97.99</v>
      </c>
      <c r="N47" s="64">
        <v>163</v>
      </c>
      <c r="O47" s="64">
        <v>0</v>
      </c>
      <c r="P47" s="64">
        <v>0.37</v>
      </c>
      <c r="Q47" s="64">
        <v>6.37</v>
      </c>
      <c r="R47" s="198"/>
      <c r="S47" s="198"/>
      <c r="T47" s="198"/>
      <c r="U47" s="198"/>
    </row>
    <row r="48" spans="1:21" s="12" customFormat="1" x14ac:dyDescent="0.25">
      <c r="A48" s="214" t="s">
        <v>767</v>
      </c>
      <c r="B48" s="64">
        <v>20.59</v>
      </c>
      <c r="C48" s="64">
        <v>39.79</v>
      </c>
      <c r="D48" s="64">
        <v>39.11</v>
      </c>
      <c r="E48" s="64">
        <v>2.27</v>
      </c>
      <c r="F48" s="64">
        <v>5.39</v>
      </c>
      <c r="G48" s="64">
        <v>20.13</v>
      </c>
      <c r="H48" s="64">
        <v>4.0199999999999996</v>
      </c>
      <c r="I48" s="64">
        <v>1.49</v>
      </c>
      <c r="J48" s="64">
        <v>0.41</v>
      </c>
      <c r="K48" s="64">
        <v>88.69</v>
      </c>
      <c r="L48" s="64">
        <v>17.29</v>
      </c>
      <c r="M48" s="64">
        <v>97.63</v>
      </c>
      <c r="N48" s="64">
        <v>180.7</v>
      </c>
      <c r="O48" s="64">
        <v>0</v>
      </c>
      <c r="P48" s="64">
        <v>0.42</v>
      </c>
      <c r="Q48" s="64">
        <v>6.42</v>
      </c>
      <c r="R48" s="198"/>
      <c r="S48" s="198"/>
      <c r="T48" s="198"/>
      <c r="U48" s="198"/>
    </row>
    <row r="49" spans="1:21" s="12" customFormat="1" x14ac:dyDescent="0.25">
      <c r="A49" s="214" t="s">
        <v>768</v>
      </c>
      <c r="B49" s="64">
        <v>20.53</v>
      </c>
      <c r="C49" s="64">
        <v>39.71</v>
      </c>
      <c r="D49" s="64">
        <v>39.03</v>
      </c>
      <c r="E49" s="64">
        <v>2.27</v>
      </c>
      <c r="F49" s="64">
        <v>4.92</v>
      </c>
      <c r="G49" s="64">
        <v>20.13</v>
      </c>
      <c r="H49" s="64">
        <v>4.0199999999999996</v>
      </c>
      <c r="I49" s="64">
        <v>1.52</v>
      </c>
      <c r="J49" s="64">
        <v>0.33</v>
      </c>
      <c r="K49" s="64">
        <v>80.06</v>
      </c>
      <c r="L49" s="64">
        <v>17.36</v>
      </c>
      <c r="M49" s="64">
        <v>96.89</v>
      </c>
      <c r="N49" s="64">
        <v>125.7</v>
      </c>
      <c r="O49" s="64">
        <v>0</v>
      </c>
      <c r="P49" s="64">
        <v>0.46</v>
      </c>
      <c r="Q49" s="64">
        <v>5.9</v>
      </c>
      <c r="R49" s="198"/>
      <c r="S49" s="198"/>
      <c r="T49" s="198"/>
      <c r="U49" s="198"/>
    </row>
    <row r="50" spans="1:21" s="12" customFormat="1" x14ac:dyDescent="0.25">
      <c r="A50" s="214" t="s">
        <v>769</v>
      </c>
      <c r="B50" s="64">
        <v>20.65</v>
      </c>
      <c r="C50" s="64">
        <v>39.53</v>
      </c>
      <c r="D50" s="64">
        <v>39.020000000000003</v>
      </c>
      <c r="E50" s="64">
        <v>2.3199999999999998</v>
      </c>
      <c r="F50" s="64">
        <v>5.41</v>
      </c>
      <c r="G50" s="64">
        <v>20.13</v>
      </c>
      <c r="H50" s="64">
        <v>4.0199999999999996</v>
      </c>
      <c r="I50" s="64">
        <v>1.48</v>
      </c>
      <c r="J50" s="64">
        <v>0.28999999999999998</v>
      </c>
      <c r="K50" s="64">
        <v>357.89</v>
      </c>
      <c r="L50" s="64">
        <v>17.32</v>
      </c>
      <c r="M50" s="64">
        <v>97.48</v>
      </c>
      <c r="N50" s="64">
        <v>94.8</v>
      </c>
      <c r="O50" s="64">
        <v>0</v>
      </c>
      <c r="P50" s="64">
        <v>0.53</v>
      </c>
      <c r="Q50" s="64">
        <v>6.17</v>
      </c>
      <c r="R50" s="198"/>
      <c r="S50" s="198"/>
      <c r="T50" s="198"/>
      <c r="U50" s="198"/>
    </row>
    <row r="51" spans="1:21" s="12" customFormat="1" x14ac:dyDescent="0.25">
      <c r="A51" s="214" t="s">
        <v>770</v>
      </c>
      <c r="B51" s="64">
        <v>21</v>
      </c>
      <c r="C51" s="64">
        <v>39.69</v>
      </c>
      <c r="D51" s="64">
        <v>39.39</v>
      </c>
      <c r="E51" s="64">
        <v>2.27</v>
      </c>
      <c r="F51" s="64">
        <v>4.82</v>
      </c>
      <c r="G51" s="64">
        <v>19.63</v>
      </c>
      <c r="H51" s="64">
        <v>4.72</v>
      </c>
      <c r="I51" s="64">
        <v>1.49</v>
      </c>
      <c r="J51" s="64">
        <v>0.31</v>
      </c>
      <c r="K51" s="64">
        <v>84.72</v>
      </c>
      <c r="L51" s="64">
        <v>17.2</v>
      </c>
      <c r="M51" s="64">
        <v>97.81</v>
      </c>
      <c r="N51" s="64">
        <v>102</v>
      </c>
      <c r="O51" s="64">
        <v>0</v>
      </c>
      <c r="P51" s="64">
        <v>0.54</v>
      </c>
      <c r="Q51" s="64">
        <v>5.6</v>
      </c>
      <c r="R51" s="198"/>
      <c r="S51" s="198"/>
      <c r="T51" s="198"/>
      <c r="U51" s="198"/>
    </row>
    <row r="52" spans="1:21" s="12" customFormat="1" x14ac:dyDescent="0.25">
      <c r="A52" s="214" t="s">
        <v>771</v>
      </c>
      <c r="B52" s="64">
        <v>21.22</v>
      </c>
      <c r="C52" s="64">
        <v>40.130000000000003</v>
      </c>
      <c r="D52" s="64">
        <v>39.81</v>
      </c>
      <c r="E52" s="64">
        <v>2.2599999999999998</v>
      </c>
      <c r="F52" s="64">
        <v>4.83</v>
      </c>
      <c r="G52" s="64">
        <v>17.62</v>
      </c>
      <c r="H52" s="64">
        <v>6.63</v>
      </c>
      <c r="I52" s="64">
        <v>1.41</v>
      </c>
      <c r="J52" s="64">
        <v>0.25</v>
      </c>
      <c r="K52" s="64">
        <v>9.64</v>
      </c>
      <c r="L52" s="64">
        <v>17.36</v>
      </c>
      <c r="M52" s="64">
        <v>97.3</v>
      </c>
      <c r="N52" s="64">
        <v>120.3</v>
      </c>
      <c r="O52" s="64">
        <v>0</v>
      </c>
      <c r="P52" s="64">
        <v>0.55000000000000004</v>
      </c>
      <c r="Q52" s="64">
        <v>5.96</v>
      </c>
      <c r="R52" s="198"/>
      <c r="S52" s="198"/>
      <c r="T52" s="198"/>
      <c r="U52" s="198"/>
    </row>
    <row r="53" spans="1:21" s="12" customFormat="1" x14ac:dyDescent="0.25">
      <c r="A53" s="214" t="s">
        <v>772</v>
      </c>
      <c r="B53" s="64">
        <v>21.92</v>
      </c>
      <c r="C53" s="64">
        <v>40.93</v>
      </c>
      <c r="D53" s="64">
        <v>40.82</v>
      </c>
      <c r="E53" s="64">
        <v>2.3199999999999998</v>
      </c>
      <c r="F53" s="64">
        <v>4.84</v>
      </c>
      <c r="G53" s="64">
        <v>17.62</v>
      </c>
      <c r="H53" s="64">
        <v>6.63</v>
      </c>
      <c r="I53" s="64">
        <v>1.56</v>
      </c>
      <c r="J53" s="64">
        <v>0.24</v>
      </c>
      <c r="K53" s="64">
        <v>32.97</v>
      </c>
      <c r="L53" s="64">
        <v>17.649999999999999</v>
      </c>
      <c r="M53" s="64">
        <v>95.92</v>
      </c>
      <c r="N53" s="64">
        <v>172.7</v>
      </c>
      <c r="O53" s="64">
        <v>0</v>
      </c>
      <c r="P53" s="64">
        <v>0.57999999999999996</v>
      </c>
      <c r="Q53" s="64">
        <v>5.67</v>
      </c>
      <c r="R53" s="198"/>
      <c r="S53" s="198"/>
      <c r="T53" s="198"/>
      <c r="U53" s="198"/>
    </row>
    <row r="54" spans="1:21" s="12" customFormat="1" x14ac:dyDescent="0.25">
      <c r="A54" s="214" t="s">
        <v>773</v>
      </c>
      <c r="B54" s="64">
        <v>22.7</v>
      </c>
      <c r="C54" s="64">
        <v>41.4</v>
      </c>
      <c r="D54" s="64">
        <v>41.7</v>
      </c>
      <c r="E54" s="64">
        <v>2.25</v>
      </c>
      <c r="F54" s="64">
        <v>4.8499999999999996</v>
      </c>
      <c r="G54" s="64">
        <v>17.62</v>
      </c>
      <c r="H54" s="64">
        <v>6.63</v>
      </c>
      <c r="I54" s="64">
        <v>1.59</v>
      </c>
      <c r="J54" s="64">
        <v>0.31</v>
      </c>
      <c r="K54" s="64">
        <v>82.88</v>
      </c>
      <c r="L54" s="64">
        <v>17.84</v>
      </c>
      <c r="M54" s="64">
        <v>95.13</v>
      </c>
      <c r="N54" s="64">
        <v>144.69999999999999</v>
      </c>
      <c r="O54" s="64">
        <v>0</v>
      </c>
      <c r="P54" s="64">
        <v>0.49</v>
      </c>
      <c r="Q54" s="64">
        <v>6.04</v>
      </c>
      <c r="R54" s="198"/>
      <c r="S54" s="198"/>
      <c r="T54" s="198"/>
      <c r="U54" s="198"/>
    </row>
    <row r="55" spans="1:21" s="12" customFormat="1" x14ac:dyDescent="0.25">
      <c r="A55" s="214" t="s">
        <v>774</v>
      </c>
      <c r="B55" s="64">
        <v>22.46</v>
      </c>
      <c r="C55" s="64">
        <v>39.81</v>
      </c>
      <c r="D55" s="64">
        <v>40.630000000000003</v>
      </c>
      <c r="E55" s="64">
        <v>2.2599999999999998</v>
      </c>
      <c r="F55" s="64">
        <v>5.08</v>
      </c>
      <c r="G55" s="64">
        <v>18.84</v>
      </c>
      <c r="H55" s="64">
        <v>6.66</v>
      </c>
      <c r="I55" s="64">
        <v>1.5</v>
      </c>
      <c r="J55" s="64">
        <v>0.49</v>
      </c>
      <c r="K55" s="64">
        <v>102.05</v>
      </c>
      <c r="L55" s="64">
        <v>17.54</v>
      </c>
      <c r="M55" s="64">
        <v>96.28</v>
      </c>
      <c r="N55" s="64">
        <v>91.6</v>
      </c>
      <c r="O55" s="64">
        <v>0</v>
      </c>
      <c r="P55" s="64">
        <v>0.46</v>
      </c>
      <c r="Q55" s="64">
        <v>6.6</v>
      </c>
      <c r="R55" s="198"/>
      <c r="S55" s="198"/>
      <c r="T55" s="198"/>
      <c r="U55" s="198"/>
    </row>
    <row r="56" spans="1:21" s="12" customFormat="1" x14ac:dyDescent="0.25">
      <c r="A56" s="214" t="s">
        <v>775</v>
      </c>
      <c r="B56" s="64">
        <v>21.94</v>
      </c>
      <c r="C56" s="64">
        <v>38.94</v>
      </c>
      <c r="D56" s="64">
        <v>39.729999999999997</v>
      </c>
      <c r="E56" s="64">
        <v>2.2200000000000002</v>
      </c>
      <c r="F56" s="64">
        <v>5.52</v>
      </c>
      <c r="G56" s="64">
        <v>23.38</v>
      </c>
      <c r="H56" s="64">
        <v>6.74</v>
      </c>
      <c r="I56" s="64">
        <v>1.45</v>
      </c>
      <c r="J56" s="64">
        <v>0.8</v>
      </c>
      <c r="K56" s="64">
        <v>99.34</v>
      </c>
      <c r="L56" s="64">
        <v>17.39</v>
      </c>
      <c r="M56" s="64">
        <v>97.04</v>
      </c>
      <c r="N56" s="64">
        <v>76.3</v>
      </c>
      <c r="O56" s="64">
        <v>0</v>
      </c>
      <c r="P56" s="64">
        <v>0.47</v>
      </c>
      <c r="Q56" s="64">
        <v>6.81</v>
      </c>
      <c r="R56" s="198"/>
      <c r="S56" s="198"/>
      <c r="T56" s="198"/>
      <c r="U56" s="198"/>
    </row>
    <row r="57" spans="1:21" s="12" customFormat="1" x14ac:dyDescent="0.25">
      <c r="A57" s="214" t="s">
        <v>776</v>
      </c>
      <c r="B57" s="64">
        <v>21.47</v>
      </c>
      <c r="C57" s="64">
        <v>39.26</v>
      </c>
      <c r="D57" s="64">
        <v>39.520000000000003</v>
      </c>
      <c r="E57" s="64">
        <v>2.29</v>
      </c>
      <c r="F57" s="64">
        <v>5.74</v>
      </c>
      <c r="G57" s="64">
        <v>23.38</v>
      </c>
      <c r="H57" s="64">
        <v>6.74</v>
      </c>
      <c r="I57" s="64">
        <v>1.48</v>
      </c>
      <c r="J57" s="64">
        <v>0.59</v>
      </c>
      <c r="K57" s="64">
        <v>97.49</v>
      </c>
      <c r="L57" s="64">
        <v>17.41</v>
      </c>
      <c r="M57" s="64">
        <v>96.37</v>
      </c>
      <c r="N57" s="64">
        <v>66.900000000000006</v>
      </c>
      <c r="O57" s="64">
        <v>0</v>
      </c>
      <c r="P57" s="64">
        <v>0.46</v>
      </c>
      <c r="Q57" s="64">
        <v>6.72</v>
      </c>
      <c r="R57" s="198"/>
      <c r="S57" s="198"/>
      <c r="T57" s="198"/>
      <c r="U57" s="198"/>
    </row>
    <row r="58" spans="1:21" s="12" customFormat="1" x14ac:dyDescent="0.25">
      <c r="A58" s="214" t="s">
        <v>777</v>
      </c>
      <c r="B58" s="64">
        <v>19.52</v>
      </c>
      <c r="C58" s="64">
        <v>40.130000000000003</v>
      </c>
      <c r="D58" s="64">
        <v>38.450000000000003</v>
      </c>
      <c r="E58" s="64">
        <v>2.29</v>
      </c>
      <c r="F58" s="64">
        <v>6.71</v>
      </c>
      <c r="G58" s="64">
        <v>23.38</v>
      </c>
      <c r="H58" s="64">
        <v>6.74</v>
      </c>
      <c r="I58" s="64">
        <v>1.53</v>
      </c>
      <c r="J58" s="64">
        <v>1.36</v>
      </c>
      <c r="K58" s="64">
        <v>106.14</v>
      </c>
      <c r="L58" s="64">
        <v>17.34</v>
      </c>
      <c r="M58" s="64">
        <v>95.65</v>
      </c>
      <c r="N58" s="64">
        <v>79.8</v>
      </c>
      <c r="O58" s="64">
        <v>0</v>
      </c>
      <c r="P58" s="64">
        <v>0.44</v>
      </c>
      <c r="Q58" s="64">
        <v>6.81</v>
      </c>
      <c r="R58" s="198"/>
      <c r="S58" s="198"/>
      <c r="T58" s="198"/>
      <c r="U58" s="198"/>
    </row>
    <row r="59" spans="1:21" s="12" customFormat="1" x14ac:dyDescent="0.25">
      <c r="A59" s="214" t="s">
        <v>778</v>
      </c>
      <c r="B59" s="64">
        <v>14.58</v>
      </c>
      <c r="C59" s="64">
        <v>45.61</v>
      </c>
      <c r="D59" s="64">
        <v>37.51</v>
      </c>
      <c r="E59" s="64">
        <v>2.2799999999999998</v>
      </c>
      <c r="F59" s="64">
        <v>7.4</v>
      </c>
      <c r="G59" s="64">
        <v>23.43</v>
      </c>
      <c r="H59" s="64">
        <v>6.81</v>
      </c>
      <c r="I59" s="64">
        <v>1.42</v>
      </c>
      <c r="J59" s="64">
        <v>1.1100000000000001</v>
      </c>
      <c r="K59" s="64">
        <v>100.71</v>
      </c>
      <c r="L59" s="64">
        <v>17.47</v>
      </c>
      <c r="M59" s="64">
        <v>94.82</v>
      </c>
      <c r="N59" s="64">
        <v>98.3</v>
      </c>
      <c r="O59" s="64">
        <v>0</v>
      </c>
      <c r="P59" s="64">
        <v>0.41</v>
      </c>
      <c r="Q59" s="64">
        <v>6.84</v>
      </c>
      <c r="R59" s="198"/>
      <c r="S59" s="198"/>
      <c r="T59" s="198"/>
      <c r="U59" s="198"/>
    </row>
    <row r="60" spans="1:21" s="12" customFormat="1" x14ac:dyDescent="0.25">
      <c r="A60" s="214" t="s">
        <v>779</v>
      </c>
      <c r="B60" s="64">
        <v>12.74</v>
      </c>
      <c r="C60" s="64">
        <v>46.37</v>
      </c>
      <c r="D60" s="64">
        <v>36.450000000000003</v>
      </c>
      <c r="E60" s="64">
        <v>2.31</v>
      </c>
      <c r="F60" s="64">
        <v>6.52</v>
      </c>
      <c r="G60" s="64">
        <v>23.64</v>
      </c>
      <c r="H60" s="64">
        <v>7.09</v>
      </c>
      <c r="I60" s="64">
        <v>1.48</v>
      </c>
      <c r="J60" s="64">
        <v>0.8</v>
      </c>
      <c r="K60" s="64">
        <v>105.67</v>
      </c>
      <c r="L60" s="64">
        <v>17.5</v>
      </c>
      <c r="M60" s="64">
        <v>95.07</v>
      </c>
      <c r="N60" s="64">
        <v>73.599999999999994</v>
      </c>
      <c r="O60" s="64">
        <v>0</v>
      </c>
      <c r="P60" s="64">
        <v>0.43</v>
      </c>
      <c r="Q60" s="64">
        <v>6.23</v>
      </c>
      <c r="R60" s="198"/>
      <c r="S60" s="198"/>
      <c r="T60" s="198"/>
      <c r="U60" s="198"/>
    </row>
    <row r="61" spans="1:21" s="12" customFormat="1" x14ac:dyDescent="0.25">
      <c r="A61" s="214" t="s">
        <v>780</v>
      </c>
      <c r="B61" s="64">
        <v>12.46</v>
      </c>
      <c r="C61" s="64">
        <v>44.35</v>
      </c>
      <c r="D61" s="64">
        <v>35.119999999999997</v>
      </c>
      <c r="E61" s="64">
        <v>2.2799999999999998</v>
      </c>
      <c r="F61" s="64">
        <v>6.44</v>
      </c>
      <c r="G61" s="64">
        <v>23.64</v>
      </c>
      <c r="H61" s="64">
        <v>7.09</v>
      </c>
      <c r="I61" s="64">
        <v>1.53</v>
      </c>
      <c r="J61" s="64">
        <v>1.1200000000000001</v>
      </c>
      <c r="K61" s="64">
        <v>104.36</v>
      </c>
      <c r="L61" s="64">
        <v>17.41</v>
      </c>
      <c r="M61" s="64">
        <v>94.57</v>
      </c>
      <c r="N61" s="64">
        <v>71.5</v>
      </c>
      <c r="O61" s="64">
        <v>0</v>
      </c>
      <c r="P61" s="64">
        <v>0.35</v>
      </c>
      <c r="Q61" s="64">
        <v>6.13</v>
      </c>
      <c r="R61" s="198"/>
      <c r="S61" s="198"/>
      <c r="T61" s="198"/>
      <c r="U61" s="198"/>
    </row>
    <row r="62" spans="1:21" s="12" customFormat="1" x14ac:dyDescent="0.25">
      <c r="A62" s="214" t="s">
        <v>781</v>
      </c>
      <c r="B62" s="64">
        <v>12.78</v>
      </c>
      <c r="C62" s="64">
        <v>43.35</v>
      </c>
      <c r="D62" s="64">
        <v>34.82</v>
      </c>
      <c r="E62" s="64">
        <v>2.2999999999999998</v>
      </c>
      <c r="F62" s="64">
        <v>6.06</v>
      </c>
      <c r="G62" s="64">
        <v>23.64</v>
      </c>
      <c r="H62" s="64">
        <v>7.09</v>
      </c>
      <c r="I62" s="64">
        <v>1.54</v>
      </c>
      <c r="J62" s="64">
        <v>0.33</v>
      </c>
      <c r="K62" s="64">
        <v>82.86</v>
      </c>
      <c r="L62" s="64">
        <v>17.45</v>
      </c>
      <c r="M62" s="64">
        <v>95.01</v>
      </c>
      <c r="N62" s="64">
        <v>95</v>
      </c>
      <c r="O62" s="64">
        <v>0</v>
      </c>
      <c r="P62" s="64">
        <v>0.43</v>
      </c>
      <c r="Q62" s="64">
        <v>5.04</v>
      </c>
      <c r="R62" s="198"/>
      <c r="S62" s="198"/>
      <c r="T62" s="198"/>
      <c r="U62" s="198"/>
    </row>
    <row r="63" spans="1:21" s="12" customFormat="1" x14ac:dyDescent="0.25">
      <c r="A63" s="214" t="s">
        <v>782</v>
      </c>
      <c r="B63" s="64">
        <v>12.46</v>
      </c>
      <c r="C63" s="64">
        <v>44.22</v>
      </c>
      <c r="D63" s="64">
        <v>35.049999999999997</v>
      </c>
      <c r="E63" s="64">
        <v>2.4</v>
      </c>
      <c r="F63" s="64">
        <v>5.93</v>
      </c>
      <c r="G63" s="64">
        <v>22.67</v>
      </c>
      <c r="H63" s="64">
        <v>6.55</v>
      </c>
      <c r="I63" s="64">
        <v>1.57</v>
      </c>
      <c r="J63" s="64">
        <v>1.0900000000000001</v>
      </c>
      <c r="K63" s="64">
        <v>98.73</v>
      </c>
      <c r="L63" s="64">
        <v>17.62</v>
      </c>
      <c r="M63" s="64">
        <v>94.5</v>
      </c>
      <c r="N63" s="64">
        <v>140.19999999999999</v>
      </c>
      <c r="O63" s="64">
        <v>0</v>
      </c>
      <c r="P63" s="64">
        <v>0.4</v>
      </c>
      <c r="Q63" s="64">
        <v>5.23</v>
      </c>
      <c r="R63" s="198"/>
      <c r="S63" s="198"/>
      <c r="T63" s="198"/>
      <c r="U63" s="198"/>
    </row>
    <row r="64" spans="1:21" s="12" customFormat="1" x14ac:dyDescent="0.25">
      <c r="A64" s="214" t="s">
        <v>783</v>
      </c>
      <c r="B64" s="64">
        <v>9.6999999999999993</v>
      </c>
      <c r="C64" s="64">
        <v>46.08</v>
      </c>
      <c r="D64" s="64">
        <v>33.86</v>
      </c>
      <c r="E64" s="64">
        <v>2.37</v>
      </c>
      <c r="F64" s="64">
        <v>6.52</v>
      </c>
      <c r="G64" s="64">
        <v>19.03</v>
      </c>
      <c r="H64" s="64">
        <v>5.09</v>
      </c>
      <c r="I64" s="64">
        <v>1.56</v>
      </c>
      <c r="J64" s="64">
        <v>0.52</v>
      </c>
      <c r="K64" s="64">
        <v>89.19</v>
      </c>
      <c r="L64" s="64">
        <v>17.399999999999999</v>
      </c>
      <c r="M64" s="64">
        <v>95.96</v>
      </c>
      <c r="N64" s="64">
        <v>84.4</v>
      </c>
      <c r="O64" s="64">
        <v>0</v>
      </c>
      <c r="P64" s="64">
        <v>0.36</v>
      </c>
      <c r="Q64" s="64">
        <v>5.56</v>
      </c>
      <c r="R64" s="198"/>
      <c r="S64" s="198"/>
      <c r="T64" s="198"/>
      <c r="U64" s="198"/>
    </row>
    <row r="65" spans="1:21" s="12" customFormat="1" x14ac:dyDescent="0.25">
      <c r="A65" s="214" t="s">
        <v>784</v>
      </c>
      <c r="B65" s="64">
        <v>9.31</v>
      </c>
      <c r="C65" s="64">
        <v>45.58</v>
      </c>
      <c r="D65" s="64">
        <v>33.270000000000003</v>
      </c>
      <c r="E65" s="64">
        <v>2.34</v>
      </c>
      <c r="F65" s="64">
        <v>6.46</v>
      </c>
      <c r="G65" s="64">
        <v>19.03</v>
      </c>
      <c r="H65" s="64">
        <v>5.09</v>
      </c>
      <c r="I65" s="64">
        <v>1.51</v>
      </c>
      <c r="J65" s="64">
        <v>1.1299999999999999</v>
      </c>
      <c r="K65" s="64">
        <v>103.22</v>
      </c>
      <c r="L65" s="64">
        <v>17.28</v>
      </c>
      <c r="M65" s="64">
        <v>96.3</v>
      </c>
      <c r="N65" s="64">
        <v>79.8</v>
      </c>
      <c r="O65" s="64">
        <v>0</v>
      </c>
      <c r="P65" s="64">
        <v>0.39</v>
      </c>
      <c r="Q65" s="64">
        <v>5.09</v>
      </c>
      <c r="R65" s="198"/>
      <c r="S65" s="198"/>
      <c r="T65" s="198"/>
      <c r="U65" s="198"/>
    </row>
    <row r="66" spans="1:21" s="12" customFormat="1" x14ac:dyDescent="0.25">
      <c r="A66" s="214" t="s">
        <v>785</v>
      </c>
      <c r="B66" s="64">
        <v>9.7200000000000006</v>
      </c>
      <c r="C66" s="64">
        <v>44.64</v>
      </c>
      <c r="D66" s="64">
        <v>33.08</v>
      </c>
      <c r="E66" s="64">
        <v>2.3199999999999998</v>
      </c>
      <c r="F66" s="64">
        <v>5.93</v>
      </c>
      <c r="G66" s="64">
        <v>19.03</v>
      </c>
      <c r="H66" s="64">
        <v>5.09</v>
      </c>
      <c r="I66" s="64">
        <v>1.53</v>
      </c>
      <c r="J66" s="64">
        <v>0.72</v>
      </c>
      <c r="K66" s="64">
        <v>104.54</v>
      </c>
      <c r="L66" s="64">
        <v>17.190000000000001</v>
      </c>
      <c r="M66" s="64">
        <v>97.09</v>
      </c>
      <c r="N66" s="64">
        <v>87.9</v>
      </c>
      <c r="O66" s="64">
        <v>0</v>
      </c>
      <c r="P66" s="64">
        <v>0.36</v>
      </c>
      <c r="Q66" s="64">
        <v>4.97</v>
      </c>
      <c r="R66" s="198"/>
      <c r="S66" s="198"/>
      <c r="T66" s="198"/>
      <c r="U66" s="198"/>
    </row>
    <row r="67" spans="1:21" s="12" customFormat="1" x14ac:dyDescent="0.25">
      <c r="A67" s="214" t="s">
        <v>786</v>
      </c>
      <c r="B67" s="64">
        <v>10.31</v>
      </c>
      <c r="C67" s="64">
        <v>44.43</v>
      </c>
      <c r="D67" s="64">
        <v>33.43</v>
      </c>
      <c r="E67" s="64">
        <v>2.33</v>
      </c>
      <c r="F67" s="64">
        <v>6.24</v>
      </c>
      <c r="G67" s="64">
        <v>20.059999999999999</v>
      </c>
      <c r="H67" s="64">
        <v>5.55</v>
      </c>
      <c r="I67" s="64">
        <v>1.43</v>
      </c>
      <c r="J67" s="64">
        <v>0.47</v>
      </c>
      <c r="K67" s="64">
        <v>95.44</v>
      </c>
      <c r="L67" s="64">
        <v>17.059999999999999</v>
      </c>
      <c r="M67" s="64">
        <v>97.86</v>
      </c>
      <c r="N67" s="64">
        <v>102.8</v>
      </c>
      <c r="O67" s="64">
        <v>0</v>
      </c>
      <c r="P67" s="64">
        <v>0.38</v>
      </c>
      <c r="Q67" s="64">
        <v>4.7699999999999996</v>
      </c>
      <c r="R67" s="198"/>
      <c r="S67" s="198"/>
      <c r="T67" s="198"/>
      <c r="U67" s="198"/>
    </row>
    <row r="68" spans="1:21" s="12" customFormat="1" x14ac:dyDescent="0.25">
      <c r="A68" s="214" t="s">
        <v>787</v>
      </c>
      <c r="B68" s="64">
        <v>11.14</v>
      </c>
      <c r="C68" s="64">
        <v>44.44</v>
      </c>
      <c r="D68" s="64">
        <v>34.11</v>
      </c>
      <c r="E68" s="64">
        <v>2.34</v>
      </c>
      <c r="F68" s="64">
        <v>6.62</v>
      </c>
      <c r="G68" s="64">
        <v>23.92</v>
      </c>
      <c r="H68" s="64">
        <v>6.79</v>
      </c>
      <c r="I68" s="64">
        <v>1.55</v>
      </c>
      <c r="J68" s="64">
        <v>0.23</v>
      </c>
      <c r="K68" s="64">
        <v>56.51</v>
      </c>
      <c r="L68" s="64">
        <v>16.77</v>
      </c>
      <c r="M68" s="64">
        <v>98.16</v>
      </c>
      <c r="N68" s="64">
        <v>96.8</v>
      </c>
      <c r="O68" s="64">
        <v>0</v>
      </c>
      <c r="P68" s="64">
        <v>0.38</v>
      </c>
      <c r="Q68" s="64">
        <v>4.71</v>
      </c>
      <c r="R68" s="198"/>
      <c r="S68" s="198"/>
      <c r="T68" s="198"/>
      <c r="U68" s="198"/>
    </row>
    <row r="69" spans="1:21" s="12" customFormat="1" x14ac:dyDescent="0.25">
      <c r="A69" s="214" t="s">
        <v>788</v>
      </c>
      <c r="B69" s="64">
        <v>12.25</v>
      </c>
      <c r="C69" s="64">
        <v>42.65</v>
      </c>
      <c r="D69" s="64">
        <v>34.01</v>
      </c>
      <c r="E69" s="64">
        <v>2.23</v>
      </c>
      <c r="F69" s="64">
        <v>5.21</v>
      </c>
      <c r="G69" s="64">
        <v>23.92</v>
      </c>
      <c r="H69" s="64">
        <v>6.79</v>
      </c>
      <c r="I69" s="64">
        <v>1.55</v>
      </c>
      <c r="J69" s="64">
        <v>0.33</v>
      </c>
      <c r="K69" s="64">
        <v>88.79</v>
      </c>
      <c r="L69" s="64">
        <v>16.78</v>
      </c>
      <c r="M69" s="64">
        <v>98.18</v>
      </c>
      <c r="N69" s="64">
        <v>86</v>
      </c>
      <c r="O69" s="64">
        <v>0</v>
      </c>
      <c r="P69" s="64">
        <v>0.44</v>
      </c>
      <c r="Q69" s="64">
        <v>4.3899999999999997</v>
      </c>
      <c r="R69" s="198"/>
      <c r="S69" s="198"/>
      <c r="T69" s="198"/>
      <c r="U69" s="198"/>
    </row>
    <row r="70" spans="1:21" s="12" customFormat="1" x14ac:dyDescent="0.25">
      <c r="A70" s="214" t="s">
        <v>789</v>
      </c>
      <c r="B70" s="64">
        <v>13.09</v>
      </c>
      <c r="C70" s="64">
        <v>42.94</v>
      </c>
      <c r="D70" s="64">
        <v>34.840000000000003</v>
      </c>
      <c r="E70" s="64">
        <v>2.2200000000000002</v>
      </c>
      <c r="F70" s="64">
        <v>5.14</v>
      </c>
      <c r="G70" s="64">
        <v>23.92</v>
      </c>
      <c r="H70" s="64">
        <v>6.79</v>
      </c>
      <c r="I70" s="64">
        <v>1.49</v>
      </c>
      <c r="J70" s="64">
        <v>0.28999999999999998</v>
      </c>
      <c r="K70" s="64">
        <v>84.64</v>
      </c>
      <c r="L70" s="64">
        <v>16.760000000000002</v>
      </c>
      <c r="M70" s="64">
        <v>98.18</v>
      </c>
      <c r="N70" s="64">
        <v>53.5</v>
      </c>
      <c r="O70" s="64">
        <v>0</v>
      </c>
      <c r="P70" s="64">
        <v>0.38</v>
      </c>
      <c r="Q70" s="64">
        <v>4.8499999999999996</v>
      </c>
      <c r="R70" s="198"/>
      <c r="S70" s="198"/>
      <c r="T70" s="198"/>
      <c r="U70" s="198"/>
    </row>
    <row r="71" spans="1:21" s="12" customFormat="1" x14ac:dyDescent="0.25">
      <c r="A71" s="214" t="s">
        <v>790</v>
      </c>
      <c r="B71" s="64">
        <v>13.9</v>
      </c>
      <c r="C71" s="64">
        <v>43.4</v>
      </c>
      <c r="D71" s="64">
        <v>35.74</v>
      </c>
      <c r="E71" s="64">
        <v>2.2400000000000002</v>
      </c>
      <c r="F71" s="64">
        <v>4.82</v>
      </c>
      <c r="G71" s="64">
        <v>23.82</v>
      </c>
      <c r="H71" s="64">
        <v>6.89</v>
      </c>
      <c r="I71" s="64">
        <v>1.49</v>
      </c>
      <c r="J71" s="64">
        <v>1.29</v>
      </c>
      <c r="K71" s="64">
        <v>104.64</v>
      </c>
      <c r="L71" s="64">
        <v>16.79</v>
      </c>
      <c r="M71" s="64">
        <v>98.17</v>
      </c>
      <c r="N71" s="64">
        <v>59.7</v>
      </c>
      <c r="O71" s="64">
        <v>0</v>
      </c>
      <c r="P71" s="64">
        <v>0.35</v>
      </c>
      <c r="Q71" s="64">
        <v>5.03</v>
      </c>
      <c r="R71" s="198"/>
      <c r="S71" s="198"/>
      <c r="T71" s="198"/>
      <c r="U71" s="198"/>
    </row>
    <row r="72" spans="1:21" s="12" customFormat="1" x14ac:dyDescent="0.25">
      <c r="A72" s="214" t="s">
        <v>791</v>
      </c>
      <c r="B72" s="64">
        <v>14.16</v>
      </c>
      <c r="C72" s="64">
        <v>43.65</v>
      </c>
      <c r="D72" s="64">
        <v>36.090000000000003</v>
      </c>
      <c r="E72" s="64">
        <v>2.12</v>
      </c>
      <c r="F72" s="64">
        <v>4.97</v>
      </c>
      <c r="G72" s="64">
        <v>23.44</v>
      </c>
      <c r="H72" s="64">
        <v>7.17</v>
      </c>
      <c r="I72" s="64">
        <v>1.47</v>
      </c>
      <c r="J72" s="64">
        <v>0.65</v>
      </c>
      <c r="K72" s="64">
        <v>90.68</v>
      </c>
      <c r="L72" s="64">
        <v>16.87</v>
      </c>
      <c r="M72" s="64">
        <v>98.15</v>
      </c>
      <c r="N72" s="64">
        <v>47.6</v>
      </c>
      <c r="O72" s="64">
        <v>0</v>
      </c>
      <c r="P72" s="64">
        <v>0.33</v>
      </c>
      <c r="Q72" s="64">
        <v>5.43</v>
      </c>
      <c r="R72" s="198"/>
      <c r="S72" s="198"/>
      <c r="T72" s="198"/>
      <c r="U72" s="198"/>
    </row>
    <row r="73" spans="1:21" s="12" customFormat="1" x14ac:dyDescent="0.25">
      <c r="A73" s="214" t="s">
        <v>792</v>
      </c>
      <c r="B73" s="64">
        <v>14.52</v>
      </c>
      <c r="C73" s="64">
        <v>43.35</v>
      </c>
      <c r="D73" s="64">
        <v>36.21</v>
      </c>
      <c r="E73" s="64">
        <v>2.2200000000000002</v>
      </c>
      <c r="F73" s="64">
        <v>4.6900000000000004</v>
      </c>
      <c r="G73" s="64">
        <v>23.44</v>
      </c>
      <c r="H73" s="64">
        <v>7.17</v>
      </c>
      <c r="I73" s="64">
        <v>1.54</v>
      </c>
      <c r="J73" s="64">
        <v>0.27</v>
      </c>
      <c r="K73" s="64">
        <v>92.08</v>
      </c>
      <c r="L73" s="64">
        <v>16.84</v>
      </c>
      <c r="M73" s="64">
        <v>98.17</v>
      </c>
      <c r="N73" s="64">
        <v>43.9</v>
      </c>
      <c r="O73" s="64">
        <v>0</v>
      </c>
      <c r="P73" s="64">
        <v>0.47</v>
      </c>
      <c r="Q73" s="64">
        <v>4.9000000000000004</v>
      </c>
      <c r="R73" s="198"/>
      <c r="S73" s="198"/>
      <c r="T73" s="198"/>
      <c r="U73" s="198"/>
    </row>
    <row r="74" spans="1:21" s="12" customFormat="1" x14ac:dyDescent="0.25">
      <c r="A74" s="214" t="s">
        <v>793</v>
      </c>
      <c r="B74" s="64">
        <v>15.2</v>
      </c>
      <c r="C74" s="64">
        <v>43.33</v>
      </c>
      <c r="D74" s="64">
        <v>36.75</v>
      </c>
      <c r="E74" s="64">
        <v>2.2000000000000002</v>
      </c>
      <c r="F74" s="64">
        <v>5.08</v>
      </c>
      <c r="G74" s="64">
        <v>23.44</v>
      </c>
      <c r="H74" s="64">
        <v>7.17</v>
      </c>
      <c r="I74" s="64">
        <v>1.44</v>
      </c>
      <c r="J74" s="64">
        <v>0.47</v>
      </c>
      <c r="K74" s="64">
        <v>91.05</v>
      </c>
      <c r="L74" s="64">
        <v>16.63</v>
      </c>
      <c r="M74" s="64">
        <v>98.18</v>
      </c>
      <c r="N74" s="64">
        <v>48.2</v>
      </c>
      <c r="O74" s="64">
        <v>0</v>
      </c>
      <c r="P74" s="64">
        <v>0.41</v>
      </c>
      <c r="Q74" s="64">
        <v>5.09</v>
      </c>
      <c r="R74" s="198"/>
      <c r="S74" s="198"/>
      <c r="T74" s="198"/>
      <c r="U74" s="198"/>
    </row>
    <row r="75" spans="1:21" s="12" customFormat="1" x14ac:dyDescent="0.25">
      <c r="A75" s="214" t="s">
        <v>794</v>
      </c>
      <c r="B75" s="64">
        <v>15.75</v>
      </c>
      <c r="C75" s="64">
        <v>43.28</v>
      </c>
      <c r="D75" s="64">
        <v>37.159999999999997</v>
      </c>
      <c r="E75" s="64">
        <v>2.17</v>
      </c>
      <c r="F75" s="64">
        <v>5.15</v>
      </c>
      <c r="G75" s="64">
        <v>22.21</v>
      </c>
      <c r="H75" s="64">
        <v>7.6</v>
      </c>
      <c r="I75" s="64">
        <v>1.51</v>
      </c>
      <c r="J75" s="64">
        <v>0.17</v>
      </c>
      <c r="K75" s="64">
        <v>11.39</v>
      </c>
      <c r="L75" s="64">
        <v>16.68</v>
      </c>
      <c r="M75" s="64">
        <v>98.18</v>
      </c>
      <c r="N75" s="64">
        <v>41.8</v>
      </c>
      <c r="O75" s="64">
        <v>0</v>
      </c>
      <c r="P75" s="64">
        <v>0.44</v>
      </c>
      <c r="Q75" s="64">
        <v>4.96</v>
      </c>
      <c r="R75" s="198"/>
      <c r="S75" s="198"/>
      <c r="T75" s="198"/>
      <c r="U75" s="198"/>
    </row>
    <row r="76" spans="1:21" s="12" customFormat="1" x14ac:dyDescent="0.25">
      <c r="A76" s="214" t="s">
        <v>795</v>
      </c>
      <c r="B76" s="64">
        <v>16.48</v>
      </c>
      <c r="C76" s="64">
        <v>43.82</v>
      </c>
      <c r="D76" s="64">
        <v>38.04</v>
      </c>
      <c r="E76" s="64">
        <v>2.16</v>
      </c>
      <c r="F76" s="64">
        <v>5.08</v>
      </c>
      <c r="G76" s="64">
        <v>17.61</v>
      </c>
      <c r="H76" s="64">
        <v>9.52</v>
      </c>
      <c r="I76" s="64">
        <v>1.52</v>
      </c>
      <c r="J76" s="64">
        <v>0.32</v>
      </c>
      <c r="K76" s="64">
        <v>86.75</v>
      </c>
      <c r="L76" s="64">
        <v>16.61</v>
      </c>
      <c r="M76" s="64">
        <v>98.18</v>
      </c>
      <c r="N76" s="64">
        <v>31.1</v>
      </c>
      <c r="O76" s="64">
        <v>0</v>
      </c>
      <c r="P76" s="64">
        <v>0.43</v>
      </c>
      <c r="Q76" s="64">
        <v>5.15</v>
      </c>
      <c r="R76" s="198"/>
      <c r="S76" s="198"/>
      <c r="T76" s="198"/>
      <c r="U76" s="198"/>
    </row>
    <row r="77" spans="1:21" s="12" customFormat="1" x14ac:dyDescent="0.25">
      <c r="A77" s="214" t="s">
        <v>796</v>
      </c>
      <c r="B77" s="64">
        <v>17.21</v>
      </c>
      <c r="C77" s="64">
        <v>42.95</v>
      </c>
      <c r="D77" s="64">
        <v>38.15</v>
      </c>
      <c r="E77" s="64">
        <v>2.2200000000000002</v>
      </c>
      <c r="F77" s="64">
        <v>4.83</v>
      </c>
      <c r="G77" s="64">
        <v>17.61</v>
      </c>
      <c r="H77" s="64">
        <v>9.52</v>
      </c>
      <c r="I77" s="64">
        <v>1.42</v>
      </c>
      <c r="J77" s="64">
        <v>0.27</v>
      </c>
      <c r="K77" s="64">
        <v>75.33</v>
      </c>
      <c r="L77" s="64">
        <v>16.52</v>
      </c>
      <c r="M77" s="64">
        <v>98.18</v>
      </c>
      <c r="N77" s="64">
        <v>26.1</v>
      </c>
      <c r="O77" s="64">
        <v>0</v>
      </c>
      <c r="P77" s="64">
        <v>0.5</v>
      </c>
      <c r="Q77" s="64">
        <v>4.8</v>
      </c>
      <c r="R77" s="198"/>
      <c r="S77" s="198"/>
      <c r="T77" s="198"/>
      <c r="U77" s="198"/>
    </row>
    <row r="78" spans="1:21" s="12" customFormat="1" x14ac:dyDescent="0.25">
      <c r="A78" s="214" t="s">
        <v>797</v>
      </c>
      <c r="B78" s="64">
        <v>18.09</v>
      </c>
      <c r="C78" s="64">
        <v>42.83</v>
      </c>
      <c r="D78" s="64">
        <v>38.79</v>
      </c>
      <c r="E78" s="64">
        <v>2.21</v>
      </c>
      <c r="F78" s="64">
        <v>4.4400000000000004</v>
      </c>
      <c r="G78" s="64">
        <v>17.61</v>
      </c>
      <c r="H78" s="64">
        <v>9.52</v>
      </c>
      <c r="I78" s="64">
        <v>1.52</v>
      </c>
      <c r="J78" s="64">
        <v>0.37</v>
      </c>
      <c r="K78" s="64">
        <v>83.06</v>
      </c>
      <c r="L78" s="64">
        <v>16.5</v>
      </c>
      <c r="M78" s="64">
        <v>98.18</v>
      </c>
      <c r="N78" s="64">
        <v>24</v>
      </c>
      <c r="O78" s="64">
        <v>0</v>
      </c>
      <c r="P78" s="64">
        <v>0.47</v>
      </c>
      <c r="Q78" s="64">
        <v>5.0199999999999996</v>
      </c>
      <c r="R78" s="198"/>
      <c r="S78" s="198"/>
      <c r="T78" s="198"/>
      <c r="U78" s="198"/>
    </row>
    <row r="79" spans="1:21" s="12" customFormat="1" x14ac:dyDescent="0.25">
      <c r="A79" s="214" t="s">
        <v>798</v>
      </c>
      <c r="B79" s="64">
        <v>19.18</v>
      </c>
      <c r="C79" s="64">
        <v>42.59</v>
      </c>
      <c r="D79" s="64">
        <v>39.53</v>
      </c>
      <c r="E79" s="64">
        <v>2.2000000000000002</v>
      </c>
      <c r="F79" s="64">
        <v>4.28</v>
      </c>
      <c r="G79" s="64">
        <v>17.13</v>
      </c>
      <c r="H79" s="64">
        <v>9.98</v>
      </c>
      <c r="I79" s="64">
        <v>1.62</v>
      </c>
      <c r="J79" s="64">
        <v>0.26</v>
      </c>
      <c r="K79" s="64">
        <v>70.25</v>
      </c>
      <c r="L79" s="64">
        <v>16.46</v>
      </c>
      <c r="M79" s="64">
        <v>98.18</v>
      </c>
      <c r="N79" s="64">
        <v>24.2</v>
      </c>
      <c r="O79" s="64">
        <v>0</v>
      </c>
      <c r="P79" s="64">
        <v>0.51</v>
      </c>
      <c r="Q79" s="64">
        <v>4.57</v>
      </c>
      <c r="R79" s="198"/>
      <c r="S79" s="198"/>
      <c r="T79" s="198"/>
      <c r="U79" s="198"/>
    </row>
    <row r="80" spans="1:21" s="12" customFormat="1" x14ac:dyDescent="0.25">
      <c r="A80" s="214" t="s">
        <v>799</v>
      </c>
      <c r="B80" s="64">
        <v>19.78</v>
      </c>
      <c r="C80" s="64">
        <v>42.75</v>
      </c>
      <c r="D80" s="64">
        <v>40.1</v>
      </c>
      <c r="E80" s="64">
        <v>2.2200000000000002</v>
      </c>
      <c r="F80" s="64">
        <v>4.6100000000000003</v>
      </c>
      <c r="G80" s="64">
        <v>15.33</v>
      </c>
      <c r="H80" s="64">
        <v>11.23</v>
      </c>
      <c r="I80" s="64">
        <v>1.5</v>
      </c>
      <c r="J80" s="64">
        <v>0.24</v>
      </c>
      <c r="K80" s="64">
        <v>32.700000000000003</v>
      </c>
      <c r="L80" s="64">
        <v>16.350000000000001</v>
      </c>
      <c r="M80" s="64">
        <v>98.18</v>
      </c>
      <c r="N80" s="64">
        <v>24.1</v>
      </c>
      <c r="O80" s="64">
        <v>0.2</v>
      </c>
      <c r="P80" s="64">
        <v>0.51</v>
      </c>
      <c r="Q80" s="64">
        <v>5.57</v>
      </c>
      <c r="R80" s="198"/>
      <c r="S80" s="198"/>
      <c r="T80" s="198"/>
      <c r="U80" s="198"/>
    </row>
    <row r="81" spans="1:26" s="12" customFormat="1" x14ac:dyDescent="0.25">
      <c r="A81" s="214" t="s">
        <v>800</v>
      </c>
      <c r="B81" s="64">
        <v>20.59</v>
      </c>
      <c r="C81" s="64">
        <v>42.49</v>
      </c>
      <c r="D81" s="64">
        <v>40.61</v>
      </c>
      <c r="E81" s="64">
        <v>2.2400000000000002</v>
      </c>
      <c r="F81" s="64">
        <v>4.5999999999999996</v>
      </c>
      <c r="G81" s="64">
        <v>15.33</v>
      </c>
      <c r="H81" s="64">
        <v>11.23</v>
      </c>
      <c r="I81" s="64">
        <v>1.4</v>
      </c>
      <c r="J81" s="64">
        <v>0.33</v>
      </c>
      <c r="K81" s="64">
        <v>83.44</v>
      </c>
      <c r="L81" s="64">
        <v>16.190000000000001</v>
      </c>
      <c r="M81" s="64">
        <v>98.18</v>
      </c>
      <c r="N81" s="64">
        <v>24.4</v>
      </c>
      <c r="O81" s="64">
        <v>0</v>
      </c>
      <c r="P81" s="64">
        <v>0.54</v>
      </c>
      <c r="Q81" s="64">
        <v>5.09</v>
      </c>
      <c r="R81" s="198"/>
      <c r="S81" s="198"/>
      <c r="T81" s="198"/>
      <c r="U81" s="198"/>
    </row>
    <row r="82" spans="1:26" s="12" customFormat="1" x14ac:dyDescent="0.25">
      <c r="A82" s="214" t="s">
        <v>801</v>
      </c>
      <c r="B82" s="64">
        <v>20.86</v>
      </c>
      <c r="C82" s="64">
        <v>42.48</v>
      </c>
      <c r="D82" s="64">
        <v>40.82</v>
      </c>
      <c r="E82" s="64">
        <v>2.21</v>
      </c>
      <c r="F82" s="64">
        <v>4.97</v>
      </c>
      <c r="G82" s="64">
        <v>15.33</v>
      </c>
      <c r="H82" s="64">
        <v>11.23</v>
      </c>
      <c r="I82" s="64">
        <v>1.51</v>
      </c>
      <c r="J82" s="64">
        <v>0.21</v>
      </c>
      <c r="K82" s="64">
        <v>70.69</v>
      </c>
      <c r="L82" s="64">
        <v>16.12</v>
      </c>
      <c r="M82" s="64">
        <v>98.2</v>
      </c>
      <c r="N82" s="64">
        <v>24.4</v>
      </c>
      <c r="O82" s="64">
        <v>0</v>
      </c>
      <c r="P82" s="64">
        <v>0.44</v>
      </c>
      <c r="Q82" s="64">
        <v>6.1</v>
      </c>
      <c r="R82" s="198"/>
      <c r="S82" s="198"/>
      <c r="T82" s="198"/>
      <c r="U82" s="198"/>
    </row>
    <row r="83" spans="1:26" s="12" customFormat="1" x14ac:dyDescent="0.25">
      <c r="A83" s="214" t="s">
        <v>802</v>
      </c>
      <c r="B83" s="64">
        <v>20.83</v>
      </c>
      <c r="C83" s="64">
        <v>42.63</v>
      </c>
      <c r="D83" s="64">
        <v>40.869999999999997</v>
      </c>
      <c r="E83" s="64">
        <v>2.2200000000000002</v>
      </c>
      <c r="F83" s="64">
        <v>4.71</v>
      </c>
      <c r="G83" s="64">
        <v>15.19</v>
      </c>
      <c r="H83" s="64">
        <v>11.16</v>
      </c>
      <c r="I83" s="64">
        <v>1.52</v>
      </c>
      <c r="J83" s="64">
        <v>0.25</v>
      </c>
      <c r="K83" s="64">
        <v>97.18</v>
      </c>
      <c r="L83" s="64">
        <v>16.12</v>
      </c>
      <c r="M83" s="64">
        <v>98.2</v>
      </c>
      <c r="N83" s="64">
        <v>24.2</v>
      </c>
      <c r="O83" s="64">
        <v>0</v>
      </c>
      <c r="P83" s="64">
        <v>0.53</v>
      </c>
      <c r="Q83" s="64">
        <v>6.08</v>
      </c>
      <c r="R83" s="198"/>
      <c r="S83" s="198"/>
      <c r="T83" s="198"/>
      <c r="U83" s="198"/>
    </row>
    <row r="84" spans="1:26" s="12" customFormat="1" x14ac:dyDescent="0.25">
      <c r="A84" s="214" t="s">
        <v>803</v>
      </c>
      <c r="B84" s="64">
        <v>21.13</v>
      </c>
      <c r="C84" s="64">
        <v>42.41</v>
      </c>
      <c r="D84" s="64">
        <v>41</v>
      </c>
      <c r="E84" s="64">
        <v>2.23</v>
      </c>
      <c r="F84" s="64">
        <v>4.6500000000000004</v>
      </c>
      <c r="G84" s="64">
        <v>14.61</v>
      </c>
      <c r="H84" s="64">
        <v>10.98</v>
      </c>
      <c r="I84" s="64">
        <v>1.5</v>
      </c>
      <c r="J84" s="64">
        <v>0.4</v>
      </c>
      <c r="K84" s="64">
        <v>97.67</v>
      </c>
      <c r="L84" s="64">
        <v>16.12</v>
      </c>
      <c r="M84" s="64">
        <v>98.21</v>
      </c>
      <c r="N84" s="64">
        <v>24.3</v>
      </c>
      <c r="O84" s="64">
        <v>0</v>
      </c>
      <c r="P84" s="64">
        <v>0.59</v>
      </c>
      <c r="Q84" s="64">
        <v>6.35</v>
      </c>
      <c r="R84" s="198"/>
      <c r="S84" s="198"/>
      <c r="T84" s="198"/>
      <c r="U84" s="198"/>
    </row>
    <row r="85" spans="1:26" s="12" customFormat="1" x14ac:dyDescent="0.25">
      <c r="A85" s="214" t="s">
        <v>804</v>
      </c>
      <c r="B85" s="64">
        <v>21.37</v>
      </c>
      <c r="C85" s="64">
        <v>42.24</v>
      </c>
      <c r="D85" s="64">
        <v>41.09</v>
      </c>
      <c r="E85" s="64">
        <v>2.2999999999999998</v>
      </c>
      <c r="F85" s="64">
        <v>4.38</v>
      </c>
      <c r="G85" s="64">
        <v>14.61</v>
      </c>
      <c r="H85" s="64">
        <v>10.98</v>
      </c>
      <c r="I85" s="64">
        <v>1.53</v>
      </c>
      <c r="J85" s="64">
        <v>0.64</v>
      </c>
      <c r="K85" s="64">
        <v>105.1</v>
      </c>
      <c r="L85" s="64">
        <v>16.14</v>
      </c>
      <c r="M85" s="64">
        <v>98.23</v>
      </c>
      <c r="N85" s="64">
        <v>24.3</v>
      </c>
      <c r="O85" s="64">
        <v>0</v>
      </c>
      <c r="P85" s="64">
        <v>0.6</v>
      </c>
      <c r="Q85" s="64">
        <v>5.95</v>
      </c>
      <c r="R85" s="198"/>
      <c r="S85" s="198"/>
      <c r="T85" s="198"/>
      <c r="U85" s="198"/>
    </row>
    <row r="86" spans="1:26" s="12" customFormat="1" x14ac:dyDescent="0.25">
      <c r="A86" s="214" t="s">
        <v>805</v>
      </c>
      <c r="B86" s="64">
        <v>21.52</v>
      </c>
      <c r="C86" s="64">
        <v>41.92</v>
      </c>
      <c r="D86" s="64">
        <v>41.04</v>
      </c>
      <c r="E86" s="64">
        <v>2.25</v>
      </c>
      <c r="F86" s="64">
        <v>4.7300000000000004</v>
      </c>
      <c r="G86" s="64">
        <v>14.61</v>
      </c>
      <c r="H86" s="64">
        <v>10.98</v>
      </c>
      <c r="I86" s="64">
        <v>1.4</v>
      </c>
      <c r="J86" s="64">
        <v>0.48</v>
      </c>
      <c r="K86" s="64">
        <v>96.26</v>
      </c>
      <c r="L86" s="64">
        <v>16.14</v>
      </c>
      <c r="M86" s="64">
        <v>98.23</v>
      </c>
      <c r="N86" s="64">
        <v>24.5</v>
      </c>
      <c r="O86" s="64">
        <v>0.4</v>
      </c>
      <c r="P86" s="64">
        <v>0.5</v>
      </c>
      <c r="Q86" s="64">
        <v>6.7</v>
      </c>
      <c r="R86" s="198"/>
      <c r="S86" s="198"/>
      <c r="T86" s="198"/>
      <c r="U86" s="198"/>
    </row>
    <row r="87" spans="1:26" s="12" customFormat="1" x14ac:dyDescent="0.25">
      <c r="A87" s="214" t="s">
        <v>806</v>
      </c>
      <c r="B87" s="64">
        <v>21.6</v>
      </c>
      <c r="C87" s="64">
        <v>41.82</v>
      </c>
      <c r="D87" s="64">
        <v>41.05</v>
      </c>
      <c r="E87" s="64">
        <v>2.2400000000000002</v>
      </c>
      <c r="F87" s="64">
        <v>4.7699999999999996</v>
      </c>
      <c r="G87" s="64">
        <v>14.14</v>
      </c>
      <c r="H87" s="64">
        <v>10.42</v>
      </c>
      <c r="I87" s="64">
        <v>1.52</v>
      </c>
      <c r="J87" s="64">
        <v>0.42</v>
      </c>
      <c r="K87" s="64">
        <v>86.28</v>
      </c>
      <c r="L87" s="64">
        <v>16.059999999999999</v>
      </c>
      <c r="M87" s="64">
        <v>98.23</v>
      </c>
      <c r="N87" s="64">
        <v>24.5</v>
      </c>
      <c r="O87" s="64">
        <v>0</v>
      </c>
      <c r="P87" s="64">
        <v>0.47</v>
      </c>
      <c r="Q87" s="64">
        <v>6.56</v>
      </c>
      <c r="R87" s="198"/>
      <c r="S87" s="198"/>
      <c r="T87" s="198"/>
      <c r="U87" s="198"/>
    </row>
    <row r="88" spans="1:26" s="12" customFormat="1" x14ac:dyDescent="0.25">
      <c r="A88" s="214" t="s">
        <v>807</v>
      </c>
      <c r="B88" s="64">
        <v>21.66</v>
      </c>
      <c r="C88" s="64">
        <v>41.95</v>
      </c>
      <c r="D88" s="64">
        <v>41.17</v>
      </c>
      <c r="E88" s="64">
        <v>2.12</v>
      </c>
      <c r="F88" s="64">
        <v>5.13</v>
      </c>
      <c r="G88" s="64">
        <v>12.36</v>
      </c>
      <c r="H88" s="64">
        <v>8.9</v>
      </c>
      <c r="I88" s="64">
        <v>1.43</v>
      </c>
      <c r="J88" s="64">
        <v>0.32</v>
      </c>
      <c r="K88" s="64">
        <v>91.53</v>
      </c>
      <c r="L88" s="64">
        <v>16.04</v>
      </c>
      <c r="M88" s="64">
        <v>98.23</v>
      </c>
      <c r="N88" s="64">
        <v>24.5</v>
      </c>
      <c r="O88" s="64">
        <v>0</v>
      </c>
      <c r="P88" s="64">
        <v>0.46</v>
      </c>
      <c r="Q88" s="64">
        <v>7.02</v>
      </c>
      <c r="R88" s="198"/>
      <c r="S88" s="198"/>
      <c r="T88" s="198"/>
      <c r="U88" s="198"/>
    </row>
    <row r="89" spans="1:26" s="12" customFormat="1" x14ac:dyDescent="0.25">
      <c r="A89" s="214" t="s">
        <v>808</v>
      </c>
      <c r="B89" s="64">
        <v>21.56</v>
      </c>
      <c r="C89" s="64">
        <v>41.55</v>
      </c>
      <c r="D89" s="64">
        <v>40.869999999999997</v>
      </c>
      <c r="E89" s="64">
        <v>2.2200000000000002</v>
      </c>
      <c r="F89" s="64">
        <v>4.78</v>
      </c>
      <c r="G89" s="64">
        <v>12.36</v>
      </c>
      <c r="H89" s="64">
        <v>8.9</v>
      </c>
      <c r="I89" s="64">
        <v>1.55</v>
      </c>
      <c r="J89" s="64">
        <v>0.45</v>
      </c>
      <c r="K89" s="64">
        <v>101.07</v>
      </c>
      <c r="L89" s="64">
        <v>16.11</v>
      </c>
      <c r="M89" s="64">
        <v>98.23</v>
      </c>
      <c r="N89" s="64">
        <v>24.5</v>
      </c>
      <c r="O89" s="64">
        <v>0</v>
      </c>
      <c r="P89" s="64">
        <v>0.49</v>
      </c>
      <c r="Q89" s="64">
        <v>7.02</v>
      </c>
      <c r="R89" s="198"/>
      <c r="S89" s="198"/>
      <c r="T89" s="198"/>
      <c r="U89" s="198"/>
    </row>
    <row r="90" spans="1:26" s="12" customFormat="1" x14ac:dyDescent="0.25">
      <c r="A90" s="214" t="s">
        <v>809</v>
      </c>
      <c r="B90" s="64">
        <v>21.52</v>
      </c>
      <c r="C90" s="64">
        <v>41.44</v>
      </c>
      <c r="D90" s="64">
        <v>40.78</v>
      </c>
      <c r="E90" s="64">
        <v>2.2400000000000002</v>
      </c>
      <c r="F90" s="64">
        <v>4.91</v>
      </c>
      <c r="G90" s="64">
        <v>12.36</v>
      </c>
      <c r="H90" s="64">
        <v>8.9</v>
      </c>
      <c r="I90" s="64">
        <v>1.5</v>
      </c>
      <c r="J90" s="64">
        <v>0.09</v>
      </c>
      <c r="K90" s="64">
        <v>44.06</v>
      </c>
      <c r="L90" s="64">
        <v>16.11</v>
      </c>
      <c r="M90" s="64">
        <v>98.23</v>
      </c>
      <c r="N90" s="64">
        <v>24.5</v>
      </c>
      <c r="O90" s="64">
        <v>0.2</v>
      </c>
      <c r="P90" s="64">
        <v>0.48</v>
      </c>
      <c r="Q90" s="64">
        <v>6.99</v>
      </c>
      <c r="R90" s="198"/>
      <c r="S90" s="198"/>
      <c r="T90" s="198"/>
      <c r="U90" s="198"/>
    </row>
    <row r="91" spans="1:26" s="12" customFormat="1" x14ac:dyDescent="0.25">
      <c r="A91" s="214" t="s">
        <v>810</v>
      </c>
      <c r="B91" s="64">
        <v>21.4</v>
      </c>
      <c r="C91" s="64">
        <v>41.35</v>
      </c>
      <c r="D91" s="64">
        <v>40.630000000000003</v>
      </c>
      <c r="E91" s="64">
        <v>2.23</v>
      </c>
      <c r="F91" s="64">
        <v>4.9400000000000004</v>
      </c>
      <c r="G91" s="64">
        <v>12.98</v>
      </c>
      <c r="H91" s="64">
        <v>9.01</v>
      </c>
      <c r="I91" s="64">
        <v>1.48</v>
      </c>
      <c r="J91" s="64">
        <v>0.88</v>
      </c>
      <c r="K91" s="64">
        <v>101.31</v>
      </c>
      <c r="L91" s="64">
        <v>16.079999999999998</v>
      </c>
      <c r="M91" s="64">
        <v>98.23</v>
      </c>
      <c r="N91" s="64">
        <v>24.6</v>
      </c>
      <c r="O91" s="64">
        <v>0.2</v>
      </c>
      <c r="P91" s="64">
        <v>0.44</v>
      </c>
      <c r="Q91" s="64">
        <v>6.96</v>
      </c>
      <c r="R91" s="198"/>
      <c r="S91" s="198"/>
      <c r="T91" s="198"/>
      <c r="U91" s="198"/>
    </row>
    <row r="92" spans="1:26" s="12" customFormat="1" x14ac:dyDescent="0.25">
      <c r="A92" s="214" t="s">
        <v>811</v>
      </c>
      <c r="B92" s="64">
        <v>21.31</v>
      </c>
      <c r="C92" s="64">
        <v>41.46</v>
      </c>
      <c r="D92" s="64">
        <v>40.61</v>
      </c>
      <c r="E92" s="64">
        <v>2.19</v>
      </c>
      <c r="F92" s="64">
        <v>5.01</v>
      </c>
      <c r="G92" s="64">
        <v>15.29</v>
      </c>
      <c r="H92" s="64">
        <v>9.52</v>
      </c>
      <c r="I92" s="64">
        <v>1.48</v>
      </c>
      <c r="J92" s="64">
        <v>0.7</v>
      </c>
      <c r="K92" s="64">
        <v>105.27</v>
      </c>
      <c r="L92" s="64">
        <v>16.03</v>
      </c>
      <c r="M92" s="64">
        <v>98.23</v>
      </c>
      <c r="N92" s="64">
        <v>24.5</v>
      </c>
      <c r="O92" s="64">
        <v>0.8</v>
      </c>
      <c r="P92" s="64">
        <v>0.39</v>
      </c>
      <c r="Q92" s="64">
        <v>6.82</v>
      </c>
      <c r="R92" s="198"/>
      <c r="S92" s="198"/>
      <c r="T92" s="198"/>
      <c r="U92" s="198"/>
    </row>
    <row r="93" spans="1:26" s="12" customFormat="1" x14ac:dyDescent="0.25">
      <c r="A93" s="214" t="s">
        <v>812</v>
      </c>
      <c r="B93" s="64">
        <v>21.25</v>
      </c>
      <c r="C93" s="64">
        <v>41</v>
      </c>
      <c r="D93" s="64">
        <v>40.32</v>
      </c>
      <c r="E93" s="64">
        <v>2.2200000000000002</v>
      </c>
      <c r="F93" s="64">
        <v>5.03</v>
      </c>
      <c r="G93" s="64">
        <v>15.29</v>
      </c>
      <c r="H93" s="64">
        <v>9.52</v>
      </c>
      <c r="I93" s="64">
        <v>1.54</v>
      </c>
      <c r="J93" s="64">
        <v>0.35</v>
      </c>
      <c r="K93" s="64">
        <v>103.77</v>
      </c>
      <c r="L93" s="64">
        <v>16</v>
      </c>
      <c r="M93" s="64">
        <v>98.23</v>
      </c>
      <c r="N93" s="64">
        <v>24.5</v>
      </c>
      <c r="O93" s="64">
        <v>0.4</v>
      </c>
      <c r="P93" s="64">
        <v>0.38</v>
      </c>
      <c r="Q93" s="64">
        <v>6.73</v>
      </c>
      <c r="R93" s="198"/>
      <c r="S93" s="198"/>
      <c r="T93" s="198"/>
      <c r="U93" s="198"/>
    </row>
    <row r="94" spans="1:26" s="12" customFormat="1" x14ac:dyDescent="0.25">
      <c r="A94" s="214" t="s">
        <v>813</v>
      </c>
      <c r="B94" s="64">
        <v>21.32</v>
      </c>
      <c r="C94" s="64">
        <v>40.68</v>
      </c>
      <c r="D94" s="64">
        <v>40.200000000000003</v>
      </c>
      <c r="E94" s="64">
        <v>2.23</v>
      </c>
      <c r="F94" s="64">
        <v>5.04</v>
      </c>
      <c r="G94" s="64">
        <v>15.29</v>
      </c>
      <c r="H94" s="64">
        <v>9.52</v>
      </c>
      <c r="I94" s="64">
        <v>1.51</v>
      </c>
      <c r="J94" s="64">
        <v>0.34</v>
      </c>
      <c r="K94" s="64">
        <v>83.68</v>
      </c>
      <c r="L94" s="64">
        <v>15.99</v>
      </c>
      <c r="M94" s="64">
        <v>98.23</v>
      </c>
      <c r="N94" s="64">
        <v>24.7</v>
      </c>
      <c r="O94" s="64">
        <v>0</v>
      </c>
      <c r="P94" s="64">
        <v>0.38</v>
      </c>
      <c r="Q94" s="64">
        <v>6.89</v>
      </c>
      <c r="R94" s="198"/>
      <c r="S94" s="198"/>
      <c r="T94" s="198"/>
      <c r="U94" s="198"/>
    </row>
    <row r="95" spans="1:26" s="12" customFormat="1" x14ac:dyDescent="0.25">
      <c r="A95" s="214" t="s">
        <v>814</v>
      </c>
      <c r="B95" s="64">
        <v>21.2</v>
      </c>
      <c r="C95" s="64">
        <v>40.93</v>
      </c>
      <c r="D95" s="64">
        <v>40.229999999999997</v>
      </c>
      <c r="E95" s="64">
        <v>2.23</v>
      </c>
      <c r="F95" s="64">
        <v>4.92</v>
      </c>
      <c r="G95" s="64">
        <v>14.97</v>
      </c>
      <c r="H95" s="64">
        <v>8.89</v>
      </c>
      <c r="I95" s="64">
        <v>1.53</v>
      </c>
      <c r="J95" s="64">
        <v>0.78</v>
      </c>
      <c r="K95" s="64">
        <v>105.78</v>
      </c>
      <c r="L95" s="64">
        <v>16</v>
      </c>
      <c r="M95" s="64">
        <v>98.22</v>
      </c>
      <c r="N95" s="64">
        <v>24.6</v>
      </c>
      <c r="O95" s="64">
        <v>0</v>
      </c>
      <c r="P95" s="64">
        <v>0.36</v>
      </c>
      <c r="Q95" s="64">
        <v>6.94</v>
      </c>
      <c r="R95" s="198"/>
      <c r="S95" s="198"/>
      <c r="T95" s="198"/>
      <c r="U95" s="198"/>
    </row>
    <row r="96" spans="1:26" s="12" customFormat="1" x14ac:dyDescent="0.25">
      <c r="A96" s="214" t="s">
        <v>815</v>
      </c>
      <c r="B96" s="64">
        <v>20.95</v>
      </c>
      <c r="C96" s="64">
        <v>40.42</v>
      </c>
      <c r="D96" s="64">
        <v>39.75</v>
      </c>
      <c r="E96" s="64">
        <v>2.2000000000000002</v>
      </c>
      <c r="F96" s="64">
        <v>4.87</v>
      </c>
      <c r="G96" s="64">
        <v>13.68</v>
      </c>
      <c r="H96" s="64">
        <v>7.17</v>
      </c>
      <c r="I96" s="64">
        <v>1.5</v>
      </c>
      <c r="J96" s="64">
        <v>0.7</v>
      </c>
      <c r="K96" s="64">
        <v>91.14</v>
      </c>
      <c r="L96" s="64">
        <v>16.010000000000002</v>
      </c>
      <c r="M96" s="64">
        <v>98.21</v>
      </c>
      <c r="N96" s="64">
        <v>24.6</v>
      </c>
      <c r="O96" s="64">
        <v>0.2</v>
      </c>
      <c r="P96" s="64">
        <v>0.33</v>
      </c>
      <c r="Q96" s="64">
        <v>7.41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816</v>
      </c>
      <c r="B97" s="64">
        <v>20.29</v>
      </c>
      <c r="C97" s="64">
        <v>38.31</v>
      </c>
      <c r="D97" s="64">
        <v>38.06</v>
      </c>
      <c r="E97" s="64">
        <v>2.2000000000000002</v>
      </c>
      <c r="F97" s="64">
        <v>4.82</v>
      </c>
      <c r="G97" s="64">
        <v>13.68</v>
      </c>
      <c r="H97" s="64">
        <v>7.17</v>
      </c>
      <c r="I97" s="64">
        <v>1.53</v>
      </c>
      <c r="J97" s="64">
        <v>1.3</v>
      </c>
      <c r="K97" s="64">
        <v>106.76</v>
      </c>
      <c r="L97" s="64">
        <v>16</v>
      </c>
      <c r="M97" s="64">
        <v>98.2</v>
      </c>
      <c r="N97" s="64">
        <v>24.6</v>
      </c>
      <c r="O97" s="64">
        <v>0.2</v>
      </c>
      <c r="P97" s="64">
        <v>0.33</v>
      </c>
      <c r="Q97" s="64">
        <v>7.09</v>
      </c>
      <c r="R97" s="198"/>
      <c r="S97" s="198"/>
      <c r="T97" s="198"/>
      <c r="U97" s="198"/>
    </row>
    <row r="98" spans="1:33" s="12" customFormat="1" x14ac:dyDescent="0.25">
      <c r="A98" s="214" t="s">
        <v>817</v>
      </c>
      <c r="B98" s="64">
        <v>19.510000000000002</v>
      </c>
      <c r="C98" s="64">
        <v>38.54</v>
      </c>
      <c r="D98" s="64">
        <v>37.56</v>
      </c>
      <c r="E98" s="64">
        <v>2.16</v>
      </c>
      <c r="F98" s="64">
        <v>4.67</v>
      </c>
      <c r="G98" s="64">
        <v>13.68</v>
      </c>
      <c r="H98" s="64">
        <v>7.17</v>
      </c>
      <c r="I98" s="64">
        <v>1.54</v>
      </c>
      <c r="J98" s="64">
        <v>0.96</v>
      </c>
      <c r="K98" s="64">
        <v>106.75</v>
      </c>
      <c r="L98" s="64">
        <v>15.96</v>
      </c>
      <c r="M98" s="64">
        <v>98.2</v>
      </c>
      <c r="N98" s="64">
        <v>24.6</v>
      </c>
      <c r="O98" s="64">
        <v>0.6</v>
      </c>
      <c r="P98" s="64">
        <v>0.31</v>
      </c>
      <c r="Q98" s="64">
        <v>6.87</v>
      </c>
      <c r="R98" s="198"/>
      <c r="S98" s="198"/>
      <c r="T98" s="198"/>
      <c r="U98" s="198"/>
    </row>
    <row r="99" spans="1:33" s="12" customFormat="1" x14ac:dyDescent="0.25">
      <c r="A99" s="214" t="s">
        <v>818</v>
      </c>
      <c r="B99" s="64">
        <v>18.690000000000001</v>
      </c>
      <c r="C99" s="64">
        <v>38.85</v>
      </c>
      <c r="D99" s="64">
        <v>37.08</v>
      </c>
      <c r="E99" s="64">
        <v>2.19</v>
      </c>
      <c r="F99" s="64">
        <v>4.71</v>
      </c>
      <c r="G99" s="64">
        <v>13.13</v>
      </c>
      <c r="H99" s="64">
        <v>6.68</v>
      </c>
      <c r="I99" s="64">
        <v>1.55</v>
      </c>
      <c r="J99" s="64">
        <v>0.75</v>
      </c>
      <c r="K99" s="64">
        <v>103.19</v>
      </c>
      <c r="L99" s="64">
        <v>15.92</v>
      </c>
      <c r="M99" s="64">
        <v>98.2</v>
      </c>
      <c r="N99" s="64">
        <v>24.6</v>
      </c>
      <c r="O99" s="64">
        <v>0.2</v>
      </c>
      <c r="P99" s="64">
        <v>0.28999999999999998</v>
      </c>
      <c r="Q99" s="64">
        <v>6.85</v>
      </c>
      <c r="R99" s="198"/>
      <c r="S99" s="198"/>
      <c r="T99" s="198"/>
      <c r="U99" s="198"/>
    </row>
    <row r="100" spans="1:33" s="12" customFormat="1" x14ac:dyDescent="0.25">
      <c r="A100" s="214" t="s">
        <v>819</v>
      </c>
      <c r="B100" s="64">
        <v>18.05</v>
      </c>
      <c r="C100" s="64">
        <v>38.85</v>
      </c>
      <c r="D100" s="64">
        <v>36.56</v>
      </c>
      <c r="E100" s="64">
        <v>2.17</v>
      </c>
      <c r="F100" s="64">
        <v>5.12</v>
      </c>
      <c r="G100" s="64">
        <v>11.07</v>
      </c>
      <c r="H100" s="64">
        <v>5.36</v>
      </c>
      <c r="I100" s="64">
        <v>1.54</v>
      </c>
      <c r="J100" s="64">
        <v>0.99</v>
      </c>
      <c r="K100" s="64">
        <v>95.84</v>
      </c>
      <c r="L100" s="64">
        <v>15.89</v>
      </c>
      <c r="M100" s="64">
        <v>98.2</v>
      </c>
      <c r="N100" s="64">
        <v>24.7</v>
      </c>
      <c r="O100" s="64">
        <v>0.4</v>
      </c>
      <c r="P100" s="64">
        <v>0.3</v>
      </c>
      <c r="Q100" s="64">
        <v>7.04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820</v>
      </c>
      <c r="B101" s="64">
        <v>17.350000000000001</v>
      </c>
      <c r="C101" s="64">
        <v>38.590000000000003</v>
      </c>
      <c r="D101" s="64">
        <v>35.85</v>
      </c>
      <c r="E101" s="64">
        <v>2.2000000000000002</v>
      </c>
      <c r="F101" s="64">
        <v>4.84</v>
      </c>
      <c r="G101" s="64">
        <v>11.07</v>
      </c>
      <c r="H101" s="64">
        <v>5.36</v>
      </c>
      <c r="I101" s="64">
        <v>1.46</v>
      </c>
      <c r="J101" s="64">
        <v>1.05</v>
      </c>
      <c r="K101" s="64">
        <v>100.84</v>
      </c>
      <c r="L101" s="64">
        <v>15.89</v>
      </c>
      <c r="M101" s="64">
        <v>98.2</v>
      </c>
      <c r="N101" s="64">
        <v>24.6</v>
      </c>
      <c r="O101" s="64">
        <v>0.2</v>
      </c>
      <c r="P101" s="64">
        <v>0.28999999999999998</v>
      </c>
      <c r="Q101" s="64">
        <v>6.66</v>
      </c>
      <c r="R101" s="198"/>
      <c r="S101" s="198"/>
      <c r="T101" s="198"/>
      <c r="U101" s="198"/>
    </row>
    <row r="102" spans="1:33" s="12" customFormat="1" x14ac:dyDescent="0.25">
      <c r="A102" s="214" t="s">
        <v>821</v>
      </c>
      <c r="B102" s="64">
        <v>16.64</v>
      </c>
      <c r="C102" s="64">
        <v>38.31</v>
      </c>
      <c r="D102" s="64">
        <v>35.14</v>
      </c>
      <c r="E102" s="64">
        <v>2.14</v>
      </c>
      <c r="F102" s="64">
        <v>4.8099999999999996</v>
      </c>
      <c r="G102" s="64">
        <v>11.07</v>
      </c>
      <c r="H102" s="64">
        <v>5.36</v>
      </c>
      <c r="I102" s="64">
        <v>1.52</v>
      </c>
      <c r="J102" s="64">
        <v>0.7</v>
      </c>
      <c r="K102" s="64">
        <v>105.79</v>
      </c>
      <c r="L102" s="64">
        <v>15.9</v>
      </c>
      <c r="M102" s="64">
        <v>98.2</v>
      </c>
      <c r="N102" s="64">
        <v>24.5</v>
      </c>
      <c r="O102" s="64">
        <v>0.2</v>
      </c>
      <c r="P102" s="64">
        <v>0.28000000000000003</v>
      </c>
      <c r="Q102" s="64">
        <v>6.64</v>
      </c>
      <c r="R102" s="198"/>
      <c r="S102" s="198"/>
      <c r="T102" s="198"/>
      <c r="U102" s="198"/>
    </row>
    <row r="103" spans="1:33" s="12" customFormat="1" x14ac:dyDescent="0.25">
      <c r="A103" s="214" t="s">
        <v>822</v>
      </c>
      <c r="B103" s="64">
        <v>16.12</v>
      </c>
      <c r="C103" s="64">
        <v>37.950000000000003</v>
      </c>
      <c r="D103" s="64">
        <v>34.520000000000003</v>
      </c>
      <c r="E103" s="64">
        <v>2.1</v>
      </c>
      <c r="F103" s="64">
        <v>4.92</v>
      </c>
      <c r="G103" s="64">
        <v>10.48</v>
      </c>
      <c r="H103" s="64">
        <v>6.12</v>
      </c>
      <c r="I103" s="64">
        <v>1.57</v>
      </c>
      <c r="J103" s="64">
        <v>0.6</v>
      </c>
      <c r="K103" s="64">
        <v>94.97</v>
      </c>
      <c r="L103" s="64">
        <v>15.91</v>
      </c>
      <c r="M103" s="64">
        <v>98.2</v>
      </c>
      <c r="N103" s="64">
        <v>24.6</v>
      </c>
      <c r="O103" s="64">
        <v>0.4</v>
      </c>
      <c r="P103" s="64">
        <v>0.28000000000000003</v>
      </c>
      <c r="Q103" s="64">
        <v>6.62</v>
      </c>
      <c r="R103" s="198"/>
      <c r="S103" s="198"/>
      <c r="T103" s="198"/>
      <c r="U103" s="198"/>
    </row>
    <row r="104" spans="1:33" s="12" customFormat="1" x14ac:dyDescent="0.25">
      <c r="A104" s="214" t="s">
        <v>823</v>
      </c>
      <c r="B104" s="64">
        <v>15.66</v>
      </c>
      <c r="C104" s="64">
        <v>37.869999999999997</v>
      </c>
      <c r="D104" s="64">
        <v>34.1</v>
      </c>
      <c r="E104" s="64">
        <v>2.11</v>
      </c>
      <c r="F104" s="64">
        <v>5.19</v>
      </c>
      <c r="G104" s="64">
        <v>8.31</v>
      </c>
      <c r="H104" s="64">
        <v>8.2200000000000006</v>
      </c>
      <c r="I104" s="64">
        <v>1.45</v>
      </c>
      <c r="J104" s="64">
        <v>0.71</v>
      </c>
      <c r="K104" s="64">
        <v>107.11</v>
      </c>
      <c r="L104" s="64">
        <v>15.91</v>
      </c>
      <c r="M104" s="64">
        <v>98.2</v>
      </c>
      <c r="N104" s="64">
        <v>24.6</v>
      </c>
      <c r="O104" s="64">
        <v>0.4</v>
      </c>
      <c r="P104" s="64">
        <v>0.25</v>
      </c>
      <c r="Q104" s="64">
        <v>6.43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9.31</v>
      </c>
      <c r="C106" s="67">
        <f>MIN(C9:C104)</f>
        <v>36.97</v>
      </c>
      <c r="D106" s="67">
        <f t="shared" ref="D106:Q106" si="0">MIN(D9:D104)</f>
        <v>31.1</v>
      </c>
      <c r="E106" s="67">
        <f t="shared" si="0"/>
        <v>2.09</v>
      </c>
      <c r="F106" s="67">
        <f t="shared" si="0"/>
        <v>4.28</v>
      </c>
      <c r="G106" s="67">
        <f t="shared" si="0"/>
        <v>6.93</v>
      </c>
      <c r="H106" s="67">
        <f t="shared" si="0"/>
        <v>3.03</v>
      </c>
      <c r="I106" s="67">
        <f t="shared" si="0"/>
        <v>1.38</v>
      </c>
      <c r="J106" s="67">
        <f t="shared" si="0"/>
        <v>0.09</v>
      </c>
      <c r="K106" s="67">
        <f t="shared" si="0"/>
        <v>5.55</v>
      </c>
      <c r="L106" s="67">
        <f t="shared" si="0"/>
        <v>15.89</v>
      </c>
      <c r="M106" s="67">
        <f t="shared" si="0"/>
        <v>94.5</v>
      </c>
      <c r="N106" s="67">
        <f t="shared" si="0"/>
        <v>24</v>
      </c>
      <c r="O106" s="67">
        <f t="shared" si="0"/>
        <v>0</v>
      </c>
      <c r="P106" s="67">
        <f t="shared" si="0"/>
        <v>0.14000000000000001</v>
      </c>
      <c r="Q106" s="67">
        <f t="shared" si="0"/>
        <v>4.3899999999999997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22.7</v>
      </c>
      <c r="C107" s="66">
        <f t="shared" ref="C107:Q107" si="1">MAX(C9:C104)</f>
        <v>46.37</v>
      </c>
      <c r="D107" s="66">
        <f t="shared" si="1"/>
        <v>41.7</v>
      </c>
      <c r="E107" s="66">
        <f t="shared" si="1"/>
        <v>2.4</v>
      </c>
      <c r="F107" s="66">
        <f t="shared" si="1"/>
        <v>8.94</v>
      </c>
      <c r="G107" s="66">
        <f t="shared" si="1"/>
        <v>23.92</v>
      </c>
      <c r="H107" s="66">
        <f t="shared" si="1"/>
        <v>11.23</v>
      </c>
      <c r="I107" s="66">
        <f t="shared" si="1"/>
        <v>1.62</v>
      </c>
      <c r="J107" s="66">
        <f t="shared" si="1"/>
        <v>1.36</v>
      </c>
      <c r="K107" s="66">
        <f t="shared" si="1"/>
        <v>359.97</v>
      </c>
      <c r="L107" s="66">
        <f t="shared" si="1"/>
        <v>17.84</v>
      </c>
      <c r="M107" s="66">
        <f t="shared" si="1"/>
        <v>98.23</v>
      </c>
      <c r="N107" s="66">
        <f t="shared" si="1"/>
        <v>180.7</v>
      </c>
      <c r="O107" s="66">
        <f t="shared" si="1"/>
        <v>0.8</v>
      </c>
      <c r="P107" s="66">
        <f t="shared" si="1"/>
        <v>0.6</v>
      </c>
      <c r="Q107" s="66">
        <f t="shared" si="1"/>
        <v>8.6300000000000008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17.326250000000002</v>
      </c>
      <c r="C108" s="67">
        <f t="shared" ref="C108:Q108" si="2">AVERAGE(C9:C104)</f>
        <v>40.639687499999987</v>
      </c>
      <c r="D108" s="67">
        <f t="shared" si="2"/>
        <v>36.9684375</v>
      </c>
      <c r="E108" s="67">
        <f t="shared" si="2"/>
        <v>2.218645833333333</v>
      </c>
      <c r="F108" s="67">
        <f t="shared" si="2"/>
        <v>5.7617708333333306</v>
      </c>
      <c r="G108" s="67">
        <f t="shared" si="2"/>
        <v>14.541770833333324</v>
      </c>
      <c r="H108" s="67">
        <f t="shared" si="2"/>
        <v>6.4163541666666655</v>
      </c>
      <c r="I108" s="67">
        <f t="shared" si="2"/>
        <v>1.5009375000000007</v>
      </c>
      <c r="J108" s="67">
        <f t="shared" si="2"/>
        <v>0.45604166666666685</v>
      </c>
      <c r="K108" s="67">
        <f t="shared" si="2"/>
        <v>127.40302083333343</v>
      </c>
      <c r="L108" s="67">
        <f t="shared" si="2"/>
        <v>16.439687499999998</v>
      </c>
      <c r="M108" s="67">
        <f t="shared" si="2"/>
        <v>97.777500000000018</v>
      </c>
      <c r="N108" s="67">
        <f t="shared" si="2"/>
        <v>51.61666666666671</v>
      </c>
      <c r="O108" s="67">
        <f t="shared" si="2"/>
        <v>5.4166666666666689E-2</v>
      </c>
      <c r="P108" s="67">
        <f t="shared" si="2"/>
        <v>0.34802083333333328</v>
      </c>
      <c r="Q108" s="67">
        <f t="shared" si="2"/>
        <v>6.1035416666666649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3.7397633614976056</v>
      </c>
      <c r="C109" s="67">
        <f t="shared" ref="C109:Q109" si="3">STDEV(C9:C104)</f>
        <v>2.340790893390297</v>
      </c>
      <c r="D109" s="67">
        <f t="shared" si="3"/>
        <v>3.102117893896295</v>
      </c>
      <c r="E109" s="67">
        <f t="shared" si="3"/>
        <v>6.4606009035605746E-2</v>
      </c>
      <c r="F109" s="67">
        <f t="shared" si="3"/>
        <v>1.1652621072139939</v>
      </c>
      <c r="G109" s="67">
        <f t="shared" si="3"/>
        <v>5.449198105137615</v>
      </c>
      <c r="H109" s="67">
        <f t="shared" si="3"/>
        <v>2.2409528611457188</v>
      </c>
      <c r="I109" s="67">
        <f t="shared" si="3"/>
        <v>4.4723198383883653E-2</v>
      </c>
      <c r="J109" s="67">
        <f t="shared" si="3"/>
        <v>0.29669221750801689</v>
      </c>
      <c r="K109" s="67">
        <f t="shared" si="3"/>
        <v>105.7611954916884</v>
      </c>
      <c r="L109" s="67">
        <f t="shared" si="3"/>
        <v>0.57207922367264352</v>
      </c>
      <c r="M109" s="67">
        <f t="shared" si="3"/>
        <v>0.94161339703388225</v>
      </c>
      <c r="N109" s="67">
        <f t="shared" si="3"/>
        <v>39.934361056394145</v>
      </c>
      <c r="O109" s="67">
        <f t="shared" si="3"/>
        <v>0.14061269439336338</v>
      </c>
      <c r="P109" s="67">
        <f t="shared" si="3"/>
        <v>0.12953048648802556</v>
      </c>
      <c r="Q109" s="67">
        <f t="shared" si="3"/>
        <v>0.91225455723334481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824</v>
      </c>
      <c r="B9" s="64">
        <v>15.14</v>
      </c>
      <c r="C9" s="64">
        <v>37.590000000000003</v>
      </c>
      <c r="D9" s="64">
        <v>33.53</v>
      </c>
      <c r="E9" s="64">
        <v>2.14</v>
      </c>
      <c r="F9" s="64">
        <v>4.3600000000000003</v>
      </c>
      <c r="G9" s="64">
        <v>8.31</v>
      </c>
      <c r="H9" s="64">
        <v>8.2200000000000006</v>
      </c>
      <c r="I9" s="64">
        <v>1.58</v>
      </c>
      <c r="J9" s="64">
        <v>0.82</v>
      </c>
      <c r="K9" s="64">
        <v>101.58</v>
      </c>
      <c r="L9" s="64">
        <v>15.91</v>
      </c>
      <c r="M9" s="64">
        <v>98.2</v>
      </c>
      <c r="N9" s="64">
        <v>24.6</v>
      </c>
      <c r="O9" s="64">
        <v>0.4</v>
      </c>
      <c r="P9" s="64">
        <v>0.25</v>
      </c>
      <c r="Q9" s="64">
        <v>6.22</v>
      </c>
      <c r="R9" s="198"/>
      <c r="S9" s="198"/>
      <c r="T9" s="198"/>
      <c r="U9" s="198"/>
    </row>
    <row r="10" spans="1:21" s="12" customFormat="1" x14ac:dyDescent="0.25">
      <c r="A10" s="214" t="s">
        <v>825</v>
      </c>
      <c r="B10" s="64">
        <v>14.6</v>
      </c>
      <c r="C10" s="64">
        <v>37.369999999999997</v>
      </c>
      <c r="D10" s="64">
        <v>32.979999999999997</v>
      </c>
      <c r="E10" s="64">
        <v>2.13</v>
      </c>
      <c r="F10" s="64">
        <v>4.75</v>
      </c>
      <c r="G10" s="64">
        <v>8.31</v>
      </c>
      <c r="H10" s="64">
        <v>8.2200000000000006</v>
      </c>
      <c r="I10" s="64">
        <v>1.42</v>
      </c>
      <c r="J10" s="64">
        <v>0.75</v>
      </c>
      <c r="K10" s="64">
        <v>104.54</v>
      </c>
      <c r="L10" s="64">
        <v>15.9</v>
      </c>
      <c r="M10" s="64">
        <v>98.21</v>
      </c>
      <c r="N10" s="64">
        <v>24.7</v>
      </c>
      <c r="O10" s="64">
        <v>0.8</v>
      </c>
      <c r="P10" s="64">
        <v>0.24</v>
      </c>
      <c r="Q10" s="64">
        <v>5.98</v>
      </c>
      <c r="R10" s="198"/>
      <c r="S10" s="198"/>
      <c r="T10" s="198"/>
      <c r="U10" s="198"/>
    </row>
    <row r="11" spans="1:21" s="12" customFormat="1" x14ac:dyDescent="0.25">
      <c r="A11" s="214" t="s">
        <v>826</v>
      </c>
      <c r="B11" s="64">
        <v>14.13</v>
      </c>
      <c r="C11" s="64">
        <v>36.950000000000003</v>
      </c>
      <c r="D11" s="64">
        <v>32.369999999999997</v>
      </c>
      <c r="E11" s="64">
        <v>2.16</v>
      </c>
      <c r="F11" s="64">
        <v>4.62</v>
      </c>
      <c r="G11" s="64">
        <v>8.39</v>
      </c>
      <c r="H11" s="64">
        <v>8.1199999999999992</v>
      </c>
      <c r="I11" s="64">
        <v>1.44</v>
      </c>
      <c r="J11" s="64">
        <v>0.84</v>
      </c>
      <c r="K11" s="64">
        <v>100.89</v>
      </c>
      <c r="L11" s="64">
        <v>15.88</v>
      </c>
      <c r="M11" s="64">
        <v>98.21</v>
      </c>
      <c r="N11" s="64">
        <v>24.6</v>
      </c>
      <c r="O11" s="64">
        <v>0.6</v>
      </c>
      <c r="P11" s="64">
        <v>0.24</v>
      </c>
      <c r="Q11" s="64">
        <v>5.77</v>
      </c>
      <c r="R11" s="198"/>
      <c r="S11" s="198"/>
      <c r="T11" s="198"/>
      <c r="U11" s="198"/>
    </row>
    <row r="12" spans="1:21" s="12" customFormat="1" x14ac:dyDescent="0.25">
      <c r="A12" s="214" t="s">
        <v>827</v>
      </c>
      <c r="B12" s="64">
        <v>13.82</v>
      </c>
      <c r="C12" s="64">
        <v>37.44</v>
      </c>
      <c r="D12" s="64">
        <v>32.39</v>
      </c>
      <c r="E12" s="64">
        <v>2.16</v>
      </c>
      <c r="F12" s="64">
        <v>4.84</v>
      </c>
      <c r="G12" s="64">
        <v>8.69</v>
      </c>
      <c r="H12" s="64">
        <v>7.67</v>
      </c>
      <c r="I12" s="64">
        <v>1.52</v>
      </c>
      <c r="J12" s="64">
        <v>1.02</v>
      </c>
      <c r="K12" s="64">
        <v>107.91</v>
      </c>
      <c r="L12" s="64">
        <v>15.9</v>
      </c>
      <c r="M12" s="64">
        <v>98.2</v>
      </c>
      <c r="N12" s="64">
        <v>24.6</v>
      </c>
      <c r="O12" s="64">
        <v>0.6</v>
      </c>
      <c r="P12" s="64">
        <v>0.24</v>
      </c>
      <c r="Q12" s="64">
        <v>5.69</v>
      </c>
      <c r="R12" s="198"/>
      <c r="S12" s="198"/>
      <c r="T12" s="198"/>
      <c r="U12" s="198"/>
    </row>
    <row r="13" spans="1:21" s="12" customFormat="1" x14ac:dyDescent="0.25">
      <c r="A13" s="214" t="s">
        <v>828</v>
      </c>
      <c r="B13" s="64">
        <v>13.45</v>
      </c>
      <c r="C13" s="64">
        <v>36.729999999999997</v>
      </c>
      <c r="D13" s="64">
        <v>31.7</v>
      </c>
      <c r="E13" s="64">
        <v>2.14</v>
      </c>
      <c r="F13" s="64">
        <v>4.67</v>
      </c>
      <c r="G13" s="64">
        <v>8.69</v>
      </c>
      <c r="H13" s="64">
        <v>7.67</v>
      </c>
      <c r="I13" s="64">
        <v>1.44</v>
      </c>
      <c r="J13" s="64">
        <v>0.76</v>
      </c>
      <c r="K13" s="64">
        <v>112.07</v>
      </c>
      <c r="L13" s="64">
        <v>15.92</v>
      </c>
      <c r="M13" s="64">
        <v>98.2</v>
      </c>
      <c r="N13" s="64">
        <v>24.5</v>
      </c>
      <c r="O13" s="64">
        <v>0.4</v>
      </c>
      <c r="P13" s="64">
        <v>0.22</v>
      </c>
      <c r="Q13" s="64">
        <v>5.53</v>
      </c>
      <c r="R13" s="198"/>
      <c r="S13" s="198"/>
      <c r="T13" s="198"/>
      <c r="U13" s="198"/>
    </row>
    <row r="14" spans="1:21" s="12" customFormat="1" x14ac:dyDescent="0.25">
      <c r="A14" s="214" t="s">
        <v>829</v>
      </c>
      <c r="B14" s="64">
        <v>13.05</v>
      </c>
      <c r="C14" s="64">
        <v>36.5</v>
      </c>
      <c r="D14" s="64">
        <v>31.26</v>
      </c>
      <c r="E14" s="64">
        <v>2.12</v>
      </c>
      <c r="F14" s="64">
        <v>4.54</v>
      </c>
      <c r="G14" s="64">
        <v>8.69</v>
      </c>
      <c r="H14" s="64">
        <v>7.67</v>
      </c>
      <c r="I14" s="64">
        <v>1.48</v>
      </c>
      <c r="J14" s="64">
        <v>0.31</v>
      </c>
      <c r="K14" s="64">
        <v>101.43</v>
      </c>
      <c r="L14" s="64">
        <v>15.95</v>
      </c>
      <c r="M14" s="64">
        <v>97.71</v>
      </c>
      <c r="N14" s="64">
        <v>24.5</v>
      </c>
      <c r="O14" s="64">
        <v>0.4</v>
      </c>
      <c r="P14" s="64">
        <v>0.22</v>
      </c>
      <c r="Q14" s="64">
        <v>5.38</v>
      </c>
      <c r="R14" s="198"/>
      <c r="S14" s="198"/>
      <c r="T14" s="198"/>
      <c r="U14" s="198"/>
    </row>
    <row r="15" spans="1:21" s="12" customFormat="1" x14ac:dyDescent="0.25">
      <c r="A15" s="214" t="s">
        <v>830</v>
      </c>
      <c r="B15" s="64">
        <v>12.71</v>
      </c>
      <c r="C15" s="64">
        <v>37.68</v>
      </c>
      <c r="D15" s="64">
        <v>31.63</v>
      </c>
      <c r="E15" s="64">
        <v>2.14</v>
      </c>
      <c r="F15" s="64">
        <v>4.58</v>
      </c>
      <c r="G15" s="64">
        <v>8.19</v>
      </c>
      <c r="H15" s="64">
        <v>7.08</v>
      </c>
      <c r="I15" s="64">
        <v>1.53</v>
      </c>
      <c r="J15" s="64">
        <v>0.52</v>
      </c>
      <c r="K15" s="64">
        <v>113.32</v>
      </c>
      <c r="L15" s="64">
        <v>15.96</v>
      </c>
      <c r="M15" s="64">
        <v>98.22</v>
      </c>
      <c r="N15" s="64">
        <v>24.6</v>
      </c>
      <c r="O15" s="64">
        <v>0.6</v>
      </c>
      <c r="P15" s="64">
        <v>0.22</v>
      </c>
      <c r="Q15" s="64">
        <v>5.33</v>
      </c>
      <c r="R15" s="198"/>
      <c r="S15" s="198"/>
      <c r="T15" s="198"/>
      <c r="U15" s="198"/>
    </row>
    <row r="16" spans="1:21" s="12" customFormat="1" x14ac:dyDescent="0.25">
      <c r="A16" s="214" t="s">
        <v>831</v>
      </c>
      <c r="B16" s="64">
        <v>12.77</v>
      </c>
      <c r="C16" s="64">
        <v>37.32</v>
      </c>
      <c r="D16" s="64">
        <v>31.48</v>
      </c>
      <c r="E16" s="64">
        <v>2.12</v>
      </c>
      <c r="F16" s="64">
        <v>4.62</v>
      </c>
      <c r="G16" s="64">
        <v>6.17</v>
      </c>
      <c r="H16" s="64">
        <v>5.46</v>
      </c>
      <c r="I16" s="64">
        <v>1.51</v>
      </c>
      <c r="J16" s="64">
        <v>0.06</v>
      </c>
      <c r="K16" s="64">
        <v>148.9</v>
      </c>
      <c r="L16" s="64">
        <v>15.97</v>
      </c>
      <c r="M16" s="64">
        <v>98.23</v>
      </c>
      <c r="N16" s="64">
        <v>24.5</v>
      </c>
      <c r="O16" s="64">
        <v>0.6</v>
      </c>
      <c r="P16" s="64">
        <v>0.23</v>
      </c>
      <c r="Q16" s="64">
        <v>5.35</v>
      </c>
      <c r="R16" s="198"/>
      <c r="S16" s="198"/>
      <c r="T16" s="198"/>
      <c r="U16" s="198"/>
    </row>
    <row r="17" spans="1:21" s="12" customFormat="1" x14ac:dyDescent="0.25">
      <c r="A17" s="214" t="s">
        <v>832</v>
      </c>
      <c r="B17" s="64">
        <v>12.86</v>
      </c>
      <c r="C17" s="64">
        <v>37.58</v>
      </c>
      <c r="D17" s="64">
        <v>31.7</v>
      </c>
      <c r="E17" s="64">
        <v>2.12</v>
      </c>
      <c r="F17" s="64">
        <v>4.42</v>
      </c>
      <c r="G17" s="64">
        <v>6.17</v>
      </c>
      <c r="H17" s="64">
        <v>5.46</v>
      </c>
      <c r="I17" s="64">
        <v>1.56</v>
      </c>
      <c r="J17" s="64">
        <v>0.12</v>
      </c>
      <c r="K17" s="64">
        <v>9.1</v>
      </c>
      <c r="L17" s="64">
        <v>16.010000000000002</v>
      </c>
      <c r="M17" s="64">
        <v>98.23</v>
      </c>
      <c r="N17" s="64">
        <v>24.6</v>
      </c>
      <c r="O17" s="64">
        <v>0.2</v>
      </c>
      <c r="P17" s="64">
        <v>0.24</v>
      </c>
      <c r="Q17" s="64">
        <v>5.44</v>
      </c>
      <c r="R17" s="198"/>
      <c r="S17" s="198"/>
      <c r="T17" s="198"/>
      <c r="U17" s="198"/>
    </row>
    <row r="18" spans="1:21" s="12" customFormat="1" x14ac:dyDescent="0.25">
      <c r="A18" s="214" t="s">
        <v>833</v>
      </c>
      <c r="B18" s="64">
        <v>13.13</v>
      </c>
      <c r="C18" s="64">
        <v>37.630000000000003</v>
      </c>
      <c r="D18" s="64">
        <v>31.95</v>
      </c>
      <c r="E18" s="64">
        <v>2.09</v>
      </c>
      <c r="F18" s="64">
        <v>4.6399999999999997</v>
      </c>
      <c r="G18" s="64">
        <v>6.17</v>
      </c>
      <c r="H18" s="64">
        <v>5.46</v>
      </c>
      <c r="I18" s="64">
        <v>1.53</v>
      </c>
      <c r="J18" s="64">
        <v>0.19</v>
      </c>
      <c r="K18" s="64">
        <v>343.66</v>
      </c>
      <c r="L18" s="64">
        <v>16.09</v>
      </c>
      <c r="M18" s="64">
        <v>97.94</v>
      </c>
      <c r="N18" s="64">
        <v>24.5</v>
      </c>
      <c r="O18" s="64">
        <v>0.2</v>
      </c>
      <c r="P18" s="64">
        <v>0.23</v>
      </c>
      <c r="Q18" s="64">
        <v>5.48</v>
      </c>
      <c r="R18" s="198"/>
      <c r="S18" s="198"/>
      <c r="T18" s="198"/>
      <c r="U18" s="198"/>
    </row>
    <row r="19" spans="1:21" s="12" customFormat="1" x14ac:dyDescent="0.25">
      <c r="A19" s="214" t="s">
        <v>834</v>
      </c>
      <c r="B19" s="64">
        <v>13.4</v>
      </c>
      <c r="C19" s="64">
        <v>37.409999999999997</v>
      </c>
      <c r="D19" s="64">
        <v>32.03</v>
      </c>
      <c r="E19" s="64">
        <v>2.09</v>
      </c>
      <c r="F19" s="64">
        <v>5.03</v>
      </c>
      <c r="G19" s="64">
        <v>6</v>
      </c>
      <c r="H19" s="64">
        <v>5.36</v>
      </c>
      <c r="I19" s="64">
        <v>1.54</v>
      </c>
      <c r="J19" s="64">
        <v>0.16</v>
      </c>
      <c r="K19" s="64">
        <v>334.89</v>
      </c>
      <c r="L19" s="64">
        <v>16.12</v>
      </c>
      <c r="M19" s="64">
        <v>97.72</v>
      </c>
      <c r="N19" s="64">
        <v>24.7</v>
      </c>
      <c r="O19" s="64">
        <v>0.4</v>
      </c>
      <c r="P19" s="64">
        <v>0.23</v>
      </c>
      <c r="Q19" s="64">
        <v>5.54</v>
      </c>
      <c r="R19" s="198"/>
      <c r="S19" s="198"/>
      <c r="T19" s="198"/>
      <c r="U19" s="198"/>
    </row>
    <row r="20" spans="1:21" s="12" customFormat="1" x14ac:dyDescent="0.25">
      <c r="A20" s="214" t="s">
        <v>835</v>
      </c>
      <c r="B20" s="64">
        <v>13.56</v>
      </c>
      <c r="C20" s="64">
        <v>37.51</v>
      </c>
      <c r="D20" s="64">
        <v>32.22</v>
      </c>
      <c r="E20" s="64">
        <v>2.09</v>
      </c>
      <c r="F20" s="64">
        <v>5.63</v>
      </c>
      <c r="G20" s="64">
        <v>5.34</v>
      </c>
      <c r="H20" s="64">
        <v>5.08</v>
      </c>
      <c r="I20" s="64">
        <v>1.56</v>
      </c>
      <c r="J20" s="64">
        <v>0.21</v>
      </c>
      <c r="K20" s="64">
        <v>101.37</v>
      </c>
      <c r="L20" s="64">
        <v>15.94</v>
      </c>
      <c r="M20" s="64">
        <v>97.8</v>
      </c>
      <c r="N20" s="64">
        <v>24.8</v>
      </c>
      <c r="O20" s="64">
        <v>0.4</v>
      </c>
      <c r="P20" s="64">
        <v>0.23</v>
      </c>
      <c r="Q20" s="64">
        <v>5.62</v>
      </c>
      <c r="R20" s="198"/>
      <c r="S20" s="198"/>
      <c r="T20" s="198"/>
      <c r="U20" s="198"/>
    </row>
    <row r="21" spans="1:21" s="12" customFormat="1" x14ac:dyDescent="0.25">
      <c r="A21" s="214" t="s">
        <v>836</v>
      </c>
      <c r="B21" s="64">
        <v>13.72</v>
      </c>
      <c r="C21" s="64">
        <v>37.270000000000003</v>
      </c>
      <c r="D21" s="64">
        <v>32.22</v>
      </c>
      <c r="E21" s="64">
        <v>2.08</v>
      </c>
      <c r="F21" s="64">
        <v>5.07</v>
      </c>
      <c r="G21" s="64">
        <v>5.34</v>
      </c>
      <c r="H21" s="64">
        <v>5.08</v>
      </c>
      <c r="I21" s="64">
        <v>1.47</v>
      </c>
      <c r="J21" s="64">
        <v>0.05</v>
      </c>
      <c r="K21" s="64">
        <v>84.78</v>
      </c>
      <c r="L21" s="64">
        <v>15.92</v>
      </c>
      <c r="M21" s="64">
        <v>98.15</v>
      </c>
      <c r="N21" s="64">
        <v>24.6</v>
      </c>
      <c r="O21" s="64">
        <v>0.4</v>
      </c>
      <c r="P21" s="64">
        <v>0.23</v>
      </c>
      <c r="Q21" s="64">
        <v>5.68</v>
      </c>
      <c r="R21" s="198"/>
      <c r="S21" s="198"/>
      <c r="T21" s="198"/>
      <c r="U21" s="198"/>
    </row>
    <row r="22" spans="1:21" s="12" customFormat="1" x14ac:dyDescent="0.25">
      <c r="A22" s="214" t="s">
        <v>837</v>
      </c>
      <c r="B22" s="64">
        <v>13.85</v>
      </c>
      <c r="C22" s="64">
        <v>37.270000000000003</v>
      </c>
      <c r="D22" s="64">
        <v>32.32</v>
      </c>
      <c r="E22" s="64">
        <v>2.12</v>
      </c>
      <c r="F22" s="64">
        <v>4.79</v>
      </c>
      <c r="G22" s="64">
        <v>5.34</v>
      </c>
      <c r="H22" s="64">
        <v>5.08</v>
      </c>
      <c r="I22" s="64">
        <v>1.48</v>
      </c>
      <c r="J22" s="64">
        <v>0.03</v>
      </c>
      <c r="K22" s="64">
        <v>336.78</v>
      </c>
      <c r="L22" s="64">
        <v>15.98</v>
      </c>
      <c r="M22" s="64">
        <v>98.23</v>
      </c>
      <c r="N22" s="64">
        <v>24.6</v>
      </c>
      <c r="O22" s="64">
        <v>0.2</v>
      </c>
      <c r="P22" s="64">
        <v>0.23</v>
      </c>
      <c r="Q22" s="64">
        <v>5.75</v>
      </c>
      <c r="R22" s="198"/>
      <c r="S22" s="198"/>
      <c r="T22" s="198"/>
      <c r="U22" s="198"/>
    </row>
    <row r="23" spans="1:21" s="12" customFormat="1" x14ac:dyDescent="0.25">
      <c r="A23" s="214" t="s">
        <v>838</v>
      </c>
      <c r="B23" s="64">
        <v>13.98</v>
      </c>
      <c r="C23" s="64">
        <v>37.19</v>
      </c>
      <c r="D23" s="64">
        <v>32.380000000000003</v>
      </c>
      <c r="E23" s="64">
        <v>2.0699999999999998</v>
      </c>
      <c r="F23" s="64">
        <v>4.55</v>
      </c>
      <c r="G23" s="64">
        <v>5.4</v>
      </c>
      <c r="H23" s="64">
        <v>4.75</v>
      </c>
      <c r="I23" s="64">
        <v>1.52</v>
      </c>
      <c r="J23" s="64">
        <v>0.05</v>
      </c>
      <c r="K23" s="64">
        <v>354.05</v>
      </c>
      <c r="L23" s="64">
        <v>16.02</v>
      </c>
      <c r="M23" s="64">
        <v>97.72</v>
      </c>
      <c r="N23" s="64">
        <v>24.7</v>
      </c>
      <c r="O23" s="64">
        <v>0.2</v>
      </c>
      <c r="P23" s="64">
        <v>0.23</v>
      </c>
      <c r="Q23" s="64">
        <v>5.76</v>
      </c>
      <c r="R23" s="198"/>
      <c r="S23" s="198"/>
      <c r="T23" s="198"/>
      <c r="U23" s="198"/>
    </row>
    <row r="24" spans="1:21" s="12" customFormat="1" x14ac:dyDescent="0.25">
      <c r="A24" s="214" t="s">
        <v>839</v>
      </c>
      <c r="B24" s="64">
        <v>14.2</v>
      </c>
      <c r="C24" s="64">
        <v>37.42</v>
      </c>
      <c r="D24" s="64">
        <v>32.68</v>
      </c>
      <c r="E24" s="64">
        <v>2.1</v>
      </c>
      <c r="F24" s="64">
        <v>4.4000000000000004</v>
      </c>
      <c r="G24" s="64">
        <v>5.65</v>
      </c>
      <c r="H24" s="64">
        <v>3.83</v>
      </c>
      <c r="I24" s="64">
        <v>1.53</v>
      </c>
      <c r="J24" s="64">
        <v>0.08</v>
      </c>
      <c r="K24" s="64">
        <v>60.59</v>
      </c>
      <c r="L24" s="64">
        <v>15.97</v>
      </c>
      <c r="M24" s="64">
        <v>98.05</v>
      </c>
      <c r="N24" s="64">
        <v>24.7</v>
      </c>
      <c r="O24" s="64">
        <v>0.4</v>
      </c>
      <c r="P24" s="64">
        <v>0.25</v>
      </c>
      <c r="Q24" s="64">
        <v>5.86</v>
      </c>
      <c r="R24" s="198"/>
      <c r="S24" s="198"/>
      <c r="T24" s="198"/>
      <c r="U24" s="198"/>
    </row>
    <row r="25" spans="1:21" s="12" customFormat="1" x14ac:dyDescent="0.25">
      <c r="A25" s="214" t="s">
        <v>840</v>
      </c>
      <c r="B25" s="64">
        <v>14.52</v>
      </c>
      <c r="C25" s="64">
        <v>37.130000000000003</v>
      </c>
      <c r="D25" s="64">
        <v>32.78</v>
      </c>
      <c r="E25" s="64">
        <v>2.14</v>
      </c>
      <c r="F25" s="64">
        <v>4.1100000000000003</v>
      </c>
      <c r="G25" s="64">
        <v>5.65</v>
      </c>
      <c r="H25" s="64">
        <v>3.83</v>
      </c>
      <c r="I25" s="64">
        <v>1.47</v>
      </c>
      <c r="J25" s="64">
        <v>0.05</v>
      </c>
      <c r="K25" s="64">
        <v>304.44</v>
      </c>
      <c r="L25" s="64">
        <v>15.96</v>
      </c>
      <c r="M25" s="64">
        <v>98.23</v>
      </c>
      <c r="N25" s="64">
        <v>24.7</v>
      </c>
      <c r="O25" s="64">
        <v>0.2</v>
      </c>
      <c r="P25" s="64">
        <v>0.27</v>
      </c>
      <c r="Q25" s="64">
        <v>5.96</v>
      </c>
      <c r="R25" s="198"/>
      <c r="S25" s="198"/>
      <c r="T25" s="198"/>
      <c r="U25" s="198"/>
    </row>
    <row r="26" spans="1:21" s="12" customFormat="1" x14ac:dyDescent="0.25">
      <c r="A26" s="214" t="s">
        <v>841</v>
      </c>
      <c r="B26" s="64">
        <v>14.98</v>
      </c>
      <c r="C26" s="64">
        <v>37.32</v>
      </c>
      <c r="D26" s="64">
        <v>33.26</v>
      </c>
      <c r="E26" s="64">
        <v>2.17</v>
      </c>
      <c r="F26" s="64">
        <v>4.34</v>
      </c>
      <c r="G26" s="64">
        <v>5.65</v>
      </c>
      <c r="H26" s="64">
        <v>3.83</v>
      </c>
      <c r="I26" s="64">
        <v>1.56</v>
      </c>
      <c r="J26" s="64">
        <v>0.14000000000000001</v>
      </c>
      <c r="K26" s="64">
        <v>104.49</v>
      </c>
      <c r="L26" s="64">
        <v>15.98</v>
      </c>
      <c r="M26" s="64">
        <v>97.72</v>
      </c>
      <c r="N26" s="64">
        <v>24.7</v>
      </c>
      <c r="O26" s="64">
        <v>0.2</v>
      </c>
      <c r="P26" s="64">
        <v>0.26</v>
      </c>
      <c r="Q26" s="64">
        <v>6.12</v>
      </c>
      <c r="R26" s="198"/>
      <c r="S26" s="198"/>
      <c r="T26" s="198"/>
      <c r="U26" s="198"/>
    </row>
    <row r="27" spans="1:21" s="12" customFormat="1" x14ac:dyDescent="0.25">
      <c r="A27" s="214" t="s">
        <v>842</v>
      </c>
      <c r="B27" s="64">
        <v>15.26</v>
      </c>
      <c r="C27" s="64">
        <v>37.28</v>
      </c>
      <c r="D27" s="64">
        <v>33.46</v>
      </c>
      <c r="E27" s="64">
        <v>2.21</v>
      </c>
      <c r="F27" s="64">
        <v>4.91</v>
      </c>
      <c r="G27" s="64">
        <v>5.38</v>
      </c>
      <c r="H27" s="64">
        <v>4.01</v>
      </c>
      <c r="I27" s="64">
        <v>1.49</v>
      </c>
      <c r="J27" s="64">
        <v>0.78</v>
      </c>
      <c r="K27" s="64">
        <v>112.36</v>
      </c>
      <c r="L27" s="64">
        <v>15.85</v>
      </c>
      <c r="M27" s="64">
        <v>98.23</v>
      </c>
      <c r="N27" s="64">
        <v>24.9</v>
      </c>
      <c r="O27" s="64">
        <v>0.4</v>
      </c>
      <c r="P27" s="64">
        <v>0.24</v>
      </c>
      <c r="Q27" s="64">
        <v>6.21</v>
      </c>
      <c r="R27" s="198"/>
      <c r="S27" s="198"/>
      <c r="T27" s="198"/>
      <c r="U27" s="198"/>
    </row>
    <row r="28" spans="1:21" s="12" customFormat="1" x14ac:dyDescent="0.25">
      <c r="A28" s="214" t="s">
        <v>843</v>
      </c>
      <c r="B28" s="64">
        <v>15.45</v>
      </c>
      <c r="C28" s="64">
        <v>36.1</v>
      </c>
      <c r="D28" s="64">
        <v>32.96</v>
      </c>
      <c r="E28" s="64">
        <v>2.1800000000000002</v>
      </c>
      <c r="F28" s="64">
        <v>5.19</v>
      </c>
      <c r="G28" s="212" t="s">
        <v>42</v>
      </c>
      <c r="H28" s="212" t="s">
        <v>42</v>
      </c>
      <c r="I28" s="64">
        <v>1.47</v>
      </c>
      <c r="J28" s="64">
        <v>0.23</v>
      </c>
      <c r="K28" s="64">
        <v>93.03</v>
      </c>
      <c r="L28" s="64">
        <v>15.83</v>
      </c>
      <c r="M28" s="64">
        <v>98.22</v>
      </c>
      <c r="N28" s="64">
        <v>24.6</v>
      </c>
      <c r="O28" s="64">
        <v>0</v>
      </c>
      <c r="P28" s="64">
        <v>0.23</v>
      </c>
      <c r="Q28" s="64">
        <v>6.17</v>
      </c>
      <c r="R28" s="198"/>
      <c r="S28" s="198"/>
      <c r="T28" s="198"/>
      <c r="U28" s="198"/>
    </row>
    <row r="29" spans="1:21" s="12" customFormat="1" x14ac:dyDescent="0.25">
      <c r="A29" s="214" t="s">
        <v>844</v>
      </c>
      <c r="B29" s="64">
        <v>15.14</v>
      </c>
      <c r="C29" s="64">
        <v>34.76</v>
      </c>
      <c r="D29" s="64">
        <v>31.97</v>
      </c>
      <c r="E29" s="64">
        <v>2.15</v>
      </c>
      <c r="F29" s="64">
        <v>4.84</v>
      </c>
      <c r="G29" s="212" t="s">
        <v>42</v>
      </c>
      <c r="H29" s="212" t="s">
        <v>42</v>
      </c>
      <c r="I29" s="64">
        <v>1.47</v>
      </c>
      <c r="J29" s="64">
        <v>0.21</v>
      </c>
      <c r="K29" s="64">
        <v>103.24</v>
      </c>
      <c r="L29" s="64">
        <v>15.86</v>
      </c>
      <c r="M29" s="64">
        <v>98.21</v>
      </c>
      <c r="N29" s="64">
        <v>24.7</v>
      </c>
      <c r="O29" s="64">
        <v>0</v>
      </c>
      <c r="P29" s="64">
        <v>0.25</v>
      </c>
      <c r="Q29" s="64">
        <v>5.96</v>
      </c>
      <c r="R29" s="198"/>
      <c r="S29" s="198"/>
      <c r="T29" s="198"/>
      <c r="U29" s="198"/>
    </row>
    <row r="30" spans="1:21" s="12" customFormat="1" x14ac:dyDescent="0.25">
      <c r="A30" s="214" t="s">
        <v>845</v>
      </c>
      <c r="B30" s="64">
        <v>15.08</v>
      </c>
      <c r="C30" s="64">
        <v>35.549999999999997</v>
      </c>
      <c r="D30" s="64">
        <v>32.36</v>
      </c>
      <c r="E30" s="64">
        <v>2.15</v>
      </c>
      <c r="F30" s="64">
        <v>4.6399999999999997</v>
      </c>
      <c r="G30" s="212" t="s">
        <v>42</v>
      </c>
      <c r="H30" s="212" t="s">
        <v>42</v>
      </c>
      <c r="I30" s="64">
        <v>1.51</v>
      </c>
      <c r="J30" s="64">
        <v>0.34</v>
      </c>
      <c r="K30" s="64">
        <v>104.43</v>
      </c>
      <c r="L30" s="64">
        <v>15.81</v>
      </c>
      <c r="M30" s="64">
        <v>98.05</v>
      </c>
      <c r="N30" s="64">
        <v>24.8</v>
      </c>
      <c r="O30" s="64">
        <v>0.2</v>
      </c>
      <c r="P30" s="64">
        <v>0.24</v>
      </c>
      <c r="Q30" s="64">
        <v>5.99</v>
      </c>
      <c r="R30" s="198"/>
      <c r="S30" s="198"/>
      <c r="T30" s="198"/>
      <c r="U30" s="198"/>
    </row>
    <row r="31" spans="1:21" s="12" customFormat="1" x14ac:dyDescent="0.25">
      <c r="A31" s="214" t="s">
        <v>846</v>
      </c>
      <c r="B31" s="64">
        <v>14.86</v>
      </c>
      <c r="C31" s="64">
        <v>36.119999999999997</v>
      </c>
      <c r="D31" s="64">
        <v>32.5</v>
      </c>
      <c r="E31" s="64">
        <v>2.19</v>
      </c>
      <c r="F31" s="64">
        <v>4.84</v>
      </c>
      <c r="G31" s="212" t="s">
        <v>42</v>
      </c>
      <c r="H31" s="212" t="s">
        <v>42</v>
      </c>
      <c r="I31" s="64">
        <v>1.6</v>
      </c>
      <c r="J31" s="64">
        <v>0.28999999999999998</v>
      </c>
      <c r="K31" s="64">
        <v>97.46</v>
      </c>
      <c r="L31" s="64">
        <v>15.79</v>
      </c>
      <c r="M31" s="64">
        <v>98.21</v>
      </c>
      <c r="N31" s="64">
        <v>24.7</v>
      </c>
      <c r="O31" s="64">
        <v>0</v>
      </c>
      <c r="P31" s="64">
        <v>0.24</v>
      </c>
      <c r="Q31" s="64">
        <v>5.97</v>
      </c>
      <c r="R31" s="198"/>
      <c r="S31" s="198"/>
      <c r="T31" s="198"/>
      <c r="U31" s="198"/>
    </row>
    <row r="32" spans="1:21" s="12" customFormat="1" x14ac:dyDescent="0.25">
      <c r="A32" s="214" t="s">
        <v>847</v>
      </c>
      <c r="B32" s="64">
        <v>14.89</v>
      </c>
      <c r="C32" s="64">
        <v>36.51</v>
      </c>
      <c r="D32" s="64">
        <v>32.729999999999997</v>
      </c>
      <c r="E32" s="64">
        <v>2.2000000000000002</v>
      </c>
      <c r="F32" s="64">
        <v>4.53</v>
      </c>
      <c r="G32" s="212" t="s">
        <v>42</v>
      </c>
      <c r="H32" s="212" t="s">
        <v>42</v>
      </c>
      <c r="I32" s="64">
        <v>1.48</v>
      </c>
      <c r="J32" s="64">
        <v>7.0000000000000007E-2</v>
      </c>
      <c r="K32" s="64">
        <v>53.81</v>
      </c>
      <c r="L32" s="64">
        <v>15.75</v>
      </c>
      <c r="M32" s="64">
        <v>97.71</v>
      </c>
      <c r="N32" s="64">
        <v>24.6</v>
      </c>
      <c r="O32" s="64">
        <v>0</v>
      </c>
      <c r="P32" s="64">
        <v>0.25</v>
      </c>
      <c r="Q32" s="64">
        <v>6.03</v>
      </c>
      <c r="R32" s="198"/>
      <c r="S32" s="198"/>
      <c r="T32" s="198"/>
      <c r="U32" s="198"/>
    </row>
    <row r="33" spans="1:21" s="12" customFormat="1" x14ac:dyDescent="0.25">
      <c r="A33" s="214" t="s">
        <v>848</v>
      </c>
      <c r="B33" s="64">
        <v>15.12</v>
      </c>
      <c r="C33" s="64">
        <v>36.61</v>
      </c>
      <c r="D33" s="64">
        <v>32.97</v>
      </c>
      <c r="E33" s="64">
        <v>2.23</v>
      </c>
      <c r="F33" s="64">
        <v>4.2699999999999996</v>
      </c>
      <c r="G33" s="212" t="s">
        <v>42</v>
      </c>
      <c r="H33" s="212" t="s">
        <v>42</v>
      </c>
      <c r="I33" s="64">
        <v>1.58</v>
      </c>
      <c r="J33" s="64">
        <v>0.16</v>
      </c>
      <c r="K33" s="64">
        <v>325.99</v>
      </c>
      <c r="L33" s="64">
        <v>15.76</v>
      </c>
      <c r="M33" s="64">
        <v>98.19</v>
      </c>
      <c r="N33" s="64">
        <v>24.9</v>
      </c>
      <c r="O33" s="64">
        <v>0</v>
      </c>
      <c r="P33" s="64">
        <v>0.32</v>
      </c>
      <c r="Q33" s="64">
        <v>6.08</v>
      </c>
      <c r="R33" s="198"/>
      <c r="S33" s="198"/>
      <c r="T33" s="198"/>
      <c r="U33" s="198"/>
    </row>
    <row r="34" spans="1:21" s="12" customFormat="1" x14ac:dyDescent="0.25">
      <c r="A34" s="214" t="s">
        <v>849</v>
      </c>
      <c r="B34" s="64">
        <v>15.65</v>
      </c>
      <c r="C34" s="64">
        <v>36.770000000000003</v>
      </c>
      <c r="D34" s="64">
        <v>33.49</v>
      </c>
      <c r="E34" s="64">
        <v>2.19</v>
      </c>
      <c r="F34" s="64">
        <v>4.1100000000000003</v>
      </c>
      <c r="G34" s="212" t="s">
        <v>42</v>
      </c>
      <c r="H34" s="212" t="s">
        <v>42</v>
      </c>
      <c r="I34" s="64">
        <v>1.45</v>
      </c>
      <c r="J34" s="64">
        <v>0.17</v>
      </c>
      <c r="K34" s="64">
        <v>331.12</v>
      </c>
      <c r="L34" s="64">
        <v>15.58</v>
      </c>
      <c r="M34" s="64">
        <v>97.71</v>
      </c>
      <c r="N34" s="64">
        <v>26.3</v>
      </c>
      <c r="O34" s="64">
        <v>0</v>
      </c>
      <c r="P34" s="64">
        <v>0.4</v>
      </c>
      <c r="Q34" s="64">
        <v>6.08</v>
      </c>
      <c r="R34" s="198"/>
      <c r="S34" s="198"/>
      <c r="T34" s="198"/>
      <c r="U34" s="198"/>
    </row>
    <row r="35" spans="1:21" s="12" customFormat="1" x14ac:dyDescent="0.25">
      <c r="A35" s="214" t="s">
        <v>850</v>
      </c>
      <c r="B35" s="64">
        <v>16.82</v>
      </c>
      <c r="C35" s="64">
        <v>37.5</v>
      </c>
      <c r="D35" s="64">
        <v>34.840000000000003</v>
      </c>
      <c r="E35" s="64">
        <v>2.16</v>
      </c>
      <c r="F35" s="64">
        <v>3.66</v>
      </c>
      <c r="G35" s="212" t="s">
        <v>42</v>
      </c>
      <c r="H35" s="212" t="s">
        <v>42</v>
      </c>
      <c r="I35" s="64">
        <v>1.49</v>
      </c>
      <c r="J35" s="64">
        <v>0.27</v>
      </c>
      <c r="K35" s="64">
        <v>341.84</v>
      </c>
      <c r="L35" s="64">
        <v>15.63</v>
      </c>
      <c r="M35" s="64">
        <v>97.72</v>
      </c>
      <c r="N35" s="64">
        <v>27.4</v>
      </c>
      <c r="O35" s="64">
        <v>0</v>
      </c>
      <c r="P35" s="64">
        <v>0.49</v>
      </c>
      <c r="Q35" s="64">
        <v>4.17</v>
      </c>
      <c r="R35" s="198"/>
      <c r="S35" s="198"/>
      <c r="T35" s="198"/>
      <c r="U35" s="198"/>
    </row>
    <row r="36" spans="1:21" s="12" customFormat="1" x14ac:dyDescent="0.25">
      <c r="A36" s="214" t="s">
        <v>851</v>
      </c>
      <c r="B36" s="64">
        <v>18.41</v>
      </c>
      <c r="C36" s="64">
        <v>37.78</v>
      </c>
      <c r="D36" s="64">
        <v>36.26</v>
      </c>
      <c r="E36" s="64">
        <v>2.21</v>
      </c>
      <c r="F36" s="64">
        <v>3.69</v>
      </c>
      <c r="G36" s="212" t="s">
        <v>42</v>
      </c>
      <c r="H36" s="212" t="s">
        <v>42</v>
      </c>
      <c r="I36" s="64">
        <v>1.5</v>
      </c>
      <c r="J36" s="64">
        <v>0.17</v>
      </c>
      <c r="K36" s="64">
        <v>335.56</v>
      </c>
      <c r="L36" s="64">
        <v>15.73</v>
      </c>
      <c r="M36" s="64">
        <v>98.21</v>
      </c>
      <c r="N36" s="64">
        <v>30.2</v>
      </c>
      <c r="O36" s="64">
        <v>0.2</v>
      </c>
      <c r="P36" s="64">
        <v>0.52</v>
      </c>
      <c r="Q36" s="64">
        <v>4.79</v>
      </c>
      <c r="R36" s="198"/>
      <c r="S36" s="198"/>
      <c r="T36" s="198"/>
      <c r="U36" s="198"/>
    </row>
    <row r="37" spans="1:21" s="12" customFormat="1" x14ac:dyDescent="0.25">
      <c r="A37" s="214" t="s">
        <v>852</v>
      </c>
      <c r="B37" s="64">
        <v>19.809999999999999</v>
      </c>
      <c r="C37" s="64">
        <v>37.68</v>
      </c>
      <c r="D37" s="64">
        <v>37.33</v>
      </c>
      <c r="E37" s="64">
        <v>2.2200000000000002</v>
      </c>
      <c r="F37" s="64">
        <v>3.89</v>
      </c>
      <c r="G37" s="212" t="s">
        <v>42</v>
      </c>
      <c r="H37" s="212" t="s">
        <v>42</v>
      </c>
      <c r="I37" s="64">
        <v>1.5</v>
      </c>
      <c r="J37" s="64">
        <v>0.12</v>
      </c>
      <c r="K37" s="64">
        <v>10.38</v>
      </c>
      <c r="L37" s="64">
        <v>15.8</v>
      </c>
      <c r="M37" s="64">
        <v>98.21</v>
      </c>
      <c r="N37" s="64">
        <v>39.6</v>
      </c>
      <c r="O37" s="64">
        <v>0</v>
      </c>
      <c r="P37" s="64">
        <v>0.62</v>
      </c>
      <c r="Q37" s="64">
        <v>4.9800000000000004</v>
      </c>
      <c r="R37" s="198"/>
      <c r="S37" s="198"/>
      <c r="T37" s="198"/>
      <c r="U37" s="198"/>
    </row>
    <row r="38" spans="1:21" s="12" customFormat="1" x14ac:dyDescent="0.25">
      <c r="A38" s="214" t="s">
        <v>853</v>
      </c>
      <c r="B38" s="64">
        <v>21.36</v>
      </c>
      <c r="C38" s="64">
        <v>37.71</v>
      </c>
      <c r="D38" s="64">
        <v>38.590000000000003</v>
      </c>
      <c r="E38" s="64">
        <v>2.19</v>
      </c>
      <c r="F38" s="64">
        <v>3.46</v>
      </c>
      <c r="G38" s="212" t="s">
        <v>42</v>
      </c>
      <c r="H38" s="212" t="s">
        <v>42</v>
      </c>
      <c r="I38" s="64">
        <v>1.54</v>
      </c>
      <c r="J38" s="64">
        <v>0.36</v>
      </c>
      <c r="K38" s="64">
        <v>335.67</v>
      </c>
      <c r="L38" s="64">
        <v>15.87</v>
      </c>
      <c r="M38" s="64">
        <v>98.17</v>
      </c>
      <c r="N38" s="64">
        <v>43.2</v>
      </c>
      <c r="O38" s="64">
        <v>0</v>
      </c>
      <c r="P38" s="64">
        <v>0.7</v>
      </c>
      <c r="Q38" s="64">
        <v>4.55</v>
      </c>
      <c r="R38" s="198"/>
      <c r="S38" s="198"/>
      <c r="T38" s="198"/>
      <c r="U38" s="198"/>
    </row>
    <row r="39" spans="1:21" s="12" customFormat="1" x14ac:dyDescent="0.25">
      <c r="A39" s="214" t="s">
        <v>854</v>
      </c>
      <c r="B39" s="64">
        <v>23.6</v>
      </c>
      <c r="C39" s="64">
        <v>38.04</v>
      </c>
      <c r="D39" s="64">
        <v>40.57</v>
      </c>
      <c r="E39" s="64">
        <v>2.2400000000000002</v>
      </c>
      <c r="F39" s="64">
        <v>3.32</v>
      </c>
      <c r="G39" s="212" t="s">
        <v>42</v>
      </c>
      <c r="H39" s="212" t="s">
        <v>42</v>
      </c>
      <c r="I39" s="64">
        <v>1.47</v>
      </c>
      <c r="J39" s="64">
        <v>0.2</v>
      </c>
      <c r="K39" s="64">
        <v>333.35</v>
      </c>
      <c r="L39" s="64">
        <v>16</v>
      </c>
      <c r="M39" s="64">
        <v>98.2</v>
      </c>
      <c r="N39" s="64">
        <v>58</v>
      </c>
      <c r="O39" s="64">
        <v>0</v>
      </c>
      <c r="P39" s="64">
        <v>0.8</v>
      </c>
      <c r="Q39" s="64">
        <v>3.18</v>
      </c>
      <c r="R39" s="198"/>
      <c r="S39" s="198"/>
      <c r="T39" s="198"/>
      <c r="U39" s="198"/>
    </row>
    <row r="40" spans="1:21" s="12" customFormat="1" x14ac:dyDescent="0.25">
      <c r="A40" s="214" t="s">
        <v>855</v>
      </c>
      <c r="B40" s="64">
        <v>25.96</v>
      </c>
      <c r="C40" s="64">
        <v>38.97</v>
      </c>
      <c r="D40" s="64">
        <v>42.97</v>
      </c>
      <c r="E40" s="64">
        <v>2.14</v>
      </c>
      <c r="F40" s="64">
        <v>3.58</v>
      </c>
      <c r="G40" s="212" t="s">
        <v>42</v>
      </c>
      <c r="H40" s="212" t="s">
        <v>42</v>
      </c>
      <c r="I40" s="64">
        <v>1.44</v>
      </c>
      <c r="J40" s="64">
        <v>0.43</v>
      </c>
      <c r="K40" s="64">
        <v>342.76</v>
      </c>
      <c r="L40" s="64">
        <v>16.07</v>
      </c>
      <c r="M40" s="64">
        <v>98.2</v>
      </c>
      <c r="N40" s="64">
        <v>51.9</v>
      </c>
      <c r="O40" s="64">
        <v>0</v>
      </c>
      <c r="P40" s="64">
        <v>0.81</v>
      </c>
      <c r="Q40" s="64">
        <v>3.31</v>
      </c>
      <c r="R40" s="198"/>
      <c r="S40" s="198"/>
      <c r="T40" s="198"/>
      <c r="U40" s="198"/>
    </row>
    <row r="41" spans="1:21" s="12" customFormat="1" x14ac:dyDescent="0.25">
      <c r="A41" s="214" t="s">
        <v>856</v>
      </c>
      <c r="B41" s="64">
        <v>28.47</v>
      </c>
      <c r="C41" s="64">
        <v>38.72</v>
      </c>
      <c r="D41" s="64">
        <v>44.85</v>
      </c>
      <c r="E41" s="64">
        <v>2.14</v>
      </c>
      <c r="F41" s="64">
        <v>3.92</v>
      </c>
      <c r="G41" s="212" t="s">
        <v>42</v>
      </c>
      <c r="H41" s="212" t="s">
        <v>42</v>
      </c>
      <c r="I41" s="64">
        <v>1.53</v>
      </c>
      <c r="J41" s="64">
        <v>0.49</v>
      </c>
      <c r="K41" s="64">
        <v>341.14</v>
      </c>
      <c r="L41" s="64">
        <v>16.12</v>
      </c>
      <c r="M41" s="64">
        <v>98.2</v>
      </c>
      <c r="N41" s="64">
        <v>65.599999999999994</v>
      </c>
      <c r="O41" s="64">
        <v>0</v>
      </c>
      <c r="P41" s="64">
        <v>0.75</v>
      </c>
      <c r="Q41" s="64">
        <v>4.24</v>
      </c>
      <c r="R41" s="198"/>
      <c r="S41" s="198"/>
      <c r="T41" s="198"/>
      <c r="U41" s="198"/>
    </row>
    <row r="42" spans="1:21" s="12" customFormat="1" x14ac:dyDescent="0.25">
      <c r="A42" s="214" t="s">
        <v>857</v>
      </c>
      <c r="B42" s="64">
        <v>30.93</v>
      </c>
      <c r="C42" s="64">
        <v>39.200000000000003</v>
      </c>
      <c r="D42" s="64">
        <v>47.08</v>
      </c>
      <c r="E42" s="64">
        <v>2.2000000000000002</v>
      </c>
      <c r="F42" s="64">
        <v>3.61</v>
      </c>
      <c r="G42" s="212" t="s">
        <v>42</v>
      </c>
      <c r="H42" s="212" t="s">
        <v>42</v>
      </c>
      <c r="I42" s="64">
        <v>1.57</v>
      </c>
      <c r="J42" s="64">
        <v>0.3</v>
      </c>
      <c r="K42" s="64">
        <v>106.29</v>
      </c>
      <c r="L42" s="64">
        <v>15.98</v>
      </c>
      <c r="M42" s="64">
        <v>98.2</v>
      </c>
      <c r="N42" s="64">
        <v>77.2</v>
      </c>
      <c r="O42" s="64">
        <v>0</v>
      </c>
      <c r="P42" s="64">
        <v>0.75</v>
      </c>
      <c r="Q42" s="6" t="s">
        <v>42</v>
      </c>
      <c r="R42" s="198"/>
      <c r="S42" s="198"/>
      <c r="T42" s="198"/>
      <c r="U42" s="198"/>
    </row>
    <row r="43" spans="1:21" s="12" customFormat="1" x14ac:dyDescent="0.25">
      <c r="A43" s="214" t="s">
        <v>858</v>
      </c>
      <c r="B43" s="64">
        <v>32.130000000000003</v>
      </c>
      <c r="C43" s="64">
        <v>38.5</v>
      </c>
      <c r="D43" s="64">
        <v>47.66</v>
      </c>
      <c r="E43" s="64">
        <v>2.16</v>
      </c>
      <c r="F43" s="64">
        <v>3.89</v>
      </c>
      <c r="G43" s="212" t="s">
        <v>42</v>
      </c>
      <c r="H43" s="212" t="s">
        <v>42</v>
      </c>
      <c r="I43" s="64">
        <v>1.54</v>
      </c>
      <c r="J43" s="64">
        <v>0.14000000000000001</v>
      </c>
      <c r="K43" s="64">
        <v>23.27</v>
      </c>
      <c r="L43" s="64">
        <v>16.190000000000001</v>
      </c>
      <c r="M43" s="64">
        <v>97.72</v>
      </c>
      <c r="N43" s="64">
        <v>93.9</v>
      </c>
      <c r="O43" s="64">
        <v>0</v>
      </c>
      <c r="P43" s="64">
        <v>0.77</v>
      </c>
      <c r="Q43" s="64">
        <v>6.17</v>
      </c>
      <c r="R43" s="198"/>
      <c r="S43" s="198"/>
      <c r="T43" s="198"/>
      <c r="U43" s="198"/>
    </row>
    <row r="44" spans="1:21" s="12" customFormat="1" x14ac:dyDescent="0.25">
      <c r="A44" s="214" t="s">
        <v>859</v>
      </c>
      <c r="B44" s="64">
        <v>33.49</v>
      </c>
      <c r="C44" s="64">
        <v>39</v>
      </c>
      <c r="D44" s="64">
        <v>49.03</v>
      </c>
      <c r="E44" s="64">
        <v>2.2400000000000002</v>
      </c>
      <c r="F44" s="64">
        <v>3.73</v>
      </c>
      <c r="G44" s="64">
        <v>6.27</v>
      </c>
      <c r="H44" s="64">
        <v>4.33</v>
      </c>
      <c r="I44" s="64">
        <v>1.47</v>
      </c>
      <c r="J44" s="64">
        <v>0.35</v>
      </c>
      <c r="K44" s="64">
        <v>337.73</v>
      </c>
      <c r="L44" s="64">
        <v>16.55</v>
      </c>
      <c r="M44" s="64">
        <v>98.22</v>
      </c>
      <c r="N44" s="64">
        <v>88.8</v>
      </c>
      <c r="O44" s="64">
        <v>0</v>
      </c>
      <c r="P44" s="64">
        <v>0.88</v>
      </c>
      <c r="Q44" s="64">
        <v>4.8899999999999997</v>
      </c>
      <c r="R44" s="198"/>
      <c r="S44" s="198"/>
      <c r="T44" s="198"/>
      <c r="U44" s="198"/>
    </row>
    <row r="45" spans="1:21" s="12" customFormat="1" x14ac:dyDescent="0.25">
      <c r="A45" s="214" t="s">
        <v>860</v>
      </c>
      <c r="B45" s="64">
        <v>36.18</v>
      </c>
      <c r="C45" s="64">
        <v>39.56</v>
      </c>
      <c r="D45" s="64">
        <v>51.49</v>
      </c>
      <c r="E45" s="64">
        <v>2.25</v>
      </c>
      <c r="F45" s="64">
        <v>3.16</v>
      </c>
      <c r="G45" s="64">
        <v>6.27</v>
      </c>
      <c r="H45" s="64">
        <v>4.33</v>
      </c>
      <c r="I45" s="64">
        <v>1.52</v>
      </c>
      <c r="J45" s="64">
        <v>0.54</v>
      </c>
      <c r="K45" s="64">
        <v>343.25</v>
      </c>
      <c r="L45" s="64">
        <v>16.75</v>
      </c>
      <c r="M45" s="64">
        <v>98.23</v>
      </c>
      <c r="N45" s="64">
        <v>95</v>
      </c>
      <c r="O45" s="64">
        <v>0</v>
      </c>
      <c r="P45" s="64">
        <v>0.86</v>
      </c>
      <c r="Q45" s="64">
        <v>3.03</v>
      </c>
      <c r="R45" s="198"/>
      <c r="S45" s="198"/>
      <c r="T45" s="198"/>
      <c r="U45" s="198"/>
    </row>
    <row r="46" spans="1:21" s="12" customFormat="1" x14ac:dyDescent="0.25">
      <c r="A46" s="214" t="s">
        <v>861</v>
      </c>
      <c r="B46" s="64">
        <v>38.229999999999997</v>
      </c>
      <c r="C46" s="64">
        <v>40.07</v>
      </c>
      <c r="D46" s="64">
        <v>53.42</v>
      </c>
      <c r="E46" s="64">
        <v>2.1800000000000002</v>
      </c>
      <c r="F46" s="64">
        <v>3.66</v>
      </c>
      <c r="G46" s="64">
        <v>6.27</v>
      </c>
      <c r="H46" s="64">
        <v>4.33</v>
      </c>
      <c r="I46" s="64">
        <v>1.5</v>
      </c>
      <c r="J46" s="64">
        <v>0.46</v>
      </c>
      <c r="K46" s="64">
        <v>347.25</v>
      </c>
      <c r="L46" s="64">
        <v>16.82</v>
      </c>
      <c r="M46" s="64">
        <v>98.23</v>
      </c>
      <c r="N46" s="64">
        <v>94.8</v>
      </c>
      <c r="O46" s="64">
        <v>0</v>
      </c>
      <c r="P46" s="64">
        <v>0.92</v>
      </c>
      <c r="Q46" s="64">
        <v>5.73</v>
      </c>
      <c r="R46" s="198"/>
      <c r="S46" s="198"/>
      <c r="T46" s="198"/>
      <c r="U46" s="198"/>
    </row>
    <row r="47" spans="1:21" s="12" customFormat="1" x14ac:dyDescent="0.25">
      <c r="A47" s="214" t="s">
        <v>862</v>
      </c>
      <c r="B47" s="64">
        <v>39.299999999999997</v>
      </c>
      <c r="C47" s="64">
        <v>40.54</v>
      </c>
      <c r="D47" s="64">
        <v>54.54</v>
      </c>
      <c r="E47" s="64">
        <v>2.27</v>
      </c>
      <c r="F47" s="64">
        <v>3.85</v>
      </c>
      <c r="G47" s="64">
        <v>6.66</v>
      </c>
      <c r="H47" s="64">
        <v>4.2300000000000004</v>
      </c>
      <c r="I47" s="64">
        <v>1.45</v>
      </c>
      <c r="J47" s="64">
        <v>0.53</v>
      </c>
      <c r="K47" s="64">
        <v>339.46</v>
      </c>
      <c r="L47" s="64">
        <v>16.91</v>
      </c>
      <c r="M47" s="64">
        <v>98.23</v>
      </c>
      <c r="N47" s="64">
        <v>123.6</v>
      </c>
      <c r="O47" s="64">
        <v>0</v>
      </c>
      <c r="P47" s="64">
        <v>0.99</v>
      </c>
      <c r="Q47" s="64">
        <v>7.18</v>
      </c>
      <c r="R47" s="198"/>
      <c r="S47" s="198"/>
      <c r="T47" s="198"/>
      <c r="U47" s="198"/>
    </row>
    <row r="48" spans="1:21" s="12" customFormat="1" x14ac:dyDescent="0.25">
      <c r="A48" s="214" t="s">
        <v>863</v>
      </c>
      <c r="B48" s="64">
        <v>40.15</v>
      </c>
      <c r="C48" s="64">
        <v>41.02</v>
      </c>
      <c r="D48" s="64">
        <v>55.48</v>
      </c>
      <c r="E48" s="64">
        <v>2.27</v>
      </c>
      <c r="F48" s="64">
        <v>3.81</v>
      </c>
      <c r="G48" s="64">
        <v>8.26</v>
      </c>
      <c r="H48" s="64">
        <v>3.96</v>
      </c>
      <c r="I48" s="64">
        <v>1.53</v>
      </c>
      <c r="J48" s="64">
        <v>0.89</v>
      </c>
      <c r="K48" s="64">
        <v>346.75</v>
      </c>
      <c r="L48" s="64">
        <v>17.11</v>
      </c>
      <c r="M48" s="64">
        <v>98.23</v>
      </c>
      <c r="N48" s="64">
        <v>106.9</v>
      </c>
      <c r="O48" s="64">
        <v>0</v>
      </c>
      <c r="P48" s="64">
        <v>1.0900000000000001</v>
      </c>
      <c r="Q48" s="64">
        <v>7.39</v>
      </c>
      <c r="R48" s="198"/>
      <c r="S48" s="198"/>
      <c r="T48" s="198"/>
      <c r="U48" s="198"/>
    </row>
    <row r="49" spans="1:21" s="12" customFormat="1" x14ac:dyDescent="0.25">
      <c r="A49" s="214" t="s">
        <v>864</v>
      </c>
      <c r="B49" s="64">
        <v>40.67</v>
      </c>
      <c r="C49" s="64">
        <v>40.9</v>
      </c>
      <c r="D49" s="64">
        <v>55.83</v>
      </c>
      <c r="E49" s="64">
        <v>2.2200000000000002</v>
      </c>
      <c r="F49" s="64">
        <v>4.3899999999999997</v>
      </c>
      <c r="G49" s="64">
        <v>8.26</v>
      </c>
      <c r="H49" s="64">
        <v>3.96</v>
      </c>
      <c r="I49" s="64">
        <v>1.54</v>
      </c>
      <c r="J49" s="64">
        <v>0.78</v>
      </c>
      <c r="K49" s="64">
        <v>345.98</v>
      </c>
      <c r="L49" s="64">
        <v>17.059999999999999</v>
      </c>
      <c r="M49" s="64">
        <v>98.22</v>
      </c>
      <c r="N49" s="64">
        <v>105.4</v>
      </c>
      <c r="O49" s="64">
        <v>0</v>
      </c>
      <c r="P49" s="64">
        <v>1.03</v>
      </c>
      <c r="Q49" s="64">
        <v>8.15</v>
      </c>
      <c r="R49" s="198"/>
      <c r="S49" s="198"/>
      <c r="T49" s="198"/>
      <c r="U49" s="198"/>
    </row>
    <row r="50" spans="1:21" s="12" customFormat="1" x14ac:dyDescent="0.25">
      <c r="A50" s="214" t="s">
        <v>865</v>
      </c>
      <c r="B50" s="64">
        <v>41.1</v>
      </c>
      <c r="C50" s="64">
        <v>41.08</v>
      </c>
      <c r="D50" s="64">
        <v>56.27</v>
      </c>
      <c r="E50" s="64">
        <v>2.2200000000000002</v>
      </c>
      <c r="F50" s="64">
        <v>4.33</v>
      </c>
      <c r="G50" s="64">
        <v>8.26</v>
      </c>
      <c r="H50" s="64">
        <v>3.96</v>
      </c>
      <c r="I50" s="64">
        <v>1.5</v>
      </c>
      <c r="J50" s="64">
        <v>0.78</v>
      </c>
      <c r="K50" s="64">
        <v>332.65</v>
      </c>
      <c r="L50" s="64">
        <v>17.13</v>
      </c>
      <c r="M50" s="64">
        <v>98.22</v>
      </c>
      <c r="N50" s="64">
        <v>84.9</v>
      </c>
      <c r="O50" s="64">
        <v>0</v>
      </c>
      <c r="P50" s="64">
        <v>1.05</v>
      </c>
      <c r="Q50" s="64">
        <v>8.1</v>
      </c>
      <c r="R50" s="198"/>
      <c r="S50" s="198"/>
      <c r="T50" s="198"/>
      <c r="U50" s="198"/>
    </row>
    <row r="51" spans="1:21" s="12" customFormat="1" x14ac:dyDescent="0.25">
      <c r="A51" s="214" t="s">
        <v>866</v>
      </c>
      <c r="B51" s="64">
        <v>41.45</v>
      </c>
      <c r="C51" s="64">
        <v>41.4</v>
      </c>
      <c r="D51" s="64">
        <v>56.73</v>
      </c>
      <c r="E51" s="64">
        <v>2.21</v>
      </c>
      <c r="F51" s="64">
        <v>3.9</v>
      </c>
      <c r="G51" s="64">
        <v>8.36</v>
      </c>
      <c r="H51" s="64">
        <v>3.94</v>
      </c>
      <c r="I51" s="64">
        <v>1.52</v>
      </c>
      <c r="J51" s="64">
        <v>0.62</v>
      </c>
      <c r="K51" s="64">
        <v>346</v>
      </c>
      <c r="L51" s="64">
        <v>17.18</v>
      </c>
      <c r="M51" s="64">
        <v>98.22</v>
      </c>
      <c r="N51" s="64">
        <v>96.1</v>
      </c>
      <c r="O51" s="64">
        <v>0</v>
      </c>
      <c r="P51" s="64">
        <v>1.18</v>
      </c>
      <c r="Q51" s="64">
        <v>7.95</v>
      </c>
      <c r="R51" s="198"/>
      <c r="S51" s="198"/>
      <c r="T51" s="198"/>
      <c r="U51" s="198"/>
    </row>
    <row r="52" spans="1:21" s="12" customFormat="1" x14ac:dyDescent="0.25">
      <c r="A52" s="214" t="s">
        <v>867</v>
      </c>
      <c r="B52" s="64">
        <v>42.17</v>
      </c>
      <c r="C52" s="64">
        <v>41.87</v>
      </c>
      <c r="D52" s="64">
        <v>57.57</v>
      </c>
      <c r="E52" s="64">
        <v>2.31</v>
      </c>
      <c r="F52" s="64">
        <v>3.6</v>
      </c>
      <c r="G52" s="64">
        <v>8.76</v>
      </c>
      <c r="H52" s="64">
        <v>3.89</v>
      </c>
      <c r="I52" s="64">
        <v>1.47</v>
      </c>
      <c r="J52" s="64">
        <v>0.97</v>
      </c>
      <c r="K52" s="64">
        <v>331.86</v>
      </c>
      <c r="L52" s="64">
        <v>17.14</v>
      </c>
      <c r="M52" s="64">
        <v>98.2</v>
      </c>
      <c r="N52" s="64">
        <v>98.3</v>
      </c>
      <c r="O52" s="64">
        <v>0</v>
      </c>
      <c r="P52" s="64">
        <v>1.1299999999999999</v>
      </c>
      <c r="Q52" s="64">
        <v>7.19</v>
      </c>
      <c r="R52" s="198"/>
      <c r="S52" s="198"/>
      <c r="T52" s="198"/>
      <c r="U52" s="198"/>
    </row>
    <row r="53" spans="1:21" s="12" customFormat="1" x14ac:dyDescent="0.25">
      <c r="A53" s="214" t="s">
        <v>868</v>
      </c>
      <c r="B53" s="64">
        <v>43.12</v>
      </c>
      <c r="C53" s="64">
        <v>41.9</v>
      </c>
      <c r="D53" s="64">
        <v>58.34</v>
      </c>
      <c r="E53" s="64">
        <v>2.31</v>
      </c>
      <c r="F53" s="64">
        <v>3.68</v>
      </c>
      <c r="G53" s="64">
        <v>8.76</v>
      </c>
      <c r="H53" s="64">
        <v>3.89</v>
      </c>
      <c r="I53" s="64">
        <v>1.53</v>
      </c>
      <c r="J53" s="64">
        <v>1.0900000000000001</v>
      </c>
      <c r="K53" s="64">
        <v>329.84</v>
      </c>
      <c r="L53" s="64">
        <v>17.100000000000001</v>
      </c>
      <c r="M53" s="64">
        <v>98.22</v>
      </c>
      <c r="N53" s="64">
        <v>109.8</v>
      </c>
      <c r="O53" s="64">
        <v>0</v>
      </c>
      <c r="P53" s="64">
        <v>1.06</v>
      </c>
      <c r="Q53" s="64">
        <v>7.24</v>
      </c>
      <c r="R53" s="198"/>
      <c r="S53" s="198"/>
      <c r="T53" s="198"/>
      <c r="U53" s="198"/>
    </row>
    <row r="54" spans="1:21" s="12" customFormat="1" x14ac:dyDescent="0.25">
      <c r="A54" s="214" t="s">
        <v>869</v>
      </c>
      <c r="B54" s="64">
        <v>43.83</v>
      </c>
      <c r="C54" s="64">
        <v>42.23</v>
      </c>
      <c r="D54" s="64">
        <v>59.1</v>
      </c>
      <c r="E54" s="64">
        <v>2.36</v>
      </c>
      <c r="F54" s="64">
        <v>3.62</v>
      </c>
      <c r="G54" s="64">
        <v>8.76</v>
      </c>
      <c r="H54" s="64">
        <v>3.89</v>
      </c>
      <c r="I54" s="64">
        <v>1.56</v>
      </c>
      <c r="J54" s="64">
        <v>0.98</v>
      </c>
      <c r="K54" s="64">
        <v>324.99</v>
      </c>
      <c r="L54" s="64">
        <v>17.12</v>
      </c>
      <c r="M54" s="64">
        <v>98.22</v>
      </c>
      <c r="N54" s="64">
        <v>95.1</v>
      </c>
      <c r="O54" s="64">
        <v>0</v>
      </c>
      <c r="P54" s="64">
        <v>1.07</v>
      </c>
      <c r="Q54" s="64">
        <v>7.68</v>
      </c>
      <c r="R54" s="198"/>
      <c r="S54" s="198"/>
      <c r="T54" s="198"/>
      <c r="U54" s="198"/>
    </row>
    <row r="55" spans="1:21" s="12" customFormat="1" x14ac:dyDescent="0.25">
      <c r="A55" s="214" t="s">
        <v>870</v>
      </c>
      <c r="B55" s="64">
        <v>44.5</v>
      </c>
      <c r="C55" s="64">
        <v>42.31</v>
      </c>
      <c r="D55" s="64">
        <v>59.68</v>
      </c>
      <c r="E55" s="64">
        <v>2.39</v>
      </c>
      <c r="F55" s="64">
        <v>3.6</v>
      </c>
      <c r="G55" s="64">
        <v>11.45</v>
      </c>
      <c r="H55" s="64">
        <v>6.16</v>
      </c>
      <c r="I55" s="64">
        <v>1.54</v>
      </c>
      <c r="J55" s="64">
        <v>0.83</v>
      </c>
      <c r="K55" s="64">
        <v>330.66</v>
      </c>
      <c r="L55" s="64">
        <v>17.059999999999999</v>
      </c>
      <c r="M55" s="64">
        <v>98.22</v>
      </c>
      <c r="N55" s="64">
        <v>83.2</v>
      </c>
      <c r="O55" s="64">
        <v>0</v>
      </c>
      <c r="P55" s="64">
        <v>1.03</v>
      </c>
      <c r="Q55" s="64">
        <v>7.78</v>
      </c>
      <c r="R55" s="198"/>
      <c r="S55" s="198"/>
      <c r="T55" s="198"/>
      <c r="U55" s="198"/>
    </row>
    <row r="56" spans="1:21" s="12" customFormat="1" x14ac:dyDescent="0.25">
      <c r="A56" s="214" t="s">
        <v>871</v>
      </c>
      <c r="B56" s="64">
        <v>45.42</v>
      </c>
      <c r="C56" s="64">
        <v>39.76</v>
      </c>
      <c r="D56" s="64">
        <v>59.01</v>
      </c>
      <c r="E56" s="64">
        <v>2.2799999999999998</v>
      </c>
      <c r="F56" s="64">
        <v>3.26</v>
      </c>
      <c r="G56" s="64">
        <v>22.23</v>
      </c>
      <c r="H56" s="64">
        <v>12.35</v>
      </c>
      <c r="I56" s="64">
        <v>1.47</v>
      </c>
      <c r="J56" s="64">
        <v>0.6</v>
      </c>
      <c r="K56" s="64">
        <v>327.33</v>
      </c>
      <c r="L56" s="64">
        <v>17.11</v>
      </c>
      <c r="M56" s="64">
        <v>98.2</v>
      </c>
      <c r="N56" s="64">
        <v>81.099999999999994</v>
      </c>
      <c r="O56" s="64">
        <v>0</v>
      </c>
      <c r="P56" s="64">
        <v>1.1399999999999999</v>
      </c>
      <c r="Q56" s="64">
        <v>7.48</v>
      </c>
      <c r="R56" s="198"/>
      <c r="S56" s="198"/>
      <c r="T56" s="198"/>
      <c r="U56" s="198"/>
    </row>
    <row r="57" spans="1:21" s="12" customFormat="1" x14ac:dyDescent="0.25">
      <c r="A57" s="214" t="s">
        <v>872</v>
      </c>
      <c r="B57" s="64">
        <v>46.52</v>
      </c>
      <c r="C57" s="64">
        <v>40.22</v>
      </c>
      <c r="D57" s="64">
        <v>60.15</v>
      </c>
      <c r="E57" s="64">
        <v>2.56</v>
      </c>
      <c r="F57" s="64">
        <v>3.48</v>
      </c>
      <c r="G57" s="64">
        <v>22.23</v>
      </c>
      <c r="H57" s="64">
        <v>12.35</v>
      </c>
      <c r="I57" s="64">
        <v>1.43</v>
      </c>
      <c r="J57" s="64">
        <v>1</v>
      </c>
      <c r="K57" s="64">
        <v>335.25</v>
      </c>
      <c r="L57" s="64">
        <v>17.13</v>
      </c>
      <c r="M57" s="64">
        <v>98.2</v>
      </c>
      <c r="N57" s="64">
        <v>97.4</v>
      </c>
      <c r="O57" s="64">
        <v>0</v>
      </c>
      <c r="P57" s="64">
        <v>1.07</v>
      </c>
      <c r="Q57" s="64">
        <v>6.97</v>
      </c>
      <c r="R57" s="198"/>
      <c r="S57" s="198"/>
      <c r="T57" s="198"/>
      <c r="U57" s="198"/>
    </row>
    <row r="58" spans="1:21" s="12" customFormat="1" x14ac:dyDescent="0.25">
      <c r="A58" s="214" t="s">
        <v>873</v>
      </c>
      <c r="B58" s="64">
        <v>47.52</v>
      </c>
      <c r="C58" s="64">
        <v>40.270000000000003</v>
      </c>
      <c r="D58" s="64">
        <v>60.98</v>
      </c>
      <c r="E58" s="64">
        <v>2.61</v>
      </c>
      <c r="F58" s="64">
        <v>3.47</v>
      </c>
      <c r="G58" s="64">
        <v>22.23</v>
      </c>
      <c r="H58" s="64">
        <v>12.35</v>
      </c>
      <c r="I58" s="64">
        <v>1.53</v>
      </c>
      <c r="J58" s="64">
        <v>0.86</v>
      </c>
      <c r="K58" s="64">
        <v>339.57</v>
      </c>
      <c r="L58" s="64">
        <v>17.14</v>
      </c>
      <c r="M58" s="64">
        <v>98.2</v>
      </c>
      <c r="N58" s="64">
        <v>89.3</v>
      </c>
      <c r="O58" s="64">
        <v>0</v>
      </c>
      <c r="P58" s="64">
        <v>1.1200000000000001</v>
      </c>
      <c r="Q58" s="64">
        <v>7.07</v>
      </c>
      <c r="R58" s="198"/>
      <c r="S58" s="198"/>
      <c r="T58" s="198"/>
      <c r="U58" s="198"/>
    </row>
    <row r="59" spans="1:21" s="12" customFormat="1" x14ac:dyDescent="0.25">
      <c r="A59" s="214" t="s">
        <v>874</v>
      </c>
      <c r="B59" s="64">
        <v>48.12</v>
      </c>
      <c r="C59" s="64">
        <v>40.130000000000003</v>
      </c>
      <c r="D59" s="64">
        <v>61.38</v>
      </c>
      <c r="E59" s="64">
        <v>2.54</v>
      </c>
      <c r="F59" s="64">
        <v>3.52</v>
      </c>
      <c r="G59" s="64">
        <v>25.44</v>
      </c>
      <c r="H59" s="64">
        <v>14</v>
      </c>
      <c r="I59" s="64">
        <v>1.53</v>
      </c>
      <c r="J59" s="64">
        <v>0.8</v>
      </c>
      <c r="K59" s="64">
        <v>329.41</v>
      </c>
      <c r="L59" s="64">
        <v>17.149999999999999</v>
      </c>
      <c r="M59" s="64">
        <v>98.2</v>
      </c>
      <c r="N59" s="64">
        <v>78.8</v>
      </c>
      <c r="O59" s="64">
        <v>0</v>
      </c>
      <c r="P59" s="64">
        <v>1.04</v>
      </c>
      <c r="Q59" s="64">
        <v>8.25</v>
      </c>
      <c r="R59" s="198"/>
      <c r="S59" s="198"/>
      <c r="T59" s="198"/>
      <c r="U59" s="198"/>
    </row>
    <row r="60" spans="1:21" s="12" customFormat="1" x14ac:dyDescent="0.25">
      <c r="A60" s="214" t="s">
        <v>875</v>
      </c>
      <c r="B60" s="64">
        <v>48.13</v>
      </c>
      <c r="C60" s="64">
        <v>41.22</v>
      </c>
      <c r="D60" s="64">
        <v>61.99</v>
      </c>
      <c r="E60" s="64">
        <v>2.56</v>
      </c>
      <c r="F60" s="64">
        <v>3.86</v>
      </c>
      <c r="G60" s="64">
        <v>37.450000000000003</v>
      </c>
      <c r="H60" s="64">
        <v>21.32</v>
      </c>
      <c r="I60" s="64">
        <v>1.47</v>
      </c>
      <c r="J60" s="64">
        <v>1.21</v>
      </c>
      <c r="K60" s="64">
        <v>337.34</v>
      </c>
      <c r="L60" s="64">
        <v>17.04</v>
      </c>
      <c r="M60" s="64">
        <v>98.2</v>
      </c>
      <c r="N60" s="64">
        <v>73.8</v>
      </c>
      <c r="O60" s="64">
        <v>0</v>
      </c>
      <c r="P60" s="64">
        <v>0.96</v>
      </c>
      <c r="Q60" s="64">
        <v>8.56</v>
      </c>
      <c r="R60" s="198"/>
      <c r="S60" s="198"/>
      <c r="T60" s="198"/>
      <c r="U60" s="198"/>
    </row>
    <row r="61" spans="1:21" s="12" customFormat="1" x14ac:dyDescent="0.25">
      <c r="A61" s="214" t="s">
        <v>876</v>
      </c>
      <c r="B61" s="64">
        <v>47.62</v>
      </c>
      <c r="C61" s="64">
        <v>41.16</v>
      </c>
      <c r="D61" s="64">
        <v>61.55</v>
      </c>
      <c r="E61" s="64">
        <v>2.5299999999999998</v>
      </c>
      <c r="F61" s="64">
        <v>4.07</v>
      </c>
      <c r="G61" s="64">
        <v>37.450000000000003</v>
      </c>
      <c r="H61" s="64">
        <v>21.32</v>
      </c>
      <c r="I61" s="64">
        <v>1.54</v>
      </c>
      <c r="J61" s="64">
        <v>1.06</v>
      </c>
      <c r="K61" s="64">
        <v>335.16</v>
      </c>
      <c r="L61" s="64">
        <v>16.98</v>
      </c>
      <c r="M61" s="64">
        <v>98.2</v>
      </c>
      <c r="N61" s="64">
        <v>63.6</v>
      </c>
      <c r="O61" s="64">
        <v>0</v>
      </c>
      <c r="P61" s="64">
        <v>0.81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14" t="s">
        <v>877</v>
      </c>
      <c r="B62" s="64">
        <v>46.73</v>
      </c>
      <c r="C62" s="64">
        <v>41.27</v>
      </c>
      <c r="D62" s="64">
        <v>60.9</v>
      </c>
      <c r="E62" s="64">
        <v>2.57</v>
      </c>
      <c r="F62" s="64">
        <v>4.34</v>
      </c>
      <c r="G62" s="64">
        <v>37.450000000000003</v>
      </c>
      <c r="H62" s="64">
        <v>21.32</v>
      </c>
      <c r="I62" s="64">
        <v>1.54</v>
      </c>
      <c r="J62" s="64">
        <v>1.28</v>
      </c>
      <c r="K62" s="64">
        <v>337.51</v>
      </c>
      <c r="L62" s="64">
        <v>16.850000000000001</v>
      </c>
      <c r="M62" s="64">
        <v>98.2</v>
      </c>
      <c r="N62" s="64">
        <v>73.8</v>
      </c>
      <c r="O62" s="64">
        <v>0</v>
      </c>
      <c r="P62" s="64">
        <v>0.91</v>
      </c>
      <c r="Q62" s="64">
        <v>9.76</v>
      </c>
      <c r="R62" s="198"/>
      <c r="S62" s="198"/>
      <c r="T62" s="198"/>
      <c r="U62" s="198"/>
    </row>
    <row r="63" spans="1:21" s="12" customFormat="1" x14ac:dyDescent="0.25">
      <c r="A63" s="214" t="s">
        <v>878</v>
      </c>
      <c r="B63" s="64">
        <v>44.93</v>
      </c>
      <c r="C63" s="64">
        <v>41.11</v>
      </c>
      <c r="D63" s="64">
        <v>59.36</v>
      </c>
      <c r="E63" s="64">
        <v>2.4700000000000002</v>
      </c>
      <c r="F63" s="64">
        <v>6.26</v>
      </c>
      <c r="G63" s="64">
        <v>37.4</v>
      </c>
      <c r="H63" s="64">
        <v>20.88</v>
      </c>
      <c r="I63" s="64">
        <v>1.5</v>
      </c>
      <c r="J63" s="64">
        <v>1.24</v>
      </c>
      <c r="K63" s="64">
        <v>333.01</v>
      </c>
      <c r="L63" s="64">
        <v>16.82</v>
      </c>
      <c r="M63" s="64">
        <v>98.2</v>
      </c>
      <c r="N63" s="64">
        <v>77.099999999999994</v>
      </c>
      <c r="O63" s="64">
        <v>0</v>
      </c>
      <c r="P63" s="64">
        <v>0.62</v>
      </c>
      <c r="Q63" s="64">
        <v>10.77</v>
      </c>
      <c r="R63" s="198"/>
      <c r="S63" s="198"/>
      <c r="T63" s="198"/>
      <c r="U63" s="198"/>
    </row>
    <row r="64" spans="1:21" s="12" customFormat="1" x14ac:dyDescent="0.25">
      <c r="A64" s="214" t="s">
        <v>879</v>
      </c>
      <c r="B64" s="64">
        <v>42.72</v>
      </c>
      <c r="C64" s="64">
        <v>41.24</v>
      </c>
      <c r="D64" s="64">
        <v>57.66</v>
      </c>
      <c r="E64" s="64">
        <v>2.4300000000000002</v>
      </c>
      <c r="F64" s="64">
        <v>5.62</v>
      </c>
      <c r="G64" s="64">
        <v>37.200000000000003</v>
      </c>
      <c r="H64" s="64">
        <v>19.7</v>
      </c>
      <c r="I64" s="64">
        <v>1.53</v>
      </c>
      <c r="J64" s="64">
        <v>0.96</v>
      </c>
      <c r="K64" s="64">
        <v>331.42</v>
      </c>
      <c r="L64" s="64">
        <v>16.88</v>
      </c>
      <c r="M64" s="64">
        <v>98.2</v>
      </c>
      <c r="N64" s="64">
        <v>58.3</v>
      </c>
      <c r="O64" s="64">
        <v>0</v>
      </c>
      <c r="P64" s="64">
        <v>0.71</v>
      </c>
      <c r="Q64" s="64">
        <v>10.57</v>
      </c>
      <c r="R64" s="198"/>
      <c r="S64" s="198"/>
      <c r="T64" s="198"/>
      <c r="U64" s="198"/>
    </row>
    <row r="65" spans="1:21" s="12" customFormat="1" x14ac:dyDescent="0.25">
      <c r="A65" s="214" t="s">
        <v>880</v>
      </c>
      <c r="B65" s="64">
        <v>40.97</v>
      </c>
      <c r="C65" s="64">
        <v>41.03</v>
      </c>
      <c r="D65" s="64">
        <v>56.14</v>
      </c>
      <c r="E65" s="64">
        <v>2.41</v>
      </c>
      <c r="F65" s="64">
        <v>6.07</v>
      </c>
      <c r="G65" s="64">
        <v>37.200000000000003</v>
      </c>
      <c r="H65" s="64">
        <v>19.7</v>
      </c>
      <c r="I65" s="64">
        <v>1.46</v>
      </c>
      <c r="J65" s="64">
        <v>1.1599999999999999</v>
      </c>
      <c r="K65" s="64">
        <v>335.36</v>
      </c>
      <c r="L65" s="64">
        <v>16.75</v>
      </c>
      <c r="M65" s="64">
        <v>98.2</v>
      </c>
      <c r="N65" s="64">
        <v>78.400000000000006</v>
      </c>
      <c r="O65" s="64">
        <v>0</v>
      </c>
      <c r="P65" s="64">
        <v>0.63</v>
      </c>
      <c r="Q65" s="64">
        <v>10.37</v>
      </c>
      <c r="R65" s="198"/>
      <c r="S65" s="198"/>
      <c r="T65" s="198"/>
      <c r="U65" s="198"/>
    </row>
    <row r="66" spans="1:21" s="12" customFormat="1" x14ac:dyDescent="0.25">
      <c r="A66" s="214" t="s">
        <v>881</v>
      </c>
      <c r="B66" s="64">
        <v>39.659999999999997</v>
      </c>
      <c r="C66" s="64">
        <v>40.89</v>
      </c>
      <c r="D66" s="64">
        <v>55.02</v>
      </c>
      <c r="E66" s="64">
        <v>2.39</v>
      </c>
      <c r="F66" s="64">
        <v>5.39</v>
      </c>
      <c r="G66" s="64">
        <v>37.200000000000003</v>
      </c>
      <c r="H66" s="64">
        <v>19.7</v>
      </c>
      <c r="I66" s="64">
        <v>1.51</v>
      </c>
      <c r="J66" s="64">
        <v>0.93</v>
      </c>
      <c r="K66" s="64">
        <v>343.9</v>
      </c>
      <c r="L66" s="64">
        <v>16.88</v>
      </c>
      <c r="M66" s="64">
        <v>98.2</v>
      </c>
      <c r="N66" s="64">
        <v>75.7</v>
      </c>
      <c r="O66" s="64">
        <v>0</v>
      </c>
      <c r="P66" s="64">
        <v>0.73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14" t="s">
        <v>882</v>
      </c>
      <c r="B67" s="64">
        <v>38.659999999999997</v>
      </c>
      <c r="C67" s="64">
        <v>40.68</v>
      </c>
      <c r="D67" s="64">
        <v>54.1</v>
      </c>
      <c r="E67" s="64">
        <v>2.41</v>
      </c>
      <c r="F67" s="64">
        <v>4.99</v>
      </c>
      <c r="G67" s="64">
        <v>35.94</v>
      </c>
      <c r="H67" s="64">
        <v>18.12</v>
      </c>
      <c r="I67" s="64">
        <v>1.61</v>
      </c>
      <c r="J67" s="64">
        <v>0.85</v>
      </c>
      <c r="K67" s="64">
        <v>331.32</v>
      </c>
      <c r="L67" s="64">
        <v>16.93</v>
      </c>
      <c r="M67" s="64">
        <v>98.2</v>
      </c>
      <c r="N67" s="64">
        <v>84.9</v>
      </c>
      <c r="O67" s="64">
        <v>0</v>
      </c>
      <c r="P67" s="64">
        <v>0.75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4" t="s">
        <v>883</v>
      </c>
      <c r="B68" s="64">
        <v>37.99</v>
      </c>
      <c r="C68" s="64">
        <v>41.04</v>
      </c>
      <c r="D68" s="64">
        <v>53.76</v>
      </c>
      <c r="E68" s="64">
        <v>2.37</v>
      </c>
      <c r="F68" s="64">
        <v>4.4000000000000004</v>
      </c>
      <c r="G68" s="64">
        <v>31.56</v>
      </c>
      <c r="H68" s="64">
        <v>14.6</v>
      </c>
      <c r="I68" s="64">
        <v>1.56</v>
      </c>
      <c r="J68" s="64">
        <v>0.52</v>
      </c>
      <c r="K68" s="64">
        <v>334.87</v>
      </c>
      <c r="L68" s="64">
        <v>17.21</v>
      </c>
      <c r="M68" s="64">
        <v>98.2</v>
      </c>
      <c r="N68" s="64">
        <v>131.69999999999999</v>
      </c>
      <c r="O68" s="64">
        <v>0</v>
      </c>
      <c r="P68" s="64">
        <v>0.8</v>
      </c>
      <c r="Q68" s="64">
        <v>8.73</v>
      </c>
      <c r="R68" s="198"/>
      <c r="S68" s="198"/>
      <c r="T68" s="198"/>
      <c r="U68" s="198"/>
    </row>
    <row r="69" spans="1:21" s="12" customFormat="1" x14ac:dyDescent="0.25">
      <c r="A69" s="214" t="s">
        <v>884</v>
      </c>
      <c r="B69" s="64">
        <v>37.93</v>
      </c>
      <c r="C69" s="64">
        <v>41.27</v>
      </c>
      <c r="D69" s="64">
        <v>53.85</v>
      </c>
      <c r="E69" s="64">
        <v>2.4</v>
      </c>
      <c r="F69" s="64">
        <v>4.57</v>
      </c>
      <c r="G69" s="64">
        <v>31.56</v>
      </c>
      <c r="H69" s="64">
        <v>14.6</v>
      </c>
      <c r="I69" s="64">
        <v>1.52</v>
      </c>
      <c r="J69" s="64">
        <v>0.84</v>
      </c>
      <c r="K69" s="64">
        <v>327.04000000000002</v>
      </c>
      <c r="L69" s="64">
        <v>17.63</v>
      </c>
      <c r="M69" s="64">
        <v>98.19</v>
      </c>
      <c r="N69" s="64">
        <v>85.1</v>
      </c>
      <c r="O69" s="64">
        <v>0</v>
      </c>
      <c r="P69" s="64">
        <v>0.73</v>
      </c>
      <c r="Q69" s="64">
        <v>8.1199999999999992</v>
      </c>
      <c r="R69" s="198"/>
      <c r="S69" s="198"/>
      <c r="T69" s="198"/>
      <c r="U69" s="198"/>
    </row>
    <row r="70" spans="1:21" s="12" customFormat="1" x14ac:dyDescent="0.25">
      <c r="A70" s="214" t="s">
        <v>885</v>
      </c>
      <c r="B70" s="64">
        <v>37.1</v>
      </c>
      <c r="C70" s="64">
        <v>41.7</v>
      </c>
      <c r="D70" s="64">
        <v>53.41</v>
      </c>
      <c r="E70" s="64">
        <v>2.35</v>
      </c>
      <c r="F70" s="64">
        <v>5.44</v>
      </c>
      <c r="G70" s="64">
        <v>31.56</v>
      </c>
      <c r="H70" s="64">
        <v>14.6</v>
      </c>
      <c r="I70" s="64">
        <v>1.48</v>
      </c>
      <c r="J70" s="64">
        <v>0.97</v>
      </c>
      <c r="K70" s="64">
        <v>331.94</v>
      </c>
      <c r="L70" s="64">
        <v>17.37</v>
      </c>
      <c r="M70" s="64">
        <v>98.18</v>
      </c>
      <c r="N70" s="64">
        <v>84.8</v>
      </c>
      <c r="O70" s="64">
        <v>0</v>
      </c>
      <c r="P70" s="64">
        <v>0.63</v>
      </c>
      <c r="Q70" s="64">
        <v>8.94</v>
      </c>
      <c r="R70" s="198"/>
      <c r="S70" s="198"/>
      <c r="T70" s="198"/>
      <c r="U70" s="198"/>
    </row>
    <row r="71" spans="1:21" s="12" customFormat="1" x14ac:dyDescent="0.25">
      <c r="A71" s="214" t="s">
        <v>886</v>
      </c>
      <c r="B71" s="64">
        <v>36.35</v>
      </c>
      <c r="C71" s="64">
        <v>43.29</v>
      </c>
      <c r="D71" s="64">
        <v>53.68</v>
      </c>
      <c r="E71" s="64">
        <v>2.31</v>
      </c>
      <c r="F71" s="64">
        <v>4.84</v>
      </c>
      <c r="G71" s="64">
        <v>30.86</v>
      </c>
      <c r="H71" s="64">
        <v>14.66</v>
      </c>
      <c r="I71" s="64">
        <v>1.49</v>
      </c>
      <c r="J71" s="64">
        <v>0.82</v>
      </c>
      <c r="K71" s="64">
        <v>323.77</v>
      </c>
      <c r="L71" s="64">
        <v>17.63</v>
      </c>
      <c r="M71" s="64">
        <v>98.18</v>
      </c>
      <c r="N71" s="64">
        <v>100.7</v>
      </c>
      <c r="O71" s="64">
        <v>0</v>
      </c>
      <c r="P71" s="64">
        <v>0.66</v>
      </c>
      <c r="Q71" s="64">
        <v>8.25</v>
      </c>
      <c r="R71" s="198"/>
      <c r="S71" s="198"/>
      <c r="T71" s="198"/>
      <c r="U71" s="198"/>
    </row>
    <row r="72" spans="1:21" s="12" customFormat="1" x14ac:dyDescent="0.25">
      <c r="A72" s="214" t="s">
        <v>887</v>
      </c>
      <c r="B72" s="64">
        <v>35.89</v>
      </c>
      <c r="C72" s="64">
        <v>44.23</v>
      </c>
      <c r="D72" s="64">
        <v>53.83</v>
      </c>
      <c r="E72" s="64">
        <v>2.1800000000000002</v>
      </c>
      <c r="F72" s="64">
        <v>5.86</v>
      </c>
      <c r="G72" s="64">
        <v>28.09</v>
      </c>
      <c r="H72" s="64">
        <v>14.84</v>
      </c>
      <c r="I72" s="64">
        <v>1.59</v>
      </c>
      <c r="J72" s="64">
        <v>0.67</v>
      </c>
      <c r="K72" s="64">
        <v>319.54000000000002</v>
      </c>
      <c r="L72" s="64">
        <v>17.77</v>
      </c>
      <c r="M72" s="64">
        <v>98.17</v>
      </c>
      <c r="N72" s="64">
        <v>66</v>
      </c>
      <c r="O72" s="64">
        <v>0</v>
      </c>
      <c r="P72" s="64">
        <v>0.72</v>
      </c>
      <c r="Q72" s="64">
        <v>8.9700000000000006</v>
      </c>
      <c r="R72" s="198"/>
      <c r="S72" s="198"/>
      <c r="T72" s="198"/>
      <c r="U72" s="198"/>
    </row>
    <row r="73" spans="1:21" s="12" customFormat="1" x14ac:dyDescent="0.25">
      <c r="A73" s="214" t="s">
        <v>888</v>
      </c>
      <c r="B73" s="64">
        <v>35.19</v>
      </c>
      <c r="C73" s="64">
        <v>44.15</v>
      </c>
      <c r="D73" s="64">
        <v>53.23</v>
      </c>
      <c r="E73" s="64">
        <v>2.2599999999999998</v>
      </c>
      <c r="F73" s="64">
        <v>6.15</v>
      </c>
      <c r="G73" s="64">
        <v>28.09</v>
      </c>
      <c r="H73" s="64">
        <v>14.84</v>
      </c>
      <c r="I73" s="64">
        <v>1.48</v>
      </c>
      <c r="J73" s="64">
        <v>0.61</v>
      </c>
      <c r="K73" s="64">
        <v>317.7</v>
      </c>
      <c r="L73" s="64">
        <v>17.690000000000001</v>
      </c>
      <c r="M73" s="64">
        <v>98.17</v>
      </c>
      <c r="N73" s="64">
        <v>57</v>
      </c>
      <c r="O73" s="64">
        <v>0</v>
      </c>
      <c r="P73" s="64">
        <v>0.64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4" t="s">
        <v>889</v>
      </c>
      <c r="B74" s="64">
        <v>34.64</v>
      </c>
      <c r="C74" s="64">
        <v>44</v>
      </c>
      <c r="D74" s="64">
        <v>52.71</v>
      </c>
      <c r="E74" s="64">
        <v>2.2200000000000002</v>
      </c>
      <c r="F74" s="64">
        <v>5.67</v>
      </c>
      <c r="G74" s="64">
        <v>28.09</v>
      </c>
      <c r="H74" s="64">
        <v>14.84</v>
      </c>
      <c r="I74" s="64">
        <v>1.46</v>
      </c>
      <c r="J74" s="64">
        <v>0.83</v>
      </c>
      <c r="K74" s="64">
        <v>332.12</v>
      </c>
      <c r="L74" s="64">
        <v>17.71</v>
      </c>
      <c r="M74" s="64">
        <v>98.17</v>
      </c>
      <c r="N74" s="64">
        <v>45.7</v>
      </c>
      <c r="O74" s="64">
        <v>0</v>
      </c>
      <c r="P74" s="64">
        <v>0.71</v>
      </c>
      <c r="Q74" s="64">
        <v>8.68</v>
      </c>
      <c r="R74" s="198"/>
      <c r="S74" s="198"/>
      <c r="T74" s="198"/>
      <c r="U74" s="198"/>
    </row>
    <row r="75" spans="1:21" s="12" customFormat="1" x14ac:dyDescent="0.25">
      <c r="A75" s="214" t="s">
        <v>890</v>
      </c>
      <c r="B75" s="64">
        <v>34.159999999999997</v>
      </c>
      <c r="C75" s="64">
        <v>43.84</v>
      </c>
      <c r="D75" s="64">
        <v>52.23</v>
      </c>
      <c r="E75" s="64">
        <v>2.2200000000000002</v>
      </c>
      <c r="F75" s="64">
        <v>5.5</v>
      </c>
      <c r="G75" s="64">
        <v>28.28</v>
      </c>
      <c r="H75" s="64">
        <v>14.63</v>
      </c>
      <c r="I75" s="64">
        <v>1.49</v>
      </c>
      <c r="J75" s="64">
        <v>0.66</v>
      </c>
      <c r="K75" s="64">
        <v>319.12</v>
      </c>
      <c r="L75" s="64">
        <v>17.61</v>
      </c>
      <c r="M75" s="64">
        <v>98.17</v>
      </c>
      <c r="N75" s="64">
        <v>45</v>
      </c>
      <c r="O75" s="64">
        <v>0</v>
      </c>
      <c r="P75" s="64">
        <v>0.68</v>
      </c>
      <c r="Q75" s="64">
        <v>8.58</v>
      </c>
      <c r="R75" s="198"/>
      <c r="S75" s="198"/>
      <c r="T75" s="198"/>
      <c r="U75" s="198"/>
    </row>
    <row r="76" spans="1:21" s="12" customFormat="1" x14ac:dyDescent="0.25">
      <c r="A76" s="214" t="s">
        <v>891</v>
      </c>
      <c r="B76" s="64">
        <v>33.81</v>
      </c>
      <c r="C76" s="64">
        <v>44.04</v>
      </c>
      <c r="D76" s="64">
        <v>52.06</v>
      </c>
      <c r="E76" s="64">
        <v>2.2400000000000002</v>
      </c>
      <c r="F76" s="64">
        <v>5.64</v>
      </c>
      <c r="G76" s="64">
        <v>29.05</v>
      </c>
      <c r="H76" s="64">
        <v>13.67</v>
      </c>
      <c r="I76" s="64">
        <v>1.51</v>
      </c>
      <c r="J76" s="64">
        <v>0.82</v>
      </c>
      <c r="K76" s="64">
        <v>328.15</v>
      </c>
      <c r="L76" s="64">
        <v>17.46</v>
      </c>
      <c r="M76" s="64">
        <v>98.18</v>
      </c>
      <c r="N76" s="64">
        <v>28.5</v>
      </c>
      <c r="O76" s="64">
        <v>0</v>
      </c>
      <c r="P76" s="64">
        <v>0.66</v>
      </c>
      <c r="Q76" s="64">
        <v>8.4499999999999993</v>
      </c>
      <c r="R76" s="198"/>
      <c r="S76" s="198"/>
      <c r="T76" s="198"/>
      <c r="U76" s="198"/>
    </row>
    <row r="77" spans="1:21" s="12" customFormat="1" x14ac:dyDescent="0.25">
      <c r="A77" s="214" t="s">
        <v>892</v>
      </c>
      <c r="B77" s="64">
        <v>33.729999999999997</v>
      </c>
      <c r="C77" s="64">
        <v>43.95</v>
      </c>
      <c r="D77" s="64">
        <v>51.95</v>
      </c>
      <c r="E77" s="64">
        <v>2.2200000000000002</v>
      </c>
      <c r="F77" s="64">
        <v>5.17</v>
      </c>
      <c r="G77" s="64">
        <v>29.05</v>
      </c>
      <c r="H77" s="64">
        <v>13.67</v>
      </c>
      <c r="I77" s="64">
        <v>1.53</v>
      </c>
      <c r="J77" s="64">
        <v>0.36</v>
      </c>
      <c r="K77" s="64">
        <v>322.85000000000002</v>
      </c>
      <c r="L77" s="64">
        <v>17.420000000000002</v>
      </c>
      <c r="M77" s="64">
        <v>98.18</v>
      </c>
      <c r="N77" s="64">
        <v>26.5</v>
      </c>
      <c r="O77" s="64">
        <v>0</v>
      </c>
      <c r="P77" s="64">
        <v>0.96</v>
      </c>
      <c r="Q77" s="64">
        <v>7.34</v>
      </c>
      <c r="R77" s="198"/>
      <c r="S77" s="198"/>
      <c r="T77" s="198"/>
      <c r="U77" s="198"/>
    </row>
    <row r="78" spans="1:21" s="12" customFormat="1" x14ac:dyDescent="0.25">
      <c r="A78" s="214" t="s">
        <v>893</v>
      </c>
      <c r="B78" s="64">
        <v>34.54</v>
      </c>
      <c r="C78" s="64">
        <v>43.63</v>
      </c>
      <c r="D78" s="64">
        <v>52.42</v>
      </c>
      <c r="E78" s="64">
        <v>2.27</v>
      </c>
      <c r="F78" s="64">
        <v>4.1399999999999997</v>
      </c>
      <c r="G78" s="64">
        <v>29.05</v>
      </c>
      <c r="H78" s="64">
        <v>13.67</v>
      </c>
      <c r="I78" s="64">
        <v>1.59</v>
      </c>
      <c r="J78" s="64">
        <v>0.42</v>
      </c>
      <c r="K78" s="64">
        <v>330.41</v>
      </c>
      <c r="L78" s="64">
        <v>17.38</v>
      </c>
      <c r="M78" s="64">
        <v>98.18</v>
      </c>
      <c r="N78" s="64">
        <v>25.2</v>
      </c>
      <c r="O78" s="64">
        <v>0</v>
      </c>
      <c r="P78" s="64">
        <v>1.03</v>
      </c>
      <c r="Q78" s="64">
        <v>5.67</v>
      </c>
      <c r="R78" s="198"/>
      <c r="S78" s="198"/>
      <c r="T78" s="198"/>
      <c r="U78" s="198"/>
    </row>
    <row r="79" spans="1:21" s="12" customFormat="1" x14ac:dyDescent="0.25">
      <c r="A79" s="214" t="s">
        <v>894</v>
      </c>
      <c r="B79" s="64">
        <v>36.07</v>
      </c>
      <c r="C79" s="64">
        <v>43.52</v>
      </c>
      <c r="D79" s="64">
        <v>53.59</v>
      </c>
      <c r="E79" s="64">
        <v>2.2400000000000002</v>
      </c>
      <c r="F79" s="64">
        <v>3.52</v>
      </c>
      <c r="G79" s="64">
        <v>29.56</v>
      </c>
      <c r="H79" s="64">
        <v>13.02</v>
      </c>
      <c r="I79" s="64">
        <v>1.54</v>
      </c>
      <c r="J79" s="64">
        <v>0.08</v>
      </c>
      <c r="K79" s="64">
        <v>14.74</v>
      </c>
      <c r="L79" s="64">
        <v>17.28</v>
      </c>
      <c r="M79" s="64">
        <v>98.18</v>
      </c>
      <c r="N79" s="64">
        <v>24.9</v>
      </c>
      <c r="O79" s="64">
        <v>0</v>
      </c>
      <c r="P79" s="64">
        <v>1.1399999999999999</v>
      </c>
      <c r="Q79" s="64">
        <v>4.22</v>
      </c>
      <c r="R79" s="198"/>
      <c r="S79" s="198"/>
      <c r="T79" s="198"/>
      <c r="U79" s="198"/>
    </row>
    <row r="80" spans="1:21" s="12" customFormat="1" x14ac:dyDescent="0.25">
      <c r="A80" s="214" t="s">
        <v>895</v>
      </c>
      <c r="B80" s="64">
        <v>37.450000000000003</v>
      </c>
      <c r="C80" s="64">
        <v>43.78</v>
      </c>
      <c r="D80" s="64">
        <v>54.84</v>
      </c>
      <c r="E80" s="64">
        <v>2.2400000000000002</v>
      </c>
      <c r="F80" s="64">
        <v>3.39</v>
      </c>
      <c r="G80" s="64">
        <v>31.47</v>
      </c>
      <c r="H80" s="64">
        <v>11.26</v>
      </c>
      <c r="I80" s="64">
        <v>1.56</v>
      </c>
      <c r="J80" s="64">
        <v>0.01</v>
      </c>
      <c r="K80" s="64">
        <v>205.39</v>
      </c>
      <c r="L80" s="64">
        <v>17.16</v>
      </c>
      <c r="M80" s="64">
        <v>98.18</v>
      </c>
      <c r="N80" s="64">
        <v>24.8</v>
      </c>
      <c r="O80" s="64">
        <v>0</v>
      </c>
      <c r="P80" s="64">
        <v>1.04</v>
      </c>
      <c r="Q80" s="64">
        <v>5.64</v>
      </c>
      <c r="R80" s="198"/>
      <c r="S80" s="198"/>
      <c r="T80" s="198"/>
      <c r="U80" s="198"/>
    </row>
    <row r="81" spans="1:26" s="12" customFormat="1" x14ac:dyDescent="0.25">
      <c r="A81" s="214" t="s">
        <v>896</v>
      </c>
      <c r="B81" s="64">
        <v>38.03</v>
      </c>
      <c r="C81" s="64">
        <v>43.46</v>
      </c>
      <c r="D81" s="64">
        <v>55.12</v>
      </c>
      <c r="E81" s="64">
        <v>2.2400000000000002</v>
      </c>
      <c r="F81" s="64">
        <v>3.5</v>
      </c>
      <c r="G81" s="64">
        <v>31.47</v>
      </c>
      <c r="H81" s="64">
        <v>11.26</v>
      </c>
      <c r="I81" s="64">
        <v>1.46</v>
      </c>
      <c r="J81" s="64">
        <v>0.09</v>
      </c>
      <c r="K81" s="64">
        <v>313.20999999999998</v>
      </c>
      <c r="L81" s="64">
        <v>17.079999999999998</v>
      </c>
      <c r="M81" s="64">
        <v>98.18</v>
      </c>
      <c r="N81" s="64">
        <v>24.9</v>
      </c>
      <c r="O81" s="64">
        <v>0</v>
      </c>
      <c r="P81" s="64">
        <v>1.1200000000000001</v>
      </c>
      <c r="Q81" s="64">
        <v>6.69</v>
      </c>
      <c r="R81" s="198"/>
      <c r="S81" s="198"/>
      <c r="T81" s="198"/>
      <c r="U81" s="198"/>
    </row>
    <row r="82" spans="1:26" s="12" customFormat="1" x14ac:dyDescent="0.25">
      <c r="A82" s="214" t="s">
        <v>897</v>
      </c>
      <c r="B82" s="64">
        <v>39.700000000000003</v>
      </c>
      <c r="C82" s="64">
        <v>43.53</v>
      </c>
      <c r="D82" s="64">
        <v>56.5</v>
      </c>
      <c r="E82" s="64">
        <v>2.2799999999999998</v>
      </c>
      <c r="F82" s="64">
        <v>3.42</v>
      </c>
      <c r="G82" s="64">
        <v>31.47</v>
      </c>
      <c r="H82" s="64">
        <v>11.26</v>
      </c>
      <c r="I82" s="64">
        <v>1.38</v>
      </c>
      <c r="J82" s="64">
        <v>0.03</v>
      </c>
      <c r="K82" s="64">
        <v>76.48</v>
      </c>
      <c r="L82" s="64">
        <v>16.940000000000001</v>
      </c>
      <c r="M82" s="64">
        <v>98.18</v>
      </c>
      <c r="N82" s="64">
        <v>24.6</v>
      </c>
      <c r="O82" s="64">
        <v>0</v>
      </c>
      <c r="P82" s="64">
        <v>1.35</v>
      </c>
      <c r="Q82" s="64">
        <v>3.74</v>
      </c>
      <c r="R82" s="198"/>
      <c r="S82" s="198"/>
      <c r="T82" s="198"/>
      <c r="U82" s="198"/>
    </row>
    <row r="83" spans="1:26" s="12" customFormat="1" x14ac:dyDescent="0.25">
      <c r="A83" s="214" t="s">
        <v>898</v>
      </c>
      <c r="B83" s="64">
        <v>41.55</v>
      </c>
      <c r="C83" s="64">
        <v>43.48</v>
      </c>
      <c r="D83" s="64">
        <v>57.96</v>
      </c>
      <c r="E83" s="64">
        <v>2.29</v>
      </c>
      <c r="F83" s="64">
        <v>3.5</v>
      </c>
      <c r="G83" s="64">
        <v>33.049999999999997</v>
      </c>
      <c r="H83" s="64">
        <v>11.11</v>
      </c>
      <c r="I83" s="64">
        <v>1.45</v>
      </c>
      <c r="J83" s="64">
        <v>7.0000000000000007E-2</v>
      </c>
      <c r="K83" s="64">
        <v>336.7</v>
      </c>
      <c r="L83" s="64">
        <v>16.88</v>
      </c>
      <c r="M83" s="64">
        <v>98.21</v>
      </c>
      <c r="N83" s="64">
        <v>24.5</v>
      </c>
      <c r="O83" s="64">
        <v>0</v>
      </c>
      <c r="P83" s="64">
        <v>1.66</v>
      </c>
      <c r="Q83" s="64">
        <v>4.53</v>
      </c>
      <c r="R83" s="198"/>
      <c r="S83" s="198"/>
      <c r="T83" s="198"/>
      <c r="U83" s="198"/>
    </row>
    <row r="84" spans="1:26" s="12" customFormat="1" x14ac:dyDescent="0.25">
      <c r="A84" s="214" t="s">
        <v>899</v>
      </c>
      <c r="B84" s="64">
        <v>43.71</v>
      </c>
      <c r="C84" s="64">
        <v>41.52</v>
      </c>
      <c r="D84" s="64">
        <v>58.61</v>
      </c>
      <c r="E84" s="64">
        <v>2.2799999999999998</v>
      </c>
      <c r="F84" s="64">
        <v>3.54</v>
      </c>
      <c r="G84" s="64">
        <v>38.92</v>
      </c>
      <c r="H84" s="64">
        <v>10.7</v>
      </c>
      <c r="I84" s="64">
        <v>1.58</v>
      </c>
      <c r="J84" s="64">
        <v>0.03</v>
      </c>
      <c r="K84" s="64">
        <v>347.79</v>
      </c>
      <c r="L84" s="64">
        <v>16.809999999999999</v>
      </c>
      <c r="M84" s="64">
        <v>98.22</v>
      </c>
      <c r="N84" s="64">
        <v>24.5</v>
      </c>
      <c r="O84" s="64">
        <v>0</v>
      </c>
      <c r="P84" s="64">
        <v>1.7</v>
      </c>
      <c r="Q84" s="64">
        <v>5.13</v>
      </c>
      <c r="R84" s="198"/>
      <c r="S84" s="198"/>
      <c r="T84" s="198"/>
      <c r="U84" s="198"/>
    </row>
    <row r="85" spans="1:26" s="12" customFormat="1" x14ac:dyDescent="0.25">
      <c r="A85" s="214" t="s">
        <v>900</v>
      </c>
      <c r="B85" s="64">
        <v>45.14</v>
      </c>
      <c r="C85" s="64">
        <v>41.01</v>
      </c>
      <c r="D85" s="64">
        <v>59.47</v>
      </c>
      <c r="E85" s="64">
        <v>2.34</v>
      </c>
      <c r="F85" s="64">
        <v>3.52</v>
      </c>
      <c r="G85" s="64">
        <v>38.92</v>
      </c>
      <c r="H85" s="64">
        <v>10.7</v>
      </c>
      <c r="I85" s="64">
        <v>1.48</v>
      </c>
      <c r="J85" s="64">
        <v>0.28000000000000003</v>
      </c>
      <c r="K85" s="64">
        <v>345.39</v>
      </c>
      <c r="L85" s="64">
        <v>16.82</v>
      </c>
      <c r="M85" s="64">
        <v>98.22</v>
      </c>
      <c r="N85" s="64">
        <v>24.5</v>
      </c>
      <c r="O85" s="64">
        <v>0</v>
      </c>
      <c r="P85" s="64">
        <v>1.63</v>
      </c>
      <c r="Q85" s="64">
        <v>6.07</v>
      </c>
      <c r="R85" s="198"/>
      <c r="S85" s="198"/>
      <c r="T85" s="198"/>
      <c r="U85" s="198"/>
    </row>
    <row r="86" spans="1:26" s="12" customFormat="1" x14ac:dyDescent="0.25">
      <c r="A86" s="214" t="s">
        <v>901</v>
      </c>
      <c r="B86" s="64">
        <v>46.52</v>
      </c>
      <c r="C86" s="64">
        <v>41.42</v>
      </c>
      <c r="D86" s="64">
        <v>60.81</v>
      </c>
      <c r="E86" s="64">
        <v>2.37</v>
      </c>
      <c r="F86" s="64">
        <v>3.6</v>
      </c>
      <c r="G86" s="64">
        <v>38.92</v>
      </c>
      <c r="H86" s="64">
        <v>10.7</v>
      </c>
      <c r="I86" s="64">
        <v>1.48</v>
      </c>
      <c r="J86" s="64">
        <v>0.56999999999999995</v>
      </c>
      <c r="K86" s="64">
        <v>345.1</v>
      </c>
      <c r="L86" s="64">
        <v>16.93</v>
      </c>
      <c r="M86" s="64">
        <v>98.21</v>
      </c>
      <c r="N86" s="64">
        <v>24.5</v>
      </c>
      <c r="O86" s="64">
        <v>0</v>
      </c>
      <c r="P86" s="64">
        <v>1.79</v>
      </c>
      <c r="Q86" s="64">
        <v>5.87</v>
      </c>
      <c r="R86" s="198"/>
      <c r="S86" s="198"/>
      <c r="T86" s="198"/>
      <c r="U86" s="198"/>
    </row>
    <row r="87" spans="1:26" s="12" customFormat="1" x14ac:dyDescent="0.25">
      <c r="A87" s="214" t="s">
        <v>902</v>
      </c>
      <c r="B87" s="64">
        <v>47.71</v>
      </c>
      <c r="C87" s="64">
        <v>41.53</v>
      </c>
      <c r="D87" s="64">
        <v>61.82</v>
      </c>
      <c r="E87" s="64">
        <v>2.4</v>
      </c>
      <c r="F87" s="64">
        <v>3.39</v>
      </c>
      <c r="G87" s="64">
        <v>40.369999999999997</v>
      </c>
      <c r="H87" s="64">
        <v>12.55</v>
      </c>
      <c r="I87" s="64">
        <v>1.52</v>
      </c>
      <c r="J87" s="64">
        <v>0.56999999999999995</v>
      </c>
      <c r="K87" s="64">
        <v>351.32</v>
      </c>
      <c r="L87" s="64">
        <v>17.05</v>
      </c>
      <c r="M87" s="64">
        <v>98.18</v>
      </c>
      <c r="N87" s="64">
        <v>24.5</v>
      </c>
      <c r="O87" s="64">
        <v>0</v>
      </c>
      <c r="P87" s="64">
        <v>1.7</v>
      </c>
      <c r="Q87" s="64">
        <v>6.33</v>
      </c>
      <c r="R87" s="198"/>
      <c r="S87" s="198"/>
      <c r="T87" s="198"/>
      <c r="U87" s="198"/>
    </row>
    <row r="88" spans="1:26" s="12" customFormat="1" x14ac:dyDescent="0.25">
      <c r="A88" s="214" t="s">
        <v>903</v>
      </c>
      <c r="B88" s="64">
        <v>48.63</v>
      </c>
      <c r="C88" s="64">
        <v>42.38</v>
      </c>
      <c r="D88" s="64">
        <v>63.03</v>
      </c>
      <c r="E88" s="64">
        <v>2.27</v>
      </c>
      <c r="F88" s="64">
        <v>3.64</v>
      </c>
      <c r="G88" s="64">
        <v>46.17</v>
      </c>
      <c r="H88" s="64">
        <v>17.600000000000001</v>
      </c>
      <c r="I88" s="64">
        <v>1.47</v>
      </c>
      <c r="J88" s="64">
        <v>0.62</v>
      </c>
      <c r="K88" s="64">
        <v>343.87</v>
      </c>
      <c r="L88" s="64">
        <v>17.03</v>
      </c>
      <c r="M88" s="64">
        <v>98.18</v>
      </c>
      <c r="N88" s="64">
        <v>24.6</v>
      </c>
      <c r="O88" s="64">
        <v>0</v>
      </c>
      <c r="P88" s="64">
        <v>1.67</v>
      </c>
      <c r="Q88" s="64">
        <v>6.89</v>
      </c>
      <c r="R88" s="198"/>
      <c r="S88" s="198"/>
      <c r="T88" s="198"/>
      <c r="U88" s="198"/>
    </row>
    <row r="89" spans="1:26" s="12" customFormat="1" x14ac:dyDescent="0.25">
      <c r="A89" s="214" t="s">
        <v>904</v>
      </c>
      <c r="B89" s="64">
        <v>49.45</v>
      </c>
      <c r="C89" s="64">
        <v>43.09</v>
      </c>
      <c r="D89" s="64">
        <v>64.09</v>
      </c>
      <c r="E89" s="64">
        <v>2.6</v>
      </c>
      <c r="F89" s="64">
        <v>3.54</v>
      </c>
      <c r="G89" s="64">
        <v>46.17</v>
      </c>
      <c r="H89" s="64">
        <v>17.600000000000001</v>
      </c>
      <c r="I89" s="64">
        <v>1.53</v>
      </c>
      <c r="J89" s="64">
        <v>0.52</v>
      </c>
      <c r="K89" s="64">
        <v>351.8</v>
      </c>
      <c r="L89" s="64">
        <v>16.920000000000002</v>
      </c>
      <c r="M89" s="64">
        <v>98.18</v>
      </c>
      <c r="N89" s="64">
        <v>24.6</v>
      </c>
      <c r="O89" s="64">
        <v>0</v>
      </c>
      <c r="P89" s="64">
        <v>1.72</v>
      </c>
      <c r="Q89" s="64">
        <v>6.62</v>
      </c>
      <c r="R89" s="198"/>
      <c r="S89" s="198"/>
      <c r="T89" s="198"/>
      <c r="U89" s="198"/>
    </row>
    <row r="90" spans="1:26" s="12" customFormat="1" x14ac:dyDescent="0.25">
      <c r="A90" s="214" t="s">
        <v>905</v>
      </c>
      <c r="B90" s="64">
        <v>51.44</v>
      </c>
      <c r="C90" s="64">
        <v>43.6</v>
      </c>
      <c r="D90" s="64">
        <v>65.959999999999994</v>
      </c>
      <c r="E90" s="64">
        <v>2.63</v>
      </c>
      <c r="F90" s="64">
        <v>3.42</v>
      </c>
      <c r="G90" s="64">
        <v>46.17</v>
      </c>
      <c r="H90" s="64">
        <v>17.600000000000001</v>
      </c>
      <c r="I90" s="64">
        <v>1.39</v>
      </c>
      <c r="J90" s="64">
        <v>0.27</v>
      </c>
      <c r="K90" s="64">
        <v>351.1</v>
      </c>
      <c r="L90" s="64">
        <v>16.690000000000001</v>
      </c>
      <c r="M90" s="64">
        <v>98.2</v>
      </c>
      <c r="N90" s="64">
        <v>24.5</v>
      </c>
      <c r="O90" s="64">
        <v>0</v>
      </c>
      <c r="P90" s="64">
        <v>2.11</v>
      </c>
      <c r="Q90" s="64">
        <v>4.55</v>
      </c>
      <c r="R90" s="198"/>
      <c r="S90" s="198"/>
      <c r="T90" s="198"/>
      <c r="U90" s="198"/>
    </row>
    <row r="91" spans="1:26" s="12" customFormat="1" x14ac:dyDescent="0.25">
      <c r="A91" s="214" t="s">
        <v>906</v>
      </c>
      <c r="B91" s="64">
        <v>54.09</v>
      </c>
      <c r="C91" s="64">
        <v>43.76</v>
      </c>
      <c r="D91" s="64">
        <v>68.17</v>
      </c>
      <c r="E91" s="64">
        <v>2.68</v>
      </c>
      <c r="F91" s="64">
        <v>3.42</v>
      </c>
      <c r="G91" s="64">
        <v>48.68</v>
      </c>
      <c r="H91" s="64">
        <v>18.989999999999998</v>
      </c>
      <c r="I91" s="64">
        <v>1.48</v>
      </c>
      <c r="J91" s="64">
        <v>0.22</v>
      </c>
      <c r="K91" s="64">
        <v>105.09</v>
      </c>
      <c r="L91" s="64">
        <v>16.420000000000002</v>
      </c>
      <c r="M91" s="64">
        <v>98.21</v>
      </c>
      <c r="N91" s="64">
        <v>24.4</v>
      </c>
      <c r="O91" s="64">
        <v>0</v>
      </c>
      <c r="P91" s="64">
        <v>1.85</v>
      </c>
      <c r="Q91" s="64">
        <v>5.14</v>
      </c>
      <c r="R91" s="198"/>
      <c r="S91" s="198"/>
      <c r="T91" s="198"/>
      <c r="U91" s="198"/>
    </row>
    <row r="92" spans="1:26" s="12" customFormat="1" x14ac:dyDescent="0.25">
      <c r="A92" s="214" t="s">
        <v>907</v>
      </c>
      <c r="B92" s="64">
        <v>54.86</v>
      </c>
      <c r="C92" s="64">
        <v>43.88</v>
      </c>
      <c r="D92" s="64">
        <v>68.849999999999994</v>
      </c>
      <c r="E92" s="64">
        <v>2.5299999999999998</v>
      </c>
      <c r="F92" s="64">
        <v>3.38</v>
      </c>
      <c r="G92" s="64">
        <v>58.72</v>
      </c>
      <c r="H92" s="64">
        <v>25.19</v>
      </c>
      <c r="I92" s="64">
        <v>1.59</v>
      </c>
      <c r="J92" s="64">
        <v>0.25</v>
      </c>
      <c r="K92" s="64">
        <v>103.37</v>
      </c>
      <c r="L92" s="64">
        <v>16.21</v>
      </c>
      <c r="M92" s="64">
        <v>98.2</v>
      </c>
      <c r="N92" s="64">
        <v>24.2</v>
      </c>
      <c r="O92" s="64">
        <v>0</v>
      </c>
      <c r="P92" s="64">
        <v>1.24</v>
      </c>
      <c r="Q92" s="64">
        <v>8.67</v>
      </c>
      <c r="R92" s="198"/>
      <c r="S92" s="198"/>
      <c r="T92" s="198"/>
      <c r="U92" s="198"/>
    </row>
    <row r="93" spans="1:26" s="12" customFormat="1" x14ac:dyDescent="0.25">
      <c r="A93" s="214" t="s">
        <v>908</v>
      </c>
      <c r="B93" s="64">
        <v>53.9</v>
      </c>
      <c r="C93" s="64">
        <v>42.76</v>
      </c>
      <c r="D93" s="64">
        <v>67.47</v>
      </c>
      <c r="E93" s="64">
        <v>2.44</v>
      </c>
      <c r="F93" s="64">
        <v>3.5</v>
      </c>
      <c r="G93" s="64">
        <v>58.72</v>
      </c>
      <c r="H93" s="64">
        <v>25.19</v>
      </c>
      <c r="I93" s="64">
        <v>1.46</v>
      </c>
      <c r="J93" s="64">
        <v>0.19</v>
      </c>
      <c r="K93" s="64">
        <v>96.85</v>
      </c>
      <c r="L93" s="64">
        <v>16.149999999999999</v>
      </c>
      <c r="M93" s="64">
        <v>98.21</v>
      </c>
      <c r="N93" s="64">
        <v>24.2</v>
      </c>
      <c r="O93" s="64">
        <v>0</v>
      </c>
      <c r="P93" s="64">
        <v>1.06</v>
      </c>
      <c r="Q93" s="64">
        <v>11.02</v>
      </c>
      <c r="R93" s="198"/>
      <c r="S93" s="198"/>
      <c r="T93" s="198"/>
      <c r="U93" s="198"/>
    </row>
    <row r="94" spans="1:26" s="12" customFormat="1" x14ac:dyDescent="0.25">
      <c r="A94" s="214" t="s">
        <v>909</v>
      </c>
      <c r="B94" s="64">
        <v>52.46</v>
      </c>
      <c r="C94" s="64">
        <v>42.44</v>
      </c>
      <c r="D94" s="64">
        <v>66.14</v>
      </c>
      <c r="E94" s="64">
        <v>2.42</v>
      </c>
      <c r="F94" s="64">
        <v>3.49</v>
      </c>
      <c r="G94" s="64">
        <v>58.72</v>
      </c>
      <c r="H94" s="64">
        <v>25.19</v>
      </c>
      <c r="I94" s="64">
        <v>1.45</v>
      </c>
      <c r="J94" s="64">
        <v>0.27</v>
      </c>
      <c r="K94" s="64">
        <v>101.42</v>
      </c>
      <c r="L94" s="64">
        <v>16.149999999999999</v>
      </c>
      <c r="M94" s="64">
        <v>98.22</v>
      </c>
      <c r="N94" s="64">
        <v>24.2</v>
      </c>
      <c r="O94" s="64">
        <v>0</v>
      </c>
      <c r="P94" s="64">
        <v>1.22</v>
      </c>
      <c r="Q94" s="64">
        <v>11.18</v>
      </c>
      <c r="R94" s="198"/>
      <c r="S94" s="198"/>
      <c r="T94" s="198"/>
      <c r="U94" s="198"/>
    </row>
    <row r="95" spans="1:26" s="12" customFormat="1" x14ac:dyDescent="0.25">
      <c r="A95" s="214" t="s">
        <v>910</v>
      </c>
      <c r="B95" s="64">
        <v>51.19</v>
      </c>
      <c r="C95" s="64">
        <v>42.35</v>
      </c>
      <c r="D95" s="64">
        <v>65.069999999999993</v>
      </c>
      <c r="E95" s="64">
        <v>2.4300000000000002</v>
      </c>
      <c r="F95" s="64">
        <v>3.39</v>
      </c>
      <c r="G95" s="64">
        <v>56.49</v>
      </c>
      <c r="H95" s="64">
        <v>24.14</v>
      </c>
      <c r="I95" s="64">
        <v>1.48</v>
      </c>
      <c r="J95" s="64">
        <v>0.06</v>
      </c>
      <c r="K95" s="64">
        <v>104.57</v>
      </c>
      <c r="L95" s="64">
        <v>16.22</v>
      </c>
      <c r="M95" s="64">
        <v>98.22</v>
      </c>
      <c r="N95" s="64">
        <v>24.4</v>
      </c>
      <c r="O95" s="64">
        <v>0</v>
      </c>
      <c r="P95" s="64">
        <v>1.18</v>
      </c>
      <c r="Q95" s="64">
        <v>10.49</v>
      </c>
      <c r="R95" s="198"/>
      <c r="S95" s="198"/>
      <c r="T95" s="198"/>
      <c r="U95" s="198"/>
    </row>
    <row r="96" spans="1:26" s="12" customFormat="1" x14ac:dyDescent="0.25">
      <c r="A96" s="214" t="s">
        <v>911</v>
      </c>
      <c r="B96" s="64">
        <v>50.81</v>
      </c>
      <c r="C96" s="64">
        <v>42.12</v>
      </c>
      <c r="D96" s="64">
        <v>64.64</v>
      </c>
      <c r="E96" s="64">
        <v>2.39</v>
      </c>
      <c r="F96" s="64">
        <v>3.54</v>
      </c>
      <c r="G96" s="64">
        <v>48.16</v>
      </c>
      <c r="H96" s="64">
        <v>21.3</v>
      </c>
      <c r="I96" s="64">
        <v>1.5</v>
      </c>
      <c r="J96" s="64">
        <v>0.08</v>
      </c>
      <c r="K96" s="64">
        <v>18.89</v>
      </c>
      <c r="L96" s="64">
        <v>16.32</v>
      </c>
      <c r="M96" s="64">
        <v>98.22</v>
      </c>
      <c r="N96" s="64">
        <v>24.5</v>
      </c>
      <c r="O96" s="64">
        <v>0</v>
      </c>
      <c r="P96" s="64">
        <v>1.23</v>
      </c>
      <c r="Q96" s="64">
        <v>9.1300000000000008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912</v>
      </c>
      <c r="B97" s="64">
        <v>51.24</v>
      </c>
      <c r="C97" s="64">
        <v>42.24</v>
      </c>
      <c r="D97" s="64">
        <v>65.05</v>
      </c>
      <c r="E97" s="64">
        <v>2.41</v>
      </c>
      <c r="F97" s="64">
        <v>3.36</v>
      </c>
      <c r="G97" s="64">
        <v>48.16</v>
      </c>
      <c r="H97" s="64">
        <v>21.3</v>
      </c>
      <c r="I97" s="64">
        <v>1.45</v>
      </c>
      <c r="J97" s="64">
        <v>0.35</v>
      </c>
      <c r="K97" s="64">
        <v>106.3</v>
      </c>
      <c r="L97" s="64">
        <v>16.36</v>
      </c>
      <c r="M97" s="64">
        <v>98.22</v>
      </c>
      <c r="N97" s="64">
        <v>24.5</v>
      </c>
      <c r="O97" s="64">
        <v>0</v>
      </c>
      <c r="P97" s="64">
        <v>1.0900000000000001</v>
      </c>
      <c r="Q97" s="64">
        <v>8.5399999999999991</v>
      </c>
      <c r="R97" s="198"/>
      <c r="S97" s="198"/>
      <c r="T97" s="198"/>
      <c r="U97" s="198"/>
    </row>
    <row r="98" spans="1:33" s="12" customFormat="1" x14ac:dyDescent="0.25">
      <c r="A98" s="214" t="s">
        <v>913</v>
      </c>
      <c r="B98" s="64">
        <v>49.92</v>
      </c>
      <c r="C98" s="64">
        <v>42.08</v>
      </c>
      <c r="D98" s="64">
        <v>63.9</v>
      </c>
      <c r="E98" s="64">
        <v>2.4300000000000002</v>
      </c>
      <c r="F98" s="64">
        <v>3.66</v>
      </c>
      <c r="G98" s="64">
        <v>48.16</v>
      </c>
      <c r="H98" s="64">
        <v>21.3</v>
      </c>
      <c r="I98" s="64">
        <v>1.47</v>
      </c>
      <c r="J98" s="64">
        <v>0.32</v>
      </c>
      <c r="K98" s="64">
        <v>104.88</v>
      </c>
      <c r="L98" s="64">
        <v>16.350000000000001</v>
      </c>
      <c r="M98" s="64">
        <v>98.22</v>
      </c>
      <c r="N98" s="64">
        <v>24.6</v>
      </c>
      <c r="O98" s="64">
        <v>0</v>
      </c>
      <c r="P98" s="64">
        <v>0.85</v>
      </c>
      <c r="Q98" s="64">
        <v>11.31</v>
      </c>
      <c r="R98" s="198"/>
      <c r="S98" s="198"/>
      <c r="T98" s="198"/>
      <c r="U98" s="198"/>
    </row>
    <row r="99" spans="1:33" s="12" customFormat="1" x14ac:dyDescent="0.25">
      <c r="A99" s="214" t="s">
        <v>914</v>
      </c>
      <c r="B99" s="64">
        <v>48.07</v>
      </c>
      <c r="C99" s="64">
        <v>42.6</v>
      </c>
      <c r="D99" s="64">
        <v>62.71</v>
      </c>
      <c r="E99" s="64">
        <v>2.34</v>
      </c>
      <c r="F99" s="64">
        <v>3.55</v>
      </c>
      <c r="G99" s="64">
        <v>47.91</v>
      </c>
      <c r="H99" s="64">
        <v>20.86</v>
      </c>
      <c r="I99" s="64">
        <v>1.45</v>
      </c>
      <c r="J99" s="64">
        <v>0.03</v>
      </c>
      <c r="K99" s="64">
        <v>48.62</v>
      </c>
      <c r="L99" s="64">
        <v>16.420000000000002</v>
      </c>
      <c r="M99" s="64">
        <v>98.23</v>
      </c>
      <c r="N99" s="64">
        <v>24.8</v>
      </c>
      <c r="O99" s="64">
        <v>0</v>
      </c>
      <c r="P99" s="64">
        <v>0.8</v>
      </c>
      <c r="Q99" s="64">
        <v>11.74</v>
      </c>
      <c r="R99" s="198"/>
      <c r="S99" s="198"/>
      <c r="T99" s="198"/>
      <c r="U99" s="198"/>
    </row>
    <row r="100" spans="1:33" s="12" customFormat="1" x14ac:dyDescent="0.25">
      <c r="A100" s="214" t="s">
        <v>915</v>
      </c>
      <c r="B100" s="64">
        <v>47.23</v>
      </c>
      <c r="C100" s="64">
        <v>42.83</v>
      </c>
      <c r="D100" s="64">
        <v>62.16</v>
      </c>
      <c r="E100" s="64">
        <v>2.39</v>
      </c>
      <c r="F100" s="64">
        <v>3.33</v>
      </c>
      <c r="G100" s="64">
        <v>46.98</v>
      </c>
      <c r="H100" s="64">
        <v>19.68</v>
      </c>
      <c r="I100" s="64">
        <v>1.49</v>
      </c>
      <c r="J100" s="64">
        <v>0.19</v>
      </c>
      <c r="K100" s="64">
        <v>99.69</v>
      </c>
      <c r="L100" s="64">
        <v>16.46</v>
      </c>
      <c r="M100" s="64">
        <v>98.23</v>
      </c>
      <c r="N100" s="64">
        <v>24.9</v>
      </c>
      <c r="O100" s="64">
        <v>0</v>
      </c>
      <c r="P100" s="64">
        <v>0.85</v>
      </c>
      <c r="Q100" s="64">
        <v>10.47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916</v>
      </c>
      <c r="B101" s="64">
        <v>46.26</v>
      </c>
      <c r="C101" s="64">
        <v>42.46</v>
      </c>
      <c r="D101" s="64">
        <v>61.17</v>
      </c>
      <c r="E101" s="64">
        <v>2.38</v>
      </c>
      <c r="F101" s="64">
        <v>3.25</v>
      </c>
      <c r="G101" s="64">
        <v>46.98</v>
      </c>
      <c r="H101" s="64">
        <v>19.68</v>
      </c>
      <c r="I101" s="64">
        <v>1.53</v>
      </c>
      <c r="J101" s="64">
        <v>0.11</v>
      </c>
      <c r="K101" s="64">
        <v>111.19</v>
      </c>
      <c r="L101" s="64">
        <v>16.5</v>
      </c>
      <c r="M101" s="64">
        <v>98.23</v>
      </c>
      <c r="N101" s="64">
        <v>24.9</v>
      </c>
      <c r="O101" s="64">
        <v>0</v>
      </c>
      <c r="P101" s="64">
        <v>0.81</v>
      </c>
      <c r="Q101" s="64">
        <v>11.51</v>
      </c>
      <c r="R101" s="198"/>
      <c r="S101" s="198"/>
      <c r="T101" s="198"/>
      <c r="U101" s="198"/>
    </row>
    <row r="102" spans="1:33" s="12" customFormat="1" x14ac:dyDescent="0.25">
      <c r="A102" s="214" t="s">
        <v>917</v>
      </c>
      <c r="B102" s="64">
        <v>45.03</v>
      </c>
      <c r="C102" s="64">
        <v>42.16</v>
      </c>
      <c r="D102" s="64">
        <v>60.03</v>
      </c>
      <c r="E102" s="64">
        <v>2.37</v>
      </c>
      <c r="F102" s="64">
        <v>3.41</v>
      </c>
      <c r="G102" s="64">
        <v>46.98</v>
      </c>
      <c r="H102" s="64">
        <v>19.68</v>
      </c>
      <c r="I102" s="64">
        <v>1.47</v>
      </c>
      <c r="J102" s="64">
        <v>0.46</v>
      </c>
      <c r="K102" s="64">
        <v>113.25</v>
      </c>
      <c r="L102" s="64">
        <v>16.46</v>
      </c>
      <c r="M102" s="64">
        <v>98.23</v>
      </c>
      <c r="N102" s="64">
        <v>24.9</v>
      </c>
      <c r="O102" s="64">
        <v>0</v>
      </c>
      <c r="P102" s="64">
        <v>0.73</v>
      </c>
      <c r="Q102" s="64">
        <v>11.99</v>
      </c>
      <c r="R102" s="198"/>
      <c r="S102" s="198"/>
      <c r="T102" s="198"/>
      <c r="U102" s="198"/>
    </row>
    <row r="103" spans="1:33" s="12" customFormat="1" x14ac:dyDescent="0.25">
      <c r="A103" s="214" t="s">
        <v>918</v>
      </c>
      <c r="B103" s="64">
        <v>44.05</v>
      </c>
      <c r="C103" s="64">
        <v>42.02</v>
      </c>
      <c r="D103" s="64">
        <v>59.17</v>
      </c>
      <c r="E103" s="64">
        <v>2.29</v>
      </c>
      <c r="F103" s="64">
        <v>3.35</v>
      </c>
      <c r="G103" s="64">
        <v>46.22</v>
      </c>
      <c r="H103" s="64">
        <v>19.760000000000002</v>
      </c>
      <c r="I103" s="64">
        <v>1.55</v>
      </c>
      <c r="J103" s="64">
        <v>0.78</v>
      </c>
      <c r="K103" s="64">
        <v>108.34</v>
      </c>
      <c r="L103" s="64">
        <v>16.39</v>
      </c>
      <c r="M103" s="64">
        <v>98.23</v>
      </c>
      <c r="N103" s="64">
        <v>24.9</v>
      </c>
      <c r="O103" s="64">
        <v>0</v>
      </c>
      <c r="P103" s="64">
        <v>0.65</v>
      </c>
      <c r="Q103" s="64">
        <v>11.98</v>
      </c>
      <c r="R103" s="198"/>
      <c r="S103" s="198"/>
      <c r="T103" s="198"/>
      <c r="U103" s="198"/>
    </row>
    <row r="104" spans="1:33" s="12" customFormat="1" x14ac:dyDescent="0.25">
      <c r="A104" s="214" t="s">
        <v>919</v>
      </c>
      <c r="B104" s="64">
        <v>43.09</v>
      </c>
      <c r="C104" s="64">
        <v>42.01</v>
      </c>
      <c r="D104" s="64">
        <v>58.38</v>
      </c>
      <c r="E104" s="64">
        <v>2.13</v>
      </c>
      <c r="F104" s="64">
        <v>3.39</v>
      </c>
      <c r="G104" s="64">
        <v>43.42</v>
      </c>
      <c r="H104" s="64">
        <v>19.97</v>
      </c>
      <c r="I104" s="64">
        <v>1.47</v>
      </c>
      <c r="J104" s="64">
        <v>0.48</v>
      </c>
      <c r="K104" s="64">
        <v>105.08</v>
      </c>
      <c r="L104" s="64">
        <v>16.38</v>
      </c>
      <c r="M104" s="64">
        <v>98.23</v>
      </c>
      <c r="N104" s="64">
        <v>24.9</v>
      </c>
      <c r="O104" s="64">
        <v>0</v>
      </c>
      <c r="P104" s="64">
        <v>0.61</v>
      </c>
      <c r="Q104" s="64">
        <v>11.88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12.71</v>
      </c>
      <c r="C106" s="67">
        <f>MIN(C9:C104)</f>
        <v>34.76</v>
      </c>
      <c r="D106" s="67">
        <f t="shared" ref="D106:Q106" si="0">MIN(D9:D104)</f>
        <v>31.26</v>
      </c>
      <c r="E106" s="67">
        <f t="shared" si="0"/>
        <v>2.0699999999999998</v>
      </c>
      <c r="F106" s="67">
        <f t="shared" si="0"/>
        <v>3.16</v>
      </c>
      <c r="G106" s="67">
        <f t="shared" si="0"/>
        <v>5.34</v>
      </c>
      <c r="H106" s="67">
        <f t="shared" si="0"/>
        <v>3.83</v>
      </c>
      <c r="I106" s="67">
        <f t="shared" si="0"/>
        <v>1.38</v>
      </c>
      <c r="J106" s="67">
        <f t="shared" si="0"/>
        <v>0.01</v>
      </c>
      <c r="K106" s="67">
        <f t="shared" si="0"/>
        <v>9.1</v>
      </c>
      <c r="L106" s="67">
        <f t="shared" si="0"/>
        <v>15.58</v>
      </c>
      <c r="M106" s="67">
        <f t="shared" si="0"/>
        <v>97.71</v>
      </c>
      <c r="N106" s="67">
        <f t="shared" si="0"/>
        <v>24.2</v>
      </c>
      <c r="O106" s="67">
        <f t="shared" si="0"/>
        <v>0</v>
      </c>
      <c r="P106" s="67">
        <f t="shared" si="0"/>
        <v>0.22</v>
      </c>
      <c r="Q106" s="67">
        <f t="shared" si="0"/>
        <v>3.03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54.86</v>
      </c>
      <c r="C107" s="66">
        <f t="shared" ref="C107:Q107" si="1">MAX(C9:C104)</f>
        <v>44.23</v>
      </c>
      <c r="D107" s="66">
        <f t="shared" si="1"/>
        <v>68.849999999999994</v>
      </c>
      <c r="E107" s="66">
        <f t="shared" si="1"/>
        <v>2.68</v>
      </c>
      <c r="F107" s="66">
        <f t="shared" si="1"/>
        <v>6.26</v>
      </c>
      <c r="G107" s="66">
        <f t="shared" si="1"/>
        <v>58.72</v>
      </c>
      <c r="H107" s="66">
        <f t="shared" si="1"/>
        <v>25.19</v>
      </c>
      <c r="I107" s="66">
        <f t="shared" si="1"/>
        <v>1.61</v>
      </c>
      <c r="J107" s="66">
        <f t="shared" si="1"/>
        <v>1.28</v>
      </c>
      <c r="K107" s="66">
        <f t="shared" si="1"/>
        <v>354.05</v>
      </c>
      <c r="L107" s="66">
        <f t="shared" si="1"/>
        <v>17.77</v>
      </c>
      <c r="M107" s="66">
        <f t="shared" si="1"/>
        <v>98.23</v>
      </c>
      <c r="N107" s="66">
        <f t="shared" si="1"/>
        <v>131.69999999999999</v>
      </c>
      <c r="O107" s="66">
        <f t="shared" si="1"/>
        <v>0.8</v>
      </c>
      <c r="P107" s="66">
        <f t="shared" si="1"/>
        <v>2.11</v>
      </c>
      <c r="Q107" s="66">
        <f t="shared" si="1"/>
        <v>11.99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33.509687500000013</v>
      </c>
      <c r="C108" s="67">
        <f t="shared" ref="C108:Q108" si="2">AVERAGE(C9:C104)</f>
        <v>40.303541666666675</v>
      </c>
      <c r="D108" s="67">
        <f t="shared" si="2"/>
        <v>49.760729166666664</v>
      </c>
      <c r="E108" s="67">
        <f t="shared" si="2"/>
        <v>2.2831250000000001</v>
      </c>
      <c r="F108" s="67">
        <f t="shared" si="2"/>
        <v>4.1807291666666666</v>
      </c>
      <c r="G108" s="67">
        <f t="shared" si="2"/>
        <v>26.193625000000008</v>
      </c>
      <c r="H108" s="67">
        <f t="shared" si="2"/>
        <v>12.400874999999999</v>
      </c>
      <c r="I108" s="67">
        <f t="shared" si="2"/>
        <v>1.5041666666666667</v>
      </c>
      <c r="J108" s="67">
        <f t="shared" si="2"/>
        <v>0.48031250000000009</v>
      </c>
      <c r="K108" s="67">
        <f t="shared" si="2"/>
        <v>236.32739583333327</v>
      </c>
      <c r="L108" s="67">
        <f t="shared" si="2"/>
        <v>16.560937500000009</v>
      </c>
      <c r="M108" s="67">
        <f t="shared" si="2"/>
        <v>98.153958333333279</v>
      </c>
      <c r="N108" s="67">
        <f t="shared" si="2"/>
        <v>47.705208333333324</v>
      </c>
      <c r="O108" s="67">
        <f t="shared" si="2"/>
        <v>8.333333333333337E-2</v>
      </c>
      <c r="P108" s="67">
        <f t="shared" si="2"/>
        <v>0.79625000000000001</v>
      </c>
      <c r="Q108" s="67">
        <f t="shared" si="2"/>
        <v>7.1467368421052599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13.931784141846281</v>
      </c>
      <c r="C109" s="67">
        <f t="shared" ref="C109:Q109" si="3">STDEV(C9:C104)</f>
        <v>2.5763303070214412</v>
      </c>
      <c r="D109" s="67">
        <f t="shared" si="3"/>
        <v>12.386818226586996</v>
      </c>
      <c r="E109" s="67">
        <f t="shared" si="3"/>
        <v>0.1439759665616745</v>
      </c>
      <c r="F109" s="67">
        <f t="shared" si="3"/>
        <v>0.78783947709331692</v>
      </c>
      <c r="G109" s="67">
        <f t="shared" si="3"/>
        <v>17.035837523020671</v>
      </c>
      <c r="H109" s="67">
        <f t="shared" si="3"/>
        <v>6.7099318402374983</v>
      </c>
      <c r="I109" s="67">
        <f t="shared" si="3"/>
        <v>4.646824986605412E-2</v>
      </c>
      <c r="J109" s="67">
        <f t="shared" si="3"/>
        <v>0.35096394514176743</v>
      </c>
      <c r="K109" s="67">
        <f t="shared" si="3"/>
        <v>122.82843512069824</v>
      </c>
      <c r="L109" s="67">
        <f t="shared" si="3"/>
        <v>0.59816223485817466</v>
      </c>
      <c r="M109" s="67">
        <f t="shared" si="3"/>
        <v>0.14415984671020288</v>
      </c>
      <c r="N109" s="67">
        <f t="shared" si="3"/>
        <v>30.886929171420562</v>
      </c>
      <c r="O109" s="67">
        <f t="shared" si="3"/>
        <v>0.17809912477498038</v>
      </c>
      <c r="P109" s="67">
        <f t="shared" si="3"/>
        <v>0.45331585363617544</v>
      </c>
      <c r="Q109" s="67">
        <f t="shared" si="3"/>
        <v>2.2191125512505292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COUNT(G9:G104)+16</f>
        <v>96</v>
      </c>
      <c r="H110" s="66">
        <f>COUNT(H9:H104)+16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920</v>
      </c>
      <c r="B9" s="64">
        <v>42.08</v>
      </c>
      <c r="C9" s="64">
        <v>41.59</v>
      </c>
      <c r="D9" s="64">
        <v>57.34</v>
      </c>
      <c r="E9" s="64">
        <v>2.33</v>
      </c>
      <c r="F9" s="64">
        <v>3.67</v>
      </c>
      <c r="G9" s="64">
        <v>43.42</v>
      </c>
      <c r="H9" s="64">
        <v>19.97</v>
      </c>
      <c r="I9" s="64">
        <v>1.52</v>
      </c>
      <c r="J9" s="64">
        <v>0.35</v>
      </c>
      <c r="K9" s="64">
        <v>114.25</v>
      </c>
      <c r="L9" s="64">
        <v>16.36</v>
      </c>
      <c r="M9" s="64">
        <v>98.23</v>
      </c>
      <c r="N9" s="64">
        <v>24.9</v>
      </c>
      <c r="O9" s="64">
        <v>0</v>
      </c>
      <c r="P9" s="64">
        <v>0.53</v>
      </c>
      <c r="Q9" s="64">
        <v>12.11</v>
      </c>
      <c r="R9" s="198"/>
      <c r="S9" s="198"/>
      <c r="T9" s="198"/>
      <c r="U9" s="198"/>
    </row>
    <row r="10" spans="1:21" s="12" customFormat="1" x14ac:dyDescent="0.25">
      <c r="A10" s="214" t="s">
        <v>921</v>
      </c>
      <c r="B10" s="64">
        <v>40.74</v>
      </c>
      <c r="C10" s="64">
        <v>41.01</v>
      </c>
      <c r="D10" s="64">
        <v>55.95</v>
      </c>
      <c r="E10" s="64">
        <v>2.2999999999999998</v>
      </c>
      <c r="F10" s="64">
        <v>3.69</v>
      </c>
      <c r="G10" s="64">
        <v>43.42</v>
      </c>
      <c r="H10" s="64">
        <v>19.97</v>
      </c>
      <c r="I10" s="64">
        <v>1.52</v>
      </c>
      <c r="J10" s="64">
        <v>0.44</v>
      </c>
      <c r="K10" s="64">
        <v>108.4</v>
      </c>
      <c r="L10" s="64">
        <v>16.34</v>
      </c>
      <c r="M10" s="64">
        <v>98.23</v>
      </c>
      <c r="N10" s="64">
        <v>24.9</v>
      </c>
      <c r="O10" s="64">
        <v>0</v>
      </c>
      <c r="P10" s="64">
        <v>0.51</v>
      </c>
      <c r="Q10" s="64">
        <v>12.21</v>
      </c>
      <c r="R10" s="198"/>
      <c r="S10" s="198"/>
      <c r="T10" s="198"/>
      <c r="U10" s="198"/>
    </row>
    <row r="11" spans="1:21" s="12" customFormat="1" x14ac:dyDescent="0.25">
      <c r="A11" s="214" t="s">
        <v>922</v>
      </c>
      <c r="B11" s="64">
        <v>39.53</v>
      </c>
      <c r="C11" s="64">
        <v>41.24</v>
      </c>
      <c r="D11" s="64">
        <v>55.1</v>
      </c>
      <c r="E11" s="64">
        <v>2.27</v>
      </c>
      <c r="F11" s="64">
        <v>3.56</v>
      </c>
      <c r="G11" s="64">
        <v>42.34</v>
      </c>
      <c r="H11" s="64">
        <v>19.760000000000002</v>
      </c>
      <c r="I11" s="64">
        <v>1.49</v>
      </c>
      <c r="J11" s="64">
        <v>0.21</v>
      </c>
      <c r="K11" s="64">
        <v>88.49</v>
      </c>
      <c r="L11" s="64">
        <v>16.38</v>
      </c>
      <c r="M11" s="64">
        <v>98.23</v>
      </c>
      <c r="N11" s="64">
        <v>24.9</v>
      </c>
      <c r="O11" s="64">
        <v>0</v>
      </c>
      <c r="P11" s="64">
        <v>0.49</v>
      </c>
      <c r="Q11" s="64">
        <v>12.03</v>
      </c>
      <c r="R11" s="198"/>
      <c r="S11" s="198"/>
      <c r="T11" s="198"/>
      <c r="U11" s="198"/>
    </row>
    <row r="12" spans="1:21" s="12" customFormat="1" x14ac:dyDescent="0.25">
      <c r="A12" s="214" t="s">
        <v>923</v>
      </c>
      <c r="B12" s="64">
        <v>38.380000000000003</v>
      </c>
      <c r="C12" s="64">
        <v>41.15</v>
      </c>
      <c r="D12" s="64">
        <v>54.13</v>
      </c>
      <c r="E12" s="64">
        <v>2.2599999999999998</v>
      </c>
      <c r="F12" s="64">
        <v>3.47</v>
      </c>
      <c r="G12" s="64">
        <v>38.31</v>
      </c>
      <c r="H12" s="64">
        <v>18.829999999999998</v>
      </c>
      <c r="I12" s="64">
        <v>1.5</v>
      </c>
      <c r="J12" s="64">
        <v>0.22</v>
      </c>
      <c r="K12" s="64">
        <v>343.02</v>
      </c>
      <c r="L12" s="64">
        <v>16.53</v>
      </c>
      <c r="M12" s="64">
        <v>98.23</v>
      </c>
      <c r="N12" s="64">
        <v>24.9</v>
      </c>
      <c r="O12" s="64">
        <v>0</v>
      </c>
      <c r="P12" s="64">
        <v>0.51</v>
      </c>
      <c r="Q12" s="64">
        <v>11.76</v>
      </c>
      <c r="R12" s="198"/>
      <c r="S12" s="198"/>
      <c r="T12" s="198"/>
      <c r="U12" s="198"/>
    </row>
    <row r="13" spans="1:21" s="12" customFormat="1" x14ac:dyDescent="0.25">
      <c r="A13" s="214" t="s">
        <v>924</v>
      </c>
      <c r="B13" s="64">
        <v>37.409999999999997</v>
      </c>
      <c r="C13" s="64">
        <v>40.880000000000003</v>
      </c>
      <c r="D13" s="64">
        <v>53.2</v>
      </c>
      <c r="E13" s="64">
        <v>2.29</v>
      </c>
      <c r="F13" s="64">
        <v>3.66</v>
      </c>
      <c r="G13" s="64">
        <v>38.31</v>
      </c>
      <c r="H13" s="64">
        <v>18.829999999999998</v>
      </c>
      <c r="I13" s="64">
        <v>1.5</v>
      </c>
      <c r="J13" s="64">
        <v>0.23</v>
      </c>
      <c r="K13" s="64">
        <v>348.08</v>
      </c>
      <c r="L13" s="64">
        <v>16.59</v>
      </c>
      <c r="M13" s="64">
        <v>98.23</v>
      </c>
      <c r="N13" s="64">
        <v>24.9</v>
      </c>
      <c r="O13" s="64">
        <v>0</v>
      </c>
      <c r="P13" s="64">
        <v>0.5</v>
      </c>
      <c r="Q13" s="64">
        <v>11.18</v>
      </c>
      <c r="R13" s="198"/>
      <c r="S13" s="198"/>
      <c r="T13" s="198"/>
      <c r="U13" s="198"/>
    </row>
    <row r="14" spans="1:21" s="12" customFormat="1" x14ac:dyDescent="0.25">
      <c r="A14" s="214" t="s">
        <v>925</v>
      </c>
      <c r="B14" s="64">
        <v>36.549999999999997</v>
      </c>
      <c r="C14" s="64">
        <v>40.479999999999997</v>
      </c>
      <c r="D14" s="64">
        <v>52.29</v>
      </c>
      <c r="E14" s="64">
        <v>2.3199999999999998</v>
      </c>
      <c r="F14" s="64">
        <v>3.67</v>
      </c>
      <c r="G14" s="64">
        <v>38.31</v>
      </c>
      <c r="H14" s="64">
        <v>18.829999999999998</v>
      </c>
      <c r="I14" s="64">
        <v>1.47</v>
      </c>
      <c r="J14" s="64">
        <v>0.27</v>
      </c>
      <c r="K14" s="64">
        <v>349.99</v>
      </c>
      <c r="L14" s="64">
        <v>16.68</v>
      </c>
      <c r="M14" s="64">
        <v>98.23</v>
      </c>
      <c r="N14" s="64">
        <v>24.9</v>
      </c>
      <c r="O14" s="64">
        <v>0</v>
      </c>
      <c r="P14" s="64">
        <v>0.52</v>
      </c>
      <c r="Q14" s="64">
        <v>11.09</v>
      </c>
      <c r="R14" s="198"/>
      <c r="S14" s="198"/>
      <c r="T14" s="198"/>
      <c r="U14" s="198"/>
    </row>
    <row r="15" spans="1:21" s="12" customFormat="1" x14ac:dyDescent="0.25">
      <c r="A15" s="214" t="s">
        <v>926</v>
      </c>
      <c r="B15" s="64">
        <v>35.67</v>
      </c>
      <c r="C15" s="64">
        <v>39.96</v>
      </c>
      <c r="D15" s="64">
        <v>51.31</v>
      </c>
      <c r="E15" s="64">
        <v>2.2999999999999998</v>
      </c>
      <c r="F15" s="64">
        <v>4.1100000000000003</v>
      </c>
      <c r="G15" s="64">
        <v>37.81</v>
      </c>
      <c r="H15" s="64">
        <v>17.89</v>
      </c>
      <c r="I15" s="64">
        <v>1.48</v>
      </c>
      <c r="J15" s="64">
        <v>0.37</v>
      </c>
      <c r="K15" s="64">
        <v>353.17</v>
      </c>
      <c r="L15" s="64">
        <v>16.649999999999999</v>
      </c>
      <c r="M15" s="64">
        <v>98.22</v>
      </c>
      <c r="N15" s="64">
        <v>24.9</v>
      </c>
      <c r="O15" s="64">
        <v>0</v>
      </c>
      <c r="P15" s="64">
        <v>0.5</v>
      </c>
      <c r="Q15" s="64">
        <v>11.27</v>
      </c>
      <c r="R15" s="198"/>
      <c r="S15" s="198"/>
      <c r="T15" s="198"/>
      <c r="U15" s="198"/>
    </row>
    <row r="16" spans="1:21" s="12" customFormat="1" x14ac:dyDescent="0.25">
      <c r="A16" s="214" t="s">
        <v>927</v>
      </c>
      <c r="B16" s="64">
        <v>34.4</v>
      </c>
      <c r="C16" s="64">
        <v>37.81</v>
      </c>
      <c r="D16" s="64">
        <v>49.1</v>
      </c>
      <c r="E16" s="64">
        <v>2.31</v>
      </c>
      <c r="F16" s="64">
        <v>4.32</v>
      </c>
      <c r="G16" s="64">
        <v>35.83</v>
      </c>
      <c r="H16" s="64">
        <v>15.36</v>
      </c>
      <c r="I16" s="64">
        <v>1.47</v>
      </c>
      <c r="J16" s="64">
        <v>0.28000000000000003</v>
      </c>
      <c r="K16" s="64">
        <v>345.75</v>
      </c>
      <c r="L16" s="64">
        <v>16.559999999999999</v>
      </c>
      <c r="M16" s="64">
        <v>98.18</v>
      </c>
      <c r="N16" s="64">
        <v>24.9</v>
      </c>
      <c r="O16" s="64">
        <v>0</v>
      </c>
      <c r="P16" s="64">
        <v>0.48</v>
      </c>
      <c r="Q16" s="64">
        <v>10.91</v>
      </c>
      <c r="R16" s="198"/>
      <c r="S16" s="198"/>
      <c r="T16" s="198"/>
      <c r="U16" s="198"/>
    </row>
    <row r="17" spans="1:21" s="12" customFormat="1" x14ac:dyDescent="0.25">
      <c r="A17" s="214" t="s">
        <v>928</v>
      </c>
      <c r="B17" s="64">
        <v>32.78</v>
      </c>
      <c r="C17" s="64">
        <v>37.270000000000003</v>
      </c>
      <c r="D17" s="64">
        <v>47.5</v>
      </c>
      <c r="E17" s="64">
        <v>2.2400000000000002</v>
      </c>
      <c r="F17" s="64">
        <v>4.0999999999999996</v>
      </c>
      <c r="G17" s="64">
        <v>35.83</v>
      </c>
      <c r="H17" s="64">
        <v>15.36</v>
      </c>
      <c r="I17" s="64">
        <v>1.45</v>
      </c>
      <c r="J17" s="64">
        <v>0.55000000000000004</v>
      </c>
      <c r="K17" s="64">
        <v>346.03</v>
      </c>
      <c r="L17" s="64">
        <v>16.61</v>
      </c>
      <c r="M17" s="64">
        <v>98.18</v>
      </c>
      <c r="N17" s="64">
        <v>24.9</v>
      </c>
      <c r="O17" s="64">
        <v>0</v>
      </c>
      <c r="P17" s="64">
        <v>0.4</v>
      </c>
      <c r="Q17" s="64">
        <v>10.48</v>
      </c>
      <c r="R17" s="198"/>
      <c r="S17" s="198"/>
      <c r="T17" s="198"/>
      <c r="U17" s="198"/>
    </row>
    <row r="18" spans="1:21" s="12" customFormat="1" x14ac:dyDescent="0.25">
      <c r="A18" s="214" t="s">
        <v>929</v>
      </c>
      <c r="B18" s="64">
        <v>31.41</v>
      </c>
      <c r="C18" s="64">
        <v>37.83</v>
      </c>
      <c r="D18" s="64">
        <v>46.71</v>
      </c>
      <c r="E18" s="64">
        <v>2.25</v>
      </c>
      <c r="F18" s="64">
        <v>3.47</v>
      </c>
      <c r="G18" s="64">
        <v>35.83</v>
      </c>
      <c r="H18" s="64">
        <v>15.36</v>
      </c>
      <c r="I18" s="64">
        <v>1.47</v>
      </c>
      <c r="J18" s="64">
        <v>0.39</v>
      </c>
      <c r="K18" s="64">
        <v>344.41</v>
      </c>
      <c r="L18" s="64">
        <v>16.600000000000001</v>
      </c>
      <c r="M18" s="64">
        <v>98.18</v>
      </c>
      <c r="N18" s="64">
        <v>24.9</v>
      </c>
      <c r="O18" s="64">
        <v>0</v>
      </c>
      <c r="P18" s="64">
        <v>0.39</v>
      </c>
      <c r="Q18" s="64">
        <v>10.17</v>
      </c>
      <c r="R18" s="198"/>
      <c r="S18" s="198"/>
      <c r="T18" s="198"/>
      <c r="U18" s="198"/>
    </row>
    <row r="19" spans="1:21" s="12" customFormat="1" x14ac:dyDescent="0.25">
      <c r="A19" s="214" t="s">
        <v>930</v>
      </c>
      <c r="B19" s="64">
        <v>30.05</v>
      </c>
      <c r="C19" s="64">
        <v>38.130000000000003</v>
      </c>
      <c r="D19" s="64">
        <v>45.79</v>
      </c>
      <c r="E19" s="64">
        <v>2.35</v>
      </c>
      <c r="F19" s="64">
        <v>3.76</v>
      </c>
      <c r="G19" s="64">
        <v>34.57</v>
      </c>
      <c r="H19" s="64">
        <v>14.81</v>
      </c>
      <c r="I19" s="64">
        <v>1.47</v>
      </c>
      <c r="J19" s="64">
        <v>0.31</v>
      </c>
      <c r="K19" s="64">
        <v>341.78</v>
      </c>
      <c r="L19" s="64">
        <v>16.510000000000002</v>
      </c>
      <c r="M19" s="64">
        <v>98.18</v>
      </c>
      <c r="N19" s="64">
        <v>24.9</v>
      </c>
      <c r="O19" s="64">
        <v>0</v>
      </c>
      <c r="P19" s="64">
        <v>0.43</v>
      </c>
      <c r="Q19" s="64">
        <v>9.9</v>
      </c>
      <c r="R19" s="198"/>
      <c r="S19" s="198"/>
      <c r="T19" s="198"/>
      <c r="U19" s="198"/>
    </row>
    <row r="20" spans="1:21" s="12" customFormat="1" x14ac:dyDescent="0.25">
      <c r="A20" s="214" t="s">
        <v>931</v>
      </c>
      <c r="B20" s="64">
        <v>29.17</v>
      </c>
      <c r="C20" s="64">
        <v>38.42</v>
      </c>
      <c r="D20" s="64">
        <v>45.24</v>
      </c>
      <c r="E20" s="64">
        <v>2.31</v>
      </c>
      <c r="F20" s="64">
        <v>3.4</v>
      </c>
      <c r="G20" s="64">
        <v>29.52</v>
      </c>
      <c r="H20" s="64">
        <v>13.25</v>
      </c>
      <c r="I20" s="64">
        <v>1.58</v>
      </c>
      <c r="J20" s="64">
        <v>0.2</v>
      </c>
      <c r="K20" s="64">
        <v>349.8</v>
      </c>
      <c r="L20" s="64">
        <v>16.52</v>
      </c>
      <c r="M20" s="64">
        <v>98.19</v>
      </c>
      <c r="N20" s="64">
        <v>24.9</v>
      </c>
      <c r="O20" s="64">
        <v>0</v>
      </c>
      <c r="P20" s="64">
        <v>0.41</v>
      </c>
      <c r="Q20" s="64">
        <v>9.2200000000000006</v>
      </c>
      <c r="R20" s="198"/>
      <c r="S20" s="198"/>
      <c r="T20" s="198"/>
      <c r="U20" s="198"/>
    </row>
    <row r="21" spans="1:21" s="12" customFormat="1" x14ac:dyDescent="0.25">
      <c r="A21" s="214" t="s">
        <v>932</v>
      </c>
      <c r="B21" s="64">
        <v>28.21</v>
      </c>
      <c r="C21" s="64">
        <v>38.35</v>
      </c>
      <c r="D21" s="64">
        <v>44.43</v>
      </c>
      <c r="E21" s="64">
        <v>2.2999999999999998</v>
      </c>
      <c r="F21" s="64">
        <v>3.49</v>
      </c>
      <c r="G21" s="64">
        <v>29.52</v>
      </c>
      <c r="H21" s="64">
        <v>13.25</v>
      </c>
      <c r="I21" s="64">
        <v>1.47</v>
      </c>
      <c r="J21" s="64">
        <v>0.35</v>
      </c>
      <c r="K21" s="64">
        <v>343.82</v>
      </c>
      <c r="L21" s="64">
        <v>16.54</v>
      </c>
      <c r="M21" s="64">
        <v>98.21</v>
      </c>
      <c r="N21" s="64">
        <v>24.9</v>
      </c>
      <c r="O21" s="64">
        <v>0</v>
      </c>
      <c r="P21" s="64">
        <v>0.39</v>
      </c>
      <c r="Q21" s="64">
        <v>9.4700000000000006</v>
      </c>
      <c r="R21" s="198"/>
      <c r="S21" s="198"/>
      <c r="T21" s="198"/>
      <c r="U21" s="198"/>
    </row>
    <row r="22" spans="1:21" s="12" customFormat="1" x14ac:dyDescent="0.25">
      <c r="A22" s="214" t="s">
        <v>933</v>
      </c>
      <c r="B22" s="64">
        <v>27.23</v>
      </c>
      <c r="C22" s="64">
        <v>38.31</v>
      </c>
      <c r="D22" s="64">
        <v>43.62</v>
      </c>
      <c r="E22" s="64">
        <v>2.36</v>
      </c>
      <c r="F22" s="64">
        <v>3.51</v>
      </c>
      <c r="G22" s="64">
        <v>29.52</v>
      </c>
      <c r="H22" s="64">
        <v>13.25</v>
      </c>
      <c r="I22" s="64">
        <v>1.48</v>
      </c>
      <c r="J22" s="64">
        <v>0.39</v>
      </c>
      <c r="K22" s="64">
        <v>344.51</v>
      </c>
      <c r="L22" s="64">
        <v>16.55</v>
      </c>
      <c r="M22" s="64">
        <v>98.19</v>
      </c>
      <c r="N22" s="64">
        <v>24.9</v>
      </c>
      <c r="O22" s="64">
        <v>0</v>
      </c>
      <c r="P22" s="64">
        <v>0.4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14" t="s">
        <v>934</v>
      </c>
      <c r="B23" s="64">
        <v>26.3</v>
      </c>
      <c r="C23" s="64">
        <v>38.35</v>
      </c>
      <c r="D23" s="64">
        <v>42.91</v>
      </c>
      <c r="E23" s="64">
        <v>2.36</v>
      </c>
      <c r="F23" s="64">
        <v>3.53</v>
      </c>
      <c r="G23" s="64">
        <v>29.9</v>
      </c>
      <c r="H23" s="64">
        <v>12.98</v>
      </c>
      <c r="I23" s="64">
        <v>1.46</v>
      </c>
      <c r="J23" s="64">
        <v>0.37</v>
      </c>
      <c r="K23" s="64">
        <v>345.42</v>
      </c>
      <c r="L23" s="64">
        <v>16.52</v>
      </c>
      <c r="M23" s="64">
        <v>98.2</v>
      </c>
      <c r="N23" s="64">
        <v>24.9</v>
      </c>
      <c r="O23" s="64">
        <v>0</v>
      </c>
      <c r="P23" s="64">
        <v>0.4</v>
      </c>
      <c r="Q23" s="64">
        <v>9.1199999999999992</v>
      </c>
      <c r="R23" s="198"/>
      <c r="S23" s="198"/>
      <c r="T23" s="198"/>
      <c r="U23" s="198"/>
    </row>
    <row r="24" spans="1:21" s="12" customFormat="1" x14ac:dyDescent="0.25">
      <c r="A24" s="214" t="s">
        <v>935</v>
      </c>
      <c r="B24" s="64">
        <v>25.64</v>
      </c>
      <c r="C24" s="64">
        <v>38.43</v>
      </c>
      <c r="D24" s="64">
        <v>42.41</v>
      </c>
      <c r="E24" s="64">
        <v>2.31</v>
      </c>
      <c r="F24" s="64">
        <v>3.14</v>
      </c>
      <c r="G24" s="64">
        <v>31.42</v>
      </c>
      <c r="H24" s="64">
        <v>12.26</v>
      </c>
      <c r="I24" s="64">
        <v>1.44</v>
      </c>
      <c r="J24" s="64">
        <v>0.26</v>
      </c>
      <c r="K24" s="64">
        <v>343.94</v>
      </c>
      <c r="L24" s="64">
        <v>16.579999999999998</v>
      </c>
      <c r="M24" s="64">
        <v>98.21</v>
      </c>
      <c r="N24" s="64">
        <v>24.9</v>
      </c>
      <c r="O24" s="64">
        <v>0</v>
      </c>
      <c r="P24" s="64">
        <v>0.46</v>
      </c>
      <c r="Q24" s="64">
        <v>8.59</v>
      </c>
      <c r="R24" s="198"/>
      <c r="S24" s="198"/>
      <c r="T24" s="198"/>
      <c r="U24" s="198"/>
    </row>
    <row r="25" spans="1:21" s="12" customFormat="1" x14ac:dyDescent="0.25">
      <c r="A25" s="214" t="s">
        <v>936</v>
      </c>
      <c r="B25" s="64">
        <v>25.48</v>
      </c>
      <c r="C25" s="64">
        <v>38.22</v>
      </c>
      <c r="D25" s="64">
        <v>42.17</v>
      </c>
      <c r="E25" s="64">
        <v>2.56</v>
      </c>
      <c r="F25" s="64">
        <v>3.35</v>
      </c>
      <c r="G25" s="64">
        <v>31.42</v>
      </c>
      <c r="H25" s="64">
        <v>12.26</v>
      </c>
      <c r="I25" s="64">
        <v>1.56</v>
      </c>
      <c r="J25" s="64">
        <v>0.31</v>
      </c>
      <c r="K25" s="64">
        <v>336.77</v>
      </c>
      <c r="L25" s="64">
        <v>16.600000000000001</v>
      </c>
      <c r="M25" s="64">
        <v>98.22</v>
      </c>
      <c r="N25" s="64">
        <v>24.9</v>
      </c>
      <c r="O25" s="64">
        <v>0</v>
      </c>
      <c r="P25" s="64">
        <v>0.56999999999999995</v>
      </c>
      <c r="Q25" s="64">
        <v>7.6</v>
      </c>
      <c r="R25" s="198"/>
      <c r="S25" s="198"/>
      <c r="T25" s="198"/>
      <c r="U25" s="198"/>
    </row>
    <row r="26" spans="1:21" s="12" customFormat="1" x14ac:dyDescent="0.25">
      <c r="A26" s="214" t="s">
        <v>937</v>
      </c>
      <c r="B26" s="64">
        <v>26.11</v>
      </c>
      <c r="C26" s="64">
        <v>38.299999999999997</v>
      </c>
      <c r="D26" s="64">
        <v>42.72</v>
      </c>
      <c r="E26" s="64">
        <v>2.56</v>
      </c>
      <c r="F26" s="64">
        <v>3.21</v>
      </c>
      <c r="G26" s="64">
        <v>31.42</v>
      </c>
      <c r="H26" s="64">
        <v>12.26</v>
      </c>
      <c r="I26" s="64">
        <v>1.45</v>
      </c>
      <c r="J26" s="64">
        <v>0.16</v>
      </c>
      <c r="K26" s="64">
        <v>319.85000000000002</v>
      </c>
      <c r="L26" s="64">
        <v>16.600000000000001</v>
      </c>
      <c r="M26" s="64">
        <v>98.22</v>
      </c>
      <c r="N26" s="64">
        <v>24.9</v>
      </c>
      <c r="O26" s="64">
        <v>0</v>
      </c>
      <c r="P26" s="64">
        <v>0.64</v>
      </c>
      <c r="Q26" s="64">
        <v>6.45</v>
      </c>
      <c r="R26" s="198"/>
      <c r="S26" s="198"/>
      <c r="T26" s="198"/>
      <c r="U26" s="198"/>
    </row>
    <row r="27" spans="1:21" s="12" customFormat="1" x14ac:dyDescent="0.25">
      <c r="A27" s="214" t="s">
        <v>938</v>
      </c>
      <c r="B27" s="64">
        <v>26.82</v>
      </c>
      <c r="C27" s="64">
        <v>38.47</v>
      </c>
      <c r="D27" s="64">
        <v>43.38</v>
      </c>
      <c r="E27" s="64">
        <v>2.61</v>
      </c>
      <c r="F27" s="64">
        <v>3.47</v>
      </c>
      <c r="G27" s="64">
        <v>33.130000000000003</v>
      </c>
      <c r="H27" s="64">
        <v>13.2</v>
      </c>
      <c r="I27" s="64">
        <v>1.56</v>
      </c>
      <c r="J27" s="64">
        <v>0.46</v>
      </c>
      <c r="K27" s="64">
        <v>348.99</v>
      </c>
      <c r="L27" s="64">
        <v>16.579999999999998</v>
      </c>
      <c r="M27" s="64">
        <v>98.22</v>
      </c>
      <c r="N27" s="64">
        <v>24.9</v>
      </c>
      <c r="O27" s="64">
        <v>0</v>
      </c>
      <c r="P27" s="64">
        <v>0.63</v>
      </c>
      <c r="Q27" s="64">
        <v>6.8</v>
      </c>
      <c r="R27" s="198"/>
      <c r="S27" s="198"/>
      <c r="T27" s="198"/>
      <c r="U27" s="198"/>
    </row>
    <row r="28" spans="1:21" s="12" customFormat="1" x14ac:dyDescent="0.25">
      <c r="A28" s="214" t="s">
        <v>939</v>
      </c>
      <c r="B28" s="64">
        <v>27.34</v>
      </c>
      <c r="C28" s="64">
        <v>38.869999999999997</v>
      </c>
      <c r="D28" s="64">
        <v>44.02</v>
      </c>
      <c r="E28" s="64">
        <v>2.64</v>
      </c>
      <c r="F28" s="64">
        <v>3.27</v>
      </c>
      <c r="G28" s="64">
        <v>39.979999999999997</v>
      </c>
      <c r="H28" s="64">
        <v>17.38</v>
      </c>
      <c r="I28" s="64">
        <v>1.51</v>
      </c>
      <c r="J28" s="64">
        <v>0.94</v>
      </c>
      <c r="K28" s="64">
        <v>349.63</v>
      </c>
      <c r="L28" s="64">
        <v>16.52</v>
      </c>
      <c r="M28" s="64">
        <v>98.22</v>
      </c>
      <c r="N28" s="64">
        <v>24.9</v>
      </c>
      <c r="O28" s="64">
        <v>0</v>
      </c>
      <c r="P28" s="64">
        <v>0.6</v>
      </c>
      <c r="Q28" s="64">
        <v>7.21</v>
      </c>
      <c r="R28" s="198"/>
      <c r="S28" s="198"/>
      <c r="T28" s="198"/>
      <c r="U28" s="198"/>
    </row>
    <row r="29" spans="1:21" s="12" customFormat="1" x14ac:dyDescent="0.25">
      <c r="A29" s="214" t="s">
        <v>940</v>
      </c>
      <c r="B29" s="64">
        <v>27.98</v>
      </c>
      <c r="C29" s="64">
        <v>37.93</v>
      </c>
      <c r="D29" s="64">
        <v>44.02</v>
      </c>
      <c r="E29" s="64">
        <v>2.86</v>
      </c>
      <c r="F29" s="64">
        <v>3.38</v>
      </c>
      <c r="G29" s="64">
        <v>39.979999999999997</v>
      </c>
      <c r="H29" s="64">
        <v>17.38</v>
      </c>
      <c r="I29" s="64">
        <v>1.56</v>
      </c>
      <c r="J29" s="64">
        <v>0.75</v>
      </c>
      <c r="K29" s="64">
        <v>347.28</v>
      </c>
      <c r="L29" s="64">
        <v>16.440000000000001</v>
      </c>
      <c r="M29" s="64">
        <v>98.22</v>
      </c>
      <c r="N29" s="64">
        <v>24.8</v>
      </c>
      <c r="O29" s="64">
        <v>0</v>
      </c>
      <c r="P29" s="64">
        <v>0.63</v>
      </c>
      <c r="Q29" s="64">
        <v>6.75</v>
      </c>
      <c r="R29" s="198"/>
      <c r="S29" s="198"/>
      <c r="T29" s="198"/>
      <c r="U29" s="198"/>
    </row>
    <row r="30" spans="1:21" s="12" customFormat="1" x14ac:dyDescent="0.25">
      <c r="A30" s="214" t="s">
        <v>941</v>
      </c>
      <c r="B30" s="64">
        <v>28.95</v>
      </c>
      <c r="C30" s="64">
        <v>37.93</v>
      </c>
      <c r="D30" s="64">
        <v>44.79</v>
      </c>
      <c r="E30" s="64">
        <v>2.81</v>
      </c>
      <c r="F30" s="64">
        <v>3.3</v>
      </c>
      <c r="G30" s="64">
        <v>39.979999999999997</v>
      </c>
      <c r="H30" s="64">
        <v>17.38</v>
      </c>
      <c r="I30" s="64">
        <v>1.53</v>
      </c>
      <c r="J30" s="64">
        <v>0.52</v>
      </c>
      <c r="K30" s="64">
        <v>347.43</v>
      </c>
      <c r="L30" s="64">
        <v>16.37</v>
      </c>
      <c r="M30" s="64">
        <v>98.23</v>
      </c>
      <c r="N30" s="64">
        <v>24.6</v>
      </c>
      <c r="O30" s="64">
        <v>0</v>
      </c>
      <c r="P30" s="64">
        <v>0.62</v>
      </c>
      <c r="Q30" s="64">
        <v>6.49</v>
      </c>
      <c r="R30" s="198"/>
      <c r="S30" s="198"/>
      <c r="T30" s="198"/>
      <c r="U30" s="198"/>
    </row>
    <row r="31" spans="1:21" s="12" customFormat="1" x14ac:dyDescent="0.25">
      <c r="A31" s="214" t="s">
        <v>942</v>
      </c>
      <c r="B31" s="64">
        <v>29.72</v>
      </c>
      <c r="C31" s="64">
        <v>36.950000000000003</v>
      </c>
      <c r="D31" s="64">
        <v>44.87</v>
      </c>
      <c r="E31" s="64">
        <v>2.76</v>
      </c>
      <c r="F31" s="64">
        <v>3.34</v>
      </c>
      <c r="G31" s="64">
        <v>42.87</v>
      </c>
      <c r="H31" s="64">
        <v>17.510000000000002</v>
      </c>
      <c r="I31" s="64">
        <v>1.53</v>
      </c>
      <c r="J31" s="64">
        <v>0.84</v>
      </c>
      <c r="K31" s="64">
        <v>347.28</v>
      </c>
      <c r="L31" s="64">
        <v>16.36</v>
      </c>
      <c r="M31" s="64">
        <v>98.23</v>
      </c>
      <c r="N31" s="64">
        <v>24.8</v>
      </c>
      <c r="O31" s="64">
        <v>0</v>
      </c>
      <c r="P31" s="64">
        <v>0.55000000000000004</v>
      </c>
      <c r="Q31" s="64">
        <v>7.59</v>
      </c>
      <c r="R31" s="198"/>
      <c r="S31" s="198"/>
      <c r="T31" s="198"/>
      <c r="U31" s="198"/>
    </row>
    <row r="32" spans="1:21" s="12" customFormat="1" x14ac:dyDescent="0.25">
      <c r="A32" s="214" t="s">
        <v>943</v>
      </c>
      <c r="B32" s="64">
        <v>29.87</v>
      </c>
      <c r="C32" s="64">
        <v>37.67</v>
      </c>
      <c r="D32" s="64">
        <v>45.38</v>
      </c>
      <c r="E32" s="64">
        <v>2.78</v>
      </c>
      <c r="F32" s="64">
        <v>3.29</v>
      </c>
      <c r="G32" s="64">
        <v>54.44</v>
      </c>
      <c r="H32" s="64">
        <v>17.86</v>
      </c>
      <c r="I32" s="64">
        <v>1.49</v>
      </c>
      <c r="J32" s="64">
        <v>0.62</v>
      </c>
      <c r="K32" s="64">
        <v>346.42</v>
      </c>
      <c r="L32" s="64">
        <v>16.440000000000001</v>
      </c>
      <c r="M32" s="64">
        <v>98.23</v>
      </c>
      <c r="N32" s="64">
        <v>24.9</v>
      </c>
      <c r="O32" s="64">
        <v>0</v>
      </c>
      <c r="P32" s="64">
        <v>0.6</v>
      </c>
      <c r="Q32" s="64">
        <v>8.2799999999999994</v>
      </c>
      <c r="R32" s="198"/>
      <c r="S32" s="198"/>
      <c r="T32" s="198"/>
      <c r="U32" s="198"/>
    </row>
    <row r="33" spans="1:21" s="12" customFormat="1" x14ac:dyDescent="0.25">
      <c r="A33" s="214" t="s">
        <v>944</v>
      </c>
      <c r="B33" s="64">
        <v>30.35</v>
      </c>
      <c r="C33" s="64">
        <v>38.15</v>
      </c>
      <c r="D33" s="64">
        <v>46.04</v>
      </c>
      <c r="E33" s="64">
        <v>2.78</v>
      </c>
      <c r="F33" s="64">
        <v>3.52</v>
      </c>
      <c r="G33" s="64">
        <v>54.44</v>
      </c>
      <c r="H33" s="64">
        <v>17.86</v>
      </c>
      <c r="I33" s="64">
        <v>1.44</v>
      </c>
      <c r="J33" s="64">
        <v>0.33</v>
      </c>
      <c r="K33" s="64">
        <v>341.35</v>
      </c>
      <c r="L33" s="64">
        <v>16.420000000000002</v>
      </c>
      <c r="M33" s="64">
        <v>98.23</v>
      </c>
      <c r="N33" s="64">
        <v>25.6</v>
      </c>
      <c r="O33" s="64">
        <v>0</v>
      </c>
      <c r="P33" s="64">
        <v>0.62</v>
      </c>
      <c r="Q33" s="64">
        <v>7.07</v>
      </c>
      <c r="R33" s="198"/>
      <c r="S33" s="198"/>
      <c r="T33" s="198"/>
      <c r="U33" s="198"/>
    </row>
    <row r="34" spans="1:21" s="12" customFormat="1" x14ac:dyDescent="0.25">
      <c r="A34" s="214" t="s">
        <v>945</v>
      </c>
      <c r="B34" s="64">
        <v>31.33</v>
      </c>
      <c r="C34" s="64">
        <v>38.1</v>
      </c>
      <c r="D34" s="64">
        <v>46.8</v>
      </c>
      <c r="E34" s="64">
        <v>2.73</v>
      </c>
      <c r="F34" s="64">
        <v>3.8</v>
      </c>
      <c r="G34" s="64">
        <v>54.44</v>
      </c>
      <c r="H34" s="64">
        <v>17.86</v>
      </c>
      <c r="I34" s="64">
        <v>1.51</v>
      </c>
      <c r="J34" s="64">
        <v>0.41</v>
      </c>
      <c r="K34" s="64">
        <v>337.65</v>
      </c>
      <c r="L34" s="64">
        <v>16.420000000000002</v>
      </c>
      <c r="M34" s="64">
        <v>98.23</v>
      </c>
      <c r="N34" s="64">
        <v>28.3</v>
      </c>
      <c r="O34" s="64">
        <v>0</v>
      </c>
      <c r="P34" s="64">
        <v>0.5</v>
      </c>
      <c r="Q34" s="64">
        <v>7.26</v>
      </c>
      <c r="R34" s="198"/>
      <c r="S34" s="198"/>
      <c r="T34" s="198"/>
      <c r="U34" s="198"/>
    </row>
    <row r="35" spans="1:21" s="12" customFormat="1" x14ac:dyDescent="0.25">
      <c r="A35" s="214" t="s">
        <v>946</v>
      </c>
      <c r="B35" s="64">
        <v>32.67</v>
      </c>
      <c r="C35" s="64">
        <v>38.520000000000003</v>
      </c>
      <c r="D35" s="64">
        <v>48.11</v>
      </c>
      <c r="E35" s="64">
        <v>2.62</v>
      </c>
      <c r="F35" s="64">
        <v>4.07</v>
      </c>
      <c r="G35" s="64">
        <v>54.26</v>
      </c>
      <c r="H35" s="64">
        <v>17.649999999999999</v>
      </c>
      <c r="I35" s="64">
        <v>1.5</v>
      </c>
      <c r="J35" s="64">
        <v>0.12</v>
      </c>
      <c r="K35" s="64">
        <v>349.82</v>
      </c>
      <c r="L35" s="64">
        <v>16.510000000000002</v>
      </c>
      <c r="M35" s="64">
        <v>98.23</v>
      </c>
      <c r="N35" s="64">
        <v>34.700000000000003</v>
      </c>
      <c r="O35" s="64">
        <v>0</v>
      </c>
      <c r="P35" s="64">
        <v>0.56000000000000005</v>
      </c>
      <c r="Q35" s="64">
        <v>6.3</v>
      </c>
      <c r="R35" s="198"/>
      <c r="S35" s="198"/>
      <c r="T35" s="198"/>
      <c r="U35" s="198"/>
    </row>
    <row r="36" spans="1:21" s="12" customFormat="1" x14ac:dyDescent="0.25">
      <c r="A36" s="214" t="s">
        <v>947</v>
      </c>
      <c r="B36" s="64">
        <v>33.909999999999997</v>
      </c>
      <c r="C36" s="64">
        <v>38.89</v>
      </c>
      <c r="D36" s="64">
        <v>49.3</v>
      </c>
      <c r="E36" s="64">
        <v>2.58</v>
      </c>
      <c r="F36" s="64">
        <v>3.6</v>
      </c>
      <c r="G36" s="64">
        <v>53.52</v>
      </c>
      <c r="H36" s="64">
        <v>17.079999999999998</v>
      </c>
      <c r="I36" s="64">
        <v>1.47</v>
      </c>
      <c r="J36" s="64">
        <v>0.48</v>
      </c>
      <c r="K36" s="64">
        <v>340.9</v>
      </c>
      <c r="L36" s="64">
        <v>16.55</v>
      </c>
      <c r="M36" s="64">
        <v>98.21</v>
      </c>
      <c r="N36" s="64">
        <v>45.3</v>
      </c>
      <c r="O36" s="64">
        <v>0</v>
      </c>
      <c r="P36" s="64">
        <v>0.55000000000000004</v>
      </c>
      <c r="Q36" s="64">
        <v>6.92</v>
      </c>
      <c r="R36" s="198"/>
      <c r="S36" s="198"/>
      <c r="T36" s="198"/>
      <c r="U36" s="198"/>
    </row>
    <row r="37" spans="1:21" s="12" customFormat="1" x14ac:dyDescent="0.25">
      <c r="A37" s="214" t="s">
        <v>948</v>
      </c>
      <c r="B37" s="64">
        <v>34.83</v>
      </c>
      <c r="C37" s="64">
        <v>39.090000000000003</v>
      </c>
      <c r="D37" s="64">
        <v>50.15</v>
      </c>
      <c r="E37" s="64">
        <v>2.6</v>
      </c>
      <c r="F37" s="64">
        <v>3.33</v>
      </c>
      <c r="G37" s="64">
        <v>53.52</v>
      </c>
      <c r="H37" s="64">
        <v>17.079999999999998</v>
      </c>
      <c r="I37" s="64">
        <v>1.53</v>
      </c>
      <c r="J37" s="64">
        <v>0.43</v>
      </c>
      <c r="K37" s="64">
        <v>340.12</v>
      </c>
      <c r="L37" s="64">
        <v>16.75</v>
      </c>
      <c r="M37" s="64">
        <v>98.18</v>
      </c>
      <c r="N37" s="64">
        <v>52.1</v>
      </c>
      <c r="O37" s="64">
        <v>0</v>
      </c>
      <c r="P37" s="64">
        <v>0.54</v>
      </c>
      <c r="Q37" s="64">
        <v>7.29</v>
      </c>
      <c r="R37" s="198"/>
      <c r="S37" s="198"/>
      <c r="T37" s="198"/>
      <c r="U37" s="198"/>
    </row>
    <row r="38" spans="1:21" s="12" customFormat="1" x14ac:dyDescent="0.25">
      <c r="A38" s="214" t="s">
        <v>949</v>
      </c>
      <c r="B38" s="64">
        <v>35.909999999999997</v>
      </c>
      <c r="C38" s="64">
        <v>39.36</v>
      </c>
      <c r="D38" s="64">
        <v>51.17</v>
      </c>
      <c r="E38" s="64">
        <v>2.58</v>
      </c>
      <c r="F38" s="64">
        <v>3.59</v>
      </c>
      <c r="G38" s="64">
        <v>53.52</v>
      </c>
      <c r="H38" s="64">
        <v>17.079999999999998</v>
      </c>
      <c r="I38" s="64">
        <v>1.52</v>
      </c>
      <c r="J38" s="64">
        <v>0.65</v>
      </c>
      <c r="K38" s="64">
        <v>344.9</v>
      </c>
      <c r="L38" s="64">
        <v>16.989999999999998</v>
      </c>
      <c r="M38" s="64">
        <v>98.18</v>
      </c>
      <c r="N38" s="64">
        <v>58.6</v>
      </c>
      <c r="O38" s="64">
        <v>0</v>
      </c>
      <c r="P38" s="64">
        <v>0.61</v>
      </c>
      <c r="Q38" s="64">
        <v>7.26</v>
      </c>
      <c r="R38" s="198"/>
      <c r="S38" s="198"/>
      <c r="T38" s="198"/>
      <c r="U38" s="198"/>
    </row>
    <row r="39" spans="1:21" s="12" customFormat="1" x14ac:dyDescent="0.25">
      <c r="A39" s="214" t="s">
        <v>950</v>
      </c>
      <c r="B39" s="64">
        <v>36.729999999999997</v>
      </c>
      <c r="C39" s="64">
        <v>39.840000000000003</v>
      </c>
      <c r="D39" s="64">
        <v>52.09</v>
      </c>
      <c r="E39" s="64">
        <v>2.59</v>
      </c>
      <c r="F39" s="64">
        <v>3.95</v>
      </c>
      <c r="G39" s="64">
        <v>52.23</v>
      </c>
      <c r="H39" s="64">
        <v>17.18</v>
      </c>
      <c r="I39" s="64">
        <v>1.46</v>
      </c>
      <c r="J39" s="64">
        <v>0.41</v>
      </c>
      <c r="K39" s="64">
        <v>349.64</v>
      </c>
      <c r="L39" s="64">
        <v>17.04</v>
      </c>
      <c r="M39" s="64">
        <v>98.18</v>
      </c>
      <c r="N39" s="64">
        <v>62.2</v>
      </c>
      <c r="O39" s="64">
        <v>0</v>
      </c>
      <c r="P39" s="64">
        <v>0.63</v>
      </c>
      <c r="Q39" s="64">
        <v>7.33</v>
      </c>
      <c r="R39" s="198"/>
      <c r="S39" s="198"/>
      <c r="T39" s="198"/>
      <c r="U39" s="198"/>
    </row>
    <row r="40" spans="1:21" s="12" customFormat="1" x14ac:dyDescent="0.25">
      <c r="A40" s="214" t="s">
        <v>951</v>
      </c>
      <c r="B40" s="64">
        <v>37.86</v>
      </c>
      <c r="C40" s="64">
        <v>40.33</v>
      </c>
      <c r="D40" s="64">
        <v>53.26</v>
      </c>
      <c r="E40" s="64">
        <v>2.35</v>
      </c>
      <c r="F40" s="64">
        <v>3.46</v>
      </c>
      <c r="G40" s="64">
        <v>47.08</v>
      </c>
      <c r="H40" s="64">
        <v>17.46</v>
      </c>
      <c r="I40" s="64">
        <v>1.49</v>
      </c>
      <c r="J40" s="64">
        <v>0.17</v>
      </c>
      <c r="K40" s="64">
        <v>91.21</v>
      </c>
      <c r="L40" s="64">
        <v>17.12</v>
      </c>
      <c r="M40" s="64">
        <v>98.17</v>
      </c>
      <c r="N40" s="64">
        <v>131.69999999999999</v>
      </c>
      <c r="O40" s="64">
        <v>0</v>
      </c>
      <c r="P40" s="64">
        <v>0.65</v>
      </c>
      <c r="Q40" s="64">
        <v>6.31</v>
      </c>
      <c r="R40" s="198"/>
      <c r="S40" s="198"/>
      <c r="T40" s="198"/>
      <c r="U40" s="198"/>
    </row>
    <row r="41" spans="1:21" s="12" customFormat="1" x14ac:dyDescent="0.25">
      <c r="A41" s="214" t="s">
        <v>952</v>
      </c>
      <c r="B41" s="64">
        <v>39.130000000000003</v>
      </c>
      <c r="C41" s="64">
        <v>40.49</v>
      </c>
      <c r="D41" s="64">
        <v>54.37</v>
      </c>
      <c r="E41" s="64">
        <v>2.59</v>
      </c>
      <c r="F41" s="64">
        <v>3.46</v>
      </c>
      <c r="G41" s="64">
        <v>47.08</v>
      </c>
      <c r="H41" s="64">
        <v>17.46</v>
      </c>
      <c r="I41" s="64">
        <v>1.54</v>
      </c>
      <c r="J41" s="64">
        <v>0.51</v>
      </c>
      <c r="K41" s="64">
        <v>350.13</v>
      </c>
      <c r="L41" s="64">
        <v>17.57</v>
      </c>
      <c r="M41" s="64">
        <v>98.15</v>
      </c>
      <c r="N41" s="64">
        <v>132.30000000000001</v>
      </c>
      <c r="O41" s="64">
        <v>0</v>
      </c>
      <c r="P41" s="64">
        <v>0.64</v>
      </c>
      <c r="Q41" s="64">
        <v>5.8</v>
      </c>
      <c r="R41" s="198"/>
      <c r="S41" s="198"/>
      <c r="T41" s="198"/>
      <c r="U41" s="198"/>
    </row>
    <row r="42" spans="1:21" s="12" customFormat="1" x14ac:dyDescent="0.25">
      <c r="A42" s="214" t="s">
        <v>953</v>
      </c>
      <c r="B42" s="64">
        <v>40.28</v>
      </c>
      <c r="C42" s="64">
        <v>40.76</v>
      </c>
      <c r="D42" s="64">
        <v>55.44</v>
      </c>
      <c r="E42" s="64">
        <v>2.74</v>
      </c>
      <c r="F42" s="64">
        <v>3.65</v>
      </c>
      <c r="G42" s="64">
        <v>47.08</v>
      </c>
      <c r="H42" s="64">
        <v>17.46</v>
      </c>
      <c r="I42" s="64">
        <v>1.48</v>
      </c>
      <c r="J42" s="64">
        <v>0.77</v>
      </c>
      <c r="K42" s="64">
        <v>346.14</v>
      </c>
      <c r="L42" s="64">
        <v>18.2</v>
      </c>
      <c r="M42" s="64">
        <v>97.23</v>
      </c>
      <c r="N42" s="64">
        <v>135.5</v>
      </c>
      <c r="O42" s="64">
        <v>0</v>
      </c>
      <c r="P42" s="64">
        <v>0.73</v>
      </c>
      <c r="Q42" s="64">
        <v>6.24</v>
      </c>
      <c r="R42" s="198"/>
      <c r="S42" s="198"/>
      <c r="T42" s="198"/>
      <c r="U42" s="198"/>
    </row>
    <row r="43" spans="1:21" s="12" customFormat="1" x14ac:dyDescent="0.25">
      <c r="A43" s="214" t="s">
        <v>954</v>
      </c>
      <c r="B43" s="64">
        <v>41.43</v>
      </c>
      <c r="C43" s="64">
        <v>40.1</v>
      </c>
      <c r="D43" s="64">
        <v>56</v>
      </c>
      <c r="E43" s="64">
        <v>2.89</v>
      </c>
      <c r="F43" s="64">
        <v>3.85</v>
      </c>
      <c r="G43" s="64">
        <v>46.97</v>
      </c>
      <c r="H43" s="64">
        <v>17.489999999999998</v>
      </c>
      <c r="I43" s="64">
        <v>1.5</v>
      </c>
      <c r="J43" s="64">
        <v>0.32</v>
      </c>
      <c r="K43" s="64">
        <v>346.15</v>
      </c>
      <c r="L43" s="64">
        <v>18.38</v>
      </c>
      <c r="M43" s="64">
        <v>95.87</v>
      </c>
      <c r="N43" s="64">
        <v>118.7</v>
      </c>
      <c r="O43" s="64">
        <v>0</v>
      </c>
      <c r="P43" s="64">
        <v>0.86</v>
      </c>
      <c r="Q43" s="64">
        <v>7.22</v>
      </c>
      <c r="R43" s="198"/>
      <c r="S43" s="198"/>
      <c r="T43" s="198"/>
      <c r="U43" s="198"/>
    </row>
    <row r="44" spans="1:21" s="12" customFormat="1" x14ac:dyDescent="0.25">
      <c r="A44" s="214" t="s">
        <v>955</v>
      </c>
      <c r="B44" s="64">
        <v>42.28</v>
      </c>
      <c r="C44" s="64">
        <v>39.28</v>
      </c>
      <c r="D44" s="64">
        <v>56.23</v>
      </c>
      <c r="E44" s="64">
        <v>2.7</v>
      </c>
      <c r="F44" s="64">
        <v>3.88</v>
      </c>
      <c r="G44" s="64">
        <v>46.54</v>
      </c>
      <c r="H44" s="64">
        <v>17.63</v>
      </c>
      <c r="I44" s="64">
        <v>1.5</v>
      </c>
      <c r="J44" s="64">
        <v>0.3</v>
      </c>
      <c r="K44" s="64">
        <v>40.619999999999997</v>
      </c>
      <c r="L44" s="64">
        <v>18.309999999999999</v>
      </c>
      <c r="M44" s="64">
        <v>96.04</v>
      </c>
      <c r="N44" s="64">
        <v>191.5</v>
      </c>
      <c r="O44" s="64">
        <v>0</v>
      </c>
      <c r="P44" s="64">
        <v>0.84</v>
      </c>
      <c r="Q44" s="64">
        <v>7.31</v>
      </c>
      <c r="R44" s="198"/>
      <c r="S44" s="198"/>
      <c r="T44" s="198"/>
      <c r="U44" s="198"/>
    </row>
    <row r="45" spans="1:21" s="12" customFormat="1" x14ac:dyDescent="0.25">
      <c r="A45" s="214" t="s">
        <v>956</v>
      </c>
      <c r="B45" s="64">
        <v>42.79</v>
      </c>
      <c r="C45" s="64">
        <v>39.74</v>
      </c>
      <c r="D45" s="64">
        <v>56.9</v>
      </c>
      <c r="E45" s="64">
        <v>2.5499999999999998</v>
      </c>
      <c r="F45" s="64">
        <v>4.16</v>
      </c>
      <c r="G45" s="64">
        <v>46.54</v>
      </c>
      <c r="H45" s="64">
        <v>17.63</v>
      </c>
      <c r="I45" s="64">
        <v>1.48</v>
      </c>
      <c r="J45" s="64">
        <v>0.41</v>
      </c>
      <c r="K45" s="64">
        <v>106.42</v>
      </c>
      <c r="L45" s="64">
        <v>18.260000000000002</v>
      </c>
      <c r="M45" s="64">
        <v>95.83</v>
      </c>
      <c r="N45" s="64">
        <v>193.8</v>
      </c>
      <c r="O45" s="64">
        <v>0</v>
      </c>
      <c r="P45" s="64">
        <v>0.57999999999999996</v>
      </c>
      <c r="Q45" s="64">
        <v>8.1300000000000008</v>
      </c>
      <c r="R45" s="198"/>
      <c r="S45" s="198"/>
      <c r="T45" s="198"/>
      <c r="U45" s="198"/>
    </row>
    <row r="46" spans="1:21" s="12" customFormat="1" x14ac:dyDescent="0.25">
      <c r="A46" s="214" t="s">
        <v>957</v>
      </c>
      <c r="B46" s="64">
        <v>42.12</v>
      </c>
      <c r="C46" s="64">
        <v>40.39</v>
      </c>
      <c r="D46" s="64">
        <v>56.71</v>
      </c>
      <c r="E46" s="64">
        <v>2.5499999999999998</v>
      </c>
      <c r="F46" s="64">
        <v>4.07</v>
      </c>
      <c r="G46" s="64">
        <v>46.54</v>
      </c>
      <c r="H46" s="64">
        <v>17.63</v>
      </c>
      <c r="I46" s="64">
        <v>1.57</v>
      </c>
      <c r="J46" s="64">
        <v>0.79</v>
      </c>
      <c r="K46" s="64">
        <v>112.77</v>
      </c>
      <c r="L46" s="64">
        <v>19.420000000000002</v>
      </c>
      <c r="M46" s="64">
        <v>87.79</v>
      </c>
      <c r="N46" s="64">
        <v>700.5</v>
      </c>
      <c r="O46" s="64">
        <v>0</v>
      </c>
      <c r="P46" s="64">
        <v>0.53</v>
      </c>
      <c r="Q46" s="64">
        <v>8.83</v>
      </c>
      <c r="R46" s="198"/>
      <c r="S46" s="198"/>
      <c r="T46" s="198"/>
      <c r="U46" s="198"/>
    </row>
    <row r="47" spans="1:21" s="12" customFormat="1" x14ac:dyDescent="0.25">
      <c r="A47" s="214" t="s">
        <v>958</v>
      </c>
      <c r="B47" s="64">
        <v>40.450000000000003</v>
      </c>
      <c r="C47" s="64">
        <v>40.1</v>
      </c>
      <c r="D47" s="64">
        <v>55.21</v>
      </c>
      <c r="E47" s="64">
        <v>2.5</v>
      </c>
      <c r="F47" s="64">
        <v>4.51</v>
      </c>
      <c r="G47" s="64">
        <v>45.89</v>
      </c>
      <c r="H47" s="64">
        <v>16.78</v>
      </c>
      <c r="I47" s="64">
        <v>1.52</v>
      </c>
      <c r="J47" s="64">
        <v>0.63</v>
      </c>
      <c r="K47" s="64">
        <v>97.61</v>
      </c>
      <c r="L47" s="64">
        <v>21.73</v>
      </c>
      <c r="M47" s="64">
        <v>75.180000000000007</v>
      </c>
      <c r="N47" s="64">
        <v>782.1</v>
      </c>
      <c r="O47" s="64">
        <v>0</v>
      </c>
      <c r="P47" s="64">
        <v>0.56999999999999995</v>
      </c>
      <c r="Q47" s="64">
        <v>8.81</v>
      </c>
      <c r="R47" s="198"/>
      <c r="S47" s="198"/>
      <c r="T47" s="198"/>
      <c r="U47" s="198"/>
    </row>
    <row r="48" spans="1:21" s="12" customFormat="1" x14ac:dyDescent="0.25">
      <c r="A48" s="214" t="s">
        <v>959</v>
      </c>
      <c r="B48" s="64">
        <v>39.01</v>
      </c>
      <c r="C48" s="64">
        <v>40.869999999999997</v>
      </c>
      <c r="D48" s="64">
        <v>54.49</v>
      </c>
      <c r="E48" s="64">
        <v>2.57</v>
      </c>
      <c r="F48" s="64">
        <v>4.6100000000000003</v>
      </c>
      <c r="G48" s="64">
        <v>43.29</v>
      </c>
      <c r="H48" s="64">
        <v>14.49</v>
      </c>
      <c r="I48" s="64">
        <v>1.56</v>
      </c>
      <c r="J48" s="64">
        <v>0.7</v>
      </c>
      <c r="K48" s="64">
        <v>101.16</v>
      </c>
      <c r="L48" s="64">
        <v>22.06</v>
      </c>
      <c r="M48" s="64">
        <v>70.39</v>
      </c>
      <c r="N48" s="64">
        <v>675.3</v>
      </c>
      <c r="O48" s="64">
        <v>0</v>
      </c>
      <c r="P48" s="64">
        <v>0.59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960</v>
      </c>
      <c r="B49" s="64">
        <v>37.159999999999997</v>
      </c>
      <c r="C49" s="64">
        <v>40.69</v>
      </c>
      <c r="D49" s="64">
        <v>52.9</v>
      </c>
      <c r="E49" s="64">
        <v>2.58</v>
      </c>
      <c r="F49" s="64">
        <v>4.5999999999999996</v>
      </c>
      <c r="G49" s="64">
        <v>43.29</v>
      </c>
      <c r="H49" s="64">
        <v>14.49</v>
      </c>
      <c r="I49" s="64">
        <v>1.6</v>
      </c>
      <c r="J49" s="64">
        <v>0.88</v>
      </c>
      <c r="K49" s="64">
        <v>107.51</v>
      </c>
      <c r="L49" s="64">
        <v>21.31</v>
      </c>
      <c r="M49" s="64">
        <v>70.680000000000007</v>
      </c>
      <c r="N49" s="64">
        <v>711</v>
      </c>
      <c r="O49" s="64">
        <v>0</v>
      </c>
      <c r="P49" s="64">
        <v>0.52</v>
      </c>
      <c r="Q49" s="64">
        <v>7.74</v>
      </c>
      <c r="R49" s="198"/>
      <c r="S49" s="198"/>
      <c r="T49" s="198"/>
      <c r="U49" s="198"/>
    </row>
    <row r="50" spans="1:21" s="12" customFormat="1" x14ac:dyDescent="0.25">
      <c r="A50" s="214" t="s">
        <v>961</v>
      </c>
      <c r="B50" s="64">
        <v>35.380000000000003</v>
      </c>
      <c r="C50" s="64">
        <v>41.03</v>
      </c>
      <c r="D50" s="64">
        <v>51.66</v>
      </c>
      <c r="E50" s="64">
        <v>2.5499999999999998</v>
      </c>
      <c r="F50" s="64">
        <v>3.65</v>
      </c>
      <c r="G50" s="64">
        <v>43.29</v>
      </c>
      <c r="H50" s="64">
        <v>14.49</v>
      </c>
      <c r="I50" s="64">
        <v>1.61</v>
      </c>
      <c r="J50" s="64">
        <v>1.1299999999999999</v>
      </c>
      <c r="K50" s="64">
        <v>109.72</v>
      </c>
      <c r="L50" s="64">
        <v>20.58</v>
      </c>
      <c r="M50" s="64">
        <v>74.33</v>
      </c>
      <c r="N50" s="64">
        <v>346.9</v>
      </c>
      <c r="O50" s="64">
        <v>0</v>
      </c>
      <c r="P50" s="64">
        <v>0.51</v>
      </c>
      <c r="Q50" s="64">
        <v>7.31</v>
      </c>
      <c r="R50" s="198"/>
      <c r="S50" s="198"/>
      <c r="T50" s="198"/>
      <c r="U50" s="198"/>
    </row>
    <row r="51" spans="1:21" s="12" customFormat="1" x14ac:dyDescent="0.25">
      <c r="A51" s="214" t="s">
        <v>962</v>
      </c>
      <c r="B51" s="64">
        <v>33.43</v>
      </c>
      <c r="C51" s="64">
        <v>41.21</v>
      </c>
      <c r="D51" s="64">
        <v>50.2</v>
      </c>
      <c r="E51" s="64">
        <v>2.5</v>
      </c>
      <c r="F51" s="64">
        <v>4.08</v>
      </c>
      <c r="G51" s="64">
        <v>41.35</v>
      </c>
      <c r="H51" s="64">
        <v>13.83</v>
      </c>
      <c r="I51" s="64">
        <v>1.55</v>
      </c>
      <c r="J51" s="64">
        <v>0.89</v>
      </c>
      <c r="K51" s="64">
        <v>111.85</v>
      </c>
      <c r="L51" s="64">
        <v>19.46</v>
      </c>
      <c r="M51" s="64">
        <v>79.5</v>
      </c>
      <c r="N51" s="64">
        <v>327.39999999999998</v>
      </c>
      <c r="O51" s="64">
        <v>0</v>
      </c>
      <c r="P51" s="64">
        <v>0.46</v>
      </c>
      <c r="Q51" s="64">
        <v>7.12</v>
      </c>
      <c r="R51" s="198"/>
      <c r="S51" s="198"/>
      <c r="T51" s="198"/>
      <c r="U51" s="198"/>
    </row>
    <row r="52" spans="1:21" s="12" customFormat="1" x14ac:dyDescent="0.25">
      <c r="A52" s="214" t="s">
        <v>963</v>
      </c>
      <c r="B52" s="64">
        <v>16.54</v>
      </c>
      <c r="C52" s="64">
        <v>45.95</v>
      </c>
      <c r="D52" s="64">
        <v>39.270000000000003</v>
      </c>
      <c r="E52" s="64">
        <v>2.4900000000000002</v>
      </c>
      <c r="F52" s="64">
        <v>4.92</v>
      </c>
      <c r="G52" s="64">
        <v>33.6</v>
      </c>
      <c r="H52" s="64">
        <v>12.02</v>
      </c>
      <c r="I52" s="64">
        <v>1.46</v>
      </c>
      <c r="J52" s="64">
        <v>0.77</v>
      </c>
      <c r="K52" s="64">
        <v>109.58</v>
      </c>
      <c r="L52" s="64">
        <v>19.57</v>
      </c>
      <c r="M52" s="64">
        <v>79.25</v>
      </c>
      <c r="N52" s="64">
        <v>195.4</v>
      </c>
      <c r="O52" s="64">
        <v>0</v>
      </c>
      <c r="P52" s="64">
        <v>0.3</v>
      </c>
      <c r="Q52" s="64">
        <v>7.15</v>
      </c>
      <c r="R52" s="198"/>
      <c r="S52" s="198"/>
      <c r="T52" s="198"/>
      <c r="U52" s="198"/>
    </row>
    <row r="53" spans="1:21" s="12" customFormat="1" x14ac:dyDescent="0.25">
      <c r="A53" s="214" t="s">
        <v>964</v>
      </c>
      <c r="B53" s="64">
        <v>7.75</v>
      </c>
      <c r="C53" s="64">
        <v>47.67</v>
      </c>
      <c r="D53" s="64">
        <v>33.17</v>
      </c>
      <c r="E53" s="64">
        <v>2.0099999999999998</v>
      </c>
      <c r="F53" s="64">
        <v>5.05</v>
      </c>
      <c r="G53" s="64">
        <v>33.6</v>
      </c>
      <c r="H53" s="64">
        <v>12.02</v>
      </c>
      <c r="I53" s="64">
        <v>1.43</v>
      </c>
      <c r="J53" s="64">
        <v>0.24</v>
      </c>
      <c r="K53" s="64">
        <v>348.06</v>
      </c>
      <c r="L53" s="64">
        <v>20.420000000000002</v>
      </c>
      <c r="M53" s="64">
        <v>78.53</v>
      </c>
      <c r="N53" s="64">
        <v>245.4</v>
      </c>
      <c r="O53" s="64">
        <v>0</v>
      </c>
      <c r="P53" s="64">
        <v>0.65</v>
      </c>
      <c r="Q53" s="64">
        <v>4.3</v>
      </c>
      <c r="R53" s="198"/>
      <c r="S53" s="198"/>
      <c r="T53" s="198"/>
      <c r="U53" s="198"/>
    </row>
    <row r="54" spans="1:21" s="12" customFormat="1" x14ac:dyDescent="0.25">
      <c r="A54" s="214" t="s">
        <v>965</v>
      </c>
      <c r="B54" s="64">
        <v>18.93</v>
      </c>
      <c r="C54" s="64">
        <v>50.93</v>
      </c>
      <c r="D54" s="64">
        <v>43.93</v>
      </c>
      <c r="E54" s="64">
        <v>14.35</v>
      </c>
      <c r="F54" s="64">
        <v>5.71</v>
      </c>
      <c r="G54" s="64">
        <v>33.6</v>
      </c>
      <c r="H54" s="64">
        <v>12.02</v>
      </c>
      <c r="I54" s="64">
        <v>1.53</v>
      </c>
      <c r="J54" s="64">
        <v>0.22</v>
      </c>
      <c r="K54" s="64">
        <v>338.54</v>
      </c>
      <c r="L54" s="64">
        <v>21.21</v>
      </c>
      <c r="M54" s="64">
        <v>72.790000000000006</v>
      </c>
      <c r="N54" s="64">
        <v>262.7</v>
      </c>
      <c r="O54" s="64">
        <v>0</v>
      </c>
      <c r="P54" s="64">
        <v>0.73</v>
      </c>
      <c r="Q54" s="6" t="s">
        <v>42</v>
      </c>
      <c r="R54" s="198"/>
      <c r="S54" s="198"/>
      <c r="T54" s="198"/>
      <c r="U54" s="198"/>
    </row>
    <row r="55" spans="1:21" s="12" customFormat="1" x14ac:dyDescent="0.25">
      <c r="A55" s="214" t="s">
        <v>966</v>
      </c>
      <c r="B55" s="64">
        <v>22.73</v>
      </c>
      <c r="C55" s="64">
        <v>51.47</v>
      </c>
      <c r="D55" s="64">
        <v>47.28</v>
      </c>
      <c r="E55" s="64">
        <v>168.32</v>
      </c>
      <c r="F55" s="64">
        <v>4.0599999999999996</v>
      </c>
      <c r="G55" s="64">
        <v>34.03</v>
      </c>
      <c r="H55" s="64">
        <v>11.49</v>
      </c>
      <c r="I55" s="64">
        <v>1.49</v>
      </c>
      <c r="J55" s="64">
        <v>0.49</v>
      </c>
      <c r="K55" s="64">
        <v>125.12</v>
      </c>
      <c r="L55" s="64">
        <v>20.27</v>
      </c>
      <c r="M55" s="64">
        <v>76.489999999999995</v>
      </c>
      <c r="N55" s="64">
        <v>290.89999999999998</v>
      </c>
      <c r="O55" s="64">
        <v>0</v>
      </c>
      <c r="P55" s="64">
        <v>0.45</v>
      </c>
      <c r="Q55" s="64">
        <v>5.84</v>
      </c>
      <c r="R55" s="198"/>
      <c r="S55" s="198"/>
      <c r="T55" s="198"/>
      <c r="U55" s="198"/>
    </row>
    <row r="56" spans="1:21" s="12" customFormat="1" x14ac:dyDescent="0.25">
      <c r="A56" s="214" t="s">
        <v>967</v>
      </c>
      <c r="B56" s="64">
        <v>22.46</v>
      </c>
      <c r="C56" s="64">
        <v>47.14</v>
      </c>
      <c r="D56" s="64">
        <v>44.67</v>
      </c>
      <c r="E56" s="64">
        <v>143.65</v>
      </c>
      <c r="F56" s="64">
        <v>3.85</v>
      </c>
      <c r="G56" s="64">
        <v>35.74</v>
      </c>
      <c r="H56" s="64">
        <v>10.039999999999999</v>
      </c>
      <c r="I56" s="64">
        <v>1.49</v>
      </c>
      <c r="J56" s="64">
        <v>0.4</v>
      </c>
      <c r="K56" s="64">
        <v>141.22</v>
      </c>
      <c r="L56" s="64">
        <v>20.67</v>
      </c>
      <c r="M56" s="64">
        <v>73.89</v>
      </c>
      <c r="N56" s="64">
        <v>342.8</v>
      </c>
      <c r="O56" s="64">
        <v>0</v>
      </c>
      <c r="P56" s="64">
        <v>0.44</v>
      </c>
      <c r="Q56" s="64">
        <v>6.09</v>
      </c>
      <c r="R56" s="198"/>
      <c r="S56" s="198"/>
      <c r="T56" s="198"/>
      <c r="U56" s="198"/>
    </row>
    <row r="57" spans="1:21" s="12" customFormat="1" x14ac:dyDescent="0.25">
      <c r="A57" s="214" t="s">
        <v>968</v>
      </c>
      <c r="B57" s="64">
        <v>21.87</v>
      </c>
      <c r="C57" s="64">
        <v>42.72</v>
      </c>
      <c r="D57" s="64">
        <v>41.76</v>
      </c>
      <c r="E57" s="64">
        <v>237.95</v>
      </c>
      <c r="F57" s="64">
        <v>4.12</v>
      </c>
      <c r="G57" s="64">
        <v>35.74</v>
      </c>
      <c r="H57" s="64">
        <v>10.039999999999999</v>
      </c>
      <c r="I57" s="64">
        <v>1.43</v>
      </c>
      <c r="J57" s="64">
        <v>0.81</v>
      </c>
      <c r="K57" s="64">
        <v>106.85</v>
      </c>
      <c r="L57" s="64">
        <v>20.53</v>
      </c>
      <c r="M57" s="64">
        <v>72.819999999999993</v>
      </c>
      <c r="N57" s="64">
        <v>377.5</v>
      </c>
      <c r="O57" s="64">
        <v>0</v>
      </c>
      <c r="P57" s="64">
        <v>0.45</v>
      </c>
      <c r="Q57" s="64">
        <v>5.83</v>
      </c>
      <c r="R57" s="198"/>
      <c r="S57" s="198"/>
      <c r="T57" s="198"/>
      <c r="U57" s="198"/>
    </row>
    <row r="58" spans="1:21" s="12" customFormat="1" x14ac:dyDescent="0.25">
      <c r="A58" s="214" t="s">
        <v>969</v>
      </c>
      <c r="B58" s="64">
        <v>20.62</v>
      </c>
      <c r="C58" s="64">
        <v>43.29</v>
      </c>
      <c r="D58" s="64">
        <v>41.07</v>
      </c>
      <c r="E58" s="64">
        <v>5.56</v>
      </c>
      <c r="F58" s="64">
        <v>6.06</v>
      </c>
      <c r="G58" s="64">
        <v>35.74</v>
      </c>
      <c r="H58" s="64">
        <v>10.039999999999999</v>
      </c>
      <c r="I58" s="64">
        <v>1.51</v>
      </c>
      <c r="J58" s="64">
        <v>0.33</v>
      </c>
      <c r="K58" s="64">
        <v>100.58</v>
      </c>
      <c r="L58" s="64">
        <v>20.71</v>
      </c>
      <c r="M58" s="64">
        <v>73.349999999999994</v>
      </c>
      <c r="N58" s="64">
        <v>305.60000000000002</v>
      </c>
      <c r="O58" s="64">
        <v>0</v>
      </c>
      <c r="P58" s="64">
        <v>0.36</v>
      </c>
      <c r="Q58" s="64">
        <v>6.23</v>
      </c>
      <c r="R58" s="198"/>
      <c r="S58" s="198"/>
      <c r="T58" s="198"/>
      <c r="U58" s="198"/>
    </row>
    <row r="59" spans="1:21" s="12" customFormat="1" x14ac:dyDescent="0.25">
      <c r="A59" s="214" t="s">
        <v>970</v>
      </c>
      <c r="B59" s="64">
        <v>19.89</v>
      </c>
      <c r="C59" s="64">
        <v>42.48</v>
      </c>
      <c r="D59" s="64">
        <v>40.04</v>
      </c>
      <c r="E59" s="64">
        <v>1.45</v>
      </c>
      <c r="F59" s="64">
        <v>7.29</v>
      </c>
      <c r="G59" s="64">
        <v>35.07</v>
      </c>
      <c r="H59" s="64">
        <v>10.14</v>
      </c>
      <c r="I59" s="64">
        <v>1.53</v>
      </c>
      <c r="J59" s="64">
        <v>0.28000000000000003</v>
      </c>
      <c r="K59" s="64">
        <v>1.23</v>
      </c>
      <c r="L59" s="64">
        <v>21.49</v>
      </c>
      <c r="M59" s="64">
        <v>70.72</v>
      </c>
      <c r="N59" s="64">
        <v>300</v>
      </c>
      <c r="O59" s="64">
        <v>0</v>
      </c>
      <c r="P59" s="64">
        <v>0.53</v>
      </c>
      <c r="Q59" s="64">
        <v>5.72</v>
      </c>
      <c r="R59" s="198"/>
      <c r="S59" s="198"/>
      <c r="T59" s="198"/>
      <c r="U59" s="198"/>
    </row>
    <row r="60" spans="1:21" s="12" customFormat="1" x14ac:dyDescent="0.25">
      <c r="A60" s="214" t="s">
        <v>971</v>
      </c>
      <c r="B60" s="64">
        <v>20.55</v>
      </c>
      <c r="C60" s="64">
        <v>42.63</v>
      </c>
      <c r="D60" s="64">
        <v>40.65</v>
      </c>
      <c r="E60" s="64">
        <v>0.93</v>
      </c>
      <c r="F60" s="64">
        <v>6.53</v>
      </c>
      <c r="G60" s="64">
        <v>32.36</v>
      </c>
      <c r="H60" s="64">
        <v>10.59</v>
      </c>
      <c r="I60" s="64">
        <v>1.48</v>
      </c>
      <c r="J60" s="64">
        <v>0.33</v>
      </c>
      <c r="K60" s="64">
        <v>344.89</v>
      </c>
      <c r="L60" s="64">
        <v>22.41</v>
      </c>
      <c r="M60" s="64">
        <v>68.27</v>
      </c>
      <c r="N60" s="64">
        <v>291</v>
      </c>
      <c r="O60" s="64">
        <v>0</v>
      </c>
      <c r="P60" s="64">
        <v>0.67</v>
      </c>
      <c r="Q60" s="64">
        <v>3.92</v>
      </c>
      <c r="R60" s="198"/>
      <c r="S60" s="198"/>
      <c r="T60" s="198"/>
      <c r="U60" s="198"/>
    </row>
    <row r="61" spans="1:21" s="12" customFormat="1" x14ac:dyDescent="0.25">
      <c r="A61" s="214" t="s">
        <v>972</v>
      </c>
      <c r="B61" s="64">
        <v>20.28</v>
      </c>
      <c r="C61" s="64">
        <v>43.6</v>
      </c>
      <c r="D61" s="64">
        <v>40.97</v>
      </c>
      <c r="E61" s="64">
        <v>0.76</v>
      </c>
      <c r="F61" s="64">
        <v>6.46</v>
      </c>
      <c r="G61" s="64">
        <v>32.36</v>
      </c>
      <c r="H61" s="64">
        <v>10.59</v>
      </c>
      <c r="I61" s="64">
        <v>1.52</v>
      </c>
      <c r="J61" s="64">
        <v>0.27</v>
      </c>
      <c r="K61" s="64">
        <v>155.80000000000001</v>
      </c>
      <c r="L61" s="64">
        <v>21.71</v>
      </c>
      <c r="M61" s="64">
        <v>69.39</v>
      </c>
      <c r="N61" s="64">
        <v>498.8</v>
      </c>
      <c r="O61" s="64">
        <v>0</v>
      </c>
      <c r="P61" s="64">
        <v>0.42</v>
      </c>
      <c r="Q61" s="64">
        <v>4.7</v>
      </c>
      <c r="R61" s="198"/>
      <c r="S61" s="198"/>
      <c r="T61" s="198"/>
      <c r="U61" s="198"/>
    </row>
    <row r="62" spans="1:21" s="12" customFormat="1" x14ac:dyDescent="0.25">
      <c r="A62" s="214" t="s">
        <v>973</v>
      </c>
      <c r="B62" s="64">
        <v>14.28</v>
      </c>
      <c r="C62" s="64">
        <v>48.32</v>
      </c>
      <c r="D62" s="64">
        <v>38.770000000000003</v>
      </c>
      <c r="E62" s="64">
        <v>0.62</v>
      </c>
      <c r="F62" s="64">
        <v>8.66</v>
      </c>
      <c r="G62" s="64">
        <v>32.36</v>
      </c>
      <c r="H62" s="64">
        <v>10.59</v>
      </c>
      <c r="I62" s="64">
        <v>1.52</v>
      </c>
      <c r="J62" s="64">
        <v>0.05</v>
      </c>
      <c r="K62" s="64">
        <v>149.66999999999999</v>
      </c>
      <c r="L62" s="64">
        <v>21.84</v>
      </c>
      <c r="M62" s="64">
        <v>68.02</v>
      </c>
      <c r="N62" s="64">
        <v>405.4</v>
      </c>
      <c r="O62" s="64">
        <v>0</v>
      </c>
      <c r="P62" s="64">
        <v>0.41</v>
      </c>
      <c r="Q62" s="64">
        <v>5.47</v>
      </c>
      <c r="R62" s="198"/>
      <c r="S62" s="198"/>
      <c r="T62" s="198"/>
      <c r="U62" s="198"/>
    </row>
    <row r="63" spans="1:21" s="12" customFormat="1" x14ac:dyDescent="0.25">
      <c r="A63" s="214" t="s">
        <v>974</v>
      </c>
      <c r="B63" s="64">
        <v>5.77</v>
      </c>
      <c r="C63" s="64">
        <v>49.3</v>
      </c>
      <c r="D63" s="64">
        <v>32.479999999999997</v>
      </c>
      <c r="E63" s="64">
        <v>0.98</v>
      </c>
      <c r="F63" s="64">
        <v>13.14</v>
      </c>
      <c r="G63" s="64">
        <v>30.05</v>
      </c>
      <c r="H63" s="64">
        <v>9.76</v>
      </c>
      <c r="I63" s="64">
        <v>1.47</v>
      </c>
      <c r="J63" s="64">
        <v>0.34</v>
      </c>
      <c r="K63" s="64">
        <v>137.62</v>
      </c>
      <c r="L63" s="64">
        <v>21.43</v>
      </c>
      <c r="M63" s="64">
        <v>68.72</v>
      </c>
      <c r="N63" s="64">
        <v>303.2</v>
      </c>
      <c r="O63" s="64">
        <v>0</v>
      </c>
      <c r="P63" s="64">
        <v>0.33</v>
      </c>
      <c r="Q63" s="64">
        <v>5.19</v>
      </c>
      <c r="R63" s="198"/>
      <c r="S63" s="198"/>
      <c r="T63" s="198"/>
      <c r="U63" s="198"/>
    </row>
    <row r="64" spans="1:21" s="12" customFormat="1" x14ac:dyDescent="0.25">
      <c r="A64" s="214" t="s">
        <v>975</v>
      </c>
      <c r="B64" s="64">
        <v>2.9</v>
      </c>
      <c r="C64" s="64">
        <v>47.42</v>
      </c>
      <c r="D64" s="64">
        <v>29.14</v>
      </c>
      <c r="E64" s="64">
        <v>0.71</v>
      </c>
      <c r="F64" s="64">
        <v>10.55</v>
      </c>
      <c r="G64" s="64">
        <v>21.4</v>
      </c>
      <c r="H64" s="64">
        <v>7.5</v>
      </c>
      <c r="I64" s="64">
        <v>1.45</v>
      </c>
      <c r="J64" s="64">
        <v>0.22</v>
      </c>
      <c r="K64" s="64">
        <v>168.35</v>
      </c>
      <c r="L64" s="64">
        <v>21.07</v>
      </c>
      <c r="M64" s="64">
        <v>70.260000000000005</v>
      </c>
      <c r="N64" s="64">
        <v>232.8</v>
      </c>
      <c r="O64" s="64">
        <v>0</v>
      </c>
      <c r="P64" s="64">
        <v>0.34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976</v>
      </c>
      <c r="B65" s="64">
        <v>3.07</v>
      </c>
      <c r="C65" s="64">
        <v>45.51</v>
      </c>
      <c r="D65" s="64">
        <v>28.23</v>
      </c>
      <c r="E65" s="64">
        <v>1.03</v>
      </c>
      <c r="F65" s="64">
        <v>9.65</v>
      </c>
      <c r="G65" s="64">
        <v>21.4</v>
      </c>
      <c r="H65" s="64">
        <v>7.5</v>
      </c>
      <c r="I65" s="64">
        <v>1.49</v>
      </c>
      <c r="J65" s="64">
        <v>0.38</v>
      </c>
      <c r="K65" s="64">
        <v>348.13</v>
      </c>
      <c r="L65" s="64">
        <v>22.36</v>
      </c>
      <c r="M65" s="64">
        <v>67.58</v>
      </c>
      <c r="N65" s="64">
        <v>209.4</v>
      </c>
      <c r="O65" s="64">
        <v>0</v>
      </c>
      <c r="P65" s="64">
        <v>0.64</v>
      </c>
      <c r="Q65" s="64">
        <v>4.9400000000000004</v>
      </c>
      <c r="R65" s="198"/>
      <c r="S65" s="198"/>
      <c r="T65" s="198"/>
      <c r="U65" s="198"/>
    </row>
    <row r="66" spans="1:21" s="12" customFormat="1" x14ac:dyDescent="0.25">
      <c r="A66" s="214" t="s">
        <v>977</v>
      </c>
      <c r="B66" s="64">
        <v>6.77</v>
      </c>
      <c r="C66" s="64">
        <v>46.59</v>
      </c>
      <c r="D66" s="64">
        <v>31.79</v>
      </c>
      <c r="E66" s="64">
        <v>1.1399999999999999</v>
      </c>
      <c r="F66" s="64">
        <v>9.2899999999999991</v>
      </c>
      <c r="G66" s="64">
        <v>21.4</v>
      </c>
      <c r="H66" s="64">
        <v>7.5</v>
      </c>
      <c r="I66" s="64">
        <v>1.49</v>
      </c>
      <c r="J66" s="64">
        <v>0.6</v>
      </c>
      <c r="K66" s="64">
        <v>323.06</v>
      </c>
      <c r="L66" s="64">
        <v>23.64</v>
      </c>
      <c r="M66" s="64">
        <v>63.76</v>
      </c>
      <c r="N66" s="64">
        <v>222.1</v>
      </c>
      <c r="O66" s="64">
        <v>0</v>
      </c>
      <c r="P66" s="64">
        <v>0.63</v>
      </c>
      <c r="Q66" s="64">
        <v>3.92</v>
      </c>
      <c r="R66" s="198"/>
      <c r="S66" s="198"/>
      <c r="T66" s="198"/>
      <c r="U66" s="198"/>
    </row>
    <row r="67" spans="1:21" s="12" customFormat="1" x14ac:dyDescent="0.25">
      <c r="A67" s="214" t="s">
        <v>978</v>
      </c>
      <c r="B67" s="64">
        <v>19.45</v>
      </c>
      <c r="C67" s="64">
        <v>68.739999999999995</v>
      </c>
      <c r="D67" s="64">
        <v>54.18</v>
      </c>
      <c r="E67" s="64">
        <v>1.26</v>
      </c>
      <c r="F67" s="64">
        <v>8.57</v>
      </c>
      <c r="G67" s="64">
        <v>24.03</v>
      </c>
      <c r="H67" s="64">
        <v>8.11</v>
      </c>
      <c r="I67" s="64">
        <v>1.52</v>
      </c>
      <c r="J67" s="64">
        <v>0.49</v>
      </c>
      <c r="K67" s="64">
        <v>334.69</v>
      </c>
      <c r="L67" s="64">
        <v>23.62</v>
      </c>
      <c r="M67" s="64">
        <v>62.17</v>
      </c>
      <c r="N67" s="64">
        <v>184.1</v>
      </c>
      <c r="O67" s="64">
        <v>0</v>
      </c>
      <c r="P67" s="64">
        <v>0.67</v>
      </c>
      <c r="Q67" s="64">
        <v>3.38</v>
      </c>
      <c r="R67" s="198"/>
      <c r="S67" s="198"/>
      <c r="T67" s="198"/>
      <c r="U67" s="198"/>
    </row>
    <row r="68" spans="1:21" s="12" customFormat="1" x14ac:dyDescent="0.25">
      <c r="A68" s="214" t="s">
        <v>979</v>
      </c>
      <c r="B68" s="64">
        <v>17.32</v>
      </c>
      <c r="C68" s="64">
        <v>68.81</v>
      </c>
      <c r="D68" s="64">
        <v>52.51</v>
      </c>
      <c r="E68" s="64">
        <v>1.3</v>
      </c>
      <c r="F68" s="64">
        <v>7.69</v>
      </c>
      <c r="G68" s="64">
        <v>33.85</v>
      </c>
      <c r="H68" s="64">
        <v>9.77</v>
      </c>
      <c r="I68" s="64">
        <v>1.53</v>
      </c>
      <c r="J68" s="64">
        <v>0.14000000000000001</v>
      </c>
      <c r="K68" s="64">
        <v>343.13</v>
      </c>
      <c r="L68" s="64">
        <v>22.8</v>
      </c>
      <c r="M68" s="64">
        <v>64.08</v>
      </c>
      <c r="N68" s="64">
        <v>138.1</v>
      </c>
      <c r="O68" s="64">
        <v>0</v>
      </c>
      <c r="P68" s="64">
        <v>0.62</v>
      </c>
      <c r="Q68" s="64">
        <v>4.9400000000000004</v>
      </c>
      <c r="R68" s="198"/>
      <c r="S68" s="198"/>
      <c r="T68" s="198"/>
      <c r="U68" s="198"/>
    </row>
    <row r="69" spans="1:21" s="12" customFormat="1" x14ac:dyDescent="0.25">
      <c r="A69" s="214" t="s">
        <v>980</v>
      </c>
      <c r="B69" s="64">
        <v>16.8</v>
      </c>
      <c r="C69" s="64">
        <v>64.11</v>
      </c>
      <c r="D69" s="64">
        <v>49.5</v>
      </c>
      <c r="E69" s="64">
        <v>0.98</v>
      </c>
      <c r="F69" s="64">
        <v>7.55</v>
      </c>
      <c r="G69" s="64">
        <v>33.85</v>
      </c>
      <c r="H69" s="64">
        <v>9.77</v>
      </c>
      <c r="I69" s="64">
        <v>1.54</v>
      </c>
      <c r="J69" s="64">
        <v>7.0000000000000007E-2</v>
      </c>
      <c r="K69" s="64">
        <v>22.97</v>
      </c>
      <c r="L69" s="64">
        <v>21.78</v>
      </c>
      <c r="M69" s="64">
        <v>67.97</v>
      </c>
      <c r="N69" s="64">
        <v>113.2</v>
      </c>
      <c r="O69" s="64">
        <v>0</v>
      </c>
      <c r="P69" s="64">
        <v>0.56000000000000005</v>
      </c>
      <c r="Q69" s="64">
        <v>6.06</v>
      </c>
      <c r="R69" s="198"/>
      <c r="S69" s="198"/>
      <c r="T69" s="198"/>
      <c r="U69" s="198"/>
    </row>
    <row r="70" spans="1:21" s="12" customFormat="1" x14ac:dyDescent="0.25">
      <c r="A70" s="214" t="s">
        <v>981</v>
      </c>
      <c r="B70" s="64">
        <v>15.99</v>
      </c>
      <c r="C70" s="64">
        <v>59.64</v>
      </c>
      <c r="D70" s="64">
        <v>46.38</v>
      </c>
      <c r="E70" s="64">
        <v>0.72</v>
      </c>
      <c r="F70" s="64">
        <v>7.05</v>
      </c>
      <c r="G70" s="64">
        <v>33.85</v>
      </c>
      <c r="H70" s="64">
        <v>9.77</v>
      </c>
      <c r="I70" s="64">
        <v>1.48</v>
      </c>
      <c r="J70" s="64">
        <v>0.47</v>
      </c>
      <c r="K70" s="64">
        <v>152.41</v>
      </c>
      <c r="L70" s="64">
        <v>21.22</v>
      </c>
      <c r="M70" s="64">
        <v>70.66</v>
      </c>
      <c r="N70" s="64">
        <v>99.2</v>
      </c>
      <c r="O70" s="64">
        <v>0</v>
      </c>
      <c r="P70" s="64">
        <v>0.49</v>
      </c>
      <c r="Q70" s="64">
        <v>6.19</v>
      </c>
      <c r="R70" s="198"/>
      <c r="S70" s="198"/>
      <c r="T70" s="198"/>
      <c r="U70" s="198"/>
    </row>
    <row r="71" spans="1:21" s="12" customFormat="1" x14ac:dyDescent="0.25">
      <c r="A71" s="214" t="s">
        <v>982</v>
      </c>
      <c r="B71" s="64">
        <v>15.44</v>
      </c>
      <c r="C71" s="64">
        <v>55.45</v>
      </c>
      <c r="D71" s="64">
        <v>43.63</v>
      </c>
      <c r="E71" s="64">
        <v>0.69</v>
      </c>
      <c r="F71" s="64">
        <v>7.27</v>
      </c>
      <c r="G71" s="64">
        <v>36.97</v>
      </c>
      <c r="H71" s="64">
        <v>10.62</v>
      </c>
      <c r="I71" s="64">
        <v>1.52</v>
      </c>
      <c r="J71" s="64">
        <v>0.68</v>
      </c>
      <c r="K71" s="64">
        <v>149.31</v>
      </c>
      <c r="L71" s="64">
        <v>20.93</v>
      </c>
      <c r="M71" s="64">
        <v>71.19</v>
      </c>
      <c r="N71" s="64">
        <v>89.6</v>
      </c>
      <c r="O71" s="64">
        <v>0</v>
      </c>
      <c r="P71" s="64">
        <v>0.47</v>
      </c>
      <c r="Q71" s="64">
        <v>6.23</v>
      </c>
      <c r="R71" s="198"/>
      <c r="S71" s="198"/>
      <c r="T71" s="198"/>
      <c r="U71" s="198"/>
    </row>
    <row r="72" spans="1:21" s="12" customFormat="1" x14ac:dyDescent="0.25">
      <c r="A72" s="214" t="s">
        <v>983</v>
      </c>
      <c r="B72" s="64">
        <v>14.61</v>
      </c>
      <c r="C72" s="64">
        <v>52.12</v>
      </c>
      <c r="D72" s="64">
        <v>41.13</v>
      </c>
      <c r="E72" s="64">
        <v>0.36</v>
      </c>
      <c r="F72" s="64">
        <v>5.21</v>
      </c>
      <c r="G72" s="64">
        <v>48.62</v>
      </c>
      <c r="H72" s="64">
        <v>13.07</v>
      </c>
      <c r="I72" s="64">
        <v>1.46</v>
      </c>
      <c r="J72" s="64">
        <v>0.39</v>
      </c>
      <c r="K72" s="64">
        <v>159.51</v>
      </c>
      <c r="L72" s="64">
        <v>20.96</v>
      </c>
      <c r="M72" s="64">
        <v>71.319999999999993</v>
      </c>
      <c r="N72" s="64">
        <v>82.9</v>
      </c>
      <c r="O72" s="64">
        <v>0</v>
      </c>
      <c r="P72" s="64">
        <v>0.52</v>
      </c>
      <c r="Q72" s="64">
        <v>5.52</v>
      </c>
      <c r="R72" s="198"/>
      <c r="S72" s="198"/>
      <c r="T72" s="198"/>
      <c r="U72" s="198"/>
    </row>
    <row r="73" spans="1:21" s="12" customFormat="1" x14ac:dyDescent="0.25">
      <c r="A73" s="214" t="s">
        <v>984</v>
      </c>
      <c r="B73" s="64">
        <v>13.58</v>
      </c>
      <c r="C73" s="64">
        <v>50.59</v>
      </c>
      <c r="D73" s="64">
        <v>39.450000000000003</v>
      </c>
      <c r="E73" s="64">
        <v>0.53</v>
      </c>
      <c r="F73" s="64">
        <v>4.7699999999999996</v>
      </c>
      <c r="G73" s="64">
        <v>48.62</v>
      </c>
      <c r="H73" s="64">
        <v>13.07</v>
      </c>
      <c r="I73" s="64">
        <v>1.52</v>
      </c>
      <c r="J73" s="64">
        <v>0.02</v>
      </c>
      <c r="K73" s="64">
        <v>173.52</v>
      </c>
      <c r="L73" s="64">
        <v>20.85</v>
      </c>
      <c r="M73" s="64">
        <v>71.86</v>
      </c>
      <c r="N73" s="64">
        <v>71.5</v>
      </c>
      <c r="O73" s="64">
        <v>0</v>
      </c>
      <c r="P73" s="64">
        <v>0.53</v>
      </c>
      <c r="Q73" s="64">
        <v>5.22</v>
      </c>
      <c r="R73" s="198"/>
      <c r="S73" s="198"/>
      <c r="T73" s="198"/>
      <c r="U73" s="198"/>
    </row>
    <row r="74" spans="1:21" s="12" customFormat="1" x14ac:dyDescent="0.25">
      <c r="A74" s="214" t="s">
        <v>985</v>
      </c>
      <c r="B74" s="64">
        <v>12.64</v>
      </c>
      <c r="C74" s="64">
        <v>49.46</v>
      </c>
      <c r="D74" s="64">
        <v>38.08</v>
      </c>
      <c r="E74" s="64">
        <v>0.48</v>
      </c>
      <c r="F74" s="64">
        <v>4.0199999999999996</v>
      </c>
      <c r="G74" s="64">
        <v>48.62</v>
      </c>
      <c r="H74" s="64">
        <v>13.07</v>
      </c>
      <c r="I74" s="64">
        <v>1.52</v>
      </c>
      <c r="J74" s="64">
        <v>0.12</v>
      </c>
      <c r="K74" s="64">
        <v>181.24</v>
      </c>
      <c r="L74" s="64">
        <v>20.74</v>
      </c>
      <c r="M74" s="64">
        <v>72.2</v>
      </c>
      <c r="N74" s="64">
        <v>58</v>
      </c>
      <c r="O74" s="64">
        <v>0</v>
      </c>
      <c r="P74" s="64">
        <v>0.53</v>
      </c>
      <c r="Q74" s="64">
        <v>5.0199999999999996</v>
      </c>
      <c r="R74" s="198"/>
      <c r="S74" s="198"/>
      <c r="T74" s="198"/>
      <c r="U74" s="198"/>
    </row>
    <row r="75" spans="1:21" s="12" customFormat="1" x14ac:dyDescent="0.25">
      <c r="A75" s="214" t="s">
        <v>986</v>
      </c>
      <c r="B75" s="64">
        <v>12.07</v>
      </c>
      <c r="C75" s="64">
        <v>48.12</v>
      </c>
      <c r="D75" s="64">
        <v>36.880000000000003</v>
      </c>
      <c r="E75" s="64">
        <v>0.36</v>
      </c>
      <c r="F75" s="64">
        <v>3.92</v>
      </c>
      <c r="G75" s="64">
        <v>47.6</v>
      </c>
      <c r="H75" s="64">
        <v>12.48</v>
      </c>
      <c r="I75" s="64">
        <v>1.53</v>
      </c>
      <c r="J75" s="64">
        <v>0.05</v>
      </c>
      <c r="K75" s="64">
        <v>209.93</v>
      </c>
      <c r="L75" s="64">
        <v>20.54</v>
      </c>
      <c r="M75" s="64">
        <v>73.92</v>
      </c>
      <c r="N75" s="64">
        <v>46.3</v>
      </c>
      <c r="O75" s="64">
        <v>0</v>
      </c>
      <c r="P75" s="64">
        <v>0.51</v>
      </c>
      <c r="Q75" s="64">
        <v>5.0599999999999996</v>
      </c>
      <c r="R75" s="198"/>
      <c r="S75" s="198"/>
      <c r="T75" s="198"/>
      <c r="U75" s="198"/>
    </row>
    <row r="76" spans="1:21" s="12" customFormat="1" x14ac:dyDescent="0.25">
      <c r="A76" s="214" t="s">
        <v>987</v>
      </c>
      <c r="B76" s="64">
        <v>11.84</v>
      </c>
      <c r="C76" s="64">
        <v>47.85</v>
      </c>
      <c r="D76" s="64">
        <v>36.549999999999997</v>
      </c>
      <c r="E76" s="64">
        <v>0.34</v>
      </c>
      <c r="F76" s="64">
        <v>3.89</v>
      </c>
      <c r="G76" s="64">
        <v>43.52</v>
      </c>
      <c r="H76" s="64">
        <v>9.83</v>
      </c>
      <c r="I76" s="64">
        <v>1.5</v>
      </c>
      <c r="J76" s="64">
        <v>0.02</v>
      </c>
      <c r="K76" s="64">
        <v>303.55</v>
      </c>
      <c r="L76" s="64">
        <v>20.25</v>
      </c>
      <c r="M76" s="64">
        <v>75.86</v>
      </c>
      <c r="N76" s="64">
        <v>35</v>
      </c>
      <c r="O76" s="64">
        <v>0</v>
      </c>
      <c r="P76" s="64">
        <v>0.52</v>
      </c>
      <c r="Q76" s="64">
        <v>5.16</v>
      </c>
      <c r="R76" s="198"/>
      <c r="S76" s="198"/>
      <c r="T76" s="198"/>
      <c r="U76" s="198"/>
    </row>
    <row r="77" spans="1:21" s="12" customFormat="1" x14ac:dyDescent="0.25">
      <c r="A77" s="214" t="s">
        <v>988</v>
      </c>
      <c r="B77" s="64">
        <v>11.73</v>
      </c>
      <c r="C77" s="64">
        <v>46.77</v>
      </c>
      <c r="D77" s="64">
        <v>35.86</v>
      </c>
      <c r="E77" s="64">
        <v>0.42</v>
      </c>
      <c r="F77" s="64">
        <v>3.98</v>
      </c>
      <c r="G77" s="64">
        <v>43.52</v>
      </c>
      <c r="H77" s="64">
        <v>9.83</v>
      </c>
      <c r="I77" s="64">
        <v>1.51</v>
      </c>
      <c r="J77" s="64">
        <v>0.02</v>
      </c>
      <c r="K77" s="64">
        <v>324.52999999999997</v>
      </c>
      <c r="L77" s="64">
        <v>19.920000000000002</v>
      </c>
      <c r="M77" s="64">
        <v>77.3</v>
      </c>
      <c r="N77" s="64">
        <v>25.9</v>
      </c>
      <c r="O77" s="64">
        <v>0</v>
      </c>
      <c r="P77" s="64">
        <v>0.53</v>
      </c>
      <c r="Q77" s="64">
        <v>5.18</v>
      </c>
      <c r="R77" s="198"/>
      <c r="S77" s="198"/>
      <c r="T77" s="198"/>
      <c r="U77" s="198"/>
    </row>
    <row r="78" spans="1:21" s="12" customFormat="1" x14ac:dyDescent="0.25">
      <c r="A78" s="214" t="s">
        <v>989</v>
      </c>
      <c r="B78" s="64">
        <v>11.83</v>
      </c>
      <c r="C78" s="64">
        <v>46.24</v>
      </c>
      <c r="D78" s="64">
        <v>35.65</v>
      </c>
      <c r="E78" s="64">
        <v>0.38</v>
      </c>
      <c r="F78" s="64">
        <v>4.0199999999999996</v>
      </c>
      <c r="G78" s="64">
        <v>43.52</v>
      </c>
      <c r="H78" s="64">
        <v>9.83</v>
      </c>
      <c r="I78" s="64">
        <v>1.47</v>
      </c>
      <c r="J78" s="64">
        <v>0.01</v>
      </c>
      <c r="K78" s="64">
        <v>275.72000000000003</v>
      </c>
      <c r="L78" s="64">
        <v>19.63</v>
      </c>
      <c r="M78" s="64">
        <v>79.59</v>
      </c>
      <c r="N78" s="64">
        <v>21.9</v>
      </c>
      <c r="O78" s="64">
        <v>0</v>
      </c>
      <c r="P78" s="64">
        <v>0.56000000000000005</v>
      </c>
      <c r="Q78" s="64">
        <v>5.17</v>
      </c>
      <c r="R78" s="198"/>
      <c r="S78" s="198"/>
      <c r="T78" s="198"/>
      <c r="U78" s="198"/>
    </row>
    <row r="79" spans="1:21" s="12" customFormat="1" x14ac:dyDescent="0.25">
      <c r="A79" s="214" t="s">
        <v>990</v>
      </c>
      <c r="B79" s="64">
        <v>12.13</v>
      </c>
      <c r="C79" s="64">
        <v>46.13</v>
      </c>
      <c r="D79" s="64">
        <v>35.83</v>
      </c>
      <c r="E79" s="64">
        <v>0.4</v>
      </c>
      <c r="F79" s="64">
        <v>3.97</v>
      </c>
      <c r="G79" s="64">
        <v>45.19</v>
      </c>
      <c r="H79" s="64">
        <v>9.0399999999999991</v>
      </c>
      <c r="I79" s="64">
        <v>1.52</v>
      </c>
      <c r="J79" s="64">
        <v>0.03</v>
      </c>
      <c r="K79" s="64">
        <v>11.75</v>
      </c>
      <c r="L79" s="64">
        <v>19.3</v>
      </c>
      <c r="M79" s="64">
        <v>82.39</v>
      </c>
      <c r="N79" s="64">
        <v>21</v>
      </c>
      <c r="O79" s="64">
        <v>0</v>
      </c>
      <c r="P79" s="64">
        <v>0.63</v>
      </c>
      <c r="Q79" s="64">
        <v>5.08</v>
      </c>
      <c r="R79" s="198"/>
      <c r="S79" s="198"/>
      <c r="T79" s="198"/>
      <c r="U79" s="198"/>
    </row>
    <row r="80" spans="1:21" s="12" customFormat="1" x14ac:dyDescent="0.25">
      <c r="A80" s="214" t="s">
        <v>991</v>
      </c>
      <c r="B80" s="64">
        <v>12.52</v>
      </c>
      <c r="C80" s="64">
        <v>46.31</v>
      </c>
      <c r="D80" s="64">
        <v>36.24</v>
      </c>
      <c r="E80" s="64">
        <v>0.37</v>
      </c>
      <c r="F80" s="64">
        <v>3.54</v>
      </c>
      <c r="G80" s="64">
        <v>51.84</v>
      </c>
      <c r="H80" s="64">
        <v>6.88</v>
      </c>
      <c r="I80" s="64">
        <v>1.44</v>
      </c>
      <c r="J80" s="64">
        <v>0.09</v>
      </c>
      <c r="K80" s="64">
        <v>18.23</v>
      </c>
      <c r="L80" s="64">
        <v>19.059999999999999</v>
      </c>
      <c r="M80" s="64">
        <v>84.99</v>
      </c>
      <c r="N80" s="64">
        <v>21.1</v>
      </c>
      <c r="O80" s="64">
        <v>0</v>
      </c>
      <c r="P80" s="64">
        <v>0.62</v>
      </c>
      <c r="Q80" s="64">
        <v>4.87</v>
      </c>
      <c r="R80" s="198"/>
      <c r="S80" s="198"/>
      <c r="T80" s="198"/>
      <c r="U80" s="198"/>
    </row>
    <row r="81" spans="1:26" s="12" customFormat="1" x14ac:dyDescent="0.25">
      <c r="A81" s="214" t="s">
        <v>992</v>
      </c>
      <c r="B81" s="64">
        <v>13.76</v>
      </c>
      <c r="C81" s="64">
        <v>45.87</v>
      </c>
      <c r="D81" s="64">
        <v>37</v>
      </c>
      <c r="E81" s="64">
        <v>0.42</v>
      </c>
      <c r="F81" s="64">
        <v>3.35</v>
      </c>
      <c r="G81" s="64">
        <v>51.84</v>
      </c>
      <c r="H81" s="64">
        <v>6.88</v>
      </c>
      <c r="I81" s="64">
        <v>1.5</v>
      </c>
      <c r="J81" s="64">
        <v>0.03</v>
      </c>
      <c r="K81" s="64">
        <v>316.29000000000002</v>
      </c>
      <c r="L81" s="64">
        <v>18.78</v>
      </c>
      <c r="M81" s="64">
        <v>87.11</v>
      </c>
      <c r="N81" s="64">
        <v>20.8</v>
      </c>
      <c r="O81" s="64">
        <v>0</v>
      </c>
      <c r="P81" s="64">
        <v>0.79</v>
      </c>
      <c r="Q81" s="64">
        <v>4.07</v>
      </c>
      <c r="R81" s="198"/>
      <c r="S81" s="198"/>
      <c r="T81" s="198"/>
      <c r="U81" s="198"/>
    </row>
    <row r="82" spans="1:26" s="12" customFormat="1" x14ac:dyDescent="0.25">
      <c r="A82" s="214" t="s">
        <v>993</v>
      </c>
      <c r="B82" s="64">
        <v>14.9</v>
      </c>
      <c r="C82" s="64">
        <v>45.67</v>
      </c>
      <c r="D82" s="64">
        <v>37.79</v>
      </c>
      <c r="E82" s="64">
        <v>0.43</v>
      </c>
      <c r="F82" s="64">
        <v>3.13</v>
      </c>
      <c r="G82" s="64">
        <v>51.84</v>
      </c>
      <c r="H82" s="64">
        <v>6.88</v>
      </c>
      <c r="I82" s="64">
        <v>1.52</v>
      </c>
      <c r="J82" s="64">
        <v>0.05</v>
      </c>
      <c r="K82" s="64">
        <v>285.62</v>
      </c>
      <c r="L82" s="64">
        <v>18.48</v>
      </c>
      <c r="M82" s="64">
        <v>89.56</v>
      </c>
      <c r="N82" s="64">
        <v>21.1</v>
      </c>
      <c r="O82" s="64">
        <v>0</v>
      </c>
      <c r="P82" s="64">
        <v>0.87</v>
      </c>
      <c r="Q82" s="64">
        <v>3.6</v>
      </c>
      <c r="R82" s="198"/>
      <c r="S82" s="198"/>
      <c r="T82" s="198"/>
      <c r="U82" s="198"/>
    </row>
    <row r="83" spans="1:26" s="12" customFormat="1" x14ac:dyDescent="0.25">
      <c r="A83" s="214" t="s">
        <v>994</v>
      </c>
      <c r="B83" s="64">
        <v>16.45</v>
      </c>
      <c r="C83" s="64">
        <v>45.22</v>
      </c>
      <c r="D83" s="64">
        <v>38.79</v>
      </c>
      <c r="E83" s="64">
        <v>0.5</v>
      </c>
      <c r="F83" s="64">
        <v>3.41</v>
      </c>
      <c r="G83" s="64">
        <v>53.45</v>
      </c>
      <c r="H83" s="64">
        <v>41.53</v>
      </c>
      <c r="I83" s="64">
        <v>1.47</v>
      </c>
      <c r="J83" s="64">
        <v>0.2</v>
      </c>
      <c r="K83" s="64">
        <v>168.17</v>
      </c>
      <c r="L83" s="64">
        <v>18.149999999999999</v>
      </c>
      <c r="M83" s="64">
        <v>92.58</v>
      </c>
      <c r="N83" s="64">
        <v>20.6</v>
      </c>
      <c r="O83" s="64">
        <v>0</v>
      </c>
      <c r="P83" s="64">
        <v>0.86</v>
      </c>
      <c r="Q83" s="64">
        <v>3.49</v>
      </c>
      <c r="R83" s="198"/>
      <c r="S83" s="198"/>
      <c r="T83" s="198"/>
      <c r="U83" s="198"/>
    </row>
    <row r="84" spans="1:26" s="12" customFormat="1" x14ac:dyDescent="0.25">
      <c r="A84" s="214" t="s">
        <v>995</v>
      </c>
      <c r="B84" s="64">
        <v>18.21</v>
      </c>
      <c r="C84" s="64">
        <v>45.8</v>
      </c>
      <c r="D84" s="64">
        <v>40.520000000000003</v>
      </c>
      <c r="E84" s="64">
        <v>0.49</v>
      </c>
      <c r="F84" s="64">
        <v>3.38</v>
      </c>
      <c r="G84" s="64">
        <v>59.87</v>
      </c>
      <c r="H84" s="64">
        <v>135.86000000000001</v>
      </c>
      <c r="I84" s="64">
        <v>1.52</v>
      </c>
      <c r="J84" s="64">
        <v>7.0000000000000007E-2</v>
      </c>
      <c r="K84" s="64">
        <v>203.14</v>
      </c>
      <c r="L84" s="64">
        <v>18.02</v>
      </c>
      <c r="M84" s="64">
        <v>93.64</v>
      </c>
      <c r="N84" s="64">
        <v>20.9</v>
      </c>
      <c r="O84" s="64">
        <v>0</v>
      </c>
      <c r="P84" s="64">
        <v>0.79</v>
      </c>
      <c r="Q84" s="64">
        <v>3.35</v>
      </c>
      <c r="R84" s="198"/>
      <c r="S84" s="198"/>
      <c r="T84" s="198"/>
      <c r="U84" s="198"/>
    </row>
    <row r="85" spans="1:26" s="12" customFormat="1" x14ac:dyDescent="0.25">
      <c r="A85" s="214" t="s">
        <v>996</v>
      </c>
      <c r="B85" s="64">
        <v>20.11</v>
      </c>
      <c r="C85" s="64">
        <v>45.2</v>
      </c>
      <c r="D85" s="64">
        <v>41.72</v>
      </c>
      <c r="E85" s="64">
        <v>0.38</v>
      </c>
      <c r="F85" s="64">
        <v>3.3</v>
      </c>
      <c r="G85" s="64">
        <v>59.87</v>
      </c>
      <c r="H85" s="64">
        <v>135.86000000000001</v>
      </c>
      <c r="I85" s="64">
        <v>1.49</v>
      </c>
      <c r="J85" s="64">
        <v>0.01</v>
      </c>
      <c r="K85" s="64">
        <v>149.4</v>
      </c>
      <c r="L85" s="64">
        <v>18</v>
      </c>
      <c r="M85" s="64">
        <v>93.65</v>
      </c>
      <c r="N85" s="64">
        <v>20.7</v>
      </c>
      <c r="O85" s="64">
        <v>0</v>
      </c>
      <c r="P85" s="64">
        <v>0.75</v>
      </c>
      <c r="Q85" s="64">
        <v>3.99</v>
      </c>
      <c r="R85" s="198"/>
      <c r="S85" s="198"/>
      <c r="T85" s="198"/>
      <c r="U85" s="198"/>
    </row>
    <row r="86" spans="1:26" s="12" customFormat="1" x14ac:dyDescent="0.25">
      <c r="A86" s="214" t="s">
        <v>997</v>
      </c>
      <c r="B86" s="64">
        <v>21.15</v>
      </c>
      <c r="C86" s="64">
        <v>45.31</v>
      </c>
      <c r="D86" s="64">
        <v>42.61</v>
      </c>
      <c r="E86" s="64">
        <v>0.46</v>
      </c>
      <c r="F86" s="64">
        <v>3.56</v>
      </c>
      <c r="G86" s="64">
        <v>59.87</v>
      </c>
      <c r="H86" s="64">
        <v>135.86000000000001</v>
      </c>
      <c r="I86" s="64">
        <v>1.46</v>
      </c>
      <c r="J86" s="64">
        <v>0.03</v>
      </c>
      <c r="K86" s="64">
        <v>358.23</v>
      </c>
      <c r="L86" s="64">
        <v>17.940000000000001</v>
      </c>
      <c r="M86" s="64">
        <v>92.84</v>
      </c>
      <c r="N86" s="64">
        <v>20.8</v>
      </c>
      <c r="O86" s="64">
        <v>0</v>
      </c>
      <c r="P86" s="64">
        <v>0.8</v>
      </c>
      <c r="Q86" s="64">
        <v>4.8899999999999997</v>
      </c>
      <c r="R86" s="198"/>
      <c r="S86" s="198"/>
      <c r="T86" s="198"/>
      <c r="U86" s="198"/>
    </row>
    <row r="87" spans="1:26" s="12" customFormat="1" x14ac:dyDescent="0.25">
      <c r="A87" s="214" t="s">
        <v>998</v>
      </c>
      <c r="B87" s="64">
        <v>21.71</v>
      </c>
      <c r="C87" s="64">
        <v>44.69</v>
      </c>
      <c r="D87" s="64">
        <v>42.72</v>
      </c>
      <c r="E87" s="64">
        <v>0.43</v>
      </c>
      <c r="F87" s="64">
        <v>3.5</v>
      </c>
      <c r="G87" s="64">
        <v>60.17</v>
      </c>
      <c r="H87" s="64">
        <v>121.95</v>
      </c>
      <c r="I87" s="64">
        <v>1.45</v>
      </c>
      <c r="J87" s="64">
        <v>0.01</v>
      </c>
      <c r="K87" s="64">
        <v>239.1</v>
      </c>
      <c r="L87" s="64">
        <v>17.690000000000001</v>
      </c>
      <c r="M87" s="64">
        <v>94.8</v>
      </c>
      <c r="N87" s="64">
        <v>20.8</v>
      </c>
      <c r="O87" s="64">
        <v>0</v>
      </c>
      <c r="P87" s="64">
        <v>0.74</v>
      </c>
      <c r="Q87" s="64">
        <v>5.43</v>
      </c>
      <c r="R87" s="198"/>
      <c r="S87" s="198"/>
      <c r="T87" s="198"/>
      <c r="U87" s="198"/>
    </row>
    <row r="88" spans="1:26" s="12" customFormat="1" x14ac:dyDescent="0.25">
      <c r="A88" s="214" t="s">
        <v>999</v>
      </c>
      <c r="B88" s="64">
        <v>22.58</v>
      </c>
      <c r="C88" s="64">
        <v>44.45</v>
      </c>
      <c r="D88" s="64">
        <v>43.28</v>
      </c>
      <c r="E88" s="64">
        <v>0.35</v>
      </c>
      <c r="F88" s="64">
        <v>3.54</v>
      </c>
      <c r="G88" s="64">
        <v>61.31</v>
      </c>
      <c r="H88" s="64">
        <v>84.09</v>
      </c>
      <c r="I88" s="64">
        <v>1.48</v>
      </c>
      <c r="J88" s="64">
        <v>0.06</v>
      </c>
      <c r="K88" s="64">
        <v>111.54</v>
      </c>
      <c r="L88" s="64">
        <v>17.489999999999998</v>
      </c>
      <c r="M88" s="64">
        <v>96.48</v>
      </c>
      <c r="N88" s="64">
        <v>21</v>
      </c>
      <c r="O88" s="64">
        <v>0</v>
      </c>
      <c r="P88" s="64">
        <v>0.92</v>
      </c>
      <c r="Q88" s="64">
        <v>4.68</v>
      </c>
      <c r="R88" s="198"/>
      <c r="S88" s="198"/>
      <c r="T88" s="198"/>
      <c r="U88" s="198"/>
    </row>
    <row r="89" spans="1:26" s="12" customFormat="1" x14ac:dyDescent="0.25">
      <c r="A89" s="214" t="s">
        <v>1000</v>
      </c>
      <c r="B89" s="64">
        <v>23.6</v>
      </c>
      <c r="C89" s="64">
        <v>44.09</v>
      </c>
      <c r="D89" s="64">
        <v>43.9</v>
      </c>
      <c r="E89" s="64">
        <v>0.53</v>
      </c>
      <c r="F89" s="64">
        <v>3.24</v>
      </c>
      <c r="G89" s="64">
        <v>61.31</v>
      </c>
      <c r="H89" s="64">
        <v>84.09</v>
      </c>
      <c r="I89" s="64">
        <v>1.4</v>
      </c>
      <c r="J89" s="64">
        <v>0.19</v>
      </c>
      <c r="K89" s="64">
        <v>170.68</v>
      </c>
      <c r="L89" s="64">
        <v>17.399999999999999</v>
      </c>
      <c r="M89" s="64">
        <v>96.83</v>
      </c>
      <c r="N89" s="64">
        <v>20.5</v>
      </c>
      <c r="O89" s="64">
        <v>0</v>
      </c>
      <c r="P89" s="64">
        <v>0.78</v>
      </c>
      <c r="Q89" s="64">
        <v>4.97</v>
      </c>
      <c r="R89" s="198"/>
      <c r="S89" s="198"/>
      <c r="T89" s="198"/>
      <c r="U89" s="198"/>
    </row>
    <row r="90" spans="1:26" s="12" customFormat="1" x14ac:dyDescent="0.25">
      <c r="A90" s="214" t="s">
        <v>1001</v>
      </c>
      <c r="B90" s="64">
        <v>24.54</v>
      </c>
      <c r="C90" s="64">
        <v>43.8</v>
      </c>
      <c r="D90" s="64">
        <v>44.5</v>
      </c>
      <c r="E90" s="64">
        <v>0.54</v>
      </c>
      <c r="F90" s="64">
        <v>3.73</v>
      </c>
      <c r="G90" s="64">
        <v>61.31</v>
      </c>
      <c r="H90" s="64">
        <v>84.09</v>
      </c>
      <c r="I90" s="64">
        <v>1.52</v>
      </c>
      <c r="J90" s="64">
        <v>0.05</v>
      </c>
      <c r="K90" s="64">
        <v>288.48</v>
      </c>
      <c r="L90" s="64">
        <v>17.45</v>
      </c>
      <c r="M90" s="64">
        <v>97.08</v>
      </c>
      <c r="N90" s="64">
        <v>21.1</v>
      </c>
      <c r="O90" s="64">
        <v>0</v>
      </c>
      <c r="P90" s="64">
        <v>0.86</v>
      </c>
      <c r="Q90" s="64">
        <v>5.22</v>
      </c>
      <c r="R90" s="198"/>
      <c r="S90" s="198"/>
      <c r="T90" s="198"/>
      <c r="U90" s="198"/>
    </row>
    <row r="91" spans="1:26" s="12" customFormat="1" x14ac:dyDescent="0.25">
      <c r="A91" s="214" t="s">
        <v>1002</v>
      </c>
      <c r="B91" s="64">
        <v>25.22</v>
      </c>
      <c r="C91" s="64">
        <v>43.78</v>
      </c>
      <c r="D91" s="64">
        <v>45.03</v>
      </c>
      <c r="E91" s="64">
        <v>0.45</v>
      </c>
      <c r="F91" s="64">
        <v>3.55</v>
      </c>
      <c r="G91" s="64">
        <v>60.6</v>
      </c>
      <c r="H91" s="64">
        <v>74.02</v>
      </c>
      <c r="I91" s="64">
        <v>1.51</v>
      </c>
      <c r="J91" s="64">
        <v>0.28000000000000003</v>
      </c>
      <c r="K91" s="64">
        <v>162.44999999999999</v>
      </c>
      <c r="L91" s="64">
        <v>17.510000000000002</v>
      </c>
      <c r="M91" s="64">
        <v>96.03</v>
      </c>
      <c r="N91" s="64">
        <v>20.7</v>
      </c>
      <c r="O91" s="64">
        <v>0</v>
      </c>
      <c r="P91" s="64">
        <v>0.8</v>
      </c>
      <c r="Q91" s="64">
        <v>5.93</v>
      </c>
      <c r="R91" s="198"/>
      <c r="S91" s="198"/>
      <c r="T91" s="198"/>
      <c r="U91" s="198"/>
    </row>
    <row r="92" spans="1:26" s="12" customFormat="1" x14ac:dyDescent="0.25">
      <c r="A92" s="214" t="s">
        <v>1003</v>
      </c>
      <c r="B92" s="64">
        <v>25.71</v>
      </c>
      <c r="C92" s="64">
        <v>43.99</v>
      </c>
      <c r="D92" s="64">
        <v>45.54</v>
      </c>
      <c r="E92" s="64">
        <v>0.48</v>
      </c>
      <c r="F92" s="64">
        <v>3.78</v>
      </c>
      <c r="G92" s="64">
        <v>57.8</v>
      </c>
      <c r="H92" s="64">
        <v>29.14</v>
      </c>
      <c r="I92" s="64">
        <v>1.54</v>
      </c>
      <c r="J92" s="64">
        <v>0.05</v>
      </c>
      <c r="K92" s="64">
        <v>176.02</v>
      </c>
      <c r="L92" s="64">
        <v>17.37</v>
      </c>
      <c r="M92" s="64">
        <v>96.46</v>
      </c>
      <c r="N92" s="64">
        <v>21</v>
      </c>
      <c r="O92" s="64">
        <v>0</v>
      </c>
      <c r="P92" s="64">
        <v>0.69</v>
      </c>
      <c r="Q92" s="64">
        <v>6.71</v>
      </c>
      <c r="R92" s="198"/>
      <c r="S92" s="198"/>
      <c r="T92" s="198"/>
      <c r="U92" s="198"/>
    </row>
    <row r="93" spans="1:26" s="12" customFormat="1" x14ac:dyDescent="0.25">
      <c r="A93" s="214" t="s">
        <v>1004</v>
      </c>
      <c r="B93" s="64">
        <v>26.12</v>
      </c>
      <c r="C93" s="64">
        <v>43.36</v>
      </c>
      <c r="D93" s="64">
        <v>45.52</v>
      </c>
      <c r="E93" s="64">
        <v>0.42</v>
      </c>
      <c r="F93" s="64">
        <v>3.5</v>
      </c>
      <c r="G93" s="64">
        <v>57.8</v>
      </c>
      <c r="H93" s="64">
        <v>29.14</v>
      </c>
      <c r="I93" s="64">
        <v>1.5</v>
      </c>
      <c r="J93" s="64">
        <v>0.05</v>
      </c>
      <c r="K93" s="64">
        <v>212.34</v>
      </c>
      <c r="L93" s="64">
        <v>17.2</v>
      </c>
      <c r="M93" s="64">
        <v>98.04</v>
      </c>
      <c r="N93" s="64">
        <v>20.9</v>
      </c>
      <c r="O93" s="64">
        <v>0</v>
      </c>
      <c r="P93" s="64">
        <v>0.74</v>
      </c>
      <c r="Q93" s="64">
        <v>6.92</v>
      </c>
      <c r="R93" s="198"/>
      <c r="S93" s="198"/>
      <c r="T93" s="198"/>
      <c r="U93" s="198"/>
    </row>
    <row r="94" spans="1:26" s="12" customFormat="1" x14ac:dyDescent="0.25">
      <c r="A94" s="214" t="s">
        <v>1005</v>
      </c>
      <c r="B94" s="64">
        <v>26.8</v>
      </c>
      <c r="C94" s="64">
        <v>43.29</v>
      </c>
      <c r="D94" s="64">
        <v>46.03</v>
      </c>
      <c r="E94" s="64">
        <v>0.49</v>
      </c>
      <c r="F94" s="64">
        <v>3.62</v>
      </c>
      <c r="G94" s="64">
        <v>57.8</v>
      </c>
      <c r="H94" s="64">
        <v>29.14</v>
      </c>
      <c r="I94" s="64">
        <v>1.45</v>
      </c>
      <c r="J94" s="64">
        <v>0.03</v>
      </c>
      <c r="K94" s="64">
        <v>105.07</v>
      </c>
      <c r="L94" s="64">
        <v>17.16</v>
      </c>
      <c r="M94" s="64">
        <v>98.12</v>
      </c>
      <c r="N94" s="64">
        <v>21</v>
      </c>
      <c r="O94" s="64">
        <v>0</v>
      </c>
      <c r="P94" s="64">
        <v>0.94</v>
      </c>
      <c r="Q94" s="64">
        <v>5.36</v>
      </c>
      <c r="R94" s="198"/>
      <c r="S94" s="198"/>
      <c r="T94" s="198"/>
      <c r="U94" s="198"/>
    </row>
    <row r="95" spans="1:26" s="12" customFormat="1" x14ac:dyDescent="0.25">
      <c r="A95" s="214" t="s">
        <v>1006</v>
      </c>
      <c r="B95" s="64">
        <v>28.1</v>
      </c>
      <c r="C95" s="64">
        <v>43.06</v>
      </c>
      <c r="D95" s="64">
        <v>46.95</v>
      </c>
      <c r="E95" s="64">
        <v>0.54</v>
      </c>
      <c r="F95" s="64">
        <v>3.83</v>
      </c>
      <c r="G95" s="64">
        <v>57.22</v>
      </c>
      <c r="H95" s="64">
        <v>28.6</v>
      </c>
      <c r="I95" s="64">
        <v>1.47</v>
      </c>
      <c r="J95" s="64">
        <v>0.02</v>
      </c>
      <c r="K95" s="64">
        <v>7.44</v>
      </c>
      <c r="L95" s="64">
        <v>17.25</v>
      </c>
      <c r="M95" s="64">
        <v>97.68</v>
      </c>
      <c r="N95" s="64">
        <v>21.1</v>
      </c>
      <c r="O95" s="64">
        <v>0</v>
      </c>
      <c r="P95" s="64">
        <v>0.78</v>
      </c>
      <c r="Q95" s="64">
        <v>4.88</v>
      </c>
      <c r="R95" s="198"/>
      <c r="S95" s="198"/>
      <c r="T95" s="198"/>
      <c r="U95" s="198"/>
    </row>
    <row r="96" spans="1:26" s="12" customFormat="1" x14ac:dyDescent="0.25">
      <c r="A96" s="214" t="s">
        <v>1007</v>
      </c>
      <c r="B96" s="64">
        <v>28.46</v>
      </c>
      <c r="C96" s="64">
        <v>43.1</v>
      </c>
      <c r="D96" s="64">
        <v>47.25</v>
      </c>
      <c r="E96" s="64">
        <v>0.45</v>
      </c>
      <c r="F96" s="64">
        <v>3.74</v>
      </c>
      <c r="G96" s="64">
        <v>54.91</v>
      </c>
      <c r="H96" s="64">
        <v>27.12</v>
      </c>
      <c r="I96" s="64">
        <v>1.5</v>
      </c>
      <c r="J96" s="64">
        <v>0.4</v>
      </c>
      <c r="K96" s="64">
        <v>153.41999999999999</v>
      </c>
      <c r="L96" s="64">
        <v>17.309999999999999</v>
      </c>
      <c r="M96" s="64">
        <v>96.97</v>
      </c>
      <c r="N96" s="64">
        <v>21.1</v>
      </c>
      <c r="O96" s="64">
        <v>0</v>
      </c>
      <c r="P96" s="64">
        <v>0.65</v>
      </c>
      <c r="Q96" s="64">
        <v>7.27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1008</v>
      </c>
      <c r="B97" s="64">
        <v>28.19</v>
      </c>
      <c r="C97" s="64">
        <v>43.01</v>
      </c>
      <c r="D97" s="64">
        <v>46.99</v>
      </c>
      <c r="E97" s="64">
        <v>0.48</v>
      </c>
      <c r="F97" s="64">
        <v>4.1900000000000004</v>
      </c>
      <c r="G97" s="64">
        <v>54.91</v>
      </c>
      <c r="H97" s="64">
        <v>27.12</v>
      </c>
      <c r="I97" s="64">
        <v>1.44</v>
      </c>
      <c r="J97" s="64">
        <v>0.04</v>
      </c>
      <c r="K97" s="64">
        <v>183.04</v>
      </c>
      <c r="L97" s="64">
        <v>17.399999999999999</v>
      </c>
      <c r="M97" s="64">
        <v>96.95</v>
      </c>
      <c r="N97" s="64">
        <v>21.1</v>
      </c>
      <c r="O97" s="64">
        <v>0</v>
      </c>
      <c r="P97" s="64">
        <v>0.59</v>
      </c>
      <c r="Q97" s="64">
        <v>8.43</v>
      </c>
      <c r="R97" s="198"/>
      <c r="S97" s="198"/>
      <c r="T97" s="198"/>
      <c r="U97" s="198"/>
    </row>
    <row r="98" spans="1:33" s="12" customFormat="1" x14ac:dyDescent="0.25">
      <c r="A98" s="214" t="s">
        <v>1009</v>
      </c>
      <c r="B98" s="64">
        <v>27.86</v>
      </c>
      <c r="C98" s="64">
        <v>42.49</v>
      </c>
      <c r="D98" s="64">
        <v>46.43</v>
      </c>
      <c r="E98" s="64">
        <v>0.5</v>
      </c>
      <c r="F98" s="64">
        <v>4.4800000000000004</v>
      </c>
      <c r="G98" s="64">
        <v>54.91</v>
      </c>
      <c r="H98" s="64">
        <v>27.12</v>
      </c>
      <c r="I98" s="64">
        <v>1.5</v>
      </c>
      <c r="J98" s="64">
        <v>0.49</v>
      </c>
      <c r="K98" s="64">
        <v>152.99</v>
      </c>
      <c r="L98" s="64">
        <v>17.36</v>
      </c>
      <c r="M98" s="64">
        <v>97.1</v>
      </c>
      <c r="N98" s="64">
        <v>21.2</v>
      </c>
      <c r="O98" s="64">
        <v>0</v>
      </c>
      <c r="P98" s="64">
        <v>0.54</v>
      </c>
      <c r="Q98" s="64">
        <v>8.64</v>
      </c>
      <c r="R98" s="198"/>
      <c r="S98" s="198"/>
      <c r="T98" s="198"/>
      <c r="U98" s="198"/>
    </row>
    <row r="99" spans="1:33" s="12" customFormat="1" x14ac:dyDescent="0.25">
      <c r="A99" s="214" t="s">
        <v>1010</v>
      </c>
      <c r="B99" s="64">
        <v>27.36</v>
      </c>
      <c r="C99" s="64">
        <v>39.31</v>
      </c>
      <c r="D99" s="64">
        <v>44.28</v>
      </c>
      <c r="E99" s="64">
        <v>0.45</v>
      </c>
      <c r="F99" s="64">
        <v>4.7</v>
      </c>
      <c r="G99" s="64">
        <v>54.57</v>
      </c>
      <c r="H99" s="64">
        <v>25.03</v>
      </c>
      <c r="I99" s="64">
        <v>1.5</v>
      </c>
      <c r="J99" s="64">
        <v>0.25</v>
      </c>
      <c r="K99" s="64">
        <v>154.19</v>
      </c>
      <c r="L99" s="64">
        <v>17.329999999999998</v>
      </c>
      <c r="M99" s="64">
        <v>97.56</v>
      </c>
      <c r="N99" s="64">
        <v>21.4</v>
      </c>
      <c r="O99" s="64">
        <v>0</v>
      </c>
      <c r="P99" s="64">
        <v>0.6</v>
      </c>
      <c r="Q99" s="64">
        <v>8.1199999999999992</v>
      </c>
      <c r="R99" s="198"/>
      <c r="S99" s="198"/>
      <c r="T99" s="198"/>
      <c r="U99" s="198"/>
    </row>
    <row r="100" spans="1:33" s="12" customFormat="1" x14ac:dyDescent="0.25">
      <c r="A100" s="214" t="s">
        <v>1011</v>
      </c>
      <c r="B100" s="64">
        <v>26.46</v>
      </c>
      <c r="C100" s="64">
        <v>38.92</v>
      </c>
      <c r="D100" s="64">
        <v>43.34</v>
      </c>
      <c r="E100" s="64">
        <v>0.36</v>
      </c>
      <c r="F100" s="64">
        <v>4.32</v>
      </c>
      <c r="G100" s="64">
        <v>53.28</v>
      </c>
      <c r="H100" s="64">
        <v>19.32</v>
      </c>
      <c r="I100" s="64">
        <v>1.53</v>
      </c>
      <c r="J100" s="64">
        <v>0.06</v>
      </c>
      <c r="K100" s="64">
        <v>212.24</v>
      </c>
      <c r="L100" s="64">
        <v>17.239999999999998</v>
      </c>
      <c r="M100" s="64">
        <v>97.98</v>
      </c>
      <c r="N100" s="64">
        <v>21.4</v>
      </c>
      <c r="O100" s="64">
        <v>0</v>
      </c>
      <c r="P100" s="64">
        <v>0.61</v>
      </c>
      <c r="Q100" s="64">
        <v>7.5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1012</v>
      </c>
      <c r="B101" s="64">
        <v>25.54</v>
      </c>
      <c r="C101" s="64">
        <v>39.06</v>
      </c>
      <c r="D101" s="64">
        <v>42.68</v>
      </c>
      <c r="E101" s="64">
        <v>0.39</v>
      </c>
      <c r="F101" s="64">
        <v>4.1399999999999997</v>
      </c>
      <c r="G101" s="64">
        <v>53.28</v>
      </c>
      <c r="H101" s="64">
        <v>19.32</v>
      </c>
      <c r="I101" s="64">
        <v>1.53</v>
      </c>
      <c r="J101" s="64">
        <v>0.17</v>
      </c>
      <c r="K101" s="64">
        <v>197.24</v>
      </c>
      <c r="L101" s="64">
        <v>17.09</v>
      </c>
      <c r="M101" s="64">
        <v>98.14</v>
      </c>
      <c r="N101" s="64">
        <v>21.1</v>
      </c>
      <c r="O101" s="64">
        <v>0</v>
      </c>
      <c r="P101" s="64">
        <v>0.57999999999999996</v>
      </c>
      <c r="Q101" s="64">
        <v>7.25</v>
      </c>
      <c r="R101" s="198"/>
      <c r="S101" s="198"/>
      <c r="T101" s="198"/>
      <c r="U101" s="198"/>
    </row>
    <row r="102" spans="1:33" s="12" customFormat="1" x14ac:dyDescent="0.25">
      <c r="A102" s="214" t="s">
        <v>1013</v>
      </c>
      <c r="B102" s="64">
        <v>24.64</v>
      </c>
      <c r="C102" s="64">
        <v>39.14</v>
      </c>
      <c r="D102" s="64">
        <v>42</v>
      </c>
      <c r="E102" s="64">
        <v>0.42</v>
      </c>
      <c r="F102" s="64">
        <v>4.22</v>
      </c>
      <c r="G102" s="64">
        <v>53.28</v>
      </c>
      <c r="H102" s="64">
        <v>19.32</v>
      </c>
      <c r="I102" s="64">
        <v>1.44</v>
      </c>
      <c r="J102" s="64">
        <v>0.15</v>
      </c>
      <c r="K102" s="64">
        <v>195.3</v>
      </c>
      <c r="L102" s="64">
        <v>16.850000000000001</v>
      </c>
      <c r="M102" s="64">
        <v>98.15</v>
      </c>
      <c r="N102" s="64">
        <v>21.1</v>
      </c>
      <c r="O102" s="64">
        <v>0</v>
      </c>
      <c r="P102" s="64">
        <v>0.56999999999999995</v>
      </c>
      <c r="Q102" s="64">
        <v>6.99</v>
      </c>
      <c r="R102" s="198"/>
      <c r="S102" s="198"/>
      <c r="T102" s="198"/>
      <c r="U102" s="198"/>
    </row>
    <row r="103" spans="1:33" s="12" customFormat="1" x14ac:dyDescent="0.25">
      <c r="A103" s="214" t="s">
        <v>1014</v>
      </c>
      <c r="B103" s="64">
        <v>23.99</v>
      </c>
      <c r="C103" s="64">
        <v>38.9</v>
      </c>
      <c r="D103" s="64">
        <v>41.36</v>
      </c>
      <c r="E103" s="64">
        <v>0.38</v>
      </c>
      <c r="F103" s="64">
        <v>3.62</v>
      </c>
      <c r="G103" s="64">
        <v>52.01</v>
      </c>
      <c r="H103" s="64">
        <v>19.579999999999998</v>
      </c>
      <c r="I103" s="64">
        <v>1.47</v>
      </c>
      <c r="J103" s="64">
        <v>0.03</v>
      </c>
      <c r="K103" s="64">
        <v>223.3</v>
      </c>
      <c r="L103" s="64">
        <v>16.600000000000001</v>
      </c>
      <c r="M103" s="64">
        <v>98.16</v>
      </c>
      <c r="N103" s="64">
        <v>21.1</v>
      </c>
      <c r="O103" s="64">
        <v>0</v>
      </c>
      <c r="P103" s="64">
        <v>0.55000000000000004</v>
      </c>
      <c r="Q103" s="64">
        <v>7.11</v>
      </c>
      <c r="R103" s="198"/>
      <c r="S103" s="198"/>
      <c r="T103" s="198"/>
      <c r="U103" s="198"/>
    </row>
    <row r="104" spans="1:33" s="12" customFormat="1" x14ac:dyDescent="0.25">
      <c r="A104" s="214" t="s">
        <v>1015</v>
      </c>
      <c r="B104" s="64">
        <v>23.41</v>
      </c>
      <c r="C104" s="64">
        <v>39.22</v>
      </c>
      <c r="D104" s="64">
        <v>41.06</v>
      </c>
      <c r="E104" s="64">
        <v>0.26</v>
      </c>
      <c r="F104" s="64">
        <v>3.94</v>
      </c>
      <c r="G104" s="64">
        <v>47.23</v>
      </c>
      <c r="H104" s="64">
        <v>20.29</v>
      </c>
      <c r="I104" s="64">
        <v>1.59</v>
      </c>
      <c r="J104" s="64">
        <v>0.03</v>
      </c>
      <c r="K104" s="64">
        <v>325.63</v>
      </c>
      <c r="L104" s="64">
        <v>16.38</v>
      </c>
      <c r="M104" s="64">
        <v>98.18</v>
      </c>
      <c r="N104" s="64">
        <v>21.1</v>
      </c>
      <c r="O104" s="64">
        <v>0</v>
      </c>
      <c r="P104" s="64">
        <v>0.52</v>
      </c>
      <c r="Q104" s="64">
        <v>7.33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</v>
      </c>
      <c r="C106" s="67">
        <f>MIN(C9:C104)</f>
        <v>36.950000000000003</v>
      </c>
      <c r="D106" s="67">
        <f t="shared" ref="D106:Q106" si="0">MIN(D9:D104)</f>
        <v>28.23</v>
      </c>
      <c r="E106" s="67">
        <f t="shared" si="0"/>
        <v>0.26</v>
      </c>
      <c r="F106" s="67">
        <f t="shared" si="0"/>
        <v>3.13</v>
      </c>
      <c r="G106" s="67">
        <f t="shared" si="0"/>
        <v>21.4</v>
      </c>
      <c r="H106" s="67">
        <f t="shared" si="0"/>
        <v>6.88</v>
      </c>
      <c r="I106" s="67">
        <f t="shared" si="0"/>
        <v>1.4</v>
      </c>
      <c r="J106" s="67">
        <f t="shared" si="0"/>
        <v>0.01</v>
      </c>
      <c r="K106" s="67">
        <f t="shared" si="0"/>
        <v>1.23</v>
      </c>
      <c r="L106" s="67">
        <f t="shared" si="0"/>
        <v>16.34</v>
      </c>
      <c r="M106" s="67">
        <f t="shared" si="0"/>
        <v>62.17</v>
      </c>
      <c r="N106" s="67">
        <f t="shared" si="0"/>
        <v>20.5</v>
      </c>
      <c r="O106" s="67">
        <f t="shared" si="0"/>
        <v>0</v>
      </c>
      <c r="P106" s="67">
        <f t="shared" si="0"/>
        <v>0.3</v>
      </c>
      <c r="Q106" s="67">
        <f t="shared" si="0"/>
        <v>3.35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42.79</v>
      </c>
      <c r="C107" s="66">
        <f t="shared" ref="C107:Q107" si="1">MAX(C9:C104)</f>
        <v>68.81</v>
      </c>
      <c r="D107" s="66">
        <f t="shared" si="1"/>
        <v>57.34</v>
      </c>
      <c r="E107" s="66">
        <f t="shared" si="1"/>
        <v>237.95</v>
      </c>
      <c r="F107" s="66">
        <f t="shared" si="1"/>
        <v>13.14</v>
      </c>
      <c r="G107" s="66">
        <f t="shared" si="1"/>
        <v>61.31</v>
      </c>
      <c r="H107" s="66">
        <f t="shared" si="1"/>
        <v>135.86000000000001</v>
      </c>
      <c r="I107" s="66">
        <f t="shared" si="1"/>
        <v>1.61</v>
      </c>
      <c r="J107" s="66">
        <f t="shared" si="1"/>
        <v>1.1299999999999999</v>
      </c>
      <c r="K107" s="66">
        <f t="shared" si="1"/>
        <v>358.23</v>
      </c>
      <c r="L107" s="66">
        <f t="shared" si="1"/>
        <v>23.64</v>
      </c>
      <c r="M107" s="66">
        <f t="shared" si="1"/>
        <v>98.23</v>
      </c>
      <c r="N107" s="66">
        <f t="shared" si="1"/>
        <v>782.1</v>
      </c>
      <c r="O107" s="66">
        <f t="shared" si="1"/>
        <v>0</v>
      </c>
      <c r="P107" s="66">
        <f t="shared" si="1"/>
        <v>0.94</v>
      </c>
      <c r="Q107" s="66">
        <f t="shared" si="1"/>
        <v>12.21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25.542708333333334</v>
      </c>
      <c r="C108" s="67">
        <f t="shared" ref="C108:Q108" si="2">AVERAGE(C9:C104)</f>
        <v>43.401874999999997</v>
      </c>
      <c r="D108" s="67">
        <f t="shared" si="2"/>
        <v>45.081145833333345</v>
      </c>
      <c r="E108" s="67">
        <f t="shared" si="2"/>
        <v>7.3867708333333324</v>
      </c>
      <c r="F108" s="67">
        <f t="shared" si="2"/>
        <v>4.4745833333333342</v>
      </c>
      <c r="G108" s="67">
        <f t="shared" si="2"/>
        <v>43.858749999999993</v>
      </c>
      <c r="H108" s="67">
        <f t="shared" si="2"/>
        <v>23.251562500000009</v>
      </c>
      <c r="I108" s="67">
        <f t="shared" si="2"/>
        <v>1.4991666666666665</v>
      </c>
      <c r="J108" s="67">
        <f t="shared" si="2"/>
        <v>0.3249999999999999</v>
      </c>
      <c r="K108" s="67">
        <f t="shared" si="2"/>
        <v>231.15302083333327</v>
      </c>
      <c r="L108" s="67">
        <f t="shared" si="2"/>
        <v>18.498854166666668</v>
      </c>
      <c r="M108" s="67">
        <f t="shared" si="2"/>
        <v>88.366041666666675</v>
      </c>
      <c r="N108" s="67">
        <f t="shared" si="2"/>
        <v>118.17708333333333</v>
      </c>
      <c r="O108" s="67">
        <f t="shared" si="2"/>
        <v>0</v>
      </c>
      <c r="P108" s="67">
        <f t="shared" si="2"/>
        <v>0.58416666666666683</v>
      </c>
      <c r="Q108" s="67">
        <f t="shared" si="2"/>
        <v>6.8864210526315794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9.8552675179762215</v>
      </c>
      <c r="C109" s="67">
        <f t="shared" ref="C109:Q109" si="3">STDEV(C9:C104)</f>
        <v>6.1152519098605245</v>
      </c>
      <c r="D109" s="67">
        <f t="shared" si="3"/>
        <v>6.5696800963199298</v>
      </c>
      <c r="E109" s="67">
        <f t="shared" si="3"/>
        <v>32.588024874978117</v>
      </c>
      <c r="F109" s="67">
        <f t="shared" si="3"/>
        <v>1.7876758900089507</v>
      </c>
      <c r="G109" s="67">
        <f t="shared" si="3"/>
        <v>10.477219121804968</v>
      </c>
      <c r="H109" s="67">
        <f t="shared" si="3"/>
        <v>27.109779720246028</v>
      </c>
      <c r="I109" s="67">
        <f t="shared" si="3"/>
        <v>3.9621011615095243E-2</v>
      </c>
      <c r="J109" s="67">
        <f t="shared" si="3"/>
        <v>0.25819209495013001</v>
      </c>
      <c r="K109" s="67">
        <f t="shared" si="3"/>
        <v>111.72005148320559</v>
      </c>
      <c r="L109" s="67">
        <f t="shared" si="3"/>
        <v>2.0988698060430426</v>
      </c>
      <c r="M109" s="67">
        <f t="shared" si="3"/>
        <v>12.262387462151468</v>
      </c>
      <c r="N109" s="67">
        <f t="shared" si="3"/>
        <v>167.62763085837901</v>
      </c>
      <c r="O109" s="67">
        <f t="shared" si="3"/>
        <v>0</v>
      </c>
      <c r="P109" s="67">
        <f t="shared" si="3"/>
        <v>0.13834865694032877</v>
      </c>
      <c r="Q109" s="67">
        <f t="shared" si="3"/>
        <v>2.1362135500616368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0" sqref="F13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1016</v>
      </c>
      <c r="B9" s="64">
        <v>22.87</v>
      </c>
      <c r="C9" s="64">
        <v>38.79</v>
      </c>
      <c r="D9" s="64">
        <v>40.39</v>
      </c>
      <c r="E9" s="64">
        <v>0.35</v>
      </c>
      <c r="F9" s="64">
        <v>4.03</v>
      </c>
      <c r="G9" s="64">
        <v>47.23</v>
      </c>
      <c r="H9" s="64">
        <v>20.29</v>
      </c>
      <c r="I9" s="64">
        <v>1.47</v>
      </c>
      <c r="J9" s="64">
        <v>0.01</v>
      </c>
      <c r="K9" s="64">
        <v>249.54</v>
      </c>
      <c r="L9" s="64">
        <v>16.239999999999998</v>
      </c>
      <c r="M9" s="64">
        <v>98.17</v>
      </c>
      <c r="N9" s="64">
        <v>20.7</v>
      </c>
      <c r="O9" s="64">
        <v>0</v>
      </c>
      <c r="P9" s="64">
        <v>0.52</v>
      </c>
      <c r="Q9" s="64">
        <v>7.28</v>
      </c>
      <c r="R9" s="198"/>
      <c r="S9" s="198"/>
      <c r="T9" s="198"/>
      <c r="U9" s="198"/>
    </row>
    <row r="10" spans="1:21" s="12" customFormat="1" x14ac:dyDescent="0.25">
      <c r="A10" s="214" t="s">
        <v>1017</v>
      </c>
      <c r="B10" s="64">
        <v>22.23</v>
      </c>
      <c r="C10" s="64">
        <v>38.33</v>
      </c>
      <c r="D10" s="64">
        <v>39.619999999999997</v>
      </c>
      <c r="E10" s="64">
        <v>0.39</v>
      </c>
      <c r="F10" s="64">
        <v>3.87</v>
      </c>
      <c r="G10" s="64">
        <v>47.23</v>
      </c>
      <c r="H10" s="64">
        <v>20.29</v>
      </c>
      <c r="I10" s="64">
        <v>1.45</v>
      </c>
      <c r="J10" s="64">
        <v>0.08</v>
      </c>
      <c r="K10" s="64">
        <v>339.53</v>
      </c>
      <c r="L10" s="64">
        <v>16.559999999999999</v>
      </c>
      <c r="M10" s="64">
        <v>98.16</v>
      </c>
      <c r="N10" s="64">
        <v>20.9</v>
      </c>
      <c r="O10" s="64">
        <v>0</v>
      </c>
      <c r="P10" s="64">
        <v>0.48</v>
      </c>
      <c r="Q10" s="64">
        <v>7.06</v>
      </c>
      <c r="R10" s="198"/>
      <c r="S10" s="198"/>
      <c r="T10" s="198"/>
      <c r="U10" s="198"/>
    </row>
    <row r="11" spans="1:21" s="12" customFormat="1" x14ac:dyDescent="0.25">
      <c r="A11" s="214" t="s">
        <v>1018</v>
      </c>
      <c r="B11" s="64">
        <v>21.61</v>
      </c>
      <c r="C11" s="64">
        <v>38.229999999999997</v>
      </c>
      <c r="D11" s="64">
        <v>39.07</v>
      </c>
      <c r="E11" s="64">
        <v>0.38</v>
      </c>
      <c r="F11" s="64">
        <v>3.8</v>
      </c>
      <c r="G11" s="64">
        <v>47</v>
      </c>
      <c r="H11" s="64">
        <v>19.93</v>
      </c>
      <c r="I11" s="64">
        <v>1.37</v>
      </c>
      <c r="J11" s="64">
        <v>0.1</v>
      </c>
      <c r="K11" s="64">
        <v>324.32</v>
      </c>
      <c r="L11" s="64">
        <v>16.559999999999999</v>
      </c>
      <c r="M11" s="64">
        <v>98.18</v>
      </c>
      <c r="N11" s="64">
        <v>21.1</v>
      </c>
      <c r="O11" s="64">
        <v>0</v>
      </c>
      <c r="P11" s="64">
        <v>0.5</v>
      </c>
      <c r="Q11" s="64">
        <v>6.89</v>
      </c>
      <c r="R11" s="198"/>
      <c r="S11" s="198"/>
      <c r="T11" s="198"/>
      <c r="U11" s="198"/>
    </row>
    <row r="12" spans="1:21" s="12" customFormat="1" x14ac:dyDescent="0.25">
      <c r="A12" s="214" t="s">
        <v>1019</v>
      </c>
      <c r="B12" s="64">
        <v>21.13</v>
      </c>
      <c r="C12" s="64">
        <v>38.83</v>
      </c>
      <c r="D12" s="64">
        <v>39.020000000000003</v>
      </c>
      <c r="E12" s="64">
        <v>0.38</v>
      </c>
      <c r="F12" s="64">
        <v>4.1500000000000004</v>
      </c>
      <c r="G12" s="64">
        <v>46.08</v>
      </c>
      <c r="H12" s="64">
        <v>18.329999999999998</v>
      </c>
      <c r="I12" s="64">
        <v>1.44</v>
      </c>
      <c r="J12" s="64">
        <v>7.0000000000000007E-2</v>
      </c>
      <c r="K12" s="64">
        <v>347.94</v>
      </c>
      <c r="L12" s="64">
        <v>16.63</v>
      </c>
      <c r="M12" s="64">
        <v>98.18</v>
      </c>
      <c r="N12" s="64">
        <v>21.1</v>
      </c>
      <c r="O12" s="64">
        <v>0</v>
      </c>
      <c r="P12" s="64">
        <v>0.45</v>
      </c>
      <c r="Q12" s="64">
        <v>6.78</v>
      </c>
      <c r="R12" s="198"/>
      <c r="S12" s="198"/>
      <c r="T12" s="198"/>
      <c r="U12" s="198"/>
    </row>
    <row r="13" spans="1:21" s="12" customFormat="1" x14ac:dyDescent="0.25">
      <c r="A13" s="214" t="s">
        <v>1020</v>
      </c>
      <c r="B13" s="64">
        <v>20.62</v>
      </c>
      <c r="C13" s="64">
        <v>38.159999999999997</v>
      </c>
      <c r="D13" s="64">
        <v>38.24</v>
      </c>
      <c r="E13" s="64">
        <v>0.37</v>
      </c>
      <c r="F13" s="64">
        <v>3.93</v>
      </c>
      <c r="G13" s="64">
        <v>46.08</v>
      </c>
      <c r="H13" s="64">
        <v>18.329999999999998</v>
      </c>
      <c r="I13" s="64">
        <v>1.57</v>
      </c>
      <c r="J13" s="64">
        <v>0.05</v>
      </c>
      <c r="K13" s="64">
        <v>268.72000000000003</v>
      </c>
      <c r="L13" s="64">
        <v>16.66</v>
      </c>
      <c r="M13" s="64">
        <v>98.16</v>
      </c>
      <c r="N13" s="64">
        <v>21.1</v>
      </c>
      <c r="O13" s="64">
        <v>0</v>
      </c>
      <c r="P13" s="64">
        <v>0.41</v>
      </c>
      <c r="Q13" s="64">
        <v>6.59</v>
      </c>
      <c r="R13" s="198"/>
      <c r="S13" s="198"/>
      <c r="T13" s="198"/>
      <c r="U13" s="198"/>
    </row>
    <row r="14" spans="1:21" s="12" customFormat="1" x14ac:dyDescent="0.25">
      <c r="A14" s="214" t="s">
        <v>1021</v>
      </c>
      <c r="B14" s="64">
        <v>20.239999999999998</v>
      </c>
      <c r="C14" s="64">
        <v>38.14</v>
      </c>
      <c r="D14" s="64">
        <v>37.93</v>
      </c>
      <c r="E14" s="64">
        <v>0.39</v>
      </c>
      <c r="F14" s="64">
        <v>4.3</v>
      </c>
      <c r="G14" s="64">
        <v>46.08</v>
      </c>
      <c r="H14" s="64">
        <v>18.329999999999998</v>
      </c>
      <c r="I14" s="64">
        <v>1.5</v>
      </c>
      <c r="J14" s="64">
        <v>0.1</v>
      </c>
      <c r="K14" s="64">
        <v>309.57</v>
      </c>
      <c r="L14" s="64">
        <v>16.62</v>
      </c>
      <c r="M14" s="64">
        <v>98.17</v>
      </c>
      <c r="N14" s="64">
        <v>21.1</v>
      </c>
      <c r="O14" s="64">
        <v>0</v>
      </c>
      <c r="P14" s="64">
        <v>0.42</v>
      </c>
      <c r="Q14" s="64">
        <v>6.47</v>
      </c>
      <c r="R14" s="198"/>
      <c r="S14" s="198"/>
      <c r="T14" s="198"/>
      <c r="U14" s="198"/>
    </row>
    <row r="15" spans="1:21" s="12" customFormat="1" x14ac:dyDescent="0.25">
      <c r="A15" s="214" t="s">
        <v>1022</v>
      </c>
      <c r="B15" s="64">
        <v>19.66</v>
      </c>
      <c r="C15" s="64">
        <v>37.93</v>
      </c>
      <c r="D15" s="64">
        <v>37.340000000000003</v>
      </c>
      <c r="E15" s="64">
        <v>0.39</v>
      </c>
      <c r="F15" s="64">
        <v>5.05</v>
      </c>
      <c r="G15" s="64">
        <v>45.94</v>
      </c>
      <c r="H15" s="64">
        <v>19.8</v>
      </c>
      <c r="I15" s="64">
        <v>1.5</v>
      </c>
      <c r="J15" s="64">
        <v>0.31</v>
      </c>
      <c r="K15" s="64">
        <v>314.32</v>
      </c>
      <c r="L15" s="64">
        <v>16.7</v>
      </c>
      <c r="M15" s="64">
        <v>98.15</v>
      </c>
      <c r="N15" s="64">
        <v>21</v>
      </c>
      <c r="O15" s="64">
        <v>0</v>
      </c>
      <c r="P15" s="64">
        <v>0.39</v>
      </c>
      <c r="Q15" s="64">
        <v>6.23</v>
      </c>
      <c r="R15" s="198"/>
      <c r="S15" s="198"/>
      <c r="T15" s="198"/>
      <c r="U15" s="198"/>
    </row>
    <row r="16" spans="1:21" s="12" customFormat="1" x14ac:dyDescent="0.25">
      <c r="A16" s="214" t="s">
        <v>1023</v>
      </c>
      <c r="B16" s="64">
        <v>18.989999999999998</v>
      </c>
      <c r="C16" s="64">
        <v>38</v>
      </c>
      <c r="D16" s="64">
        <v>36.85</v>
      </c>
      <c r="E16" s="64">
        <v>0.39</v>
      </c>
      <c r="F16" s="64">
        <v>5.21</v>
      </c>
      <c r="G16" s="64">
        <v>45.35</v>
      </c>
      <c r="H16" s="64">
        <v>23.8</v>
      </c>
      <c r="I16" s="64">
        <v>1.47</v>
      </c>
      <c r="J16" s="64">
        <v>0.2</v>
      </c>
      <c r="K16" s="64">
        <v>308.95999999999998</v>
      </c>
      <c r="L16" s="64">
        <v>16.79</v>
      </c>
      <c r="M16" s="64">
        <v>98.15</v>
      </c>
      <c r="N16" s="64">
        <v>21.2</v>
      </c>
      <c r="O16" s="64">
        <v>0</v>
      </c>
      <c r="P16" s="64">
        <v>0.38</v>
      </c>
      <c r="Q16" s="64">
        <v>6.04</v>
      </c>
      <c r="R16" s="198"/>
      <c r="S16" s="198"/>
      <c r="T16" s="198"/>
      <c r="U16" s="198"/>
    </row>
    <row r="17" spans="1:21" s="12" customFormat="1" x14ac:dyDescent="0.25">
      <c r="A17" s="214" t="s">
        <v>1024</v>
      </c>
      <c r="B17" s="64">
        <v>18.239999999999998</v>
      </c>
      <c r="C17" s="64">
        <v>38.119999999999997</v>
      </c>
      <c r="D17" s="64">
        <v>36.31</v>
      </c>
      <c r="E17" s="64">
        <v>0.4</v>
      </c>
      <c r="F17" s="64">
        <v>4.3899999999999997</v>
      </c>
      <c r="G17" s="64">
        <v>45.35</v>
      </c>
      <c r="H17" s="64">
        <v>23.8</v>
      </c>
      <c r="I17" s="64">
        <v>1.53</v>
      </c>
      <c r="J17" s="64">
        <v>0.21</v>
      </c>
      <c r="K17" s="64">
        <v>326.64999999999998</v>
      </c>
      <c r="L17" s="64">
        <v>16.86</v>
      </c>
      <c r="M17" s="64">
        <v>98.15</v>
      </c>
      <c r="N17" s="64">
        <v>21.3</v>
      </c>
      <c r="O17" s="64">
        <v>0</v>
      </c>
      <c r="P17" s="64">
        <v>0.43</v>
      </c>
      <c r="Q17" s="64">
        <v>5.8</v>
      </c>
      <c r="R17" s="198"/>
      <c r="S17" s="198"/>
      <c r="T17" s="198"/>
      <c r="U17" s="198"/>
    </row>
    <row r="18" spans="1:21" s="12" customFormat="1" x14ac:dyDescent="0.25">
      <c r="A18" s="214" t="s">
        <v>1025</v>
      </c>
      <c r="B18" s="64">
        <v>17.84</v>
      </c>
      <c r="C18" s="64">
        <v>39.54</v>
      </c>
      <c r="D18" s="64">
        <v>36.770000000000003</v>
      </c>
      <c r="E18" s="64">
        <v>0.41</v>
      </c>
      <c r="F18" s="64">
        <v>4.5199999999999996</v>
      </c>
      <c r="G18" s="64">
        <v>45.35</v>
      </c>
      <c r="H18" s="64">
        <v>23.8</v>
      </c>
      <c r="I18" s="64">
        <v>1.55</v>
      </c>
      <c r="J18" s="64">
        <v>0.56000000000000005</v>
      </c>
      <c r="K18" s="64">
        <v>326.7</v>
      </c>
      <c r="L18" s="64">
        <v>16.850000000000001</v>
      </c>
      <c r="M18" s="64">
        <v>98.15</v>
      </c>
      <c r="N18" s="64">
        <v>21.3</v>
      </c>
      <c r="O18" s="64">
        <v>0</v>
      </c>
      <c r="P18" s="64">
        <v>0.45</v>
      </c>
      <c r="Q18" s="64">
        <v>5.7</v>
      </c>
      <c r="R18" s="198"/>
      <c r="S18" s="198"/>
      <c r="T18" s="198"/>
      <c r="U18" s="198"/>
    </row>
    <row r="19" spans="1:21" s="12" customFormat="1" x14ac:dyDescent="0.25">
      <c r="A19" s="214" t="s">
        <v>1026</v>
      </c>
      <c r="B19" s="64">
        <v>17.850000000000001</v>
      </c>
      <c r="C19" s="64">
        <v>40.03</v>
      </c>
      <c r="D19" s="64">
        <v>37.049999999999997</v>
      </c>
      <c r="E19" s="64">
        <v>0.46</v>
      </c>
      <c r="F19" s="64">
        <v>4.63</v>
      </c>
      <c r="G19" s="64">
        <v>46.13</v>
      </c>
      <c r="H19" s="64">
        <v>21.56</v>
      </c>
      <c r="I19" s="64">
        <v>1.53</v>
      </c>
      <c r="J19" s="64">
        <v>0.28000000000000003</v>
      </c>
      <c r="K19" s="64">
        <v>339.4</v>
      </c>
      <c r="L19" s="64">
        <v>16.8</v>
      </c>
      <c r="M19" s="64">
        <v>98.15</v>
      </c>
      <c r="N19" s="64">
        <v>21.5</v>
      </c>
      <c r="O19" s="64">
        <v>0</v>
      </c>
      <c r="P19" s="64">
        <v>0.48</v>
      </c>
      <c r="Q19" s="64">
        <v>5.74</v>
      </c>
      <c r="R19" s="198"/>
      <c r="S19" s="198"/>
      <c r="T19" s="198"/>
      <c r="U19" s="198"/>
    </row>
    <row r="20" spans="1:21" s="12" customFormat="1" x14ac:dyDescent="0.25">
      <c r="A20" s="214" t="s">
        <v>1027</v>
      </c>
      <c r="B20" s="64">
        <v>18.2</v>
      </c>
      <c r="C20" s="64">
        <v>40.19</v>
      </c>
      <c r="D20" s="64">
        <v>37.42</v>
      </c>
      <c r="E20" s="64">
        <v>0.49</v>
      </c>
      <c r="F20" s="64">
        <v>4.1900000000000004</v>
      </c>
      <c r="G20" s="64">
        <v>49.27</v>
      </c>
      <c r="H20" s="64">
        <v>15.1</v>
      </c>
      <c r="I20" s="64">
        <v>1.53</v>
      </c>
      <c r="J20" s="64">
        <v>0.46</v>
      </c>
      <c r="K20" s="64">
        <v>347.6</v>
      </c>
      <c r="L20" s="64">
        <v>16.75</v>
      </c>
      <c r="M20" s="64">
        <v>98.15</v>
      </c>
      <c r="N20" s="64">
        <v>21.5</v>
      </c>
      <c r="O20" s="64">
        <v>0</v>
      </c>
      <c r="P20" s="64">
        <v>0.46</v>
      </c>
      <c r="Q20" s="64">
        <v>5.89</v>
      </c>
      <c r="R20" s="198"/>
      <c r="S20" s="198"/>
      <c r="T20" s="198"/>
      <c r="U20" s="198"/>
    </row>
    <row r="21" spans="1:21" s="12" customFormat="1" x14ac:dyDescent="0.25">
      <c r="A21" s="214" t="s">
        <v>1028</v>
      </c>
      <c r="B21" s="64">
        <v>18.350000000000001</v>
      </c>
      <c r="C21" s="64">
        <v>39.909999999999997</v>
      </c>
      <c r="D21" s="64">
        <v>37.380000000000003</v>
      </c>
      <c r="E21" s="64">
        <v>0.54</v>
      </c>
      <c r="F21" s="64">
        <v>4.9000000000000004</v>
      </c>
      <c r="G21" s="64">
        <v>49.27</v>
      </c>
      <c r="H21" s="64">
        <v>15.1</v>
      </c>
      <c r="I21" s="64">
        <v>1.54</v>
      </c>
      <c r="J21" s="64">
        <v>0.56999999999999995</v>
      </c>
      <c r="K21" s="64">
        <v>346.35</v>
      </c>
      <c r="L21" s="64">
        <v>16.66</v>
      </c>
      <c r="M21" s="64">
        <v>98.16</v>
      </c>
      <c r="N21" s="64">
        <v>21.5</v>
      </c>
      <c r="O21" s="64">
        <v>0</v>
      </c>
      <c r="P21" s="64">
        <v>0.47</v>
      </c>
      <c r="Q21" s="64">
        <v>5.98</v>
      </c>
      <c r="R21" s="198"/>
      <c r="S21" s="198"/>
      <c r="T21" s="198"/>
      <c r="U21" s="198"/>
    </row>
    <row r="22" spans="1:21" s="12" customFormat="1" x14ac:dyDescent="0.25">
      <c r="A22" s="214" t="s">
        <v>1029</v>
      </c>
      <c r="B22" s="64">
        <v>18.32</v>
      </c>
      <c r="C22" s="64">
        <v>40.01</v>
      </c>
      <c r="D22" s="64">
        <v>37.42</v>
      </c>
      <c r="E22" s="64">
        <v>0.53</v>
      </c>
      <c r="F22" s="64">
        <v>4.84</v>
      </c>
      <c r="G22" s="64">
        <v>49.27</v>
      </c>
      <c r="H22" s="64">
        <v>15.1</v>
      </c>
      <c r="I22" s="64">
        <v>1.48</v>
      </c>
      <c r="J22" s="64">
        <v>0.25</v>
      </c>
      <c r="K22" s="64">
        <v>348.43</v>
      </c>
      <c r="L22" s="64">
        <v>16.52</v>
      </c>
      <c r="M22" s="64">
        <v>98.17</v>
      </c>
      <c r="N22" s="64">
        <v>21.3</v>
      </c>
      <c r="O22" s="64">
        <v>0</v>
      </c>
      <c r="P22" s="64">
        <v>0.48</v>
      </c>
      <c r="Q22" s="64">
        <v>5.99</v>
      </c>
      <c r="R22" s="198"/>
      <c r="S22" s="198"/>
      <c r="T22" s="198"/>
      <c r="U22" s="198"/>
    </row>
    <row r="23" spans="1:21" s="12" customFormat="1" x14ac:dyDescent="0.25">
      <c r="A23" s="214" t="s">
        <v>1030</v>
      </c>
      <c r="B23" s="64">
        <v>18.22</v>
      </c>
      <c r="C23" s="64">
        <v>40.01</v>
      </c>
      <c r="D23" s="64">
        <v>37.340000000000003</v>
      </c>
      <c r="E23" s="64">
        <v>0.54</v>
      </c>
      <c r="F23" s="64">
        <v>4.2300000000000004</v>
      </c>
      <c r="G23" s="64">
        <v>49.33</v>
      </c>
      <c r="H23" s="64">
        <v>17.46</v>
      </c>
      <c r="I23" s="64">
        <v>1.46</v>
      </c>
      <c r="J23" s="64">
        <v>0.1</v>
      </c>
      <c r="K23" s="64">
        <v>316.49</v>
      </c>
      <c r="L23" s="64">
        <v>16.27</v>
      </c>
      <c r="M23" s="64">
        <v>98.19</v>
      </c>
      <c r="N23" s="64">
        <v>21.4</v>
      </c>
      <c r="O23" s="64">
        <v>0</v>
      </c>
      <c r="P23" s="64">
        <v>0.56999999999999995</v>
      </c>
      <c r="Q23" s="64">
        <v>5.93</v>
      </c>
      <c r="R23" s="198"/>
      <c r="S23" s="198"/>
      <c r="T23" s="198"/>
      <c r="U23" s="198"/>
    </row>
    <row r="24" spans="1:21" s="12" customFormat="1" x14ac:dyDescent="0.25">
      <c r="A24" s="214" t="s">
        <v>1031</v>
      </c>
      <c r="B24" s="64">
        <v>18.36</v>
      </c>
      <c r="C24" s="64">
        <v>39.99</v>
      </c>
      <c r="D24" s="64">
        <v>37.44</v>
      </c>
      <c r="E24" s="64">
        <v>0.31</v>
      </c>
      <c r="F24" s="64">
        <v>4.12</v>
      </c>
      <c r="G24" s="64">
        <v>49.6</v>
      </c>
      <c r="H24" s="64">
        <v>23.88</v>
      </c>
      <c r="I24" s="64">
        <v>1.46</v>
      </c>
      <c r="J24" s="64">
        <v>0.06</v>
      </c>
      <c r="K24" s="64">
        <v>249.05</v>
      </c>
      <c r="L24" s="64">
        <v>15.95</v>
      </c>
      <c r="M24" s="64">
        <v>98.18</v>
      </c>
      <c r="N24" s="64">
        <v>21.2</v>
      </c>
      <c r="O24" s="64">
        <v>0</v>
      </c>
      <c r="P24" s="64">
        <v>0.6</v>
      </c>
      <c r="Q24" s="64">
        <v>5.98</v>
      </c>
      <c r="R24" s="198"/>
      <c r="S24" s="198"/>
      <c r="T24" s="198"/>
      <c r="U24" s="198"/>
    </row>
    <row r="25" spans="1:21" s="12" customFormat="1" x14ac:dyDescent="0.25">
      <c r="A25" s="214" t="s">
        <v>1032</v>
      </c>
      <c r="B25" s="64">
        <v>18.47</v>
      </c>
      <c r="C25" s="64">
        <v>39.93</v>
      </c>
      <c r="D25" s="64">
        <v>37.49</v>
      </c>
      <c r="E25" s="64">
        <v>0.43</v>
      </c>
      <c r="F25" s="64">
        <v>3.74</v>
      </c>
      <c r="G25" s="64">
        <v>49.6</v>
      </c>
      <c r="H25" s="64">
        <v>23.88</v>
      </c>
      <c r="I25" s="64">
        <v>1.51</v>
      </c>
      <c r="J25" s="64">
        <v>0.06</v>
      </c>
      <c r="K25" s="64">
        <v>238.58</v>
      </c>
      <c r="L25" s="64">
        <v>15.73</v>
      </c>
      <c r="M25" s="64">
        <v>98.19</v>
      </c>
      <c r="N25" s="64">
        <v>21.3</v>
      </c>
      <c r="O25" s="64">
        <v>0</v>
      </c>
      <c r="P25" s="64">
        <v>0.59</v>
      </c>
      <c r="Q25" s="64">
        <v>6.07</v>
      </c>
      <c r="R25" s="198"/>
      <c r="S25" s="198"/>
      <c r="T25" s="198"/>
      <c r="U25" s="198"/>
    </row>
    <row r="26" spans="1:21" s="12" customFormat="1" x14ac:dyDescent="0.25">
      <c r="A26" s="214" t="s">
        <v>1033</v>
      </c>
      <c r="B26" s="64">
        <v>18.809999999999999</v>
      </c>
      <c r="C26" s="64">
        <v>39.619999999999997</v>
      </c>
      <c r="D26" s="64">
        <v>37.590000000000003</v>
      </c>
      <c r="E26" s="64">
        <v>0.45</v>
      </c>
      <c r="F26" s="64">
        <v>3.49</v>
      </c>
      <c r="G26" s="64">
        <v>49.6</v>
      </c>
      <c r="H26" s="64">
        <v>23.88</v>
      </c>
      <c r="I26" s="64">
        <v>1.46</v>
      </c>
      <c r="J26" s="64">
        <v>0.08</v>
      </c>
      <c r="K26" s="64">
        <v>275.70999999999998</v>
      </c>
      <c r="L26" s="64">
        <v>15.57</v>
      </c>
      <c r="M26" s="64">
        <v>98.2</v>
      </c>
      <c r="N26" s="64">
        <v>21.1</v>
      </c>
      <c r="O26" s="64">
        <v>0</v>
      </c>
      <c r="P26" s="64">
        <v>0.63</v>
      </c>
      <c r="Q26" s="64">
        <v>6.21</v>
      </c>
      <c r="R26" s="198"/>
      <c r="S26" s="198"/>
      <c r="T26" s="198"/>
      <c r="U26" s="198"/>
    </row>
    <row r="27" spans="1:21" s="12" customFormat="1" x14ac:dyDescent="0.25">
      <c r="A27" s="214" t="s">
        <v>1034</v>
      </c>
      <c r="B27" s="64">
        <v>19.16</v>
      </c>
      <c r="C27" s="64">
        <v>39.64</v>
      </c>
      <c r="D27" s="64">
        <v>37.89</v>
      </c>
      <c r="E27" s="64">
        <v>0.36</v>
      </c>
      <c r="F27" s="64">
        <v>3.65</v>
      </c>
      <c r="G27" s="64">
        <v>49.83</v>
      </c>
      <c r="H27" s="64">
        <v>25.75</v>
      </c>
      <c r="I27" s="64">
        <v>1.54</v>
      </c>
      <c r="J27" s="64">
        <v>0.03</v>
      </c>
      <c r="K27" s="64">
        <v>158.33000000000001</v>
      </c>
      <c r="L27" s="64">
        <v>15.41</v>
      </c>
      <c r="M27" s="64">
        <v>98.23</v>
      </c>
      <c r="N27" s="64">
        <v>21.2</v>
      </c>
      <c r="O27" s="64">
        <v>0</v>
      </c>
      <c r="P27" s="64">
        <v>0.63</v>
      </c>
      <c r="Q27" s="64">
        <v>6.3</v>
      </c>
      <c r="R27" s="198"/>
      <c r="S27" s="198"/>
      <c r="T27" s="198"/>
      <c r="U27" s="198"/>
    </row>
    <row r="28" spans="1:21" s="12" customFormat="1" x14ac:dyDescent="0.25">
      <c r="A28" s="214" t="s">
        <v>1035</v>
      </c>
      <c r="B28" s="64">
        <v>19.809999999999999</v>
      </c>
      <c r="C28" s="64">
        <v>39.729999999999997</v>
      </c>
      <c r="D28" s="64">
        <v>38.46</v>
      </c>
      <c r="E28" s="64">
        <v>0.41</v>
      </c>
      <c r="F28" s="64">
        <v>3.27</v>
      </c>
      <c r="G28" s="64">
        <v>50.77</v>
      </c>
      <c r="H28" s="64">
        <v>34.11</v>
      </c>
      <c r="I28" s="64">
        <v>1.47</v>
      </c>
      <c r="J28" s="64">
        <v>7.0000000000000007E-2</v>
      </c>
      <c r="K28" s="64">
        <v>225.67</v>
      </c>
      <c r="L28" s="64">
        <v>15.28</v>
      </c>
      <c r="M28" s="64">
        <v>98.23</v>
      </c>
      <c r="N28" s="64">
        <v>21</v>
      </c>
      <c r="O28" s="64">
        <v>0</v>
      </c>
      <c r="P28" s="64">
        <v>0.7</v>
      </c>
      <c r="Q28" s="64">
        <v>6.26</v>
      </c>
      <c r="R28" s="198"/>
      <c r="S28" s="198"/>
      <c r="T28" s="198"/>
      <c r="U28" s="198"/>
    </row>
    <row r="29" spans="1:21" s="12" customFormat="1" x14ac:dyDescent="0.25">
      <c r="A29" s="214" t="s">
        <v>1036</v>
      </c>
      <c r="B29" s="64">
        <v>21.06</v>
      </c>
      <c r="C29" s="64">
        <v>39.770000000000003</v>
      </c>
      <c r="D29" s="64">
        <v>39.479999999999997</v>
      </c>
      <c r="E29" s="64">
        <v>0.42</v>
      </c>
      <c r="F29" s="64">
        <v>3.09</v>
      </c>
      <c r="G29" s="64">
        <v>50.77</v>
      </c>
      <c r="H29" s="64">
        <v>34.11</v>
      </c>
      <c r="I29" s="64">
        <v>1.42</v>
      </c>
      <c r="J29" s="64">
        <v>0.15</v>
      </c>
      <c r="K29" s="64">
        <v>172.29</v>
      </c>
      <c r="L29" s="64">
        <v>15.19</v>
      </c>
      <c r="M29" s="64">
        <v>98.23</v>
      </c>
      <c r="N29" s="64">
        <v>21</v>
      </c>
      <c r="O29" s="64">
        <v>0</v>
      </c>
      <c r="P29" s="64">
        <v>0.74</v>
      </c>
      <c r="Q29" s="64">
        <v>5.19</v>
      </c>
      <c r="R29" s="198"/>
      <c r="S29" s="198"/>
      <c r="T29" s="198"/>
      <c r="U29" s="198"/>
    </row>
    <row r="30" spans="1:21" s="12" customFormat="1" x14ac:dyDescent="0.25">
      <c r="A30" s="214" t="s">
        <v>1037</v>
      </c>
      <c r="B30" s="64">
        <v>24.19</v>
      </c>
      <c r="C30" s="64">
        <v>39.83</v>
      </c>
      <c r="D30" s="64">
        <v>42.03</v>
      </c>
      <c r="E30" s="64">
        <v>0.43</v>
      </c>
      <c r="F30" s="64">
        <v>3.21</v>
      </c>
      <c r="G30" s="64">
        <v>50.77</v>
      </c>
      <c r="H30" s="64">
        <v>34.11</v>
      </c>
      <c r="I30" s="64">
        <v>1.5</v>
      </c>
      <c r="J30" s="64">
        <v>0.08</v>
      </c>
      <c r="K30" s="64">
        <v>223.12</v>
      </c>
      <c r="L30" s="64">
        <v>15.24</v>
      </c>
      <c r="M30" s="64">
        <v>98.23</v>
      </c>
      <c r="N30" s="64">
        <v>20.9</v>
      </c>
      <c r="O30" s="64">
        <v>0</v>
      </c>
      <c r="P30" s="64">
        <v>0.74</v>
      </c>
      <c r="Q30" s="64">
        <v>2.61</v>
      </c>
      <c r="R30" s="198"/>
      <c r="S30" s="198"/>
      <c r="T30" s="198"/>
      <c r="U30" s="198"/>
    </row>
    <row r="31" spans="1:21" s="12" customFormat="1" x14ac:dyDescent="0.25">
      <c r="A31" s="214" t="s">
        <v>1038</v>
      </c>
      <c r="B31" s="64">
        <v>26.87</v>
      </c>
      <c r="C31" s="64">
        <v>37.96</v>
      </c>
      <c r="D31" s="64">
        <v>43.15</v>
      </c>
      <c r="E31" s="64">
        <v>0.28999999999999998</v>
      </c>
      <c r="F31" s="64">
        <v>3.27</v>
      </c>
      <c r="G31" s="64">
        <v>51.91</v>
      </c>
      <c r="H31" s="64">
        <v>33.270000000000003</v>
      </c>
      <c r="I31" s="64">
        <v>1.42</v>
      </c>
      <c r="J31" s="64">
        <v>0.12</v>
      </c>
      <c r="K31" s="64">
        <v>182.62</v>
      </c>
      <c r="L31" s="64">
        <v>15.16</v>
      </c>
      <c r="M31" s="64">
        <v>98.23</v>
      </c>
      <c r="N31" s="64">
        <v>20.8</v>
      </c>
      <c r="O31" s="64">
        <v>0</v>
      </c>
      <c r="P31" s="64">
        <v>0.55000000000000004</v>
      </c>
      <c r="Q31" s="64">
        <v>4.4000000000000004</v>
      </c>
      <c r="R31" s="198"/>
      <c r="S31" s="198"/>
      <c r="T31" s="198"/>
      <c r="U31" s="198"/>
    </row>
    <row r="32" spans="1:21" s="12" customFormat="1" x14ac:dyDescent="0.25">
      <c r="A32" s="214" t="s">
        <v>1039</v>
      </c>
      <c r="B32" s="64">
        <v>27.42</v>
      </c>
      <c r="C32" s="64">
        <v>37.83</v>
      </c>
      <c r="D32" s="64">
        <v>43.52</v>
      </c>
      <c r="E32" s="64">
        <v>0.28000000000000003</v>
      </c>
      <c r="F32" s="64">
        <v>3.47</v>
      </c>
      <c r="G32" s="64">
        <v>56.16</v>
      </c>
      <c r="H32" s="64">
        <v>30.99</v>
      </c>
      <c r="I32" s="64">
        <v>1.56</v>
      </c>
      <c r="J32" s="64">
        <v>7.0000000000000007E-2</v>
      </c>
      <c r="K32" s="64">
        <v>180.39</v>
      </c>
      <c r="L32" s="64">
        <v>15.02</v>
      </c>
      <c r="M32" s="64">
        <v>98.23</v>
      </c>
      <c r="N32" s="64">
        <v>21.1</v>
      </c>
      <c r="O32" s="64">
        <v>0</v>
      </c>
      <c r="P32" s="64">
        <v>0.49</v>
      </c>
      <c r="Q32" s="64">
        <v>6.69</v>
      </c>
      <c r="R32" s="198"/>
      <c r="S32" s="198"/>
      <c r="T32" s="198"/>
      <c r="U32" s="198"/>
    </row>
    <row r="33" spans="1:21" s="12" customFormat="1" x14ac:dyDescent="0.25">
      <c r="A33" s="214" t="s">
        <v>1040</v>
      </c>
      <c r="B33" s="64">
        <v>27.67</v>
      </c>
      <c r="C33" s="64">
        <v>37.630000000000003</v>
      </c>
      <c r="D33" s="64">
        <v>43.61</v>
      </c>
      <c r="E33" s="64">
        <v>0.27</v>
      </c>
      <c r="F33" s="64">
        <v>3.53</v>
      </c>
      <c r="G33" s="64">
        <v>56.16</v>
      </c>
      <c r="H33" s="64">
        <v>30.99</v>
      </c>
      <c r="I33" s="64">
        <v>1.5</v>
      </c>
      <c r="J33" s="64">
        <v>0.05</v>
      </c>
      <c r="K33" s="64">
        <v>234.17</v>
      </c>
      <c r="L33" s="64">
        <v>14.95</v>
      </c>
      <c r="M33" s="64">
        <v>98.23</v>
      </c>
      <c r="N33" s="64">
        <v>21.9</v>
      </c>
      <c r="O33" s="64">
        <v>0</v>
      </c>
      <c r="P33" s="64">
        <v>0.55000000000000004</v>
      </c>
      <c r="Q33" s="64">
        <v>6.76</v>
      </c>
      <c r="R33" s="198"/>
      <c r="S33" s="198"/>
      <c r="T33" s="198"/>
      <c r="U33" s="198"/>
    </row>
    <row r="34" spans="1:21" s="12" customFormat="1" x14ac:dyDescent="0.25">
      <c r="A34" s="214" t="s">
        <v>1041</v>
      </c>
      <c r="B34" s="64">
        <v>28.67</v>
      </c>
      <c r="C34" s="64">
        <v>37.99</v>
      </c>
      <c r="D34" s="64">
        <v>44.61</v>
      </c>
      <c r="E34" s="64">
        <v>0.32</v>
      </c>
      <c r="F34" s="64">
        <v>3.14</v>
      </c>
      <c r="G34" s="64">
        <v>56.16</v>
      </c>
      <c r="H34" s="64">
        <v>30.99</v>
      </c>
      <c r="I34" s="64">
        <v>1.46</v>
      </c>
      <c r="J34" s="64">
        <v>0.06</v>
      </c>
      <c r="K34" s="64">
        <v>4.63</v>
      </c>
      <c r="L34" s="64">
        <v>14.76</v>
      </c>
      <c r="M34" s="64">
        <v>98.23</v>
      </c>
      <c r="N34" s="64">
        <v>26.2</v>
      </c>
      <c r="O34" s="64">
        <v>0</v>
      </c>
      <c r="P34" s="64">
        <v>0.68</v>
      </c>
      <c r="Q34" s="64">
        <v>5.57</v>
      </c>
      <c r="R34" s="198"/>
      <c r="S34" s="198"/>
      <c r="T34" s="198"/>
      <c r="U34" s="198"/>
    </row>
    <row r="35" spans="1:21" s="12" customFormat="1" x14ac:dyDescent="0.25">
      <c r="A35" s="214" t="s">
        <v>1042</v>
      </c>
      <c r="B35" s="64">
        <v>31.24</v>
      </c>
      <c r="C35" s="64">
        <v>38.14</v>
      </c>
      <c r="D35" s="64">
        <v>46.75</v>
      </c>
      <c r="E35" s="64">
        <v>0.33</v>
      </c>
      <c r="F35" s="64">
        <v>3.28</v>
      </c>
      <c r="G35" s="64">
        <v>55.75</v>
      </c>
      <c r="H35" s="64">
        <v>29.65</v>
      </c>
      <c r="I35" s="64">
        <v>1.49</v>
      </c>
      <c r="J35" s="64">
        <v>0.05</v>
      </c>
      <c r="K35" s="64">
        <v>171.09</v>
      </c>
      <c r="L35" s="64">
        <v>14.66</v>
      </c>
      <c r="M35" s="64">
        <v>98.23</v>
      </c>
      <c r="N35" s="64">
        <v>36.299999999999997</v>
      </c>
      <c r="O35" s="64">
        <v>0</v>
      </c>
      <c r="P35" s="64">
        <v>0.73</v>
      </c>
      <c r="Q35" s="64">
        <v>3.38</v>
      </c>
      <c r="R35" s="198"/>
      <c r="S35" s="198"/>
      <c r="T35" s="198"/>
      <c r="U35" s="198"/>
    </row>
    <row r="36" spans="1:21" s="12" customFormat="1" x14ac:dyDescent="0.25">
      <c r="A36" s="214" t="s">
        <v>1043</v>
      </c>
      <c r="B36" s="64">
        <v>34.35</v>
      </c>
      <c r="C36" s="64">
        <v>38.229999999999997</v>
      </c>
      <c r="D36" s="64">
        <v>49.29</v>
      </c>
      <c r="E36" s="64">
        <v>0.35</v>
      </c>
      <c r="F36" s="64">
        <v>3.55</v>
      </c>
      <c r="G36" s="64">
        <v>54.2</v>
      </c>
      <c r="H36" s="64">
        <v>26</v>
      </c>
      <c r="I36" s="64">
        <v>1.48</v>
      </c>
      <c r="J36" s="64">
        <v>0.04</v>
      </c>
      <c r="K36" s="64">
        <v>151.94</v>
      </c>
      <c r="L36" s="64">
        <v>14.79</v>
      </c>
      <c r="M36" s="64">
        <v>98.23</v>
      </c>
      <c r="N36" s="64">
        <v>56.9</v>
      </c>
      <c r="O36" s="64">
        <v>0</v>
      </c>
      <c r="P36" s="64">
        <v>0.85</v>
      </c>
      <c r="Q36" s="64">
        <v>2.88</v>
      </c>
      <c r="R36" s="198"/>
      <c r="S36" s="198"/>
      <c r="T36" s="198"/>
      <c r="U36" s="198"/>
    </row>
    <row r="37" spans="1:21" s="12" customFormat="1" x14ac:dyDescent="0.25">
      <c r="A37" s="214" t="s">
        <v>1044</v>
      </c>
      <c r="B37" s="64">
        <v>37.44</v>
      </c>
      <c r="C37" s="64">
        <v>38.380000000000003</v>
      </c>
      <c r="D37" s="64">
        <v>51.85</v>
      </c>
      <c r="E37" s="64">
        <v>0.37</v>
      </c>
      <c r="F37" s="64">
        <v>3.46</v>
      </c>
      <c r="G37" s="64">
        <v>54.2</v>
      </c>
      <c r="H37" s="64">
        <v>26</v>
      </c>
      <c r="I37" s="64">
        <v>1.56</v>
      </c>
      <c r="J37" s="64">
        <v>0.03</v>
      </c>
      <c r="K37" s="64">
        <v>28.43</v>
      </c>
      <c r="L37" s="64">
        <v>15.19</v>
      </c>
      <c r="M37" s="64">
        <v>98.23</v>
      </c>
      <c r="N37" s="64">
        <v>81.3</v>
      </c>
      <c r="O37" s="64">
        <v>0</v>
      </c>
      <c r="P37" s="64">
        <v>0.9</v>
      </c>
      <c r="Q37" s="64">
        <v>3.1</v>
      </c>
      <c r="R37" s="198"/>
      <c r="S37" s="198"/>
      <c r="T37" s="198"/>
      <c r="U37" s="198"/>
    </row>
    <row r="38" spans="1:21" s="12" customFormat="1" x14ac:dyDescent="0.25">
      <c r="A38" s="214" t="s">
        <v>1045</v>
      </c>
      <c r="B38" s="64">
        <v>40.42</v>
      </c>
      <c r="C38" s="64">
        <v>38.72</v>
      </c>
      <c r="D38" s="64">
        <v>54.43</v>
      </c>
      <c r="E38" s="64">
        <v>0.33</v>
      </c>
      <c r="F38" s="64">
        <v>3.31</v>
      </c>
      <c r="G38" s="64">
        <v>54.2</v>
      </c>
      <c r="H38" s="64">
        <v>26</v>
      </c>
      <c r="I38" s="64">
        <v>1.51</v>
      </c>
      <c r="J38" s="64">
        <v>0.03</v>
      </c>
      <c r="K38" s="64">
        <v>337.03</v>
      </c>
      <c r="L38" s="64">
        <v>15.79</v>
      </c>
      <c r="M38" s="64">
        <v>98.23</v>
      </c>
      <c r="N38" s="64">
        <v>113.7</v>
      </c>
      <c r="O38" s="64">
        <v>0</v>
      </c>
      <c r="P38" s="64">
        <v>0.89</v>
      </c>
      <c r="Q38" s="64">
        <v>4.09</v>
      </c>
      <c r="R38" s="198"/>
      <c r="S38" s="198"/>
      <c r="T38" s="198"/>
      <c r="U38" s="198"/>
    </row>
    <row r="39" spans="1:21" s="12" customFormat="1" x14ac:dyDescent="0.25">
      <c r="A39" s="214" t="s">
        <v>1046</v>
      </c>
      <c r="B39" s="64">
        <v>41.58</v>
      </c>
      <c r="C39" s="64">
        <v>38.67</v>
      </c>
      <c r="D39" s="64">
        <v>55.34</v>
      </c>
      <c r="E39" s="64">
        <v>0.31</v>
      </c>
      <c r="F39" s="64">
        <v>3.39</v>
      </c>
      <c r="G39" s="64">
        <v>55.78</v>
      </c>
      <c r="H39" s="64">
        <v>27.38</v>
      </c>
      <c r="I39" s="64">
        <v>1.59</v>
      </c>
      <c r="J39" s="64">
        <v>0.08</v>
      </c>
      <c r="K39" s="64">
        <v>27.81</v>
      </c>
      <c r="L39" s="64">
        <v>16.48</v>
      </c>
      <c r="M39" s="64">
        <v>98.2</v>
      </c>
      <c r="N39" s="64">
        <v>160.30000000000001</v>
      </c>
      <c r="O39" s="64">
        <v>0</v>
      </c>
      <c r="P39" s="64">
        <v>0.79</v>
      </c>
      <c r="Q39" s="64">
        <v>6.78</v>
      </c>
      <c r="R39" s="198"/>
      <c r="S39" s="198"/>
      <c r="T39" s="198"/>
      <c r="U39" s="198"/>
    </row>
    <row r="40" spans="1:21" s="12" customFormat="1" x14ac:dyDescent="0.25">
      <c r="A40" s="214" t="s">
        <v>1047</v>
      </c>
      <c r="B40" s="64">
        <v>42.37</v>
      </c>
      <c r="C40" s="64">
        <v>39.340000000000003</v>
      </c>
      <c r="D40" s="64">
        <v>56.33</v>
      </c>
      <c r="E40" s="64">
        <v>0.31</v>
      </c>
      <c r="F40" s="64">
        <v>3.39</v>
      </c>
      <c r="G40" s="64">
        <v>62.07</v>
      </c>
      <c r="H40" s="64">
        <v>31.12</v>
      </c>
      <c r="I40" s="64">
        <v>1.47</v>
      </c>
      <c r="J40" s="64">
        <v>0.19</v>
      </c>
      <c r="K40" s="64">
        <v>351.37</v>
      </c>
      <c r="L40" s="64">
        <v>17.34</v>
      </c>
      <c r="M40" s="64">
        <v>98.15</v>
      </c>
      <c r="N40" s="64">
        <v>168.7</v>
      </c>
      <c r="O40" s="64">
        <v>0</v>
      </c>
      <c r="P40" s="64">
        <v>0.88</v>
      </c>
      <c r="Q40" s="64">
        <v>5</v>
      </c>
      <c r="R40" s="198"/>
      <c r="S40" s="198"/>
      <c r="T40" s="198"/>
      <c r="U40" s="198"/>
    </row>
    <row r="41" spans="1:21" s="12" customFormat="1" x14ac:dyDescent="0.25">
      <c r="A41" s="214" t="s">
        <v>1048</v>
      </c>
      <c r="B41" s="64">
        <v>44.9</v>
      </c>
      <c r="C41" s="64">
        <v>39.64</v>
      </c>
      <c r="D41" s="64">
        <v>58.53</v>
      </c>
      <c r="E41" s="64">
        <v>0.44</v>
      </c>
      <c r="F41" s="64">
        <v>3.47</v>
      </c>
      <c r="G41" s="64">
        <v>62.07</v>
      </c>
      <c r="H41" s="64">
        <v>31.12</v>
      </c>
      <c r="I41" s="64">
        <v>1.49</v>
      </c>
      <c r="J41" s="64">
        <v>0.13</v>
      </c>
      <c r="K41" s="64">
        <v>356.43</v>
      </c>
      <c r="L41" s="64">
        <v>18.489999999999998</v>
      </c>
      <c r="M41" s="64">
        <v>94.91</v>
      </c>
      <c r="N41" s="64">
        <v>225.7</v>
      </c>
      <c r="O41" s="64">
        <v>0</v>
      </c>
      <c r="P41" s="64">
        <v>0.94</v>
      </c>
      <c r="Q41" s="64">
        <v>4.21</v>
      </c>
      <c r="R41" s="198"/>
      <c r="S41" s="198"/>
      <c r="T41" s="198"/>
      <c r="U41" s="198"/>
    </row>
    <row r="42" spans="1:21" s="12" customFormat="1" x14ac:dyDescent="0.25">
      <c r="A42" s="214" t="s">
        <v>1049</v>
      </c>
      <c r="B42" s="64">
        <v>46.09</v>
      </c>
      <c r="C42" s="64">
        <v>40.35</v>
      </c>
      <c r="D42" s="64">
        <v>59.88</v>
      </c>
      <c r="E42" s="64">
        <v>0.46</v>
      </c>
      <c r="F42" s="64">
        <v>3.62</v>
      </c>
      <c r="G42" s="64">
        <v>62.07</v>
      </c>
      <c r="H42" s="64">
        <v>31.12</v>
      </c>
      <c r="I42" s="64">
        <v>1.51</v>
      </c>
      <c r="J42" s="64">
        <v>0.27</v>
      </c>
      <c r="K42" s="64">
        <v>335.81</v>
      </c>
      <c r="L42" s="64">
        <v>19.68</v>
      </c>
      <c r="M42" s="64">
        <v>89.31</v>
      </c>
      <c r="N42" s="64">
        <v>232.3</v>
      </c>
      <c r="O42" s="64">
        <v>0</v>
      </c>
      <c r="P42" s="64">
        <v>0.89</v>
      </c>
      <c r="Q42" s="64">
        <v>6.94</v>
      </c>
      <c r="R42" s="198"/>
      <c r="S42" s="198"/>
      <c r="T42" s="198"/>
      <c r="U42" s="198"/>
    </row>
    <row r="43" spans="1:21" s="12" customFormat="1" x14ac:dyDescent="0.25">
      <c r="A43" s="214" t="s">
        <v>1050</v>
      </c>
      <c r="B43" s="64">
        <v>46.84</v>
      </c>
      <c r="C43" s="64">
        <v>40.69</v>
      </c>
      <c r="D43" s="64">
        <v>60.66</v>
      </c>
      <c r="E43" s="64">
        <v>0.55000000000000004</v>
      </c>
      <c r="F43" s="64">
        <v>3.49</v>
      </c>
      <c r="G43" s="64">
        <v>65.81</v>
      </c>
      <c r="H43" s="64">
        <v>32.82</v>
      </c>
      <c r="I43" s="64">
        <v>1.52</v>
      </c>
      <c r="J43" s="64">
        <v>0.39</v>
      </c>
      <c r="K43" s="64">
        <v>340.5</v>
      </c>
      <c r="L43" s="64">
        <v>21.22</v>
      </c>
      <c r="M43" s="64">
        <v>81.069999999999993</v>
      </c>
      <c r="N43" s="64">
        <v>321.7</v>
      </c>
      <c r="O43" s="64">
        <v>0</v>
      </c>
      <c r="P43" s="64">
        <v>1.0900000000000001</v>
      </c>
      <c r="Q43" s="64">
        <v>7</v>
      </c>
      <c r="R43" s="198"/>
      <c r="S43" s="198"/>
      <c r="T43" s="198"/>
      <c r="U43" s="198"/>
    </row>
    <row r="44" spans="1:21" s="12" customFormat="1" x14ac:dyDescent="0.25">
      <c r="A44" s="214" t="s">
        <v>1051</v>
      </c>
      <c r="B44" s="64">
        <v>47.6</v>
      </c>
      <c r="C44" s="64">
        <v>41.7</v>
      </c>
      <c r="D44" s="64">
        <v>61.83</v>
      </c>
      <c r="E44" s="64">
        <v>0.6</v>
      </c>
      <c r="F44" s="64">
        <v>3.65</v>
      </c>
      <c r="G44" s="64">
        <v>80.78</v>
      </c>
      <c r="H44" s="64">
        <v>40.409999999999997</v>
      </c>
      <c r="I44" s="64">
        <v>1.5</v>
      </c>
      <c r="J44" s="64">
        <v>0.41</v>
      </c>
      <c r="K44" s="64">
        <v>340.44</v>
      </c>
      <c r="L44" s="64">
        <v>22.59</v>
      </c>
      <c r="M44" s="64">
        <v>74.760000000000005</v>
      </c>
      <c r="N44" s="64">
        <v>406.3</v>
      </c>
      <c r="O44" s="64">
        <v>0</v>
      </c>
      <c r="P44" s="64">
        <v>1.1200000000000001</v>
      </c>
      <c r="Q44" s="64">
        <v>7.21</v>
      </c>
      <c r="R44" s="198"/>
      <c r="S44" s="198"/>
      <c r="T44" s="198"/>
      <c r="U44" s="198"/>
    </row>
    <row r="45" spans="1:21" s="12" customFormat="1" x14ac:dyDescent="0.25">
      <c r="A45" s="214" t="s">
        <v>1052</v>
      </c>
      <c r="B45" s="64">
        <v>47.81</v>
      </c>
      <c r="C45" s="64">
        <v>42.6</v>
      </c>
      <c r="D45" s="64">
        <v>62.5</v>
      </c>
      <c r="E45" s="64">
        <v>0.68</v>
      </c>
      <c r="F45" s="64">
        <v>3.94</v>
      </c>
      <c r="G45" s="64">
        <v>80.78</v>
      </c>
      <c r="H45" s="64">
        <v>40.409999999999997</v>
      </c>
      <c r="I45" s="64">
        <v>1.44</v>
      </c>
      <c r="J45" s="64">
        <v>0.22</v>
      </c>
      <c r="K45" s="64">
        <v>30.88</v>
      </c>
      <c r="L45" s="64">
        <v>22.6</v>
      </c>
      <c r="M45" s="64">
        <v>75.430000000000007</v>
      </c>
      <c r="N45" s="64">
        <v>469.1</v>
      </c>
      <c r="O45" s="64">
        <v>0</v>
      </c>
      <c r="P45" s="64">
        <v>1.06</v>
      </c>
      <c r="Q45" s="64">
        <v>7.14</v>
      </c>
      <c r="R45" s="198"/>
      <c r="S45" s="198"/>
      <c r="T45" s="198"/>
      <c r="U45" s="198"/>
    </row>
    <row r="46" spans="1:21" s="12" customFormat="1" x14ac:dyDescent="0.25">
      <c r="A46" s="214" t="s">
        <v>1053</v>
      </c>
      <c r="B46" s="64">
        <v>48.25</v>
      </c>
      <c r="C46" s="64">
        <v>44.86</v>
      </c>
      <c r="D46" s="64">
        <v>64.099999999999994</v>
      </c>
      <c r="E46" s="64">
        <v>1.1200000000000001</v>
      </c>
      <c r="F46" s="64">
        <v>3.95</v>
      </c>
      <c r="G46" s="64">
        <v>80.78</v>
      </c>
      <c r="H46" s="64">
        <v>40.409999999999997</v>
      </c>
      <c r="I46" s="64">
        <v>1.46</v>
      </c>
      <c r="J46" s="64">
        <v>0.45</v>
      </c>
      <c r="K46" s="64">
        <v>96.39</v>
      </c>
      <c r="L46" s="64">
        <v>23.5</v>
      </c>
      <c r="M46" s="64">
        <v>70.31</v>
      </c>
      <c r="N46" s="64">
        <v>521.5</v>
      </c>
      <c r="O46" s="64">
        <v>0</v>
      </c>
      <c r="P46" s="64">
        <v>1.28</v>
      </c>
      <c r="Q46" s="64">
        <v>5.64</v>
      </c>
      <c r="R46" s="198"/>
      <c r="S46" s="198"/>
      <c r="T46" s="198"/>
      <c r="U46" s="198"/>
    </row>
    <row r="47" spans="1:21" s="12" customFormat="1" x14ac:dyDescent="0.25">
      <c r="A47" s="214" t="s">
        <v>1054</v>
      </c>
      <c r="B47" s="64">
        <v>48.46</v>
      </c>
      <c r="C47" s="64">
        <v>45.61</v>
      </c>
      <c r="D47" s="64">
        <v>64.680000000000007</v>
      </c>
      <c r="E47" s="64">
        <v>0.77</v>
      </c>
      <c r="F47" s="64">
        <v>4.01</v>
      </c>
      <c r="G47" s="64">
        <v>87.23</v>
      </c>
      <c r="H47" s="64">
        <v>43.59</v>
      </c>
      <c r="I47" s="64">
        <v>1.54</v>
      </c>
      <c r="J47" s="64">
        <v>0.67</v>
      </c>
      <c r="K47" s="64">
        <v>121.4</v>
      </c>
      <c r="L47" s="64">
        <v>21.7</v>
      </c>
      <c r="M47" s="64">
        <v>77.47</v>
      </c>
      <c r="N47" s="64">
        <v>553.70000000000005</v>
      </c>
      <c r="O47" s="64">
        <v>0</v>
      </c>
      <c r="P47" s="64">
        <v>0.93</v>
      </c>
      <c r="Q47" s="64">
        <v>8.1199999999999992</v>
      </c>
      <c r="R47" s="198"/>
      <c r="S47" s="198"/>
      <c r="T47" s="198"/>
      <c r="U47" s="198"/>
    </row>
    <row r="48" spans="1:21" s="12" customFormat="1" x14ac:dyDescent="0.25">
      <c r="A48" s="214" t="s">
        <v>1055</v>
      </c>
      <c r="B48" s="64">
        <v>48.02</v>
      </c>
      <c r="C48" s="64">
        <v>45.29</v>
      </c>
      <c r="D48" s="64">
        <v>64.150000000000006</v>
      </c>
      <c r="E48" s="64">
        <v>0.75</v>
      </c>
      <c r="F48" s="64">
        <v>4.16</v>
      </c>
      <c r="G48" s="64">
        <v>113</v>
      </c>
      <c r="H48" s="64">
        <v>52.22</v>
      </c>
      <c r="I48" s="64">
        <v>1.56</v>
      </c>
      <c r="J48" s="64">
        <v>0.78</v>
      </c>
      <c r="K48" s="64">
        <v>120.61</v>
      </c>
      <c r="L48" s="64">
        <v>22.55</v>
      </c>
      <c r="M48" s="64">
        <v>73.459999999999994</v>
      </c>
      <c r="N48" s="64">
        <v>614.5</v>
      </c>
      <c r="O48" s="64">
        <v>0</v>
      </c>
      <c r="P48" s="64">
        <v>1.01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4" t="s">
        <v>1056</v>
      </c>
      <c r="B49" s="64">
        <v>46.99</v>
      </c>
      <c r="C49" s="64">
        <v>44.96</v>
      </c>
      <c r="D49" s="64">
        <v>63.14</v>
      </c>
      <c r="E49" s="64">
        <v>0.71</v>
      </c>
      <c r="F49" s="64">
        <v>4.88</v>
      </c>
      <c r="G49" s="64">
        <v>113</v>
      </c>
      <c r="H49" s="64">
        <v>52.22</v>
      </c>
      <c r="I49" s="64">
        <v>1.51</v>
      </c>
      <c r="J49" s="64">
        <v>0.61</v>
      </c>
      <c r="K49" s="64">
        <v>117.71</v>
      </c>
      <c r="L49" s="64">
        <v>22.73</v>
      </c>
      <c r="M49" s="64">
        <v>72.489999999999995</v>
      </c>
      <c r="N49" s="64">
        <v>624.79999999999995</v>
      </c>
      <c r="O49" s="64">
        <v>0</v>
      </c>
      <c r="P49" s="64">
        <v>0.95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14" t="s">
        <v>1057</v>
      </c>
      <c r="B50" s="64">
        <v>44.99</v>
      </c>
      <c r="C50" s="64">
        <v>45.45</v>
      </c>
      <c r="D50" s="64">
        <v>61.81</v>
      </c>
      <c r="E50" s="64">
        <v>0.67</v>
      </c>
      <c r="F50" s="64">
        <v>7.26</v>
      </c>
      <c r="G50" s="64">
        <v>113</v>
      </c>
      <c r="H50" s="64">
        <v>52.22</v>
      </c>
      <c r="I50" s="64">
        <v>1.55</v>
      </c>
      <c r="J50" s="64">
        <v>0.42</v>
      </c>
      <c r="K50" s="64">
        <v>122.87</v>
      </c>
      <c r="L50" s="64">
        <v>23.93</v>
      </c>
      <c r="M50" s="64">
        <v>66.41</v>
      </c>
      <c r="N50" s="64">
        <v>703</v>
      </c>
      <c r="O50" s="64">
        <v>0</v>
      </c>
      <c r="P50" s="64">
        <v>0.9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14" t="s">
        <v>1058</v>
      </c>
      <c r="B51" s="64">
        <v>33.159999999999997</v>
      </c>
      <c r="C51" s="64">
        <v>50.61</v>
      </c>
      <c r="D51" s="64">
        <v>55.17</v>
      </c>
      <c r="E51" s="64">
        <v>0.62</v>
      </c>
      <c r="F51" s="64">
        <v>7.46</v>
      </c>
      <c r="G51" s="64">
        <v>108.06</v>
      </c>
      <c r="H51" s="64">
        <v>51.14</v>
      </c>
      <c r="I51" s="64">
        <v>1.5</v>
      </c>
      <c r="J51" s="64">
        <v>0.89</v>
      </c>
      <c r="K51" s="64">
        <v>121.09</v>
      </c>
      <c r="L51" s="64">
        <v>23.36</v>
      </c>
      <c r="M51" s="64">
        <v>66.510000000000005</v>
      </c>
      <c r="N51" s="64">
        <v>729.5</v>
      </c>
      <c r="O51" s="64">
        <v>0</v>
      </c>
      <c r="P51" s="64">
        <v>0.66</v>
      </c>
      <c r="Q51" s="64">
        <v>9.08</v>
      </c>
      <c r="R51" s="198"/>
      <c r="S51" s="198"/>
      <c r="T51" s="198"/>
      <c r="U51" s="198"/>
    </row>
    <row r="52" spans="1:21" s="12" customFormat="1" x14ac:dyDescent="0.25">
      <c r="A52" s="214" t="s">
        <v>1059</v>
      </c>
      <c r="B52" s="64">
        <v>9.14</v>
      </c>
      <c r="C52" s="64">
        <v>55.32</v>
      </c>
      <c r="D52" s="64">
        <v>38.5</v>
      </c>
      <c r="E52" s="64">
        <v>0.62</v>
      </c>
      <c r="F52" s="64">
        <v>10.16</v>
      </c>
      <c r="G52" s="64">
        <v>88.31</v>
      </c>
      <c r="H52" s="64">
        <v>48.18</v>
      </c>
      <c r="I52" s="64">
        <v>1.52</v>
      </c>
      <c r="J52" s="64">
        <v>0.26</v>
      </c>
      <c r="K52" s="64">
        <v>19.43</v>
      </c>
      <c r="L52" s="64">
        <v>24.68</v>
      </c>
      <c r="M52" s="64">
        <v>61.1</v>
      </c>
      <c r="N52" s="64">
        <v>720.7</v>
      </c>
      <c r="O52" s="64">
        <v>0</v>
      </c>
      <c r="P52" s="64">
        <v>0.64</v>
      </c>
      <c r="Q52" s="64">
        <v>7.02</v>
      </c>
      <c r="R52" s="198"/>
      <c r="S52" s="198"/>
      <c r="T52" s="198"/>
      <c r="U52" s="198"/>
    </row>
    <row r="53" spans="1:21" s="12" customFormat="1" x14ac:dyDescent="0.25">
      <c r="A53" s="214" t="s">
        <v>1060</v>
      </c>
      <c r="B53" s="64">
        <v>5.12</v>
      </c>
      <c r="C53" s="64">
        <v>54.49</v>
      </c>
      <c r="D53" s="64">
        <v>34.82</v>
      </c>
      <c r="E53" s="64">
        <v>0.67</v>
      </c>
      <c r="F53" s="64">
        <v>12.42</v>
      </c>
      <c r="G53" s="64">
        <v>88.31</v>
      </c>
      <c r="H53" s="64">
        <v>48.18</v>
      </c>
      <c r="I53" s="64">
        <v>1.49</v>
      </c>
      <c r="J53" s="64">
        <v>0.33</v>
      </c>
      <c r="K53" s="64">
        <v>341.19</v>
      </c>
      <c r="L53" s="64">
        <v>26.76</v>
      </c>
      <c r="M53" s="64">
        <v>51.16</v>
      </c>
      <c r="N53" s="64">
        <v>749</v>
      </c>
      <c r="O53" s="64">
        <v>0</v>
      </c>
      <c r="P53" s="64">
        <v>0.66</v>
      </c>
      <c r="Q53" s="64">
        <v>4.25</v>
      </c>
      <c r="R53" s="198"/>
      <c r="S53" s="198"/>
      <c r="T53" s="198"/>
      <c r="U53" s="198"/>
    </row>
    <row r="54" spans="1:21" s="12" customFormat="1" x14ac:dyDescent="0.25">
      <c r="A54" s="214" t="s">
        <v>1061</v>
      </c>
      <c r="B54" s="64">
        <v>5.26</v>
      </c>
      <c r="C54" s="64">
        <v>50.87</v>
      </c>
      <c r="D54" s="64">
        <v>32.94</v>
      </c>
      <c r="E54" s="64">
        <v>0.72</v>
      </c>
      <c r="F54" s="64">
        <v>12.11</v>
      </c>
      <c r="G54" s="64">
        <v>88.31</v>
      </c>
      <c r="H54" s="64">
        <v>48.18</v>
      </c>
      <c r="I54" s="64">
        <v>1.45</v>
      </c>
      <c r="J54" s="64">
        <v>0.22</v>
      </c>
      <c r="K54" s="64">
        <v>66.56</v>
      </c>
      <c r="L54" s="64">
        <v>27.39</v>
      </c>
      <c r="M54" s="64">
        <v>49.24</v>
      </c>
      <c r="N54" s="64">
        <v>756.3</v>
      </c>
      <c r="O54" s="64">
        <v>0</v>
      </c>
      <c r="P54" s="64">
        <v>0.7</v>
      </c>
      <c r="Q54" s="64">
        <v>3.75</v>
      </c>
      <c r="R54" s="198"/>
      <c r="S54" s="198"/>
      <c r="T54" s="198"/>
      <c r="U54" s="198"/>
    </row>
    <row r="55" spans="1:21" s="12" customFormat="1" x14ac:dyDescent="0.25">
      <c r="A55" s="214" t="s">
        <v>1062</v>
      </c>
      <c r="B55" s="64">
        <v>5.53</v>
      </c>
      <c r="C55" s="64">
        <v>48.27</v>
      </c>
      <c r="D55" s="64">
        <v>31.72</v>
      </c>
      <c r="E55" s="64">
        <v>0.66</v>
      </c>
      <c r="F55" s="64">
        <v>17.2</v>
      </c>
      <c r="G55" s="64">
        <v>88.46</v>
      </c>
      <c r="H55" s="64">
        <v>43.44</v>
      </c>
      <c r="I55" s="64">
        <v>1.57</v>
      </c>
      <c r="J55" s="64">
        <v>0.02</v>
      </c>
      <c r="K55" s="64">
        <v>102.45</v>
      </c>
      <c r="L55" s="64">
        <v>26.25</v>
      </c>
      <c r="M55" s="64">
        <v>50.21</v>
      </c>
      <c r="N55" s="64">
        <v>752.3</v>
      </c>
      <c r="O55" s="64">
        <v>0</v>
      </c>
      <c r="P55" s="64">
        <v>0.57999999999999996</v>
      </c>
      <c r="Q55" s="64">
        <v>4.71</v>
      </c>
      <c r="R55" s="198"/>
      <c r="S55" s="198"/>
      <c r="T55" s="198"/>
      <c r="U55" s="198"/>
    </row>
    <row r="56" spans="1:21" s="12" customFormat="1" x14ac:dyDescent="0.25">
      <c r="A56" s="214" t="s">
        <v>1063</v>
      </c>
      <c r="B56" s="64">
        <v>5.03</v>
      </c>
      <c r="C56" s="64">
        <v>48.06</v>
      </c>
      <c r="D56" s="64">
        <v>31.2</v>
      </c>
      <c r="E56" s="64">
        <v>0.74</v>
      </c>
      <c r="F56" s="64">
        <v>13.58</v>
      </c>
      <c r="G56" s="64">
        <v>89.1</v>
      </c>
      <c r="H56" s="64">
        <v>30.54</v>
      </c>
      <c r="I56" s="64">
        <v>1.45</v>
      </c>
      <c r="J56" s="64">
        <v>0.34</v>
      </c>
      <c r="K56" s="64">
        <v>15.33</v>
      </c>
      <c r="L56" s="64">
        <v>26.14</v>
      </c>
      <c r="M56" s="64">
        <v>51.12</v>
      </c>
      <c r="N56" s="64">
        <v>601.6</v>
      </c>
      <c r="O56" s="64">
        <v>0</v>
      </c>
      <c r="P56" s="64">
        <v>0.67</v>
      </c>
      <c r="Q56" s="64">
        <v>4.62</v>
      </c>
      <c r="R56" s="198"/>
      <c r="S56" s="198"/>
      <c r="T56" s="198"/>
      <c r="U56" s="198"/>
    </row>
    <row r="57" spans="1:21" s="12" customFormat="1" x14ac:dyDescent="0.25">
      <c r="A57" s="214" t="s">
        <v>1064</v>
      </c>
      <c r="B57" s="64">
        <v>5.77</v>
      </c>
      <c r="C57" s="64">
        <v>48.81</v>
      </c>
      <c r="D57" s="64">
        <v>32.21</v>
      </c>
      <c r="E57" s="64">
        <v>1.84</v>
      </c>
      <c r="F57" s="64">
        <v>14</v>
      </c>
      <c r="G57" s="64">
        <v>89.1</v>
      </c>
      <c r="H57" s="64">
        <v>30.54</v>
      </c>
      <c r="I57" s="64">
        <v>1.5</v>
      </c>
      <c r="J57" s="64">
        <v>0.99</v>
      </c>
      <c r="K57" s="64">
        <v>341.85</v>
      </c>
      <c r="L57" s="64">
        <v>27.13</v>
      </c>
      <c r="M57" s="64">
        <v>47.07</v>
      </c>
      <c r="N57" s="64">
        <v>260.3</v>
      </c>
      <c r="O57" s="64">
        <v>0</v>
      </c>
      <c r="P57" s="64">
        <v>0.86</v>
      </c>
      <c r="Q57" s="64">
        <v>2.35</v>
      </c>
      <c r="R57" s="198"/>
      <c r="S57" s="198"/>
      <c r="T57" s="198"/>
      <c r="U57" s="198"/>
    </row>
    <row r="58" spans="1:21" s="12" customFormat="1" x14ac:dyDescent="0.25">
      <c r="A58" s="214" t="s">
        <v>1065</v>
      </c>
      <c r="B58" s="64">
        <v>7.64</v>
      </c>
      <c r="C58" s="64">
        <v>50.48</v>
      </c>
      <c r="D58" s="64">
        <v>34.630000000000003</v>
      </c>
      <c r="E58" s="64">
        <v>2.68</v>
      </c>
      <c r="F58" s="64">
        <v>11.81</v>
      </c>
      <c r="G58" s="64">
        <v>89.1</v>
      </c>
      <c r="H58" s="64">
        <v>30.54</v>
      </c>
      <c r="I58" s="64">
        <v>1.47</v>
      </c>
      <c r="J58" s="64">
        <v>1.04</v>
      </c>
      <c r="K58" s="64">
        <v>345.77</v>
      </c>
      <c r="L58" s="64">
        <v>26.16</v>
      </c>
      <c r="M58" s="64">
        <v>45.24</v>
      </c>
      <c r="N58" s="64">
        <v>370.8</v>
      </c>
      <c r="O58" s="64">
        <v>0</v>
      </c>
      <c r="P58" s="64">
        <v>0.83</v>
      </c>
      <c r="Q58" s="64">
        <v>0.76</v>
      </c>
      <c r="R58" s="198"/>
      <c r="S58" s="198"/>
      <c r="T58" s="198"/>
      <c r="U58" s="198"/>
    </row>
    <row r="59" spans="1:21" s="12" customFormat="1" x14ac:dyDescent="0.25">
      <c r="A59" s="214" t="s">
        <v>1066</v>
      </c>
      <c r="B59" s="64">
        <v>8.94</v>
      </c>
      <c r="C59" s="64">
        <v>46.91</v>
      </c>
      <c r="D59" s="64">
        <v>33.700000000000003</v>
      </c>
      <c r="E59" s="64">
        <v>2.08</v>
      </c>
      <c r="F59" s="64">
        <v>15.59</v>
      </c>
      <c r="G59" s="64">
        <v>84.81</v>
      </c>
      <c r="H59" s="64">
        <v>29.67</v>
      </c>
      <c r="I59" s="64">
        <v>1.58</v>
      </c>
      <c r="J59" s="64">
        <v>1.0900000000000001</v>
      </c>
      <c r="K59" s="64">
        <v>338.13</v>
      </c>
      <c r="L59" s="64">
        <v>25.87</v>
      </c>
      <c r="M59" s="64">
        <v>42.42</v>
      </c>
      <c r="N59" s="64">
        <v>318.10000000000002</v>
      </c>
      <c r="O59" s="64">
        <v>0</v>
      </c>
      <c r="P59" s="64">
        <v>0.59</v>
      </c>
      <c r="Q59" s="64">
        <v>1.96</v>
      </c>
      <c r="R59" s="198"/>
      <c r="S59" s="198"/>
      <c r="T59" s="198"/>
      <c r="U59" s="198"/>
    </row>
    <row r="60" spans="1:21" s="12" customFormat="1" x14ac:dyDescent="0.25">
      <c r="A60" s="214" t="s">
        <v>1067</v>
      </c>
      <c r="B60" s="64">
        <v>8.15</v>
      </c>
      <c r="C60" s="64">
        <v>50.1</v>
      </c>
      <c r="D60" s="64">
        <v>34.83</v>
      </c>
      <c r="E60" s="64">
        <v>1.43</v>
      </c>
      <c r="F60" s="64">
        <v>21.11</v>
      </c>
      <c r="G60" s="64">
        <v>67.66</v>
      </c>
      <c r="H60" s="64">
        <v>25.81</v>
      </c>
      <c r="I60" s="64">
        <v>1.5</v>
      </c>
      <c r="J60" s="64">
        <v>1.37</v>
      </c>
      <c r="K60" s="64">
        <v>337.52</v>
      </c>
      <c r="L60" s="64">
        <v>27.02</v>
      </c>
      <c r="M60" s="64">
        <v>38.99</v>
      </c>
      <c r="N60" s="64">
        <v>563.20000000000005</v>
      </c>
      <c r="O60" s="64">
        <v>0</v>
      </c>
      <c r="P60" s="64">
        <v>0.49</v>
      </c>
      <c r="Q60" s="64">
        <v>3.64</v>
      </c>
      <c r="R60" s="198"/>
      <c r="S60" s="198"/>
      <c r="T60" s="198"/>
      <c r="U60" s="198"/>
    </row>
    <row r="61" spans="1:21" s="12" customFormat="1" x14ac:dyDescent="0.25">
      <c r="A61" s="214" t="s">
        <v>1068</v>
      </c>
      <c r="B61" s="64">
        <v>7.01</v>
      </c>
      <c r="C61" s="64">
        <v>52.21</v>
      </c>
      <c r="D61" s="64">
        <v>35.08</v>
      </c>
      <c r="E61" s="64">
        <v>1.34</v>
      </c>
      <c r="F61" s="64">
        <v>21.26</v>
      </c>
      <c r="G61" s="64">
        <v>67.66</v>
      </c>
      <c r="H61" s="64">
        <v>25.81</v>
      </c>
      <c r="I61" s="64">
        <v>1.54</v>
      </c>
      <c r="J61" s="64">
        <v>1.33</v>
      </c>
      <c r="K61" s="64">
        <v>340.3</v>
      </c>
      <c r="L61" s="64">
        <v>27.59</v>
      </c>
      <c r="M61" s="64">
        <v>37.28</v>
      </c>
      <c r="N61" s="64">
        <v>633.5</v>
      </c>
      <c r="O61" s="64">
        <v>0</v>
      </c>
      <c r="P61" s="64">
        <v>0.47</v>
      </c>
      <c r="Q61" s="64">
        <v>3.52</v>
      </c>
      <c r="R61" s="198"/>
      <c r="S61" s="198"/>
      <c r="T61" s="198"/>
      <c r="U61" s="198"/>
    </row>
    <row r="62" spans="1:21" s="12" customFormat="1" x14ac:dyDescent="0.25">
      <c r="A62" s="214" t="s">
        <v>1069</v>
      </c>
      <c r="B62" s="64">
        <v>7.46</v>
      </c>
      <c r="C62" s="64">
        <v>50.75</v>
      </c>
      <c r="D62" s="64">
        <v>34.64</v>
      </c>
      <c r="E62" s="64">
        <v>1.19</v>
      </c>
      <c r="F62" s="64">
        <v>21.65</v>
      </c>
      <c r="G62" s="64">
        <v>67.66</v>
      </c>
      <c r="H62" s="64">
        <v>25.81</v>
      </c>
      <c r="I62" s="64">
        <v>1.54</v>
      </c>
      <c r="J62" s="64">
        <v>1.22</v>
      </c>
      <c r="K62" s="64">
        <v>340.75</v>
      </c>
      <c r="L62" s="64">
        <v>27.54</v>
      </c>
      <c r="M62" s="64">
        <v>36.67</v>
      </c>
      <c r="N62" s="64">
        <v>359.3</v>
      </c>
      <c r="O62" s="64">
        <v>0</v>
      </c>
      <c r="P62" s="64">
        <v>0.46</v>
      </c>
      <c r="Q62" s="64">
        <v>4.28</v>
      </c>
      <c r="R62" s="198"/>
      <c r="S62" s="198"/>
      <c r="T62" s="198"/>
      <c r="U62" s="198"/>
    </row>
    <row r="63" spans="1:21" s="12" customFormat="1" x14ac:dyDescent="0.25">
      <c r="A63" s="214" t="s">
        <v>1070</v>
      </c>
      <c r="B63" s="64">
        <v>8.15</v>
      </c>
      <c r="C63" s="64">
        <v>50.03</v>
      </c>
      <c r="D63" s="64">
        <v>34.79</v>
      </c>
      <c r="E63" s="64">
        <v>0.75</v>
      </c>
      <c r="F63" s="64">
        <v>12.82</v>
      </c>
      <c r="G63" s="64">
        <v>65.17</v>
      </c>
      <c r="H63" s="64">
        <v>23.75</v>
      </c>
      <c r="I63" s="64">
        <v>1.54</v>
      </c>
      <c r="J63" s="64">
        <v>0.66</v>
      </c>
      <c r="K63" s="64">
        <v>324.67</v>
      </c>
      <c r="L63" s="64">
        <v>27.45</v>
      </c>
      <c r="M63" s="64">
        <v>37.89</v>
      </c>
      <c r="N63" s="64">
        <v>387.7</v>
      </c>
      <c r="O63" s="64">
        <v>0</v>
      </c>
      <c r="P63" s="64">
        <v>0.55000000000000004</v>
      </c>
      <c r="Q63" s="64">
        <v>4.1500000000000004</v>
      </c>
      <c r="R63" s="198"/>
      <c r="S63" s="198"/>
      <c r="T63" s="198"/>
      <c r="U63" s="198"/>
    </row>
    <row r="64" spans="1:21" s="12" customFormat="1" x14ac:dyDescent="0.25">
      <c r="A64" s="214" t="s">
        <v>1071</v>
      </c>
      <c r="B64" s="64">
        <v>11.35</v>
      </c>
      <c r="C64" s="64">
        <v>50.33</v>
      </c>
      <c r="D64" s="64">
        <v>37.520000000000003</v>
      </c>
      <c r="E64" s="64">
        <v>0.92</v>
      </c>
      <c r="F64" s="64">
        <v>21.61</v>
      </c>
      <c r="G64" s="64">
        <v>55.89</v>
      </c>
      <c r="H64" s="64">
        <v>18.16</v>
      </c>
      <c r="I64" s="64">
        <v>1.58</v>
      </c>
      <c r="J64" s="64">
        <v>1.33</v>
      </c>
      <c r="K64" s="64">
        <v>333.14</v>
      </c>
      <c r="L64" s="64">
        <v>27.98</v>
      </c>
      <c r="M64" s="64">
        <v>35.979999999999997</v>
      </c>
      <c r="N64" s="64">
        <v>213.8</v>
      </c>
      <c r="O64" s="64">
        <v>0</v>
      </c>
      <c r="P64" s="64">
        <v>0.45</v>
      </c>
      <c r="Q64" s="64">
        <v>4.12</v>
      </c>
      <c r="R64" s="198"/>
      <c r="S64" s="198"/>
      <c r="T64" s="198"/>
      <c r="U64" s="198"/>
    </row>
    <row r="65" spans="1:21" s="12" customFormat="1" x14ac:dyDescent="0.25">
      <c r="A65" s="214" t="s">
        <v>1072</v>
      </c>
      <c r="B65" s="64">
        <v>15.52</v>
      </c>
      <c r="C65" s="64">
        <v>54.2</v>
      </c>
      <c r="D65" s="64">
        <v>43</v>
      </c>
      <c r="E65" s="64">
        <v>1.02</v>
      </c>
      <c r="F65" s="64">
        <v>26.74</v>
      </c>
      <c r="G65" s="64">
        <v>55.89</v>
      </c>
      <c r="H65" s="64">
        <v>18.16</v>
      </c>
      <c r="I65" s="64">
        <v>1.46</v>
      </c>
      <c r="J65" s="64">
        <v>1.61</v>
      </c>
      <c r="K65" s="64">
        <v>333.46</v>
      </c>
      <c r="L65" s="64">
        <v>26.95</v>
      </c>
      <c r="M65" s="64">
        <v>37.75</v>
      </c>
      <c r="N65" s="64">
        <v>203.8</v>
      </c>
      <c r="O65" s="64">
        <v>0</v>
      </c>
      <c r="P65" s="64">
        <v>0.49</v>
      </c>
      <c r="Q65" s="64">
        <v>4.96</v>
      </c>
      <c r="R65" s="198"/>
      <c r="S65" s="198"/>
      <c r="T65" s="198"/>
      <c r="U65" s="198"/>
    </row>
    <row r="66" spans="1:21" s="12" customFormat="1" x14ac:dyDescent="0.25">
      <c r="A66" s="214" t="s">
        <v>1073</v>
      </c>
      <c r="B66" s="64">
        <v>14.2</v>
      </c>
      <c r="C66" s="64">
        <v>53.59</v>
      </c>
      <c r="D66" s="64">
        <v>41.61</v>
      </c>
      <c r="E66" s="64">
        <v>0.99</v>
      </c>
      <c r="F66" s="64">
        <v>27.18</v>
      </c>
      <c r="G66" s="64">
        <v>55.89</v>
      </c>
      <c r="H66" s="64">
        <v>18.16</v>
      </c>
      <c r="I66" s="64">
        <v>1.48</v>
      </c>
      <c r="J66" s="64">
        <v>1.39</v>
      </c>
      <c r="K66" s="64">
        <v>334.54</v>
      </c>
      <c r="L66" s="64">
        <v>26.41</v>
      </c>
      <c r="M66" s="64">
        <v>38.26</v>
      </c>
      <c r="N66" s="64">
        <v>174.3</v>
      </c>
      <c r="O66" s="64">
        <v>0</v>
      </c>
      <c r="P66" s="64">
        <v>0.41</v>
      </c>
      <c r="Q66" s="64">
        <v>5.38</v>
      </c>
      <c r="R66" s="198"/>
      <c r="S66" s="198"/>
      <c r="T66" s="198"/>
      <c r="U66" s="198"/>
    </row>
    <row r="67" spans="1:21" s="12" customFormat="1" x14ac:dyDescent="0.25">
      <c r="A67" s="214" t="s">
        <v>1074</v>
      </c>
      <c r="B67" s="64">
        <v>13.11</v>
      </c>
      <c r="C67" s="64">
        <v>51.93</v>
      </c>
      <c r="D67" s="64">
        <v>39.81</v>
      </c>
      <c r="E67" s="64">
        <v>0.88</v>
      </c>
      <c r="F67" s="64">
        <v>18.809999999999999</v>
      </c>
      <c r="G67" s="64">
        <v>54.59</v>
      </c>
      <c r="H67" s="64">
        <v>16.579999999999998</v>
      </c>
      <c r="I67" s="64">
        <v>1.47</v>
      </c>
      <c r="J67" s="64">
        <v>1.31</v>
      </c>
      <c r="K67" s="64">
        <v>329.17</v>
      </c>
      <c r="L67" s="64">
        <v>25.38</v>
      </c>
      <c r="M67" s="64">
        <v>39.909999999999997</v>
      </c>
      <c r="N67" s="64">
        <v>118.4</v>
      </c>
      <c r="O67" s="64">
        <v>0</v>
      </c>
      <c r="P67" s="64">
        <v>0.48</v>
      </c>
      <c r="Q67" s="64">
        <v>4.43</v>
      </c>
      <c r="R67" s="198"/>
      <c r="S67" s="198"/>
      <c r="T67" s="198"/>
      <c r="U67" s="198"/>
    </row>
    <row r="68" spans="1:21" s="12" customFormat="1" x14ac:dyDescent="0.25">
      <c r="A68" s="214" t="s">
        <v>1075</v>
      </c>
      <c r="B68" s="64">
        <v>12.57</v>
      </c>
      <c r="C68" s="64">
        <v>50.41</v>
      </c>
      <c r="D68" s="64">
        <v>38.54</v>
      </c>
      <c r="E68" s="64">
        <v>0.87</v>
      </c>
      <c r="F68" s="64">
        <v>15.28</v>
      </c>
      <c r="G68" s="64">
        <v>49.75</v>
      </c>
      <c r="H68" s="64">
        <v>12.29</v>
      </c>
      <c r="I68" s="64">
        <v>1.46</v>
      </c>
      <c r="J68" s="64">
        <v>0.7</v>
      </c>
      <c r="K68" s="64">
        <v>321.99</v>
      </c>
      <c r="L68" s="64">
        <v>24.26</v>
      </c>
      <c r="M68" s="64">
        <v>42.98</v>
      </c>
      <c r="N68" s="64">
        <v>146.69999999999999</v>
      </c>
      <c r="O68" s="64">
        <v>0</v>
      </c>
      <c r="P68" s="64">
        <v>0.51</v>
      </c>
      <c r="Q68" s="64">
        <v>4.6100000000000003</v>
      </c>
      <c r="R68" s="198"/>
      <c r="S68" s="198"/>
      <c r="T68" s="198"/>
      <c r="U68" s="198"/>
    </row>
    <row r="69" spans="1:21" s="12" customFormat="1" x14ac:dyDescent="0.25">
      <c r="A69" s="214" t="s">
        <v>1076</v>
      </c>
      <c r="B69" s="64">
        <v>11.89</v>
      </c>
      <c r="C69" s="64">
        <v>49.73</v>
      </c>
      <c r="D69" s="64">
        <v>37.630000000000003</v>
      </c>
      <c r="E69" s="64">
        <v>0.78</v>
      </c>
      <c r="F69" s="64">
        <v>20.29</v>
      </c>
      <c r="G69" s="64">
        <v>49.75</v>
      </c>
      <c r="H69" s="64">
        <v>12.29</v>
      </c>
      <c r="I69" s="64">
        <v>1.52</v>
      </c>
      <c r="J69" s="64">
        <v>1.1100000000000001</v>
      </c>
      <c r="K69" s="64">
        <v>332.55</v>
      </c>
      <c r="L69" s="64">
        <v>24.47</v>
      </c>
      <c r="M69" s="64">
        <v>41.31</v>
      </c>
      <c r="N69" s="64">
        <v>148.6</v>
      </c>
      <c r="O69" s="64">
        <v>0</v>
      </c>
      <c r="P69" s="64">
        <v>0.44</v>
      </c>
      <c r="Q69" s="64">
        <v>4.34</v>
      </c>
      <c r="R69" s="198"/>
      <c r="S69" s="198"/>
      <c r="T69" s="198"/>
      <c r="U69" s="198"/>
    </row>
    <row r="70" spans="1:21" s="12" customFormat="1" x14ac:dyDescent="0.25">
      <c r="A70" s="214" t="s">
        <v>1077</v>
      </c>
      <c r="B70" s="64">
        <v>11.18</v>
      </c>
      <c r="C70" s="64">
        <v>49.77</v>
      </c>
      <c r="D70" s="64">
        <v>37.08</v>
      </c>
      <c r="E70" s="64">
        <v>1.1000000000000001</v>
      </c>
      <c r="F70" s="64">
        <v>23.07</v>
      </c>
      <c r="G70" s="64">
        <v>49.75</v>
      </c>
      <c r="H70" s="64">
        <v>12.29</v>
      </c>
      <c r="I70" s="64">
        <v>1.52</v>
      </c>
      <c r="J70" s="64">
        <v>1.29</v>
      </c>
      <c r="K70" s="64">
        <v>339.47</v>
      </c>
      <c r="L70" s="64">
        <v>24.24</v>
      </c>
      <c r="M70" s="64">
        <v>43.02</v>
      </c>
      <c r="N70" s="64">
        <v>119.5</v>
      </c>
      <c r="O70" s="64">
        <v>0</v>
      </c>
      <c r="P70" s="64">
        <v>0.51</v>
      </c>
      <c r="Q70" s="64">
        <v>3.83</v>
      </c>
      <c r="R70" s="198"/>
      <c r="S70" s="198"/>
      <c r="T70" s="198"/>
      <c r="U70" s="198"/>
    </row>
    <row r="71" spans="1:21" s="12" customFormat="1" x14ac:dyDescent="0.25">
      <c r="A71" s="214" t="s">
        <v>1078</v>
      </c>
      <c r="B71" s="64">
        <v>11.26</v>
      </c>
      <c r="C71" s="64">
        <v>49.51</v>
      </c>
      <c r="D71" s="64">
        <v>37</v>
      </c>
      <c r="E71" s="64">
        <v>1.05</v>
      </c>
      <c r="F71" s="64">
        <v>22.67</v>
      </c>
      <c r="G71" s="64">
        <v>50.36</v>
      </c>
      <c r="H71" s="64">
        <v>12.99</v>
      </c>
      <c r="I71" s="64">
        <v>1.46</v>
      </c>
      <c r="J71" s="64">
        <v>1.31</v>
      </c>
      <c r="K71" s="64">
        <v>340.17</v>
      </c>
      <c r="L71" s="64">
        <v>23.82</v>
      </c>
      <c r="M71" s="64">
        <v>44</v>
      </c>
      <c r="N71" s="64">
        <v>119.3</v>
      </c>
      <c r="O71" s="64">
        <v>0</v>
      </c>
      <c r="P71" s="64">
        <v>0.47</v>
      </c>
      <c r="Q71" s="64">
        <v>3.83</v>
      </c>
      <c r="R71" s="198"/>
      <c r="S71" s="198"/>
      <c r="T71" s="198"/>
      <c r="U71" s="198"/>
    </row>
    <row r="72" spans="1:21" s="12" customFormat="1" x14ac:dyDescent="0.25">
      <c r="A72" s="214" t="s">
        <v>1079</v>
      </c>
      <c r="B72" s="64">
        <v>11.4</v>
      </c>
      <c r="C72" s="64">
        <v>49.92</v>
      </c>
      <c r="D72" s="64">
        <v>37.340000000000003</v>
      </c>
      <c r="E72" s="64">
        <v>0.63</v>
      </c>
      <c r="F72" s="64">
        <v>16.690000000000001</v>
      </c>
      <c r="G72" s="64">
        <v>52.65</v>
      </c>
      <c r="H72" s="64">
        <v>14.89</v>
      </c>
      <c r="I72" s="64">
        <v>1.53</v>
      </c>
      <c r="J72" s="64">
        <v>0.93</v>
      </c>
      <c r="K72" s="64">
        <v>346.78</v>
      </c>
      <c r="L72" s="64">
        <v>23.6</v>
      </c>
      <c r="M72" s="64">
        <v>45.4</v>
      </c>
      <c r="N72" s="64">
        <v>106.4</v>
      </c>
      <c r="O72" s="64">
        <v>0</v>
      </c>
      <c r="P72" s="64">
        <v>0.62</v>
      </c>
      <c r="Q72" s="64">
        <v>3.43</v>
      </c>
      <c r="R72" s="198"/>
      <c r="S72" s="198"/>
      <c r="T72" s="198"/>
      <c r="U72" s="198"/>
    </row>
    <row r="73" spans="1:21" s="12" customFormat="1" x14ac:dyDescent="0.25">
      <c r="A73" s="214" t="s">
        <v>1080</v>
      </c>
      <c r="B73" s="64">
        <v>11.77</v>
      </c>
      <c r="C73" s="64">
        <v>49.88</v>
      </c>
      <c r="D73" s="64">
        <v>37.61</v>
      </c>
      <c r="E73" s="64">
        <v>1.06</v>
      </c>
      <c r="F73" s="64">
        <v>17.87</v>
      </c>
      <c r="G73" s="64">
        <v>52.65</v>
      </c>
      <c r="H73" s="64">
        <v>14.89</v>
      </c>
      <c r="I73" s="64">
        <v>1.5</v>
      </c>
      <c r="J73" s="64">
        <v>1.23</v>
      </c>
      <c r="K73" s="64">
        <v>346.53</v>
      </c>
      <c r="L73" s="64">
        <v>23.51</v>
      </c>
      <c r="M73" s="64">
        <v>45.22</v>
      </c>
      <c r="N73" s="64">
        <v>89.8</v>
      </c>
      <c r="O73" s="64">
        <v>0</v>
      </c>
      <c r="P73" s="64">
        <v>0.63</v>
      </c>
      <c r="Q73" s="64">
        <v>3.38</v>
      </c>
      <c r="R73" s="198"/>
      <c r="S73" s="198"/>
      <c r="T73" s="198"/>
      <c r="U73" s="198"/>
    </row>
    <row r="74" spans="1:21" s="12" customFormat="1" x14ac:dyDescent="0.25">
      <c r="A74" s="214" t="s">
        <v>1081</v>
      </c>
      <c r="B74" s="64">
        <v>12.01</v>
      </c>
      <c r="C74" s="64">
        <v>50.31</v>
      </c>
      <c r="D74" s="64">
        <v>38.049999999999997</v>
      </c>
      <c r="E74" s="64">
        <v>1.27</v>
      </c>
      <c r="F74" s="64">
        <v>21.04</v>
      </c>
      <c r="G74" s="64">
        <v>52.65</v>
      </c>
      <c r="H74" s="64">
        <v>14.89</v>
      </c>
      <c r="I74" s="64">
        <v>1.53</v>
      </c>
      <c r="J74" s="64">
        <v>1.19</v>
      </c>
      <c r="K74" s="64">
        <v>338.11</v>
      </c>
      <c r="L74" s="64">
        <v>22.79</v>
      </c>
      <c r="M74" s="64">
        <v>48.71</v>
      </c>
      <c r="N74" s="64">
        <v>56.8</v>
      </c>
      <c r="O74" s="64">
        <v>0</v>
      </c>
      <c r="P74" s="64">
        <v>0.67</v>
      </c>
      <c r="Q74" s="64">
        <v>3.38</v>
      </c>
      <c r="R74" s="198"/>
      <c r="S74" s="198"/>
      <c r="T74" s="198"/>
      <c r="U74" s="198"/>
    </row>
    <row r="75" spans="1:21" s="12" customFormat="1" x14ac:dyDescent="0.25">
      <c r="A75" s="214" t="s">
        <v>1082</v>
      </c>
      <c r="B75" s="64">
        <v>11.09</v>
      </c>
      <c r="C75" s="64">
        <v>52.36</v>
      </c>
      <c r="D75" s="64">
        <v>38.44</v>
      </c>
      <c r="E75" s="64">
        <v>1.46</v>
      </c>
      <c r="F75" s="64">
        <v>15.5</v>
      </c>
      <c r="G75" s="64">
        <v>50.78</v>
      </c>
      <c r="H75" s="64">
        <v>14.05</v>
      </c>
      <c r="I75" s="64">
        <v>1.4</v>
      </c>
      <c r="J75" s="64">
        <v>0.9</v>
      </c>
      <c r="K75" s="64">
        <v>343.84</v>
      </c>
      <c r="L75" s="64">
        <v>22.06</v>
      </c>
      <c r="M75" s="64">
        <v>52.27</v>
      </c>
      <c r="N75" s="64">
        <v>44</v>
      </c>
      <c r="O75" s="64">
        <v>0</v>
      </c>
      <c r="P75" s="64">
        <v>0.8</v>
      </c>
      <c r="Q75" s="64">
        <v>2.2400000000000002</v>
      </c>
      <c r="R75" s="198"/>
      <c r="S75" s="198"/>
      <c r="T75" s="198"/>
      <c r="U75" s="198"/>
    </row>
    <row r="76" spans="1:21" s="12" customFormat="1" x14ac:dyDescent="0.25">
      <c r="A76" s="214" t="s">
        <v>1083</v>
      </c>
      <c r="B76" s="64">
        <v>12.4</v>
      </c>
      <c r="C76" s="64">
        <v>54.37</v>
      </c>
      <c r="D76" s="64">
        <v>40.590000000000003</v>
      </c>
      <c r="E76" s="64">
        <v>1.66</v>
      </c>
      <c r="F76" s="64">
        <v>12</v>
      </c>
      <c r="G76" s="64">
        <v>43.3</v>
      </c>
      <c r="H76" s="64">
        <v>10.3</v>
      </c>
      <c r="I76" s="64">
        <v>1.45</v>
      </c>
      <c r="J76" s="64">
        <v>0.76</v>
      </c>
      <c r="K76" s="64">
        <v>346.52</v>
      </c>
      <c r="L76" s="64">
        <v>21.52</v>
      </c>
      <c r="M76" s="64">
        <v>54.8</v>
      </c>
      <c r="N76" s="64">
        <v>34.5</v>
      </c>
      <c r="O76" s="64">
        <v>0</v>
      </c>
      <c r="P76" s="64">
        <v>0.95</v>
      </c>
      <c r="Q76" s="64">
        <v>2.02</v>
      </c>
      <c r="R76" s="198"/>
      <c r="S76" s="198"/>
      <c r="T76" s="198"/>
      <c r="U76" s="198"/>
    </row>
    <row r="77" spans="1:21" s="12" customFormat="1" x14ac:dyDescent="0.25">
      <c r="A77" s="214" t="s">
        <v>1084</v>
      </c>
      <c r="B77" s="64">
        <v>14.45</v>
      </c>
      <c r="C77" s="64">
        <v>55.33</v>
      </c>
      <c r="D77" s="64">
        <v>42.77</v>
      </c>
      <c r="E77" s="64">
        <v>1.6</v>
      </c>
      <c r="F77" s="64">
        <v>7</v>
      </c>
      <c r="G77" s="64">
        <v>43.3</v>
      </c>
      <c r="H77" s="64">
        <v>10.3</v>
      </c>
      <c r="I77" s="64">
        <v>1.54</v>
      </c>
      <c r="J77" s="64">
        <v>0.74</v>
      </c>
      <c r="K77" s="64">
        <v>343.87</v>
      </c>
      <c r="L77" s="64">
        <v>21.19</v>
      </c>
      <c r="M77" s="64">
        <v>56.57</v>
      </c>
      <c r="N77" s="64">
        <v>26.6</v>
      </c>
      <c r="O77" s="64">
        <v>0</v>
      </c>
      <c r="P77" s="64">
        <v>1.24</v>
      </c>
      <c r="Q77" s="64">
        <v>0.1</v>
      </c>
      <c r="R77" s="198"/>
      <c r="S77" s="198"/>
      <c r="T77" s="198"/>
      <c r="U77" s="198"/>
    </row>
    <row r="78" spans="1:21" s="12" customFormat="1" x14ac:dyDescent="0.25">
      <c r="A78" s="214" t="s">
        <v>1085</v>
      </c>
      <c r="B78" s="64">
        <v>17.54</v>
      </c>
      <c r="C78" s="64">
        <v>55.03</v>
      </c>
      <c r="D78" s="64">
        <v>45.08</v>
      </c>
      <c r="E78" s="64">
        <v>1.5</v>
      </c>
      <c r="F78" s="64">
        <v>6.31</v>
      </c>
      <c r="G78" s="64">
        <v>43.3</v>
      </c>
      <c r="H78" s="64">
        <v>10.3</v>
      </c>
      <c r="I78" s="64">
        <v>1.58</v>
      </c>
      <c r="J78" s="64">
        <v>0.62</v>
      </c>
      <c r="K78" s="64">
        <v>343.5</v>
      </c>
      <c r="L78" s="64">
        <v>21.08</v>
      </c>
      <c r="M78" s="64">
        <v>57.16</v>
      </c>
      <c r="N78" s="64">
        <v>23</v>
      </c>
      <c r="O78" s="64">
        <v>0</v>
      </c>
      <c r="P78" s="64">
        <v>1.29</v>
      </c>
      <c r="Q78" s="64">
        <v>0.05</v>
      </c>
      <c r="R78" s="198"/>
      <c r="S78" s="198"/>
      <c r="T78" s="198"/>
      <c r="U78" s="198"/>
    </row>
    <row r="79" spans="1:21" s="12" customFormat="1" x14ac:dyDescent="0.25">
      <c r="A79" s="214" t="s">
        <v>1086</v>
      </c>
      <c r="B79" s="64">
        <v>20.18</v>
      </c>
      <c r="C79" s="64">
        <v>56.35</v>
      </c>
      <c r="D79" s="64">
        <v>47.92</v>
      </c>
      <c r="E79" s="64">
        <v>1.41</v>
      </c>
      <c r="F79" s="64">
        <v>6.34</v>
      </c>
      <c r="G79" s="64">
        <v>60.13</v>
      </c>
      <c r="H79" s="64">
        <v>13.8</v>
      </c>
      <c r="I79" s="64">
        <v>1.45</v>
      </c>
      <c r="J79" s="64">
        <v>0.42</v>
      </c>
      <c r="K79" s="64">
        <v>336.5</v>
      </c>
      <c r="L79" s="64">
        <v>20.91</v>
      </c>
      <c r="M79" s="64">
        <v>58.5</v>
      </c>
      <c r="N79" s="64">
        <v>22.6</v>
      </c>
      <c r="O79" s="64">
        <v>0</v>
      </c>
      <c r="P79" s="64">
        <v>1.4</v>
      </c>
      <c r="Q79" s="64">
        <v>1</v>
      </c>
      <c r="R79" s="198"/>
      <c r="S79" s="198"/>
      <c r="T79" s="198"/>
      <c r="U79" s="198"/>
    </row>
    <row r="80" spans="1:21" s="12" customFormat="1" x14ac:dyDescent="0.25">
      <c r="A80" s="214" t="s">
        <v>1087</v>
      </c>
      <c r="B80" s="64">
        <v>21.97</v>
      </c>
      <c r="C80" s="64">
        <v>56.01</v>
      </c>
      <c r="D80" s="64">
        <v>49.17</v>
      </c>
      <c r="E80" s="64">
        <v>1.26</v>
      </c>
      <c r="F80" s="64">
        <v>4.96</v>
      </c>
      <c r="G80" s="64">
        <v>127.43</v>
      </c>
      <c r="H80" s="64">
        <v>23.32</v>
      </c>
      <c r="I80" s="64">
        <v>1.47</v>
      </c>
      <c r="J80" s="64">
        <v>0.23</v>
      </c>
      <c r="K80" s="64">
        <v>347.05</v>
      </c>
      <c r="L80" s="64">
        <v>20.65</v>
      </c>
      <c r="M80" s="64">
        <v>60.97</v>
      </c>
      <c r="N80" s="64">
        <v>22.5</v>
      </c>
      <c r="O80" s="64">
        <v>0</v>
      </c>
      <c r="P80" s="64">
        <v>1.75</v>
      </c>
      <c r="Q80" s="64">
        <v>1.39</v>
      </c>
      <c r="R80" s="198"/>
      <c r="S80" s="198"/>
      <c r="T80" s="198"/>
      <c r="U80" s="198"/>
    </row>
    <row r="81" spans="1:26" s="12" customFormat="1" x14ac:dyDescent="0.25">
      <c r="A81" s="214" t="s">
        <v>1088</v>
      </c>
      <c r="B81" s="64">
        <v>24.34</v>
      </c>
      <c r="C81" s="64">
        <v>55.72</v>
      </c>
      <c r="D81" s="64">
        <v>50.92</v>
      </c>
      <c r="E81" s="64">
        <v>1.1200000000000001</v>
      </c>
      <c r="F81" s="64">
        <v>4.03</v>
      </c>
      <c r="G81" s="64">
        <v>127.43</v>
      </c>
      <c r="H81" s="64">
        <v>23.32</v>
      </c>
      <c r="I81" s="64">
        <v>1.52</v>
      </c>
      <c r="J81" s="64">
        <v>0.13</v>
      </c>
      <c r="K81" s="64">
        <v>356.02</v>
      </c>
      <c r="L81" s="64">
        <v>20.399999999999999</v>
      </c>
      <c r="M81" s="64">
        <v>61.63</v>
      </c>
      <c r="N81" s="64">
        <v>22.6</v>
      </c>
      <c r="O81" s="64">
        <v>0</v>
      </c>
      <c r="P81" s="64">
        <v>1.86</v>
      </c>
      <c r="Q81" s="64">
        <v>0.05</v>
      </c>
      <c r="R81" s="198"/>
      <c r="S81" s="198"/>
      <c r="T81" s="198"/>
      <c r="U81" s="198"/>
    </row>
    <row r="82" spans="1:26" s="12" customFormat="1" x14ac:dyDescent="0.25">
      <c r="A82" s="214" t="s">
        <v>1089</v>
      </c>
      <c r="B82" s="64">
        <v>27.79</v>
      </c>
      <c r="C82" s="64">
        <v>54.85</v>
      </c>
      <c r="D82" s="64">
        <v>53.2</v>
      </c>
      <c r="E82" s="64">
        <v>0.95</v>
      </c>
      <c r="F82" s="64">
        <v>3.54</v>
      </c>
      <c r="G82" s="64">
        <v>127.43</v>
      </c>
      <c r="H82" s="64">
        <v>23.32</v>
      </c>
      <c r="I82" s="64">
        <v>1.54</v>
      </c>
      <c r="J82" s="64">
        <v>0.13</v>
      </c>
      <c r="K82" s="64">
        <v>351.02</v>
      </c>
      <c r="L82" s="64">
        <v>20.12</v>
      </c>
      <c r="M82" s="64">
        <v>60.52</v>
      </c>
      <c r="N82" s="64">
        <v>22.3</v>
      </c>
      <c r="O82" s="64">
        <v>0</v>
      </c>
      <c r="P82" s="64">
        <v>1.81</v>
      </c>
      <c r="Q82" s="64">
        <v>0.04</v>
      </c>
      <c r="R82" s="198"/>
      <c r="S82" s="198"/>
      <c r="T82" s="198"/>
      <c r="U82" s="198"/>
    </row>
    <row r="83" spans="1:26" s="12" customFormat="1" x14ac:dyDescent="0.25">
      <c r="A83" s="214" t="s">
        <v>1090</v>
      </c>
      <c r="B83" s="64">
        <v>31.09</v>
      </c>
      <c r="C83" s="64">
        <v>54.39</v>
      </c>
      <c r="D83" s="64">
        <v>55.6</v>
      </c>
      <c r="E83" s="64">
        <v>0.96</v>
      </c>
      <c r="F83" s="64">
        <v>3.71</v>
      </c>
      <c r="G83" s="64">
        <v>142.38</v>
      </c>
      <c r="H83" s="64">
        <v>28.42</v>
      </c>
      <c r="I83" s="64">
        <v>1.52</v>
      </c>
      <c r="J83" s="64">
        <v>0.22</v>
      </c>
      <c r="K83" s="64">
        <v>346.37</v>
      </c>
      <c r="L83" s="64">
        <v>19.989999999999998</v>
      </c>
      <c r="M83" s="64">
        <v>59.93</v>
      </c>
      <c r="N83" s="64">
        <v>22.4</v>
      </c>
      <c r="O83" s="64">
        <v>0</v>
      </c>
      <c r="P83" s="64">
        <v>1.93</v>
      </c>
      <c r="Q83" s="64">
        <v>0</v>
      </c>
      <c r="R83" s="198"/>
      <c r="S83" s="198"/>
      <c r="T83" s="198"/>
      <c r="U83" s="198"/>
    </row>
    <row r="84" spans="1:26" s="12" customFormat="1" x14ac:dyDescent="0.25">
      <c r="A84" s="214" t="s">
        <v>1091</v>
      </c>
      <c r="B84" s="64">
        <v>33.46</v>
      </c>
      <c r="C84" s="64">
        <v>54.17</v>
      </c>
      <c r="D84" s="64">
        <v>57.37</v>
      </c>
      <c r="E84" s="64">
        <v>0.9</v>
      </c>
      <c r="F84" s="64">
        <v>3.94</v>
      </c>
      <c r="G84" s="64">
        <v>198.24</v>
      </c>
      <c r="H84" s="64">
        <v>42.31</v>
      </c>
      <c r="I84" s="64">
        <v>1.47</v>
      </c>
      <c r="J84" s="64">
        <v>0.09</v>
      </c>
      <c r="K84" s="64">
        <v>72.78</v>
      </c>
      <c r="L84" s="64">
        <v>19.75</v>
      </c>
      <c r="M84" s="64">
        <v>61.03</v>
      </c>
      <c r="N84" s="64">
        <v>22.4</v>
      </c>
      <c r="O84" s="64">
        <v>0</v>
      </c>
      <c r="P84" s="64">
        <v>1.96</v>
      </c>
      <c r="Q84" s="64">
        <v>1.0900000000000001</v>
      </c>
      <c r="R84" s="198"/>
      <c r="S84" s="198"/>
      <c r="T84" s="198"/>
      <c r="U84" s="198"/>
    </row>
    <row r="85" spans="1:26" s="12" customFormat="1" x14ac:dyDescent="0.25">
      <c r="A85" s="214" t="s">
        <v>1092</v>
      </c>
      <c r="B85" s="64">
        <v>35.83</v>
      </c>
      <c r="C85" s="64">
        <v>53.91</v>
      </c>
      <c r="D85" s="64">
        <v>59.13</v>
      </c>
      <c r="E85" s="64">
        <v>0.94</v>
      </c>
      <c r="F85" s="64">
        <v>3.83</v>
      </c>
      <c r="G85" s="64">
        <v>198.24</v>
      </c>
      <c r="H85" s="64">
        <v>42.31</v>
      </c>
      <c r="I85" s="64">
        <v>1.52</v>
      </c>
      <c r="J85" s="64">
        <v>0.04</v>
      </c>
      <c r="K85" s="64">
        <v>9.26</v>
      </c>
      <c r="L85" s="64">
        <v>19.3</v>
      </c>
      <c r="M85" s="64">
        <v>64.760000000000005</v>
      </c>
      <c r="N85" s="64">
        <v>22.3</v>
      </c>
      <c r="O85" s="64">
        <v>0</v>
      </c>
      <c r="P85" s="64">
        <v>2.11</v>
      </c>
      <c r="Q85" s="64">
        <v>0.15</v>
      </c>
      <c r="R85" s="198"/>
      <c r="S85" s="198"/>
      <c r="T85" s="198"/>
      <c r="U85" s="198"/>
    </row>
    <row r="86" spans="1:26" s="12" customFormat="1" x14ac:dyDescent="0.25">
      <c r="A86" s="214" t="s">
        <v>1093</v>
      </c>
      <c r="B86" s="64">
        <v>39.04</v>
      </c>
      <c r="C86" s="64">
        <v>53.93</v>
      </c>
      <c r="D86" s="64">
        <v>61.72</v>
      </c>
      <c r="E86" s="64">
        <v>0.91</v>
      </c>
      <c r="F86" s="64">
        <v>3.75</v>
      </c>
      <c r="G86" s="64">
        <v>198.24</v>
      </c>
      <c r="H86" s="64">
        <v>42.31</v>
      </c>
      <c r="I86" s="64">
        <v>1.52</v>
      </c>
      <c r="J86" s="64">
        <v>0.2</v>
      </c>
      <c r="K86" s="64">
        <v>84.16</v>
      </c>
      <c r="L86" s="64">
        <v>19.100000000000001</v>
      </c>
      <c r="M86" s="64">
        <v>64.87</v>
      </c>
      <c r="N86" s="64">
        <v>22</v>
      </c>
      <c r="O86" s="64">
        <v>0</v>
      </c>
      <c r="P86" s="64">
        <v>2.0099999999999998</v>
      </c>
      <c r="Q86" s="64">
        <v>1.59</v>
      </c>
      <c r="R86" s="198"/>
      <c r="S86" s="198"/>
      <c r="T86" s="198"/>
      <c r="U86" s="198"/>
    </row>
    <row r="87" spans="1:26" s="12" customFormat="1" x14ac:dyDescent="0.25">
      <c r="A87" s="214" t="s">
        <v>1094</v>
      </c>
      <c r="B87" s="64">
        <v>42.64</v>
      </c>
      <c r="C87" s="64">
        <v>52.47</v>
      </c>
      <c r="D87" s="64">
        <v>63.79</v>
      </c>
      <c r="E87" s="64">
        <v>0.68</v>
      </c>
      <c r="F87" s="64">
        <v>5.04</v>
      </c>
      <c r="G87" s="64">
        <v>194.52</v>
      </c>
      <c r="H87" s="64">
        <v>46</v>
      </c>
      <c r="I87" s="64">
        <v>1.61</v>
      </c>
      <c r="J87" s="64">
        <v>0.1</v>
      </c>
      <c r="K87" s="64">
        <v>63.64</v>
      </c>
      <c r="L87" s="64">
        <v>19.09</v>
      </c>
      <c r="M87" s="64">
        <v>66.78</v>
      </c>
      <c r="N87" s="64">
        <v>22.1</v>
      </c>
      <c r="O87" s="64">
        <v>0</v>
      </c>
      <c r="P87" s="64">
        <v>1.96</v>
      </c>
      <c r="Q87" s="64">
        <v>3.26</v>
      </c>
      <c r="R87" s="198"/>
      <c r="S87" s="198"/>
      <c r="T87" s="198"/>
      <c r="U87" s="198"/>
    </row>
    <row r="88" spans="1:26" s="12" customFormat="1" x14ac:dyDescent="0.25">
      <c r="A88" s="214" t="s">
        <v>1095</v>
      </c>
      <c r="B88" s="64">
        <v>46.63</v>
      </c>
      <c r="C88" s="64">
        <v>53.4</v>
      </c>
      <c r="D88" s="64">
        <v>67.510000000000005</v>
      </c>
      <c r="E88" s="64">
        <v>0.37</v>
      </c>
      <c r="F88" s="64">
        <v>3.9</v>
      </c>
      <c r="G88" s="64">
        <v>180.58</v>
      </c>
      <c r="H88" s="64">
        <v>56.05</v>
      </c>
      <c r="I88" s="64">
        <v>1.56</v>
      </c>
      <c r="J88" s="64">
        <v>0.16</v>
      </c>
      <c r="K88" s="64">
        <v>92.23</v>
      </c>
      <c r="L88" s="64">
        <v>18.87</v>
      </c>
      <c r="M88" s="64">
        <v>67.05</v>
      </c>
      <c r="N88" s="64">
        <v>22</v>
      </c>
      <c r="O88" s="64">
        <v>0</v>
      </c>
      <c r="P88" s="64">
        <v>2.31</v>
      </c>
      <c r="Q88" s="64">
        <v>2.82</v>
      </c>
      <c r="R88" s="198"/>
      <c r="S88" s="198"/>
      <c r="T88" s="198"/>
      <c r="U88" s="198"/>
    </row>
    <row r="89" spans="1:26" s="12" customFormat="1" x14ac:dyDescent="0.25">
      <c r="A89" s="214" t="s">
        <v>1096</v>
      </c>
      <c r="B89" s="64">
        <v>49.09</v>
      </c>
      <c r="C89" s="64">
        <v>53.71</v>
      </c>
      <c r="D89" s="64">
        <v>69.66</v>
      </c>
      <c r="E89" s="64">
        <v>0.66</v>
      </c>
      <c r="F89" s="64">
        <v>4.28</v>
      </c>
      <c r="G89" s="64">
        <v>180.58</v>
      </c>
      <c r="H89" s="64">
        <v>56.05</v>
      </c>
      <c r="I89" s="64">
        <v>1.49</v>
      </c>
      <c r="J89" s="64">
        <v>0.11</v>
      </c>
      <c r="K89" s="64">
        <v>67.98</v>
      </c>
      <c r="L89" s="64">
        <v>18.57</v>
      </c>
      <c r="M89" s="64">
        <v>68.42</v>
      </c>
      <c r="N89" s="64">
        <v>22.1</v>
      </c>
      <c r="O89" s="64">
        <v>0</v>
      </c>
      <c r="P89" s="64">
        <v>2.1</v>
      </c>
      <c r="Q89" s="64">
        <v>5.35</v>
      </c>
      <c r="R89" s="198"/>
      <c r="S89" s="198"/>
      <c r="T89" s="198"/>
      <c r="U89" s="198"/>
    </row>
    <row r="90" spans="1:26" s="12" customFormat="1" x14ac:dyDescent="0.25">
      <c r="A90" s="214" t="s">
        <v>1097</v>
      </c>
      <c r="B90" s="64">
        <v>50.62</v>
      </c>
      <c r="C90" s="64">
        <v>53.97</v>
      </c>
      <c r="D90" s="64">
        <v>71.02</v>
      </c>
      <c r="E90" s="64">
        <v>0.68</v>
      </c>
      <c r="F90" s="64">
        <v>3.5</v>
      </c>
      <c r="G90" s="64">
        <v>180.58</v>
      </c>
      <c r="H90" s="64">
        <v>56.05</v>
      </c>
      <c r="I90" s="64">
        <v>1.54</v>
      </c>
      <c r="J90" s="64">
        <v>0.04</v>
      </c>
      <c r="K90" s="64">
        <v>322.61</v>
      </c>
      <c r="L90" s="64">
        <v>18.14</v>
      </c>
      <c r="M90" s="64">
        <v>73.55</v>
      </c>
      <c r="N90" s="64">
        <v>22.1</v>
      </c>
      <c r="O90" s="64">
        <v>0</v>
      </c>
      <c r="P90" s="64">
        <v>2.33</v>
      </c>
      <c r="Q90" s="64">
        <v>5.04</v>
      </c>
      <c r="R90" s="198"/>
      <c r="S90" s="198"/>
      <c r="T90" s="198"/>
      <c r="U90" s="198"/>
    </row>
    <row r="91" spans="1:26" s="12" customFormat="1" x14ac:dyDescent="0.25">
      <c r="A91" s="214" t="s">
        <v>1098</v>
      </c>
      <c r="B91" s="64">
        <v>52.71</v>
      </c>
      <c r="C91" s="64">
        <v>53.61</v>
      </c>
      <c r="D91" s="64">
        <v>72.5</v>
      </c>
      <c r="E91" s="64">
        <v>0.73</v>
      </c>
      <c r="F91" s="64">
        <v>3.87</v>
      </c>
      <c r="G91" s="64">
        <v>173.84</v>
      </c>
      <c r="H91" s="64">
        <v>55.68</v>
      </c>
      <c r="I91" s="64">
        <v>1.49</v>
      </c>
      <c r="J91" s="64">
        <v>0.1</v>
      </c>
      <c r="K91" s="64">
        <v>92.86</v>
      </c>
      <c r="L91" s="64">
        <v>18.11</v>
      </c>
      <c r="M91" s="64">
        <v>68.64</v>
      </c>
      <c r="N91" s="64">
        <v>21.8</v>
      </c>
      <c r="O91" s="64">
        <v>0</v>
      </c>
      <c r="P91" s="64">
        <v>2.09</v>
      </c>
      <c r="Q91" s="64">
        <v>4.47</v>
      </c>
      <c r="R91" s="198"/>
      <c r="S91" s="198"/>
      <c r="T91" s="198"/>
      <c r="U91" s="198"/>
    </row>
    <row r="92" spans="1:26" s="12" customFormat="1" x14ac:dyDescent="0.25">
      <c r="A92" s="214" t="s">
        <v>1099</v>
      </c>
      <c r="B92" s="64">
        <v>54.18</v>
      </c>
      <c r="C92" s="64">
        <v>54.33</v>
      </c>
      <c r="D92" s="64">
        <v>74.069999999999993</v>
      </c>
      <c r="E92" s="64">
        <v>0.63</v>
      </c>
      <c r="F92" s="64">
        <v>3.42</v>
      </c>
      <c r="G92" s="64">
        <v>146.87</v>
      </c>
      <c r="H92" s="64">
        <v>54.01</v>
      </c>
      <c r="I92" s="64">
        <v>1.61</v>
      </c>
      <c r="J92" s="64">
        <v>0.04</v>
      </c>
      <c r="K92" s="64">
        <v>114.15</v>
      </c>
      <c r="L92" s="64">
        <v>17.86</v>
      </c>
      <c r="M92" s="64">
        <v>71.66</v>
      </c>
      <c r="N92" s="64">
        <v>22.1</v>
      </c>
      <c r="O92" s="64">
        <v>0</v>
      </c>
      <c r="P92" s="64">
        <v>1.96</v>
      </c>
      <c r="Q92" s="64">
        <v>4.68</v>
      </c>
      <c r="R92" s="198"/>
      <c r="S92" s="198"/>
      <c r="T92" s="198"/>
      <c r="U92" s="198"/>
    </row>
    <row r="93" spans="1:26" s="12" customFormat="1" x14ac:dyDescent="0.25">
      <c r="A93" s="214" t="s">
        <v>1100</v>
      </c>
      <c r="B93" s="64">
        <v>58.26</v>
      </c>
      <c r="C93" s="64">
        <v>53.97</v>
      </c>
      <c r="D93" s="64">
        <v>77.150000000000006</v>
      </c>
      <c r="E93" s="64">
        <v>0.74</v>
      </c>
      <c r="F93" s="64">
        <v>3.4</v>
      </c>
      <c r="G93" s="64">
        <v>146.87</v>
      </c>
      <c r="H93" s="64">
        <v>54.01</v>
      </c>
      <c r="I93" s="64">
        <v>1.48</v>
      </c>
      <c r="J93" s="64">
        <v>7.0000000000000007E-2</v>
      </c>
      <c r="K93" s="64">
        <v>274.89999999999998</v>
      </c>
      <c r="L93" s="64">
        <v>17.23</v>
      </c>
      <c r="M93" s="64">
        <v>81.93</v>
      </c>
      <c r="N93" s="64">
        <v>22.2</v>
      </c>
      <c r="O93" s="64">
        <v>0</v>
      </c>
      <c r="P93" s="64">
        <v>2.29</v>
      </c>
      <c r="Q93" s="64">
        <v>1.89</v>
      </c>
      <c r="R93" s="198"/>
      <c r="S93" s="198"/>
      <c r="T93" s="198"/>
      <c r="U93" s="198"/>
    </row>
    <row r="94" spans="1:26" s="12" customFormat="1" x14ac:dyDescent="0.25">
      <c r="A94" s="214" t="s">
        <v>1101</v>
      </c>
      <c r="B94" s="64">
        <v>65.86</v>
      </c>
      <c r="C94" s="64">
        <v>54.18</v>
      </c>
      <c r="D94" s="64">
        <v>83.36</v>
      </c>
      <c r="E94" s="64">
        <v>0.73</v>
      </c>
      <c r="F94" s="64">
        <v>3.34</v>
      </c>
      <c r="G94" s="64">
        <v>146.87</v>
      </c>
      <c r="H94" s="64">
        <v>54.01</v>
      </c>
      <c r="I94" s="64">
        <v>1.56</v>
      </c>
      <c r="J94" s="64">
        <v>0.11</v>
      </c>
      <c r="K94" s="64">
        <v>274.49</v>
      </c>
      <c r="L94" s="64">
        <v>16.71</v>
      </c>
      <c r="M94" s="64">
        <v>83.6</v>
      </c>
      <c r="N94" s="64">
        <v>22.1</v>
      </c>
      <c r="O94" s="64">
        <v>0</v>
      </c>
      <c r="P94" s="64">
        <v>2.72</v>
      </c>
      <c r="Q94" s="64">
        <v>2.2000000000000002</v>
      </c>
      <c r="R94" s="198"/>
      <c r="S94" s="198"/>
      <c r="T94" s="198"/>
      <c r="U94" s="198"/>
    </row>
    <row r="95" spans="1:26" s="12" customFormat="1" x14ac:dyDescent="0.25">
      <c r="A95" s="214" t="s">
        <v>1102</v>
      </c>
      <c r="B95" s="64">
        <v>73.2</v>
      </c>
      <c r="C95" s="64">
        <v>54.57</v>
      </c>
      <c r="D95" s="64">
        <v>89.47</v>
      </c>
      <c r="E95" s="64">
        <v>0.8</v>
      </c>
      <c r="F95" s="64">
        <v>5.19</v>
      </c>
      <c r="G95" s="64">
        <v>166.44</v>
      </c>
      <c r="H95" s="64">
        <v>54.41</v>
      </c>
      <c r="I95" s="64">
        <v>1.49</v>
      </c>
      <c r="J95" s="64">
        <v>0.04</v>
      </c>
      <c r="K95" s="64">
        <v>244.81</v>
      </c>
      <c r="L95" s="64">
        <v>16.440000000000001</v>
      </c>
      <c r="M95" s="64">
        <v>90.36</v>
      </c>
      <c r="N95" s="64">
        <v>22</v>
      </c>
      <c r="O95" s="64">
        <v>0</v>
      </c>
      <c r="P95" s="64">
        <v>2.76</v>
      </c>
      <c r="Q95" s="64">
        <v>3.28</v>
      </c>
      <c r="R95" s="198"/>
      <c r="S95" s="198"/>
      <c r="T95" s="198"/>
      <c r="U95" s="198"/>
    </row>
    <row r="96" spans="1:26" s="12" customFormat="1" x14ac:dyDescent="0.25">
      <c r="A96" s="214" t="s">
        <v>1103</v>
      </c>
      <c r="B96" s="64">
        <v>77.900000000000006</v>
      </c>
      <c r="C96" s="64">
        <v>54.33</v>
      </c>
      <c r="D96" s="64">
        <v>93.1</v>
      </c>
      <c r="E96" s="64">
        <v>0.75</v>
      </c>
      <c r="F96" s="64">
        <v>3.88</v>
      </c>
      <c r="G96" s="64">
        <v>239.57</v>
      </c>
      <c r="H96" s="64">
        <v>55.5</v>
      </c>
      <c r="I96" s="64">
        <v>1.46</v>
      </c>
      <c r="J96" s="64">
        <v>0.03</v>
      </c>
      <c r="K96" s="64">
        <v>51.83</v>
      </c>
      <c r="L96" s="64">
        <v>16.32</v>
      </c>
      <c r="M96" s="64">
        <v>88.81</v>
      </c>
      <c r="N96" s="64">
        <v>22</v>
      </c>
      <c r="O96" s="64">
        <v>0</v>
      </c>
      <c r="P96" s="64">
        <v>2.4900000000000002</v>
      </c>
      <c r="Q96" s="64">
        <v>4.68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1104</v>
      </c>
      <c r="B97" s="64">
        <v>81.42</v>
      </c>
      <c r="C97" s="64">
        <v>53.77</v>
      </c>
      <c r="D97" s="64">
        <v>95.61</v>
      </c>
      <c r="E97" s="64">
        <v>0.75</v>
      </c>
      <c r="F97" s="64">
        <v>2.98</v>
      </c>
      <c r="G97" s="64">
        <v>239.57</v>
      </c>
      <c r="H97" s="64">
        <v>55.5</v>
      </c>
      <c r="I97" s="64">
        <v>1.43</v>
      </c>
      <c r="J97" s="64">
        <v>0.08</v>
      </c>
      <c r="K97" s="64">
        <v>73.39</v>
      </c>
      <c r="L97" s="64">
        <v>16.29</v>
      </c>
      <c r="M97" s="64">
        <v>88.43</v>
      </c>
      <c r="N97" s="64">
        <v>21.9</v>
      </c>
      <c r="O97" s="64">
        <v>0</v>
      </c>
      <c r="P97" s="64">
        <v>2.2200000000000002</v>
      </c>
      <c r="Q97" s="64">
        <v>6.02</v>
      </c>
      <c r="R97" s="198"/>
      <c r="S97" s="198"/>
      <c r="T97" s="198"/>
      <c r="U97" s="198"/>
    </row>
    <row r="98" spans="1:33" s="12" customFormat="1" x14ac:dyDescent="0.25">
      <c r="A98" s="214" t="s">
        <v>1105</v>
      </c>
      <c r="B98" s="64">
        <v>84.34</v>
      </c>
      <c r="C98" s="64">
        <v>53.09</v>
      </c>
      <c r="D98" s="64">
        <v>97.58</v>
      </c>
      <c r="E98" s="64">
        <v>0.71</v>
      </c>
      <c r="F98" s="64">
        <v>3.06</v>
      </c>
      <c r="G98" s="64">
        <v>239.57</v>
      </c>
      <c r="H98" s="64">
        <v>55.5</v>
      </c>
      <c r="I98" s="64">
        <v>1.5</v>
      </c>
      <c r="J98" s="64">
        <v>0.11</v>
      </c>
      <c r="K98" s="64">
        <v>59.19</v>
      </c>
      <c r="L98" s="64">
        <v>16.420000000000002</v>
      </c>
      <c r="M98" s="64">
        <v>89.68</v>
      </c>
      <c r="N98" s="64">
        <v>21.7</v>
      </c>
      <c r="O98" s="64">
        <v>0</v>
      </c>
      <c r="P98" s="64">
        <v>2.29</v>
      </c>
      <c r="Q98" s="64">
        <v>6.26</v>
      </c>
      <c r="R98" s="198"/>
      <c r="S98" s="198"/>
      <c r="T98" s="198"/>
      <c r="U98" s="198"/>
    </row>
    <row r="99" spans="1:33" s="12" customFormat="1" x14ac:dyDescent="0.25">
      <c r="A99" s="214" t="s">
        <v>1106</v>
      </c>
      <c r="B99" s="64">
        <v>87.52</v>
      </c>
      <c r="C99" s="64">
        <v>52.66</v>
      </c>
      <c r="D99" s="64">
        <v>99.89</v>
      </c>
      <c r="E99" s="64">
        <v>0.74</v>
      </c>
      <c r="F99" s="64">
        <v>3.08</v>
      </c>
      <c r="G99" s="64">
        <v>238.56</v>
      </c>
      <c r="H99" s="64">
        <v>51.26</v>
      </c>
      <c r="I99" s="64">
        <v>1.49</v>
      </c>
      <c r="J99" s="64">
        <v>0.22</v>
      </c>
      <c r="K99" s="64">
        <v>346.42</v>
      </c>
      <c r="L99" s="64">
        <v>16.16</v>
      </c>
      <c r="M99" s="64">
        <v>87.12</v>
      </c>
      <c r="N99" s="64">
        <v>21.3</v>
      </c>
      <c r="O99" s="64">
        <v>0</v>
      </c>
      <c r="P99" s="64">
        <v>2.0099999999999998</v>
      </c>
      <c r="Q99" s="64">
        <v>5.79</v>
      </c>
      <c r="R99" s="198"/>
      <c r="S99" s="198"/>
      <c r="T99" s="198"/>
      <c r="U99" s="198"/>
    </row>
    <row r="100" spans="1:33" s="12" customFormat="1" x14ac:dyDescent="0.25">
      <c r="A100" s="214" t="s">
        <v>1107</v>
      </c>
      <c r="B100" s="64">
        <v>87.94</v>
      </c>
      <c r="C100" s="64">
        <v>52.33</v>
      </c>
      <c r="D100" s="64">
        <v>100.05</v>
      </c>
      <c r="E100" s="64">
        <v>0.64</v>
      </c>
      <c r="F100" s="64">
        <v>3.28</v>
      </c>
      <c r="G100" s="64">
        <v>234.75</v>
      </c>
      <c r="H100" s="64">
        <v>39.72</v>
      </c>
      <c r="I100" s="64">
        <v>1.57</v>
      </c>
      <c r="J100" s="64">
        <v>0.08</v>
      </c>
      <c r="K100" s="64">
        <v>7.37</v>
      </c>
      <c r="L100" s="64">
        <v>16.28</v>
      </c>
      <c r="M100" s="64">
        <v>82.14</v>
      </c>
      <c r="N100" s="64">
        <v>21.8</v>
      </c>
      <c r="O100" s="64">
        <v>0</v>
      </c>
      <c r="P100" s="64">
        <v>1.6</v>
      </c>
      <c r="Q100" s="64">
        <v>10.63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1108</v>
      </c>
      <c r="B101" s="64">
        <v>86.42</v>
      </c>
      <c r="C101" s="64">
        <v>53</v>
      </c>
      <c r="D101" s="64">
        <v>99.2</v>
      </c>
      <c r="E101" s="64">
        <v>0.56999999999999995</v>
      </c>
      <c r="F101" s="64">
        <v>3.1</v>
      </c>
      <c r="G101" s="64">
        <v>234.75</v>
      </c>
      <c r="H101" s="64">
        <v>39.72</v>
      </c>
      <c r="I101" s="64">
        <v>1.44</v>
      </c>
      <c r="J101" s="64">
        <v>0.01</v>
      </c>
      <c r="K101" s="64">
        <v>327.47000000000003</v>
      </c>
      <c r="L101" s="64">
        <v>16.32</v>
      </c>
      <c r="M101" s="64">
        <v>81.5</v>
      </c>
      <c r="N101" s="64">
        <v>22</v>
      </c>
      <c r="O101" s="64">
        <v>0</v>
      </c>
      <c r="P101" s="64">
        <v>1.42</v>
      </c>
      <c r="Q101" s="64">
        <v>12.68</v>
      </c>
      <c r="R101" s="198"/>
      <c r="S101" s="198"/>
      <c r="T101" s="198"/>
      <c r="U101" s="198"/>
    </row>
    <row r="102" spans="1:33" s="12" customFormat="1" x14ac:dyDescent="0.25">
      <c r="A102" s="214" t="s">
        <v>1109</v>
      </c>
      <c r="B102" s="64">
        <v>84.75</v>
      </c>
      <c r="C102" s="64">
        <v>52.74</v>
      </c>
      <c r="D102" s="64">
        <v>97.71</v>
      </c>
      <c r="E102" s="64">
        <v>0.65</v>
      </c>
      <c r="F102" s="64">
        <v>2.54</v>
      </c>
      <c r="G102" s="64">
        <v>234.75</v>
      </c>
      <c r="H102" s="64">
        <v>39.72</v>
      </c>
      <c r="I102" s="64">
        <v>1.49</v>
      </c>
      <c r="J102" s="64">
        <v>0.08</v>
      </c>
      <c r="K102" s="64">
        <v>126.26</v>
      </c>
      <c r="L102" s="64">
        <v>15.98</v>
      </c>
      <c r="M102" s="64">
        <v>85.71</v>
      </c>
      <c r="N102" s="64">
        <v>22</v>
      </c>
      <c r="O102" s="64">
        <v>0</v>
      </c>
      <c r="P102" s="64">
        <v>1.34</v>
      </c>
      <c r="Q102" s="64">
        <v>12.7</v>
      </c>
      <c r="R102" s="198"/>
      <c r="S102" s="198"/>
      <c r="T102" s="198"/>
      <c r="U102" s="198"/>
    </row>
    <row r="103" spans="1:33" s="12" customFormat="1" x14ac:dyDescent="0.25">
      <c r="A103" s="214" t="s">
        <v>1110</v>
      </c>
      <c r="B103" s="64">
        <v>83.87</v>
      </c>
      <c r="C103" s="64">
        <v>52.57</v>
      </c>
      <c r="D103" s="64">
        <v>96.92</v>
      </c>
      <c r="E103" s="64">
        <v>0.68</v>
      </c>
      <c r="F103" s="64">
        <v>3.31</v>
      </c>
      <c r="G103" s="64">
        <v>222.89</v>
      </c>
      <c r="H103" s="64">
        <v>35.229999999999997</v>
      </c>
      <c r="I103" s="64">
        <v>1.51</v>
      </c>
      <c r="J103" s="64">
        <v>0.1</v>
      </c>
      <c r="K103" s="64">
        <v>64.66</v>
      </c>
      <c r="L103" s="64">
        <v>15.95</v>
      </c>
      <c r="M103" s="64">
        <v>85.04</v>
      </c>
      <c r="N103" s="64">
        <v>21.6</v>
      </c>
      <c r="O103" s="64">
        <v>0</v>
      </c>
      <c r="P103" s="64">
        <v>1.5</v>
      </c>
      <c r="Q103" s="64">
        <v>10.130000000000001</v>
      </c>
      <c r="R103" s="198"/>
      <c r="S103" s="198"/>
      <c r="T103" s="198"/>
      <c r="U103" s="198"/>
    </row>
    <row r="104" spans="1:33" s="12" customFormat="1" x14ac:dyDescent="0.25">
      <c r="A104" s="214" t="s">
        <v>1111</v>
      </c>
      <c r="B104" s="64">
        <v>84.25</v>
      </c>
      <c r="C104" s="64">
        <v>52.5</v>
      </c>
      <c r="D104" s="64">
        <v>97.18</v>
      </c>
      <c r="E104" s="64">
        <v>0.28000000000000003</v>
      </c>
      <c r="F104" s="64">
        <v>3.43</v>
      </c>
      <c r="G104" s="64">
        <v>178.59</v>
      </c>
      <c r="H104" s="64">
        <v>23.04</v>
      </c>
      <c r="I104" s="64">
        <v>1.45</v>
      </c>
      <c r="J104" s="64">
        <v>0.01</v>
      </c>
      <c r="K104" s="64">
        <v>86.22</v>
      </c>
      <c r="L104" s="64">
        <v>16.18</v>
      </c>
      <c r="M104" s="64">
        <v>81.790000000000006</v>
      </c>
      <c r="N104" s="64">
        <v>22</v>
      </c>
      <c r="O104" s="64">
        <v>0</v>
      </c>
      <c r="P104" s="64">
        <v>1.37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5.03</v>
      </c>
      <c r="C106" s="67">
        <f>MIN(C9:C104)</f>
        <v>37.630000000000003</v>
      </c>
      <c r="D106" s="67">
        <f t="shared" ref="D106:Q106" si="0">MIN(D9:D104)</f>
        <v>31.2</v>
      </c>
      <c r="E106" s="67">
        <f t="shared" si="0"/>
        <v>0.27</v>
      </c>
      <c r="F106" s="67">
        <f t="shared" si="0"/>
        <v>2.54</v>
      </c>
      <c r="G106" s="67">
        <f t="shared" si="0"/>
        <v>43.3</v>
      </c>
      <c r="H106" s="67">
        <f t="shared" si="0"/>
        <v>10.3</v>
      </c>
      <c r="I106" s="67">
        <f t="shared" si="0"/>
        <v>1.37</v>
      </c>
      <c r="J106" s="67">
        <f t="shared" si="0"/>
        <v>0.01</v>
      </c>
      <c r="K106" s="67">
        <f t="shared" si="0"/>
        <v>4.63</v>
      </c>
      <c r="L106" s="67">
        <f t="shared" si="0"/>
        <v>14.66</v>
      </c>
      <c r="M106" s="67">
        <f t="shared" si="0"/>
        <v>35.979999999999997</v>
      </c>
      <c r="N106" s="67">
        <f t="shared" si="0"/>
        <v>20.7</v>
      </c>
      <c r="O106" s="67">
        <f t="shared" si="0"/>
        <v>0</v>
      </c>
      <c r="P106" s="67">
        <f t="shared" si="0"/>
        <v>0.38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87.94</v>
      </c>
      <c r="C107" s="66">
        <f t="shared" ref="C107:Q107" si="1">MAX(C9:C104)</f>
        <v>56.35</v>
      </c>
      <c r="D107" s="66">
        <f t="shared" si="1"/>
        <v>100.05</v>
      </c>
      <c r="E107" s="66">
        <f t="shared" si="1"/>
        <v>2.68</v>
      </c>
      <c r="F107" s="66">
        <f t="shared" si="1"/>
        <v>27.18</v>
      </c>
      <c r="G107" s="66">
        <f t="shared" si="1"/>
        <v>239.57</v>
      </c>
      <c r="H107" s="66">
        <f t="shared" si="1"/>
        <v>56.05</v>
      </c>
      <c r="I107" s="66">
        <f t="shared" si="1"/>
        <v>1.61</v>
      </c>
      <c r="J107" s="66">
        <f t="shared" si="1"/>
        <v>1.61</v>
      </c>
      <c r="K107" s="66">
        <f t="shared" si="1"/>
        <v>356.43</v>
      </c>
      <c r="L107" s="66">
        <f t="shared" si="1"/>
        <v>27.98</v>
      </c>
      <c r="M107" s="66">
        <f t="shared" si="1"/>
        <v>98.23</v>
      </c>
      <c r="N107" s="66">
        <f t="shared" si="1"/>
        <v>756.3</v>
      </c>
      <c r="O107" s="66">
        <f t="shared" si="1"/>
        <v>0</v>
      </c>
      <c r="P107" s="66">
        <f t="shared" si="1"/>
        <v>2.76</v>
      </c>
      <c r="Q107" s="66">
        <f t="shared" si="1"/>
        <v>12.7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31.620937500000011</v>
      </c>
      <c r="C108" s="67">
        <f t="shared" ref="C108:Q108" si="2">AVERAGE(C9:C104)</f>
        <v>46.988333333333316</v>
      </c>
      <c r="D108" s="67">
        <f t="shared" si="2"/>
        <v>51.935312500000009</v>
      </c>
      <c r="E108" s="67">
        <f t="shared" si="2"/>
        <v>0.74479166666666663</v>
      </c>
      <c r="F108" s="67">
        <f t="shared" si="2"/>
        <v>7.5912499999999978</v>
      </c>
      <c r="G108" s="67">
        <f t="shared" si="2"/>
        <v>94.509270833333332</v>
      </c>
      <c r="H108" s="67">
        <f t="shared" si="2"/>
        <v>31.170520833333342</v>
      </c>
      <c r="I108" s="67">
        <f t="shared" si="2"/>
        <v>1.5018750000000001</v>
      </c>
      <c r="J108" s="67">
        <f t="shared" si="2"/>
        <v>0.3966666666666665</v>
      </c>
      <c r="K108" s="67">
        <f t="shared" si="2"/>
        <v>236.58447916666663</v>
      </c>
      <c r="L108" s="67">
        <f t="shared" si="2"/>
        <v>19.799062499999998</v>
      </c>
      <c r="M108" s="67">
        <f t="shared" si="2"/>
        <v>74.483333333333363</v>
      </c>
      <c r="N108" s="67">
        <f t="shared" si="2"/>
        <v>158.82499999999996</v>
      </c>
      <c r="O108" s="67">
        <f t="shared" si="2"/>
        <v>0</v>
      </c>
      <c r="P108" s="67">
        <f t="shared" si="2"/>
        <v>1.0282291666666667</v>
      </c>
      <c r="Q108" s="67">
        <f t="shared" si="2"/>
        <v>4.9705208333333308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22.857335023466742</v>
      </c>
      <c r="C109" s="67">
        <f t="shared" ref="C109:Q109" si="3">STDEV(C9:C104)</f>
        <v>6.6532547898188685</v>
      </c>
      <c r="D109" s="67">
        <f t="shared" si="3"/>
        <v>19.433225425225491</v>
      </c>
      <c r="E109" s="67">
        <f t="shared" si="3"/>
        <v>0.42761266085009519</v>
      </c>
      <c r="F109" s="67">
        <f t="shared" si="3"/>
        <v>6.5490301813161276</v>
      </c>
      <c r="G109" s="67">
        <f t="shared" si="3"/>
        <v>61.333325847068792</v>
      </c>
      <c r="H109" s="67">
        <f t="shared" si="3"/>
        <v>13.94408219091272</v>
      </c>
      <c r="I109" s="67">
        <f t="shared" si="3"/>
        <v>4.6550764593189325E-2</v>
      </c>
      <c r="J109" s="67">
        <f t="shared" si="3"/>
        <v>0.43779270909912499</v>
      </c>
      <c r="K109" s="67">
        <f t="shared" si="3"/>
        <v>120.86415565349031</v>
      </c>
      <c r="L109" s="67">
        <f t="shared" si="3"/>
        <v>4.1244577514409073</v>
      </c>
      <c r="M109" s="67">
        <f t="shared" si="3"/>
        <v>21.943068377612033</v>
      </c>
      <c r="N109" s="67">
        <f t="shared" si="3"/>
        <v>223.91247397141598</v>
      </c>
      <c r="O109" s="67">
        <f t="shared" si="3"/>
        <v>0</v>
      </c>
      <c r="P109" s="67">
        <f t="shared" si="3"/>
        <v>0.64973354018829454</v>
      </c>
      <c r="Q109" s="67">
        <f t="shared" si="3"/>
        <v>2.6611403846715538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1112</v>
      </c>
      <c r="B9" s="64">
        <v>83.1</v>
      </c>
      <c r="C9" s="64">
        <v>52.18</v>
      </c>
      <c r="D9" s="64">
        <v>96.08</v>
      </c>
      <c r="E9" s="64">
        <v>0.69</v>
      </c>
      <c r="F9" s="64">
        <v>3.3</v>
      </c>
      <c r="G9" s="64">
        <v>178.59</v>
      </c>
      <c r="H9" s="64">
        <v>23.04</v>
      </c>
      <c r="I9" s="64">
        <v>1.56</v>
      </c>
      <c r="J9" s="64">
        <v>0.04</v>
      </c>
      <c r="K9" s="64">
        <v>42.41</v>
      </c>
      <c r="L9" s="64">
        <v>15.87</v>
      </c>
      <c r="M9" s="64">
        <v>83.23</v>
      </c>
      <c r="N9" s="64">
        <v>22.2</v>
      </c>
      <c r="O9" s="64">
        <v>0</v>
      </c>
      <c r="P9" s="64">
        <v>1.17</v>
      </c>
      <c r="Q9" s="64">
        <v>13.18</v>
      </c>
      <c r="R9" s="198"/>
      <c r="S9" s="198"/>
      <c r="T9" s="198"/>
      <c r="U9" s="198"/>
    </row>
    <row r="10" spans="1:21" s="12" customFormat="1" x14ac:dyDescent="0.25">
      <c r="A10" s="214" t="s">
        <v>1113</v>
      </c>
      <c r="B10" s="64">
        <v>81.09</v>
      </c>
      <c r="C10" s="64">
        <v>51.58</v>
      </c>
      <c r="D10" s="64">
        <v>94.14</v>
      </c>
      <c r="E10" s="64">
        <v>0.72</v>
      </c>
      <c r="F10" s="64">
        <v>3.49</v>
      </c>
      <c r="G10" s="64">
        <v>178.59</v>
      </c>
      <c r="H10" s="64">
        <v>23.04</v>
      </c>
      <c r="I10" s="64">
        <v>1.39</v>
      </c>
      <c r="J10" s="64">
        <v>0.02</v>
      </c>
      <c r="K10" s="64">
        <v>163.04</v>
      </c>
      <c r="L10" s="64">
        <v>15.45</v>
      </c>
      <c r="M10" s="64">
        <v>87.95</v>
      </c>
      <c r="N10" s="64">
        <v>22.1</v>
      </c>
      <c r="O10" s="64">
        <v>0</v>
      </c>
      <c r="P10" s="64">
        <v>1.23</v>
      </c>
      <c r="Q10" s="64">
        <v>13.54</v>
      </c>
      <c r="R10" s="198"/>
      <c r="S10" s="198"/>
      <c r="T10" s="198"/>
      <c r="U10" s="198"/>
    </row>
    <row r="11" spans="1:21" s="12" customFormat="1" x14ac:dyDescent="0.25">
      <c r="A11" s="214" t="s">
        <v>1114</v>
      </c>
      <c r="B11" s="64">
        <v>79.73</v>
      </c>
      <c r="C11" s="64">
        <v>51.59</v>
      </c>
      <c r="D11" s="64">
        <v>93.06</v>
      </c>
      <c r="E11" s="64">
        <v>0.63</v>
      </c>
      <c r="F11" s="64">
        <v>3.13</v>
      </c>
      <c r="G11" s="64">
        <v>181.75</v>
      </c>
      <c r="H11" s="64">
        <v>23.04</v>
      </c>
      <c r="I11" s="64">
        <v>1.55</v>
      </c>
      <c r="J11" s="64">
        <v>0.06</v>
      </c>
      <c r="K11" s="64">
        <v>299.94</v>
      </c>
      <c r="L11" s="64">
        <v>15.36</v>
      </c>
      <c r="M11" s="64">
        <v>92.18</v>
      </c>
      <c r="N11" s="64">
        <v>22</v>
      </c>
      <c r="O11" s="64">
        <v>0</v>
      </c>
      <c r="P11" s="64">
        <v>1.29</v>
      </c>
      <c r="Q11" s="64">
        <v>12.06</v>
      </c>
      <c r="R11" s="198"/>
      <c r="S11" s="198"/>
      <c r="T11" s="198"/>
      <c r="U11" s="198"/>
    </row>
    <row r="12" spans="1:21" s="12" customFormat="1" x14ac:dyDescent="0.25">
      <c r="A12" s="214" t="s">
        <v>1115</v>
      </c>
      <c r="B12" s="64">
        <v>78.790000000000006</v>
      </c>
      <c r="C12" s="64">
        <v>50.76</v>
      </c>
      <c r="D12" s="64">
        <v>91.84</v>
      </c>
      <c r="E12" s="64">
        <v>0.64</v>
      </c>
      <c r="F12" s="64">
        <v>3.25</v>
      </c>
      <c r="G12" s="64">
        <v>193.53</v>
      </c>
      <c r="H12" s="64">
        <v>228.8</v>
      </c>
      <c r="I12" s="64">
        <v>1.49</v>
      </c>
      <c r="J12" s="64">
        <v>0.1</v>
      </c>
      <c r="K12" s="64">
        <v>213.94</v>
      </c>
      <c r="L12" s="64">
        <v>15.37</v>
      </c>
      <c r="M12" s="64">
        <v>94.77</v>
      </c>
      <c r="N12" s="64">
        <v>21.7</v>
      </c>
      <c r="O12" s="64">
        <v>0</v>
      </c>
      <c r="P12" s="64">
        <v>1.34</v>
      </c>
      <c r="Q12" s="64">
        <v>11.04</v>
      </c>
      <c r="R12" s="198"/>
      <c r="S12" s="198"/>
      <c r="T12" s="198"/>
      <c r="U12" s="198"/>
    </row>
    <row r="13" spans="1:21" s="12" customFormat="1" x14ac:dyDescent="0.25">
      <c r="A13" s="214" t="s">
        <v>1116</v>
      </c>
      <c r="B13" s="64">
        <v>77.239999999999995</v>
      </c>
      <c r="C13" s="64">
        <v>50.19</v>
      </c>
      <c r="D13" s="64">
        <v>90.29</v>
      </c>
      <c r="E13" s="64">
        <v>0.61</v>
      </c>
      <c r="F13" s="64">
        <v>3.59</v>
      </c>
      <c r="G13" s="64">
        <v>193.53</v>
      </c>
      <c r="H13" s="64">
        <v>228.8</v>
      </c>
      <c r="I13" s="64">
        <v>1.46</v>
      </c>
      <c r="J13" s="64">
        <v>0.01</v>
      </c>
      <c r="K13" s="64">
        <v>33.22</v>
      </c>
      <c r="L13" s="64">
        <v>15.21</v>
      </c>
      <c r="M13" s="64">
        <v>96.17</v>
      </c>
      <c r="N13" s="64">
        <v>22</v>
      </c>
      <c r="O13" s="64">
        <v>0</v>
      </c>
      <c r="P13" s="64">
        <v>1.28</v>
      </c>
      <c r="Q13" s="64">
        <v>12.71</v>
      </c>
      <c r="R13" s="198"/>
      <c r="S13" s="198"/>
      <c r="T13" s="198"/>
      <c r="U13" s="198"/>
    </row>
    <row r="14" spans="1:21" s="12" customFormat="1" x14ac:dyDescent="0.25">
      <c r="A14" s="214" t="s">
        <v>1117</v>
      </c>
      <c r="B14" s="64">
        <v>75.59</v>
      </c>
      <c r="C14" s="64">
        <v>49.69</v>
      </c>
      <c r="D14" s="64">
        <v>88.69</v>
      </c>
      <c r="E14" s="64">
        <v>0.52</v>
      </c>
      <c r="F14" s="64">
        <v>3.25</v>
      </c>
      <c r="G14" s="64">
        <v>193.53</v>
      </c>
      <c r="H14" s="64">
        <v>228.8</v>
      </c>
      <c r="I14" s="64">
        <v>1.53</v>
      </c>
      <c r="J14" s="64">
        <v>0.16</v>
      </c>
      <c r="K14" s="64">
        <v>339.94</v>
      </c>
      <c r="L14" s="64">
        <v>14.92</v>
      </c>
      <c r="M14" s="64">
        <v>97.48</v>
      </c>
      <c r="N14" s="64">
        <v>21.9</v>
      </c>
      <c r="O14" s="64">
        <v>0</v>
      </c>
      <c r="P14" s="64">
        <v>1.34</v>
      </c>
      <c r="Q14" s="64">
        <v>12.7</v>
      </c>
      <c r="R14" s="198"/>
      <c r="S14" s="198"/>
      <c r="T14" s="198"/>
      <c r="U14" s="198"/>
    </row>
    <row r="15" spans="1:21" s="12" customFormat="1" x14ac:dyDescent="0.25">
      <c r="A15" s="214" t="s">
        <v>1118</v>
      </c>
      <c r="B15" s="64">
        <v>74.400000000000006</v>
      </c>
      <c r="C15" s="64">
        <v>49.3</v>
      </c>
      <c r="D15" s="64">
        <v>87.52</v>
      </c>
      <c r="E15" s="64">
        <v>0.51</v>
      </c>
      <c r="F15" s="64">
        <v>3.43</v>
      </c>
      <c r="G15" s="64">
        <v>191.04</v>
      </c>
      <c r="H15" s="64">
        <v>99.49</v>
      </c>
      <c r="I15" s="64">
        <v>1.44</v>
      </c>
      <c r="J15" s="64">
        <v>0.15</v>
      </c>
      <c r="K15" s="64">
        <v>3.63</v>
      </c>
      <c r="L15" s="64">
        <v>15.17</v>
      </c>
      <c r="M15" s="64">
        <v>89.24</v>
      </c>
      <c r="N15" s="64">
        <v>21.2</v>
      </c>
      <c r="O15" s="64">
        <v>0</v>
      </c>
      <c r="P15" s="64">
        <v>1.1200000000000001</v>
      </c>
      <c r="Q15" s="64">
        <v>12.62</v>
      </c>
      <c r="R15" s="198"/>
      <c r="S15" s="198"/>
      <c r="T15" s="198"/>
      <c r="U15" s="198"/>
    </row>
    <row r="16" spans="1:21" s="12" customFormat="1" x14ac:dyDescent="0.25">
      <c r="A16" s="214" t="s">
        <v>1119</v>
      </c>
      <c r="B16" s="64">
        <v>72.069999999999993</v>
      </c>
      <c r="C16" s="64">
        <v>49.4</v>
      </c>
      <c r="D16" s="64">
        <v>85.7</v>
      </c>
      <c r="E16" s="64">
        <v>0.47</v>
      </c>
      <c r="F16" s="64">
        <v>3.81</v>
      </c>
      <c r="G16" s="64">
        <v>181.07</v>
      </c>
      <c r="H16" s="64">
        <v>99.49</v>
      </c>
      <c r="I16" s="64">
        <v>1.58</v>
      </c>
      <c r="J16" s="64">
        <v>0.1</v>
      </c>
      <c r="K16" s="64">
        <v>356.25</v>
      </c>
      <c r="L16" s="64">
        <v>15.63</v>
      </c>
      <c r="M16" s="64">
        <v>81.98</v>
      </c>
      <c r="N16" s="64">
        <v>21.4</v>
      </c>
      <c r="O16" s="64">
        <v>0</v>
      </c>
      <c r="P16" s="64">
        <v>0.9</v>
      </c>
      <c r="Q16" s="64">
        <v>14.73</v>
      </c>
      <c r="R16" s="198"/>
      <c r="S16" s="198"/>
      <c r="T16" s="198"/>
      <c r="U16" s="198"/>
    </row>
    <row r="17" spans="1:21" s="12" customFormat="1" x14ac:dyDescent="0.25">
      <c r="A17" s="214" t="s">
        <v>1120</v>
      </c>
      <c r="B17" s="64">
        <v>68.989999999999995</v>
      </c>
      <c r="C17" s="64">
        <v>48.65</v>
      </c>
      <c r="D17" s="64">
        <v>82.82</v>
      </c>
      <c r="E17" s="64">
        <v>0.55000000000000004</v>
      </c>
      <c r="F17" s="64">
        <v>3.54</v>
      </c>
      <c r="G17" s="64">
        <v>181.07</v>
      </c>
      <c r="H17" s="64">
        <v>99.49</v>
      </c>
      <c r="I17" s="64">
        <v>1.51</v>
      </c>
      <c r="J17" s="64">
        <v>7.0000000000000007E-2</v>
      </c>
      <c r="K17" s="64">
        <v>86.9</v>
      </c>
      <c r="L17" s="64">
        <v>15.52</v>
      </c>
      <c r="M17" s="64">
        <v>81.05</v>
      </c>
      <c r="N17" s="64">
        <v>21.8</v>
      </c>
      <c r="O17" s="64">
        <v>0</v>
      </c>
      <c r="P17" s="64">
        <v>0.8</v>
      </c>
      <c r="Q17" s="64">
        <v>15.81</v>
      </c>
      <c r="R17" s="198"/>
      <c r="S17" s="198"/>
      <c r="T17" s="198"/>
      <c r="U17" s="198"/>
    </row>
    <row r="18" spans="1:21" s="12" customFormat="1" x14ac:dyDescent="0.25">
      <c r="A18" s="214" t="s">
        <v>1121</v>
      </c>
      <c r="B18" s="64">
        <v>65.599999999999994</v>
      </c>
      <c r="C18" s="64">
        <v>47.15</v>
      </c>
      <c r="D18" s="64">
        <v>79.27</v>
      </c>
      <c r="E18" s="64">
        <v>0.55000000000000004</v>
      </c>
      <c r="F18" s="64">
        <v>3.58</v>
      </c>
      <c r="G18" s="64">
        <v>181.07</v>
      </c>
      <c r="H18" s="64">
        <v>99.49</v>
      </c>
      <c r="I18" s="64">
        <v>1.51</v>
      </c>
      <c r="J18" s="64">
        <v>0.09</v>
      </c>
      <c r="K18" s="64">
        <v>15.03</v>
      </c>
      <c r="L18" s="64">
        <v>15.16</v>
      </c>
      <c r="M18" s="64">
        <v>85.51</v>
      </c>
      <c r="N18" s="64">
        <v>22.2</v>
      </c>
      <c r="O18" s="64">
        <v>0</v>
      </c>
      <c r="P18" s="64">
        <v>0.86</v>
      </c>
      <c r="Q18" s="64">
        <v>15.28</v>
      </c>
      <c r="R18" s="198"/>
      <c r="S18" s="198"/>
      <c r="T18" s="198"/>
      <c r="U18" s="198"/>
    </row>
    <row r="19" spans="1:21" s="12" customFormat="1" x14ac:dyDescent="0.25">
      <c r="A19" s="214" t="s">
        <v>1122</v>
      </c>
      <c r="B19" s="64">
        <v>62.51</v>
      </c>
      <c r="C19" s="64">
        <v>45.91</v>
      </c>
      <c r="D19" s="64">
        <v>76.11</v>
      </c>
      <c r="E19" s="64">
        <v>0.57999999999999996</v>
      </c>
      <c r="F19" s="64">
        <v>3.29</v>
      </c>
      <c r="G19" s="64">
        <v>175.19</v>
      </c>
      <c r="H19" s="64">
        <v>90.75</v>
      </c>
      <c r="I19" s="64">
        <v>1.52</v>
      </c>
      <c r="J19" s="64">
        <v>0.25</v>
      </c>
      <c r="K19" s="64">
        <v>89.27</v>
      </c>
      <c r="L19" s="64">
        <v>14.78</v>
      </c>
      <c r="M19" s="64">
        <v>90.32</v>
      </c>
      <c r="N19" s="64">
        <v>21.6</v>
      </c>
      <c r="O19" s="64">
        <v>0</v>
      </c>
      <c r="P19" s="64">
        <v>0.9</v>
      </c>
      <c r="Q19" s="64">
        <v>13.47</v>
      </c>
      <c r="R19" s="198"/>
      <c r="S19" s="198"/>
      <c r="T19" s="198"/>
      <c r="U19" s="198"/>
    </row>
    <row r="20" spans="1:21" s="12" customFormat="1" x14ac:dyDescent="0.25">
      <c r="A20" s="214" t="s">
        <v>1123</v>
      </c>
      <c r="B20" s="64">
        <v>59.68</v>
      </c>
      <c r="C20" s="64">
        <v>45.79</v>
      </c>
      <c r="D20" s="64">
        <v>73.78</v>
      </c>
      <c r="E20" s="64">
        <v>0.59</v>
      </c>
      <c r="F20" s="64">
        <v>3.4</v>
      </c>
      <c r="G20" s="64">
        <v>151.65</v>
      </c>
      <c r="H20" s="64">
        <v>66.959999999999994</v>
      </c>
      <c r="I20" s="64">
        <v>1.53</v>
      </c>
      <c r="J20" s="64">
        <v>0.14000000000000001</v>
      </c>
      <c r="K20" s="64">
        <v>65.81</v>
      </c>
      <c r="L20" s="64">
        <v>15.08</v>
      </c>
      <c r="M20" s="64">
        <v>85.31</v>
      </c>
      <c r="N20" s="64">
        <v>21.6</v>
      </c>
      <c r="O20" s="64">
        <v>0</v>
      </c>
      <c r="P20" s="64">
        <v>0.9</v>
      </c>
      <c r="Q20" s="64">
        <v>13.15</v>
      </c>
      <c r="R20" s="198"/>
      <c r="S20" s="198"/>
      <c r="T20" s="198"/>
      <c r="U20" s="198"/>
    </row>
    <row r="21" spans="1:21" s="12" customFormat="1" x14ac:dyDescent="0.25">
      <c r="A21" s="214" t="s">
        <v>1124</v>
      </c>
      <c r="B21" s="64">
        <v>56.83</v>
      </c>
      <c r="C21" s="64">
        <v>45.14</v>
      </c>
      <c r="D21" s="64">
        <v>71.13</v>
      </c>
      <c r="E21" s="64">
        <v>0.54</v>
      </c>
      <c r="F21" s="64">
        <v>3.41</v>
      </c>
      <c r="G21" s="64">
        <v>151.65</v>
      </c>
      <c r="H21" s="64">
        <v>66.959999999999994</v>
      </c>
      <c r="I21" s="64">
        <v>1.54</v>
      </c>
      <c r="J21" s="64">
        <v>0.04</v>
      </c>
      <c r="K21" s="64">
        <v>327.92</v>
      </c>
      <c r="L21" s="64">
        <v>14.55</v>
      </c>
      <c r="M21" s="64">
        <v>91.39</v>
      </c>
      <c r="N21" s="64">
        <v>22</v>
      </c>
      <c r="O21" s="64">
        <v>0</v>
      </c>
      <c r="P21" s="64">
        <v>0.9</v>
      </c>
      <c r="Q21" s="64">
        <v>12.38</v>
      </c>
      <c r="R21" s="198"/>
      <c r="S21" s="198"/>
      <c r="T21" s="198"/>
      <c r="U21" s="198"/>
    </row>
    <row r="22" spans="1:21" s="12" customFormat="1" x14ac:dyDescent="0.25">
      <c r="A22" s="214" t="s">
        <v>1125</v>
      </c>
      <c r="B22" s="64">
        <v>54.01</v>
      </c>
      <c r="C22" s="64">
        <v>44.85</v>
      </c>
      <c r="D22" s="64">
        <v>68.709999999999994</v>
      </c>
      <c r="E22" s="64">
        <v>0.43</v>
      </c>
      <c r="F22" s="64">
        <v>4.3899999999999997</v>
      </c>
      <c r="G22" s="64">
        <v>151.65</v>
      </c>
      <c r="H22" s="64">
        <v>66.959999999999994</v>
      </c>
      <c r="I22" s="64">
        <v>1.53</v>
      </c>
      <c r="J22" s="64">
        <v>0.12</v>
      </c>
      <c r="K22" s="64">
        <v>86.82</v>
      </c>
      <c r="L22" s="64">
        <v>14.85</v>
      </c>
      <c r="M22" s="64">
        <v>82.87</v>
      </c>
      <c r="N22" s="64">
        <v>21.3</v>
      </c>
      <c r="O22" s="64">
        <v>0</v>
      </c>
      <c r="P22" s="64">
        <v>0.79</v>
      </c>
      <c r="Q22" s="64">
        <v>12.01</v>
      </c>
      <c r="R22" s="198"/>
      <c r="S22" s="198"/>
      <c r="T22" s="198"/>
      <c r="U22" s="198"/>
    </row>
    <row r="23" spans="1:21" s="12" customFormat="1" x14ac:dyDescent="0.25">
      <c r="A23" s="214" t="s">
        <v>1126</v>
      </c>
      <c r="B23" s="64">
        <v>50.9</v>
      </c>
      <c r="C23" s="64">
        <v>44.3</v>
      </c>
      <c r="D23" s="64">
        <v>65.91</v>
      </c>
      <c r="E23" s="64">
        <v>0.38</v>
      </c>
      <c r="F23" s="64">
        <v>4.34</v>
      </c>
      <c r="G23" s="64">
        <v>143.69999999999999</v>
      </c>
      <c r="H23" s="64">
        <v>63.19</v>
      </c>
      <c r="I23" s="64">
        <v>1.48</v>
      </c>
      <c r="J23" s="64">
        <v>0.08</v>
      </c>
      <c r="K23" s="64">
        <v>60.29</v>
      </c>
      <c r="L23" s="64">
        <v>14.89</v>
      </c>
      <c r="M23" s="64">
        <v>81.19</v>
      </c>
      <c r="N23" s="64">
        <v>21.7</v>
      </c>
      <c r="O23" s="64">
        <v>0</v>
      </c>
      <c r="P23" s="64">
        <v>0.57999999999999996</v>
      </c>
      <c r="Q23" s="64">
        <v>12.16</v>
      </c>
      <c r="R23" s="198"/>
      <c r="S23" s="198"/>
      <c r="T23" s="198"/>
      <c r="U23" s="198"/>
    </row>
    <row r="24" spans="1:21" s="12" customFormat="1" x14ac:dyDescent="0.25">
      <c r="A24" s="214" t="s">
        <v>1127</v>
      </c>
      <c r="B24" s="64">
        <v>47.99</v>
      </c>
      <c r="C24" s="64">
        <v>44.03</v>
      </c>
      <c r="D24" s="64">
        <v>63.43</v>
      </c>
      <c r="E24" s="64">
        <v>0.2</v>
      </c>
      <c r="F24" s="64">
        <v>4.4000000000000004</v>
      </c>
      <c r="G24" s="64">
        <v>111.9</v>
      </c>
      <c r="H24" s="64">
        <v>52.92</v>
      </c>
      <c r="I24" s="64">
        <v>1.55</v>
      </c>
      <c r="J24" s="64">
        <v>0.1</v>
      </c>
      <c r="K24" s="64">
        <v>28.23</v>
      </c>
      <c r="L24" s="64">
        <v>14.72</v>
      </c>
      <c r="M24" s="64">
        <v>81.569999999999993</v>
      </c>
      <c r="N24" s="64">
        <v>21.5</v>
      </c>
      <c r="O24" s="64">
        <v>0</v>
      </c>
      <c r="P24" s="64">
        <v>0.52</v>
      </c>
      <c r="Q24" s="64">
        <v>11.43</v>
      </c>
      <c r="R24" s="198"/>
      <c r="S24" s="198"/>
      <c r="T24" s="198"/>
      <c r="U24" s="198"/>
    </row>
    <row r="25" spans="1:21" s="12" customFormat="1" x14ac:dyDescent="0.25">
      <c r="A25" s="214" t="s">
        <v>1128</v>
      </c>
      <c r="B25" s="64">
        <v>45.54</v>
      </c>
      <c r="C25" s="64">
        <v>43.61</v>
      </c>
      <c r="D25" s="64">
        <v>61.24</v>
      </c>
      <c r="E25" s="64">
        <v>0.34</v>
      </c>
      <c r="F25" s="64">
        <v>4.3</v>
      </c>
      <c r="G25" s="64">
        <v>111.9</v>
      </c>
      <c r="H25" s="64">
        <v>52.92</v>
      </c>
      <c r="I25" s="64">
        <v>1.56</v>
      </c>
      <c r="J25" s="64">
        <v>0.18</v>
      </c>
      <c r="K25" s="64">
        <v>343.68</v>
      </c>
      <c r="L25" s="64">
        <v>14.58</v>
      </c>
      <c r="M25" s="64">
        <v>84.39</v>
      </c>
      <c r="N25" s="64">
        <v>21.5</v>
      </c>
      <c r="O25" s="64">
        <v>0</v>
      </c>
      <c r="P25" s="64">
        <v>0.53</v>
      </c>
      <c r="Q25" s="64">
        <v>10.61</v>
      </c>
      <c r="R25" s="198"/>
      <c r="S25" s="198"/>
      <c r="T25" s="198"/>
      <c r="U25" s="198"/>
    </row>
    <row r="26" spans="1:21" s="12" customFormat="1" x14ac:dyDescent="0.25">
      <c r="A26" s="214" t="s">
        <v>1129</v>
      </c>
      <c r="B26" s="64">
        <v>43.64</v>
      </c>
      <c r="C26" s="64">
        <v>43.6</v>
      </c>
      <c r="D26" s="64">
        <v>59.7</v>
      </c>
      <c r="E26" s="64">
        <v>0.33</v>
      </c>
      <c r="F26" s="64">
        <v>4.16</v>
      </c>
      <c r="G26" s="64">
        <v>111.9</v>
      </c>
      <c r="H26" s="64">
        <v>52.92</v>
      </c>
      <c r="I26" s="64">
        <v>1.43</v>
      </c>
      <c r="J26" s="64">
        <v>0.05</v>
      </c>
      <c r="K26" s="64">
        <v>76.39</v>
      </c>
      <c r="L26" s="64">
        <v>14.57</v>
      </c>
      <c r="M26" s="64">
        <v>82.57</v>
      </c>
      <c r="N26" s="64">
        <v>21.6</v>
      </c>
      <c r="O26" s="64">
        <v>0</v>
      </c>
      <c r="P26" s="64">
        <v>0.53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1130</v>
      </c>
      <c r="B27" s="64">
        <v>41.45</v>
      </c>
      <c r="C27" s="64">
        <v>43.31</v>
      </c>
      <c r="D27" s="64">
        <v>57.79</v>
      </c>
      <c r="E27" s="64">
        <v>0.28999999999999998</v>
      </c>
      <c r="F27" s="64">
        <v>4.68</v>
      </c>
      <c r="G27" s="64">
        <v>105.55</v>
      </c>
      <c r="H27" s="64">
        <v>50.41</v>
      </c>
      <c r="I27" s="64">
        <v>1.52</v>
      </c>
      <c r="J27" s="64">
        <v>0.09</v>
      </c>
      <c r="K27" s="64">
        <v>83.26</v>
      </c>
      <c r="L27" s="64">
        <v>14.62</v>
      </c>
      <c r="M27" s="64">
        <v>82.12</v>
      </c>
      <c r="N27" s="64">
        <v>21.8</v>
      </c>
      <c r="O27" s="64">
        <v>0</v>
      </c>
      <c r="P27" s="64">
        <v>0.41</v>
      </c>
      <c r="Q27" s="64">
        <v>10.199999999999999</v>
      </c>
      <c r="R27" s="198"/>
      <c r="S27" s="198"/>
      <c r="T27" s="198"/>
      <c r="U27" s="198"/>
    </row>
    <row r="28" spans="1:21" s="12" customFormat="1" x14ac:dyDescent="0.25">
      <c r="A28" s="214" t="s">
        <v>1131</v>
      </c>
      <c r="B28" s="64">
        <v>39.24</v>
      </c>
      <c r="C28" s="64">
        <v>42.97</v>
      </c>
      <c r="D28" s="64">
        <v>55.83</v>
      </c>
      <c r="E28" s="64">
        <v>0.28000000000000003</v>
      </c>
      <c r="F28" s="64">
        <v>4.97</v>
      </c>
      <c r="G28" s="64">
        <v>80.150000000000006</v>
      </c>
      <c r="H28" s="64">
        <v>39.24</v>
      </c>
      <c r="I28" s="64">
        <v>1.47</v>
      </c>
      <c r="J28" s="64">
        <v>0.08</v>
      </c>
      <c r="K28" s="64">
        <v>112.72</v>
      </c>
      <c r="L28" s="64">
        <v>14.44</v>
      </c>
      <c r="M28" s="64">
        <v>82.95</v>
      </c>
      <c r="N28" s="64">
        <v>21.8</v>
      </c>
      <c r="O28" s="64">
        <v>0</v>
      </c>
      <c r="P28" s="64">
        <v>0.34</v>
      </c>
      <c r="Q28" s="64">
        <v>10.210000000000001</v>
      </c>
      <c r="R28" s="198"/>
      <c r="S28" s="198"/>
      <c r="T28" s="198"/>
      <c r="U28" s="198"/>
    </row>
    <row r="29" spans="1:21" s="12" customFormat="1" x14ac:dyDescent="0.25">
      <c r="A29" s="214" t="s">
        <v>1132</v>
      </c>
      <c r="B29" s="64">
        <v>37.049999999999997</v>
      </c>
      <c r="C29" s="64">
        <v>42.36</v>
      </c>
      <c r="D29" s="64">
        <v>53.74</v>
      </c>
      <c r="E29" s="64">
        <v>0.28999999999999998</v>
      </c>
      <c r="F29" s="64">
        <v>4.43</v>
      </c>
      <c r="G29" s="64">
        <v>80.150000000000006</v>
      </c>
      <c r="H29" s="64">
        <v>39.24</v>
      </c>
      <c r="I29" s="64">
        <v>1.53</v>
      </c>
      <c r="J29" s="64">
        <v>0.05</v>
      </c>
      <c r="K29" s="64">
        <v>281.32</v>
      </c>
      <c r="L29" s="64">
        <v>14.22</v>
      </c>
      <c r="M29" s="64">
        <v>87.26</v>
      </c>
      <c r="N29" s="64">
        <v>22</v>
      </c>
      <c r="O29" s="64">
        <v>0</v>
      </c>
      <c r="P29" s="64">
        <v>0.34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4" t="s">
        <v>1133</v>
      </c>
      <c r="B30" s="64">
        <v>35.340000000000003</v>
      </c>
      <c r="C30" s="64">
        <v>41.95</v>
      </c>
      <c r="D30" s="64">
        <v>52.14</v>
      </c>
      <c r="E30" s="64">
        <v>0.24</v>
      </c>
      <c r="F30" s="64">
        <v>4.22</v>
      </c>
      <c r="G30" s="64">
        <v>80.150000000000006</v>
      </c>
      <c r="H30" s="64">
        <v>39.24</v>
      </c>
      <c r="I30" s="64">
        <v>1.52</v>
      </c>
      <c r="J30" s="64">
        <v>0.05</v>
      </c>
      <c r="K30" s="64">
        <v>144.63</v>
      </c>
      <c r="L30" s="64">
        <v>13.64</v>
      </c>
      <c r="M30" s="64">
        <v>90.54</v>
      </c>
      <c r="N30" s="64">
        <v>22</v>
      </c>
      <c r="O30" s="64">
        <v>0</v>
      </c>
      <c r="P30" s="64">
        <v>0.34</v>
      </c>
      <c r="Q30" s="64">
        <v>8.3800000000000008</v>
      </c>
      <c r="R30" s="198"/>
      <c r="S30" s="198"/>
      <c r="T30" s="198"/>
      <c r="U30" s="198"/>
    </row>
    <row r="31" spans="1:21" s="12" customFormat="1" x14ac:dyDescent="0.25">
      <c r="A31" s="214" t="s">
        <v>1134</v>
      </c>
      <c r="B31" s="64">
        <v>34.72</v>
      </c>
      <c r="C31" s="64">
        <v>42.11</v>
      </c>
      <c r="D31" s="64">
        <v>51.73</v>
      </c>
      <c r="E31" s="64">
        <v>0.25</v>
      </c>
      <c r="F31" s="64">
        <v>3.63</v>
      </c>
      <c r="G31" s="64">
        <v>75.569999999999993</v>
      </c>
      <c r="H31" s="64">
        <v>34.9</v>
      </c>
      <c r="I31" s="64">
        <v>1.47</v>
      </c>
      <c r="J31" s="64">
        <v>0.06</v>
      </c>
      <c r="K31" s="64">
        <v>248.27</v>
      </c>
      <c r="L31" s="64">
        <v>13.3</v>
      </c>
      <c r="M31" s="64">
        <v>95.2</v>
      </c>
      <c r="N31" s="64">
        <v>21.6</v>
      </c>
      <c r="O31" s="64">
        <v>0</v>
      </c>
      <c r="P31" s="64">
        <v>0.42</v>
      </c>
      <c r="Q31" s="64">
        <v>5.46</v>
      </c>
      <c r="R31" s="198"/>
      <c r="S31" s="198"/>
      <c r="T31" s="198"/>
      <c r="U31" s="198"/>
    </row>
    <row r="32" spans="1:21" s="12" customFormat="1" x14ac:dyDescent="0.25">
      <c r="A32" s="214" t="s">
        <v>1135</v>
      </c>
      <c r="B32" s="64">
        <v>37.090000000000003</v>
      </c>
      <c r="C32" s="64">
        <v>42.37</v>
      </c>
      <c r="D32" s="64">
        <v>53.77</v>
      </c>
      <c r="E32" s="64">
        <v>0.28999999999999998</v>
      </c>
      <c r="F32" s="64">
        <v>3.5</v>
      </c>
      <c r="G32" s="64">
        <v>57.24</v>
      </c>
      <c r="H32" s="64">
        <v>23.09</v>
      </c>
      <c r="I32" s="64">
        <v>1.57</v>
      </c>
      <c r="J32" s="64">
        <v>0.14000000000000001</v>
      </c>
      <c r="K32" s="64">
        <v>266.29000000000002</v>
      </c>
      <c r="L32" s="64">
        <v>13.46</v>
      </c>
      <c r="M32" s="64">
        <v>95.76</v>
      </c>
      <c r="N32" s="64">
        <v>21.5</v>
      </c>
      <c r="O32" s="64">
        <v>0</v>
      </c>
      <c r="P32" s="64">
        <v>0.53</v>
      </c>
      <c r="Q32" s="64">
        <v>1.7</v>
      </c>
      <c r="R32" s="198"/>
      <c r="S32" s="198"/>
      <c r="T32" s="198"/>
      <c r="U32" s="198"/>
    </row>
    <row r="33" spans="1:21" s="12" customFormat="1" x14ac:dyDescent="0.25">
      <c r="A33" s="214" t="s">
        <v>1136</v>
      </c>
      <c r="B33" s="64">
        <v>41.17</v>
      </c>
      <c r="C33" s="64">
        <v>43.48</v>
      </c>
      <c r="D33" s="64">
        <v>57.66</v>
      </c>
      <c r="E33" s="64">
        <v>0.41</v>
      </c>
      <c r="F33" s="64">
        <v>3.7</v>
      </c>
      <c r="G33" s="64">
        <v>57.24</v>
      </c>
      <c r="H33" s="64">
        <v>23.09</v>
      </c>
      <c r="I33" s="64">
        <v>1.47</v>
      </c>
      <c r="J33" s="64">
        <v>0.1</v>
      </c>
      <c r="K33" s="64">
        <v>321.05</v>
      </c>
      <c r="L33" s="64">
        <v>13.12</v>
      </c>
      <c r="M33" s="64">
        <v>97.76</v>
      </c>
      <c r="N33" s="64">
        <v>22.7</v>
      </c>
      <c r="O33" s="64">
        <v>0</v>
      </c>
      <c r="P33" s="64">
        <v>0.87</v>
      </c>
      <c r="Q33" s="64">
        <v>0.17</v>
      </c>
      <c r="R33" s="198"/>
      <c r="S33" s="198"/>
      <c r="T33" s="198"/>
      <c r="U33" s="198"/>
    </row>
    <row r="34" spans="1:21" s="12" customFormat="1" x14ac:dyDescent="0.25">
      <c r="A34" s="214" t="s">
        <v>1137</v>
      </c>
      <c r="B34" s="64">
        <v>48.06</v>
      </c>
      <c r="C34" s="64">
        <v>44.35</v>
      </c>
      <c r="D34" s="64">
        <v>63.66</v>
      </c>
      <c r="E34" s="64">
        <v>0.47</v>
      </c>
      <c r="F34" s="64">
        <v>3.88</v>
      </c>
      <c r="G34" s="64">
        <v>57.24</v>
      </c>
      <c r="H34" s="64">
        <v>23.09</v>
      </c>
      <c r="I34" s="64">
        <v>1.49</v>
      </c>
      <c r="J34" s="64">
        <v>0.09</v>
      </c>
      <c r="K34" s="64">
        <v>299.35000000000002</v>
      </c>
      <c r="L34" s="64">
        <v>12.89</v>
      </c>
      <c r="M34" s="64">
        <v>98.17</v>
      </c>
      <c r="N34" s="64">
        <v>27</v>
      </c>
      <c r="O34" s="64">
        <v>0</v>
      </c>
      <c r="P34" s="64">
        <v>0.85</v>
      </c>
      <c r="Q34" s="212" t="s">
        <v>42</v>
      </c>
      <c r="R34" s="198"/>
      <c r="S34" s="198"/>
      <c r="T34" s="198"/>
      <c r="U34" s="198"/>
    </row>
    <row r="35" spans="1:21" s="12" customFormat="1" x14ac:dyDescent="0.25">
      <c r="A35" s="214" t="s">
        <v>1138</v>
      </c>
      <c r="B35" s="64">
        <v>55.9</v>
      </c>
      <c r="C35" s="64">
        <v>45.47</v>
      </c>
      <c r="D35" s="64">
        <v>70.569999999999993</v>
      </c>
      <c r="E35" s="64">
        <v>0.46</v>
      </c>
      <c r="F35" s="64">
        <v>3.39</v>
      </c>
      <c r="G35" s="64">
        <v>75.47</v>
      </c>
      <c r="H35" s="64">
        <v>28.35</v>
      </c>
      <c r="I35" s="64">
        <v>1.54</v>
      </c>
      <c r="J35" s="64">
        <v>0.06</v>
      </c>
      <c r="K35" s="64">
        <v>312.33</v>
      </c>
      <c r="L35" s="64">
        <v>12.91</v>
      </c>
      <c r="M35" s="64">
        <v>98.18</v>
      </c>
      <c r="N35" s="64">
        <v>39.299999999999997</v>
      </c>
      <c r="O35" s="64">
        <v>0</v>
      </c>
      <c r="P35" s="64">
        <v>1.08</v>
      </c>
      <c r="Q35" s="212" t="s">
        <v>42</v>
      </c>
      <c r="R35" s="198"/>
      <c r="S35" s="198"/>
      <c r="T35" s="198"/>
      <c r="U35" s="198"/>
    </row>
    <row r="36" spans="1:21" s="12" customFormat="1" x14ac:dyDescent="0.25">
      <c r="A36" s="214" t="s">
        <v>1139</v>
      </c>
      <c r="B36" s="64">
        <v>66.349999999999994</v>
      </c>
      <c r="C36" s="64">
        <v>46.73</v>
      </c>
      <c r="D36" s="64">
        <v>79.64</v>
      </c>
      <c r="E36" s="64">
        <v>0.49</v>
      </c>
      <c r="F36" s="64">
        <v>3.49</v>
      </c>
      <c r="G36" s="64">
        <v>148.38999999999999</v>
      </c>
      <c r="H36" s="64">
        <v>42.66</v>
      </c>
      <c r="I36" s="64">
        <v>1.5</v>
      </c>
      <c r="J36" s="64">
        <v>7.0000000000000007E-2</v>
      </c>
      <c r="K36" s="64">
        <v>319.14999999999998</v>
      </c>
      <c r="L36" s="64">
        <v>13.14</v>
      </c>
      <c r="M36" s="64">
        <v>98.07</v>
      </c>
      <c r="N36" s="64">
        <v>55</v>
      </c>
      <c r="O36" s="64">
        <v>0</v>
      </c>
      <c r="P36" s="64">
        <v>1.29</v>
      </c>
      <c r="Q36" s="212" t="s">
        <v>42</v>
      </c>
      <c r="R36" s="198"/>
      <c r="S36" s="198"/>
      <c r="T36" s="198"/>
      <c r="U36" s="198"/>
    </row>
    <row r="37" spans="1:21" s="12" customFormat="1" x14ac:dyDescent="0.25">
      <c r="A37" s="214" t="s">
        <v>1140</v>
      </c>
      <c r="B37" s="64">
        <v>74.83</v>
      </c>
      <c r="C37" s="64">
        <v>47.44</v>
      </c>
      <c r="D37" s="64">
        <v>86.84</v>
      </c>
      <c r="E37" s="64">
        <v>0.49</v>
      </c>
      <c r="F37" s="64">
        <v>3.48</v>
      </c>
      <c r="G37" s="64">
        <v>148.38999999999999</v>
      </c>
      <c r="H37" s="64">
        <v>42.66</v>
      </c>
      <c r="I37" s="64">
        <v>1.45</v>
      </c>
      <c r="J37" s="64">
        <v>0.09</v>
      </c>
      <c r="K37" s="64">
        <v>322.81</v>
      </c>
      <c r="L37" s="64">
        <v>13.87</v>
      </c>
      <c r="M37" s="64">
        <v>96.01</v>
      </c>
      <c r="N37" s="64">
        <v>71.400000000000006</v>
      </c>
      <c r="O37" s="64">
        <v>0</v>
      </c>
      <c r="P37" s="64">
        <v>1.31</v>
      </c>
      <c r="Q37" s="212" t="s">
        <v>42</v>
      </c>
      <c r="R37" s="198"/>
      <c r="S37" s="198"/>
      <c r="T37" s="198"/>
      <c r="U37" s="198"/>
    </row>
    <row r="38" spans="1:21" s="12" customFormat="1" x14ac:dyDescent="0.25">
      <c r="A38" s="214" t="s">
        <v>1141</v>
      </c>
      <c r="B38" s="64">
        <v>79.73</v>
      </c>
      <c r="C38" s="64">
        <v>47.99</v>
      </c>
      <c r="D38" s="64">
        <v>91.07</v>
      </c>
      <c r="E38" s="64">
        <v>0.44</v>
      </c>
      <c r="F38" s="64">
        <v>3.28</v>
      </c>
      <c r="G38" s="64">
        <v>148.38999999999999</v>
      </c>
      <c r="H38" s="64">
        <v>42.66</v>
      </c>
      <c r="I38" s="64">
        <v>1.56</v>
      </c>
      <c r="J38" s="64">
        <v>0.17</v>
      </c>
      <c r="K38" s="64">
        <v>328.77</v>
      </c>
      <c r="L38" s="64">
        <v>14.71</v>
      </c>
      <c r="M38" s="64">
        <v>90.57</v>
      </c>
      <c r="N38" s="64">
        <v>105.1</v>
      </c>
      <c r="O38" s="64">
        <v>0</v>
      </c>
      <c r="P38" s="64">
        <v>1.1399999999999999</v>
      </c>
      <c r="Q38" s="64">
        <v>1.96</v>
      </c>
      <c r="R38" s="198"/>
      <c r="S38" s="198"/>
      <c r="T38" s="198"/>
      <c r="U38" s="198"/>
    </row>
    <row r="39" spans="1:21" s="12" customFormat="1" x14ac:dyDescent="0.25">
      <c r="A39" s="214" t="s">
        <v>1142</v>
      </c>
      <c r="B39" s="64">
        <v>81.010000000000005</v>
      </c>
      <c r="C39" s="64">
        <v>47.79</v>
      </c>
      <c r="D39" s="64">
        <v>91.98</v>
      </c>
      <c r="E39" s="64">
        <v>0.35</v>
      </c>
      <c r="F39" s="64">
        <v>3.51</v>
      </c>
      <c r="G39" s="64">
        <v>147.05000000000001</v>
      </c>
      <c r="H39" s="64">
        <v>45.06</v>
      </c>
      <c r="I39" s="64">
        <v>1.51</v>
      </c>
      <c r="J39" s="64">
        <v>0.49</v>
      </c>
      <c r="K39" s="64">
        <v>347.19</v>
      </c>
      <c r="L39" s="64">
        <v>16.93</v>
      </c>
      <c r="M39" s="64">
        <v>75.98</v>
      </c>
      <c r="N39" s="64">
        <v>225.2</v>
      </c>
      <c r="O39" s="64">
        <v>0</v>
      </c>
      <c r="P39" s="64">
        <v>0.96</v>
      </c>
      <c r="Q39" s="64">
        <v>8.99</v>
      </c>
      <c r="R39" s="198"/>
      <c r="S39" s="198"/>
      <c r="T39" s="198"/>
      <c r="U39" s="198"/>
    </row>
    <row r="40" spans="1:21" s="12" customFormat="1" x14ac:dyDescent="0.25">
      <c r="A40" s="214" t="s">
        <v>1143</v>
      </c>
      <c r="B40" s="64">
        <v>79.489999999999995</v>
      </c>
      <c r="C40" s="64">
        <v>48.18</v>
      </c>
      <c r="D40" s="64">
        <v>90.98</v>
      </c>
      <c r="E40" s="64">
        <v>0.11</v>
      </c>
      <c r="F40" s="64">
        <v>3.81</v>
      </c>
      <c r="G40" s="64">
        <v>141.66999999999999</v>
      </c>
      <c r="H40" s="64">
        <v>51.62</v>
      </c>
      <c r="I40" s="64">
        <v>1.55</v>
      </c>
      <c r="J40" s="64">
        <v>0.35</v>
      </c>
      <c r="K40" s="64">
        <v>99.45</v>
      </c>
      <c r="L40" s="64">
        <v>18.57</v>
      </c>
      <c r="M40" s="64">
        <v>65.41</v>
      </c>
      <c r="N40" s="64">
        <v>268.39999999999998</v>
      </c>
      <c r="O40" s="64">
        <v>0</v>
      </c>
      <c r="P40" s="64">
        <v>0.79</v>
      </c>
      <c r="Q40" s="64">
        <v>13.09</v>
      </c>
      <c r="R40" s="198"/>
      <c r="S40" s="198"/>
      <c r="T40" s="198"/>
      <c r="U40" s="198"/>
    </row>
    <row r="41" spans="1:21" s="12" customFormat="1" x14ac:dyDescent="0.25">
      <c r="A41" s="214" t="s">
        <v>1144</v>
      </c>
      <c r="B41" s="64">
        <v>77.05</v>
      </c>
      <c r="C41" s="64">
        <v>47.98</v>
      </c>
      <c r="D41" s="64">
        <v>88.91</v>
      </c>
      <c r="E41" s="64">
        <v>0.37</v>
      </c>
      <c r="F41" s="64">
        <v>4.37</v>
      </c>
      <c r="G41" s="64">
        <v>141.66999999999999</v>
      </c>
      <c r="H41" s="64">
        <v>51.62</v>
      </c>
      <c r="I41" s="64">
        <v>1.48</v>
      </c>
      <c r="J41" s="64">
        <v>0.14000000000000001</v>
      </c>
      <c r="K41" s="64">
        <v>66.650000000000006</v>
      </c>
      <c r="L41" s="64">
        <v>20.03</v>
      </c>
      <c r="M41" s="64">
        <v>60.5</v>
      </c>
      <c r="N41" s="64">
        <v>317.7</v>
      </c>
      <c r="O41" s="64">
        <v>0</v>
      </c>
      <c r="P41" s="64">
        <v>0.76</v>
      </c>
      <c r="Q41" s="64">
        <v>14.17</v>
      </c>
      <c r="R41" s="198"/>
      <c r="S41" s="198"/>
      <c r="T41" s="198"/>
      <c r="U41" s="198"/>
    </row>
    <row r="42" spans="1:21" s="12" customFormat="1" x14ac:dyDescent="0.25">
      <c r="A42" s="214" t="s">
        <v>1145</v>
      </c>
      <c r="B42" s="64">
        <v>74.47</v>
      </c>
      <c r="C42" s="64">
        <v>47.9</v>
      </c>
      <c r="D42" s="64">
        <v>86.8</v>
      </c>
      <c r="E42" s="64">
        <v>0.42</v>
      </c>
      <c r="F42" s="64">
        <v>4.41</v>
      </c>
      <c r="G42" s="64">
        <v>141.66999999999999</v>
      </c>
      <c r="H42" s="64">
        <v>51.62</v>
      </c>
      <c r="I42" s="64">
        <v>1.47</v>
      </c>
      <c r="J42" s="64">
        <v>0.22</v>
      </c>
      <c r="K42" s="64">
        <v>38.549999999999997</v>
      </c>
      <c r="L42" s="64">
        <v>20.36</v>
      </c>
      <c r="M42" s="64">
        <v>58.62</v>
      </c>
      <c r="N42" s="64">
        <v>370.7</v>
      </c>
      <c r="O42" s="64">
        <v>0</v>
      </c>
      <c r="P42" s="64">
        <v>0.7</v>
      </c>
      <c r="Q42" s="64">
        <v>13.98</v>
      </c>
      <c r="R42" s="198"/>
      <c r="S42" s="198"/>
      <c r="T42" s="198"/>
      <c r="U42" s="198"/>
    </row>
    <row r="43" spans="1:21" s="12" customFormat="1" x14ac:dyDescent="0.25">
      <c r="A43" s="214" t="s">
        <v>1146</v>
      </c>
      <c r="B43" s="64">
        <v>71.510000000000005</v>
      </c>
      <c r="C43" s="64">
        <v>48.08</v>
      </c>
      <c r="D43" s="64">
        <v>84.53</v>
      </c>
      <c r="E43" s="64">
        <v>0.39</v>
      </c>
      <c r="F43" s="64">
        <v>6.13</v>
      </c>
      <c r="G43" s="64">
        <v>128.38999999999999</v>
      </c>
      <c r="H43" s="64">
        <v>48.51</v>
      </c>
      <c r="I43" s="64">
        <v>1.48</v>
      </c>
      <c r="J43" s="64">
        <v>0.14000000000000001</v>
      </c>
      <c r="K43" s="64">
        <v>25.15</v>
      </c>
      <c r="L43" s="64">
        <v>21.44</v>
      </c>
      <c r="M43" s="64">
        <v>53.23</v>
      </c>
      <c r="N43" s="64">
        <v>406.3</v>
      </c>
      <c r="O43" s="64">
        <v>0</v>
      </c>
      <c r="P43" s="64">
        <v>0.56000000000000005</v>
      </c>
      <c r="Q43" s="64">
        <v>14.05</v>
      </c>
      <c r="R43" s="198"/>
      <c r="S43" s="198"/>
      <c r="T43" s="198"/>
      <c r="U43" s="198"/>
    </row>
    <row r="44" spans="1:21" s="12" customFormat="1" x14ac:dyDescent="0.25">
      <c r="A44" s="214" t="s">
        <v>1147</v>
      </c>
      <c r="B44" s="64">
        <v>68.8</v>
      </c>
      <c r="C44" s="64">
        <v>48.24</v>
      </c>
      <c r="D44" s="64">
        <v>82.44</v>
      </c>
      <c r="E44" s="64">
        <v>0.37</v>
      </c>
      <c r="F44" s="64">
        <v>6.26</v>
      </c>
      <c r="G44" s="64">
        <v>75.31</v>
      </c>
      <c r="H44" s="64">
        <v>33.25</v>
      </c>
      <c r="I44" s="64">
        <v>1.61</v>
      </c>
      <c r="J44" s="64">
        <v>0.77</v>
      </c>
      <c r="K44" s="64">
        <v>106.55</v>
      </c>
      <c r="L44" s="64">
        <v>20.350000000000001</v>
      </c>
      <c r="M44" s="64">
        <v>56.34</v>
      </c>
      <c r="N44" s="64">
        <v>476.7</v>
      </c>
      <c r="O44" s="64">
        <v>0</v>
      </c>
      <c r="P44" s="64">
        <v>0.51</v>
      </c>
      <c r="Q44" s="64">
        <v>13.93</v>
      </c>
      <c r="R44" s="198"/>
      <c r="S44" s="198"/>
      <c r="T44" s="198"/>
      <c r="U44" s="198"/>
    </row>
    <row r="45" spans="1:21" s="12" customFormat="1" x14ac:dyDescent="0.25">
      <c r="A45" s="214" t="s">
        <v>1148</v>
      </c>
      <c r="B45" s="64">
        <v>65.739999999999995</v>
      </c>
      <c r="C45" s="64">
        <v>48.06</v>
      </c>
      <c r="D45" s="64">
        <v>79.89</v>
      </c>
      <c r="E45" s="64">
        <v>0.39</v>
      </c>
      <c r="F45" s="64">
        <v>7.53</v>
      </c>
      <c r="G45" s="64">
        <v>75.31</v>
      </c>
      <c r="H45" s="64">
        <v>33.25</v>
      </c>
      <c r="I45" s="64">
        <v>1.51</v>
      </c>
      <c r="J45" s="64">
        <v>0.43</v>
      </c>
      <c r="K45" s="64">
        <v>86.37</v>
      </c>
      <c r="L45" s="64">
        <v>21.08</v>
      </c>
      <c r="M45" s="64">
        <v>54.9</v>
      </c>
      <c r="N45" s="64">
        <v>519.6</v>
      </c>
      <c r="O45" s="64">
        <v>0</v>
      </c>
      <c r="P45" s="64">
        <v>0.56999999999999995</v>
      </c>
      <c r="Q45" s="64">
        <v>13.74</v>
      </c>
      <c r="R45" s="198"/>
      <c r="S45" s="198"/>
      <c r="T45" s="198"/>
      <c r="U45" s="198"/>
    </row>
    <row r="46" spans="1:21" s="12" customFormat="1" x14ac:dyDescent="0.25">
      <c r="A46" s="214" t="s">
        <v>1149</v>
      </c>
      <c r="B46" s="64">
        <v>62.85</v>
      </c>
      <c r="C46" s="64">
        <v>47.35</v>
      </c>
      <c r="D46" s="64">
        <v>77.180000000000007</v>
      </c>
      <c r="E46" s="64">
        <v>0.38</v>
      </c>
      <c r="F46" s="64">
        <v>6.1</v>
      </c>
      <c r="G46" s="64">
        <v>75.31</v>
      </c>
      <c r="H46" s="64">
        <v>33.25</v>
      </c>
      <c r="I46" s="64">
        <v>1.46</v>
      </c>
      <c r="J46" s="64">
        <v>0.92</v>
      </c>
      <c r="K46" s="64">
        <v>108.25</v>
      </c>
      <c r="L46" s="64">
        <v>20.9</v>
      </c>
      <c r="M46" s="64">
        <v>54.95</v>
      </c>
      <c r="N46" s="64">
        <v>544.9</v>
      </c>
      <c r="O46" s="64">
        <v>0</v>
      </c>
      <c r="P46" s="64">
        <v>0.66</v>
      </c>
      <c r="Q46" s="64">
        <v>11.34</v>
      </c>
      <c r="R46" s="198"/>
      <c r="S46" s="198"/>
      <c r="T46" s="198"/>
      <c r="U46" s="198"/>
    </row>
    <row r="47" spans="1:21" s="12" customFormat="1" x14ac:dyDescent="0.25">
      <c r="A47" s="214" t="s">
        <v>1150</v>
      </c>
      <c r="B47" s="64">
        <v>58.62</v>
      </c>
      <c r="C47" s="64">
        <v>46.97</v>
      </c>
      <c r="D47" s="64">
        <v>73.569999999999993</v>
      </c>
      <c r="E47" s="64">
        <v>0.34</v>
      </c>
      <c r="F47" s="64">
        <v>4.53</v>
      </c>
      <c r="G47" s="64">
        <v>70.2</v>
      </c>
      <c r="H47" s="64">
        <v>31.25</v>
      </c>
      <c r="I47" s="64">
        <v>1.48</v>
      </c>
      <c r="J47" s="64">
        <v>0.88</v>
      </c>
      <c r="K47" s="64">
        <v>105.82</v>
      </c>
      <c r="L47" s="64">
        <v>20.88</v>
      </c>
      <c r="M47" s="64">
        <v>54.43</v>
      </c>
      <c r="N47" s="64">
        <v>606.70000000000005</v>
      </c>
      <c r="O47" s="64">
        <v>0</v>
      </c>
      <c r="P47" s="64">
        <v>0.65</v>
      </c>
      <c r="Q47" s="64">
        <v>10.82</v>
      </c>
      <c r="R47" s="198"/>
      <c r="S47" s="198"/>
      <c r="T47" s="198"/>
      <c r="U47" s="198"/>
    </row>
    <row r="48" spans="1:21" s="12" customFormat="1" x14ac:dyDescent="0.25">
      <c r="A48" s="214" t="s">
        <v>1151</v>
      </c>
      <c r="B48" s="64">
        <v>54.08</v>
      </c>
      <c r="C48" s="64">
        <v>47.44</v>
      </c>
      <c r="D48" s="64">
        <v>70.19</v>
      </c>
      <c r="E48" s="64">
        <v>0.34</v>
      </c>
      <c r="F48" s="64">
        <v>4.8499999999999996</v>
      </c>
      <c r="G48" s="64">
        <v>49.75</v>
      </c>
      <c r="H48" s="64">
        <v>25.8</v>
      </c>
      <c r="I48" s="64">
        <v>1.5</v>
      </c>
      <c r="J48" s="64">
        <v>0.93</v>
      </c>
      <c r="K48" s="64">
        <v>109.31</v>
      </c>
      <c r="L48" s="64">
        <v>21.07</v>
      </c>
      <c r="M48" s="64">
        <v>52.81</v>
      </c>
      <c r="N48" s="64">
        <v>635.70000000000005</v>
      </c>
      <c r="O48" s="64">
        <v>0</v>
      </c>
      <c r="P48" s="64">
        <v>0.63</v>
      </c>
      <c r="Q48" s="64">
        <v>10.32</v>
      </c>
      <c r="R48" s="198"/>
      <c r="S48" s="198"/>
      <c r="T48" s="198"/>
      <c r="U48" s="198"/>
    </row>
    <row r="49" spans="1:21" s="12" customFormat="1" x14ac:dyDescent="0.25">
      <c r="A49" s="214" t="s">
        <v>1152</v>
      </c>
      <c r="B49" s="64">
        <v>49.31</v>
      </c>
      <c r="C49" s="64">
        <v>47.6</v>
      </c>
      <c r="D49" s="64">
        <v>66.459999999999994</v>
      </c>
      <c r="E49" s="64">
        <v>0.35</v>
      </c>
      <c r="F49" s="64">
        <v>8.49</v>
      </c>
      <c r="G49" s="64">
        <v>49.75</v>
      </c>
      <c r="H49" s="64">
        <v>25.8</v>
      </c>
      <c r="I49" s="64">
        <v>1.44</v>
      </c>
      <c r="J49" s="64">
        <v>0.5</v>
      </c>
      <c r="K49" s="64">
        <v>103.31</v>
      </c>
      <c r="L49" s="64">
        <v>22.59</v>
      </c>
      <c r="M49" s="64">
        <v>47.2</v>
      </c>
      <c r="N49" s="64">
        <v>671</v>
      </c>
      <c r="O49" s="64">
        <v>0</v>
      </c>
      <c r="P49" s="64">
        <v>0.52</v>
      </c>
      <c r="Q49" s="64">
        <v>10.09</v>
      </c>
      <c r="R49" s="198"/>
      <c r="S49" s="198"/>
      <c r="T49" s="198"/>
      <c r="U49" s="198"/>
    </row>
    <row r="50" spans="1:21" s="12" customFormat="1" x14ac:dyDescent="0.25">
      <c r="A50" s="214" t="s">
        <v>1153</v>
      </c>
      <c r="B50" s="64">
        <v>45.14</v>
      </c>
      <c r="C50" s="64">
        <v>48.05</v>
      </c>
      <c r="D50" s="64">
        <v>63.36</v>
      </c>
      <c r="E50" s="64">
        <v>0.33</v>
      </c>
      <c r="F50" s="64">
        <v>5.23</v>
      </c>
      <c r="G50" s="64">
        <v>49.75</v>
      </c>
      <c r="H50" s="64">
        <v>25.8</v>
      </c>
      <c r="I50" s="64">
        <v>1.52</v>
      </c>
      <c r="J50" s="64">
        <v>0.88</v>
      </c>
      <c r="K50" s="64">
        <v>108.13</v>
      </c>
      <c r="L50" s="64">
        <v>22.71</v>
      </c>
      <c r="M50" s="64">
        <v>45.54</v>
      </c>
      <c r="N50" s="64">
        <v>576.29999999999995</v>
      </c>
      <c r="O50" s="64">
        <v>0</v>
      </c>
      <c r="P50" s="64">
        <v>0.57999999999999996</v>
      </c>
      <c r="Q50" s="64">
        <v>9.16</v>
      </c>
      <c r="R50" s="198"/>
      <c r="S50" s="198"/>
      <c r="T50" s="198"/>
      <c r="U50" s="198"/>
    </row>
    <row r="51" spans="1:21" s="12" customFormat="1" x14ac:dyDescent="0.25">
      <c r="A51" s="214" t="s">
        <v>1154</v>
      </c>
      <c r="B51" s="64">
        <v>41.22</v>
      </c>
      <c r="C51" s="64">
        <v>48.04</v>
      </c>
      <c r="D51" s="64">
        <v>60.22</v>
      </c>
      <c r="E51" s="64">
        <v>0.35</v>
      </c>
      <c r="F51" s="64">
        <v>5.3</v>
      </c>
      <c r="G51" s="64">
        <v>49.49</v>
      </c>
      <c r="H51" s="64">
        <v>24.59</v>
      </c>
      <c r="I51" s="64">
        <v>1.47</v>
      </c>
      <c r="J51" s="64">
        <v>1.06</v>
      </c>
      <c r="K51" s="64">
        <v>113.51</v>
      </c>
      <c r="L51" s="64">
        <v>22.09</v>
      </c>
      <c r="M51" s="64">
        <v>45.74</v>
      </c>
      <c r="N51" s="64">
        <v>534.1</v>
      </c>
      <c r="O51" s="64">
        <v>0</v>
      </c>
      <c r="P51" s="64">
        <v>0.57999999999999996</v>
      </c>
      <c r="Q51" s="64">
        <v>8.49</v>
      </c>
      <c r="R51" s="198"/>
      <c r="S51" s="198"/>
      <c r="T51" s="198"/>
      <c r="U51" s="198"/>
    </row>
    <row r="52" spans="1:21" s="12" customFormat="1" x14ac:dyDescent="0.25">
      <c r="A52" s="214" t="s">
        <v>1155</v>
      </c>
      <c r="B52" s="64">
        <v>37.42</v>
      </c>
      <c r="C52" s="64">
        <v>48.31</v>
      </c>
      <c r="D52" s="64">
        <v>57.32</v>
      </c>
      <c r="E52" s="64">
        <v>0.34</v>
      </c>
      <c r="F52" s="64">
        <v>6.03</v>
      </c>
      <c r="G52" s="64">
        <v>48.53</v>
      </c>
      <c r="H52" s="64">
        <v>21.28</v>
      </c>
      <c r="I52" s="64">
        <v>1.47</v>
      </c>
      <c r="J52" s="64">
        <v>1.1599999999999999</v>
      </c>
      <c r="K52" s="64">
        <v>113.27</v>
      </c>
      <c r="L52" s="64">
        <v>22.03</v>
      </c>
      <c r="M52" s="64">
        <v>43.05</v>
      </c>
      <c r="N52" s="64">
        <v>723.2</v>
      </c>
      <c r="O52" s="64">
        <v>0</v>
      </c>
      <c r="P52" s="64">
        <v>0.52</v>
      </c>
      <c r="Q52" s="64">
        <v>7.99</v>
      </c>
      <c r="R52" s="198"/>
      <c r="S52" s="198"/>
      <c r="T52" s="198"/>
      <c r="U52" s="198"/>
    </row>
    <row r="53" spans="1:21" s="12" customFormat="1" x14ac:dyDescent="0.25">
      <c r="A53" s="214" t="s">
        <v>1156</v>
      </c>
      <c r="B53" s="64">
        <v>33.15</v>
      </c>
      <c r="C53" s="64">
        <v>47.74</v>
      </c>
      <c r="D53" s="64">
        <v>53.58</v>
      </c>
      <c r="E53" s="64">
        <v>0.36</v>
      </c>
      <c r="F53" s="64">
        <v>7.95</v>
      </c>
      <c r="G53" s="64">
        <v>48.53</v>
      </c>
      <c r="H53" s="64">
        <v>21.28</v>
      </c>
      <c r="I53" s="64">
        <v>1.48</v>
      </c>
      <c r="J53" s="64">
        <v>0.46</v>
      </c>
      <c r="K53" s="64">
        <v>122.51</v>
      </c>
      <c r="L53" s="64">
        <v>23.74</v>
      </c>
      <c r="M53" s="64">
        <v>40.630000000000003</v>
      </c>
      <c r="N53" s="64">
        <v>752.3</v>
      </c>
      <c r="O53" s="64">
        <v>0</v>
      </c>
      <c r="P53" s="64">
        <v>0.45</v>
      </c>
      <c r="Q53" s="64">
        <v>7.9</v>
      </c>
      <c r="R53" s="198"/>
      <c r="S53" s="198"/>
      <c r="T53" s="198"/>
      <c r="U53" s="198"/>
    </row>
    <row r="54" spans="1:21" s="12" customFormat="1" x14ac:dyDescent="0.25">
      <c r="A54" s="214" t="s">
        <v>1157</v>
      </c>
      <c r="B54" s="64">
        <v>29.38</v>
      </c>
      <c r="C54" s="64">
        <v>47.49</v>
      </c>
      <c r="D54" s="64">
        <v>50.42</v>
      </c>
      <c r="E54" s="64">
        <v>0.37</v>
      </c>
      <c r="F54" s="64">
        <v>6.79</v>
      </c>
      <c r="G54" s="64">
        <v>48.53</v>
      </c>
      <c r="H54" s="64">
        <v>21.28</v>
      </c>
      <c r="I54" s="64">
        <v>1.56</v>
      </c>
      <c r="J54" s="64">
        <v>0.46</v>
      </c>
      <c r="K54" s="64">
        <v>110.09</v>
      </c>
      <c r="L54" s="64">
        <v>23.83</v>
      </c>
      <c r="M54" s="64">
        <v>39.11</v>
      </c>
      <c r="N54" s="64">
        <v>761.4</v>
      </c>
      <c r="O54" s="64">
        <v>0</v>
      </c>
      <c r="P54" s="64">
        <v>0.45</v>
      </c>
      <c r="Q54" s="64">
        <v>7.32</v>
      </c>
      <c r="R54" s="198"/>
      <c r="S54" s="198"/>
      <c r="T54" s="198"/>
      <c r="U54" s="198"/>
    </row>
    <row r="55" spans="1:21" s="12" customFormat="1" x14ac:dyDescent="0.25">
      <c r="A55" s="214" t="s">
        <v>1158</v>
      </c>
      <c r="B55" s="64">
        <v>26</v>
      </c>
      <c r="C55" s="64">
        <v>47.32</v>
      </c>
      <c r="D55" s="64">
        <v>47.61</v>
      </c>
      <c r="E55" s="64">
        <v>0.31</v>
      </c>
      <c r="F55" s="64">
        <v>12.09</v>
      </c>
      <c r="G55" s="64">
        <v>46.17</v>
      </c>
      <c r="H55" s="64">
        <v>18.899999999999999</v>
      </c>
      <c r="I55" s="64">
        <v>1.58</v>
      </c>
      <c r="J55" s="64">
        <v>0.41</v>
      </c>
      <c r="K55" s="64">
        <v>16</v>
      </c>
      <c r="L55" s="64">
        <v>25.4</v>
      </c>
      <c r="M55" s="64">
        <v>37.340000000000003</v>
      </c>
      <c r="N55" s="64">
        <v>759.2</v>
      </c>
      <c r="O55" s="64">
        <v>0</v>
      </c>
      <c r="P55" s="64">
        <v>0.44</v>
      </c>
      <c r="Q55" s="64">
        <v>6.81</v>
      </c>
      <c r="R55" s="198"/>
      <c r="S55" s="198"/>
      <c r="T55" s="198"/>
      <c r="U55" s="198"/>
    </row>
    <row r="56" spans="1:21" s="12" customFormat="1" x14ac:dyDescent="0.25">
      <c r="A56" s="214" t="s">
        <v>1159</v>
      </c>
      <c r="B56" s="64">
        <v>23.61</v>
      </c>
      <c r="C56" s="64">
        <v>48.36</v>
      </c>
      <c r="D56" s="64">
        <v>46.27</v>
      </c>
      <c r="E56" s="64">
        <v>0.28000000000000003</v>
      </c>
      <c r="F56" s="64">
        <v>12.91</v>
      </c>
      <c r="G56" s="64">
        <v>36.76</v>
      </c>
      <c r="H56" s="64">
        <v>12.43</v>
      </c>
      <c r="I56" s="64">
        <v>1.47</v>
      </c>
      <c r="J56" s="64">
        <v>0.37</v>
      </c>
      <c r="K56" s="64">
        <v>15.62</v>
      </c>
      <c r="L56" s="64">
        <v>26.08</v>
      </c>
      <c r="M56" s="64">
        <v>35.42</v>
      </c>
      <c r="N56" s="64">
        <v>776.5</v>
      </c>
      <c r="O56" s="64">
        <v>0</v>
      </c>
      <c r="P56" s="64">
        <v>0.48</v>
      </c>
      <c r="Q56" s="64">
        <v>5.94</v>
      </c>
      <c r="R56" s="198"/>
      <c r="S56" s="198"/>
      <c r="T56" s="198"/>
      <c r="U56" s="198"/>
    </row>
    <row r="57" spans="1:21" s="12" customFormat="1" x14ac:dyDescent="0.25">
      <c r="A57" s="214" t="s">
        <v>1160</v>
      </c>
      <c r="B57" s="64">
        <v>21.66</v>
      </c>
      <c r="C57" s="64">
        <v>48.91</v>
      </c>
      <c r="D57" s="64">
        <v>45.01</v>
      </c>
      <c r="E57" s="64">
        <v>0.36</v>
      </c>
      <c r="F57" s="64">
        <v>9.01</v>
      </c>
      <c r="G57" s="64">
        <v>36.76</v>
      </c>
      <c r="H57" s="64">
        <v>12.43</v>
      </c>
      <c r="I57" s="64">
        <v>1.55</v>
      </c>
      <c r="J57" s="64">
        <v>0.22</v>
      </c>
      <c r="K57" s="64">
        <v>357.99</v>
      </c>
      <c r="L57" s="64">
        <v>25.92</v>
      </c>
      <c r="M57" s="64">
        <v>35.64</v>
      </c>
      <c r="N57" s="64">
        <v>582.20000000000005</v>
      </c>
      <c r="O57" s="64">
        <v>0</v>
      </c>
      <c r="P57" s="64">
        <v>0.48</v>
      </c>
      <c r="Q57" s="64">
        <v>5.6</v>
      </c>
      <c r="R57" s="198"/>
      <c r="S57" s="198"/>
      <c r="T57" s="198"/>
      <c r="U57" s="198"/>
    </row>
    <row r="58" spans="1:21" s="12" customFormat="1" x14ac:dyDescent="0.25">
      <c r="A58" s="214" t="s">
        <v>1161</v>
      </c>
      <c r="B58" s="64">
        <v>19.84</v>
      </c>
      <c r="C58" s="64">
        <v>48.92</v>
      </c>
      <c r="D58" s="64">
        <v>43.55</v>
      </c>
      <c r="E58" s="64">
        <v>0.53</v>
      </c>
      <c r="F58" s="64">
        <v>20.69</v>
      </c>
      <c r="G58" s="64">
        <v>36.76</v>
      </c>
      <c r="H58" s="64">
        <v>12.43</v>
      </c>
      <c r="I58" s="64">
        <v>1.49</v>
      </c>
      <c r="J58" s="64">
        <v>0.88</v>
      </c>
      <c r="K58" s="64">
        <v>338.5</v>
      </c>
      <c r="L58" s="64">
        <v>27.59</v>
      </c>
      <c r="M58" s="64">
        <v>32.47</v>
      </c>
      <c r="N58" s="64">
        <v>680.4</v>
      </c>
      <c r="O58" s="64">
        <v>0</v>
      </c>
      <c r="P58" s="64">
        <v>0.42</v>
      </c>
      <c r="Q58" s="64">
        <v>5.39</v>
      </c>
      <c r="R58" s="198"/>
      <c r="S58" s="198"/>
      <c r="T58" s="198"/>
      <c r="U58" s="198"/>
    </row>
    <row r="59" spans="1:21" s="12" customFormat="1" x14ac:dyDescent="0.25">
      <c r="A59" s="214" t="s">
        <v>1162</v>
      </c>
      <c r="B59" s="64">
        <v>17.97</v>
      </c>
      <c r="C59" s="64">
        <v>49.38</v>
      </c>
      <c r="D59" s="64">
        <v>42.31</v>
      </c>
      <c r="E59" s="64">
        <v>0.54</v>
      </c>
      <c r="F59" s="64">
        <v>14.92</v>
      </c>
      <c r="G59" s="64">
        <v>37.520000000000003</v>
      </c>
      <c r="H59" s="64">
        <v>14.26</v>
      </c>
      <c r="I59" s="64">
        <v>1.52</v>
      </c>
      <c r="J59" s="64">
        <v>0.43</v>
      </c>
      <c r="K59" s="64">
        <v>325.74</v>
      </c>
      <c r="L59" s="64">
        <v>27.75</v>
      </c>
      <c r="M59" s="64">
        <v>31.81</v>
      </c>
      <c r="N59" s="64">
        <v>705.9</v>
      </c>
      <c r="O59" s="64">
        <v>0</v>
      </c>
      <c r="P59" s="64">
        <v>0.45</v>
      </c>
      <c r="Q59" s="64">
        <v>5.29</v>
      </c>
      <c r="R59" s="198"/>
      <c r="S59" s="198"/>
      <c r="T59" s="198"/>
      <c r="U59" s="198"/>
    </row>
    <row r="60" spans="1:21" s="12" customFormat="1" x14ac:dyDescent="0.25">
      <c r="A60" s="214" t="s">
        <v>1163</v>
      </c>
      <c r="B60" s="64">
        <v>16.3</v>
      </c>
      <c r="C60" s="64">
        <v>49.73</v>
      </c>
      <c r="D60" s="64">
        <v>41.16</v>
      </c>
      <c r="E60" s="64">
        <v>0.4</v>
      </c>
      <c r="F60" s="64">
        <v>9.0500000000000007</v>
      </c>
      <c r="G60" s="64">
        <v>40.36</v>
      </c>
      <c r="H60" s="64">
        <v>22.42</v>
      </c>
      <c r="I60" s="64">
        <v>1.48</v>
      </c>
      <c r="J60" s="64">
        <v>0.22</v>
      </c>
      <c r="K60" s="64">
        <v>111.98</v>
      </c>
      <c r="L60" s="64">
        <v>27.56</v>
      </c>
      <c r="M60" s="64">
        <v>30.65</v>
      </c>
      <c r="N60" s="64">
        <v>728</v>
      </c>
      <c r="O60" s="64">
        <v>0</v>
      </c>
      <c r="P60" s="64">
        <v>0.43</v>
      </c>
      <c r="Q60" s="64">
        <v>4.88</v>
      </c>
      <c r="R60" s="198"/>
      <c r="S60" s="198"/>
      <c r="T60" s="198"/>
      <c r="U60" s="198"/>
    </row>
    <row r="61" spans="1:21" s="12" customFormat="1" x14ac:dyDescent="0.25">
      <c r="A61" s="214" t="s">
        <v>1164</v>
      </c>
      <c r="B61" s="64">
        <v>14.49</v>
      </c>
      <c r="C61" s="64">
        <v>49.5</v>
      </c>
      <c r="D61" s="64">
        <v>39.58</v>
      </c>
      <c r="E61" s="64">
        <v>0.48</v>
      </c>
      <c r="F61" s="64">
        <v>17.670000000000002</v>
      </c>
      <c r="G61" s="64">
        <v>40.36</v>
      </c>
      <c r="H61" s="64">
        <v>22.42</v>
      </c>
      <c r="I61" s="64">
        <v>1.57</v>
      </c>
      <c r="J61" s="64">
        <v>0.57999999999999996</v>
      </c>
      <c r="K61" s="64">
        <v>103.27</v>
      </c>
      <c r="L61" s="64">
        <v>24.87</v>
      </c>
      <c r="M61" s="64">
        <v>36.03</v>
      </c>
      <c r="N61" s="64">
        <v>681.7</v>
      </c>
      <c r="O61" s="64">
        <v>0</v>
      </c>
      <c r="P61" s="64">
        <v>0.36</v>
      </c>
      <c r="Q61" s="64">
        <v>5.56</v>
      </c>
      <c r="R61" s="198"/>
      <c r="S61" s="198"/>
      <c r="T61" s="198"/>
      <c r="U61" s="198"/>
    </row>
    <row r="62" spans="1:21" s="12" customFormat="1" x14ac:dyDescent="0.25">
      <c r="A62" s="214" t="s">
        <v>1165</v>
      </c>
      <c r="B62" s="64">
        <v>13.65</v>
      </c>
      <c r="C62" s="64">
        <v>48.38</v>
      </c>
      <c r="D62" s="64">
        <v>38.29</v>
      </c>
      <c r="E62" s="64">
        <v>0.56000000000000005</v>
      </c>
      <c r="F62" s="64">
        <v>17.149999999999999</v>
      </c>
      <c r="G62" s="64">
        <v>40.36</v>
      </c>
      <c r="H62" s="64">
        <v>22.42</v>
      </c>
      <c r="I62" s="64">
        <v>1.49</v>
      </c>
      <c r="J62" s="64">
        <v>0.64</v>
      </c>
      <c r="K62" s="64">
        <v>116.03</v>
      </c>
      <c r="L62" s="64">
        <v>24.14</v>
      </c>
      <c r="M62" s="64">
        <v>37.58</v>
      </c>
      <c r="N62" s="64">
        <v>613.1</v>
      </c>
      <c r="O62" s="64">
        <v>0</v>
      </c>
      <c r="P62" s="64">
        <v>0.42</v>
      </c>
      <c r="Q62" s="64">
        <v>4.99</v>
      </c>
      <c r="R62" s="198"/>
      <c r="S62" s="198"/>
      <c r="T62" s="198"/>
      <c r="U62" s="198"/>
    </row>
    <row r="63" spans="1:21" s="12" customFormat="1" x14ac:dyDescent="0.25">
      <c r="A63" s="214" t="s">
        <v>1166</v>
      </c>
      <c r="B63" s="64">
        <v>12.85</v>
      </c>
      <c r="C63" s="64">
        <v>47.25</v>
      </c>
      <c r="D63" s="64">
        <v>37.020000000000003</v>
      </c>
      <c r="E63" s="64">
        <v>0.42</v>
      </c>
      <c r="F63" s="64">
        <v>20.6</v>
      </c>
      <c r="G63" s="64">
        <v>36.880000000000003</v>
      </c>
      <c r="H63" s="64">
        <v>20.07</v>
      </c>
      <c r="I63" s="64">
        <v>1.53</v>
      </c>
      <c r="J63" s="64">
        <v>0.45</v>
      </c>
      <c r="K63" s="64">
        <v>148.55000000000001</v>
      </c>
      <c r="L63" s="64">
        <v>24.81</v>
      </c>
      <c r="M63" s="64">
        <v>35.36</v>
      </c>
      <c r="N63" s="64">
        <v>486.3</v>
      </c>
      <c r="O63" s="64">
        <v>0</v>
      </c>
      <c r="P63" s="64">
        <v>0.44</v>
      </c>
      <c r="Q63" s="64">
        <v>4.9000000000000004</v>
      </c>
      <c r="R63" s="198"/>
      <c r="S63" s="198"/>
      <c r="T63" s="198"/>
      <c r="U63" s="198"/>
    </row>
    <row r="64" spans="1:21" s="12" customFormat="1" x14ac:dyDescent="0.25">
      <c r="A64" s="214" t="s">
        <v>1167</v>
      </c>
      <c r="B64" s="64">
        <v>11.89</v>
      </c>
      <c r="C64" s="64">
        <v>46.59</v>
      </c>
      <c r="D64" s="64">
        <v>35.89</v>
      </c>
      <c r="E64" s="64">
        <v>0.43</v>
      </c>
      <c r="F64" s="64">
        <v>15.74</v>
      </c>
      <c r="G64" s="64">
        <v>22.97</v>
      </c>
      <c r="H64" s="64">
        <v>13.69</v>
      </c>
      <c r="I64" s="64">
        <v>1.45</v>
      </c>
      <c r="J64" s="64">
        <v>0.89</v>
      </c>
      <c r="K64" s="64">
        <v>116.29</v>
      </c>
      <c r="L64" s="64">
        <v>23.44</v>
      </c>
      <c r="M64" s="64">
        <v>37.700000000000003</v>
      </c>
      <c r="N64" s="64">
        <v>226.1</v>
      </c>
      <c r="O64" s="64">
        <v>0</v>
      </c>
      <c r="P64" s="64">
        <v>0.37</v>
      </c>
      <c r="Q64" s="64">
        <v>5.12</v>
      </c>
      <c r="R64" s="198"/>
      <c r="S64" s="198"/>
      <c r="T64" s="198"/>
      <c r="U64" s="198"/>
    </row>
    <row r="65" spans="1:21" s="12" customFormat="1" x14ac:dyDescent="0.25">
      <c r="A65" s="214" t="s">
        <v>1168</v>
      </c>
      <c r="B65" s="64">
        <v>10.77</v>
      </c>
      <c r="C65" s="64">
        <v>46.09</v>
      </c>
      <c r="D65" s="64">
        <v>34.72</v>
      </c>
      <c r="E65" s="64">
        <v>0.57999999999999996</v>
      </c>
      <c r="F65" s="64">
        <v>20.21</v>
      </c>
      <c r="G65" s="64">
        <v>22.97</v>
      </c>
      <c r="H65" s="64">
        <v>13.69</v>
      </c>
      <c r="I65" s="64">
        <v>1.5</v>
      </c>
      <c r="J65" s="64">
        <v>0.2</v>
      </c>
      <c r="K65" s="64">
        <v>111.35</v>
      </c>
      <c r="L65" s="64">
        <v>23.21</v>
      </c>
      <c r="M65" s="64">
        <v>38.71</v>
      </c>
      <c r="N65" s="64">
        <v>171.5</v>
      </c>
      <c r="O65" s="64">
        <v>0</v>
      </c>
      <c r="P65" s="64">
        <v>0.33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1169</v>
      </c>
      <c r="B66" s="64">
        <v>10.220000000000001</v>
      </c>
      <c r="C66" s="64">
        <v>46.01</v>
      </c>
      <c r="D66" s="64">
        <v>34.229999999999997</v>
      </c>
      <c r="E66" s="64">
        <v>0.91</v>
      </c>
      <c r="F66" s="64">
        <v>23.82</v>
      </c>
      <c r="G66" s="64">
        <v>22.97</v>
      </c>
      <c r="H66" s="64">
        <v>13.69</v>
      </c>
      <c r="I66" s="64">
        <v>1.38</v>
      </c>
      <c r="J66" s="64">
        <v>0.44</v>
      </c>
      <c r="K66" s="64">
        <v>342.68</v>
      </c>
      <c r="L66" s="64">
        <v>24.59</v>
      </c>
      <c r="M66" s="64">
        <v>37.1</v>
      </c>
      <c r="N66" s="64">
        <v>181.7</v>
      </c>
      <c r="O66" s="64">
        <v>0</v>
      </c>
      <c r="P66" s="64">
        <v>0.52</v>
      </c>
      <c r="Q66" s="64">
        <v>4.0999999999999996</v>
      </c>
      <c r="R66" s="198"/>
      <c r="S66" s="198"/>
      <c r="T66" s="198"/>
      <c r="U66" s="198"/>
    </row>
    <row r="67" spans="1:21" s="12" customFormat="1" x14ac:dyDescent="0.25">
      <c r="A67" s="214" t="s">
        <v>1170</v>
      </c>
      <c r="B67" s="64">
        <v>10.23</v>
      </c>
      <c r="C67" s="64">
        <v>46.38</v>
      </c>
      <c r="D67" s="64">
        <v>34.44</v>
      </c>
      <c r="E67" s="64">
        <v>0.7</v>
      </c>
      <c r="F67" s="64">
        <v>12</v>
      </c>
      <c r="G67" s="64">
        <v>29.5</v>
      </c>
      <c r="H67" s="64">
        <v>16.149999999999999</v>
      </c>
      <c r="I67" s="64">
        <v>1.56</v>
      </c>
      <c r="J67" s="64">
        <v>0.2</v>
      </c>
      <c r="K67" s="64">
        <v>114.36</v>
      </c>
      <c r="L67" s="64">
        <v>24.02</v>
      </c>
      <c r="M67" s="64">
        <v>37.71</v>
      </c>
      <c r="N67" s="64">
        <v>189</v>
      </c>
      <c r="O67" s="64">
        <v>0</v>
      </c>
      <c r="P67" s="64">
        <v>0.52</v>
      </c>
      <c r="Q67" s="64">
        <v>2.95</v>
      </c>
      <c r="R67" s="198"/>
      <c r="S67" s="198"/>
      <c r="T67" s="198"/>
      <c r="U67" s="198"/>
    </row>
    <row r="68" spans="1:21" s="12" customFormat="1" x14ac:dyDescent="0.25">
      <c r="A68" s="214" t="s">
        <v>1171</v>
      </c>
      <c r="B68" s="64">
        <v>10.09</v>
      </c>
      <c r="C68" s="64">
        <v>46.3</v>
      </c>
      <c r="D68" s="64">
        <v>34.29</v>
      </c>
      <c r="E68" s="64">
        <v>0.61</v>
      </c>
      <c r="F68" s="64">
        <v>16.440000000000001</v>
      </c>
      <c r="G68" s="64">
        <v>55.64</v>
      </c>
      <c r="H68" s="64">
        <v>22.83</v>
      </c>
      <c r="I68" s="64">
        <v>1.57</v>
      </c>
      <c r="J68" s="64">
        <v>0.79</v>
      </c>
      <c r="K68" s="64">
        <v>109.19</v>
      </c>
      <c r="L68" s="64">
        <v>22.78</v>
      </c>
      <c r="M68" s="64">
        <v>38.880000000000003</v>
      </c>
      <c r="N68" s="64">
        <v>150.19999999999999</v>
      </c>
      <c r="O68" s="64">
        <v>0</v>
      </c>
      <c r="P68" s="64">
        <v>0.39</v>
      </c>
      <c r="Q68" s="64">
        <v>4.09</v>
      </c>
      <c r="R68" s="198"/>
      <c r="S68" s="198"/>
      <c r="T68" s="198"/>
      <c r="U68" s="198"/>
    </row>
    <row r="69" spans="1:21" s="12" customFormat="1" x14ac:dyDescent="0.25">
      <c r="A69" s="214" t="s">
        <v>1172</v>
      </c>
      <c r="B69" s="64">
        <v>9.6300000000000008</v>
      </c>
      <c r="C69" s="64">
        <v>46.04</v>
      </c>
      <c r="D69" s="64">
        <v>33.770000000000003</v>
      </c>
      <c r="E69" s="64">
        <v>0.64</v>
      </c>
      <c r="F69" s="64">
        <v>22.23</v>
      </c>
      <c r="G69" s="64">
        <v>55.64</v>
      </c>
      <c r="H69" s="64">
        <v>22.83</v>
      </c>
      <c r="I69" s="64">
        <v>1.45</v>
      </c>
      <c r="J69" s="64">
        <v>0.85</v>
      </c>
      <c r="K69" s="64">
        <v>113.52</v>
      </c>
      <c r="L69" s="64">
        <v>22.53</v>
      </c>
      <c r="M69" s="64">
        <v>38.659999999999997</v>
      </c>
      <c r="N69" s="64">
        <v>130.80000000000001</v>
      </c>
      <c r="O69" s="64">
        <v>0</v>
      </c>
      <c r="P69" s="64">
        <v>0.32</v>
      </c>
      <c r="Q69" s="64">
        <v>5.12</v>
      </c>
      <c r="R69" s="198"/>
      <c r="S69" s="198"/>
      <c r="T69" s="198"/>
      <c r="U69" s="198"/>
    </row>
    <row r="70" spans="1:21" s="12" customFormat="1" x14ac:dyDescent="0.25">
      <c r="A70" s="214" t="s">
        <v>1173</v>
      </c>
      <c r="B70" s="64">
        <v>9.14</v>
      </c>
      <c r="C70" s="64">
        <v>45.3</v>
      </c>
      <c r="D70" s="64">
        <v>32.979999999999997</v>
      </c>
      <c r="E70" s="64">
        <v>0.68</v>
      </c>
      <c r="F70" s="64">
        <v>21.39</v>
      </c>
      <c r="G70" s="64">
        <v>55.64</v>
      </c>
      <c r="H70" s="64">
        <v>22.83</v>
      </c>
      <c r="I70" s="64">
        <v>1.46</v>
      </c>
      <c r="J70" s="64">
        <v>0.38</v>
      </c>
      <c r="K70" s="64">
        <v>109.81</v>
      </c>
      <c r="L70" s="64">
        <v>22.54</v>
      </c>
      <c r="M70" s="64">
        <v>39.82</v>
      </c>
      <c r="N70" s="64">
        <v>114</v>
      </c>
      <c r="O70" s="64">
        <v>0</v>
      </c>
      <c r="P70" s="64">
        <v>0.31</v>
      </c>
      <c r="Q70" s="64">
        <v>5.0999999999999996</v>
      </c>
      <c r="R70" s="198"/>
      <c r="S70" s="198"/>
      <c r="T70" s="198"/>
      <c r="U70" s="198"/>
    </row>
    <row r="71" spans="1:21" s="12" customFormat="1" x14ac:dyDescent="0.25">
      <c r="A71" s="214" t="s">
        <v>1174</v>
      </c>
      <c r="B71" s="64">
        <v>9.11</v>
      </c>
      <c r="C71" s="64">
        <v>45.44</v>
      </c>
      <c r="D71" s="64">
        <v>33.03</v>
      </c>
      <c r="E71" s="64">
        <v>0.59</v>
      </c>
      <c r="F71" s="64">
        <v>9.81</v>
      </c>
      <c r="G71" s="64">
        <v>52.9</v>
      </c>
      <c r="H71" s="64">
        <v>22.79</v>
      </c>
      <c r="I71" s="64">
        <v>1.57</v>
      </c>
      <c r="J71" s="64">
        <v>0.5</v>
      </c>
      <c r="K71" s="64">
        <v>104.24</v>
      </c>
      <c r="L71" s="64">
        <v>22.58</v>
      </c>
      <c r="M71" s="64">
        <v>39.26</v>
      </c>
      <c r="N71" s="64">
        <v>101.5</v>
      </c>
      <c r="O71" s="64">
        <v>0</v>
      </c>
      <c r="P71" s="64">
        <v>0.49</v>
      </c>
      <c r="Q71" s="64">
        <v>3.2</v>
      </c>
      <c r="R71" s="198"/>
      <c r="S71" s="198"/>
      <c r="T71" s="198"/>
      <c r="U71" s="198"/>
    </row>
    <row r="72" spans="1:21" s="12" customFormat="1" x14ac:dyDescent="0.25">
      <c r="A72" s="214" t="s">
        <v>1175</v>
      </c>
      <c r="B72" s="64">
        <v>9.2200000000000006</v>
      </c>
      <c r="C72" s="64">
        <v>45.31</v>
      </c>
      <c r="D72" s="64">
        <v>33.049999999999997</v>
      </c>
      <c r="E72" s="64">
        <v>0.38</v>
      </c>
      <c r="F72" s="64">
        <v>20.07</v>
      </c>
      <c r="G72" s="64">
        <v>41.95</v>
      </c>
      <c r="H72" s="64">
        <v>22.66</v>
      </c>
      <c r="I72" s="64">
        <v>1.38</v>
      </c>
      <c r="J72" s="64">
        <v>0.27</v>
      </c>
      <c r="K72" s="64">
        <v>101.19</v>
      </c>
      <c r="L72" s="64">
        <v>22.39</v>
      </c>
      <c r="M72" s="64">
        <v>39.049999999999997</v>
      </c>
      <c r="N72" s="64">
        <v>90.2</v>
      </c>
      <c r="O72" s="64">
        <v>0</v>
      </c>
      <c r="P72" s="64">
        <v>0.36</v>
      </c>
      <c r="Q72" s="64">
        <v>4.0199999999999996</v>
      </c>
      <c r="R72" s="198"/>
      <c r="S72" s="198"/>
      <c r="T72" s="198"/>
      <c r="U72" s="198"/>
    </row>
    <row r="73" spans="1:21" s="12" customFormat="1" x14ac:dyDescent="0.25">
      <c r="A73" s="214" t="s">
        <v>1176</v>
      </c>
      <c r="B73" s="64">
        <v>8.9700000000000006</v>
      </c>
      <c r="C73" s="64">
        <v>45.1</v>
      </c>
      <c r="D73" s="64">
        <v>32.729999999999997</v>
      </c>
      <c r="E73" s="64">
        <v>0.67</v>
      </c>
      <c r="F73" s="64">
        <v>14.46</v>
      </c>
      <c r="G73" s="64">
        <v>41.95</v>
      </c>
      <c r="H73" s="64">
        <v>22.66</v>
      </c>
      <c r="I73" s="64">
        <v>1.53</v>
      </c>
      <c r="J73" s="64">
        <v>0.46</v>
      </c>
      <c r="K73" s="64">
        <v>112.57</v>
      </c>
      <c r="L73" s="64">
        <v>22.23</v>
      </c>
      <c r="M73" s="64">
        <v>40.74</v>
      </c>
      <c r="N73" s="64">
        <v>77.8</v>
      </c>
      <c r="O73" s="64">
        <v>0</v>
      </c>
      <c r="P73" s="64">
        <v>0.36</v>
      </c>
      <c r="Q73" s="212" t="s">
        <v>42</v>
      </c>
      <c r="R73" s="198"/>
      <c r="S73" s="198"/>
      <c r="T73" s="198"/>
      <c r="U73" s="198"/>
    </row>
    <row r="74" spans="1:21" s="12" customFormat="1" x14ac:dyDescent="0.25">
      <c r="A74" s="214" t="s">
        <v>1177</v>
      </c>
      <c r="B74" s="64">
        <v>8.9700000000000006</v>
      </c>
      <c r="C74" s="64">
        <v>45.1</v>
      </c>
      <c r="D74" s="64">
        <v>32.729999999999997</v>
      </c>
      <c r="E74" s="64">
        <v>0.67</v>
      </c>
      <c r="F74" s="64">
        <v>14.46</v>
      </c>
      <c r="G74" s="64">
        <v>41.95</v>
      </c>
      <c r="H74" s="64">
        <v>22.66</v>
      </c>
      <c r="I74" s="64">
        <v>1.53</v>
      </c>
      <c r="J74" s="64">
        <v>0.46</v>
      </c>
      <c r="K74" s="64">
        <v>112.57</v>
      </c>
      <c r="L74" s="64">
        <v>22.23</v>
      </c>
      <c r="M74" s="64">
        <v>40.74</v>
      </c>
      <c r="N74" s="64">
        <v>77.8</v>
      </c>
      <c r="O74" s="64">
        <v>0</v>
      </c>
      <c r="P74" s="64">
        <v>0.36</v>
      </c>
      <c r="Q74" s="212" t="s">
        <v>42</v>
      </c>
      <c r="R74" s="198"/>
      <c r="S74" s="198"/>
      <c r="T74" s="198"/>
      <c r="U74" s="198"/>
    </row>
    <row r="75" spans="1:21" s="12" customFormat="1" x14ac:dyDescent="0.25">
      <c r="A75" s="214" t="s">
        <v>1178</v>
      </c>
      <c r="B75" s="64">
        <v>8.17</v>
      </c>
      <c r="C75" s="64">
        <v>43.95</v>
      </c>
      <c r="D75" s="64">
        <v>31.46</v>
      </c>
      <c r="E75" s="64">
        <v>0.52</v>
      </c>
      <c r="F75" s="64">
        <v>6.87</v>
      </c>
      <c r="G75" s="64">
        <v>42.71</v>
      </c>
      <c r="H75" s="64">
        <v>22.12</v>
      </c>
      <c r="I75" s="64">
        <v>1.48</v>
      </c>
      <c r="J75" s="64">
        <v>0.33</v>
      </c>
      <c r="K75" s="64">
        <v>94.72</v>
      </c>
      <c r="L75" s="64">
        <v>21.76</v>
      </c>
      <c r="M75" s="64">
        <v>43.08</v>
      </c>
      <c r="N75" s="64">
        <v>59.4</v>
      </c>
      <c r="O75" s="64">
        <v>0</v>
      </c>
      <c r="P75" s="64">
        <v>0.42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4" t="s">
        <v>1179</v>
      </c>
      <c r="B76" s="64">
        <v>8</v>
      </c>
      <c r="C76" s="64">
        <v>45.01</v>
      </c>
      <c r="D76" s="64">
        <v>31.9</v>
      </c>
      <c r="E76" s="64">
        <v>0.59</v>
      </c>
      <c r="F76" s="64">
        <v>5.01</v>
      </c>
      <c r="G76" s="64">
        <v>46.43</v>
      </c>
      <c r="H76" s="64">
        <v>18.89</v>
      </c>
      <c r="I76" s="64">
        <v>1.52</v>
      </c>
      <c r="J76" s="64">
        <v>0.19</v>
      </c>
      <c r="K76" s="64">
        <v>84.21</v>
      </c>
      <c r="L76" s="64">
        <v>21.34</v>
      </c>
      <c r="M76" s="64">
        <v>44.67</v>
      </c>
      <c r="N76" s="64">
        <v>40.5</v>
      </c>
      <c r="O76" s="64">
        <v>0</v>
      </c>
      <c r="P76" s="64">
        <v>0.62</v>
      </c>
      <c r="Q76" s="64">
        <v>3.85</v>
      </c>
      <c r="R76" s="198"/>
      <c r="S76" s="198"/>
      <c r="T76" s="198"/>
      <c r="U76" s="198"/>
    </row>
    <row r="77" spans="1:21" s="12" customFormat="1" x14ac:dyDescent="0.25">
      <c r="A77" s="214" t="s">
        <v>1180</v>
      </c>
      <c r="B77" s="64">
        <v>8.84</v>
      </c>
      <c r="C77" s="64">
        <v>46.37</v>
      </c>
      <c r="D77" s="64">
        <v>33.33</v>
      </c>
      <c r="E77" s="64">
        <v>0.55000000000000004</v>
      </c>
      <c r="F77" s="64">
        <v>4.82</v>
      </c>
      <c r="G77" s="64">
        <v>46.43</v>
      </c>
      <c r="H77" s="64">
        <v>18.89</v>
      </c>
      <c r="I77" s="64">
        <v>1.49</v>
      </c>
      <c r="J77" s="64">
        <v>0.17</v>
      </c>
      <c r="K77" s="64">
        <v>77.53</v>
      </c>
      <c r="L77" s="64">
        <v>20.96</v>
      </c>
      <c r="M77" s="64">
        <v>46.4</v>
      </c>
      <c r="N77" s="64">
        <v>27.7</v>
      </c>
      <c r="O77" s="64">
        <v>0</v>
      </c>
      <c r="P77" s="64">
        <v>0.57999999999999996</v>
      </c>
      <c r="Q77" s="64">
        <v>4.33</v>
      </c>
      <c r="R77" s="198"/>
      <c r="S77" s="198"/>
      <c r="T77" s="198"/>
      <c r="U77" s="198"/>
    </row>
    <row r="78" spans="1:21" s="12" customFormat="1" x14ac:dyDescent="0.25">
      <c r="A78" s="214" t="s">
        <v>1181</v>
      </c>
      <c r="B78" s="64">
        <v>9.93</v>
      </c>
      <c r="C78" s="64">
        <v>47.71</v>
      </c>
      <c r="D78" s="64">
        <v>34.950000000000003</v>
      </c>
      <c r="E78" s="64">
        <v>0.61</v>
      </c>
      <c r="F78" s="64">
        <v>4.47</v>
      </c>
      <c r="G78" s="64">
        <v>46.43</v>
      </c>
      <c r="H78" s="64">
        <v>18.89</v>
      </c>
      <c r="I78" s="64">
        <v>1.45</v>
      </c>
      <c r="J78" s="64">
        <v>0.06</v>
      </c>
      <c r="K78" s="64">
        <v>8.67</v>
      </c>
      <c r="L78" s="64">
        <v>20.37</v>
      </c>
      <c r="M78" s="64">
        <v>53.56</v>
      </c>
      <c r="N78" s="64">
        <v>23.4</v>
      </c>
      <c r="O78" s="64">
        <v>0</v>
      </c>
      <c r="P78" s="64">
        <v>1.04</v>
      </c>
      <c r="Q78" s="64">
        <v>2.89</v>
      </c>
      <c r="R78" s="198"/>
      <c r="S78" s="198"/>
      <c r="T78" s="198"/>
      <c r="U78" s="198"/>
    </row>
    <row r="79" spans="1:21" s="12" customFormat="1" x14ac:dyDescent="0.25">
      <c r="A79" s="214" t="s">
        <v>1182</v>
      </c>
      <c r="B79" s="64">
        <v>15.09</v>
      </c>
      <c r="C79" s="64">
        <v>49.32</v>
      </c>
      <c r="D79" s="64">
        <v>39.97</v>
      </c>
      <c r="E79" s="64">
        <v>0.66</v>
      </c>
      <c r="F79" s="64">
        <v>3.72</v>
      </c>
      <c r="G79" s="64">
        <v>54.66</v>
      </c>
      <c r="H79" s="64">
        <v>19.170000000000002</v>
      </c>
      <c r="I79" s="64">
        <v>1.52</v>
      </c>
      <c r="J79" s="64">
        <v>7.0000000000000007E-2</v>
      </c>
      <c r="K79" s="64">
        <v>359.07</v>
      </c>
      <c r="L79" s="64">
        <v>19.7</v>
      </c>
      <c r="M79" s="64">
        <v>60.97</v>
      </c>
      <c r="N79" s="64">
        <v>22.6</v>
      </c>
      <c r="O79" s="64">
        <v>0</v>
      </c>
      <c r="P79" s="64">
        <v>1.27</v>
      </c>
      <c r="Q79" s="64">
        <v>1.46</v>
      </c>
      <c r="R79" s="198"/>
      <c r="S79" s="198"/>
      <c r="T79" s="198"/>
      <c r="U79" s="198"/>
    </row>
    <row r="80" spans="1:21" s="12" customFormat="1" x14ac:dyDescent="0.25">
      <c r="A80" s="214" t="s">
        <v>1183</v>
      </c>
      <c r="B80" s="64">
        <v>21.75</v>
      </c>
      <c r="C80" s="64">
        <v>51.15</v>
      </c>
      <c r="D80" s="64">
        <v>46.32</v>
      </c>
      <c r="E80" s="64">
        <v>0.74</v>
      </c>
      <c r="F80" s="64">
        <v>3.46</v>
      </c>
      <c r="G80" s="64">
        <v>87.55</v>
      </c>
      <c r="H80" s="64">
        <v>19.940000000000001</v>
      </c>
      <c r="I80" s="64">
        <v>1.44</v>
      </c>
      <c r="J80" s="64">
        <v>0.04</v>
      </c>
      <c r="K80" s="64">
        <v>351.12</v>
      </c>
      <c r="L80" s="64">
        <v>18.91</v>
      </c>
      <c r="M80" s="64">
        <v>61.54</v>
      </c>
      <c r="N80" s="64">
        <v>22.5</v>
      </c>
      <c r="O80" s="64">
        <v>0</v>
      </c>
      <c r="P80" s="64">
        <v>1.26</v>
      </c>
      <c r="Q80" s="64">
        <v>1.06</v>
      </c>
      <c r="R80" s="198"/>
      <c r="S80" s="198"/>
      <c r="T80" s="198"/>
      <c r="U80" s="198"/>
    </row>
    <row r="81" spans="1:26" s="12" customFormat="1" x14ac:dyDescent="0.25">
      <c r="A81" s="214" t="s">
        <v>1184</v>
      </c>
      <c r="B81" s="64">
        <v>28.74</v>
      </c>
      <c r="C81" s="64">
        <v>52.75</v>
      </c>
      <c r="D81" s="64">
        <v>52.81</v>
      </c>
      <c r="E81" s="64">
        <v>0.66</v>
      </c>
      <c r="F81" s="64">
        <v>3.56</v>
      </c>
      <c r="G81" s="64">
        <v>87.55</v>
      </c>
      <c r="H81" s="64">
        <v>19.940000000000001</v>
      </c>
      <c r="I81" s="64">
        <v>1.49</v>
      </c>
      <c r="J81" s="64">
        <v>0.05</v>
      </c>
      <c r="K81" s="64">
        <v>24.39</v>
      </c>
      <c r="L81" s="64">
        <v>18.29</v>
      </c>
      <c r="M81" s="64">
        <v>65.67</v>
      </c>
      <c r="N81" s="64">
        <v>22.4</v>
      </c>
      <c r="O81" s="64">
        <v>0</v>
      </c>
      <c r="P81" s="64">
        <v>1.34</v>
      </c>
      <c r="Q81" s="64">
        <v>1.75</v>
      </c>
      <c r="R81" s="198"/>
      <c r="S81" s="198"/>
      <c r="T81" s="198"/>
      <c r="U81" s="198"/>
    </row>
    <row r="82" spans="1:26" s="12" customFormat="1" x14ac:dyDescent="0.25">
      <c r="A82" s="214" t="s">
        <v>1185</v>
      </c>
      <c r="B82" s="64">
        <v>38.03</v>
      </c>
      <c r="C82" s="64">
        <v>54.45</v>
      </c>
      <c r="D82" s="64">
        <v>61.19</v>
      </c>
      <c r="E82" s="64">
        <v>0.72</v>
      </c>
      <c r="F82" s="64">
        <v>3.4</v>
      </c>
      <c r="G82" s="64">
        <v>87.55</v>
      </c>
      <c r="H82" s="64">
        <v>19.940000000000001</v>
      </c>
      <c r="I82" s="64">
        <v>1.5</v>
      </c>
      <c r="J82" s="64">
        <v>0.1</v>
      </c>
      <c r="K82" s="64">
        <v>40.99</v>
      </c>
      <c r="L82" s="64">
        <v>18.12</v>
      </c>
      <c r="M82" s="64">
        <v>68.69</v>
      </c>
      <c r="N82" s="64">
        <v>22</v>
      </c>
      <c r="O82" s="64">
        <v>0</v>
      </c>
      <c r="P82" s="64">
        <v>1.87</v>
      </c>
      <c r="Q82" s="64">
        <v>0.63</v>
      </c>
      <c r="R82" s="198"/>
      <c r="S82" s="198"/>
      <c r="T82" s="198"/>
      <c r="U82" s="198"/>
    </row>
    <row r="83" spans="1:26" s="12" customFormat="1" x14ac:dyDescent="0.25">
      <c r="A83" s="214" t="s">
        <v>1186</v>
      </c>
      <c r="B83" s="64">
        <v>44.82</v>
      </c>
      <c r="C83" s="64">
        <v>55.61</v>
      </c>
      <c r="D83" s="64">
        <v>67.28</v>
      </c>
      <c r="E83" s="64">
        <v>0.79</v>
      </c>
      <c r="F83" s="64">
        <v>3.46</v>
      </c>
      <c r="G83" s="64">
        <v>104.85</v>
      </c>
      <c r="H83" s="64">
        <v>26.28</v>
      </c>
      <c r="I83" s="64">
        <v>1.52</v>
      </c>
      <c r="J83" s="64">
        <v>0.17</v>
      </c>
      <c r="K83" s="64">
        <v>74.86</v>
      </c>
      <c r="L83" s="64">
        <v>18.559999999999999</v>
      </c>
      <c r="M83" s="64">
        <v>62.34</v>
      </c>
      <c r="N83" s="64">
        <v>21.6</v>
      </c>
      <c r="O83" s="64">
        <v>0</v>
      </c>
      <c r="P83" s="64">
        <v>2.04</v>
      </c>
      <c r="Q83" s="64">
        <v>1.85</v>
      </c>
      <c r="R83" s="198"/>
      <c r="S83" s="198"/>
      <c r="T83" s="198"/>
      <c r="U83" s="198"/>
    </row>
    <row r="84" spans="1:26" s="12" customFormat="1" x14ac:dyDescent="0.25">
      <c r="A84" s="214" t="s">
        <v>1187</v>
      </c>
      <c r="B84" s="64">
        <v>48.75</v>
      </c>
      <c r="C84" s="64">
        <v>56.24</v>
      </c>
      <c r="D84" s="64">
        <v>70.78</v>
      </c>
      <c r="E84" s="64">
        <v>0.67</v>
      </c>
      <c r="F84" s="64">
        <v>3.62</v>
      </c>
      <c r="G84" s="64">
        <v>174.09</v>
      </c>
      <c r="H84" s="64">
        <v>44.54</v>
      </c>
      <c r="I84" s="64">
        <v>1.53</v>
      </c>
      <c r="J84" s="64">
        <v>0.15</v>
      </c>
      <c r="K84" s="64">
        <v>346.47</v>
      </c>
      <c r="L84" s="64">
        <v>18.62</v>
      </c>
      <c r="M84" s="64">
        <v>62.63</v>
      </c>
      <c r="N84" s="64">
        <v>21.9</v>
      </c>
      <c r="O84" s="64">
        <v>0</v>
      </c>
      <c r="P84" s="64">
        <v>2.38</v>
      </c>
      <c r="Q84" s="64">
        <v>3.32</v>
      </c>
      <c r="R84" s="198"/>
      <c r="S84" s="198"/>
      <c r="T84" s="198"/>
      <c r="U84" s="198"/>
    </row>
    <row r="85" spans="1:26" s="12" customFormat="1" x14ac:dyDescent="0.25">
      <c r="A85" s="214" t="s">
        <v>1188</v>
      </c>
      <c r="B85" s="64">
        <v>51.23</v>
      </c>
      <c r="C85" s="64">
        <v>56.98</v>
      </c>
      <c r="D85" s="64">
        <v>73.17</v>
      </c>
      <c r="E85" s="64">
        <v>0.72</v>
      </c>
      <c r="F85" s="64">
        <v>3.55</v>
      </c>
      <c r="G85" s="64">
        <v>174.09</v>
      </c>
      <c r="H85" s="64">
        <v>44.54</v>
      </c>
      <c r="I85" s="64">
        <v>1.51</v>
      </c>
      <c r="J85" s="64">
        <v>0.11</v>
      </c>
      <c r="K85" s="64">
        <v>11.99</v>
      </c>
      <c r="L85" s="64">
        <v>18.41</v>
      </c>
      <c r="M85" s="64">
        <v>61.36</v>
      </c>
      <c r="N85" s="64">
        <v>22</v>
      </c>
      <c r="O85" s="64">
        <v>0</v>
      </c>
      <c r="P85" s="64">
        <v>1.9</v>
      </c>
      <c r="Q85" s="64">
        <v>3.5</v>
      </c>
      <c r="R85" s="198"/>
      <c r="S85" s="198"/>
      <c r="T85" s="198"/>
      <c r="U85" s="198"/>
    </row>
    <row r="86" spans="1:26" s="12" customFormat="1" x14ac:dyDescent="0.25">
      <c r="A86" s="214" t="s">
        <v>1189</v>
      </c>
      <c r="B86" s="64">
        <v>51.69</v>
      </c>
      <c r="C86" s="64">
        <v>57.85</v>
      </c>
      <c r="D86" s="64">
        <v>74.03</v>
      </c>
      <c r="E86" s="64">
        <v>0.56999999999999995</v>
      </c>
      <c r="F86" s="64">
        <v>4</v>
      </c>
      <c r="G86" s="64">
        <v>174.09</v>
      </c>
      <c r="H86" s="64">
        <v>44.54</v>
      </c>
      <c r="I86" s="64">
        <v>1.52</v>
      </c>
      <c r="J86" s="64">
        <v>0.11</v>
      </c>
      <c r="K86" s="64">
        <v>6.26</v>
      </c>
      <c r="L86" s="64">
        <v>18.37</v>
      </c>
      <c r="M86" s="64">
        <v>60.76</v>
      </c>
      <c r="N86" s="64">
        <v>21.8</v>
      </c>
      <c r="O86" s="64">
        <v>0</v>
      </c>
      <c r="P86" s="64">
        <v>1.71</v>
      </c>
      <c r="Q86" s="64">
        <v>5.28</v>
      </c>
      <c r="R86" s="198"/>
      <c r="S86" s="198"/>
      <c r="T86" s="198"/>
      <c r="U86" s="198"/>
    </row>
    <row r="87" spans="1:26" s="12" customFormat="1" x14ac:dyDescent="0.25">
      <c r="A87" s="214" t="s">
        <v>1190</v>
      </c>
      <c r="B87" s="64">
        <v>51.28</v>
      </c>
      <c r="C87" s="64">
        <v>58.62</v>
      </c>
      <c r="D87" s="64">
        <v>74.13</v>
      </c>
      <c r="E87" s="64">
        <v>0.63</v>
      </c>
      <c r="F87" s="64">
        <v>3.88</v>
      </c>
      <c r="G87" s="64">
        <v>165.9</v>
      </c>
      <c r="H87" s="64">
        <v>46.17</v>
      </c>
      <c r="I87" s="64">
        <v>1.58</v>
      </c>
      <c r="J87" s="64">
        <v>0.19</v>
      </c>
      <c r="K87" s="64">
        <v>77.86</v>
      </c>
      <c r="L87" s="64">
        <v>18.41</v>
      </c>
      <c r="M87" s="64">
        <v>60.69</v>
      </c>
      <c r="N87" s="64">
        <v>22</v>
      </c>
      <c r="O87" s="64">
        <v>0</v>
      </c>
      <c r="P87" s="64">
        <v>1.53</v>
      </c>
      <c r="Q87" s="64">
        <v>6.75</v>
      </c>
      <c r="R87" s="198"/>
      <c r="S87" s="198"/>
      <c r="T87" s="198"/>
      <c r="U87" s="198"/>
    </row>
    <row r="88" spans="1:26" s="12" customFormat="1" x14ac:dyDescent="0.25">
      <c r="A88" s="214" t="s">
        <v>1191</v>
      </c>
      <c r="B88" s="64">
        <v>49.26</v>
      </c>
      <c r="C88" s="64">
        <v>58.48</v>
      </c>
      <c r="D88" s="64">
        <v>72.42</v>
      </c>
      <c r="E88" s="64">
        <v>0.33</v>
      </c>
      <c r="F88" s="64">
        <v>4.5199999999999996</v>
      </c>
      <c r="G88" s="64">
        <v>133.15</v>
      </c>
      <c r="H88" s="64">
        <v>50.61</v>
      </c>
      <c r="I88" s="64">
        <v>1.55</v>
      </c>
      <c r="J88" s="64">
        <v>0.1</v>
      </c>
      <c r="K88" s="64">
        <v>52.33</v>
      </c>
      <c r="L88" s="64">
        <v>18.13</v>
      </c>
      <c r="M88" s="64">
        <v>61.83</v>
      </c>
      <c r="N88" s="64">
        <v>22</v>
      </c>
      <c r="O88" s="64">
        <v>0</v>
      </c>
      <c r="P88" s="64">
        <v>1.38</v>
      </c>
      <c r="Q88" s="64">
        <v>8.7100000000000009</v>
      </c>
      <c r="R88" s="198"/>
      <c r="S88" s="198"/>
      <c r="T88" s="198"/>
      <c r="U88" s="198"/>
    </row>
    <row r="89" spans="1:26" s="12" customFormat="1" x14ac:dyDescent="0.25">
      <c r="A89" s="214" t="s">
        <v>1192</v>
      </c>
      <c r="B89" s="64">
        <v>46.98</v>
      </c>
      <c r="C89" s="64">
        <v>57.48</v>
      </c>
      <c r="D89" s="64">
        <v>70.040000000000006</v>
      </c>
      <c r="E89" s="64">
        <v>0.51</v>
      </c>
      <c r="F89" s="64">
        <v>4.9800000000000004</v>
      </c>
      <c r="G89" s="64">
        <v>133.15</v>
      </c>
      <c r="H89" s="64">
        <v>50.61</v>
      </c>
      <c r="I89" s="64">
        <v>1.52</v>
      </c>
      <c r="J89" s="64">
        <v>0.1</v>
      </c>
      <c r="K89" s="64">
        <v>58.99</v>
      </c>
      <c r="L89" s="64">
        <v>17.989999999999998</v>
      </c>
      <c r="M89" s="64">
        <v>62.11</v>
      </c>
      <c r="N89" s="64">
        <v>22</v>
      </c>
      <c r="O89" s="64">
        <v>0</v>
      </c>
      <c r="P89" s="64">
        <v>1.43</v>
      </c>
      <c r="Q89" s="64">
        <v>8.6</v>
      </c>
      <c r="R89" s="198"/>
      <c r="S89" s="198"/>
      <c r="T89" s="198"/>
      <c r="U89" s="198"/>
    </row>
    <row r="90" spans="1:26" s="12" customFormat="1" x14ac:dyDescent="0.25">
      <c r="A90" s="214" t="s">
        <v>1193</v>
      </c>
      <c r="B90" s="64">
        <v>45.25</v>
      </c>
      <c r="C90" s="64">
        <v>56.66</v>
      </c>
      <c r="D90" s="64">
        <v>68.2</v>
      </c>
      <c r="E90" s="64">
        <v>0.55000000000000004</v>
      </c>
      <c r="F90" s="64">
        <v>6.31</v>
      </c>
      <c r="G90" s="64">
        <v>133.15</v>
      </c>
      <c r="H90" s="64">
        <v>50.61</v>
      </c>
      <c r="I90" s="64">
        <v>1.45</v>
      </c>
      <c r="J90" s="64">
        <v>0.15</v>
      </c>
      <c r="K90" s="64">
        <v>95.02</v>
      </c>
      <c r="L90" s="64">
        <v>17.88</v>
      </c>
      <c r="M90" s="64">
        <v>63.13</v>
      </c>
      <c r="N90" s="64">
        <v>22</v>
      </c>
      <c r="O90" s="64">
        <v>0</v>
      </c>
      <c r="P90" s="64">
        <v>1.07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4" t="s">
        <v>1194</v>
      </c>
      <c r="B91" s="64">
        <v>42.96</v>
      </c>
      <c r="C91" s="64">
        <v>55.93</v>
      </c>
      <c r="D91" s="64">
        <v>65.959999999999994</v>
      </c>
      <c r="E91" s="64">
        <v>0.49</v>
      </c>
      <c r="F91" s="64">
        <v>6.84</v>
      </c>
      <c r="G91" s="64">
        <v>126.99</v>
      </c>
      <c r="H91" s="64">
        <v>49.59</v>
      </c>
      <c r="I91" s="64">
        <v>1.57</v>
      </c>
      <c r="J91" s="64">
        <v>0.15</v>
      </c>
      <c r="K91" s="64">
        <v>55.98</v>
      </c>
      <c r="L91" s="64">
        <v>17.89</v>
      </c>
      <c r="M91" s="64">
        <v>61.84</v>
      </c>
      <c r="N91" s="64">
        <v>22</v>
      </c>
      <c r="O91" s="64">
        <v>0</v>
      </c>
      <c r="P91" s="64">
        <v>0.95</v>
      </c>
      <c r="Q91" s="64">
        <v>10.41</v>
      </c>
      <c r="R91" s="198"/>
      <c r="S91" s="198"/>
      <c r="T91" s="198"/>
      <c r="U91" s="198"/>
    </row>
    <row r="92" spans="1:26" s="12" customFormat="1" x14ac:dyDescent="0.25">
      <c r="A92" s="214" t="s">
        <v>1195</v>
      </c>
      <c r="B92" s="64">
        <v>41.2</v>
      </c>
      <c r="C92" s="64">
        <v>55.54</v>
      </c>
      <c r="D92" s="64">
        <v>64.33</v>
      </c>
      <c r="E92" s="64">
        <v>0.5</v>
      </c>
      <c r="F92" s="64">
        <v>5.24</v>
      </c>
      <c r="G92" s="64">
        <v>102.33</v>
      </c>
      <c r="H92" s="64">
        <v>44.62</v>
      </c>
      <c r="I92" s="64">
        <v>1.5</v>
      </c>
      <c r="J92" s="64">
        <v>0.16</v>
      </c>
      <c r="K92" s="64">
        <v>58.18</v>
      </c>
      <c r="L92" s="64">
        <v>17.87</v>
      </c>
      <c r="M92" s="64">
        <v>61.4</v>
      </c>
      <c r="N92" s="64">
        <v>22.2</v>
      </c>
      <c r="O92" s="64">
        <v>0</v>
      </c>
      <c r="P92" s="64">
        <v>1.05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4" t="s">
        <v>1196</v>
      </c>
      <c r="B93" s="64">
        <v>39.44</v>
      </c>
      <c r="C93" s="64">
        <v>55.11</v>
      </c>
      <c r="D93" s="64">
        <v>62.69</v>
      </c>
      <c r="E93" s="64">
        <v>0.45</v>
      </c>
      <c r="F93" s="64">
        <v>5.89</v>
      </c>
      <c r="G93" s="64">
        <v>102.33</v>
      </c>
      <c r="H93" s="64">
        <v>44.62</v>
      </c>
      <c r="I93" s="64">
        <v>1.47</v>
      </c>
      <c r="J93" s="64">
        <v>0.16</v>
      </c>
      <c r="K93" s="64">
        <v>92.74</v>
      </c>
      <c r="L93" s="64">
        <v>17.63</v>
      </c>
      <c r="M93" s="64">
        <v>63.19</v>
      </c>
      <c r="N93" s="64">
        <v>22</v>
      </c>
      <c r="O93" s="64">
        <v>0</v>
      </c>
      <c r="P93" s="64">
        <v>0.93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1197</v>
      </c>
      <c r="B94" s="64">
        <v>37.590000000000003</v>
      </c>
      <c r="C94" s="64">
        <v>54.46</v>
      </c>
      <c r="D94" s="64">
        <v>60.85</v>
      </c>
      <c r="E94" s="64">
        <v>0.39</v>
      </c>
      <c r="F94" s="64">
        <v>5.44</v>
      </c>
      <c r="G94" s="64">
        <v>102.33</v>
      </c>
      <c r="H94" s="64">
        <v>44.62</v>
      </c>
      <c r="I94" s="64">
        <v>1.5</v>
      </c>
      <c r="J94" s="64">
        <v>0.11</v>
      </c>
      <c r="K94" s="64">
        <v>112.91</v>
      </c>
      <c r="L94" s="64">
        <v>17.57</v>
      </c>
      <c r="M94" s="64">
        <v>63.97</v>
      </c>
      <c r="N94" s="64">
        <v>22.2</v>
      </c>
      <c r="O94" s="64">
        <v>0</v>
      </c>
      <c r="P94" s="64">
        <v>0.9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4" t="s">
        <v>1198</v>
      </c>
      <c r="B95" s="64">
        <v>36.08</v>
      </c>
      <c r="C95" s="64">
        <v>54.54</v>
      </c>
      <c r="D95" s="64">
        <v>59.68</v>
      </c>
      <c r="E95" s="64">
        <v>0.44</v>
      </c>
      <c r="F95" s="64">
        <v>5.0199999999999996</v>
      </c>
      <c r="G95" s="64">
        <v>98.1</v>
      </c>
      <c r="H95" s="64">
        <v>37.89</v>
      </c>
      <c r="I95" s="64">
        <v>1.53</v>
      </c>
      <c r="J95" s="64">
        <v>0.23</v>
      </c>
      <c r="K95" s="64">
        <v>115.03</v>
      </c>
      <c r="L95" s="64">
        <v>17.600000000000001</v>
      </c>
      <c r="M95" s="64">
        <v>64.41</v>
      </c>
      <c r="N95" s="64">
        <v>21.7</v>
      </c>
      <c r="O95" s="64">
        <v>0</v>
      </c>
      <c r="P95" s="64">
        <v>0.92</v>
      </c>
      <c r="Q95" s="64">
        <v>8.76</v>
      </c>
      <c r="R95" s="198"/>
      <c r="S95" s="198"/>
      <c r="T95" s="198"/>
      <c r="U95" s="198"/>
    </row>
    <row r="96" spans="1:26" s="12" customFormat="1" x14ac:dyDescent="0.25">
      <c r="A96" s="214" t="s">
        <v>1199</v>
      </c>
      <c r="B96" s="64">
        <v>34.57</v>
      </c>
      <c r="C96" s="64">
        <v>54.47</v>
      </c>
      <c r="D96" s="64">
        <v>58.43</v>
      </c>
      <c r="E96" s="64">
        <v>0.35</v>
      </c>
      <c r="F96" s="64">
        <v>5.96</v>
      </c>
      <c r="G96" s="64">
        <v>81.180000000000007</v>
      </c>
      <c r="H96" s="64">
        <v>19.579999999999998</v>
      </c>
      <c r="I96" s="64">
        <v>1.54</v>
      </c>
      <c r="J96" s="64">
        <v>0.15</v>
      </c>
      <c r="K96" s="64">
        <v>124.72</v>
      </c>
      <c r="L96" s="64">
        <v>17.54</v>
      </c>
      <c r="M96" s="64">
        <v>64.37</v>
      </c>
      <c r="N96" s="64">
        <v>22.1</v>
      </c>
      <c r="O96" s="64">
        <v>0</v>
      </c>
      <c r="P96" s="64">
        <v>0.82</v>
      </c>
      <c r="Q96" s="64">
        <v>8.8699999999999992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1200</v>
      </c>
      <c r="B97" s="64">
        <v>33.18</v>
      </c>
      <c r="C97" s="64">
        <v>54.02</v>
      </c>
      <c r="D97" s="64">
        <v>57.06</v>
      </c>
      <c r="E97" s="64">
        <v>0.33</v>
      </c>
      <c r="F97" s="64">
        <v>5.1100000000000003</v>
      </c>
      <c r="G97" s="64">
        <v>81.180000000000007</v>
      </c>
      <c r="H97" s="64">
        <v>19.579999999999998</v>
      </c>
      <c r="I97" s="64">
        <v>1.54</v>
      </c>
      <c r="J97" s="64">
        <v>0.11</v>
      </c>
      <c r="K97" s="64">
        <v>317.39999999999998</v>
      </c>
      <c r="L97" s="64">
        <v>17.170000000000002</v>
      </c>
      <c r="M97" s="64">
        <v>68.209999999999994</v>
      </c>
      <c r="N97" s="64">
        <v>22.5</v>
      </c>
      <c r="O97" s="64">
        <v>0</v>
      </c>
      <c r="P97" s="64">
        <v>0.97</v>
      </c>
      <c r="Q97" s="64">
        <v>6.44</v>
      </c>
      <c r="R97" s="198"/>
      <c r="S97" s="198"/>
      <c r="T97" s="198"/>
      <c r="U97" s="198"/>
    </row>
    <row r="98" spans="1:33" s="12" customFormat="1" x14ac:dyDescent="0.25">
      <c r="A98" s="214" t="s">
        <v>1201</v>
      </c>
      <c r="B98" s="64">
        <v>35.08</v>
      </c>
      <c r="C98" s="64">
        <v>54.41</v>
      </c>
      <c r="D98" s="64">
        <v>58.81</v>
      </c>
      <c r="E98" s="64">
        <v>0.53</v>
      </c>
      <c r="F98" s="64">
        <v>3.94</v>
      </c>
      <c r="G98" s="64">
        <v>81.180000000000007</v>
      </c>
      <c r="H98" s="64">
        <v>19.579999999999998</v>
      </c>
      <c r="I98" s="64">
        <v>1.59</v>
      </c>
      <c r="J98" s="64">
        <v>0.02</v>
      </c>
      <c r="K98" s="64">
        <v>283.45999999999998</v>
      </c>
      <c r="L98" s="64">
        <v>16.77</v>
      </c>
      <c r="M98" s="64">
        <v>70.92</v>
      </c>
      <c r="N98" s="64">
        <v>22</v>
      </c>
      <c r="O98" s="64">
        <v>0</v>
      </c>
      <c r="P98" s="64">
        <v>1.39</v>
      </c>
      <c r="Q98" s="6" t="s">
        <v>42</v>
      </c>
      <c r="R98" s="198"/>
      <c r="S98" s="198"/>
      <c r="T98" s="198"/>
      <c r="U98" s="198"/>
    </row>
    <row r="99" spans="1:33" s="12" customFormat="1" x14ac:dyDescent="0.25">
      <c r="A99" s="214" t="s">
        <v>1202</v>
      </c>
      <c r="B99" s="64">
        <v>37.17</v>
      </c>
      <c r="C99" s="64">
        <v>54.73</v>
      </c>
      <c r="D99" s="64">
        <v>60.66</v>
      </c>
      <c r="E99" s="64">
        <v>0.45</v>
      </c>
      <c r="F99" s="64">
        <v>3.82</v>
      </c>
      <c r="G99" s="64">
        <v>86.2</v>
      </c>
      <c r="H99" s="64">
        <v>19.579999999999998</v>
      </c>
      <c r="I99" s="64">
        <v>1.5</v>
      </c>
      <c r="J99" s="64">
        <v>0.11</v>
      </c>
      <c r="K99" s="64">
        <v>322.33999999999997</v>
      </c>
      <c r="L99" s="64">
        <v>16.84</v>
      </c>
      <c r="M99" s="64">
        <v>71.040000000000006</v>
      </c>
      <c r="N99" s="64">
        <v>22.4</v>
      </c>
      <c r="O99" s="64">
        <v>0</v>
      </c>
      <c r="P99" s="64">
        <v>1.06</v>
      </c>
      <c r="Q99" s="64">
        <v>2.0699999999999998</v>
      </c>
      <c r="R99" s="198"/>
      <c r="S99" s="198"/>
      <c r="T99" s="198"/>
      <c r="U99" s="198"/>
    </row>
    <row r="100" spans="1:33" s="12" customFormat="1" x14ac:dyDescent="0.25">
      <c r="A100" s="214" t="s">
        <v>1203</v>
      </c>
      <c r="B100" s="64">
        <v>37.35</v>
      </c>
      <c r="C100" s="64">
        <v>54.45</v>
      </c>
      <c r="D100" s="64">
        <v>60.65</v>
      </c>
      <c r="E100" s="64">
        <v>0.41</v>
      </c>
      <c r="F100" s="64">
        <v>4.75</v>
      </c>
      <c r="G100" s="64">
        <v>106.29</v>
      </c>
      <c r="H100" s="64">
        <v>197.71</v>
      </c>
      <c r="I100" s="64">
        <v>1.52</v>
      </c>
      <c r="J100" s="64">
        <v>0.2</v>
      </c>
      <c r="K100" s="64">
        <v>298.58</v>
      </c>
      <c r="L100" s="64">
        <v>16.54</v>
      </c>
      <c r="M100" s="64">
        <v>73.59</v>
      </c>
      <c r="N100" s="64">
        <v>22.4</v>
      </c>
      <c r="O100" s="64">
        <v>0</v>
      </c>
      <c r="P100" s="64">
        <v>0.94</v>
      </c>
      <c r="Q100" s="64">
        <v>5.76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1204</v>
      </c>
      <c r="B101" s="64">
        <v>37.53</v>
      </c>
      <c r="C101" s="64">
        <v>54.2</v>
      </c>
      <c r="D101" s="64">
        <v>60.65</v>
      </c>
      <c r="E101" s="64">
        <v>0.39</v>
      </c>
      <c r="F101" s="64">
        <v>4.16</v>
      </c>
      <c r="G101" s="64">
        <v>106.29</v>
      </c>
      <c r="H101" s="64">
        <v>197.71</v>
      </c>
      <c r="I101" s="64">
        <v>1.43</v>
      </c>
      <c r="J101" s="64">
        <v>0.08</v>
      </c>
      <c r="K101" s="64">
        <v>326.83999999999997</v>
      </c>
      <c r="L101" s="64">
        <v>15.71</v>
      </c>
      <c r="M101" s="64">
        <v>79.790000000000006</v>
      </c>
      <c r="N101" s="64">
        <v>22.6</v>
      </c>
      <c r="O101" s="64">
        <v>0</v>
      </c>
      <c r="P101" s="64">
        <v>0.92</v>
      </c>
      <c r="Q101" s="64">
        <v>5.34</v>
      </c>
      <c r="R101" s="198"/>
      <c r="S101" s="198"/>
      <c r="T101" s="198"/>
      <c r="U101" s="198"/>
    </row>
    <row r="102" spans="1:33" s="12" customFormat="1" x14ac:dyDescent="0.25">
      <c r="A102" s="214" t="s">
        <v>1205</v>
      </c>
      <c r="B102" s="64">
        <v>38.79</v>
      </c>
      <c r="C102" s="64">
        <v>52.46</v>
      </c>
      <c r="D102" s="64">
        <v>60.71</v>
      </c>
      <c r="E102" s="64">
        <v>0.35</v>
      </c>
      <c r="F102" s="64">
        <v>3.74</v>
      </c>
      <c r="G102" s="64">
        <v>106.29</v>
      </c>
      <c r="H102" s="64">
        <v>197.71</v>
      </c>
      <c r="I102" s="64">
        <v>1.46</v>
      </c>
      <c r="J102" s="64">
        <v>0.11</v>
      </c>
      <c r="K102" s="64">
        <v>353.82</v>
      </c>
      <c r="L102" s="64">
        <v>15.63</v>
      </c>
      <c r="M102" s="64">
        <v>78.83</v>
      </c>
      <c r="N102" s="64">
        <v>22.2</v>
      </c>
      <c r="O102" s="64">
        <v>0</v>
      </c>
      <c r="P102" s="64">
        <v>1.03</v>
      </c>
      <c r="Q102" s="64">
        <v>3.56</v>
      </c>
      <c r="R102" s="198"/>
      <c r="S102" s="198"/>
      <c r="T102" s="198"/>
      <c r="U102" s="198"/>
    </row>
    <row r="103" spans="1:33" s="12" customFormat="1" x14ac:dyDescent="0.25">
      <c r="A103" s="214" t="s">
        <v>1206</v>
      </c>
      <c r="B103" s="64">
        <v>41.53</v>
      </c>
      <c r="C103" s="64">
        <v>53.1</v>
      </c>
      <c r="D103" s="64">
        <v>63.26</v>
      </c>
      <c r="E103" s="64">
        <v>0.42</v>
      </c>
      <c r="F103" s="64">
        <v>3.51</v>
      </c>
      <c r="G103" s="64">
        <v>109.35</v>
      </c>
      <c r="H103" s="64">
        <v>47.49</v>
      </c>
      <c r="I103" s="64">
        <v>1.43</v>
      </c>
      <c r="J103" s="64">
        <v>0.09</v>
      </c>
      <c r="K103" s="64">
        <v>226.96</v>
      </c>
      <c r="L103" s="64">
        <v>15.73</v>
      </c>
      <c r="M103" s="64">
        <v>79.459999999999994</v>
      </c>
      <c r="N103" s="64">
        <v>22.1</v>
      </c>
      <c r="O103" s="64">
        <v>0</v>
      </c>
      <c r="P103" s="64">
        <v>1.01</v>
      </c>
      <c r="Q103" s="64">
        <v>2.4</v>
      </c>
      <c r="R103" s="198"/>
      <c r="S103" s="198"/>
      <c r="T103" s="198"/>
      <c r="U103" s="198"/>
    </row>
    <row r="104" spans="1:33" s="12" customFormat="1" x14ac:dyDescent="0.25">
      <c r="A104" s="214" t="s">
        <v>1207</v>
      </c>
      <c r="B104" s="64">
        <v>42.14</v>
      </c>
      <c r="C104" s="64">
        <v>53.42</v>
      </c>
      <c r="D104" s="64">
        <v>63.92</v>
      </c>
      <c r="E104" s="64">
        <v>0.21</v>
      </c>
      <c r="F104" s="64">
        <v>3.77</v>
      </c>
      <c r="G104" s="64">
        <v>121.62</v>
      </c>
      <c r="H104" s="64">
        <v>47.49</v>
      </c>
      <c r="I104" s="64">
        <v>1.52</v>
      </c>
      <c r="J104" s="64">
        <v>0.05</v>
      </c>
      <c r="K104" s="64">
        <v>216.07</v>
      </c>
      <c r="L104" s="64">
        <v>15.89</v>
      </c>
      <c r="M104" s="64">
        <v>75.3</v>
      </c>
      <c r="N104" s="64">
        <v>21.7</v>
      </c>
      <c r="O104" s="64">
        <v>0</v>
      </c>
      <c r="P104" s="64">
        <v>0.83</v>
      </c>
      <c r="Q104" s="64">
        <v>6.48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</v>
      </c>
      <c r="C106" s="67">
        <f>MIN(C9:C104)</f>
        <v>41.95</v>
      </c>
      <c r="D106" s="67">
        <f t="shared" ref="D106:Q106" si="0">MIN(D9:D104)</f>
        <v>31.46</v>
      </c>
      <c r="E106" s="67">
        <f t="shared" si="0"/>
        <v>0.11</v>
      </c>
      <c r="F106" s="67">
        <f t="shared" si="0"/>
        <v>3.13</v>
      </c>
      <c r="G106" s="67">
        <f t="shared" si="0"/>
        <v>22.97</v>
      </c>
      <c r="H106" s="67">
        <f t="shared" si="0"/>
        <v>12.43</v>
      </c>
      <c r="I106" s="67">
        <f t="shared" si="0"/>
        <v>1.38</v>
      </c>
      <c r="J106" s="67">
        <f t="shared" si="0"/>
        <v>0.01</v>
      </c>
      <c r="K106" s="67">
        <f t="shared" si="0"/>
        <v>3.63</v>
      </c>
      <c r="L106" s="67">
        <f t="shared" si="0"/>
        <v>12.89</v>
      </c>
      <c r="M106" s="67">
        <f t="shared" si="0"/>
        <v>30.65</v>
      </c>
      <c r="N106" s="67">
        <f t="shared" si="0"/>
        <v>21.2</v>
      </c>
      <c r="O106" s="67">
        <f t="shared" si="0"/>
        <v>0</v>
      </c>
      <c r="P106" s="67">
        <f t="shared" si="0"/>
        <v>0.31</v>
      </c>
      <c r="Q106" s="67">
        <f t="shared" si="0"/>
        <v>0.17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83.1</v>
      </c>
      <c r="C107" s="66">
        <f t="shared" ref="C107:Q107" si="1">MAX(C9:C104)</f>
        <v>58.62</v>
      </c>
      <c r="D107" s="66">
        <f t="shared" si="1"/>
        <v>96.08</v>
      </c>
      <c r="E107" s="66">
        <f t="shared" si="1"/>
        <v>0.91</v>
      </c>
      <c r="F107" s="66">
        <f t="shared" si="1"/>
        <v>23.82</v>
      </c>
      <c r="G107" s="66">
        <f t="shared" si="1"/>
        <v>193.53</v>
      </c>
      <c r="H107" s="66">
        <f t="shared" si="1"/>
        <v>228.8</v>
      </c>
      <c r="I107" s="66">
        <f t="shared" si="1"/>
        <v>1.61</v>
      </c>
      <c r="J107" s="66">
        <f t="shared" si="1"/>
        <v>1.1599999999999999</v>
      </c>
      <c r="K107" s="66">
        <f t="shared" si="1"/>
        <v>359.07</v>
      </c>
      <c r="L107" s="66">
        <f t="shared" si="1"/>
        <v>27.75</v>
      </c>
      <c r="M107" s="66">
        <f t="shared" si="1"/>
        <v>98.18</v>
      </c>
      <c r="N107" s="66">
        <f t="shared" si="1"/>
        <v>776.5</v>
      </c>
      <c r="O107" s="66">
        <f t="shared" si="1"/>
        <v>0</v>
      </c>
      <c r="P107" s="66">
        <f t="shared" si="1"/>
        <v>2.38</v>
      </c>
      <c r="Q107" s="66">
        <f t="shared" si="1"/>
        <v>15.81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42.030208333333327</v>
      </c>
      <c r="C108" s="67">
        <f t="shared" ref="C108:Q108" si="2">AVERAGE(C9:C104)</f>
        <v>49.00364583333333</v>
      </c>
      <c r="D108" s="67">
        <f t="shared" si="2"/>
        <v>61.395729166666676</v>
      </c>
      <c r="E108" s="67">
        <f t="shared" si="2"/>
        <v>0.47406249999999989</v>
      </c>
      <c r="F108" s="67">
        <f t="shared" si="2"/>
        <v>6.932708333333335</v>
      </c>
      <c r="G108" s="67">
        <f t="shared" si="2"/>
        <v>97.058333333333408</v>
      </c>
      <c r="H108" s="67">
        <f t="shared" si="2"/>
        <v>47.069375000000001</v>
      </c>
      <c r="I108" s="67">
        <f t="shared" si="2"/>
        <v>1.5048958333333327</v>
      </c>
      <c r="J108" s="67">
        <f t="shared" si="2"/>
        <v>0.27145833333333336</v>
      </c>
      <c r="K108" s="67">
        <f t="shared" si="2"/>
        <v>157.16385416666665</v>
      </c>
      <c r="L108" s="67">
        <f t="shared" si="2"/>
        <v>18.786041666666666</v>
      </c>
      <c r="M108" s="67">
        <f t="shared" si="2"/>
        <v>64.443958333333327</v>
      </c>
      <c r="N108" s="67">
        <f t="shared" si="2"/>
        <v>182.10937500000009</v>
      </c>
      <c r="O108" s="67">
        <f t="shared" si="2"/>
        <v>0</v>
      </c>
      <c r="P108" s="67">
        <f t="shared" si="2"/>
        <v>0.82916666666666694</v>
      </c>
      <c r="Q108" s="67">
        <f t="shared" si="2"/>
        <v>7.8220224719101159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22.44640601775783</v>
      </c>
      <c r="C109" s="67">
        <f t="shared" ref="C109:Q109" si="3">STDEV(C9:C104)</f>
        <v>4.2613684779451493</v>
      </c>
      <c r="D109" s="67">
        <f t="shared" si="3"/>
        <v>18.527150475069739</v>
      </c>
      <c r="E109" s="67">
        <f t="shared" si="3"/>
        <v>0.1491278372474614</v>
      </c>
      <c r="F109" s="67">
        <f t="shared" si="3"/>
        <v>5.3203979825744661</v>
      </c>
      <c r="G109" s="67">
        <f t="shared" si="3"/>
        <v>51.099592452111843</v>
      </c>
      <c r="H109" s="67">
        <f t="shared" si="3"/>
        <v>47.753244647270883</v>
      </c>
      <c r="I109" s="67">
        <f t="shared" si="3"/>
        <v>4.6769193451890491E-2</v>
      </c>
      <c r="J109" s="67">
        <f t="shared" si="3"/>
        <v>0.27370356291228143</v>
      </c>
      <c r="K109" s="67">
        <f t="shared" si="3"/>
        <v>114.94227200386315</v>
      </c>
      <c r="L109" s="67">
        <f t="shared" si="3"/>
        <v>3.9343385665370048</v>
      </c>
      <c r="M109" s="67">
        <f t="shared" si="3"/>
        <v>20.724211392737732</v>
      </c>
      <c r="N109" s="67">
        <f t="shared" si="3"/>
        <v>251.66244228838076</v>
      </c>
      <c r="O109" s="67">
        <f t="shared" si="3"/>
        <v>0</v>
      </c>
      <c r="P109" s="67">
        <f t="shared" si="3"/>
        <v>0.4300542601424463</v>
      </c>
      <c r="Q109" s="67">
        <f t="shared" si="3"/>
        <v>4.0886895488361459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1208</v>
      </c>
      <c r="B9" s="64">
        <v>40.6</v>
      </c>
      <c r="C9" s="64">
        <v>52.98</v>
      </c>
      <c r="D9" s="64">
        <v>62.44</v>
      </c>
      <c r="E9" s="64">
        <v>0.28000000000000003</v>
      </c>
      <c r="F9" s="64">
        <v>5.8</v>
      </c>
      <c r="G9" s="64">
        <v>121.62</v>
      </c>
      <c r="H9" s="64">
        <v>47.49</v>
      </c>
      <c r="I9" s="64">
        <v>1.56</v>
      </c>
      <c r="J9" s="64">
        <v>0.08</v>
      </c>
      <c r="K9" s="64">
        <v>182.44</v>
      </c>
      <c r="L9" s="64">
        <v>16.32</v>
      </c>
      <c r="M9" s="64">
        <v>69.05</v>
      </c>
      <c r="N9" s="64">
        <v>21.6</v>
      </c>
      <c r="O9" s="64">
        <v>0</v>
      </c>
      <c r="P9" s="64">
        <v>0.67</v>
      </c>
      <c r="Q9" s="64">
        <v>8.48</v>
      </c>
      <c r="R9" s="198"/>
      <c r="S9" s="198"/>
      <c r="T9" s="198"/>
      <c r="U9" s="198"/>
    </row>
    <row r="10" spans="1:21" s="12" customFormat="1" x14ac:dyDescent="0.25">
      <c r="A10" s="214" t="s">
        <v>1209</v>
      </c>
      <c r="B10" s="64">
        <v>37.74</v>
      </c>
      <c r="C10" s="64">
        <v>52.54</v>
      </c>
      <c r="D10" s="64">
        <v>59.9</v>
      </c>
      <c r="E10" s="64">
        <v>0.33</v>
      </c>
      <c r="F10" s="64">
        <v>8.23</v>
      </c>
      <c r="G10" s="64">
        <v>121.62</v>
      </c>
      <c r="H10" s="64">
        <v>47.49</v>
      </c>
      <c r="I10" s="64">
        <v>1.51</v>
      </c>
      <c r="J10" s="64">
        <v>0.09</v>
      </c>
      <c r="K10" s="64">
        <v>265.16000000000003</v>
      </c>
      <c r="L10" s="64">
        <v>16.22</v>
      </c>
      <c r="M10" s="64">
        <v>70.650000000000006</v>
      </c>
      <c r="N10" s="64">
        <v>22.1</v>
      </c>
      <c r="O10" s="64">
        <v>0</v>
      </c>
      <c r="P10" s="64">
        <v>0.44</v>
      </c>
      <c r="Q10" s="64">
        <v>9.89</v>
      </c>
      <c r="R10" s="198"/>
      <c r="S10" s="198"/>
      <c r="T10" s="198"/>
      <c r="U10" s="198"/>
    </row>
    <row r="11" spans="1:21" s="12" customFormat="1" x14ac:dyDescent="0.25">
      <c r="A11" s="214" t="s">
        <v>1210</v>
      </c>
      <c r="B11" s="64">
        <v>34.700000000000003</v>
      </c>
      <c r="C11" s="64">
        <v>51.87</v>
      </c>
      <c r="D11" s="64">
        <v>57.09</v>
      </c>
      <c r="E11" s="64">
        <v>0.26</v>
      </c>
      <c r="F11" s="64">
        <v>8.5299999999999994</v>
      </c>
      <c r="G11" s="64">
        <v>114.82</v>
      </c>
      <c r="H11" s="64">
        <v>45.16</v>
      </c>
      <c r="I11" s="64">
        <v>1.5</v>
      </c>
      <c r="J11" s="64">
        <v>0.15</v>
      </c>
      <c r="K11" s="64">
        <v>271.18</v>
      </c>
      <c r="L11" s="64">
        <v>15.79</v>
      </c>
      <c r="M11" s="64">
        <v>73.08</v>
      </c>
      <c r="N11" s="64">
        <v>22.3</v>
      </c>
      <c r="O11" s="64">
        <v>0</v>
      </c>
      <c r="P11" s="64">
        <v>0.41</v>
      </c>
      <c r="Q11" s="64">
        <v>9.9600000000000009</v>
      </c>
      <c r="R11" s="198"/>
      <c r="S11" s="198"/>
      <c r="T11" s="198"/>
      <c r="U11" s="198"/>
    </row>
    <row r="12" spans="1:21" s="12" customFormat="1" x14ac:dyDescent="0.25">
      <c r="A12" s="214" t="s">
        <v>1211</v>
      </c>
      <c r="B12" s="64">
        <v>32.1</v>
      </c>
      <c r="C12" s="64">
        <v>51.7</v>
      </c>
      <c r="D12" s="64">
        <v>54.92</v>
      </c>
      <c r="E12" s="64">
        <v>0.26</v>
      </c>
      <c r="F12" s="64">
        <v>8.42</v>
      </c>
      <c r="G12" s="64">
        <v>87.6</v>
      </c>
      <c r="H12" s="64">
        <v>34.78</v>
      </c>
      <c r="I12" s="64">
        <v>1.47</v>
      </c>
      <c r="J12" s="64">
        <v>0.16</v>
      </c>
      <c r="K12" s="64">
        <v>228.38</v>
      </c>
      <c r="L12" s="64">
        <v>15.61</v>
      </c>
      <c r="M12" s="64">
        <v>75.900000000000006</v>
      </c>
      <c r="N12" s="64">
        <v>22.2</v>
      </c>
      <c r="O12" s="64">
        <v>0</v>
      </c>
      <c r="P12" s="64">
        <v>0.37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14" t="s">
        <v>1212</v>
      </c>
      <c r="B13" s="64">
        <v>29.87</v>
      </c>
      <c r="C13" s="64">
        <v>50.67</v>
      </c>
      <c r="D13" s="64">
        <v>52.56</v>
      </c>
      <c r="E13" s="64">
        <v>0.24</v>
      </c>
      <c r="F13" s="64">
        <v>7.15</v>
      </c>
      <c r="G13" s="64">
        <v>87.6</v>
      </c>
      <c r="H13" s="64">
        <v>34.78</v>
      </c>
      <c r="I13" s="64">
        <v>1.48</v>
      </c>
      <c r="J13" s="64">
        <v>0.18</v>
      </c>
      <c r="K13" s="64">
        <v>233.03</v>
      </c>
      <c r="L13" s="64">
        <v>15.53</v>
      </c>
      <c r="M13" s="64">
        <v>75.83</v>
      </c>
      <c r="N13" s="64">
        <v>22</v>
      </c>
      <c r="O13" s="64">
        <v>0</v>
      </c>
      <c r="P13" s="64">
        <v>0.36</v>
      </c>
      <c r="Q13" s="64">
        <v>8.94</v>
      </c>
      <c r="R13" s="198"/>
      <c r="S13" s="198"/>
      <c r="T13" s="198"/>
      <c r="U13" s="198"/>
    </row>
    <row r="14" spans="1:21" s="12" customFormat="1" x14ac:dyDescent="0.25">
      <c r="A14" s="214" t="s">
        <v>1213</v>
      </c>
      <c r="B14" s="64">
        <v>28</v>
      </c>
      <c r="C14" s="64">
        <v>50.03</v>
      </c>
      <c r="D14" s="64">
        <v>50.71</v>
      </c>
      <c r="E14" s="64">
        <v>0.3</v>
      </c>
      <c r="F14" s="64">
        <v>6.66</v>
      </c>
      <c r="G14" s="64">
        <v>87.6</v>
      </c>
      <c r="H14" s="64">
        <v>34.78</v>
      </c>
      <c r="I14" s="64">
        <v>1.48</v>
      </c>
      <c r="J14" s="64">
        <v>0.16</v>
      </c>
      <c r="K14" s="64">
        <v>316.45999999999998</v>
      </c>
      <c r="L14" s="64">
        <v>14.92</v>
      </c>
      <c r="M14" s="64">
        <v>83.66</v>
      </c>
      <c r="N14" s="64">
        <v>22.6</v>
      </c>
      <c r="O14" s="64">
        <v>0</v>
      </c>
      <c r="P14" s="64">
        <v>0.44</v>
      </c>
      <c r="Q14" s="64">
        <v>8.14</v>
      </c>
      <c r="R14" s="198"/>
      <c r="S14" s="198"/>
      <c r="T14" s="198"/>
      <c r="U14" s="198"/>
    </row>
    <row r="15" spans="1:21" s="12" customFormat="1" x14ac:dyDescent="0.25">
      <c r="A15" s="214" t="s">
        <v>1214</v>
      </c>
      <c r="B15" s="64">
        <v>26.36</v>
      </c>
      <c r="C15" s="64">
        <v>49.22</v>
      </c>
      <c r="D15" s="64">
        <v>48.95</v>
      </c>
      <c r="E15" s="64">
        <v>0.34</v>
      </c>
      <c r="F15" s="64">
        <v>7.62</v>
      </c>
      <c r="G15" s="64">
        <v>82.8</v>
      </c>
      <c r="H15" s="64">
        <v>34.68</v>
      </c>
      <c r="I15" s="64">
        <v>1.55</v>
      </c>
      <c r="J15" s="64">
        <v>0.06</v>
      </c>
      <c r="K15" s="64">
        <v>284.02999999999997</v>
      </c>
      <c r="L15" s="64">
        <v>14.69</v>
      </c>
      <c r="M15" s="64">
        <v>85.81</v>
      </c>
      <c r="N15" s="64">
        <v>22.4</v>
      </c>
      <c r="O15" s="64">
        <v>0</v>
      </c>
      <c r="P15" s="64">
        <v>0.39</v>
      </c>
      <c r="Q15" s="64">
        <v>8.3000000000000007</v>
      </c>
      <c r="R15" s="198"/>
      <c r="S15" s="198"/>
      <c r="T15" s="198"/>
      <c r="U15" s="198"/>
    </row>
    <row r="16" spans="1:21" s="12" customFormat="1" x14ac:dyDescent="0.25">
      <c r="A16" s="214" t="s">
        <v>1215</v>
      </c>
      <c r="B16" s="64">
        <v>25.07</v>
      </c>
      <c r="C16" s="64">
        <v>48.58</v>
      </c>
      <c r="D16" s="64">
        <v>47.56</v>
      </c>
      <c r="E16" s="64">
        <v>0.27</v>
      </c>
      <c r="F16" s="64">
        <v>4.91</v>
      </c>
      <c r="G16" s="64">
        <v>63.58</v>
      </c>
      <c r="H16" s="64">
        <v>34.39</v>
      </c>
      <c r="I16" s="64">
        <v>1.45</v>
      </c>
      <c r="J16" s="64">
        <v>0.04</v>
      </c>
      <c r="K16" s="64">
        <v>226.59</v>
      </c>
      <c r="L16" s="64">
        <v>14.27</v>
      </c>
      <c r="M16" s="64">
        <v>90.58</v>
      </c>
      <c r="N16" s="64">
        <v>22.3</v>
      </c>
      <c r="O16" s="64">
        <v>0</v>
      </c>
      <c r="P16" s="64">
        <v>0.5</v>
      </c>
      <c r="Q16" s="64">
        <v>7.15</v>
      </c>
      <c r="R16" s="198"/>
      <c r="S16" s="198"/>
      <c r="T16" s="198"/>
      <c r="U16" s="198"/>
    </row>
    <row r="17" spans="1:21" s="12" customFormat="1" x14ac:dyDescent="0.25">
      <c r="A17" s="214" t="s">
        <v>1216</v>
      </c>
      <c r="B17" s="64">
        <v>24.2</v>
      </c>
      <c r="C17" s="64">
        <v>47.58</v>
      </c>
      <c r="D17" s="64">
        <v>46.31</v>
      </c>
      <c r="E17" s="64">
        <v>0.28999999999999998</v>
      </c>
      <c r="F17" s="64">
        <v>3.73</v>
      </c>
      <c r="G17" s="64">
        <v>63.58</v>
      </c>
      <c r="H17" s="64">
        <v>34.39</v>
      </c>
      <c r="I17" s="64">
        <v>1.51</v>
      </c>
      <c r="J17" s="64">
        <v>0.05</v>
      </c>
      <c r="K17" s="64">
        <v>72.55</v>
      </c>
      <c r="L17" s="64">
        <v>14.03</v>
      </c>
      <c r="M17" s="64">
        <v>92.85</v>
      </c>
      <c r="N17" s="64">
        <v>22.2</v>
      </c>
      <c r="O17" s="64">
        <v>0</v>
      </c>
      <c r="P17" s="64">
        <v>0.51</v>
      </c>
      <c r="Q17" s="64">
        <v>6.36</v>
      </c>
      <c r="R17" s="198"/>
      <c r="S17" s="198"/>
      <c r="T17" s="198"/>
      <c r="U17" s="198"/>
    </row>
    <row r="18" spans="1:21" s="12" customFormat="1" x14ac:dyDescent="0.25">
      <c r="A18" s="214" t="s">
        <v>1217</v>
      </c>
      <c r="B18" s="64">
        <v>23.46</v>
      </c>
      <c r="C18" s="64">
        <v>46.71</v>
      </c>
      <c r="D18" s="64">
        <v>45.24</v>
      </c>
      <c r="E18" s="64">
        <v>0.27</v>
      </c>
      <c r="F18" s="64">
        <v>3.35</v>
      </c>
      <c r="G18" s="64">
        <v>63.58</v>
      </c>
      <c r="H18" s="64">
        <v>34.39</v>
      </c>
      <c r="I18" s="64">
        <v>1.52</v>
      </c>
      <c r="J18" s="64">
        <v>0.05</v>
      </c>
      <c r="K18" s="64">
        <v>261.13</v>
      </c>
      <c r="L18" s="64">
        <v>14.01</v>
      </c>
      <c r="M18" s="64">
        <v>93.56</v>
      </c>
      <c r="N18" s="64">
        <v>22.3</v>
      </c>
      <c r="O18" s="64">
        <v>0</v>
      </c>
      <c r="P18" s="64">
        <v>0.6</v>
      </c>
      <c r="Q18" s="64">
        <v>6.14</v>
      </c>
      <c r="R18" s="198"/>
      <c r="S18" s="198"/>
      <c r="T18" s="198"/>
      <c r="U18" s="198"/>
    </row>
    <row r="19" spans="1:21" s="12" customFormat="1" x14ac:dyDescent="0.25">
      <c r="A19" s="214" t="s">
        <v>1218</v>
      </c>
      <c r="B19" s="64">
        <v>23.04</v>
      </c>
      <c r="C19" s="64">
        <v>46.38</v>
      </c>
      <c r="D19" s="64">
        <v>44.72</v>
      </c>
      <c r="E19" s="64">
        <v>0.3</v>
      </c>
      <c r="F19" s="64">
        <v>3.55</v>
      </c>
      <c r="G19" s="64">
        <v>67.569999999999993</v>
      </c>
      <c r="H19" s="64">
        <v>36.409999999999997</v>
      </c>
      <c r="I19" s="64">
        <v>1.51</v>
      </c>
      <c r="J19" s="64">
        <v>0.06</v>
      </c>
      <c r="K19" s="64">
        <v>292.8</v>
      </c>
      <c r="L19" s="64">
        <v>13.87</v>
      </c>
      <c r="M19" s="64">
        <v>94.52</v>
      </c>
      <c r="N19" s="64">
        <v>22.2</v>
      </c>
      <c r="O19" s="64">
        <v>0</v>
      </c>
      <c r="P19" s="64">
        <v>0.63</v>
      </c>
      <c r="Q19" s="64">
        <v>5.43</v>
      </c>
      <c r="R19" s="198"/>
      <c r="S19" s="198"/>
      <c r="T19" s="198"/>
      <c r="U19" s="198"/>
    </row>
    <row r="20" spans="1:21" s="12" customFormat="1" x14ac:dyDescent="0.25">
      <c r="A20" s="214" t="s">
        <v>1219</v>
      </c>
      <c r="B20" s="64">
        <v>22.89</v>
      </c>
      <c r="C20" s="64">
        <v>46.08</v>
      </c>
      <c r="D20" s="64">
        <v>44.44</v>
      </c>
      <c r="E20" s="64">
        <v>0.33</v>
      </c>
      <c r="F20" s="64">
        <v>3.01</v>
      </c>
      <c r="G20" s="64">
        <v>83.53</v>
      </c>
      <c r="H20" s="64">
        <v>41.9</v>
      </c>
      <c r="I20" s="64">
        <v>1.45</v>
      </c>
      <c r="J20" s="64">
        <v>0.08</v>
      </c>
      <c r="K20" s="64">
        <v>283.77999999999997</v>
      </c>
      <c r="L20" s="64">
        <v>13.63</v>
      </c>
      <c r="M20" s="64">
        <v>97.52</v>
      </c>
      <c r="N20" s="64">
        <v>22.3</v>
      </c>
      <c r="O20" s="64">
        <v>0</v>
      </c>
      <c r="P20" s="64">
        <v>0.68</v>
      </c>
      <c r="Q20" s="64">
        <v>5</v>
      </c>
      <c r="R20" s="198"/>
      <c r="S20" s="198"/>
      <c r="T20" s="198"/>
      <c r="U20" s="198"/>
    </row>
    <row r="21" spans="1:21" s="12" customFormat="1" x14ac:dyDescent="0.25">
      <c r="A21" s="214" t="s">
        <v>1220</v>
      </c>
      <c r="B21" s="64">
        <v>23.01</v>
      </c>
      <c r="C21" s="64">
        <v>45.92</v>
      </c>
      <c r="D21" s="64">
        <v>44.44</v>
      </c>
      <c r="E21" s="64">
        <v>0.28999999999999998</v>
      </c>
      <c r="F21" s="64">
        <v>3.31</v>
      </c>
      <c r="G21" s="64">
        <v>83.53</v>
      </c>
      <c r="H21" s="64">
        <v>41.9</v>
      </c>
      <c r="I21" s="64">
        <v>1.47</v>
      </c>
      <c r="J21" s="64">
        <v>0.05</v>
      </c>
      <c r="K21" s="64">
        <v>214.11</v>
      </c>
      <c r="L21" s="64">
        <v>13.6</v>
      </c>
      <c r="M21" s="64">
        <v>96.23</v>
      </c>
      <c r="N21" s="64">
        <v>22.2</v>
      </c>
      <c r="O21" s="64">
        <v>0</v>
      </c>
      <c r="P21" s="64">
        <v>0.73</v>
      </c>
      <c r="Q21" s="64">
        <v>5.24</v>
      </c>
      <c r="R21" s="198"/>
      <c r="S21" s="198"/>
      <c r="T21" s="198"/>
      <c r="U21" s="198"/>
    </row>
    <row r="22" spans="1:21" s="12" customFormat="1" x14ac:dyDescent="0.25">
      <c r="A22" s="214" t="s">
        <v>1221</v>
      </c>
      <c r="B22" s="64">
        <v>22.9</v>
      </c>
      <c r="C22" s="64">
        <v>45.95</v>
      </c>
      <c r="D22" s="64">
        <v>44.37</v>
      </c>
      <c r="E22" s="64">
        <v>0.28999999999999998</v>
      </c>
      <c r="F22" s="64">
        <v>3.57</v>
      </c>
      <c r="G22" s="64">
        <v>83.53</v>
      </c>
      <c r="H22" s="64">
        <v>41.9</v>
      </c>
      <c r="I22" s="64">
        <v>1.51</v>
      </c>
      <c r="J22" s="64">
        <v>0.01</v>
      </c>
      <c r="K22" s="64">
        <v>238.95</v>
      </c>
      <c r="L22" s="64">
        <v>13.7</v>
      </c>
      <c r="M22" s="64">
        <v>94.94</v>
      </c>
      <c r="N22" s="64">
        <v>22.2</v>
      </c>
      <c r="O22" s="64">
        <v>0</v>
      </c>
      <c r="P22" s="64">
        <v>0.75</v>
      </c>
      <c r="Q22" s="64">
        <v>5.89</v>
      </c>
      <c r="R22" s="198"/>
      <c r="S22" s="198"/>
      <c r="T22" s="198"/>
      <c r="U22" s="198"/>
    </row>
    <row r="23" spans="1:21" s="12" customFormat="1" x14ac:dyDescent="0.25">
      <c r="A23" s="214" t="s">
        <v>1222</v>
      </c>
      <c r="B23" s="64">
        <v>22.63</v>
      </c>
      <c r="C23" s="64">
        <v>45.44</v>
      </c>
      <c r="D23" s="64">
        <v>43.87</v>
      </c>
      <c r="E23" s="64">
        <v>0.36</v>
      </c>
      <c r="F23" s="64">
        <v>3.81</v>
      </c>
      <c r="G23" s="64">
        <v>88.44</v>
      </c>
      <c r="H23" s="64">
        <v>45.59</v>
      </c>
      <c r="I23" s="64">
        <v>1.57</v>
      </c>
      <c r="J23" s="64">
        <v>0.12</v>
      </c>
      <c r="K23" s="64">
        <v>264.13</v>
      </c>
      <c r="L23" s="64">
        <v>13.69</v>
      </c>
      <c r="M23" s="64">
        <v>95.64</v>
      </c>
      <c r="N23" s="64">
        <v>22.2</v>
      </c>
      <c r="O23" s="64">
        <v>0</v>
      </c>
      <c r="P23" s="64">
        <v>0.73</v>
      </c>
      <c r="Q23" s="64">
        <v>6.3</v>
      </c>
      <c r="R23" s="198"/>
      <c r="S23" s="198"/>
      <c r="T23" s="198"/>
      <c r="U23" s="198"/>
    </row>
    <row r="24" spans="1:21" s="12" customFormat="1" x14ac:dyDescent="0.25">
      <c r="A24" s="214" t="s">
        <v>1223</v>
      </c>
      <c r="B24" s="64">
        <v>22.48</v>
      </c>
      <c r="C24" s="64">
        <v>45.32</v>
      </c>
      <c r="D24" s="64">
        <v>43.68</v>
      </c>
      <c r="E24" s="64">
        <v>0.2</v>
      </c>
      <c r="F24" s="64">
        <v>3.68</v>
      </c>
      <c r="G24" s="64">
        <v>108.09</v>
      </c>
      <c r="H24" s="64">
        <v>55.62</v>
      </c>
      <c r="I24" s="64">
        <v>1.44</v>
      </c>
      <c r="J24" s="64">
        <v>0.1</v>
      </c>
      <c r="K24" s="64">
        <v>192.02</v>
      </c>
      <c r="L24" s="64">
        <v>13.47</v>
      </c>
      <c r="M24" s="64">
        <v>97.47</v>
      </c>
      <c r="N24" s="64">
        <v>22.3</v>
      </c>
      <c r="O24" s="64">
        <v>0</v>
      </c>
      <c r="P24" s="64">
        <v>0.77</v>
      </c>
      <c r="Q24" s="64">
        <v>6.03</v>
      </c>
      <c r="R24" s="198"/>
      <c r="S24" s="198"/>
      <c r="T24" s="198"/>
      <c r="U24" s="198"/>
    </row>
    <row r="25" spans="1:21" s="12" customFormat="1" x14ac:dyDescent="0.25">
      <c r="A25" s="214" t="s">
        <v>1224</v>
      </c>
      <c r="B25" s="64">
        <v>22.77</v>
      </c>
      <c r="C25" s="64">
        <v>44.99</v>
      </c>
      <c r="D25" s="64">
        <v>43.73</v>
      </c>
      <c r="E25" s="64">
        <v>0.33</v>
      </c>
      <c r="F25" s="64">
        <v>3.42</v>
      </c>
      <c r="G25" s="64">
        <v>108.09</v>
      </c>
      <c r="H25" s="64">
        <v>55.62</v>
      </c>
      <c r="I25" s="64">
        <v>1.49</v>
      </c>
      <c r="J25" s="64">
        <v>0.05</v>
      </c>
      <c r="K25" s="64">
        <v>52.91</v>
      </c>
      <c r="L25" s="64">
        <v>13.22</v>
      </c>
      <c r="M25" s="64">
        <v>98.16</v>
      </c>
      <c r="N25" s="64">
        <v>22.3</v>
      </c>
      <c r="O25" s="64">
        <v>0</v>
      </c>
      <c r="P25" s="64">
        <v>0.87</v>
      </c>
      <c r="Q25" s="64">
        <v>5.0599999999999996</v>
      </c>
      <c r="R25" s="198"/>
      <c r="S25" s="198"/>
      <c r="T25" s="198"/>
      <c r="U25" s="198"/>
    </row>
    <row r="26" spans="1:21" s="12" customFormat="1" x14ac:dyDescent="0.25">
      <c r="A26" s="214" t="s">
        <v>1225</v>
      </c>
      <c r="B26" s="64">
        <v>23.97</v>
      </c>
      <c r="C26" s="64">
        <v>45.11</v>
      </c>
      <c r="D26" s="64">
        <v>44.76</v>
      </c>
      <c r="E26" s="64">
        <v>0.41</v>
      </c>
      <c r="F26" s="64">
        <v>3.44</v>
      </c>
      <c r="G26" s="64">
        <v>108.09</v>
      </c>
      <c r="H26" s="64">
        <v>55.62</v>
      </c>
      <c r="I26" s="64">
        <v>1.5</v>
      </c>
      <c r="J26" s="64">
        <v>0.17</v>
      </c>
      <c r="K26" s="64">
        <v>63.56</v>
      </c>
      <c r="L26" s="64">
        <v>13.27</v>
      </c>
      <c r="M26" s="64">
        <v>96.14</v>
      </c>
      <c r="N26" s="64">
        <v>22</v>
      </c>
      <c r="O26" s="64">
        <v>0</v>
      </c>
      <c r="P26" s="64">
        <v>1</v>
      </c>
      <c r="Q26" s="64">
        <v>3.73</v>
      </c>
      <c r="R26" s="198"/>
      <c r="S26" s="198"/>
      <c r="T26" s="198"/>
      <c r="U26" s="198"/>
    </row>
    <row r="27" spans="1:21" s="12" customFormat="1" x14ac:dyDescent="0.25">
      <c r="A27" s="214" t="s">
        <v>1226</v>
      </c>
      <c r="B27" s="64">
        <v>25.06</v>
      </c>
      <c r="C27" s="64">
        <v>45.53</v>
      </c>
      <c r="D27" s="64">
        <v>45.87</v>
      </c>
      <c r="E27" s="64">
        <v>0.42</v>
      </c>
      <c r="F27" s="64">
        <v>3.15</v>
      </c>
      <c r="G27" s="64">
        <v>112.35</v>
      </c>
      <c r="H27" s="64">
        <v>59.36</v>
      </c>
      <c r="I27" s="64">
        <v>1.53</v>
      </c>
      <c r="J27" s="64">
        <v>0.11</v>
      </c>
      <c r="K27" s="64">
        <v>66</v>
      </c>
      <c r="L27" s="64">
        <v>13.57</v>
      </c>
      <c r="M27" s="64">
        <v>92.1</v>
      </c>
      <c r="N27" s="64">
        <v>22.1</v>
      </c>
      <c r="O27" s="64">
        <v>0</v>
      </c>
      <c r="P27" s="64">
        <v>1.1200000000000001</v>
      </c>
      <c r="Q27" s="64">
        <v>3.96</v>
      </c>
      <c r="R27" s="198"/>
      <c r="S27" s="198"/>
      <c r="T27" s="198"/>
      <c r="U27" s="198"/>
    </row>
    <row r="28" spans="1:21" s="12" customFormat="1" x14ac:dyDescent="0.25">
      <c r="A28" s="214" t="s">
        <v>1227</v>
      </c>
      <c r="B28" s="64">
        <v>26.29</v>
      </c>
      <c r="C28" s="64">
        <v>45.58</v>
      </c>
      <c r="D28" s="64">
        <v>46.89</v>
      </c>
      <c r="E28" s="64">
        <v>0.41</v>
      </c>
      <c r="F28" s="64">
        <v>3.13</v>
      </c>
      <c r="G28" s="64">
        <v>129.41999999999999</v>
      </c>
      <c r="H28" s="64">
        <v>75.989999999999995</v>
      </c>
      <c r="I28" s="64">
        <v>1.56</v>
      </c>
      <c r="J28" s="64">
        <v>0.19</v>
      </c>
      <c r="K28" s="64">
        <v>74.459999999999994</v>
      </c>
      <c r="L28" s="64">
        <v>13.5</v>
      </c>
      <c r="M28" s="64">
        <v>92.4</v>
      </c>
      <c r="N28" s="64">
        <v>22.3</v>
      </c>
      <c r="O28" s="64">
        <v>0</v>
      </c>
      <c r="P28" s="64">
        <v>0.98</v>
      </c>
      <c r="Q28" s="64">
        <v>4.3</v>
      </c>
      <c r="R28" s="198"/>
      <c r="S28" s="198"/>
      <c r="T28" s="198"/>
      <c r="U28" s="198"/>
    </row>
    <row r="29" spans="1:21" s="12" customFormat="1" x14ac:dyDescent="0.25">
      <c r="A29" s="214" t="s">
        <v>1228</v>
      </c>
      <c r="B29" s="64">
        <v>26.8</v>
      </c>
      <c r="C29" s="64">
        <v>45.52</v>
      </c>
      <c r="D29" s="64">
        <v>47.26</v>
      </c>
      <c r="E29" s="64">
        <v>0.37</v>
      </c>
      <c r="F29" s="64">
        <v>3.47</v>
      </c>
      <c r="G29" s="64">
        <v>129.41999999999999</v>
      </c>
      <c r="H29" s="64">
        <v>75.989999999999995</v>
      </c>
      <c r="I29" s="64">
        <v>1.56</v>
      </c>
      <c r="J29" s="64">
        <v>0.12</v>
      </c>
      <c r="K29" s="64">
        <v>66.040000000000006</v>
      </c>
      <c r="L29" s="64">
        <v>13.53</v>
      </c>
      <c r="M29" s="64">
        <v>91.7</v>
      </c>
      <c r="N29" s="64">
        <v>22.2</v>
      </c>
      <c r="O29" s="64">
        <v>0</v>
      </c>
      <c r="P29" s="64">
        <v>0.85</v>
      </c>
      <c r="Q29" s="64">
        <v>5.38</v>
      </c>
      <c r="R29" s="198"/>
      <c r="S29" s="198"/>
      <c r="T29" s="198"/>
      <c r="U29" s="198"/>
    </row>
    <row r="30" spans="1:21" s="12" customFormat="1" x14ac:dyDescent="0.25">
      <c r="A30" s="214" t="s">
        <v>1229</v>
      </c>
      <c r="B30" s="64">
        <v>27.03</v>
      </c>
      <c r="C30" s="64">
        <v>45.32</v>
      </c>
      <c r="D30" s="64">
        <v>47.33</v>
      </c>
      <c r="E30" s="64">
        <v>0.37</v>
      </c>
      <c r="F30" s="64">
        <v>3.57</v>
      </c>
      <c r="G30" s="64">
        <v>129.41999999999999</v>
      </c>
      <c r="H30" s="64">
        <v>75.989999999999995</v>
      </c>
      <c r="I30" s="64">
        <v>1.56</v>
      </c>
      <c r="J30" s="64">
        <v>0.17</v>
      </c>
      <c r="K30" s="64">
        <v>116.56</v>
      </c>
      <c r="L30" s="64">
        <v>13.4</v>
      </c>
      <c r="M30" s="64">
        <v>92.68</v>
      </c>
      <c r="N30" s="64">
        <v>22.3</v>
      </c>
      <c r="O30" s="64">
        <v>0</v>
      </c>
      <c r="P30" s="64">
        <v>0.79</v>
      </c>
      <c r="Q30" s="64">
        <v>5.73</v>
      </c>
      <c r="R30" s="198"/>
      <c r="S30" s="198"/>
      <c r="T30" s="198"/>
      <c r="U30" s="198"/>
    </row>
    <row r="31" spans="1:21" s="12" customFormat="1" x14ac:dyDescent="0.25">
      <c r="A31" s="214" t="s">
        <v>1230</v>
      </c>
      <c r="B31" s="64">
        <v>26.65</v>
      </c>
      <c r="C31" s="64">
        <v>44.92</v>
      </c>
      <c r="D31" s="64">
        <v>46.8</v>
      </c>
      <c r="E31" s="64">
        <v>0.35</v>
      </c>
      <c r="F31" s="64">
        <v>3.94</v>
      </c>
      <c r="G31" s="64">
        <v>123.8</v>
      </c>
      <c r="H31" s="64">
        <v>70.39</v>
      </c>
      <c r="I31" s="64">
        <v>1.45</v>
      </c>
      <c r="J31" s="64">
        <v>7.0000000000000007E-2</v>
      </c>
      <c r="K31" s="64">
        <v>90.07</v>
      </c>
      <c r="L31" s="64">
        <v>13.47</v>
      </c>
      <c r="M31" s="64">
        <v>91.34</v>
      </c>
      <c r="N31" s="64">
        <v>22</v>
      </c>
      <c r="O31" s="64">
        <v>0</v>
      </c>
      <c r="P31" s="64">
        <v>0.65</v>
      </c>
      <c r="Q31" s="64">
        <v>7.2</v>
      </c>
      <c r="R31" s="198"/>
      <c r="S31" s="198"/>
      <c r="T31" s="198"/>
      <c r="U31" s="198"/>
    </row>
    <row r="32" spans="1:21" s="12" customFormat="1" x14ac:dyDescent="0.25">
      <c r="A32" s="214" t="s">
        <v>1231</v>
      </c>
      <c r="B32" s="64">
        <v>27.32</v>
      </c>
      <c r="C32" s="64">
        <v>44.93</v>
      </c>
      <c r="D32" s="64">
        <v>47.35</v>
      </c>
      <c r="E32" s="64">
        <v>0.34</v>
      </c>
      <c r="F32" s="64">
        <v>3.71</v>
      </c>
      <c r="G32" s="64">
        <v>101.28</v>
      </c>
      <c r="H32" s="64">
        <v>55.16</v>
      </c>
      <c r="I32" s="64">
        <v>1.52</v>
      </c>
      <c r="J32" s="64">
        <v>0.09</v>
      </c>
      <c r="K32" s="64">
        <v>349.3</v>
      </c>
      <c r="L32" s="64">
        <v>13.15</v>
      </c>
      <c r="M32" s="64">
        <v>94.43</v>
      </c>
      <c r="N32" s="64">
        <v>22.6</v>
      </c>
      <c r="O32" s="64">
        <v>0</v>
      </c>
      <c r="P32" s="64">
        <v>0.68</v>
      </c>
      <c r="Q32" s="64">
        <v>4.2</v>
      </c>
      <c r="R32" s="198"/>
      <c r="S32" s="198"/>
      <c r="T32" s="198"/>
      <c r="U32" s="198"/>
    </row>
    <row r="33" spans="1:21" s="12" customFormat="1" x14ac:dyDescent="0.25">
      <c r="A33" s="214" t="s">
        <v>1232</v>
      </c>
      <c r="B33" s="64">
        <v>28.47</v>
      </c>
      <c r="C33" s="64">
        <v>44.57</v>
      </c>
      <c r="D33" s="64">
        <v>48.07</v>
      </c>
      <c r="E33" s="64">
        <v>0.32</v>
      </c>
      <c r="F33" s="64">
        <v>3.8</v>
      </c>
      <c r="G33" s="64">
        <v>101.28</v>
      </c>
      <c r="H33" s="64">
        <v>55.16</v>
      </c>
      <c r="I33" s="64">
        <v>1.46</v>
      </c>
      <c r="J33" s="64">
        <v>0.04</v>
      </c>
      <c r="K33" s="64">
        <v>36.409999999999997</v>
      </c>
      <c r="L33" s="64">
        <v>13.13</v>
      </c>
      <c r="M33" s="64">
        <v>95.98</v>
      </c>
      <c r="N33" s="64">
        <v>23.1</v>
      </c>
      <c r="O33" s="64">
        <v>0</v>
      </c>
      <c r="P33" s="64">
        <v>0.65</v>
      </c>
      <c r="Q33" s="64">
        <v>4.78</v>
      </c>
      <c r="R33" s="198"/>
      <c r="S33" s="198"/>
      <c r="T33" s="198"/>
      <c r="U33" s="198"/>
    </row>
    <row r="34" spans="1:21" s="12" customFormat="1" x14ac:dyDescent="0.25">
      <c r="A34" s="214" t="s">
        <v>1233</v>
      </c>
      <c r="B34" s="64">
        <v>29.74</v>
      </c>
      <c r="C34" s="64">
        <v>43.79</v>
      </c>
      <c r="D34" s="64">
        <v>48.66</v>
      </c>
      <c r="E34" s="64">
        <v>0.35</v>
      </c>
      <c r="F34" s="64">
        <v>3.77</v>
      </c>
      <c r="G34" s="64">
        <v>101.28</v>
      </c>
      <c r="H34" s="64">
        <v>55.16</v>
      </c>
      <c r="I34" s="64">
        <v>1.45</v>
      </c>
      <c r="J34" s="64">
        <v>0.18</v>
      </c>
      <c r="K34" s="64">
        <v>323.27</v>
      </c>
      <c r="L34" s="64">
        <v>13.32</v>
      </c>
      <c r="M34" s="64">
        <v>95.56</v>
      </c>
      <c r="N34" s="64">
        <v>27.1</v>
      </c>
      <c r="O34" s="64">
        <v>0</v>
      </c>
      <c r="P34" s="64">
        <v>0.75</v>
      </c>
      <c r="Q34" s="64">
        <v>3.6</v>
      </c>
      <c r="R34" s="198"/>
      <c r="S34" s="198"/>
      <c r="T34" s="198"/>
      <c r="U34" s="198"/>
    </row>
    <row r="35" spans="1:21" s="12" customFormat="1" x14ac:dyDescent="0.25">
      <c r="A35" s="214" t="s">
        <v>1234</v>
      </c>
      <c r="B35" s="64">
        <v>33.21</v>
      </c>
      <c r="C35" s="64">
        <v>44.09</v>
      </c>
      <c r="D35" s="64">
        <v>51.61</v>
      </c>
      <c r="E35" s="64">
        <v>0.43</v>
      </c>
      <c r="F35" s="64">
        <v>3.51</v>
      </c>
      <c r="G35" s="64">
        <v>100.9</v>
      </c>
      <c r="H35" s="64">
        <v>51.76</v>
      </c>
      <c r="I35" s="64">
        <v>1.55</v>
      </c>
      <c r="J35" s="64">
        <v>7.0000000000000007E-2</v>
      </c>
      <c r="K35" s="64">
        <v>321.04000000000002</v>
      </c>
      <c r="L35" s="64">
        <v>13.07</v>
      </c>
      <c r="M35" s="64">
        <v>98.15</v>
      </c>
      <c r="N35" s="64">
        <v>40.4</v>
      </c>
      <c r="O35" s="64">
        <v>0</v>
      </c>
      <c r="P35" s="64">
        <v>0.94</v>
      </c>
      <c r="Q35" s="64">
        <v>0.02</v>
      </c>
      <c r="R35" s="198"/>
      <c r="S35" s="198"/>
      <c r="T35" s="198"/>
      <c r="U35" s="198"/>
    </row>
    <row r="36" spans="1:21" s="12" customFormat="1" x14ac:dyDescent="0.25">
      <c r="A36" s="214" t="s">
        <v>1235</v>
      </c>
      <c r="B36" s="64">
        <v>38.43</v>
      </c>
      <c r="C36" s="64">
        <v>45.07</v>
      </c>
      <c r="D36" s="64">
        <v>56.34</v>
      </c>
      <c r="E36" s="64">
        <v>0.47</v>
      </c>
      <c r="F36" s="64">
        <v>3.27</v>
      </c>
      <c r="G36" s="64">
        <v>99.4</v>
      </c>
      <c r="H36" s="64">
        <v>42.51</v>
      </c>
      <c r="I36" s="64">
        <v>1.45</v>
      </c>
      <c r="J36" s="64">
        <v>0.09</v>
      </c>
      <c r="K36" s="64">
        <v>343.29</v>
      </c>
      <c r="L36" s="64">
        <v>13.3</v>
      </c>
      <c r="M36" s="64">
        <v>96.2</v>
      </c>
      <c r="N36" s="64">
        <v>57.8</v>
      </c>
      <c r="O36" s="64">
        <v>0</v>
      </c>
      <c r="P36" s="64">
        <v>0.98</v>
      </c>
      <c r="Q36" s="64">
        <v>7.0000000000000007E-2</v>
      </c>
      <c r="R36" s="198"/>
      <c r="S36" s="198"/>
      <c r="T36" s="198"/>
      <c r="U36" s="198"/>
    </row>
    <row r="37" spans="1:21" s="12" customFormat="1" x14ac:dyDescent="0.25">
      <c r="A37" s="214" t="s">
        <v>1236</v>
      </c>
      <c r="B37" s="64">
        <v>42.34</v>
      </c>
      <c r="C37" s="64">
        <v>45.8</v>
      </c>
      <c r="D37" s="64">
        <v>59.88</v>
      </c>
      <c r="E37" s="64">
        <v>0.46</v>
      </c>
      <c r="F37" s="64">
        <v>3.45</v>
      </c>
      <c r="G37" s="64">
        <v>99.4</v>
      </c>
      <c r="H37" s="64">
        <v>42.51</v>
      </c>
      <c r="I37" s="64">
        <v>1.51</v>
      </c>
      <c r="J37" s="64">
        <v>0.08</v>
      </c>
      <c r="K37" s="64">
        <v>50.82</v>
      </c>
      <c r="L37" s="64">
        <v>14.13</v>
      </c>
      <c r="M37" s="64">
        <v>89.27</v>
      </c>
      <c r="N37" s="64">
        <v>77.3</v>
      </c>
      <c r="O37" s="64">
        <v>0</v>
      </c>
      <c r="P37" s="64">
        <v>0.76</v>
      </c>
      <c r="Q37" s="64">
        <v>2</v>
      </c>
      <c r="R37" s="198"/>
      <c r="S37" s="198"/>
      <c r="T37" s="198"/>
      <c r="U37" s="198"/>
    </row>
    <row r="38" spans="1:21" s="12" customFormat="1" x14ac:dyDescent="0.25">
      <c r="A38" s="214" t="s">
        <v>1237</v>
      </c>
      <c r="B38" s="64">
        <v>43.71</v>
      </c>
      <c r="C38" s="64">
        <v>46.13</v>
      </c>
      <c r="D38" s="64">
        <v>61.16</v>
      </c>
      <c r="E38" s="64">
        <v>0.38</v>
      </c>
      <c r="F38" s="64">
        <v>3.91</v>
      </c>
      <c r="G38" s="64">
        <v>99.4</v>
      </c>
      <c r="H38" s="64">
        <v>42.51</v>
      </c>
      <c r="I38" s="64">
        <v>1.4</v>
      </c>
      <c r="J38" s="64">
        <v>0.44</v>
      </c>
      <c r="K38" s="64">
        <v>104.53</v>
      </c>
      <c r="L38" s="64">
        <v>14.93</v>
      </c>
      <c r="M38" s="64">
        <v>82.65</v>
      </c>
      <c r="N38" s="64">
        <v>106.4</v>
      </c>
      <c r="O38" s="64">
        <v>0</v>
      </c>
      <c r="P38" s="64">
        <v>0.69</v>
      </c>
      <c r="Q38" s="64">
        <v>5.0999999999999996</v>
      </c>
      <c r="R38" s="198"/>
      <c r="S38" s="198"/>
      <c r="T38" s="198"/>
      <c r="U38" s="198"/>
    </row>
    <row r="39" spans="1:21" s="12" customFormat="1" x14ac:dyDescent="0.25">
      <c r="A39" s="214" t="s">
        <v>1238</v>
      </c>
      <c r="B39" s="64">
        <v>42.55</v>
      </c>
      <c r="C39" s="64">
        <v>46.09</v>
      </c>
      <c r="D39" s="64">
        <v>60.21</v>
      </c>
      <c r="E39" s="64">
        <v>0.32</v>
      </c>
      <c r="F39" s="64">
        <v>4.6399999999999997</v>
      </c>
      <c r="G39" s="64">
        <v>96.5</v>
      </c>
      <c r="H39" s="64">
        <v>42.07</v>
      </c>
      <c r="I39" s="64">
        <v>1.48</v>
      </c>
      <c r="J39" s="64">
        <v>0.64</v>
      </c>
      <c r="K39" s="64">
        <v>104.91</v>
      </c>
      <c r="L39" s="64">
        <v>15.88</v>
      </c>
      <c r="M39" s="64">
        <v>76.61</v>
      </c>
      <c r="N39" s="64">
        <v>201.3</v>
      </c>
      <c r="O39" s="64">
        <v>0</v>
      </c>
      <c r="P39" s="64">
        <v>0.53</v>
      </c>
      <c r="Q39" s="64">
        <v>8.67</v>
      </c>
      <c r="R39" s="198"/>
      <c r="S39" s="198"/>
      <c r="T39" s="198"/>
      <c r="U39" s="198"/>
    </row>
    <row r="40" spans="1:21" s="12" customFormat="1" x14ac:dyDescent="0.25">
      <c r="A40" s="214" t="s">
        <v>1239</v>
      </c>
      <c r="B40" s="64">
        <v>40.65</v>
      </c>
      <c r="C40" s="64">
        <v>46.24</v>
      </c>
      <c r="D40" s="64">
        <v>58.76</v>
      </c>
      <c r="E40" s="64">
        <v>0.38</v>
      </c>
      <c r="F40" s="64">
        <v>4.43</v>
      </c>
      <c r="G40" s="64">
        <v>84.89</v>
      </c>
      <c r="H40" s="64">
        <v>40.9</v>
      </c>
      <c r="I40" s="64">
        <v>1.48</v>
      </c>
      <c r="J40" s="64">
        <v>0.22</v>
      </c>
      <c r="K40" s="64">
        <v>47.85</v>
      </c>
      <c r="L40" s="64">
        <v>17.77</v>
      </c>
      <c r="M40" s="64">
        <v>71.69</v>
      </c>
      <c r="N40" s="64">
        <v>255.1</v>
      </c>
      <c r="O40" s="64">
        <v>0</v>
      </c>
      <c r="P40" s="64">
        <v>0.62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1240</v>
      </c>
      <c r="B41" s="64">
        <v>40.47</v>
      </c>
      <c r="C41" s="64">
        <v>47</v>
      </c>
      <c r="D41" s="64">
        <v>59.04</v>
      </c>
      <c r="E41" s="64">
        <v>0.56999999999999995</v>
      </c>
      <c r="F41" s="64">
        <v>4.54</v>
      </c>
      <c r="G41" s="64">
        <v>84.89</v>
      </c>
      <c r="H41" s="64">
        <v>40.9</v>
      </c>
      <c r="I41" s="64">
        <v>1.48</v>
      </c>
      <c r="J41" s="64">
        <v>0.51</v>
      </c>
      <c r="K41" s="64">
        <v>335.44</v>
      </c>
      <c r="L41" s="64">
        <v>20.84</v>
      </c>
      <c r="M41" s="64">
        <v>57.94</v>
      </c>
      <c r="N41" s="64">
        <v>301.2</v>
      </c>
      <c r="O41" s="64">
        <v>0</v>
      </c>
      <c r="P41" s="64">
        <v>1.02</v>
      </c>
      <c r="Q41" s="64">
        <v>6.46</v>
      </c>
      <c r="R41" s="198"/>
      <c r="S41" s="198"/>
      <c r="T41" s="198"/>
      <c r="U41" s="198"/>
    </row>
    <row r="42" spans="1:21" s="12" customFormat="1" x14ac:dyDescent="0.25">
      <c r="A42" s="214" t="s">
        <v>1241</v>
      </c>
      <c r="B42" s="64">
        <v>40.42</v>
      </c>
      <c r="C42" s="64">
        <v>48.13</v>
      </c>
      <c r="D42" s="64">
        <v>59.62</v>
      </c>
      <c r="E42" s="64">
        <v>0.64</v>
      </c>
      <c r="F42" s="64">
        <v>4.82</v>
      </c>
      <c r="G42" s="64">
        <v>84.89</v>
      </c>
      <c r="H42" s="64">
        <v>40.9</v>
      </c>
      <c r="I42" s="64">
        <v>1.43</v>
      </c>
      <c r="J42" s="64">
        <v>1.05</v>
      </c>
      <c r="K42" s="64">
        <v>348.39</v>
      </c>
      <c r="L42" s="64">
        <v>22.3</v>
      </c>
      <c r="M42" s="64">
        <v>54.78</v>
      </c>
      <c r="N42" s="64">
        <v>350.3</v>
      </c>
      <c r="O42" s="64">
        <v>0</v>
      </c>
      <c r="P42" s="64">
        <v>0.98</v>
      </c>
      <c r="Q42" s="64">
        <v>5.81</v>
      </c>
      <c r="R42" s="198"/>
      <c r="S42" s="198"/>
      <c r="T42" s="198"/>
      <c r="U42" s="198"/>
    </row>
    <row r="43" spans="1:21" s="12" customFormat="1" x14ac:dyDescent="0.25">
      <c r="A43" s="214" t="s">
        <v>1242</v>
      </c>
      <c r="B43" s="64">
        <v>39.93</v>
      </c>
      <c r="C43" s="64">
        <v>49.48</v>
      </c>
      <c r="D43" s="64">
        <v>59.97</v>
      </c>
      <c r="E43" s="64">
        <v>0.75</v>
      </c>
      <c r="F43" s="64">
        <v>7.5</v>
      </c>
      <c r="G43" s="64">
        <v>87.06</v>
      </c>
      <c r="H43" s="64">
        <v>40.58</v>
      </c>
      <c r="I43" s="64">
        <v>1.47</v>
      </c>
      <c r="J43" s="64">
        <v>1</v>
      </c>
      <c r="K43" s="64">
        <v>344.87</v>
      </c>
      <c r="L43" s="64">
        <v>22.59</v>
      </c>
      <c r="M43" s="64">
        <v>51.25</v>
      </c>
      <c r="N43" s="64">
        <v>397.3</v>
      </c>
      <c r="O43" s="64">
        <v>0</v>
      </c>
      <c r="P43" s="64">
        <v>0.71</v>
      </c>
      <c r="Q43" s="64">
        <v>6.5</v>
      </c>
      <c r="R43" s="198"/>
      <c r="S43" s="198"/>
      <c r="T43" s="198"/>
      <c r="U43" s="198"/>
    </row>
    <row r="44" spans="1:21" s="12" customFormat="1" x14ac:dyDescent="0.25">
      <c r="A44" s="214" t="s">
        <v>1243</v>
      </c>
      <c r="B44" s="64">
        <v>38.590000000000003</v>
      </c>
      <c r="C44" s="64">
        <v>50.54</v>
      </c>
      <c r="D44" s="64">
        <v>59.49</v>
      </c>
      <c r="E44" s="64">
        <v>0.91</v>
      </c>
      <c r="F44" s="64">
        <v>9.51</v>
      </c>
      <c r="G44" s="64">
        <v>95.74</v>
      </c>
      <c r="H44" s="64">
        <v>39.14</v>
      </c>
      <c r="I44" s="64">
        <v>1.47</v>
      </c>
      <c r="J44" s="64">
        <v>0.84</v>
      </c>
      <c r="K44" s="64">
        <v>343.71</v>
      </c>
      <c r="L44" s="64">
        <v>23.12</v>
      </c>
      <c r="M44" s="64">
        <v>49.75</v>
      </c>
      <c r="N44" s="64">
        <v>449.8</v>
      </c>
      <c r="O44" s="64">
        <v>0</v>
      </c>
      <c r="P44" s="64">
        <v>0.66</v>
      </c>
      <c r="Q44" s="64">
        <v>7.64</v>
      </c>
      <c r="R44" s="198"/>
      <c r="S44" s="198"/>
      <c r="T44" s="198"/>
      <c r="U44" s="198"/>
    </row>
    <row r="45" spans="1:21" s="12" customFormat="1" x14ac:dyDescent="0.25">
      <c r="A45" s="214" t="s">
        <v>1244</v>
      </c>
      <c r="B45" s="64">
        <v>37.729999999999997</v>
      </c>
      <c r="C45" s="64">
        <v>51.2</v>
      </c>
      <c r="D45" s="64">
        <v>59.16</v>
      </c>
      <c r="E45" s="64">
        <v>0.85</v>
      </c>
      <c r="F45" s="64">
        <v>7.03</v>
      </c>
      <c r="G45" s="64">
        <v>95.74</v>
      </c>
      <c r="H45" s="64">
        <v>39.14</v>
      </c>
      <c r="I45" s="64">
        <v>1.48</v>
      </c>
      <c r="J45" s="64">
        <v>0.63</v>
      </c>
      <c r="K45" s="64">
        <v>342.11</v>
      </c>
      <c r="L45" s="64">
        <v>24.64</v>
      </c>
      <c r="M45" s="64">
        <v>45.1</v>
      </c>
      <c r="N45" s="64">
        <v>496.4</v>
      </c>
      <c r="O45" s="64">
        <v>0</v>
      </c>
      <c r="P45" s="64">
        <v>0.72</v>
      </c>
      <c r="Q45" s="64">
        <v>5.55</v>
      </c>
      <c r="R45" s="198"/>
      <c r="S45" s="198"/>
      <c r="T45" s="198"/>
      <c r="U45" s="198"/>
    </row>
    <row r="46" spans="1:21" s="12" customFormat="1" x14ac:dyDescent="0.25">
      <c r="A46" s="214" t="s">
        <v>1245</v>
      </c>
      <c r="B46" s="64">
        <v>37.11</v>
      </c>
      <c r="C46" s="64">
        <v>51.82</v>
      </c>
      <c r="D46" s="64">
        <v>59.01</v>
      </c>
      <c r="E46" s="64">
        <v>0.79</v>
      </c>
      <c r="F46" s="64">
        <v>7.03</v>
      </c>
      <c r="G46" s="64">
        <v>95.74</v>
      </c>
      <c r="H46" s="64">
        <v>39.14</v>
      </c>
      <c r="I46" s="64">
        <v>1.55</v>
      </c>
      <c r="J46" s="64">
        <v>0.23</v>
      </c>
      <c r="K46" s="64">
        <v>4.82</v>
      </c>
      <c r="L46" s="64">
        <v>23.76</v>
      </c>
      <c r="M46" s="64">
        <v>46.61</v>
      </c>
      <c r="N46" s="64">
        <v>536.20000000000005</v>
      </c>
      <c r="O46" s="64">
        <v>0</v>
      </c>
      <c r="P46" s="64">
        <v>0.71</v>
      </c>
      <c r="Q46" s="64">
        <v>6.26</v>
      </c>
      <c r="R46" s="198"/>
      <c r="S46" s="198"/>
      <c r="T46" s="198"/>
      <c r="U46" s="198"/>
    </row>
    <row r="47" spans="1:21" s="12" customFormat="1" x14ac:dyDescent="0.25">
      <c r="A47" s="214" t="s">
        <v>1246</v>
      </c>
      <c r="B47" s="64">
        <v>35.4</v>
      </c>
      <c r="C47" s="64">
        <v>51.91</v>
      </c>
      <c r="D47" s="64">
        <v>57.68</v>
      </c>
      <c r="E47" s="64">
        <v>0.67</v>
      </c>
      <c r="F47" s="64">
        <v>8.06</v>
      </c>
      <c r="G47" s="64">
        <v>96.61</v>
      </c>
      <c r="H47" s="64">
        <v>51.37</v>
      </c>
      <c r="I47" s="64">
        <v>1.47</v>
      </c>
      <c r="J47" s="64">
        <v>0.38</v>
      </c>
      <c r="K47" s="64">
        <v>355.72</v>
      </c>
      <c r="L47" s="64">
        <v>23.28</v>
      </c>
      <c r="M47" s="64">
        <v>48.58</v>
      </c>
      <c r="N47" s="64">
        <v>564.9</v>
      </c>
      <c r="O47" s="64">
        <v>0</v>
      </c>
      <c r="P47" s="64">
        <v>0.7</v>
      </c>
      <c r="Q47" s="64">
        <v>7.57</v>
      </c>
      <c r="R47" s="198"/>
      <c r="S47" s="198"/>
      <c r="T47" s="198"/>
      <c r="U47" s="198"/>
    </row>
    <row r="48" spans="1:21" s="12" customFormat="1" x14ac:dyDescent="0.25">
      <c r="A48" s="214" t="s">
        <v>1247</v>
      </c>
      <c r="B48" s="64">
        <v>33.58</v>
      </c>
      <c r="C48" s="64">
        <v>52.64</v>
      </c>
      <c r="D48" s="64">
        <v>56.63</v>
      </c>
      <c r="E48" s="64">
        <v>0.94</v>
      </c>
      <c r="F48" s="64">
        <v>13.22</v>
      </c>
      <c r="G48" s="64">
        <v>100.07</v>
      </c>
      <c r="H48" s="64">
        <v>84.63</v>
      </c>
      <c r="I48" s="64">
        <v>1.53</v>
      </c>
      <c r="J48" s="64">
        <v>0.64</v>
      </c>
      <c r="K48" s="64">
        <v>335.02</v>
      </c>
      <c r="L48" s="64">
        <v>25.47</v>
      </c>
      <c r="M48" s="64">
        <v>42.16</v>
      </c>
      <c r="N48" s="64">
        <v>597.5</v>
      </c>
      <c r="O48" s="64">
        <v>0</v>
      </c>
      <c r="P48" s="64">
        <v>0.81</v>
      </c>
      <c r="Q48" s="64">
        <v>7.19</v>
      </c>
      <c r="R48" s="198"/>
      <c r="S48" s="198"/>
      <c r="T48" s="198"/>
      <c r="U48" s="198"/>
    </row>
    <row r="49" spans="1:21" s="12" customFormat="1" x14ac:dyDescent="0.25">
      <c r="A49" s="214" t="s">
        <v>1248</v>
      </c>
      <c r="B49" s="64">
        <v>32.049999999999997</v>
      </c>
      <c r="C49" s="64">
        <v>52.82</v>
      </c>
      <c r="D49" s="64">
        <v>55.5</v>
      </c>
      <c r="E49" s="64">
        <v>1</v>
      </c>
      <c r="F49" s="64">
        <v>13.18</v>
      </c>
      <c r="G49" s="64">
        <v>100.07</v>
      </c>
      <c r="H49" s="64">
        <v>84.63</v>
      </c>
      <c r="I49" s="64">
        <v>1.47</v>
      </c>
      <c r="J49" s="64">
        <v>0.39</v>
      </c>
      <c r="K49" s="64">
        <v>0.11</v>
      </c>
      <c r="L49" s="64">
        <v>26.06</v>
      </c>
      <c r="M49" s="64">
        <v>40.549999999999997</v>
      </c>
      <c r="N49" s="64">
        <v>632.20000000000005</v>
      </c>
      <c r="O49" s="64">
        <v>0</v>
      </c>
      <c r="P49" s="64">
        <v>0.77</v>
      </c>
      <c r="Q49" s="64">
        <v>7.21</v>
      </c>
      <c r="R49" s="198"/>
      <c r="S49" s="198"/>
      <c r="T49" s="198"/>
      <c r="U49" s="198"/>
    </row>
    <row r="50" spans="1:21" s="12" customFormat="1" x14ac:dyDescent="0.25">
      <c r="A50" s="214" t="s">
        <v>1249</v>
      </c>
      <c r="B50" s="64">
        <v>30.65</v>
      </c>
      <c r="C50" s="64">
        <v>52.88</v>
      </c>
      <c r="D50" s="64">
        <v>54.41</v>
      </c>
      <c r="E50" s="64">
        <v>0.9</v>
      </c>
      <c r="F50" s="64">
        <v>11.15</v>
      </c>
      <c r="G50" s="64">
        <v>100.07</v>
      </c>
      <c r="H50" s="64">
        <v>84.63</v>
      </c>
      <c r="I50" s="64">
        <v>1.49</v>
      </c>
      <c r="J50" s="64">
        <v>0.24</v>
      </c>
      <c r="K50" s="64">
        <v>59.95</v>
      </c>
      <c r="L50" s="64">
        <v>24.74</v>
      </c>
      <c r="M50" s="64">
        <v>44.33</v>
      </c>
      <c r="N50" s="64">
        <v>659.6</v>
      </c>
      <c r="O50" s="64">
        <v>0</v>
      </c>
      <c r="P50" s="64">
        <v>0.77</v>
      </c>
      <c r="Q50" s="64">
        <v>7.01</v>
      </c>
      <c r="R50" s="198"/>
      <c r="S50" s="198"/>
      <c r="T50" s="198"/>
      <c r="U50" s="198"/>
    </row>
    <row r="51" spans="1:21" s="12" customFormat="1" x14ac:dyDescent="0.25">
      <c r="A51" s="214" t="s">
        <v>1250</v>
      </c>
      <c r="B51" s="64">
        <v>29.3</v>
      </c>
      <c r="C51" s="64">
        <v>52.55</v>
      </c>
      <c r="D51" s="64">
        <v>53.14</v>
      </c>
      <c r="E51" s="64">
        <v>0.78</v>
      </c>
      <c r="F51" s="64">
        <v>11.92</v>
      </c>
      <c r="G51" s="64">
        <v>97.44</v>
      </c>
      <c r="H51" s="64">
        <v>74.569999999999993</v>
      </c>
      <c r="I51" s="64">
        <v>1.47</v>
      </c>
      <c r="J51" s="64">
        <v>0.11</v>
      </c>
      <c r="K51" s="64">
        <v>55.52</v>
      </c>
      <c r="L51" s="64">
        <v>23.6</v>
      </c>
      <c r="M51" s="64">
        <v>46.81</v>
      </c>
      <c r="N51" s="64">
        <v>670.8</v>
      </c>
      <c r="O51" s="64">
        <v>0</v>
      </c>
      <c r="P51" s="64">
        <v>0.61</v>
      </c>
      <c r="Q51" s="64">
        <v>6.85</v>
      </c>
      <c r="R51" s="198"/>
      <c r="S51" s="198"/>
      <c r="T51" s="198"/>
      <c r="U51" s="198"/>
    </row>
    <row r="52" spans="1:21" s="12" customFormat="1" x14ac:dyDescent="0.25">
      <c r="A52" s="214" t="s">
        <v>1251</v>
      </c>
      <c r="B52" s="64">
        <v>18.37</v>
      </c>
      <c r="C52" s="64">
        <v>58.7</v>
      </c>
      <c r="D52" s="64">
        <v>47.78</v>
      </c>
      <c r="E52" s="64">
        <v>0.79</v>
      </c>
      <c r="F52" s="64">
        <v>16.05</v>
      </c>
      <c r="G52" s="64">
        <v>86.9</v>
      </c>
      <c r="H52" s="64">
        <v>47.19</v>
      </c>
      <c r="I52" s="64">
        <v>1.52</v>
      </c>
      <c r="J52" s="64">
        <v>0.26</v>
      </c>
      <c r="K52" s="64">
        <v>22.28</v>
      </c>
      <c r="L52" s="64">
        <v>25.01</v>
      </c>
      <c r="M52" s="64">
        <v>43.03</v>
      </c>
      <c r="N52" s="64">
        <v>688.1</v>
      </c>
      <c r="O52" s="64">
        <v>0</v>
      </c>
      <c r="P52" s="64">
        <v>0.76</v>
      </c>
      <c r="Q52" s="64">
        <v>5.96</v>
      </c>
      <c r="R52" s="198"/>
      <c r="S52" s="198"/>
      <c r="T52" s="198"/>
      <c r="U52" s="198"/>
    </row>
    <row r="53" spans="1:21" s="12" customFormat="1" x14ac:dyDescent="0.25">
      <c r="A53" s="214" t="s">
        <v>1252</v>
      </c>
      <c r="B53" s="64">
        <v>11.88</v>
      </c>
      <c r="C53" s="64">
        <v>61.5</v>
      </c>
      <c r="D53" s="64">
        <v>44.11</v>
      </c>
      <c r="E53" s="64">
        <v>0.9</v>
      </c>
      <c r="F53" s="64">
        <v>20.440000000000001</v>
      </c>
      <c r="G53" s="64">
        <v>86.9</v>
      </c>
      <c r="H53" s="64">
        <v>47.19</v>
      </c>
      <c r="I53" s="64">
        <v>1.45</v>
      </c>
      <c r="J53" s="64">
        <v>0.39</v>
      </c>
      <c r="K53" s="64">
        <v>117.92</v>
      </c>
      <c r="L53" s="64">
        <v>24.09</v>
      </c>
      <c r="M53" s="64">
        <v>43.88</v>
      </c>
      <c r="N53" s="64">
        <v>687.7</v>
      </c>
      <c r="O53" s="64">
        <v>0</v>
      </c>
      <c r="P53" s="64">
        <v>0.55000000000000004</v>
      </c>
      <c r="Q53" s="64">
        <v>5.71</v>
      </c>
      <c r="R53" s="198"/>
      <c r="S53" s="198"/>
      <c r="T53" s="198"/>
      <c r="U53" s="198"/>
    </row>
    <row r="54" spans="1:21" s="12" customFormat="1" x14ac:dyDescent="0.25">
      <c r="A54" s="214" t="s">
        <v>1253</v>
      </c>
      <c r="B54" s="64">
        <v>8.85</v>
      </c>
      <c r="C54" s="64">
        <v>59.89</v>
      </c>
      <c r="D54" s="64">
        <v>40.79</v>
      </c>
      <c r="E54" s="64">
        <v>0.83</v>
      </c>
      <c r="F54" s="64">
        <v>16.27</v>
      </c>
      <c r="G54" s="64">
        <v>86.9</v>
      </c>
      <c r="H54" s="64">
        <v>47.19</v>
      </c>
      <c r="I54" s="64">
        <v>1.48</v>
      </c>
      <c r="J54" s="64">
        <v>0.38</v>
      </c>
      <c r="K54" s="64">
        <v>92.29</v>
      </c>
      <c r="L54" s="64">
        <v>23.96</v>
      </c>
      <c r="M54" s="64">
        <v>44.53</v>
      </c>
      <c r="N54" s="64">
        <v>695.1</v>
      </c>
      <c r="O54" s="64">
        <v>0</v>
      </c>
      <c r="P54" s="64">
        <v>0.53</v>
      </c>
      <c r="Q54" s="64">
        <v>5.33</v>
      </c>
      <c r="R54" s="198"/>
      <c r="S54" s="198"/>
      <c r="T54" s="198"/>
      <c r="U54" s="198"/>
    </row>
    <row r="55" spans="1:21" s="12" customFormat="1" x14ac:dyDescent="0.25">
      <c r="A55" s="214" t="s">
        <v>1254</v>
      </c>
      <c r="B55" s="64">
        <v>8.3800000000000008</v>
      </c>
      <c r="C55" s="64">
        <v>56.82</v>
      </c>
      <c r="D55" s="64">
        <v>38.72</v>
      </c>
      <c r="E55" s="64">
        <v>0.88</v>
      </c>
      <c r="F55" s="64">
        <v>18.77</v>
      </c>
      <c r="G55" s="64">
        <v>84.51</v>
      </c>
      <c r="H55" s="64">
        <v>43.96</v>
      </c>
      <c r="I55" s="64">
        <v>1.49</v>
      </c>
      <c r="J55" s="64">
        <v>0.13</v>
      </c>
      <c r="K55" s="64">
        <v>70.349999999999994</v>
      </c>
      <c r="L55" s="64">
        <v>24.63</v>
      </c>
      <c r="M55" s="64">
        <v>41.22</v>
      </c>
      <c r="N55" s="64">
        <v>709.4</v>
      </c>
      <c r="O55" s="64">
        <v>0</v>
      </c>
      <c r="P55" s="64">
        <v>0.57999999999999996</v>
      </c>
      <c r="Q55" s="64">
        <v>4.37</v>
      </c>
      <c r="R55" s="198"/>
      <c r="S55" s="198"/>
      <c r="T55" s="198"/>
      <c r="U55" s="198"/>
    </row>
    <row r="56" spans="1:21" s="12" customFormat="1" x14ac:dyDescent="0.25">
      <c r="A56" s="214" t="s">
        <v>1255</v>
      </c>
      <c r="B56" s="64">
        <v>8.36</v>
      </c>
      <c r="C56" s="64">
        <v>54.91</v>
      </c>
      <c r="D56" s="64">
        <v>37.659999999999997</v>
      </c>
      <c r="E56" s="64">
        <v>0.54</v>
      </c>
      <c r="F56" s="64">
        <v>21.73</v>
      </c>
      <c r="G56" s="64">
        <v>74.930000000000007</v>
      </c>
      <c r="H56" s="64">
        <v>35.18</v>
      </c>
      <c r="I56" s="64">
        <v>1.54</v>
      </c>
      <c r="J56" s="64">
        <v>0.12</v>
      </c>
      <c r="K56" s="64">
        <v>63.69</v>
      </c>
      <c r="L56" s="64">
        <v>26.16</v>
      </c>
      <c r="M56" s="64">
        <v>38.56</v>
      </c>
      <c r="N56" s="64">
        <v>699.2</v>
      </c>
      <c r="O56" s="64">
        <v>0</v>
      </c>
      <c r="P56" s="64">
        <v>0.57999999999999996</v>
      </c>
      <c r="Q56" s="64">
        <v>4.3499999999999996</v>
      </c>
      <c r="R56" s="198"/>
      <c r="S56" s="198"/>
      <c r="T56" s="198"/>
      <c r="U56" s="198"/>
    </row>
    <row r="57" spans="1:21" s="12" customFormat="1" x14ac:dyDescent="0.25">
      <c r="A57" s="214" t="s">
        <v>1256</v>
      </c>
      <c r="B57" s="64">
        <v>7.55</v>
      </c>
      <c r="C57" s="64">
        <v>53.95</v>
      </c>
      <c r="D57" s="64">
        <v>36.47</v>
      </c>
      <c r="E57" s="64">
        <v>0.74</v>
      </c>
      <c r="F57" s="64">
        <v>25.35</v>
      </c>
      <c r="G57" s="64">
        <v>74.930000000000007</v>
      </c>
      <c r="H57" s="64">
        <v>35.18</v>
      </c>
      <c r="I57" s="64">
        <v>1.5</v>
      </c>
      <c r="J57" s="64">
        <v>0.32</v>
      </c>
      <c r="K57" s="64">
        <v>101.05</v>
      </c>
      <c r="L57" s="64">
        <v>24.35</v>
      </c>
      <c r="M57" s="64">
        <v>40.32</v>
      </c>
      <c r="N57" s="64">
        <v>699.4</v>
      </c>
      <c r="O57" s="64">
        <v>0</v>
      </c>
      <c r="P57" s="64">
        <v>0.44</v>
      </c>
      <c r="Q57" s="64">
        <v>4.13</v>
      </c>
      <c r="R57" s="198"/>
      <c r="S57" s="198"/>
      <c r="T57" s="198"/>
      <c r="U57" s="198"/>
    </row>
    <row r="58" spans="1:21" s="12" customFormat="1" x14ac:dyDescent="0.25">
      <c r="A58" s="214" t="s">
        <v>1257</v>
      </c>
      <c r="B58" s="64">
        <v>7</v>
      </c>
      <c r="C58" s="64">
        <v>52.97</v>
      </c>
      <c r="D58" s="64">
        <v>35.49</v>
      </c>
      <c r="E58" s="64">
        <v>1.05</v>
      </c>
      <c r="F58" s="64">
        <v>20.81</v>
      </c>
      <c r="G58" s="64">
        <v>74.930000000000007</v>
      </c>
      <c r="H58" s="64">
        <v>35.18</v>
      </c>
      <c r="I58" s="64">
        <v>1.45</v>
      </c>
      <c r="J58" s="64">
        <v>0.4</v>
      </c>
      <c r="K58" s="64">
        <v>142.91</v>
      </c>
      <c r="L58" s="64">
        <v>25.53</v>
      </c>
      <c r="M58" s="64">
        <v>36.1</v>
      </c>
      <c r="N58" s="64">
        <v>685.8</v>
      </c>
      <c r="O58" s="64">
        <v>0</v>
      </c>
      <c r="P58" s="64">
        <v>0.51</v>
      </c>
      <c r="Q58" s="64">
        <v>3.66</v>
      </c>
      <c r="R58" s="198"/>
      <c r="S58" s="198"/>
      <c r="T58" s="198"/>
      <c r="U58" s="198"/>
    </row>
    <row r="59" spans="1:21" s="12" customFormat="1" x14ac:dyDescent="0.25">
      <c r="A59" s="214" t="s">
        <v>1258</v>
      </c>
      <c r="B59" s="64">
        <v>6.9</v>
      </c>
      <c r="C59" s="64">
        <v>52.06</v>
      </c>
      <c r="D59" s="64">
        <v>34.909999999999997</v>
      </c>
      <c r="E59" s="64">
        <v>0.86</v>
      </c>
      <c r="F59" s="64">
        <v>21.64</v>
      </c>
      <c r="G59" s="64">
        <v>71.53</v>
      </c>
      <c r="H59" s="64">
        <v>34.200000000000003</v>
      </c>
      <c r="I59" s="64">
        <v>1.49</v>
      </c>
      <c r="J59" s="64">
        <v>1.06</v>
      </c>
      <c r="K59" s="64">
        <v>116.17</v>
      </c>
      <c r="L59" s="64">
        <v>23.5</v>
      </c>
      <c r="M59" s="64">
        <v>39.56</v>
      </c>
      <c r="N59" s="64">
        <v>690.1</v>
      </c>
      <c r="O59" s="64">
        <v>0</v>
      </c>
      <c r="P59" s="64">
        <v>0.38</v>
      </c>
      <c r="Q59" s="64">
        <v>4.63</v>
      </c>
      <c r="R59" s="198"/>
      <c r="S59" s="198"/>
      <c r="T59" s="198"/>
      <c r="U59" s="198"/>
    </row>
    <row r="60" spans="1:21" s="12" customFormat="1" x14ac:dyDescent="0.25">
      <c r="A60" s="214" t="s">
        <v>1259</v>
      </c>
      <c r="B60" s="64">
        <v>6.79</v>
      </c>
      <c r="C60" s="64">
        <v>50.79</v>
      </c>
      <c r="D60" s="64">
        <v>34.119999999999997</v>
      </c>
      <c r="E60" s="64">
        <v>1.48</v>
      </c>
      <c r="F60" s="64">
        <v>33.85</v>
      </c>
      <c r="G60" s="64">
        <v>57.95</v>
      </c>
      <c r="H60" s="64">
        <v>29.37</v>
      </c>
      <c r="I60" s="64">
        <v>1.54</v>
      </c>
      <c r="J60" s="64">
        <v>0.44</v>
      </c>
      <c r="K60" s="64">
        <v>336.31</v>
      </c>
      <c r="L60" s="64">
        <v>25.48</v>
      </c>
      <c r="M60" s="64">
        <v>36.450000000000003</v>
      </c>
      <c r="N60" s="64">
        <v>657.6</v>
      </c>
      <c r="O60" s="64">
        <v>0</v>
      </c>
      <c r="P60" s="64">
        <v>0.54</v>
      </c>
      <c r="Q60" s="64">
        <v>4.18</v>
      </c>
      <c r="R60" s="198"/>
      <c r="S60" s="198"/>
      <c r="T60" s="198"/>
      <c r="U60" s="198"/>
    </row>
    <row r="61" spans="1:21" s="12" customFormat="1" x14ac:dyDescent="0.25">
      <c r="A61" s="214" t="s">
        <v>1260</v>
      </c>
      <c r="B61" s="64">
        <v>6.82</v>
      </c>
      <c r="C61" s="64">
        <v>49.36</v>
      </c>
      <c r="D61" s="64">
        <v>33.36</v>
      </c>
      <c r="E61" s="64">
        <v>0.97</v>
      </c>
      <c r="F61" s="64">
        <v>10.87</v>
      </c>
      <c r="G61" s="64">
        <v>57.95</v>
      </c>
      <c r="H61" s="64">
        <v>29.37</v>
      </c>
      <c r="I61" s="64">
        <v>1.44</v>
      </c>
      <c r="J61" s="64">
        <v>0.54</v>
      </c>
      <c r="K61" s="64">
        <v>98.57</v>
      </c>
      <c r="L61" s="64">
        <v>25.04</v>
      </c>
      <c r="M61" s="64">
        <v>37.18</v>
      </c>
      <c r="N61" s="64">
        <v>612.5</v>
      </c>
      <c r="O61" s="64">
        <v>0</v>
      </c>
      <c r="P61" s="64">
        <v>0.53</v>
      </c>
      <c r="Q61" s="64">
        <v>3.04</v>
      </c>
      <c r="R61" s="198"/>
      <c r="S61" s="198"/>
      <c r="T61" s="198"/>
      <c r="U61" s="198"/>
    </row>
    <row r="62" spans="1:21" s="12" customFormat="1" x14ac:dyDescent="0.25">
      <c r="A62" s="214" t="s">
        <v>1261</v>
      </c>
      <c r="B62" s="64">
        <v>5.99</v>
      </c>
      <c r="C62" s="64">
        <v>48.58</v>
      </c>
      <c r="D62" s="64">
        <v>32.26</v>
      </c>
      <c r="E62" s="64">
        <v>0.65</v>
      </c>
      <c r="F62" s="64">
        <v>7.88</v>
      </c>
      <c r="G62" s="64">
        <v>57.95</v>
      </c>
      <c r="H62" s="64">
        <v>29.37</v>
      </c>
      <c r="I62" s="64">
        <v>1.47</v>
      </c>
      <c r="J62" s="64">
        <v>0.41</v>
      </c>
      <c r="K62" s="64">
        <v>125.74</v>
      </c>
      <c r="L62" s="64">
        <v>24.24</v>
      </c>
      <c r="M62" s="64">
        <v>38.06</v>
      </c>
      <c r="N62" s="64">
        <v>568</v>
      </c>
      <c r="O62" s="64">
        <v>0</v>
      </c>
      <c r="P62" s="64">
        <v>0.48</v>
      </c>
      <c r="Q62" s="64">
        <v>4.78</v>
      </c>
      <c r="R62" s="198"/>
      <c r="S62" s="198"/>
      <c r="T62" s="198"/>
      <c r="U62" s="198"/>
    </row>
    <row r="63" spans="1:21" s="12" customFormat="1" x14ac:dyDescent="0.25">
      <c r="A63" s="214" t="s">
        <v>1262</v>
      </c>
      <c r="B63" s="64">
        <v>4.55</v>
      </c>
      <c r="C63" s="64">
        <v>48.09</v>
      </c>
      <c r="D63" s="64">
        <v>30.83</v>
      </c>
      <c r="E63" s="64">
        <v>1.01</v>
      </c>
      <c r="F63" s="64">
        <v>13.63</v>
      </c>
      <c r="G63" s="64">
        <v>57.82</v>
      </c>
      <c r="H63" s="64">
        <v>26.74</v>
      </c>
      <c r="I63" s="64">
        <v>1.5</v>
      </c>
      <c r="J63" s="64">
        <v>0.51</v>
      </c>
      <c r="K63" s="64">
        <v>110.01</v>
      </c>
      <c r="L63" s="64">
        <v>24.47</v>
      </c>
      <c r="M63" s="64">
        <v>37.93</v>
      </c>
      <c r="N63" s="64">
        <v>435.5</v>
      </c>
      <c r="O63" s="64">
        <v>0</v>
      </c>
      <c r="P63" s="64">
        <v>0.48</v>
      </c>
      <c r="Q63" s="64">
        <v>5.0999999999999996</v>
      </c>
      <c r="R63" s="198"/>
      <c r="S63" s="198"/>
      <c r="T63" s="198"/>
      <c r="U63" s="198"/>
    </row>
    <row r="64" spans="1:21" s="12" customFormat="1" x14ac:dyDescent="0.25">
      <c r="A64" s="214" t="s">
        <v>1263</v>
      </c>
      <c r="B64" s="64">
        <v>2.61</v>
      </c>
      <c r="C64" s="64">
        <v>48.06</v>
      </c>
      <c r="D64" s="64">
        <v>29.26</v>
      </c>
      <c r="E64" s="64">
        <v>0.76</v>
      </c>
      <c r="F64" s="64">
        <v>16.239999999999998</v>
      </c>
      <c r="G64" s="64">
        <v>57.31</v>
      </c>
      <c r="H64" s="64">
        <v>19.559999999999999</v>
      </c>
      <c r="I64" s="64">
        <v>1.45</v>
      </c>
      <c r="J64" s="64">
        <v>0.47</v>
      </c>
      <c r="K64" s="64">
        <v>107.72</v>
      </c>
      <c r="L64" s="64">
        <v>23.89</v>
      </c>
      <c r="M64" s="64">
        <v>39.85</v>
      </c>
      <c r="N64" s="64">
        <v>232</v>
      </c>
      <c r="O64" s="64">
        <v>0</v>
      </c>
      <c r="P64" s="64">
        <v>0.44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1264</v>
      </c>
      <c r="B65" s="64">
        <v>2.67</v>
      </c>
      <c r="C65" s="64">
        <v>48.61</v>
      </c>
      <c r="D65" s="64">
        <v>29.61</v>
      </c>
      <c r="E65" s="64">
        <v>1.75</v>
      </c>
      <c r="F65" s="64">
        <v>40.880000000000003</v>
      </c>
      <c r="G65" s="64">
        <v>57.31</v>
      </c>
      <c r="H65" s="64">
        <v>19.559999999999999</v>
      </c>
      <c r="I65" s="64">
        <v>1.47</v>
      </c>
      <c r="J65" s="64">
        <v>0.78</v>
      </c>
      <c r="K65" s="64">
        <v>349.23</v>
      </c>
      <c r="L65" s="64">
        <v>25.34</v>
      </c>
      <c r="M65" s="64">
        <v>36.68</v>
      </c>
      <c r="N65" s="64">
        <v>207.8</v>
      </c>
      <c r="O65" s="64">
        <v>0</v>
      </c>
      <c r="P65" s="64">
        <v>0.59</v>
      </c>
      <c r="Q65" s="64">
        <v>4.7699999999999996</v>
      </c>
      <c r="R65" s="198"/>
      <c r="S65" s="198"/>
      <c r="T65" s="198"/>
      <c r="U65" s="198"/>
    </row>
    <row r="66" spans="1:21" s="12" customFormat="1" x14ac:dyDescent="0.25">
      <c r="A66" s="214" t="s">
        <v>1265</v>
      </c>
      <c r="B66" s="64">
        <v>3.02</v>
      </c>
      <c r="C66" s="64">
        <v>49.01</v>
      </c>
      <c r="D66" s="64">
        <v>30.12</v>
      </c>
      <c r="E66" s="64">
        <v>1</v>
      </c>
      <c r="F66" s="64">
        <v>10.92</v>
      </c>
      <c r="G66" s="64">
        <v>57.31</v>
      </c>
      <c r="H66" s="64">
        <v>19.559999999999999</v>
      </c>
      <c r="I66" s="64">
        <v>1.47</v>
      </c>
      <c r="J66" s="64">
        <v>0.51</v>
      </c>
      <c r="K66" s="64">
        <v>102.89</v>
      </c>
      <c r="L66" s="64">
        <v>23.94</v>
      </c>
      <c r="M66" s="64">
        <v>38.61</v>
      </c>
      <c r="N66" s="64">
        <v>188.6</v>
      </c>
      <c r="O66" s="64">
        <v>0</v>
      </c>
      <c r="P66" s="64">
        <v>0.49</v>
      </c>
      <c r="Q66" s="64">
        <v>4.87</v>
      </c>
      <c r="R66" s="198"/>
      <c r="S66" s="198"/>
      <c r="T66" s="198"/>
      <c r="U66" s="198"/>
    </row>
    <row r="67" spans="1:21" s="12" customFormat="1" x14ac:dyDescent="0.25">
      <c r="A67" s="214" t="s">
        <v>1266</v>
      </c>
      <c r="B67" s="64">
        <v>3.26</v>
      </c>
      <c r="C67" s="64">
        <v>48.93</v>
      </c>
      <c r="D67" s="64">
        <v>30.26</v>
      </c>
      <c r="E67" s="64">
        <v>1.46</v>
      </c>
      <c r="F67" s="64">
        <v>28.53</v>
      </c>
      <c r="G67" s="64">
        <v>59.05</v>
      </c>
      <c r="H67" s="64">
        <v>21.31</v>
      </c>
      <c r="I67" s="64">
        <v>1.43</v>
      </c>
      <c r="J67" s="64">
        <v>0.48</v>
      </c>
      <c r="K67" s="64">
        <v>348.34</v>
      </c>
      <c r="L67" s="64">
        <v>24.09</v>
      </c>
      <c r="M67" s="64">
        <v>38.869999999999997</v>
      </c>
      <c r="N67" s="64">
        <v>187.3</v>
      </c>
      <c r="O67" s="64">
        <v>0</v>
      </c>
      <c r="P67" s="64">
        <v>0.62</v>
      </c>
      <c r="Q67" s="64">
        <v>4.49</v>
      </c>
      <c r="R67" s="198"/>
      <c r="S67" s="198"/>
      <c r="T67" s="198"/>
      <c r="U67" s="198"/>
    </row>
    <row r="68" spans="1:21" s="12" customFormat="1" x14ac:dyDescent="0.25">
      <c r="A68" s="214" t="s">
        <v>1267</v>
      </c>
      <c r="B68" s="64">
        <v>3.55</v>
      </c>
      <c r="C68" s="64">
        <v>49.05</v>
      </c>
      <c r="D68" s="64">
        <v>30.56</v>
      </c>
      <c r="E68" s="64">
        <v>0.91</v>
      </c>
      <c r="F68" s="64">
        <v>8.36</v>
      </c>
      <c r="G68" s="64">
        <v>65.97</v>
      </c>
      <c r="H68" s="64">
        <v>26.09</v>
      </c>
      <c r="I68" s="64">
        <v>1.4</v>
      </c>
      <c r="J68" s="64">
        <v>0.28999999999999998</v>
      </c>
      <c r="K68" s="64">
        <v>164.95</v>
      </c>
      <c r="L68" s="64">
        <v>23.6</v>
      </c>
      <c r="M68" s="64">
        <v>37.35</v>
      </c>
      <c r="N68" s="64">
        <v>143.5</v>
      </c>
      <c r="O68" s="64">
        <v>0</v>
      </c>
      <c r="P68" s="64">
        <v>0.48</v>
      </c>
      <c r="Q68" s="64">
        <v>4.54</v>
      </c>
      <c r="R68" s="198"/>
      <c r="S68" s="198"/>
      <c r="T68" s="198"/>
      <c r="U68" s="198"/>
    </row>
    <row r="69" spans="1:21" s="12" customFormat="1" x14ac:dyDescent="0.25">
      <c r="A69" s="214" t="s">
        <v>1268</v>
      </c>
      <c r="B69" s="64">
        <v>3.34</v>
      </c>
      <c r="C69" s="64">
        <v>48.07</v>
      </c>
      <c r="D69" s="64">
        <v>29.85</v>
      </c>
      <c r="E69" s="64">
        <v>0.76</v>
      </c>
      <c r="F69" s="64">
        <v>12.18</v>
      </c>
      <c r="G69" s="64">
        <v>65.97</v>
      </c>
      <c r="H69" s="64">
        <v>26.09</v>
      </c>
      <c r="I69" s="64">
        <v>1.56</v>
      </c>
      <c r="J69" s="64">
        <v>7.0000000000000007E-2</v>
      </c>
      <c r="K69" s="64">
        <v>115.64</v>
      </c>
      <c r="L69" s="64">
        <v>22.92</v>
      </c>
      <c r="M69" s="64">
        <v>40.130000000000003</v>
      </c>
      <c r="N69" s="64">
        <v>130.1</v>
      </c>
      <c r="O69" s="64">
        <v>0</v>
      </c>
      <c r="P69" s="64">
        <v>0.43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4" t="s">
        <v>1269</v>
      </c>
      <c r="B70" s="64">
        <v>3.13</v>
      </c>
      <c r="C70" s="64">
        <v>47.37</v>
      </c>
      <c r="D70" s="64">
        <v>29.3</v>
      </c>
      <c r="E70" s="64">
        <v>0.8</v>
      </c>
      <c r="F70" s="64">
        <v>14.6</v>
      </c>
      <c r="G70" s="64">
        <v>65.97</v>
      </c>
      <c r="H70" s="64">
        <v>26.09</v>
      </c>
      <c r="I70" s="64">
        <v>1.53</v>
      </c>
      <c r="J70" s="64">
        <v>0.11</v>
      </c>
      <c r="K70" s="64">
        <v>71.209999999999994</v>
      </c>
      <c r="L70" s="64">
        <v>22.74</v>
      </c>
      <c r="M70" s="64">
        <v>40.47</v>
      </c>
      <c r="N70" s="64">
        <v>117.4</v>
      </c>
      <c r="O70" s="64">
        <v>0</v>
      </c>
      <c r="P70" s="64">
        <v>0.45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4" t="s">
        <v>1270</v>
      </c>
      <c r="B71" s="64">
        <v>3.23</v>
      </c>
      <c r="C71" s="64">
        <v>47.86</v>
      </c>
      <c r="D71" s="64">
        <v>29.65</v>
      </c>
      <c r="E71" s="64">
        <v>0.96</v>
      </c>
      <c r="F71" s="64">
        <v>15.99</v>
      </c>
      <c r="G71" s="64">
        <v>67.44</v>
      </c>
      <c r="H71" s="64">
        <v>29.3</v>
      </c>
      <c r="I71" s="64">
        <v>1.49</v>
      </c>
      <c r="J71" s="64">
        <v>0.14000000000000001</v>
      </c>
      <c r="K71" s="64">
        <v>346.24</v>
      </c>
      <c r="L71" s="64">
        <v>22.88</v>
      </c>
      <c r="M71" s="64">
        <v>40.799999999999997</v>
      </c>
      <c r="N71" s="64">
        <v>103.9</v>
      </c>
      <c r="O71" s="64">
        <v>0</v>
      </c>
      <c r="P71" s="64">
        <v>0.57999999999999996</v>
      </c>
      <c r="Q71" s="64">
        <v>4.84</v>
      </c>
      <c r="R71" s="198"/>
      <c r="S71" s="198"/>
      <c r="T71" s="198"/>
      <c r="U71" s="198"/>
    </row>
    <row r="72" spans="1:21" s="12" customFormat="1" x14ac:dyDescent="0.25">
      <c r="A72" s="214" t="s">
        <v>1271</v>
      </c>
      <c r="B72" s="64">
        <v>3.78</v>
      </c>
      <c r="C72" s="64">
        <v>48.89</v>
      </c>
      <c r="D72" s="64">
        <v>30.66</v>
      </c>
      <c r="E72" s="64">
        <v>1.03</v>
      </c>
      <c r="F72" s="64">
        <v>23.79</v>
      </c>
      <c r="G72" s="64">
        <v>73.31</v>
      </c>
      <c r="H72" s="64">
        <v>38.03</v>
      </c>
      <c r="I72" s="64">
        <v>1.49</v>
      </c>
      <c r="J72" s="64">
        <v>0.49</v>
      </c>
      <c r="K72" s="64">
        <v>349.75</v>
      </c>
      <c r="L72" s="64">
        <v>22.9</v>
      </c>
      <c r="M72" s="64">
        <v>42.43</v>
      </c>
      <c r="N72" s="64">
        <v>89.7</v>
      </c>
      <c r="O72" s="64">
        <v>0</v>
      </c>
      <c r="P72" s="64">
        <v>0.9</v>
      </c>
      <c r="Q72" s="64">
        <v>2.36</v>
      </c>
      <c r="R72" s="198"/>
      <c r="S72" s="198"/>
      <c r="T72" s="198"/>
      <c r="U72" s="198"/>
    </row>
    <row r="73" spans="1:21" s="12" customFormat="1" x14ac:dyDescent="0.25">
      <c r="A73" s="214" t="s">
        <v>1272</v>
      </c>
      <c r="B73" s="64">
        <v>4.6399999999999997</v>
      </c>
      <c r="C73" s="64">
        <v>51.73</v>
      </c>
      <c r="D73" s="64">
        <v>32.909999999999997</v>
      </c>
      <c r="E73" s="64">
        <v>1.91</v>
      </c>
      <c r="F73" s="64">
        <v>21.31</v>
      </c>
      <c r="G73" s="64">
        <v>73.31</v>
      </c>
      <c r="H73" s="64">
        <v>38.03</v>
      </c>
      <c r="I73" s="64">
        <v>1.5</v>
      </c>
      <c r="J73" s="64">
        <v>0.45</v>
      </c>
      <c r="K73" s="64">
        <v>340.19</v>
      </c>
      <c r="L73" s="64">
        <v>22.71</v>
      </c>
      <c r="M73" s="64">
        <v>44.64</v>
      </c>
      <c r="N73" s="64">
        <v>73.599999999999994</v>
      </c>
      <c r="O73" s="64">
        <v>0</v>
      </c>
      <c r="P73" s="64">
        <v>1.03</v>
      </c>
      <c r="Q73" s="64">
        <v>0.37</v>
      </c>
      <c r="R73" s="198"/>
      <c r="S73" s="198"/>
      <c r="T73" s="198"/>
      <c r="U73" s="198"/>
    </row>
    <row r="74" spans="1:21" s="12" customFormat="1" x14ac:dyDescent="0.25">
      <c r="A74" s="214" t="s">
        <v>1273</v>
      </c>
      <c r="B74" s="64">
        <v>5.7</v>
      </c>
      <c r="C74" s="64">
        <v>54.49</v>
      </c>
      <c r="D74" s="64">
        <v>35.29</v>
      </c>
      <c r="E74" s="64">
        <v>1.1399999999999999</v>
      </c>
      <c r="F74" s="64">
        <v>8.1300000000000008</v>
      </c>
      <c r="G74" s="64">
        <v>73.31</v>
      </c>
      <c r="H74" s="64">
        <v>38.03</v>
      </c>
      <c r="I74" s="64">
        <v>1.51</v>
      </c>
      <c r="J74" s="64">
        <v>0.11</v>
      </c>
      <c r="K74" s="64">
        <v>348.4</v>
      </c>
      <c r="L74" s="64">
        <v>22.19</v>
      </c>
      <c r="M74" s="64">
        <v>45.22</v>
      </c>
      <c r="N74" s="64">
        <v>59.1</v>
      </c>
      <c r="O74" s="64">
        <v>0</v>
      </c>
      <c r="P74" s="64">
        <v>1.01</v>
      </c>
      <c r="Q74" s="64">
        <v>0.99</v>
      </c>
      <c r="R74" s="198"/>
      <c r="S74" s="198"/>
      <c r="T74" s="198"/>
      <c r="U74" s="198"/>
    </row>
    <row r="75" spans="1:21" s="12" customFormat="1" x14ac:dyDescent="0.25">
      <c r="A75" s="214" t="s">
        <v>1274</v>
      </c>
      <c r="B75" s="64">
        <v>5.99</v>
      </c>
      <c r="C75" s="64">
        <v>61.14</v>
      </c>
      <c r="D75" s="64">
        <v>39.19</v>
      </c>
      <c r="E75" s="64">
        <v>0.99</v>
      </c>
      <c r="F75" s="64">
        <v>11.97</v>
      </c>
      <c r="G75" s="64">
        <v>73.959999999999994</v>
      </c>
      <c r="H75" s="64">
        <v>38.29</v>
      </c>
      <c r="I75" s="64">
        <v>1.53</v>
      </c>
      <c r="J75" s="64">
        <v>0.11</v>
      </c>
      <c r="K75" s="64">
        <v>41.45</v>
      </c>
      <c r="L75" s="64">
        <v>21.5</v>
      </c>
      <c r="M75" s="64">
        <v>47.86</v>
      </c>
      <c r="N75" s="64">
        <v>46.3</v>
      </c>
      <c r="O75" s="64">
        <v>0</v>
      </c>
      <c r="P75" s="64">
        <v>0.97</v>
      </c>
      <c r="Q75" s="64">
        <v>1.54</v>
      </c>
      <c r="R75" s="198"/>
      <c r="S75" s="198"/>
      <c r="T75" s="198"/>
      <c r="U75" s="198"/>
    </row>
    <row r="76" spans="1:21" s="12" customFormat="1" x14ac:dyDescent="0.25">
      <c r="A76" s="214" t="s">
        <v>1275</v>
      </c>
      <c r="B76" s="64">
        <v>5.96</v>
      </c>
      <c r="C76" s="64">
        <v>68.23</v>
      </c>
      <c r="D76" s="64">
        <v>43.08</v>
      </c>
      <c r="E76" s="64">
        <v>1.26</v>
      </c>
      <c r="F76" s="64">
        <v>8.69</v>
      </c>
      <c r="G76" s="64">
        <v>76.41</v>
      </c>
      <c r="H76" s="64">
        <v>39.450000000000003</v>
      </c>
      <c r="I76" s="64">
        <v>1.56</v>
      </c>
      <c r="J76" s="64">
        <v>0.18</v>
      </c>
      <c r="K76" s="64">
        <v>8.16</v>
      </c>
      <c r="L76" s="64">
        <v>21.06</v>
      </c>
      <c r="M76" s="64">
        <v>49.77</v>
      </c>
      <c r="N76" s="64">
        <v>35</v>
      </c>
      <c r="O76" s="64">
        <v>0</v>
      </c>
      <c r="P76" s="64">
        <v>1.1399999999999999</v>
      </c>
      <c r="Q76" s="64">
        <v>1.05</v>
      </c>
      <c r="R76" s="198"/>
      <c r="S76" s="198"/>
      <c r="T76" s="198"/>
      <c r="U76" s="198"/>
    </row>
    <row r="77" spans="1:21" s="12" customFormat="1" x14ac:dyDescent="0.25">
      <c r="A77" s="214" t="s">
        <v>1276</v>
      </c>
      <c r="B77" s="64">
        <v>6.79</v>
      </c>
      <c r="C77" s="64">
        <v>69.83</v>
      </c>
      <c r="D77" s="64">
        <v>44.63</v>
      </c>
      <c r="E77" s="64">
        <v>1.45</v>
      </c>
      <c r="F77" s="64">
        <v>6.08</v>
      </c>
      <c r="G77" s="64">
        <v>76.41</v>
      </c>
      <c r="H77" s="64">
        <v>39.450000000000003</v>
      </c>
      <c r="I77" s="64">
        <v>1.47</v>
      </c>
      <c r="J77" s="64">
        <v>0.11</v>
      </c>
      <c r="K77" s="64">
        <v>67.349999999999994</v>
      </c>
      <c r="L77" s="64">
        <v>20.56</v>
      </c>
      <c r="M77" s="64">
        <v>51.25</v>
      </c>
      <c r="N77" s="64">
        <v>26.6</v>
      </c>
      <c r="O77" s="64">
        <v>0</v>
      </c>
      <c r="P77" s="64">
        <v>1.32</v>
      </c>
      <c r="Q77" s="64">
        <v>0.04</v>
      </c>
      <c r="R77" s="198"/>
      <c r="S77" s="198"/>
      <c r="T77" s="198"/>
      <c r="U77" s="198"/>
    </row>
    <row r="78" spans="1:21" s="12" customFormat="1" x14ac:dyDescent="0.25">
      <c r="A78" s="214" t="s">
        <v>1277</v>
      </c>
      <c r="B78" s="64">
        <v>8.44</v>
      </c>
      <c r="C78" s="64">
        <v>68.39</v>
      </c>
      <c r="D78" s="64">
        <v>45.15</v>
      </c>
      <c r="E78" s="64">
        <v>1.39</v>
      </c>
      <c r="F78" s="64">
        <v>4.55</v>
      </c>
      <c r="G78" s="64">
        <v>76.41</v>
      </c>
      <c r="H78" s="64">
        <v>39.450000000000003</v>
      </c>
      <c r="I78" s="64">
        <v>1.46</v>
      </c>
      <c r="J78" s="64">
        <v>0.04</v>
      </c>
      <c r="K78" s="64">
        <v>8.9499999999999993</v>
      </c>
      <c r="L78" s="64">
        <v>20.010000000000002</v>
      </c>
      <c r="M78" s="64">
        <v>54.54</v>
      </c>
      <c r="N78" s="64">
        <v>23.5</v>
      </c>
      <c r="O78" s="64">
        <v>0</v>
      </c>
      <c r="P78" s="64">
        <v>1.63</v>
      </c>
      <c r="Q78" s="64">
        <v>0.06</v>
      </c>
      <c r="R78" s="198"/>
      <c r="S78" s="198"/>
      <c r="T78" s="198"/>
      <c r="U78" s="198"/>
    </row>
    <row r="79" spans="1:21" s="12" customFormat="1" x14ac:dyDescent="0.25">
      <c r="A79" s="214" t="s">
        <v>1278</v>
      </c>
      <c r="B79" s="64">
        <v>11.55</v>
      </c>
      <c r="C79" s="64">
        <v>67.27</v>
      </c>
      <c r="D79" s="64">
        <v>47.03</v>
      </c>
      <c r="E79" s="64">
        <v>1.43</v>
      </c>
      <c r="F79" s="64">
        <v>3.67</v>
      </c>
      <c r="G79" s="64">
        <v>98.33</v>
      </c>
      <c r="H79" s="64">
        <v>42.19</v>
      </c>
      <c r="I79" s="64">
        <v>1.54</v>
      </c>
      <c r="J79" s="64">
        <v>0.08</v>
      </c>
      <c r="K79" s="64">
        <v>66.78</v>
      </c>
      <c r="L79" s="64">
        <v>19.66</v>
      </c>
      <c r="M79" s="64">
        <v>54.62</v>
      </c>
      <c r="N79" s="64">
        <v>22.4</v>
      </c>
      <c r="O79" s="64">
        <v>0</v>
      </c>
      <c r="P79" s="64">
        <v>1.81</v>
      </c>
      <c r="Q79" s="212" t="s">
        <v>42</v>
      </c>
      <c r="R79" s="198"/>
      <c r="S79" s="198"/>
      <c r="T79" s="198"/>
      <c r="U79" s="198"/>
    </row>
    <row r="80" spans="1:21" s="12" customFormat="1" x14ac:dyDescent="0.25">
      <c r="A80" s="214" t="s">
        <v>1279</v>
      </c>
      <c r="B80" s="64">
        <v>14.06</v>
      </c>
      <c r="C80" s="64">
        <v>67.489999999999995</v>
      </c>
      <c r="D80" s="64">
        <v>49.16</v>
      </c>
      <c r="E80" s="64">
        <v>1.31</v>
      </c>
      <c r="F80" s="64">
        <v>4.22</v>
      </c>
      <c r="G80" s="64">
        <v>186.02</v>
      </c>
      <c r="H80" s="64">
        <v>49.65</v>
      </c>
      <c r="I80" s="64">
        <v>1.49</v>
      </c>
      <c r="J80" s="64">
        <v>0.17</v>
      </c>
      <c r="K80" s="64">
        <v>48.18</v>
      </c>
      <c r="L80" s="64">
        <v>19.66</v>
      </c>
      <c r="M80" s="64">
        <v>56.12</v>
      </c>
      <c r="N80" s="64">
        <v>22.2</v>
      </c>
      <c r="O80" s="64">
        <v>0</v>
      </c>
      <c r="P80" s="64">
        <v>1.76</v>
      </c>
      <c r="Q80" s="212" t="s">
        <v>42</v>
      </c>
      <c r="R80" s="198"/>
      <c r="S80" s="198"/>
      <c r="T80" s="198"/>
      <c r="U80" s="198"/>
    </row>
    <row r="81" spans="1:26" s="12" customFormat="1" x14ac:dyDescent="0.25">
      <c r="A81" s="214" t="s">
        <v>1280</v>
      </c>
      <c r="B81" s="64">
        <v>15.95</v>
      </c>
      <c r="C81" s="64">
        <v>67.09</v>
      </c>
      <c r="D81" s="64">
        <v>50.46</v>
      </c>
      <c r="E81" s="64">
        <v>1.23</v>
      </c>
      <c r="F81" s="64">
        <v>3.98</v>
      </c>
      <c r="G81" s="64">
        <v>186.02</v>
      </c>
      <c r="H81" s="64">
        <v>49.65</v>
      </c>
      <c r="I81" s="64">
        <v>1.47</v>
      </c>
      <c r="J81" s="64">
        <v>0.04</v>
      </c>
      <c r="K81" s="64">
        <v>93.79</v>
      </c>
      <c r="L81" s="64">
        <v>18.93</v>
      </c>
      <c r="M81" s="64">
        <v>64.150000000000006</v>
      </c>
      <c r="N81" s="64">
        <v>22.7</v>
      </c>
      <c r="O81" s="64">
        <v>0</v>
      </c>
      <c r="P81" s="64">
        <v>2.0499999999999998</v>
      </c>
      <c r="Q81" s="212" t="s">
        <v>42</v>
      </c>
      <c r="R81" s="198"/>
      <c r="S81" s="198"/>
      <c r="T81" s="198"/>
      <c r="U81" s="198"/>
    </row>
    <row r="82" spans="1:26" s="12" customFormat="1" x14ac:dyDescent="0.25">
      <c r="A82" s="214" t="s">
        <v>1281</v>
      </c>
      <c r="B82" s="64">
        <v>18.100000000000001</v>
      </c>
      <c r="C82" s="64">
        <v>67.099999999999994</v>
      </c>
      <c r="D82" s="64">
        <v>52.19</v>
      </c>
      <c r="E82" s="64">
        <v>1.19</v>
      </c>
      <c r="F82" s="64">
        <v>3.87</v>
      </c>
      <c r="G82" s="64">
        <v>186.02</v>
      </c>
      <c r="H82" s="64">
        <v>49.65</v>
      </c>
      <c r="I82" s="64">
        <v>1.47</v>
      </c>
      <c r="J82" s="64">
        <v>0.08</v>
      </c>
      <c r="K82" s="64">
        <v>46.83</v>
      </c>
      <c r="L82" s="64">
        <v>18.72</v>
      </c>
      <c r="M82" s="64">
        <v>61.56</v>
      </c>
      <c r="N82" s="64">
        <v>22.2</v>
      </c>
      <c r="O82" s="64">
        <v>0</v>
      </c>
      <c r="P82" s="64">
        <v>1.98</v>
      </c>
      <c r="Q82" s="212" t="s">
        <v>42</v>
      </c>
      <c r="R82" s="198"/>
      <c r="S82" s="198"/>
      <c r="T82" s="198"/>
      <c r="U82" s="198"/>
    </row>
    <row r="83" spans="1:26" s="12" customFormat="1" x14ac:dyDescent="0.25">
      <c r="A83" s="214" t="s">
        <v>1282</v>
      </c>
      <c r="B83" s="64">
        <v>20.87</v>
      </c>
      <c r="C83" s="64">
        <v>66.680000000000007</v>
      </c>
      <c r="D83" s="64">
        <v>54.18</v>
      </c>
      <c r="E83" s="64">
        <v>1.1299999999999999</v>
      </c>
      <c r="F83" s="64">
        <v>3.67</v>
      </c>
      <c r="G83" s="64">
        <v>180.34</v>
      </c>
      <c r="H83" s="64">
        <v>51.82</v>
      </c>
      <c r="I83" s="64">
        <v>1.53</v>
      </c>
      <c r="J83" s="64">
        <v>0.16</v>
      </c>
      <c r="K83" s="64">
        <v>344.69</v>
      </c>
      <c r="L83" s="64">
        <v>18.63</v>
      </c>
      <c r="M83" s="64">
        <v>61.72</v>
      </c>
      <c r="N83" s="64">
        <v>22.1</v>
      </c>
      <c r="O83" s="64">
        <v>0</v>
      </c>
      <c r="P83" s="64">
        <v>2.27</v>
      </c>
      <c r="Q83" s="212" t="s">
        <v>42</v>
      </c>
      <c r="R83" s="198"/>
      <c r="S83" s="198"/>
      <c r="T83" s="198"/>
      <c r="U83" s="198"/>
    </row>
    <row r="84" spans="1:26" s="12" customFormat="1" x14ac:dyDescent="0.25">
      <c r="A84" s="214" t="s">
        <v>1283</v>
      </c>
      <c r="B84" s="64">
        <v>23.22</v>
      </c>
      <c r="C84" s="64">
        <v>66.73</v>
      </c>
      <c r="D84" s="64">
        <v>56.09</v>
      </c>
      <c r="E84" s="64">
        <v>1.1000000000000001</v>
      </c>
      <c r="F84" s="64">
        <v>3.83</v>
      </c>
      <c r="G84" s="64">
        <v>157.59</v>
      </c>
      <c r="H84" s="64">
        <v>57.72</v>
      </c>
      <c r="I84" s="64">
        <v>1.54</v>
      </c>
      <c r="J84" s="64">
        <v>0.18</v>
      </c>
      <c r="K84" s="64">
        <v>329.35</v>
      </c>
      <c r="L84" s="64">
        <v>18.64</v>
      </c>
      <c r="M84" s="64">
        <v>59.55</v>
      </c>
      <c r="N84" s="64">
        <v>21.9</v>
      </c>
      <c r="O84" s="64">
        <v>0</v>
      </c>
      <c r="P84" s="64">
        <v>2.2400000000000002</v>
      </c>
      <c r="Q84" s="212" t="s">
        <v>42</v>
      </c>
      <c r="R84" s="198"/>
      <c r="S84" s="198"/>
      <c r="T84" s="198"/>
      <c r="U84" s="198"/>
    </row>
    <row r="85" spans="1:26" s="12" customFormat="1" x14ac:dyDescent="0.25">
      <c r="A85" s="214" t="s">
        <v>1284</v>
      </c>
      <c r="B85" s="64">
        <v>25.19</v>
      </c>
      <c r="C85" s="64">
        <v>67</v>
      </c>
      <c r="D85" s="64">
        <v>57.82</v>
      </c>
      <c r="E85" s="64">
        <v>1.1000000000000001</v>
      </c>
      <c r="F85" s="64">
        <v>4.76</v>
      </c>
      <c r="G85" s="64">
        <v>157.59</v>
      </c>
      <c r="H85" s="64">
        <v>57.72</v>
      </c>
      <c r="I85" s="64">
        <v>1.49</v>
      </c>
      <c r="J85" s="64">
        <v>0.26</v>
      </c>
      <c r="K85" s="64">
        <v>335.69</v>
      </c>
      <c r="L85" s="64">
        <v>18.579999999999998</v>
      </c>
      <c r="M85" s="64">
        <v>60.06</v>
      </c>
      <c r="N85" s="64">
        <v>22.1</v>
      </c>
      <c r="O85" s="64">
        <v>0</v>
      </c>
      <c r="P85" s="64">
        <v>1.94</v>
      </c>
      <c r="Q85" s="212" t="s">
        <v>42</v>
      </c>
      <c r="R85" s="198"/>
      <c r="S85" s="198"/>
      <c r="T85" s="198"/>
      <c r="U85" s="198"/>
    </row>
    <row r="86" spans="1:26" s="12" customFormat="1" x14ac:dyDescent="0.25">
      <c r="A86" s="214" t="s">
        <v>1285</v>
      </c>
      <c r="B86" s="64">
        <v>26.72</v>
      </c>
      <c r="C86" s="64">
        <v>66.97</v>
      </c>
      <c r="D86" s="64">
        <v>59.03</v>
      </c>
      <c r="E86" s="64">
        <v>0.97</v>
      </c>
      <c r="F86" s="64">
        <v>4.6500000000000004</v>
      </c>
      <c r="G86" s="64">
        <v>157.59</v>
      </c>
      <c r="H86" s="64">
        <v>57.72</v>
      </c>
      <c r="I86" s="64">
        <v>1.53</v>
      </c>
      <c r="J86" s="64">
        <v>0.26</v>
      </c>
      <c r="K86" s="64">
        <v>339.85</v>
      </c>
      <c r="L86" s="64">
        <v>18.420000000000002</v>
      </c>
      <c r="M86" s="64">
        <v>60.77</v>
      </c>
      <c r="N86" s="64">
        <v>22.1</v>
      </c>
      <c r="O86" s="64">
        <v>0</v>
      </c>
      <c r="P86" s="64">
        <v>2.0299999999999998</v>
      </c>
      <c r="Q86" s="64">
        <v>7.0000000000000007E-2</v>
      </c>
      <c r="R86" s="198"/>
      <c r="S86" s="198"/>
      <c r="T86" s="198"/>
      <c r="U86" s="198"/>
    </row>
    <row r="87" spans="1:26" s="12" customFormat="1" x14ac:dyDescent="0.25">
      <c r="A87" s="214" t="s">
        <v>1286</v>
      </c>
      <c r="B87" s="64">
        <v>28.57</v>
      </c>
      <c r="C87" s="64">
        <v>66.98</v>
      </c>
      <c r="D87" s="64">
        <v>60.53</v>
      </c>
      <c r="E87" s="64">
        <v>0.96</v>
      </c>
      <c r="F87" s="64">
        <v>4.5999999999999996</v>
      </c>
      <c r="G87" s="64">
        <v>156.33000000000001</v>
      </c>
      <c r="H87" s="64">
        <v>58.53</v>
      </c>
      <c r="I87" s="64">
        <v>1.48</v>
      </c>
      <c r="J87" s="64">
        <v>0.11</v>
      </c>
      <c r="K87" s="64">
        <v>65.97</v>
      </c>
      <c r="L87" s="64">
        <v>18.32</v>
      </c>
      <c r="M87" s="64">
        <v>59.37</v>
      </c>
      <c r="N87" s="64">
        <v>22.3</v>
      </c>
      <c r="O87" s="64">
        <v>0</v>
      </c>
      <c r="P87" s="64">
        <v>1.84</v>
      </c>
      <c r="Q87" s="64">
        <v>0.27</v>
      </c>
      <c r="R87" s="198"/>
      <c r="S87" s="198"/>
      <c r="T87" s="198"/>
      <c r="U87" s="198"/>
    </row>
    <row r="88" spans="1:26" s="12" customFormat="1" x14ac:dyDescent="0.25">
      <c r="A88" s="214" t="s">
        <v>1287</v>
      </c>
      <c r="B88" s="64">
        <v>28.85</v>
      </c>
      <c r="C88" s="64">
        <v>67.02</v>
      </c>
      <c r="D88" s="64">
        <v>60.77</v>
      </c>
      <c r="E88" s="64">
        <v>0.46</v>
      </c>
      <c r="F88" s="64">
        <v>6.17</v>
      </c>
      <c r="G88" s="64">
        <v>151.63</v>
      </c>
      <c r="H88" s="64">
        <v>60.74</v>
      </c>
      <c r="I88" s="64">
        <v>1.48</v>
      </c>
      <c r="J88" s="64">
        <v>0.24</v>
      </c>
      <c r="K88" s="64">
        <v>92.33</v>
      </c>
      <c r="L88" s="64">
        <v>18.239999999999998</v>
      </c>
      <c r="M88" s="64">
        <v>59.32</v>
      </c>
      <c r="N88" s="64">
        <v>22.3</v>
      </c>
      <c r="O88" s="64">
        <v>0</v>
      </c>
      <c r="P88" s="64">
        <v>1.46</v>
      </c>
      <c r="Q88" s="64">
        <v>4</v>
      </c>
      <c r="R88" s="198"/>
      <c r="S88" s="198"/>
      <c r="T88" s="198"/>
      <c r="U88" s="198"/>
    </row>
    <row r="89" spans="1:26" s="12" customFormat="1" x14ac:dyDescent="0.25">
      <c r="A89" s="214" t="s">
        <v>1288</v>
      </c>
      <c r="B89" s="64">
        <v>28.02</v>
      </c>
      <c r="C89" s="64">
        <v>65.77</v>
      </c>
      <c r="D89" s="64">
        <v>59.41</v>
      </c>
      <c r="E89" s="64">
        <v>0.67</v>
      </c>
      <c r="F89" s="64">
        <v>6.75</v>
      </c>
      <c r="G89" s="64">
        <v>151.63</v>
      </c>
      <c r="H89" s="64">
        <v>60.74</v>
      </c>
      <c r="I89" s="64">
        <v>1.45</v>
      </c>
      <c r="J89" s="64">
        <v>0.08</v>
      </c>
      <c r="K89" s="64">
        <v>27.48</v>
      </c>
      <c r="L89" s="64">
        <v>18.14</v>
      </c>
      <c r="M89" s="64">
        <v>59.97</v>
      </c>
      <c r="N89" s="64">
        <v>22.1</v>
      </c>
      <c r="O89" s="64">
        <v>0</v>
      </c>
      <c r="P89" s="64">
        <v>1.34</v>
      </c>
      <c r="Q89" s="64">
        <v>6.26</v>
      </c>
      <c r="R89" s="198"/>
      <c r="S89" s="198"/>
      <c r="T89" s="198"/>
      <c r="U89" s="198"/>
    </row>
    <row r="90" spans="1:26" s="12" customFormat="1" x14ac:dyDescent="0.25">
      <c r="A90" s="214" t="s">
        <v>1289</v>
      </c>
      <c r="B90" s="64">
        <v>28.49</v>
      </c>
      <c r="C90" s="64">
        <v>65.599999999999994</v>
      </c>
      <c r="D90" s="64">
        <v>59.7</v>
      </c>
      <c r="E90" s="64">
        <v>0.61</v>
      </c>
      <c r="F90" s="64">
        <v>3.62</v>
      </c>
      <c r="G90" s="64">
        <v>151.63</v>
      </c>
      <c r="H90" s="64">
        <v>60.74</v>
      </c>
      <c r="I90" s="64">
        <v>1.47</v>
      </c>
      <c r="J90" s="64">
        <v>0.08</v>
      </c>
      <c r="K90" s="64">
        <v>338.88</v>
      </c>
      <c r="L90" s="64">
        <v>17.93</v>
      </c>
      <c r="M90" s="64">
        <v>60.53</v>
      </c>
      <c r="N90" s="64">
        <v>22.3</v>
      </c>
      <c r="O90" s="64">
        <v>0</v>
      </c>
      <c r="P90" s="64">
        <v>1.65</v>
      </c>
      <c r="Q90" s="64">
        <v>2.95</v>
      </c>
      <c r="R90" s="198"/>
      <c r="S90" s="198"/>
      <c r="T90" s="198"/>
      <c r="U90" s="198"/>
    </row>
    <row r="91" spans="1:26" s="12" customFormat="1" x14ac:dyDescent="0.25">
      <c r="A91" s="214" t="s">
        <v>1290</v>
      </c>
      <c r="B91" s="64">
        <v>29.1</v>
      </c>
      <c r="C91" s="64">
        <v>66.19</v>
      </c>
      <c r="D91" s="64">
        <v>60.51</v>
      </c>
      <c r="E91" s="64">
        <v>0.56999999999999995</v>
      </c>
      <c r="F91" s="64">
        <v>4.01</v>
      </c>
      <c r="G91" s="64">
        <v>147.41999999999999</v>
      </c>
      <c r="H91" s="64">
        <v>59.4</v>
      </c>
      <c r="I91" s="64">
        <v>1.47</v>
      </c>
      <c r="J91" s="64">
        <v>0.06</v>
      </c>
      <c r="K91" s="64">
        <v>78.150000000000006</v>
      </c>
      <c r="L91" s="64">
        <v>17.690000000000001</v>
      </c>
      <c r="M91" s="64">
        <v>61.24</v>
      </c>
      <c r="N91" s="64">
        <v>22.3</v>
      </c>
      <c r="O91" s="64">
        <v>0</v>
      </c>
      <c r="P91" s="64">
        <v>1.51</v>
      </c>
      <c r="Q91" s="64">
        <v>3.93</v>
      </c>
      <c r="R91" s="198"/>
      <c r="S91" s="198"/>
      <c r="T91" s="198"/>
      <c r="U91" s="198"/>
    </row>
    <row r="92" spans="1:26" s="12" customFormat="1" x14ac:dyDescent="0.25">
      <c r="A92" s="214" t="s">
        <v>1291</v>
      </c>
      <c r="B92" s="64">
        <v>28.94</v>
      </c>
      <c r="C92" s="64">
        <v>66.84</v>
      </c>
      <c r="D92" s="64">
        <v>60.74</v>
      </c>
      <c r="E92" s="64">
        <v>0.49</v>
      </c>
      <c r="F92" s="64">
        <v>3.96</v>
      </c>
      <c r="G92" s="64">
        <v>131.71</v>
      </c>
      <c r="H92" s="64">
        <v>53.41</v>
      </c>
      <c r="I92" s="64">
        <v>1.5</v>
      </c>
      <c r="J92" s="64">
        <v>0.18</v>
      </c>
      <c r="K92" s="64">
        <v>69.17</v>
      </c>
      <c r="L92" s="64">
        <v>17.54</v>
      </c>
      <c r="M92" s="64">
        <v>62.65</v>
      </c>
      <c r="N92" s="64">
        <v>22.3</v>
      </c>
      <c r="O92" s="64">
        <v>0</v>
      </c>
      <c r="P92" s="64">
        <v>1.47</v>
      </c>
      <c r="Q92" s="64">
        <v>3.71</v>
      </c>
      <c r="R92" s="198"/>
      <c r="S92" s="198"/>
      <c r="T92" s="198"/>
      <c r="U92" s="198"/>
    </row>
    <row r="93" spans="1:26" s="12" customFormat="1" x14ac:dyDescent="0.25">
      <c r="A93" s="214" t="s">
        <v>1292</v>
      </c>
      <c r="B93" s="64">
        <v>28.13</v>
      </c>
      <c r="C93" s="64">
        <v>65.8</v>
      </c>
      <c r="D93" s="64">
        <v>59.52</v>
      </c>
      <c r="E93" s="64">
        <v>0.45</v>
      </c>
      <c r="F93" s="64">
        <v>4.6900000000000004</v>
      </c>
      <c r="G93" s="64">
        <v>131.71</v>
      </c>
      <c r="H93" s="64">
        <v>53.41</v>
      </c>
      <c r="I93" s="64">
        <v>1.5</v>
      </c>
      <c r="J93" s="64">
        <v>0.1</v>
      </c>
      <c r="K93" s="64">
        <v>81.63</v>
      </c>
      <c r="L93" s="64">
        <v>17.52</v>
      </c>
      <c r="M93" s="64">
        <v>64.23</v>
      </c>
      <c r="N93" s="64">
        <v>22.2</v>
      </c>
      <c r="O93" s="64">
        <v>0</v>
      </c>
      <c r="P93" s="64">
        <v>1.18</v>
      </c>
      <c r="Q93" s="64">
        <v>5.44</v>
      </c>
      <c r="R93" s="198"/>
      <c r="S93" s="198"/>
      <c r="T93" s="198"/>
      <c r="U93" s="198"/>
    </row>
    <row r="94" spans="1:26" s="12" customFormat="1" x14ac:dyDescent="0.25">
      <c r="A94" s="214" t="s">
        <v>1293</v>
      </c>
      <c r="B94" s="64">
        <v>27</v>
      </c>
      <c r="C94" s="64">
        <v>65.489999999999995</v>
      </c>
      <c r="D94" s="64">
        <v>58.44</v>
      </c>
      <c r="E94" s="64">
        <v>0.41</v>
      </c>
      <c r="F94" s="64">
        <v>4.45</v>
      </c>
      <c r="G94" s="64">
        <v>131.71</v>
      </c>
      <c r="H94" s="64">
        <v>53.41</v>
      </c>
      <c r="I94" s="64">
        <v>1.53</v>
      </c>
      <c r="J94" s="64">
        <v>0.1</v>
      </c>
      <c r="K94" s="64">
        <v>309.18</v>
      </c>
      <c r="L94" s="64">
        <v>17.11</v>
      </c>
      <c r="M94" s="64">
        <v>68.92</v>
      </c>
      <c r="N94" s="64">
        <v>22.6</v>
      </c>
      <c r="O94" s="64">
        <v>0</v>
      </c>
      <c r="P94" s="64">
        <v>1.24</v>
      </c>
      <c r="Q94" s="64">
        <v>5.31</v>
      </c>
      <c r="R94" s="198"/>
      <c r="S94" s="198"/>
      <c r="T94" s="198"/>
      <c r="U94" s="198"/>
    </row>
    <row r="95" spans="1:26" s="12" customFormat="1" x14ac:dyDescent="0.25">
      <c r="A95" s="214" t="s">
        <v>1294</v>
      </c>
      <c r="B95" s="64">
        <v>26.87</v>
      </c>
      <c r="C95" s="64">
        <v>65.180000000000007</v>
      </c>
      <c r="D95" s="64">
        <v>58.16</v>
      </c>
      <c r="E95" s="64">
        <v>0.46</v>
      </c>
      <c r="F95" s="64">
        <v>4.03</v>
      </c>
      <c r="G95" s="64">
        <v>127.75</v>
      </c>
      <c r="H95" s="64">
        <v>52.69</v>
      </c>
      <c r="I95" s="64">
        <v>1.49</v>
      </c>
      <c r="J95" s="64">
        <v>0.14000000000000001</v>
      </c>
      <c r="K95" s="64">
        <v>276.12</v>
      </c>
      <c r="L95" s="64">
        <v>16.77</v>
      </c>
      <c r="M95" s="64">
        <v>71.55</v>
      </c>
      <c r="N95" s="64">
        <v>22.5</v>
      </c>
      <c r="O95" s="64">
        <v>0</v>
      </c>
      <c r="P95" s="64">
        <v>1.21</v>
      </c>
      <c r="Q95" s="64">
        <v>3.23</v>
      </c>
      <c r="R95" s="198"/>
      <c r="S95" s="198"/>
      <c r="T95" s="198"/>
      <c r="U95" s="198"/>
    </row>
    <row r="96" spans="1:26" s="12" customFormat="1" x14ac:dyDescent="0.25">
      <c r="A96" s="214" t="s">
        <v>1295</v>
      </c>
      <c r="B96" s="64">
        <v>28.67</v>
      </c>
      <c r="C96" s="64">
        <v>65.31</v>
      </c>
      <c r="D96" s="64">
        <v>59.68</v>
      </c>
      <c r="E96" s="64">
        <v>0.47</v>
      </c>
      <c r="F96" s="64">
        <v>3.69</v>
      </c>
      <c r="G96" s="64">
        <v>112.96</v>
      </c>
      <c r="H96" s="64">
        <v>50.74</v>
      </c>
      <c r="I96" s="64">
        <v>1.53</v>
      </c>
      <c r="J96" s="64">
        <v>0.17</v>
      </c>
      <c r="K96" s="64">
        <v>221.21</v>
      </c>
      <c r="L96" s="64">
        <v>16.79</v>
      </c>
      <c r="M96" s="64">
        <v>70.540000000000006</v>
      </c>
      <c r="N96" s="64">
        <v>21.9</v>
      </c>
      <c r="O96" s="64">
        <v>0</v>
      </c>
      <c r="P96" s="64">
        <v>1.22</v>
      </c>
      <c r="Q96" s="64">
        <v>2.1800000000000002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1296</v>
      </c>
      <c r="B97" s="64">
        <v>29.79</v>
      </c>
      <c r="C97" s="64">
        <v>64.69</v>
      </c>
      <c r="D97" s="64">
        <v>60.24</v>
      </c>
      <c r="E97" s="64">
        <v>0.38</v>
      </c>
      <c r="F97" s="64">
        <v>3.83</v>
      </c>
      <c r="G97" s="64">
        <v>112.96</v>
      </c>
      <c r="H97" s="64">
        <v>50.74</v>
      </c>
      <c r="I97" s="64">
        <v>1.45</v>
      </c>
      <c r="J97" s="64">
        <v>0.11</v>
      </c>
      <c r="K97" s="64">
        <v>299.97000000000003</v>
      </c>
      <c r="L97" s="64">
        <v>16.649999999999999</v>
      </c>
      <c r="M97" s="64">
        <v>71.98</v>
      </c>
      <c r="N97" s="64">
        <v>22.3</v>
      </c>
      <c r="O97" s="64">
        <v>0</v>
      </c>
      <c r="P97" s="64">
        <v>1.17</v>
      </c>
      <c r="Q97" s="64">
        <v>2.92</v>
      </c>
      <c r="R97" s="198"/>
      <c r="S97" s="198"/>
      <c r="T97" s="198"/>
      <c r="U97" s="198"/>
    </row>
    <row r="98" spans="1:33" s="12" customFormat="1" x14ac:dyDescent="0.25">
      <c r="A98" s="214" t="s">
        <v>1297</v>
      </c>
      <c r="B98" s="64">
        <v>30.3</v>
      </c>
      <c r="C98" s="64">
        <v>64.84</v>
      </c>
      <c r="D98" s="64">
        <v>60.73</v>
      </c>
      <c r="E98" s="64">
        <v>0.38</v>
      </c>
      <c r="F98" s="64">
        <v>4.04</v>
      </c>
      <c r="G98" s="64">
        <v>112.96</v>
      </c>
      <c r="H98" s="64">
        <v>50.74</v>
      </c>
      <c r="I98" s="64">
        <v>1.55</v>
      </c>
      <c r="J98" s="64">
        <v>0.16</v>
      </c>
      <c r="K98" s="64">
        <v>314.14</v>
      </c>
      <c r="L98" s="64">
        <v>16.690000000000001</v>
      </c>
      <c r="M98" s="64">
        <v>72.010000000000005</v>
      </c>
      <c r="N98" s="64">
        <v>22.5</v>
      </c>
      <c r="O98" s="64">
        <v>0</v>
      </c>
      <c r="P98" s="64">
        <v>1.0900000000000001</v>
      </c>
      <c r="Q98" s="64">
        <v>3.73</v>
      </c>
      <c r="R98" s="198"/>
      <c r="S98" s="198"/>
      <c r="T98" s="198"/>
      <c r="U98" s="198"/>
    </row>
    <row r="99" spans="1:33" s="12" customFormat="1" x14ac:dyDescent="0.25">
      <c r="A99" s="214" t="s">
        <v>1298</v>
      </c>
      <c r="B99" s="64">
        <v>31.17</v>
      </c>
      <c r="C99" s="64">
        <v>63.97</v>
      </c>
      <c r="D99" s="64">
        <v>60.94</v>
      </c>
      <c r="E99" s="64">
        <v>0.38</v>
      </c>
      <c r="F99" s="64">
        <v>3.64</v>
      </c>
      <c r="G99" s="64">
        <v>120.58</v>
      </c>
      <c r="H99" s="64">
        <v>51.9</v>
      </c>
      <c r="I99" s="64">
        <v>1.56</v>
      </c>
      <c r="J99" s="64">
        <v>0.16</v>
      </c>
      <c r="K99" s="64">
        <v>152.18</v>
      </c>
      <c r="L99" s="64">
        <v>15.99</v>
      </c>
      <c r="M99" s="64">
        <v>78.349999999999994</v>
      </c>
      <c r="N99" s="64">
        <v>22.5</v>
      </c>
      <c r="O99" s="64">
        <v>0</v>
      </c>
      <c r="P99" s="64">
        <v>1.17</v>
      </c>
      <c r="Q99" s="64">
        <v>2.84</v>
      </c>
      <c r="R99" s="198"/>
      <c r="S99" s="198"/>
      <c r="T99" s="198"/>
      <c r="U99" s="198"/>
    </row>
    <row r="100" spans="1:33" s="12" customFormat="1" x14ac:dyDescent="0.25">
      <c r="A100" s="214" t="s">
        <v>1299</v>
      </c>
      <c r="B100" s="64">
        <v>32.46</v>
      </c>
      <c r="C100" s="64">
        <v>63.84</v>
      </c>
      <c r="D100" s="64">
        <v>61.91</v>
      </c>
      <c r="E100" s="64">
        <v>0.4</v>
      </c>
      <c r="F100" s="64">
        <v>3.26</v>
      </c>
      <c r="G100" s="64">
        <v>149.03</v>
      </c>
      <c r="H100" s="64">
        <v>55.04</v>
      </c>
      <c r="I100" s="64">
        <v>1.47</v>
      </c>
      <c r="J100" s="64">
        <v>0.18</v>
      </c>
      <c r="K100" s="64">
        <v>319.11</v>
      </c>
      <c r="L100" s="64">
        <v>16.239999999999998</v>
      </c>
      <c r="M100" s="64">
        <v>75.95</v>
      </c>
      <c r="N100" s="64">
        <v>22.2</v>
      </c>
      <c r="O100" s="64">
        <v>0</v>
      </c>
      <c r="P100" s="64">
        <v>1.07</v>
      </c>
      <c r="Q100" s="64">
        <v>2.35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1300</v>
      </c>
      <c r="B101" s="64">
        <v>34.06</v>
      </c>
      <c r="C101" s="64">
        <v>63.33</v>
      </c>
      <c r="D101" s="64">
        <v>62.91</v>
      </c>
      <c r="E101" s="64">
        <v>0.41</v>
      </c>
      <c r="F101" s="64">
        <v>3.29</v>
      </c>
      <c r="G101" s="64">
        <v>149.03</v>
      </c>
      <c r="H101" s="64">
        <v>55.04</v>
      </c>
      <c r="I101" s="64">
        <v>1.55</v>
      </c>
      <c r="J101" s="64">
        <v>0.13</v>
      </c>
      <c r="K101" s="64">
        <v>271.13</v>
      </c>
      <c r="L101" s="64">
        <v>15.88</v>
      </c>
      <c r="M101" s="64">
        <v>74.77</v>
      </c>
      <c r="N101" s="64">
        <v>22.3</v>
      </c>
      <c r="O101" s="64">
        <v>0</v>
      </c>
      <c r="P101" s="64">
        <v>1</v>
      </c>
      <c r="Q101" s="64">
        <v>3.25</v>
      </c>
      <c r="R101" s="198"/>
      <c r="S101" s="198"/>
      <c r="T101" s="198"/>
      <c r="U101" s="198"/>
    </row>
    <row r="102" spans="1:33" s="12" customFormat="1" x14ac:dyDescent="0.25">
      <c r="A102" s="214" t="s">
        <v>1301</v>
      </c>
      <c r="B102" s="64">
        <v>34.15</v>
      </c>
      <c r="C102" s="64">
        <v>62.8</v>
      </c>
      <c r="D102" s="64">
        <v>62.69</v>
      </c>
      <c r="E102" s="64">
        <v>0.4</v>
      </c>
      <c r="F102" s="64">
        <v>3.74</v>
      </c>
      <c r="G102" s="64">
        <v>149.03</v>
      </c>
      <c r="H102" s="64">
        <v>55.04</v>
      </c>
      <c r="I102" s="64">
        <v>1.46</v>
      </c>
      <c r="J102" s="64">
        <v>0.15</v>
      </c>
      <c r="K102" s="64">
        <v>291.85000000000002</v>
      </c>
      <c r="L102" s="64">
        <v>15.66</v>
      </c>
      <c r="M102" s="64">
        <v>80.97</v>
      </c>
      <c r="N102" s="64">
        <v>22.7</v>
      </c>
      <c r="O102" s="64">
        <v>0</v>
      </c>
      <c r="P102" s="64">
        <v>0.91</v>
      </c>
      <c r="Q102" s="64">
        <v>5.15</v>
      </c>
      <c r="R102" s="198"/>
      <c r="S102" s="198"/>
      <c r="T102" s="198"/>
      <c r="U102" s="198"/>
    </row>
    <row r="103" spans="1:33" s="12" customFormat="1" x14ac:dyDescent="0.25">
      <c r="A103" s="214" t="s">
        <v>1302</v>
      </c>
      <c r="B103" s="64">
        <v>33.979999999999997</v>
      </c>
      <c r="C103" s="64">
        <v>62.26</v>
      </c>
      <c r="D103" s="64">
        <v>62.25</v>
      </c>
      <c r="E103" s="64">
        <v>0.32</v>
      </c>
      <c r="F103" s="64">
        <v>3.78</v>
      </c>
      <c r="G103" s="64">
        <v>146.96</v>
      </c>
      <c r="H103" s="64">
        <v>54.21</v>
      </c>
      <c r="I103" s="64">
        <v>1.49</v>
      </c>
      <c r="J103" s="64">
        <v>0.12</v>
      </c>
      <c r="K103" s="64">
        <v>139.25</v>
      </c>
      <c r="L103" s="64">
        <v>15.32</v>
      </c>
      <c r="M103" s="64">
        <v>79.680000000000007</v>
      </c>
      <c r="N103" s="64">
        <v>22.4</v>
      </c>
      <c r="O103" s="64">
        <v>0</v>
      </c>
      <c r="P103" s="64">
        <v>0.76</v>
      </c>
      <c r="Q103" s="64">
        <v>5.66</v>
      </c>
      <c r="R103" s="198"/>
      <c r="S103" s="198"/>
      <c r="T103" s="198"/>
      <c r="U103" s="198"/>
    </row>
    <row r="104" spans="1:33" s="12" customFormat="1" x14ac:dyDescent="0.25">
      <c r="A104" s="214" t="s">
        <v>1303</v>
      </c>
      <c r="B104" s="64">
        <v>33.049999999999997</v>
      </c>
      <c r="C104" s="64">
        <v>61.25</v>
      </c>
      <c r="D104" s="64">
        <v>60.96</v>
      </c>
      <c r="E104" s="64">
        <v>0.33</v>
      </c>
      <c r="F104" s="64">
        <v>4.04</v>
      </c>
      <c r="G104" s="64">
        <v>139.22</v>
      </c>
      <c r="H104" s="64">
        <v>51.96</v>
      </c>
      <c r="I104" s="64">
        <v>1.5</v>
      </c>
      <c r="J104" s="64">
        <v>0.14000000000000001</v>
      </c>
      <c r="K104" s="64">
        <v>271.89</v>
      </c>
      <c r="L104" s="64">
        <v>15.38</v>
      </c>
      <c r="M104" s="64">
        <v>76.459999999999994</v>
      </c>
      <c r="N104" s="64">
        <v>22.5</v>
      </c>
      <c r="O104" s="64">
        <v>0</v>
      </c>
      <c r="P104" s="64">
        <v>0.64</v>
      </c>
      <c r="Q104" s="64">
        <v>6.2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2.61</v>
      </c>
      <c r="C106" s="67">
        <f>MIN(C9:C104)</f>
        <v>43.79</v>
      </c>
      <c r="D106" s="67">
        <f t="shared" ref="D106:Q106" si="0">MIN(D9:D104)</f>
        <v>29.26</v>
      </c>
      <c r="E106" s="67">
        <f t="shared" si="0"/>
        <v>0.2</v>
      </c>
      <c r="F106" s="67">
        <f t="shared" si="0"/>
        <v>3.01</v>
      </c>
      <c r="G106" s="67">
        <f t="shared" si="0"/>
        <v>57.31</v>
      </c>
      <c r="H106" s="67">
        <f t="shared" si="0"/>
        <v>19.559999999999999</v>
      </c>
      <c r="I106" s="67">
        <f t="shared" si="0"/>
        <v>1.4</v>
      </c>
      <c r="J106" s="67">
        <f t="shared" si="0"/>
        <v>0.01</v>
      </c>
      <c r="K106" s="67">
        <f t="shared" si="0"/>
        <v>0.11</v>
      </c>
      <c r="L106" s="67">
        <f t="shared" si="0"/>
        <v>13.07</v>
      </c>
      <c r="M106" s="67">
        <f t="shared" si="0"/>
        <v>36.1</v>
      </c>
      <c r="N106" s="67">
        <f t="shared" si="0"/>
        <v>21.6</v>
      </c>
      <c r="O106" s="67">
        <f t="shared" si="0"/>
        <v>0</v>
      </c>
      <c r="P106" s="67">
        <f t="shared" si="0"/>
        <v>0.36</v>
      </c>
      <c r="Q106" s="67">
        <f t="shared" si="0"/>
        <v>0.02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43.71</v>
      </c>
      <c r="C107" s="66">
        <f t="shared" ref="C107:Q107" si="1">MAX(C9:C104)</f>
        <v>69.83</v>
      </c>
      <c r="D107" s="66">
        <f t="shared" si="1"/>
        <v>62.91</v>
      </c>
      <c r="E107" s="66">
        <f t="shared" si="1"/>
        <v>1.91</v>
      </c>
      <c r="F107" s="66">
        <f t="shared" si="1"/>
        <v>40.880000000000003</v>
      </c>
      <c r="G107" s="66">
        <f t="shared" si="1"/>
        <v>186.02</v>
      </c>
      <c r="H107" s="66">
        <f t="shared" si="1"/>
        <v>84.63</v>
      </c>
      <c r="I107" s="66">
        <f t="shared" si="1"/>
        <v>1.57</v>
      </c>
      <c r="J107" s="66">
        <f t="shared" si="1"/>
        <v>1.06</v>
      </c>
      <c r="K107" s="66">
        <f t="shared" si="1"/>
        <v>355.72</v>
      </c>
      <c r="L107" s="66">
        <f t="shared" si="1"/>
        <v>26.16</v>
      </c>
      <c r="M107" s="66">
        <f t="shared" si="1"/>
        <v>98.16</v>
      </c>
      <c r="N107" s="66">
        <f t="shared" si="1"/>
        <v>709.4</v>
      </c>
      <c r="O107" s="66">
        <f t="shared" si="1"/>
        <v>0</v>
      </c>
      <c r="P107" s="66">
        <f t="shared" si="1"/>
        <v>2.27</v>
      </c>
      <c r="Q107" s="66">
        <f t="shared" si="1"/>
        <v>9.9600000000000009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22.959166666666665</v>
      </c>
      <c r="C108" s="67">
        <f t="shared" ref="C108:Q108" si="2">AVERAGE(C9:C104)</f>
        <v>54.399895833333346</v>
      </c>
      <c r="D108" s="67">
        <f t="shared" si="2"/>
        <v>49.079166666666652</v>
      </c>
      <c r="E108" s="67">
        <f t="shared" si="2"/>
        <v>0.68541666666666667</v>
      </c>
      <c r="F108" s="67">
        <f t="shared" si="2"/>
        <v>8.4338541666666647</v>
      </c>
      <c r="G108" s="67">
        <f t="shared" si="2"/>
        <v>102.5909375</v>
      </c>
      <c r="H108" s="67">
        <f t="shared" si="2"/>
        <v>46.510312499999991</v>
      </c>
      <c r="I108" s="67">
        <f t="shared" si="2"/>
        <v>1.4939583333333337</v>
      </c>
      <c r="J108" s="67">
        <f t="shared" si="2"/>
        <v>0.2409375</v>
      </c>
      <c r="K108" s="67">
        <f t="shared" si="2"/>
        <v>187.04145833333337</v>
      </c>
      <c r="L108" s="67">
        <f t="shared" si="2"/>
        <v>18.83625000000001</v>
      </c>
      <c r="M108" s="67">
        <f t="shared" si="2"/>
        <v>64.818125000000023</v>
      </c>
      <c r="N108" s="67">
        <f t="shared" si="2"/>
        <v>177.61041666666665</v>
      </c>
      <c r="O108" s="67">
        <f t="shared" si="2"/>
        <v>0</v>
      </c>
      <c r="P108" s="67">
        <f t="shared" si="2"/>
        <v>0.90364583333333337</v>
      </c>
      <c r="Q108" s="67">
        <f t="shared" si="2"/>
        <v>4.8839325842696635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12.163053517813392</v>
      </c>
      <c r="C109" s="67">
        <f t="shared" ref="C109:Q109" si="3">STDEV(C9:C104)</f>
        <v>8.3934019819820005</v>
      </c>
      <c r="D109" s="67">
        <f t="shared" si="3"/>
        <v>10.565794927791304</v>
      </c>
      <c r="E109" s="67">
        <f t="shared" si="3"/>
        <v>0.38561752708218844</v>
      </c>
      <c r="F109" s="67">
        <f t="shared" si="3"/>
        <v>7.3152504536455458</v>
      </c>
      <c r="G109" s="67">
        <f t="shared" si="3"/>
        <v>33.418013361158643</v>
      </c>
      <c r="H109" s="67">
        <f t="shared" si="3"/>
        <v>14.176027834498427</v>
      </c>
      <c r="I109" s="67">
        <f t="shared" si="3"/>
        <v>3.842913277207851E-2</v>
      </c>
      <c r="J109" s="67">
        <f t="shared" si="3"/>
        <v>0.2287360148155167</v>
      </c>
      <c r="K109" s="67">
        <f t="shared" si="3"/>
        <v>120.86183696121925</v>
      </c>
      <c r="L109" s="67">
        <f t="shared" si="3"/>
        <v>4.2974786365470905</v>
      </c>
      <c r="M109" s="67">
        <f t="shared" si="3"/>
        <v>20.808094341663718</v>
      </c>
      <c r="N109" s="67">
        <f t="shared" si="3"/>
        <v>243.27925884688082</v>
      </c>
      <c r="O109" s="67">
        <f t="shared" si="3"/>
        <v>0</v>
      </c>
      <c r="P109" s="67">
        <f t="shared" si="3"/>
        <v>0.46241043466569753</v>
      </c>
      <c r="Q109" s="67">
        <f t="shared" si="3"/>
        <v>2.3668941184875054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1304</v>
      </c>
      <c r="B9" s="64">
        <v>31.91</v>
      </c>
      <c r="C9" s="64">
        <v>60.04</v>
      </c>
      <c r="D9" s="64">
        <v>59.37</v>
      </c>
      <c r="E9" s="64">
        <v>0.5</v>
      </c>
      <c r="F9" s="64">
        <v>5.01</v>
      </c>
      <c r="G9" s="64">
        <v>139.22</v>
      </c>
      <c r="H9" s="64">
        <v>51.96</v>
      </c>
      <c r="I9" s="64">
        <v>1.55</v>
      </c>
      <c r="J9" s="64">
        <v>0.28999999999999998</v>
      </c>
      <c r="K9" s="64">
        <v>182.76</v>
      </c>
      <c r="L9" s="64">
        <v>15.53</v>
      </c>
      <c r="M9" s="64">
        <v>74.53</v>
      </c>
      <c r="N9" s="64">
        <v>21.6</v>
      </c>
      <c r="O9" s="64">
        <v>0</v>
      </c>
      <c r="P9" s="64">
        <v>0.55000000000000004</v>
      </c>
      <c r="Q9" s="64">
        <v>6.4</v>
      </c>
      <c r="R9" s="198"/>
      <c r="S9" s="198"/>
      <c r="T9" s="198"/>
      <c r="U9" s="198"/>
    </row>
    <row r="10" spans="1:21" s="12" customFormat="1" x14ac:dyDescent="0.25">
      <c r="A10" s="214" t="s">
        <v>1305</v>
      </c>
      <c r="B10" s="64">
        <v>30.66</v>
      </c>
      <c r="C10" s="64">
        <v>59.61</v>
      </c>
      <c r="D10" s="64">
        <v>58.13</v>
      </c>
      <c r="E10" s="64">
        <v>0.39</v>
      </c>
      <c r="F10" s="64">
        <v>4.8099999999999996</v>
      </c>
      <c r="G10" s="64">
        <v>139.22</v>
      </c>
      <c r="H10" s="64">
        <v>51.96</v>
      </c>
      <c r="I10" s="64">
        <v>1.58</v>
      </c>
      <c r="J10" s="64">
        <v>0.14000000000000001</v>
      </c>
      <c r="K10" s="64">
        <v>304.48</v>
      </c>
      <c r="L10" s="64">
        <v>15.53</v>
      </c>
      <c r="M10" s="64">
        <v>79.16</v>
      </c>
      <c r="N10" s="64">
        <v>22.9</v>
      </c>
      <c r="O10" s="64">
        <v>0</v>
      </c>
      <c r="P10" s="64">
        <v>0.54</v>
      </c>
      <c r="Q10" s="64">
        <v>7.31</v>
      </c>
      <c r="R10" s="198"/>
      <c r="S10" s="198"/>
      <c r="T10" s="198"/>
      <c r="U10" s="198"/>
    </row>
    <row r="11" spans="1:21" s="12" customFormat="1" x14ac:dyDescent="0.25">
      <c r="A11" s="214" t="s">
        <v>1306</v>
      </c>
      <c r="B11" s="64">
        <v>30.36</v>
      </c>
      <c r="C11" s="64">
        <v>58.74</v>
      </c>
      <c r="D11" s="64">
        <v>57.41</v>
      </c>
      <c r="E11" s="64">
        <v>0.45</v>
      </c>
      <c r="F11" s="64">
        <v>3.56</v>
      </c>
      <c r="G11" s="64">
        <v>132.63</v>
      </c>
      <c r="H11" s="64">
        <v>51.87</v>
      </c>
      <c r="I11" s="64">
        <v>1.51</v>
      </c>
      <c r="J11" s="64">
        <v>7.0000000000000007E-2</v>
      </c>
      <c r="K11" s="64">
        <v>21.75</v>
      </c>
      <c r="L11" s="64">
        <v>14.62</v>
      </c>
      <c r="M11" s="64">
        <v>85.6</v>
      </c>
      <c r="N11" s="64">
        <v>22.9</v>
      </c>
      <c r="O11" s="64">
        <v>0</v>
      </c>
      <c r="P11" s="64">
        <v>0.63</v>
      </c>
      <c r="Q11" s="64">
        <v>5.07</v>
      </c>
      <c r="R11" s="198"/>
      <c r="S11" s="198"/>
      <c r="T11" s="198"/>
      <c r="U11" s="198"/>
    </row>
    <row r="12" spans="1:21" s="12" customFormat="1" x14ac:dyDescent="0.25">
      <c r="A12" s="214" t="s">
        <v>1307</v>
      </c>
      <c r="B12" s="64">
        <v>30.96</v>
      </c>
      <c r="C12" s="64">
        <v>58.17</v>
      </c>
      <c r="D12" s="64">
        <v>57.58</v>
      </c>
      <c r="E12" s="64">
        <v>0.4</v>
      </c>
      <c r="F12" s="64">
        <v>3.89</v>
      </c>
      <c r="G12" s="64">
        <v>106.31</v>
      </c>
      <c r="H12" s="64">
        <v>51.41</v>
      </c>
      <c r="I12" s="64">
        <v>1.45</v>
      </c>
      <c r="J12" s="64">
        <v>0.09</v>
      </c>
      <c r="K12" s="64">
        <v>219.78</v>
      </c>
      <c r="L12" s="64">
        <v>14.76</v>
      </c>
      <c r="M12" s="64">
        <v>82.57</v>
      </c>
      <c r="N12" s="64">
        <v>22.1</v>
      </c>
      <c r="O12" s="64">
        <v>0</v>
      </c>
      <c r="P12" s="64">
        <v>0.52</v>
      </c>
      <c r="Q12" s="64">
        <v>4.93</v>
      </c>
      <c r="R12" s="198"/>
      <c r="S12" s="198"/>
      <c r="T12" s="198"/>
      <c r="U12" s="198"/>
    </row>
    <row r="13" spans="1:21" s="12" customFormat="1" x14ac:dyDescent="0.25">
      <c r="A13" s="214" t="s">
        <v>1308</v>
      </c>
      <c r="B13" s="64">
        <v>30.23</v>
      </c>
      <c r="C13" s="64">
        <v>57.45</v>
      </c>
      <c r="D13" s="64">
        <v>56.59</v>
      </c>
      <c r="E13" s="64">
        <v>0.38</v>
      </c>
      <c r="F13" s="64">
        <v>5.05</v>
      </c>
      <c r="G13" s="64">
        <v>106.31</v>
      </c>
      <c r="H13" s="64">
        <v>51.41</v>
      </c>
      <c r="I13" s="64">
        <v>1.4</v>
      </c>
      <c r="J13" s="64">
        <v>0.16</v>
      </c>
      <c r="K13" s="64">
        <v>276.68</v>
      </c>
      <c r="L13" s="64">
        <v>15.45</v>
      </c>
      <c r="M13" s="64">
        <v>78.650000000000006</v>
      </c>
      <c r="N13" s="64">
        <v>22.1</v>
      </c>
      <c r="O13" s="64">
        <v>0</v>
      </c>
      <c r="P13" s="64">
        <v>0.44</v>
      </c>
      <c r="Q13" s="64">
        <v>7.55</v>
      </c>
      <c r="R13" s="198"/>
      <c r="S13" s="198"/>
      <c r="T13" s="198"/>
      <c r="U13" s="198"/>
    </row>
    <row r="14" spans="1:21" s="12" customFormat="1" x14ac:dyDescent="0.25">
      <c r="A14" s="214" t="s">
        <v>1309</v>
      </c>
      <c r="B14" s="64">
        <v>29.07</v>
      </c>
      <c r="C14" s="64">
        <v>56.44</v>
      </c>
      <c r="D14" s="64">
        <v>55.11</v>
      </c>
      <c r="E14" s="64">
        <v>0.35</v>
      </c>
      <c r="F14" s="64">
        <v>5</v>
      </c>
      <c r="G14" s="64">
        <v>106.31</v>
      </c>
      <c r="H14" s="64">
        <v>51.41</v>
      </c>
      <c r="I14" s="64">
        <v>1.53</v>
      </c>
      <c r="J14" s="64">
        <v>0.13</v>
      </c>
      <c r="K14" s="64">
        <v>294.62</v>
      </c>
      <c r="L14" s="64">
        <v>14.64</v>
      </c>
      <c r="M14" s="64">
        <v>88.91</v>
      </c>
      <c r="N14" s="64">
        <v>22.9</v>
      </c>
      <c r="O14" s="64">
        <v>0</v>
      </c>
      <c r="P14" s="64">
        <v>0.47</v>
      </c>
      <c r="Q14" s="64">
        <v>8.08</v>
      </c>
      <c r="R14" s="198"/>
      <c r="S14" s="198"/>
      <c r="T14" s="198"/>
      <c r="U14" s="198"/>
    </row>
    <row r="15" spans="1:21" s="12" customFormat="1" x14ac:dyDescent="0.25">
      <c r="A15" s="214" t="s">
        <v>1310</v>
      </c>
      <c r="B15" s="64">
        <v>28.31</v>
      </c>
      <c r="C15" s="64">
        <v>55.68</v>
      </c>
      <c r="D15" s="64">
        <v>54.07</v>
      </c>
      <c r="E15" s="64">
        <v>0.37</v>
      </c>
      <c r="F15" s="64">
        <v>4.16</v>
      </c>
      <c r="G15" s="64">
        <v>104.4</v>
      </c>
      <c r="H15" s="64">
        <v>48.93</v>
      </c>
      <c r="I15" s="64">
        <v>1.49</v>
      </c>
      <c r="J15" s="64">
        <v>0.03</v>
      </c>
      <c r="K15" s="64">
        <v>235.61</v>
      </c>
      <c r="L15" s="64">
        <v>14.19</v>
      </c>
      <c r="M15" s="64">
        <v>88.91</v>
      </c>
      <c r="N15" s="64">
        <v>22.7</v>
      </c>
      <c r="O15" s="64">
        <v>0</v>
      </c>
      <c r="P15" s="64">
        <v>0.46</v>
      </c>
      <c r="Q15" s="64">
        <v>6.84</v>
      </c>
      <c r="R15" s="198"/>
      <c r="S15" s="198"/>
      <c r="T15" s="198"/>
      <c r="U15" s="198"/>
    </row>
    <row r="16" spans="1:21" s="12" customFormat="1" x14ac:dyDescent="0.25">
      <c r="A16" s="214" t="s">
        <v>1311</v>
      </c>
      <c r="B16" s="64">
        <v>27.72</v>
      </c>
      <c r="C16" s="64">
        <v>54.82</v>
      </c>
      <c r="D16" s="64">
        <v>53.13</v>
      </c>
      <c r="E16" s="64">
        <v>0.28000000000000003</v>
      </c>
      <c r="F16" s="64">
        <v>4.7699999999999996</v>
      </c>
      <c r="G16" s="64">
        <v>96.78</v>
      </c>
      <c r="H16" s="64">
        <v>42.17</v>
      </c>
      <c r="I16" s="64">
        <v>1.54</v>
      </c>
      <c r="J16" s="64">
        <v>0</v>
      </c>
      <c r="K16" s="64">
        <v>33.6</v>
      </c>
      <c r="L16" s="64">
        <v>14.46</v>
      </c>
      <c r="M16" s="64">
        <v>88.2</v>
      </c>
      <c r="N16" s="64">
        <v>22.5</v>
      </c>
      <c r="O16" s="64">
        <v>0</v>
      </c>
      <c r="P16" s="64">
        <v>0.39</v>
      </c>
      <c r="Q16" s="64">
        <v>7.07</v>
      </c>
      <c r="R16" s="198"/>
      <c r="S16" s="198"/>
      <c r="T16" s="198"/>
      <c r="U16" s="198"/>
    </row>
    <row r="17" spans="1:21" s="12" customFormat="1" x14ac:dyDescent="0.25">
      <c r="A17" s="214" t="s">
        <v>1312</v>
      </c>
      <c r="B17" s="64">
        <v>26.74</v>
      </c>
      <c r="C17" s="64">
        <v>54</v>
      </c>
      <c r="D17" s="64">
        <v>51.89</v>
      </c>
      <c r="E17" s="64">
        <v>0.36</v>
      </c>
      <c r="F17" s="64">
        <v>7.63</v>
      </c>
      <c r="G17" s="64">
        <v>96.78</v>
      </c>
      <c r="H17" s="64">
        <v>42.17</v>
      </c>
      <c r="I17" s="64">
        <v>1.56</v>
      </c>
      <c r="J17" s="64">
        <v>0.52</v>
      </c>
      <c r="K17" s="64">
        <v>338.36</v>
      </c>
      <c r="L17" s="64">
        <v>14.34</v>
      </c>
      <c r="M17" s="64">
        <v>90.15</v>
      </c>
      <c r="N17" s="64">
        <v>21.7</v>
      </c>
      <c r="O17" s="64">
        <v>0</v>
      </c>
      <c r="P17" s="64">
        <v>0.38</v>
      </c>
      <c r="Q17" s="64">
        <v>8.17</v>
      </c>
      <c r="R17" s="198"/>
      <c r="S17" s="198"/>
      <c r="T17" s="198"/>
      <c r="U17" s="198"/>
    </row>
    <row r="18" spans="1:21" s="12" customFormat="1" x14ac:dyDescent="0.25">
      <c r="A18" s="214" t="s">
        <v>1313</v>
      </c>
      <c r="B18" s="64">
        <v>25.44</v>
      </c>
      <c r="C18" s="64">
        <v>53.22</v>
      </c>
      <c r="D18" s="64">
        <v>50.41</v>
      </c>
      <c r="E18" s="64">
        <v>0.43</v>
      </c>
      <c r="F18" s="64">
        <v>11.99</v>
      </c>
      <c r="G18" s="64">
        <v>96.78</v>
      </c>
      <c r="H18" s="64">
        <v>42.17</v>
      </c>
      <c r="I18" s="64">
        <v>1.51</v>
      </c>
      <c r="J18" s="64">
        <v>0.25</v>
      </c>
      <c r="K18" s="64">
        <v>304.8</v>
      </c>
      <c r="L18" s="64">
        <v>14.76</v>
      </c>
      <c r="M18" s="64">
        <v>84.99</v>
      </c>
      <c r="N18" s="64">
        <v>21.7</v>
      </c>
      <c r="O18" s="64">
        <v>0</v>
      </c>
      <c r="P18" s="64">
        <v>0.43</v>
      </c>
      <c r="Q18" s="64">
        <v>9.4</v>
      </c>
      <c r="R18" s="198"/>
      <c r="S18" s="198"/>
      <c r="T18" s="198"/>
      <c r="U18" s="198"/>
    </row>
    <row r="19" spans="1:21" s="12" customFormat="1" x14ac:dyDescent="0.25">
      <c r="A19" s="214" t="s">
        <v>1314</v>
      </c>
      <c r="B19" s="64">
        <v>23.96</v>
      </c>
      <c r="C19" s="64">
        <v>52.37</v>
      </c>
      <c r="D19" s="64">
        <v>48.76</v>
      </c>
      <c r="E19" s="64">
        <v>0.45</v>
      </c>
      <c r="F19" s="64">
        <v>8.2899999999999991</v>
      </c>
      <c r="G19" s="64">
        <v>94.18</v>
      </c>
      <c r="H19" s="64">
        <v>41.81</v>
      </c>
      <c r="I19" s="64">
        <v>1.49</v>
      </c>
      <c r="J19" s="64">
        <v>0.01</v>
      </c>
      <c r="K19" s="64">
        <v>77.55</v>
      </c>
      <c r="L19" s="64">
        <v>14.78</v>
      </c>
      <c r="M19" s="64">
        <v>85.52</v>
      </c>
      <c r="N19" s="64">
        <v>22.8</v>
      </c>
      <c r="O19" s="64">
        <v>0</v>
      </c>
      <c r="P19" s="64">
        <v>0.53</v>
      </c>
      <c r="Q19" s="64">
        <v>8.7899999999999991</v>
      </c>
      <c r="R19" s="198"/>
      <c r="S19" s="198"/>
      <c r="T19" s="198"/>
      <c r="U19" s="198"/>
    </row>
    <row r="20" spans="1:21" s="12" customFormat="1" x14ac:dyDescent="0.25">
      <c r="A20" s="214" t="s">
        <v>1315</v>
      </c>
      <c r="B20" s="64">
        <v>22.98</v>
      </c>
      <c r="C20" s="64">
        <v>51.94</v>
      </c>
      <c r="D20" s="64">
        <v>47.74</v>
      </c>
      <c r="E20" s="64">
        <v>0.44</v>
      </c>
      <c r="F20" s="64">
        <v>4.75</v>
      </c>
      <c r="G20" s="64">
        <v>83.78</v>
      </c>
      <c r="H20" s="64">
        <v>40.82</v>
      </c>
      <c r="I20" s="64">
        <v>1.49</v>
      </c>
      <c r="J20" s="64">
        <v>0.02</v>
      </c>
      <c r="K20" s="64">
        <v>154.47999999999999</v>
      </c>
      <c r="L20" s="64">
        <v>14.21</v>
      </c>
      <c r="M20" s="64">
        <v>91.71</v>
      </c>
      <c r="N20" s="64">
        <v>23</v>
      </c>
      <c r="O20" s="64">
        <v>0</v>
      </c>
      <c r="P20" s="64">
        <v>0.53</v>
      </c>
      <c r="Q20" s="64">
        <v>7.79</v>
      </c>
      <c r="R20" s="198"/>
      <c r="S20" s="198"/>
      <c r="T20" s="198"/>
      <c r="U20" s="198"/>
    </row>
    <row r="21" spans="1:21" s="12" customFormat="1" x14ac:dyDescent="0.25">
      <c r="A21" s="214" t="s">
        <v>1316</v>
      </c>
      <c r="B21" s="64">
        <v>22.54</v>
      </c>
      <c r="C21" s="64">
        <v>51.01</v>
      </c>
      <c r="D21" s="64">
        <v>46.87</v>
      </c>
      <c r="E21" s="64">
        <v>0.41</v>
      </c>
      <c r="F21" s="64">
        <v>3.6</v>
      </c>
      <c r="G21" s="64">
        <v>83.78</v>
      </c>
      <c r="H21" s="64">
        <v>40.82</v>
      </c>
      <c r="I21" s="64">
        <v>1.56</v>
      </c>
      <c r="J21" s="64">
        <v>0.1</v>
      </c>
      <c r="K21" s="64">
        <v>217.21</v>
      </c>
      <c r="L21" s="64">
        <v>13.78</v>
      </c>
      <c r="M21" s="64">
        <v>94.9</v>
      </c>
      <c r="N21" s="64">
        <v>22.7</v>
      </c>
      <c r="O21" s="64">
        <v>0</v>
      </c>
      <c r="P21" s="64">
        <v>0.62</v>
      </c>
      <c r="Q21" s="64">
        <v>6.66</v>
      </c>
      <c r="R21" s="198"/>
      <c r="S21" s="198"/>
      <c r="T21" s="198"/>
      <c r="U21" s="198"/>
    </row>
    <row r="22" spans="1:21" s="12" customFormat="1" x14ac:dyDescent="0.25">
      <c r="A22" s="214" t="s">
        <v>1317</v>
      </c>
      <c r="B22" s="64">
        <v>22.42</v>
      </c>
      <c r="C22" s="64">
        <v>49.61</v>
      </c>
      <c r="D22" s="64">
        <v>46</v>
      </c>
      <c r="E22" s="64">
        <v>0.46</v>
      </c>
      <c r="F22" s="64">
        <v>3.54</v>
      </c>
      <c r="G22" s="64">
        <v>83.78</v>
      </c>
      <c r="H22" s="64">
        <v>40.82</v>
      </c>
      <c r="I22" s="64">
        <v>1.47</v>
      </c>
      <c r="J22" s="64">
        <v>0.11</v>
      </c>
      <c r="K22" s="64">
        <v>190.05</v>
      </c>
      <c r="L22" s="64">
        <v>13.72</v>
      </c>
      <c r="M22" s="64">
        <v>94.56</v>
      </c>
      <c r="N22" s="64">
        <v>22.5</v>
      </c>
      <c r="O22" s="64">
        <v>0</v>
      </c>
      <c r="P22" s="64">
        <v>0.73</v>
      </c>
      <c r="Q22" s="64">
        <v>5.8</v>
      </c>
      <c r="R22" s="198"/>
      <c r="S22" s="198"/>
      <c r="T22" s="198"/>
      <c r="U22" s="198"/>
    </row>
    <row r="23" spans="1:21" s="12" customFormat="1" x14ac:dyDescent="0.25">
      <c r="A23" s="214" t="s">
        <v>1318</v>
      </c>
      <c r="B23" s="64">
        <v>22.65</v>
      </c>
      <c r="C23" s="64">
        <v>49.37</v>
      </c>
      <c r="D23" s="64">
        <v>46.06</v>
      </c>
      <c r="E23" s="64">
        <v>0.51</v>
      </c>
      <c r="F23" s="64">
        <v>3.29</v>
      </c>
      <c r="G23" s="64">
        <v>89.38</v>
      </c>
      <c r="H23" s="64">
        <v>43.82</v>
      </c>
      <c r="I23" s="64">
        <v>1.54</v>
      </c>
      <c r="J23" s="64">
        <v>0.06</v>
      </c>
      <c r="K23" s="64">
        <v>325.08999999999997</v>
      </c>
      <c r="L23" s="64">
        <v>13.44</v>
      </c>
      <c r="M23" s="64">
        <v>96.94</v>
      </c>
      <c r="N23" s="64">
        <v>22.8</v>
      </c>
      <c r="O23" s="64">
        <v>0</v>
      </c>
      <c r="P23" s="64">
        <v>0.84</v>
      </c>
      <c r="Q23" s="64">
        <v>4.9800000000000004</v>
      </c>
      <c r="R23" s="198"/>
      <c r="S23" s="198"/>
      <c r="T23" s="198"/>
      <c r="U23" s="198"/>
    </row>
    <row r="24" spans="1:21" s="12" customFormat="1" x14ac:dyDescent="0.25">
      <c r="A24" s="214" t="s">
        <v>1319</v>
      </c>
      <c r="B24" s="64">
        <v>23.86</v>
      </c>
      <c r="C24" s="64">
        <v>48.58</v>
      </c>
      <c r="D24" s="64">
        <v>46.59</v>
      </c>
      <c r="E24" s="64">
        <v>0.28999999999999998</v>
      </c>
      <c r="F24" s="64">
        <v>3.18</v>
      </c>
      <c r="G24" s="64">
        <v>111.79</v>
      </c>
      <c r="H24" s="64">
        <v>51.97</v>
      </c>
      <c r="I24" s="64">
        <v>1.51</v>
      </c>
      <c r="J24" s="64">
        <v>0.02</v>
      </c>
      <c r="K24" s="64">
        <v>277.27999999999997</v>
      </c>
      <c r="L24" s="64">
        <v>13.17</v>
      </c>
      <c r="M24" s="64">
        <v>98.15</v>
      </c>
      <c r="N24" s="64">
        <v>22.6</v>
      </c>
      <c r="O24" s="64">
        <v>0</v>
      </c>
      <c r="P24" s="64">
        <v>0.89</v>
      </c>
      <c r="Q24" s="64">
        <v>3.8</v>
      </c>
      <c r="R24" s="198"/>
      <c r="S24" s="198"/>
      <c r="T24" s="198"/>
      <c r="U24" s="198"/>
    </row>
    <row r="25" spans="1:21" s="12" customFormat="1" x14ac:dyDescent="0.25">
      <c r="A25" s="214" t="s">
        <v>1320</v>
      </c>
      <c r="B25" s="64">
        <v>25.63</v>
      </c>
      <c r="C25" s="64">
        <v>48.13</v>
      </c>
      <c r="D25" s="64">
        <v>47.77</v>
      </c>
      <c r="E25" s="64">
        <v>0.6</v>
      </c>
      <c r="F25" s="64">
        <v>3.21</v>
      </c>
      <c r="G25" s="64">
        <v>111.79</v>
      </c>
      <c r="H25" s="64">
        <v>51.97</v>
      </c>
      <c r="I25" s="64">
        <v>1.51</v>
      </c>
      <c r="J25" s="64">
        <v>0.1</v>
      </c>
      <c r="K25" s="64">
        <v>268.67</v>
      </c>
      <c r="L25" s="64">
        <v>12.98</v>
      </c>
      <c r="M25" s="64">
        <v>98.16</v>
      </c>
      <c r="N25" s="64">
        <v>22.5</v>
      </c>
      <c r="O25" s="64">
        <v>0</v>
      </c>
      <c r="P25" s="64">
        <v>0.93</v>
      </c>
      <c r="Q25" s="64">
        <v>3.41</v>
      </c>
      <c r="R25" s="198"/>
      <c r="S25" s="198"/>
      <c r="T25" s="198"/>
      <c r="U25" s="198"/>
    </row>
    <row r="26" spans="1:21" s="12" customFormat="1" x14ac:dyDescent="0.25">
      <c r="A26" s="214" t="s">
        <v>1321</v>
      </c>
      <c r="B26" s="64">
        <v>27.54</v>
      </c>
      <c r="C26" s="64">
        <v>47.84</v>
      </c>
      <c r="D26" s="64">
        <v>49.13</v>
      </c>
      <c r="E26" s="64">
        <v>0.64</v>
      </c>
      <c r="F26" s="64">
        <v>3.28</v>
      </c>
      <c r="G26" s="64">
        <v>111.79</v>
      </c>
      <c r="H26" s="64">
        <v>51.97</v>
      </c>
      <c r="I26" s="64">
        <v>1.44</v>
      </c>
      <c r="J26" s="64">
        <v>0.06</v>
      </c>
      <c r="K26" s="64">
        <v>47.83</v>
      </c>
      <c r="L26" s="64">
        <v>12.97</v>
      </c>
      <c r="M26" s="64">
        <v>98.16</v>
      </c>
      <c r="N26" s="64">
        <v>22.4</v>
      </c>
      <c r="O26" s="64">
        <v>0</v>
      </c>
      <c r="P26" s="64">
        <v>1.01</v>
      </c>
      <c r="Q26" s="64">
        <v>3.61</v>
      </c>
      <c r="R26" s="198"/>
      <c r="S26" s="198"/>
      <c r="T26" s="198"/>
      <c r="U26" s="198"/>
    </row>
    <row r="27" spans="1:21" s="12" customFormat="1" x14ac:dyDescent="0.25">
      <c r="A27" s="214" t="s">
        <v>1322</v>
      </c>
      <c r="B27" s="64">
        <v>29.79</v>
      </c>
      <c r="C27" s="64">
        <v>47.78</v>
      </c>
      <c r="D27" s="64">
        <v>50.9</v>
      </c>
      <c r="E27" s="64">
        <v>0.66</v>
      </c>
      <c r="F27" s="64">
        <v>3.38</v>
      </c>
      <c r="G27" s="64">
        <v>120.31</v>
      </c>
      <c r="H27" s="64">
        <v>55.07</v>
      </c>
      <c r="I27" s="64">
        <v>1.58</v>
      </c>
      <c r="J27" s="64">
        <v>7.0000000000000007E-2</v>
      </c>
      <c r="K27" s="64">
        <v>86.35</v>
      </c>
      <c r="L27" s="64">
        <v>12.94</v>
      </c>
      <c r="M27" s="64">
        <v>98.16</v>
      </c>
      <c r="N27" s="64">
        <v>22.4</v>
      </c>
      <c r="O27" s="64">
        <v>0</v>
      </c>
      <c r="P27" s="64">
        <v>1.1299999999999999</v>
      </c>
      <c r="Q27" s="64">
        <v>2.66</v>
      </c>
      <c r="R27" s="198"/>
      <c r="S27" s="198"/>
      <c r="T27" s="198"/>
      <c r="U27" s="198"/>
    </row>
    <row r="28" spans="1:21" s="12" customFormat="1" x14ac:dyDescent="0.25">
      <c r="A28" s="214" t="s">
        <v>1323</v>
      </c>
      <c r="B28" s="64">
        <v>32.01</v>
      </c>
      <c r="C28" s="64">
        <v>47.92</v>
      </c>
      <c r="D28" s="64">
        <v>52.76</v>
      </c>
      <c r="E28" s="64">
        <v>0.73</v>
      </c>
      <c r="F28" s="64">
        <v>3.11</v>
      </c>
      <c r="G28" s="64">
        <v>154.38999999999999</v>
      </c>
      <c r="H28" s="64">
        <v>68.88</v>
      </c>
      <c r="I28" s="64">
        <v>1.51</v>
      </c>
      <c r="J28" s="64">
        <v>0.1</v>
      </c>
      <c r="K28" s="64">
        <v>332.43</v>
      </c>
      <c r="L28" s="64">
        <v>13.02</v>
      </c>
      <c r="M28" s="64">
        <v>98.16</v>
      </c>
      <c r="N28" s="64">
        <v>22.3</v>
      </c>
      <c r="O28" s="64">
        <v>0</v>
      </c>
      <c r="P28" s="64">
        <v>1.0900000000000001</v>
      </c>
      <c r="Q28" s="64">
        <v>3.07</v>
      </c>
      <c r="R28" s="198"/>
      <c r="S28" s="198"/>
      <c r="T28" s="198"/>
      <c r="U28" s="198"/>
    </row>
    <row r="29" spans="1:21" s="12" customFormat="1" x14ac:dyDescent="0.25">
      <c r="A29" s="214" t="s">
        <v>1324</v>
      </c>
      <c r="B29" s="64">
        <v>33.89</v>
      </c>
      <c r="C29" s="64">
        <v>47.38</v>
      </c>
      <c r="D29" s="64">
        <v>53.97</v>
      </c>
      <c r="E29" s="64">
        <v>0.65</v>
      </c>
      <c r="F29" s="64">
        <v>3.23</v>
      </c>
      <c r="G29" s="64">
        <v>154.38999999999999</v>
      </c>
      <c r="H29" s="64">
        <v>68.88</v>
      </c>
      <c r="I29" s="64">
        <v>1.45</v>
      </c>
      <c r="J29" s="64">
        <v>0.06</v>
      </c>
      <c r="K29" s="64">
        <v>57.71</v>
      </c>
      <c r="L29" s="64">
        <v>12.93</v>
      </c>
      <c r="M29" s="64">
        <v>98.17</v>
      </c>
      <c r="N29" s="64">
        <v>22.5</v>
      </c>
      <c r="O29" s="64">
        <v>0</v>
      </c>
      <c r="P29" s="64">
        <v>0.99</v>
      </c>
      <c r="Q29" s="64">
        <v>4.05</v>
      </c>
      <c r="R29" s="198"/>
      <c r="S29" s="198"/>
      <c r="T29" s="198"/>
      <c r="U29" s="198"/>
    </row>
    <row r="30" spans="1:21" s="12" customFormat="1" x14ac:dyDescent="0.25">
      <c r="A30" s="214" t="s">
        <v>1325</v>
      </c>
      <c r="B30" s="64">
        <v>34.28</v>
      </c>
      <c r="C30" s="64">
        <v>47.24</v>
      </c>
      <c r="D30" s="64">
        <v>54.2</v>
      </c>
      <c r="E30" s="64">
        <v>0.63</v>
      </c>
      <c r="F30" s="64">
        <v>3.4</v>
      </c>
      <c r="G30" s="64">
        <v>154.38999999999999</v>
      </c>
      <c r="H30" s="64">
        <v>68.88</v>
      </c>
      <c r="I30" s="64">
        <v>1.54</v>
      </c>
      <c r="J30" s="64">
        <v>0.09</v>
      </c>
      <c r="K30" s="64">
        <v>76.83</v>
      </c>
      <c r="L30" s="64">
        <v>13.01</v>
      </c>
      <c r="M30" s="64">
        <v>98.17</v>
      </c>
      <c r="N30" s="64">
        <v>22.3</v>
      </c>
      <c r="O30" s="64">
        <v>0</v>
      </c>
      <c r="P30" s="64">
        <v>0.9</v>
      </c>
      <c r="Q30" s="64">
        <v>6.37</v>
      </c>
      <c r="R30" s="198"/>
      <c r="S30" s="198"/>
      <c r="T30" s="198"/>
      <c r="U30" s="198"/>
    </row>
    <row r="31" spans="1:21" s="12" customFormat="1" x14ac:dyDescent="0.25">
      <c r="A31" s="214" t="s">
        <v>1326</v>
      </c>
      <c r="B31" s="64">
        <v>34.1</v>
      </c>
      <c r="C31" s="64">
        <v>47.24</v>
      </c>
      <c r="D31" s="64">
        <v>54.06</v>
      </c>
      <c r="E31" s="64">
        <v>0.59</v>
      </c>
      <c r="F31" s="64">
        <v>3.3</v>
      </c>
      <c r="G31" s="64">
        <v>151.08000000000001</v>
      </c>
      <c r="H31" s="64">
        <v>68.55</v>
      </c>
      <c r="I31" s="64">
        <v>1.5</v>
      </c>
      <c r="J31" s="64">
        <v>0.12</v>
      </c>
      <c r="K31" s="64">
        <v>55.15</v>
      </c>
      <c r="L31" s="64">
        <v>13.28</v>
      </c>
      <c r="M31" s="64">
        <v>98.13</v>
      </c>
      <c r="N31" s="64">
        <v>22.3</v>
      </c>
      <c r="O31" s="64">
        <v>0</v>
      </c>
      <c r="P31" s="64">
        <v>1.08</v>
      </c>
      <c r="Q31" s="64">
        <v>4.18</v>
      </c>
      <c r="R31" s="198"/>
      <c r="S31" s="198"/>
      <c r="T31" s="198"/>
      <c r="U31" s="198"/>
    </row>
    <row r="32" spans="1:21" s="12" customFormat="1" x14ac:dyDescent="0.25">
      <c r="A32" s="214" t="s">
        <v>1327</v>
      </c>
      <c r="B32" s="64">
        <v>36.69</v>
      </c>
      <c r="C32" s="64">
        <v>47.77</v>
      </c>
      <c r="D32" s="64">
        <v>56.43</v>
      </c>
      <c r="E32" s="64">
        <v>0.6</v>
      </c>
      <c r="F32" s="64">
        <v>3.35</v>
      </c>
      <c r="G32" s="64">
        <v>138.69999999999999</v>
      </c>
      <c r="H32" s="64">
        <v>67.650000000000006</v>
      </c>
      <c r="I32" s="64">
        <v>1.48</v>
      </c>
      <c r="J32" s="64">
        <v>7.0000000000000007E-2</v>
      </c>
      <c r="K32" s="64">
        <v>31.8</v>
      </c>
      <c r="L32" s="64">
        <v>13.19</v>
      </c>
      <c r="M32" s="64">
        <v>98.12</v>
      </c>
      <c r="N32" s="64">
        <v>22.6</v>
      </c>
      <c r="O32" s="64">
        <v>0</v>
      </c>
      <c r="P32" s="64">
        <v>1.1200000000000001</v>
      </c>
      <c r="Q32" s="64">
        <v>0.27</v>
      </c>
      <c r="R32" s="198"/>
      <c r="S32" s="198"/>
      <c r="T32" s="198"/>
      <c r="U32" s="198"/>
    </row>
    <row r="33" spans="1:21" s="12" customFormat="1" x14ac:dyDescent="0.25">
      <c r="A33" s="214" t="s">
        <v>1328</v>
      </c>
      <c r="B33" s="64">
        <v>40.42</v>
      </c>
      <c r="C33" s="64">
        <v>47.66</v>
      </c>
      <c r="D33" s="64">
        <v>59.37</v>
      </c>
      <c r="E33" s="64">
        <v>0.64</v>
      </c>
      <c r="F33" s="64">
        <v>3.33</v>
      </c>
      <c r="G33" s="64">
        <v>138.69999999999999</v>
      </c>
      <c r="H33" s="64">
        <v>67.650000000000006</v>
      </c>
      <c r="I33" s="64">
        <v>1.49</v>
      </c>
      <c r="J33" s="64">
        <v>0.1</v>
      </c>
      <c r="K33" s="64">
        <v>246.58</v>
      </c>
      <c r="L33" s="64">
        <v>12.9</v>
      </c>
      <c r="M33" s="64">
        <v>98.19</v>
      </c>
      <c r="N33" s="64">
        <v>24</v>
      </c>
      <c r="O33" s="64">
        <v>0</v>
      </c>
      <c r="P33" s="64">
        <v>1.1200000000000001</v>
      </c>
      <c r="Q33" s="64">
        <v>0.55000000000000004</v>
      </c>
      <c r="R33" s="198"/>
      <c r="S33" s="198"/>
      <c r="T33" s="198"/>
      <c r="U33" s="198"/>
    </row>
    <row r="34" spans="1:21" s="12" customFormat="1" x14ac:dyDescent="0.25">
      <c r="A34" s="214" t="s">
        <v>1329</v>
      </c>
      <c r="B34" s="64">
        <v>44.56</v>
      </c>
      <c r="C34" s="64">
        <v>47.72</v>
      </c>
      <c r="D34" s="64">
        <v>62.71</v>
      </c>
      <c r="E34" s="64">
        <v>0.62</v>
      </c>
      <c r="F34" s="64">
        <v>3.77</v>
      </c>
      <c r="G34" s="64">
        <v>138.69999999999999</v>
      </c>
      <c r="H34" s="64">
        <v>67.650000000000006</v>
      </c>
      <c r="I34" s="64">
        <v>1.42</v>
      </c>
      <c r="J34" s="64">
        <v>0.03</v>
      </c>
      <c r="K34" s="64">
        <v>12.42</v>
      </c>
      <c r="L34" s="64">
        <v>12.9</v>
      </c>
      <c r="M34" s="64">
        <v>98.2</v>
      </c>
      <c r="N34" s="64">
        <v>28.8</v>
      </c>
      <c r="O34" s="64">
        <v>0</v>
      </c>
      <c r="P34" s="64">
        <v>1.08</v>
      </c>
      <c r="Q34" s="64">
        <v>1.75</v>
      </c>
      <c r="R34" s="198"/>
      <c r="S34" s="198"/>
      <c r="T34" s="198"/>
      <c r="U34" s="198"/>
    </row>
    <row r="35" spans="1:21" s="12" customFormat="1" x14ac:dyDescent="0.25">
      <c r="A35" s="214" t="s">
        <v>1330</v>
      </c>
      <c r="B35" s="64">
        <v>49.69</v>
      </c>
      <c r="C35" s="64">
        <v>48.34</v>
      </c>
      <c r="D35" s="64">
        <v>67.180000000000007</v>
      </c>
      <c r="E35" s="64">
        <v>0.61</v>
      </c>
      <c r="F35" s="64">
        <v>3.52</v>
      </c>
      <c r="G35" s="64">
        <v>140.63</v>
      </c>
      <c r="H35" s="64">
        <v>67.53</v>
      </c>
      <c r="I35" s="64">
        <v>1.54</v>
      </c>
      <c r="J35" s="64">
        <v>7.0000000000000007E-2</v>
      </c>
      <c r="K35" s="64">
        <v>25.23</v>
      </c>
      <c r="L35" s="64">
        <v>12.87</v>
      </c>
      <c r="M35" s="64">
        <v>98.2</v>
      </c>
      <c r="N35" s="64">
        <v>42.7</v>
      </c>
      <c r="O35" s="64">
        <v>0</v>
      </c>
      <c r="P35" s="64">
        <v>1.02</v>
      </c>
      <c r="Q35" s="64">
        <v>1.28</v>
      </c>
      <c r="R35" s="198"/>
      <c r="S35" s="198"/>
      <c r="T35" s="198"/>
      <c r="U35" s="198"/>
    </row>
    <row r="36" spans="1:21" s="12" customFormat="1" x14ac:dyDescent="0.25">
      <c r="A36" s="214" t="s">
        <v>1331</v>
      </c>
      <c r="B36" s="64">
        <v>53.13</v>
      </c>
      <c r="C36" s="64">
        <v>49.48</v>
      </c>
      <c r="D36" s="64">
        <v>70.56</v>
      </c>
      <c r="E36" s="64">
        <v>0.55000000000000004</v>
      </c>
      <c r="F36" s="64">
        <v>3.43</v>
      </c>
      <c r="G36" s="64">
        <v>148.31</v>
      </c>
      <c r="H36" s="64">
        <v>67.180000000000007</v>
      </c>
      <c r="I36" s="64">
        <v>1.46</v>
      </c>
      <c r="J36" s="64">
        <v>0.08</v>
      </c>
      <c r="K36" s="64">
        <v>36.479999999999997</v>
      </c>
      <c r="L36" s="64">
        <v>13.31</v>
      </c>
      <c r="M36" s="64">
        <v>98.09</v>
      </c>
      <c r="N36" s="64">
        <v>59.2</v>
      </c>
      <c r="O36" s="64">
        <v>0</v>
      </c>
      <c r="P36" s="64">
        <v>1.22</v>
      </c>
      <c r="Q36" s="64">
        <v>3.09</v>
      </c>
      <c r="R36" s="198"/>
      <c r="S36" s="198"/>
      <c r="T36" s="198"/>
      <c r="U36" s="198"/>
    </row>
    <row r="37" spans="1:21" s="12" customFormat="1" x14ac:dyDescent="0.25">
      <c r="A37" s="214" t="s">
        <v>1332</v>
      </c>
      <c r="B37" s="64">
        <v>54.88</v>
      </c>
      <c r="C37" s="64">
        <v>49.53</v>
      </c>
      <c r="D37" s="64">
        <v>71.989999999999995</v>
      </c>
      <c r="E37" s="64">
        <v>0.51</v>
      </c>
      <c r="F37" s="64">
        <v>3.47</v>
      </c>
      <c r="G37" s="64">
        <v>148.31</v>
      </c>
      <c r="H37" s="64">
        <v>67.180000000000007</v>
      </c>
      <c r="I37" s="64">
        <v>1.54</v>
      </c>
      <c r="J37" s="64">
        <v>0.08</v>
      </c>
      <c r="K37" s="64">
        <v>133</v>
      </c>
      <c r="L37" s="64">
        <v>13.88</v>
      </c>
      <c r="M37" s="64">
        <v>95.77</v>
      </c>
      <c r="N37" s="64">
        <v>77.8</v>
      </c>
      <c r="O37" s="64">
        <v>0</v>
      </c>
      <c r="P37" s="64">
        <v>0.99</v>
      </c>
      <c r="Q37" s="64">
        <v>5.26</v>
      </c>
      <c r="R37" s="198"/>
      <c r="S37" s="198"/>
      <c r="T37" s="198"/>
      <c r="U37" s="198"/>
    </row>
    <row r="38" spans="1:21" s="12" customFormat="1" x14ac:dyDescent="0.25">
      <c r="A38" s="214" t="s">
        <v>1333</v>
      </c>
      <c r="B38" s="64">
        <v>54.83</v>
      </c>
      <c r="C38" s="64">
        <v>49.71</v>
      </c>
      <c r="D38" s="64">
        <v>72.05</v>
      </c>
      <c r="E38" s="64">
        <v>0.54</v>
      </c>
      <c r="F38" s="64">
        <v>3.69</v>
      </c>
      <c r="G38" s="64">
        <v>148.31</v>
      </c>
      <c r="H38" s="64">
        <v>67.180000000000007</v>
      </c>
      <c r="I38" s="64">
        <v>1.53</v>
      </c>
      <c r="J38" s="64">
        <v>0.1</v>
      </c>
      <c r="K38" s="64">
        <v>137.84</v>
      </c>
      <c r="L38" s="64">
        <v>14.68</v>
      </c>
      <c r="M38" s="64">
        <v>92.75</v>
      </c>
      <c r="N38" s="64">
        <v>105.2</v>
      </c>
      <c r="O38" s="64">
        <v>0</v>
      </c>
      <c r="P38" s="64">
        <v>1.1000000000000001</v>
      </c>
      <c r="Q38" s="64">
        <v>6.14</v>
      </c>
      <c r="R38" s="198"/>
      <c r="S38" s="198"/>
      <c r="T38" s="198"/>
      <c r="U38" s="198"/>
    </row>
    <row r="39" spans="1:21" s="12" customFormat="1" x14ac:dyDescent="0.25">
      <c r="A39" s="214" t="s">
        <v>1334</v>
      </c>
      <c r="B39" s="64">
        <v>56.12</v>
      </c>
      <c r="C39" s="64">
        <v>50.47</v>
      </c>
      <c r="D39" s="64">
        <v>73.510000000000005</v>
      </c>
      <c r="E39" s="64">
        <v>0.51</v>
      </c>
      <c r="F39" s="64">
        <v>3.57</v>
      </c>
      <c r="G39" s="64">
        <v>146.71</v>
      </c>
      <c r="H39" s="64">
        <v>67.14</v>
      </c>
      <c r="I39" s="64">
        <v>1.53</v>
      </c>
      <c r="J39" s="64">
        <v>0.05</v>
      </c>
      <c r="K39" s="64">
        <v>335.09</v>
      </c>
      <c r="L39" s="64">
        <v>15.79</v>
      </c>
      <c r="M39" s="64">
        <v>85.87</v>
      </c>
      <c r="N39" s="64">
        <v>177.9</v>
      </c>
      <c r="O39" s="64">
        <v>0</v>
      </c>
      <c r="P39" s="64">
        <v>1.0900000000000001</v>
      </c>
      <c r="Q39" s="64">
        <v>4.5</v>
      </c>
      <c r="R39" s="198"/>
      <c r="S39" s="198"/>
      <c r="T39" s="198"/>
      <c r="U39" s="198"/>
    </row>
    <row r="40" spans="1:21" s="12" customFormat="1" x14ac:dyDescent="0.25">
      <c r="A40" s="214" t="s">
        <v>1335</v>
      </c>
      <c r="B40" s="64">
        <v>56.32</v>
      </c>
      <c r="C40" s="64">
        <v>51.16</v>
      </c>
      <c r="D40" s="64">
        <v>74.05</v>
      </c>
      <c r="E40" s="64">
        <v>0.3</v>
      </c>
      <c r="F40" s="64">
        <v>3.55</v>
      </c>
      <c r="G40" s="64">
        <v>140.29</v>
      </c>
      <c r="H40" s="64">
        <v>67.02</v>
      </c>
      <c r="I40" s="64">
        <v>1.41</v>
      </c>
      <c r="J40" s="64">
        <v>0.12</v>
      </c>
      <c r="K40" s="64">
        <v>159.68</v>
      </c>
      <c r="L40" s="64">
        <v>16.39</v>
      </c>
      <c r="M40" s="64">
        <v>85.08</v>
      </c>
      <c r="N40" s="64">
        <v>225.7</v>
      </c>
      <c r="O40" s="64">
        <v>0</v>
      </c>
      <c r="P40" s="64">
        <v>1.01</v>
      </c>
      <c r="Q40" s="64">
        <v>7.83</v>
      </c>
      <c r="R40" s="198"/>
      <c r="S40" s="198"/>
      <c r="T40" s="198"/>
      <c r="U40" s="198"/>
    </row>
    <row r="41" spans="1:21" s="12" customFormat="1" x14ac:dyDescent="0.25">
      <c r="A41" s="214" t="s">
        <v>1336</v>
      </c>
      <c r="B41" s="64">
        <v>56.97</v>
      </c>
      <c r="C41" s="64">
        <v>51.8</v>
      </c>
      <c r="D41" s="64">
        <v>74.92</v>
      </c>
      <c r="E41" s="64">
        <v>0.47</v>
      </c>
      <c r="F41" s="64">
        <v>3.71</v>
      </c>
      <c r="G41" s="64">
        <v>140.29</v>
      </c>
      <c r="H41" s="64">
        <v>67.02</v>
      </c>
      <c r="I41" s="64">
        <v>1.48</v>
      </c>
      <c r="J41" s="64">
        <v>0.16</v>
      </c>
      <c r="K41" s="64">
        <v>73.63</v>
      </c>
      <c r="L41" s="64">
        <v>18.37</v>
      </c>
      <c r="M41" s="64">
        <v>74.06</v>
      </c>
      <c r="N41" s="64">
        <v>272.39999999999998</v>
      </c>
      <c r="O41" s="64">
        <v>0</v>
      </c>
      <c r="P41" s="64">
        <v>1.37</v>
      </c>
      <c r="Q41" s="64">
        <v>4.2699999999999996</v>
      </c>
      <c r="R41" s="198"/>
      <c r="S41" s="198"/>
      <c r="T41" s="198"/>
      <c r="U41" s="198"/>
    </row>
    <row r="42" spans="1:21" s="12" customFormat="1" x14ac:dyDescent="0.25">
      <c r="A42" s="214" t="s">
        <v>1337</v>
      </c>
      <c r="B42" s="64">
        <v>58.01</v>
      </c>
      <c r="C42" s="64">
        <v>52.77</v>
      </c>
      <c r="D42" s="64">
        <v>76.290000000000006</v>
      </c>
      <c r="E42" s="64">
        <v>0.41</v>
      </c>
      <c r="F42" s="64">
        <v>3.83</v>
      </c>
      <c r="G42" s="64">
        <v>140.29</v>
      </c>
      <c r="H42" s="64">
        <v>67.02</v>
      </c>
      <c r="I42" s="64">
        <v>1.57</v>
      </c>
      <c r="J42" s="64">
        <v>0.19</v>
      </c>
      <c r="K42" s="64">
        <v>94.03</v>
      </c>
      <c r="L42" s="64">
        <v>18.77</v>
      </c>
      <c r="M42" s="64">
        <v>70.510000000000005</v>
      </c>
      <c r="N42" s="64">
        <v>311.39999999999998</v>
      </c>
      <c r="O42" s="64">
        <v>0</v>
      </c>
      <c r="P42" s="64">
        <v>1.07</v>
      </c>
      <c r="Q42" s="64">
        <v>4.99</v>
      </c>
      <c r="R42" s="198"/>
      <c r="S42" s="198"/>
      <c r="T42" s="198"/>
      <c r="U42" s="198"/>
    </row>
    <row r="43" spans="1:21" s="12" customFormat="1" x14ac:dyDescent="0.25">
      <c r="A43" s="214" t="s">
        <v>1338</v>
      </c>
      <c r="B43" s="64">
        <v>57.11</v>
      </c>
      <c r="C43" s="64">
        <v>53.54</v>
      </c>
      <c r="D43" s="64">
        <v>75.989999999999995</v>
      </c>
      <c r="E43" s="64">
        <v>0.35</v>
      </c>
      <c r="F43" s="64">
        <v>4.2300000000000004</v>
      </c>
      <c r="G43" s="64">
        <v>144.61000000000001</v>
      </c>
      <c r="H43" s="64">
        <v>67.56</v>
      </c>
      <c r="I43" s="64">
        <v>1.45</v>
      </c>
      <c r="J43" s="64">
        <v>0.32</v>
      </c>
      <c r="K43" s="64">
        <v>118.93</v>
      </c>
      <c r="L43" s="64">
        <v>19.5</v>
      </c>
      <c r="M43" s="64">
        <v>66.12</v>
      </c>
      <c r="N43" s="64">
        <v>340.9</v>
      </c>
      <c r="O43" s="64">
        <v>0</v>
      </c>
      <c r="P43" s="64">
        <v>0.94</v>
      </c>
      <c r="Q43" s="64">
        <v>8.8800000000000008</v>
      </c>
      <c r="R43" s="198"/>
      <c r="S43" s="198"/>
      <c r="T43" s="198"/>
      <c r="U43" s="198"/>
    </row>
    <row r="44" spans="1:21" s="12" customFormat="1" x14ac:dyDescent="0.25">
      <c r="A44" s="214" t="s">
        <v>1339</v>
      </c>
      <c r="B44" s="64">
        <v>54.99</v>
      </c>
      <c r="C44" s="64">
        <v>54.33</v>
      </c>
      <c r="D44" s="64">
        <v>74.73</v>
      </c>
      <c r="E44" s="64">
        <v>0.35</v>
      </c>
      <c r="F44" s="64">
        <v>4.92</v>
      </c>
      <c r="G44" s="64">
        <v>161.9</v>
      </c>
      <c r="H44" s="64">
        <v>69.94</v>
      </c>
      <c r="I44" s="64">
        <v>1.53</v>
      </c>
      <c r="J44" s="64">
        <v>0.45</v>
      </c>
      <c r="K44" s="64">
        <v>139.11000000000001</v>
      </c>
      <c r="L44" s="64">
        <v>19.8</v>
      </c>
      <c r="M44" s="64">
        <v>66.7</v>
      </c>
      <c r="N44" s="64">
        <v>393.8</v>
      </c>
      <c r="O44" s="64">
        <v>0</v>
      </c>
      <c r="P44" s="64">
        <v>0.9</v>
      </c>
      <c r="Q44" s="64">
        <v>11.18</v>
      </c>
      <c r="R44" s="198"/>
      <c r="S44" s="198"/>
      <c r="T44" s="198"/>
      <c r="U44" s="198"/>
    </row>
    <row r="45" spans="1:21" s="12" customFormat="1" x14ac:dyDescent="0.25">
      <c r="A45" s="214" t="s">
        <v>1340</v>
      </c>
      <c r="B45" s="64">
        <v>52.1</v>
      </c>
      <c r="C45" s="64">
        <v>54.97</v>
      </c>
      <c r="D45" s="64">
        <v>72.760000000000005</v>
      </c>
      <c r="E45" s="64">
        <v>0.36</v>
      </c>
      <c r="F45" s="64">
        <v>5.75</v>
      </c>
      <c r="G45" s="64">
        <v>161.9</v>
      </c>
      <c r="H45" s="64">
        <v>69.94</v>
      </c>
      <c r="I45" s="64">
        <v>1.52</v>
      </c>
      <c r="J45" s="64">
        <v>0.26</v>
      </c>
      <c r="K45" s="64">
        <v>116.81</v>
      </c>
      <c r="L45" s="64">
        <v>20.77</v>
      </c>
      <c r="M45" s="64">
        <v>63.17</v>
      </c>
      <c r="N45" s="64">
        <v>468.7</v>
      </c>
      <c r="O45" s="64">
        <v>0</v>
      </c>
      <c r="P45" s="64">
        <v>0.89</v>
      </c>
      <c r="Q45" s="64">
        <v>11.85</v>
      </c>
      <c r="R45" s="198"/>
      <c r="S45" s="198"/>
      <c r="T45" s="198"/>
      <c r="U45" s="198"/>
    </row>
    <row r="46" spans="1:21" s="12" customFormat="1" x14ac:dyDescent="0.25">
      <c r="A46" s="214" t="s">
        <v>1341</v>
      </c>
      <c r="B46" s="64">
        <v>48.69</v>
      </c>
      <c r="C46" s="64">
        <v>55.9</v>
      </c>
      <c r="D46" s="64">
        <v>70.540000000000006</v>
      </c>
      <c r="E46" s="64">
        <v>0.36</v>
      </c>
      <c r="F46" s="64">
        <v>7.81</v>
      </c>
      <c r="G46" s="64">
        <v>161.9</v>
      </c>
      <c r="H46" s="64">
        <v>69.94</v>
      </c>
      <c r="I46" s="64">
        <v>1.45</v>
      </c>
      <c r="J46" s="64">
        <v>0.2</v>
      </c>
      <c r="K46" s="64">
        <v>117.59</v>
      </c>
      <c r="L46" s="64">
        <v>21.5</v>
      </c>
      <c r="M46" s="64">
        <v>57.17</v>
      </c>
      <c r="N46" s="64">
        <v>508.8</v>
      </c>
      <c r="O46" s="64">
        <v>0</v>
      </c>
      <c r="P46" s="64">
        <v>0.71</v>
      </c>
      <c r="Q46" s="64">
        <v>11.47</v>
      </c>
      <c r="R46" s="198"/>
      <c r="S46" s="198"/>
      <c r="T46" s="198"/>
      <c r="U46" s="198"/>
    </row>
    <row r="47" spans="1:21" s="12" customFormat="1" x14ac:dyDescent="0.25">
      <c r="A47" s="214" t="s">
        <v>1342</v>
      </c>
      <c r="B47" s="64">
        <v>44.54</v>
      </c>
      <c r="C47" s="64">
        <v>56.64</v>
      </c>
      <c r="D47" s="64">
        <v>67.62</v>
      </c>
      <c r="E47" s="64">
        <v>0.39</v>
      </c>
      <c r="F47" s="64">
        <v>8.4700000000000006</v>
      </c>
      <c r="G47" s="64">
        <v>153.94</v>
      </c>
      <c r="H47" s="64">
        <v>69.94</v>
      </c>
      <c r="I47" s="64">
        <v>1.5</v>
      </c>
      <c r="J47" s="64">
        <v>0.28000000000000003</v>
      </c>
      <c r="K47" s="64">
        <v>134.91999999999999</v>
      </c>
      <c r="L47" s="64">
        <v>20.93</v>
      </c>
      <c r="M47" s="64">
        <v>58.79</v>
      </c>
      <c r="N47" s="64">
        <v>558.6</v>
      </c>
      <c r="O47" s="64">
        <v>0</v>
      </c>
      <c r="P47" s="64">
        <v>0.61</v>
      </c>
      <c r="Q47" s="64">
        <v>11.25</v>
      </c>
      <c r="R47" s="198"/>
      <c r="S47" s="198"/>
      <c r="T47" s="198"/>
      <c r="U47" s="198"/>
    </row>
    <row r="48" spans="1:21" s="12" customFormat="1" x14ac:dyDescent="0.25">
      <c r="A48" s="214" t="s">
        <v>1343</v>
      </c>
      <c r="B48" s="64">
        <v>40.64</v>
      </c>
      <c r="C48" s="64">
        <v>57.23</v>
      </c>
      <c r="D48" s="64">
        <v>64.819999999999993</v>
      </c>
      <c r="E48" s="64">
        <v>0.4</v>
      </c>
      <c r="F48" s="64">
        <v>10.78</v>
      </c>
      <c r="G48" s="64">
        <v>122.08</v>
      </c>
      <c r="H48" s="64">
        <v>188.85</v>
      </c>
      <c r="I48" s="64">
        <v>1.47</v>
      </c>
      <c r="J48" s="64">
        <v>0.56000000000000005</v>
      </c>
      <c r="K48" s="64">
        <v>145.15</v>
      </c>
      <c r="L48" s="64">
        <v>22.1</v>
      </c>
      <c r="M48" s="64">
        <v>53.8</v>
      </c>
      <c r="N48" s="64">
        <v>600.9</v>
      </c>
      <c r="O48" s="64">
        <v>0</v>
      </c>
      <c r="P48" s="64">
        <v>0.56000000000000005</v>
      </c>
      <c r="Q48" s="64">
        <v>10.59</v>
      </c>
      <c r="R48" s="198"/>
      <c r="S48" s="198"/>
      <c r="T48" s="198"/>
      <c r="U48" s="198"/>
    </row>
    <row r="49" spans="1:21" s="12" customFormat="1" x14ac:dyDescent="0.25">
      <c r="A49" s="214" t="s">
        <v>1344</v>
      </c>
      <c r="B49" s="64">
        <v>37.340000000000003</v>
      </c>
      <c r="C49" s="64">
        <v>56.34</v>
      </c>
      <c r="D49" s="64">
        <v>61.68</v>
      </c>
      <c r="E49" s="64">
        <v>0.36</v>
      </c>
      <c r="F49" s="64">
        <v>12.4</v>
      </c>
      <c r="G49" s="64">
        <v>122.08</v>
      </c>
      <c r="H49" s="64">
        <v>188.85</v>
      </c>
      <c r="I49" s="64">
        <v>1.48</v>
      </c>
      <c r="J49" s="64">
        <v>0.26</v>
      </c>
      <c r="K49" s="64">
        <v>354.46</v>
      </c>
      <c r="L49" s="64">
        <v>23.76</v>
      </c>
      <c r="M49" s="64">
        <v>49.38</v>
      </c>
      <c r="N49" s="64">
        <v>621.4</v>
      </c>
      <c r="O49" s="64">
        <v>0</v>
      </c>
      <c r="P49" s="64">
        <v>0.56999999999999995</v>
      </c>
      <c r="Q49" s="64">
        <v>10.44</v>
      </c>
      <c r="R49" s="198"/>
      <c r="S49" s="198"/>
      <c r="T49" s="198"/>
      <c r="U49" s="198"/>
    </row>
    <row r="50" spans="1:21" s="12" customFormat="1" x14ac:dyDescent="0.25">
      <c r="A50" s="214" t="s">
        <v>1345</v>
      </c>
      <c r="B50" s="64">
        <v>34.11</v>
      </c>
      <c r="C50" s="64">
        <v>56.01</v>
      </c>
      <c r="D50" s="64">
        <v>58.91</v>
      </c>
      <c r="E50" s="64">
        <v>0.39</v>
      </c>
      <c r="F50" s="64">
        <v>11.53</v>
      </c>
      <c r="G50" s="64">
        <v>122.08</v>
      </c>
      <c r="H50" s="64">
        <v>188.85</v>
      </c>
      <c r="I50" s="64">
        <v>1.51</v>
      </c>
      <c r="J50" s="64">
        <v>0.2</v>
      </c>
      <c r="K50" s="64">
        <v>338.56</v>
      </c>
      <c r="L50" s="64">
        <v>25.01</v>
      </c>
      <c r="M50" s="64">
        <v>45.06</v>
      </c>
      <c r="N50" s="64">
        <v>635.20000000000005</v>
      </c>
      <c r="O50" s="64">
        <v>0</v>
      </c>
      <c r="P50" s="64">
        <v>0.74</v>
      </c>
      <c r="Q50" s="64">
        <v>9.1300000000000008</v>
      </c>
      <c r="R50" s="198"/>
      <c r="S50" s="198"/>
      <c r="T50" s="198"/>
      <c r="U50" s="198"/>
    </row>
    <row r="51" spans="1:21" s="12" customFormat="1" x14ac:dyDescent="0.25">
      <c r="A51" s="214" t="s">
        <v>1346</v>
      </c>
      <c r="B51" s="64">
        <v>30.88</v>
      </c>
      <c r="C51" s="64">
        <v>56.89</v>
      </c>
      <c r="D51" s="64">
        <v>56.81</v>
      </c>
      <c r="E51" s="64">
        <v>0.38</v>
      </c>
      <c r="F51" s="64">
        <v>7.45</v>
      </c>
      <c r="G51" s="64">
        <v>115.94</v>
      </c>
      <c r="H51" s="64">
        <v>36.49</v>
      </c>
      <c r="I51" s="64">
        <v>1.52</v>
      </c>
      <c r="J51" s="64">
        <v>0.05</v>
      </c>
      <c r="K51" s="64">
        <v>9.64</v>
      </c>
      <c r="L51" s="64">
        <v>24.01</v>
      </c>
      <c r="M51" s="64">
        <v>46.61</v>
      </c>
      <c r="N51" s="64">
        <v>650.20000000000005</v>
      </c>
      <c r="O51" s="64">
        <v>0</v>
      </c>
      <c r="P51" s="64">
        <v>0.66</v>
      </c>
      <c r="Q51" s="64">
        <v>8.2799999999999994</v>
      </c>
      <c r="R51" s="198"/>
      <c r="S51" s="198"/>
      <c r="T51" s="198"/>
      <c r="U51" s="198"/>
    </row>
    <row r="52" spans="1:21" s="12" customFormat="1" x14ac:dyDescent="0.25">
      <c r="A52" s="214" t="s">
        <v>1347</v>
      </c>
      <c r="B52" s="64">
        <v>27.6</v>
      </c>
      <c r="C52" s="64">
        <v>57.51</v>
      </c>
      <c r="D52" s="64">
        <v>54.51</v>
      </c>
      <c r="E52" s="64">
        <v>0.41</v>
      </c>
      <c r="F52" s="64">
        <v>9.8699999999999992</v>
      </c>
      <c r="G52" s="64">
        <v>91.38</v>
      </c>
      <c r="H52" s="64">
        <v>36.49</v>
      </c>
      <c r="I52" s="64">
        <v>1.52</v>
      </c>
      <c r="J52" s="64">
        <v>0.62</v>
      </c>
      <c r="K52" s="64">
        <v>137.28</v>
      </c>
      <c r="L52" s="64">
        <v>24.39</v>
      </c>
      <c r="M52" s="64">
        <v>44.15</v>
      </c>
      <c r="N52" s="64">
        <v>701.3</v>
      </c>
      <c r="O52" s="64">
        <v>0</v>
      </c>
      <c r="P52" s="64">
        <v>0.65</v>
      </c>
      <c r="Q52" s="64">
        <v>7.62</v>
      </c>
      <c r="R52" s="198"/>
      <c r="S52" s="198"/>
      <c r="T52" s="198"/>
      <c r="U52" s="198"/>
    </row>
    <row r="53" spans="1:21" s="12" customFormat="1" x14ac:dyDescent="0.25">
      <c r="A53" s="214" t="s">
        <v>1348</v>
      </c>
      <c r="B53" s="64">
        <v>24.35</v>
      </c>
      <c r="C53" s="64">
        <v>57.26</v>
      </c>
      <c r="D53" s="64">
        <v>51.77</v>
      </c>
      <c r="E53" s="64">
        <v>0.37</v>
      </c>
      <c r="F53" s="64">
        <v>11.61</v>
      </c>
      <c r="G53" s="64">
        <v>91.38</v>
      </c>
      <c r="H53" s="64">
        <v>36.49</v>
      </c>
      <c r="I53" s="64">
        <v>1.49</v>
      </c>
      <c r="J53" s="64">
        <v>0.41</v>
      </c>
      <c r="K53" s="64">
        <v>113.23</v>
      </c>
      <c r="L53" s="64">
        <v>23.64</v>
      </c>
      <c r="M53" s="64">
        <v>45.44</v>
      </c>
      <c r="N53" s="64">
        <v>700.2</v>
      </c>
      <c r="O53" s="64">
        <v>0</v>
      </c>
      <c r="P53" s="64">
        <v>0.55000000000000004</v>
      </c>
      <c r="Q53" s="64">
        <v>7.53</v>
      </c>
      <c r="R53" s="198"/>
      <c r="S53" s="198"/>
      <c r="T53" s="198"/>
      <c r="U53" s="198"/>
    </row>
    <row r="54" spans="1:21" s="12" customFormat="1" x14ac:dyDescent="0.25">
      <c r="A54" s="214" t="s">
        <v>1349</v>
      </c>
      <c r="B54" s="64">
        <v>20.96</v>
      </c>
      <c r="C54" s="64">
        <v>56.89</v>
      </c>
      <c r="D54" s="64">
        <v>48.85</v>
      </c>
      <c r="E54" s="64">
        <v>0.37</v>
      </c>
      <c r="F54" s="64">
        <v>6.87</v>
      </c>
      <c r="G54" s="64">
        <v>91.38</v>
      </c>
      <c r="H54" s="64">
        <v>36.49</v>
      </c>
      <c r="I54" s="64">
        <v>1.51</v>
      </c>
      <c r="J54" s="64">
        <v>0.73</v>
      </c>
      <c r="K54" s="64">
        <v>129.22</v>
      </c>
      <c r="L54" s="64">
        <v>23.49</v>
      </c>
      <c r="M54" s="64">
        <v>44.37</v>
      </c>
      <c r="N54" s="64">
        <v>711.2</v>
      </c>
      <c r="O54" s="64">
        <v>0</v>
      </c>
      <c r="P54" s="64">
        <v>0.64</v>
      </c>
      <c r="Q54" s="64">
        <v>7.03</v>
      </c>
      <c r="R54" s="198"/>
      <c r="S54" s="198"/>
      <c r="T54" s="198"/>
      <c r="U54" s="198"/>
    </row>
    <row r="55" spans="1:21" s="12" customFormat="1" x14ac:dyDescent="0.25">
      <c r="A55" s="214" t="s">
        <v>1350</v>
      </c>
      <c r="B55" s="64">
        <v>17.739999999999998</v>
      </c>
      <c r="C55" s="64">
        <v>56.67</v>
      </c>
      <c r="D55" s="64">
        <v>46.15</v>
      </c>
      <c r="E55" s="64">
        <v>0.42</v>
      </c>
      <c r="F55" s="64">
        <v>7.89</v>
      </c>
      <c r="G55" s="64">
        <v>84.88</v>
      </c>
      <c r="H55" s="64">
        <v>33.58</v>
      </c>
      <c r="I55" s="64">
        <v>1.54</v>
      </c>
      <c r="J55" s="64">
        <v>0.53</v>
      </c>
      <c r="K55" s="64">
        <v>131.91999999999999</v>
      </c>
      <c r="L55" s="64">
        <v>23.18</v>
      </c>
      <c r="M55" s="64">
        <v>46.34</v>
      </c>
      <c r="N55" s="64">
        <v>689.5</v>
      </c>
      <c r="O55" s="64">
        <v>0</v>
      </c>
      <c r="P55" s="64">
        <v>0.6</v>
      </c>
      <c r="Q55" s="64">
        <v>6.49</v>
      </c>
      <c r="R55" s="198"/>
      <c r="S55" s="198"/>
      <c r="T55" s="198"/>
      <c r="U55" s="198"/>
    </row>
    <row r="56" spans="1:21" s="12" customFormat="1" x14ac:dyDescent="0.25">
      <c r="A56" s="214" t="s">
        <v>1351</v>
      </c>
      <c r="B56" s="64">
        <v>14.96</v>
      </c>
      <c r="C56" s="64">
        <v>56.08</v>
      </c>
      <c r="D56" s="64">
        <v>43.6</v>
      </c>
      <c r="E56" s="64">
        <v>0.2</v>
      </c>
      <c r="F56" s="64">
        <v>9.0399999999999991</v>
      </c>
      <c r="G56" s="64">
        <v>58.88</v>
      </c>
      <c r="H56" s="64">
        <v>25.68</v>
      </c>
      <c r="I56" s="64">
        <v>1.5</v>
      </c>
      <c r="J56" s="64">
        <v>0.56999999999999995</v>
      </c>
      <c r="K56" s="64">
        <v>132.68</v>
      </c>
      <c r="L56" s="64">
        <v>23.69</v>
      </c>
      <c r="M56" s="64">
        <v>45.05</v>
      </c>
      <c r="N56" s="64">
        <v>686.4</v>
      </c>
      <c r="O56" s="64">
        <v>0</v>
      </c>
      <c r="P56" s="64">
        <v>0.54</v>
      </c>
      <c r="Q56" s="64">
        <v>6.4</v>
      </c>
      <c r="R56" s="198"/>
      <c r="S56" s="198"/>
      <c r="T56" s="198"/>
      <c r="U56" s="198"/>
    </row>
    <row r="57" spans="1:21" s="12" customFormat="1" x14ac:dyDescent="0.25">
      <c r="A57" s="214" t="s">
        <v>1352</v>
      </c>
      <c r="B57" s="64">
        <v>12.48</v>
      </c>
      <c r="C57" s="64">
        <v>55.24</v>
      </c>
      <c r="D57" s="64">
        <v>41.14</v>
      </c>
      <c r="E57" s="64">
        <v>0.36</v>
      </c>
      <c r="F57" s="64">
        <v>7.32</v>
      </c>
      <c r="G57" s="64">
        <v>58.88</v>
      </c>
      <c r="H57" s="64">
        <v>25.68</v>
      </c>
      <c r="I57" s="64">
        <v>1.48</v>
      </c>
      <c r="J57" s="64">
        <v>0.23</v>
      </c>
      <c r="K57" s="64">
        <v>86.97</v>
      </c>
      <c r="L57" s="64">
        <v>23.94</v>
      </c>
      <c r="M57" s="64">
        <v>41.57</v>
      </c>
      <c r="N57" s="64">
        <v>683.6</v>
      </c>
      <c r="O57" s="64">
        <v>0</v>
      </c>
      <c r="P57" s="64">
        <v>0.55000000000000004</v>
      </c>
      <c r="Q57" s="64">
        <v>5.94</v>
      </c>
      <c r="R57" s="198"/>
      <c r="S57" s="198"/>
      <c r="T57" s="198"/>
      <c r="U57" s="198"/>
    </row>
    <row r="58" spans="1:21" s="12" customFormat="1" x14ac:dyDescent="0.25">
      <c r="A58" s="214" t="s">
        <v>1353</v>
      </c>
      <c r="B58" s="64">
        <v>10.31</v>
      </c>
      <c r="C58" s="64">
        <v>54.62</v>
      </c>
      <c r="D58" s="64">
        <v>39.06</v>
      </c>
      <c r="E58" s="64">
        <v>0.36</v>
      </c>
      <c r="F58" s="64">
        <v>6.85</v>
      </c>
      <c r="G58" s="64">
        <v>58.88</v>
      </c>
      <c r="H58" s="64">
        <v>25.68</v>
      </c>
      <c r="I58" s="64">
        <v>1.52</v>
      </c>
      <c r="J58" s="64">
        <v>0.26</v>
      </c>
      <c r="K58" s="64">
        <v>148.47999999999999</v>
      </c>
      <c r="L58" s="64">
        <v>24.64</v>
      </c>
      <c r="M58" s="64">
        <v>38.78</v>
      </c>
      <c r="N58" s="64">
        <v>702.3</v>
      </c>
      <c r="O58" s="64">
        <v>0</v>
      </c>
      <c r="P58" s="64">
        <v>0.55000000000000004</v>
      </c>
      <c r="Q58" s="64">
        <v>5.48</v>
      </c>
      <c r="R58" s="198"/>
      <c r="S58" s="198"/>
      <c r="T58" s="198"/>
      <c r="U58" s="198"/>
    </row>
    <row r="59" spans="1:21" s="12" customFormat="1" x14ac:dyDescent="0.25">
      <c r="A59" s="214" t="s">
        <v>1354</v>
      </c>
      <c r="B59" s="64">
        <v>8.35</v>
      </c>
      <c r="C59" s="64">
        <v>53.98</v>
      </c>
      <c r="D59" s="64">
        <v>37.130000000000003</v>
      </c>
      <c r="E59" s="64">
        <v>0.51</v>
      </c>
      <c r="F59" s="64">
        <v>25.72</v>
      </c>
      <c r="G59" s="64">
        <v>57.86</v>
      </c>
      <c r="H59" s="64">
        <v>26.52</v>
      </c>
      <c r="I59" s="64">
        <v>1.45</v>
      </c>
      <c r="J59" s="64">
        <v>0.92</v>
      </c>
      <c r="K59" s="64">
        <v>341.54</v>
      </c>
      <c r="L59" s="64">
        <v>25.51</v>
      </c>
      <c r="M59" s="64">
        <v>37.04</v>
      </c>
      <c r="N59" s="64">
        <v>594.29999999999995</v>
      </c>
      <c r="O59" s="64">
        <v>0</v>
      </c>
      <c r="P59" s="64">
        <v>0.48</v>
      </c>
      <c r="Q59" s="64">
        <v>4.96</v>
      </c>
      <c r="R59" s="198"/>
      <c r="S59" s="198"/>
      <c r="T59" s="198"/>
      <c r="U59" s="198"/>
    </row>
    <row r="60" spans="1:21" s="12" customFormat="1" x14ac:dyDescent="0.25">
      <c r="A60" s="214" t="s">
        <v>1355</v>
      </c>
      <c r="B60" s="64">
        <v>7.32</v>
      </c>
      <c r="C60" s="64">
        <v>54.55</v>
      </c>
      <c r="D60" s="64">
        <v>36.619999999999997</v>
      </c>
      <c r="E60" s="64">
        <v>0.68</v>
      </c>
      <c r="F60" s="64">
        <v>31.71</v>
      </c>
      <c r="G60" s="64">
        <v>53.79</v>
      </c>
      <c r="H60" s="64">
        <v>30.26</v>
      </c>
      <c r="I60" s="64">
        <v>1.54</v>
      </c>
      <c r="J60" s="64">
        <v>1.01</v>
      </c>
      <c r="K60" s="64">
        <v>339.68</v>
      </c>
      <c r="L60" s="64">
        <v>27.13</v>
      </c>
      <c r="M60" s="64">
        <v>34.67</v>
      </c>
      <c r="N60" s="64">
        <v>498.2</v>
      </c>
      <c r="O60" s="64">
        <v>0</v>
      </c>
      <c r="P60" s="64">
        <v>0.54</v>
      </c>
      <c r="Q60" s="64">
        <v>3.82</v>
      </c>
      <c r="R60" s="198"/>
      <c r="S60" s="198"/>
      <c r="T60" s="198"/>
      <c r="U60" s="198"/>
    </row>
    <row r="61" spans="1:21" s="12" customFormat="1" x14ac:dyDescent="0.25">
      <c r="A61" s="214" t="s">
        <v>1356</v>
      </c>
      <c r="B61" s="64">
        <v>6.75</v>
      </c>
      <c r="C61" s="64">
        <v>54.44</v>
      </c>
      <c r="D61" s="64">
        <v>36.11</v>
      </c>
      <c r="E61" s="64">
        <v>0.49</v>
      </c>
      <c r="F61" s="64">
        <v>15.38</v>
      </c>
      <c r="G61" s="64">
        <v>53.79</v>
      </c>
      <c r="H61" s="64">
        <v>30.26</v>
      </c>
      <c r="I61" s="64">
        <v>1.52</v>
      </c>
      <c r="J61" s="64">
        <v>0.19</v>
      </c>
      <c r="K61" s="64">
        <v>326.55</v>
      </c>
      <c r="L61" s="64">
        <v>26.08</v>
      </c>
      <c r="M61" s="64">
        <v>35.82</v>
      </c>
      <c r="N61" s="64">
        <v>590.20000000000005</v>
      </c>
      <c r="O61" s="64">
        <v>0</v>
      </c>
      <c r="P61" s="64">
        <v>0.54</v>
      </c>
      <c r="Q61" s="64">
        <v>4.08</v>
      </c>
      <c r="R61" s="198"/>
      <c r="S61" s="198"/>
      <c r="T61" s="198"/>
      <c r="U61" s="198"/>
    </row>
    <row r="62" spans="1:21" s="12" customFormat="1" x14ac:dyDescent="0.25">
      <c r="A62" s="214" t="s">
        <v>1357</v>
      </c>
      <c r="B62" s="64">
        <v>5.96</v>
      </c>
      <c r="C62" s="64">
        <v>54.16</v>
      </c>
      <c r="D62" s="64">
        <v>35.31</v>
      </c>
      <c r="E62" s="64">
        <v>0.42</v>
      </c>
      <c r="F62" s="64">
        <v>7.49</v>
      </c>
      <c r="G62" s="64">
        <v>53.79</v>
      </c>
      <c r="H62" s="64">
        <v>30.26</v>
      </c>
      <c r="I62" s="64">
        <v>1.55</v>
      </c>
      <c r="J62" s="64">
        <v>0.1</v>
      </c>
      <c r="K62" s="64">
        <v>324.19</v>
      </c>
      <c r="L62" s="64">
        <v>25.83</v>
      </c>
      <c r="M62" s="64">
        <v>35.979999999999997</v>
      </c>
      <c r="N62" s="64">
        <v>560.1</v>
      </c>
      <c r="O62" s="64">
        <v>0</v>
      </c>
      <c r="P62" s="64">
        <v>0.55000000000000004</v>
      </c>
      <c r="Q62" s="64">
        <v>4.54</v>
      </c>
      <c r="R62" s="198"/>
      <c r="S62" s="198"/>
      <c r="T62" s="198"/>
      <c r="U62" s="198"/>
    </row>
    <row r="63" spans="1:21" s="12" customFormat="1" x14ac:dyDescent="0.25">
      <c r="A63" s="214" t="s">
        <v>1358</v>
      </c>
      <c r="B63" s="64">
        <v>5.0599999999999996</v>
      </c>
      <c r="C63" s="64">
        <v>53.42</v>
      </c>
      <c r="D63" s="64">
        <v>34.19</v>
      </c>
      <c r="E63" s="64">
        <v>0.41</v>
      </c>
      <c r="F63" s="64">
        <v>7.47</v>
      </c>
      <c r="G63" s="64">
        <v>52.9</v>
      </c>
      <c r="H63" s="64">
        <v>28.66</v>
      </c>
      <c r="I63" s="64">
        <v>1.5</v>
      </c>
      <c r="J63" s="64">
        <v>0.16</v>
      </c>
      <c r="K63" s="64">
        <v>9.9</v>
      </c>
      <c r="L63" s="64">
        <v>25.39</v>
      </c>
      <c r="M63" s="64">
        <v>36.53</v>
      </c>
      <c r="N63" s="64">
        <v>438.6</v>
      </c>
      <c r="O63" s="64">
        <v>0</v>
      </c>
      <c r="P63" s="64">
        <v>0.56000000000000005</v>
      </c>
      <c r="Q63" s="64">
        <v>4.93</v>
      </c>
      <c r="R63" s="198"/>
      <c r="S63" s="198"/>
      <c r="T63" s="198"/>
      <c r="U63" s="198"/>
    </row>
    <row r="64" spans="1:21" s="12" customFormat="1" x14ac:dyDescent="0.25">
      <c r="A64" s="214" t="s">
        <v>1359</v>
      </c>
      <c r="B64" s="64">
        <v>4.33</v>
      </c>
      <c r="C64" s="64">
        <v>52.81</v>
      </c>
      <c r="D64" s="64">
        <v>33.270000000000003</v>
      </c>
      <c r="E64" s="64">
        <v>0.4</v>
      </c>
      <c r="F64" s="64">
        <v>14.03</v>
      </c>
      <c r="G64" s="64">
        <v>49.33</v>
      </c>
      <c r="H64" s="64">
        <v>24.3</v>
      </c>
      <c r="I64" s="64">
        <v>1.51</v>
      </c>
      <c r="J64" s="64">
        <v>0.13</v>
      </c>
      <c r="K64" s="64">
        <v>23.51</v>
      </c>
      <c r="L64" s="64">
        <v>25.03</v>
      </c>
      <c r="M64" s="64">
        <v>36.44</v>
      </c>
      <c r="N64" s="64">
        <v>241.9</v>
      </c>
      <c r="O64" s="64">
        <v>0</v>
      </c>
      <c r="P64" s="64">
        <v>0.5</v>
      </c>
      <c r="Q64" s="64">
        <v>5.12</v>
      </c>
      <c r="R64" s="198"/>
      <c r="S64" s="198"/>
      <c r="T64" s="198"/>
      <c r="U64" s="198"/>
    </row>
    <row r="65" spans="1:21" s="12" customFormat="1" x14ac:dyDescent="0.25">
      <c r="A65" s="214" t="s">
        <v>1360</v>
      </c>
      <c r="B65" s="64">
        <v>3.82</v>
      </c>
      <c r="C65" s="64">
        <v>51.7</v>
      </c>
      <c r="D65" s="64">
        <v>32.24</v>
      </c>
      <c r="E65" s="64">
        <v>0.54</v>
      </c>
      <c r="F65" s="64">
        <v>19.98</v>
      </c>
      <c r="G65" s="64">
        <v>49.33</v>
      </c>
      <c r="H65" s="64">
        <v>24.3</v>
      </c>
      <c r="I65" s="64">
        <v>1.52</v>
      </c>
      <c r="J65" s="64">
        <v>0.3</v>
      </c>
      <c r="K65" s="64">
        <v>328.18</v>
      </c>
      <c r="L65" s="64">
        <v>24.55</v>
      </c>
      <c r="M65" s="64">
        <v>37.89</v>
      </c>
      <c r="N65" s="64">
        <v>213.8</v>
      </c>
      <c r="O65" s="64">
        <v>0</v>
      </c>
      <c r="P65" s="64">
        <v>0.48</v>
      </c>
      <c r="Q65" s="64">
        <v>4.97</v>
      </c>
      <c r="R65" s="198"/>
      <c r="S65" s="198"/>
      <c r="T65" s="198"/>
      <c r="U65" s="198"/>
    </row>
    <row r="66" spans="1:21" s="12" customFormat="1" x14ac:dyDescent="0.25">
      <c r="A66" s="214" t="s">
        <v>1361</v>
      </c>
      <c r="B66" s="64">
        <v>3.83</v>
      </c>
      <c r="C66" s="64">
        <v>51.09</v>
      </c>
      <c r="D66" s="64">
        <v>31.91</v>
      </c>
      <c r="E66" s="64">
        <v>0.73</v>
      </c>
      <c r="F66" s="64">
        <v>26.16</v>
      </c>
      <c r="G66" s="64">
        <v>49.33</v>
      </c>
      <c r="H66" s="64">
        <v>24.3</v>
      </c>
      <c r="I66" s="64">
        <v>1.52</v>
      </c>
      <c r="J66" s="64">
        <v>0.41</v>
      </c>
      <c r="K66" s="64">
        <v>339.04</v>
      </c>
      <c r="L66" s="64">
        <v>25.65</v>
      </c>
      <c r="M66" s="64">
        <v>35.6</v>
      </c>
      <c r="N66" s="64">
        <v>186.8</v>
      </c>
      <c r="O66" s="64">
        <v>0</v>
      </c>
      <c r="P66" s="64">
        <v>0.56000000000000005</v>
      </c>
      <c r="Q66" s="64">
        <v>3.54</v>
      </c>
      <c r="R66" s="198"/>
      <c r="S66" s="198"/>
      <c r="T66" s="198"/>
      <c r="U66" s="198"/>
    </row>
    <row r="67" spans="1:21" s="12" customFormat="1" x14ac:dyDescent="0.25">
      <c r="A67" s="214" t="s">
        <v>1362</v>
      </c>
      <c r="B67" s="64">
        <v>4.29</v>
      </c>
      <c r="C67" s="64">
        <v>51.06</v>
      </c>
      <c r="D67" s="64">
        <v>32.26</v>
      </c>
      <c r="E67" s="64">
        <v>0.73</v>
      </c>
      <c r="F67" s="64">
        <v>27.2</v>
      </c>
      <c r="G67" s="64">
        <v>50.52</v>
      </c>
      <c r="H67" s="64">
        <v>25.16</v>
      </c>
      <c r="I67" s="64">
        <v>1.42</v>
      </c>
      <c r="J67" s="64">
        <v>0.54</v>
      </c>
      <c r="K67" s="64">
        <v>335.34</v>
      </c>
      <c r="L67" s="64">
        <v>25.06</v>
      </c>
      <c r="M67" s="64">
        <v>36.880000000000003</v>
      </c>
      <c r="N67" s="64">
        <v>200.3</v>
      </c>
      <c r="O67" s="64">
        <v>0</v>
      </c>
      <c r="P67" s="64">
        <v>0.53</v>
      </c>
      <c r="Q67" s="64">
        <v>2.86</v>
      </c>
      <c r="R67" s="198"/>
      <c r="S67" s="198"/>
      <c r="T67" s="198"/>
      <c r="U67" s="198"/>
    </row>
    <row r="68" spans="1:21" s="12" customFormat="1" x14ac:dyDescent="0.25">
      <c r="A68" s="214" t="s">
        <v>1363</v>
      </c>
      <c r="B68" s="64">
        <v>4.66</v>
      </c>
      <c r="C68" s="64">
        <v>50.9</v>
      </c>
      <c r="D68" s="64">
        <v>32.479999999999997</v>
      </c>
      <c r="E68" s="64">
        <v>0.97</v>
      </c>
      <c r="F68" s="64">
        <v>33.5</v>
      </c>
      <c r="G68" s="64">
        <v>54.96</v>
      </c>
      <c r="H68" s="64">
        <v>27.5</v>
      </c>
      <c r="I68" s="64">
        <v>1.51</v>
      </c>
      <c r="J68" s="64">
        <v>0.54</v>
      </c>
      <c r="K68" s="64">
        <v>336.28</v>
      </c>
      <c r="L68" s="64">
        <v>24.61</v>
      </c>
      <c r="M68" s="64">
        <v>36.68</v>
      </c>
      <c r="N68" s="64">
        <v>160.1</v>
      </c>
      <c r="O68" s="64">
        <v>0</v>
      </c>
      <c r="P68" s="64">
        <v>0.52</v>
      </c>
      <c r="Q68" s="64">
        <v>3.54</v>
      </c>
      <c r="R68" s="198"/>
      <c r="S68" s="198"/>
      <c r="T68" s="198"/>
      <c r="U68" s="198"/>
    </row>
    <row r="69" spans="1:21" s="12" customFormat="1" x14ac:dyDescent="0.25">
      <c r="A69" s="214" t="s">
        <v>1364</v>
      </c>
      <c r="B69" s="64">
        <v>4.99</v>
      </c>
      <c r="C69" s="64">
        <v>51.14</v>
      </c>
      <c r="D69" s="64">
        <v>32.880000000000003</v>
      </c>
      <c r="E69" s="64">
        <v>1</v>
      </c>
      <c r="F69" s="64">
        <v>32.6</v>
      </c>
      <c r="G69" s="64">
        <v>54.96</v>
      </c>
      <c r="H69" s="64">
        <v>27.5</v>
      </c>
      <c r="I69" s="64">
        <v>1.51</v>
      </c>
      <c r="J69" s="64">
        <v>0.73</v>
      </c>
      <c r="K69" s="64">
        <v>347.55</v>
      </c>
      <c r="L69" s="64">
        <v>24.48</v>
      </c>
      <c r="M69" s="64">
        <v>36.65</v>
      </c>
      <c r="N69" s="64">
        <v>140.9</v>
      </c>
      <c r="O69" s="64">
        <v>0</v>
      </c>
      <c r="P69" s="64">
        <v>0.61</v>
      </c>
      <c r="Q69" s="64">
        <v>2.98</v>
      </c>
      <c r="R69" s="198"/>
      <c r="S69" s="198"/>
      <c r="T69" s="198"/>
      <c r="U69" s="198"/>
    </row>
    <row r="70" spans="1:21" s="12" customFormat="1" x14ac:dyDescent="0.25">
      <c r="A70" s="214" t="s">
        <v>1365</v>
      </c>
      <c r="B70" s="64">
        <v>5.44</v>
      </c>
      <c r="C70" s="64">
        <v>51.72</v>
      </c>
      <c r="D70" s="64">
        <v>33.549999999999997</v>
      </c>
      <c r="E70" s="64">
        <v>0.89</v>
      </c>
      <c r="F70" s="64">
        <v>21.42</v>
      </c>
      <c r="G70" s="64">
        <v>54.96</v>
      </c>
      <c r="H70" s="64">
        <v>27.5</v>
      </c>
      <c r="I70" s="64">
        <v>1.48</v>
      </c>
      <c r="J70" s="64">
        <v>0.34</v>
      </c>
      <c r="K70" s="64">
        <v>337.6</v>
      </c>
      <c r="L70" s="64">
        <v>24.17</v>
      </c>
      <c r="M70" s="64">
        <v>37.299999999999997</v>
      </c>
      <c r="N70" s="64">
        <v>128.69999999999999</v>
      </c>
      <c r="O70" s="64">
        <v>0</v>
      </c>
      <c r="P70" s="64">
        <v>0.8</v>
      </c>
      <c r="Q70" s="64">
        <v>1.78</v>
      </c>
      <c r="R70" s="198"/>
      <c r="S70" s="198"/>
      <c r="T70" s="198"/>
      <c r="U70" s="198"/>
    </row>
    <row r="71" spans="1:21" s="12" customFormat="1" x14ac:dyDescent="0.25">
      <c r="A71" s="214" t="s">
        <v>1366</v>
      </c>
      <c r="B71" s="64">
        <v>5.96</v>
      </c>
      <c r="C71" s="64">
        <v>51.92</v>
      </c>
      <c r="D71" s="64">
        <v>34.08</v>
      </c>
      <c r="E71" s="64">
        <v>0.76</v>
      </c>
      <c r="F71" s="64">
        <v>23.46</v>
      </c>
      <c r="G71" s="64">
        <v>55.13</v>
      </c>
      <c r="H71" s="64">
        <v>25.77</v>
      </c>
      <c r="I71" s="64">
        <v>1.42</v>
      </c>
      <c r="J71" s="64">
        <v>0.15</v>
      </c>
      <c r="K71" s="64">
        <v>339.65</v>
      </c>
      <c r="L71" s="64">
        <v>23.45</v>
      </c>
      <c r="M71" s="64">
        <v>38.44</v>
      </c>
      <c r="N71" s="64">
        <v>114.4</v>
      </c>
      <c r="O71" s="64">
        <v>0</v>
      </c>
      <c r="P71" s="64">
        <v>0.52</v>
      </c>
      <c r="Q71" s="64">
        <v>1.93</v>
      </c>
      <c r="R71" s="198"/>
      <c r="S71" s="198"/>
      <c r="T71" s="198"/>
      <c r="U71" s="198"/>
    </row>
    <row r="72" spans="1:21" s="12" customFormat="1" x14ac:dyDescent="0.25">
      <c r="A72" s="214" t="s">
        <v>1367</v>
      </c>
      <c r="B72" s="64">
        <v>6.38</v>
      </c>
      <c r="C72" s="64">
        <v>52.05</v>
      </c>
      <c r="D72" s="64">
        <v>34.49</v>
      </c>
      <c r="E72" s="64">
        <v>0.71</v>
      </c>
      <c r="F72" s="64">
        <v>28.45</v>
      </c>
      <c r="G72" s="64">
        <v>55.78</v>
      </c>
      <c r="H72" s="64">
        <v>21.08</v>
      </c>
      <c r="I72" s="64">
        <v>1.55</v>
      </c>
      <c r="J72" s="64">
        <v>0.63</v>
      </c>
      <c r="K72" s="64">
        <v>338.79</v>
      </c>
      <c r="L72" s="64">
        <v>23.17</v>
      </c>
      <c r="M72" s="64">
        <v>39.76</v>
      </c>
      <c r="N72" s="64">
        <v>92.8</v>
      </c>
      <c r="O72" s="64">
        <v>0</v>
      </c>
      <c r="P72" s="64">
        <v>0.72</v>
      </c>
      <c r="Q72" s="64">
        <v>1.45</v>
      </c>
      <c r="R72" s="198"/>
      <c r="S72" s="198"/>
      <c r="T72" s="198"/>
      <c r="U72" s="198"/>
    </row>
    <row r="73" spans="1:21" s="12" customFormat="1" x14ac:dyDescent="0.25">
      <c r="A73" s="214" t="s">
        <v>1368</v>
      </c>
      <c r="B73" s="64">
        <v>6.87</v>
      </c>
      <c r="C73" s="64">
        <v>52.85</v>
      </c>
      <c r="D73" s="64">
        <v>35.32</v>
      </c>
      <c r="E73" s="64">
        <v>0.96</v>
      </c>
      <c r="F73" s="64">
        <v>18.32</v>
      </c>
      <c r="G73" s="64">
        <v>55.78</v>
      </c>
      <c r="H73" s="64">
        <v>21.08</v>
      </c>
      <c r="I73" s="64">
        <v>1.44</v>
      </c>
      <c r="J73" s="64">
        <v>0.32</v>
      </c>
      <c r="K73" s="64">
        <v>336.25</v>
      </c>
      <c r="L73" s="64">
        <v>22.78</v>
      </c>
      <c r="M73" s="64">
        <v>41.02</v>
      </c>
      <c r="N73" s="64">
        <v>77.7</v>
      </c>
      <c r="O73" s="64">
        <v>0</v>
      </c>
      <c r="P73" s="64">
        <v>0.86</v>
      </c>
      <c r="Q73" s="64">
        <v>0.12</v>
      </c>
      <c r="R73" s="198"/>
      <c r="S73" s="198"/>
      <c r="T73" s="198"/>
      <c r="U73" s="198"/>
    </row>
    <row r="74" spans="1:21" s="12" customFormat="1" x14ac:dyDescent="0.25">
      <c r="A74" s="214" t="s">
        <v>1369</v>
      </c>
      <c r="B74" s="64">
        <v>7.52</v>
      </c>
      <c r="C74" s="64">
        <v>53.65</v>
      </c>
      <c r="D74" s="64">
        <v>36.29</v>
      </c>
      <c r="E74" s="64">
        <v>0.82</v>
      </c>
      <c r="F74" s="64">
        <v>14.8</v>
      </c>
      <c r="G74" s="64">
        <v>55.78</v>
      </c>
      <c r="H74" s="64">
        <v>21.08</v>
      </c>
      <c r="I74" s="64">
        <v>1.5</v>
      </c>
      <c r="J74" s="64">
        <v>0.27</v>
      </c>
      <c r="K74" s="64">
        <v>324.97000000000003</v>
      </c>
      <c r="L74" s="64">
        <v>22.28</v>
      </c>
      <c r="M74" s="64">
        <v>43.7</v>
      </c>
      <c r="N74" s="64">
        <v>67.2</v>
      </c>
      <c r="O74" s="64">
        <v>0</v>
      </c>
      <c r="P74" s="64">
        <v>0.92</v>
      </c>
      <c r="Q74" s="64">
        <v>0.09</v>
      </c>
      <c r="R74" s="198"/>
      <c r="S74" s="198"/>
      <c r="T74" s="198"/>
      <c r="U74" s="198"/>
    </row>
    <row r="75" spans="1:21" s="12" customFormat="1" x14ac:dyDescent="0.25">
      <c r="A75" s="214" t="s">
        <v>1370</v>
      </c>
      <c r="B75" s="64">
        <v>8.4600000000000009</v>
      </c>
      <c r="C75" s="64">
        <v>54.42</v>
      </c>
      <c r="D75" s="64">
        <v>37.46</v>
      </c>
      <c r="E75" s="64">
        <v>0.96</v>
      </c>
      <c r="F75" s="64">
        <v>14.93</v>
      </c>
      <c r="G75" s="64">
        <v>61.22</v>
      </c>
      <c r="H75" s="64">
        <v>22.99</v>
      </c>
      <c r="I75" s="64">
        <v>1.55</v>
      </c>
      <c r="J75" s="64">
        <v>0.61</v>
      </c>
      <c r="K75" s="64">
        <v>350.12</v>
      </c>
      <c r="L75" s="64">
        <v>21.92</v>
      </c>
      <c r="M75" s="64">
        <v>44.44</v>
      </c>
      <c r="N75" s="64">
        <v>58.7</v>
      </c>
      <c r="O75" s="64">
        <v>0</v>
      </c>
      <c r="P75" s="64">
        <v>1.04</v>
      </c>
      <c r="Q75" s="6" t="s">
        <v>42</v>
      </c>
      <c r="R75" s="198"/>
      <c r="S75" s="198"/>
      <c r="T75" s="198"/>
      <c r="U75" s="198"/>
    </row>
    <row r="76" spans="1:21" s="12" customFormat="1" x14ac:dyDescent="0.25">
      <c r="A76" s="214" t="s">
        <v>1371</v>
      </c>
      <c r="B76" s="64">
        <v>9.48</v>
      </c>
      <c r="C76" s="64">
        <v>55.65</v>
      </c>
      <c r="D76" s="64">
        <v>38.96</v>
      </c>
      <c r="E76" s="64">
        <v>0.94</v>
      </c>
      <c r="F76" s="64">
        <v>13.12</v>
      </c>
      <c r="G76" s="64">
        <v>82.99</v>
      </c>
      <c r="H76" s="64">
        <v>32.369999999999997</v>
      </c>
      <c r="I76" s="64">
        <v>1.51</v>
      </c>
      <c r="J76" s="64">
        <v>0.35</v>
      </c>
      <c r="K76" s="64">
        <v>355.07</v>
      </c>
      <c r="L76" s="64">
        <v>21.51</v>
      </c>
      <c r="M76" s="64">
        <v>45.65</v>
      </c>
      <c r="N76" s="64">
        <v>42.7</v>
      </c>
      <c r="O76" s="64">
        <v>0</v>
      </c>
      <c r="P76" s="64">
        <v>1.21</v>
      </c>
      <c r="Q76" s="64">
        <v>0.04</v>
      </c>
      <c r="R76" s="198"/>
      <c r="S76" s="198"/>
      <c r="T76" s="198"/>
      <c r="U76" s="198"/>
    </row>
    <row r="77" spans="1:21" s="12" customFormat="1" x14ac:dyDescent="0.25">
      <c r="A77" s="214" t="s">
        <v>1372</v>
      </c>
      <c r="B77" s="64">
        <v>11.85</v>
      </c>
      <c r="C77" s="64">
        <v>57.14</v>
      </c>
      <c r="D77" s="64">
        <v>41.69</v>
      </c>
      <c r="E77" s="64">
        <v>0.54</v>
      </c>
      <c r="F77" s="64">
        <v>4.63</v>
      </c>
      <c r="G77" s="64">
        <v>82.99</v>
      </c>
      <c r="H77" s="64">
        <v>32.369999999999997</v>
      </c>
      <c r="I77" s="64">
        <v>1.58</v>
      </c>
      <c r="J77" s="64">
        <v>0.05</v>
      </c>
      <c r="K77" s="64">
        <v>50.48</v>
      </c>
      <c r="L77" s="64">
        <v>20.76</v>
      </c>
      <c r="M77" s="64">
        <v>48</v>
      </c>
      <c r="N77" s="64">
        <v>28.7</v>
      </c>
      <c r="O77" s="64">
        <v>0</v>
      </c>
      <c r="P77" s="64">
        <v>0.87</v>
      </c>
      <c r="Q77" s="64">
        <v>1.46</v>
      </c>
      <c r="R77" s="198"/>
      <c r="S77" s="198"/>
      <c r="T77" s="198"/>
      <c r="U77" s="198"/>
    </row>
    <row r="78" spans="1:21" s="12" customFormat="1" x14ac:dyDescent="0.25">
      <c r="A78" s="214" t="s">
        <v>1373</v>
      </c>
      <c r="B78" s="64">
        <v>14.19</v>
      </c>
      <c r="C78" s="64">
        <v>59.53</v>
      </c>
      <c r="D78" s="64">
        <v>44.88</v>
      </c>
      <c r="E78" s="64">
        <v>0.49</v>
      </c>
      <c r="F78" s="64">
        <v>3.97</v>
      </c>
      <c r="G78" s="64">
        <v>82.99</v>
      </c>
      <c r="H78" s="64">
        <v>32.369999999999997</v>
      </c>
      <c r="I78" s="64">
        <v>1.42</v>
      </c>
      <c r="J78" s="64">
        <v>0.03</v>
      </c>
      <c r="K78" s="64">
        <v>33.11</v>
      </c>
      <c r="L78" s="64">
        <v>20.09</v>
      </c>
      <c r="M78" s="64">
        <v>51.21</v>
      </c>
      <c r="N78" s="64">
        <v>24.6</v>
      </c>
      <c r="O78" s="64">
        <v>0</v>
      </c>
      <c r="P78" s="64">
        <v>0.97</v>
      </c>
      <c r="Q78" s="64">
        <v>2.5099999999999998</v>
      </c>
      <c r="R78" s="198"/>
      <c r="S78" s="198"/>
      <c r="T78" s="198"/>
      <c r="U78" s="198"/>
    </row>
    <row r="79" spans="1:21" s="12" customFormat="1" x14ac:dyDescent="0.25">
      <c r="A79" s="214" t="s">
        <v>1374</v>
      </c>
      <c r="B79" s="64">
        <v>16.8</v>
      </c>
      <c r="C79" s="64">
        <v>61.82</v>
      </c>
      <c r="D79" s="64">
        <v>48.24</v>
      </c>
      <c r="E79" s="64">
        <v>0.53</v>
      </c>
      <c r="F79" s="64">
        <v>3.57</v>
      </c>
      <c r="G79" s="64">
        <v>85.01</v>
      </c>
      <c r="H79" s="64">
        <v>30.8</v>
      </c>
      <c r="I79" s="64">
        <v>1.48</v>
      </c>
      <c r="J79" s="64">
        <v>0.06</v>
      </c>
      <c r="K79" s="64">
        <v>24.2</v>
      </c>
      <c r="L79" s="64">
        <v>19.53</v>
      </c>
      <c r="M79" s="64">
        <v>53.96</v>
      </c>
      <c r="N79" s="64">
        <v>23.4</v>
      </c>
      <c r="O79" s="64">
        <v>0</v>
      </c>
      <c r="P79" s="64">
        <v>1.36</v>
      </c>
      <c r="Q79" s="64">
        <v>0.78</v>
      </c>
      <c r="R79" s="198"/>
      <c r="S79" s="198"/>
      <c r="T79" s="198"/>
      <c r="U79" s="198"/>
    </row>
    <row r="80" spans="1:21" s="12" customFormat="1" x14ac:dyDescent="0.25">
      <c r="A80" s="214" t="s">
        <v>1375</v>
      </c>
      <c r="B80" s="64">
        <v>19.600000000000001</v>
      </c>
      <c r="C80" s="64">
        <v>63.38</v>
      </c>
      <c r="D80" s="64">
        <v>51.34</v>
      </c>
      <c r="E80" s="64">
        <v>0.47</v>
      </c>
      <c r="F80" s="64">
        <v>3.42</v>
      </c>
      <c r="G80" s="64">
        <v>93.07</v>
      </c>
      <c r="H80" s="64">
        <v>26.52</v>
      </c>
      <c r="I80" s="64">
        <v>1.48</v>
      </c>
      <c r="J80" s="64">
        <v>0.05</v>
      </c>
      <c r="K80" s="64">
        <v>121.1</v>
      </c>
      <c r="L80" s="64">
        <v>19.100000000000001</v>
      </c>
      <c r="M80" s="64">
        <v>55.95</v>
      </c>
      <c r="N80" s="64">
        <v>23.2</v>
      </c>
      <c r="O80" s="64">
        <v>0</v>
      </c>
      <c r="P80" s="64">
        <v>1.23</v>
      </c>
      <c r="Q80" s="64">
        <v>2.2599999999999998</v>
      </c>
      <c r="R80" s="198"/>
      <c r="S80" s="198"/>
      <c r="T80" s="198"/>
      <c r="U80" s="198"/>
    </row>
    <row r="81" spans="1:26" s="12" customFormat="1" x14ac:dyDescent="0.25">
      <c r="A81" s="214" t="s">
        <v>1376</v>
      </c>
      <c r="B81" s="64">
        <v>21.72</v>
      </c>
      <c r="C81" s="64">
        <v>64.58</v>
      </c>
      <c r="D81" s="64">
        <v>53.71</v>
      </c>
      <c r="E81" s="64">
        <v>0.48</v>
      </c>
      <c r="F81" s="64">
        <v>3.45</v>
      </c>
      <c r="G81" s="64">
        <v>93.07</v>
      </c>
      <c r="H81" s="64">
        <v>26.52</v>
      </c>
      <c r="I81" s="64">
        <v>1.5</v>
      </c>
      <c r="J81" s="64">
        <v>0.06</v>
      </c>
      <c r="K81" s="64">
        <v>122.5</v>
      </c>
      <c r="L81" s="64">
        <v>18.82</v>
      </c>
      <c r="M81" s="64">
        <v>60.11</v>
      </c>
      <c r="N81" s="64">
        <v>23.1</v>
      </c>
      <c r="O81" s="64">
        <v>0</v>
      </c>
      <c r="P81" s="64">
        <v>1.4</v>
      </c>
      <c r="Q81" s="64">
        <v>1.55</v>
      </c>
      <c r="R81" s="198"/>
      <c r="S81" s="198"/>
      <c r="T81" s="198"/>
      <c r="U81" s="198"/>
    </row>
    <row r="82" spans="1:26" s="12" customFormat="1" x14ac:dyDescent="0.25">
      <c r="A82" s="214" t="s">
        <v>1377</v>
      </c>
      <c r="B82" s="64">
        <v>25.74</v>
      </c>
      <c r="C82" s="64">
        <v>65.739999999999995</v>
      </c>
      <c r="D82" s="64">
        <v>57.57</v>
      </c>
      <c r="E82" s="64">
        <v>0.52</v>
      </c>
      <c r="F82" s="64">
        <v>3.9</v>
      </c>
      <c r="G82" s="64">
        <v>93.07</v>
      </c>
      <c r="H82" s="64">
        <v>26.52</v>
      </c>
      <c r="I82" s="64">
        <v>1.55</v>
      </c>
      <c r="J82" s="64">
        <v>0.01</v>
      </c>
      <c r="K82" s="64">
        <v>312.64999999999998</v>
      </c>
      <c r="L82" s="64">
        <v>18.55</v>
      </c>
      <c r="M82" s="64">
        <v>61.03</v>
      </c>
      <c r="N82" s="64">
        <v>23</v>
      </c>
      <c r="O82" s="64">
        <v>0</v>
      </c>
      <c r="P82" s="64">
        <v>1.51</v>
      </c>
      <c r="Q82" s="64">
        <v>1.3</v>
      </c>
      <c r="R82" s="198"/>
      <c r="S82" s="198"/>
      <c r="T82" s="198"/>
      <c r="U82" s="198"/>
    </row>
    <row r="83" spans="1:26" s="12" customFormat="1" x14ac:dyDescent="0.25">
      <c r="A83" s="214" t="s">
        <v>1378</v>
      </c>
      <c r="B83" s="64">
        <v>30.04</v>
      </c>
      <c r="C83" s="64">
        <v>66.7</v>
      </c>
      <c r="D83" s="64">
        <v>61.54</v>
      </c>
      <c r="E83" s="64">
        <v>0.61</v>
      </c>
      <c r="F83" s="64">
        <v>3.94</v>
      </c>
      <c r="G83" s="64">
        <v>116.1</v>
      </c>
      <c r="H83" s="64">
        <v>35.81</v>
      </c>
      <c r="I83" s="64">
        <v>1.44</v>
      </c>
      <c r="J83" s="64">
        <v>0.08</v>
      </c>
      <c r="K83" s="64">
        <v>54.77</v>
      </c>
      <c r="L83" s="64">
        <v>18.510000000000002</v>
      </c>
      <c r="M83" s="64">
        <v>63.88</v>
      </c>
      <c r="N83" s="64">
        <v>22.7</v>
      </c>
      <c r="O83" s="64">
        <v>0</v>
      </c>
      <c r="P83" s="64">
        <v>2.0699999999999998</v>
      </c>
      <c r="Q83" s="64">
        <v>0.81</v>
      </c>
      <c r="R83" s="198"/>
      <c r="S83" s="198"/>
      <c r="T83" s="198"/>
      <c r="U83" s="198"/>
    </row>
    <row r="84" spans="1:26" s="12" customFormat="1" x14ac:dyDescent="0.25">
      <c r="A84" s="214" t="s">
        <v>1379</v>
      </c>
      <c r="B84" s="64">
        <v>33.43</v>
      </c>
      <c r="C84" s="64">
        <v>67.010000000000005</v>
      </c>
      <c r="D84" s="64">
        <v>64.44</v>
      </c>
      <c r="E84" s="64">
        <v>0.56000000000000005</v>
      </c>
      <c r="F84" s="64">
        <v>3.72</v>
      </c>
      <c r="G84" s="64">
        <v>202.17</v>
      </c>
      <c r="H84" s="64">
        <v>61.09</v>
      </c>
      <c r="I84" s="64">
        <v>1.52</v>
      </c>
      <c r="J84" s="64">
        <v>0.03</v>
      </c>
      <c r="K84" s="64">
        <v>215.41</v>
      </c>
      <c r="L84" s="64">
        <v>18.53</v>
      </c>
      <c r="M84" s="64">
        <v>62.84</v>
      </c>
      <c r="N84" s="64">
        <v>22.9</v>
      </c>
      <c r="O84" s="64">
        <v>0</v>
      </c>
      <c r="P84" s="64">
        <v>1.83</v>
      </c>
      <c r="Q84" s="64">
        <v>2.69</v>
      </c>
      <c r="R84" s="198"/>
      <c r="S84" s="198"/>
      <c r="T84" s="198"/>
      <c r="U84" s="198"/>
    </row>
    <row r="85" spans="1:26" s="12" customFormat="1" x14ac:dyDescent="0.25">
      <c r="A85" s="214" t="s">
        <v>1380</v>
      </c>
      <c r="B85" s="64">
        <v>35.86</v>
      </c>
      <c r="C85" s="64">
        <v>67.37</v>
      </c>
      <c r="D85" s="64">
        <v>66.58</v>
      </c>
      <c r="E85" s="64">
        <v>0.54</v>
      </c>
      <c r="F85" s="64">
        <v>3.95</v>
      </c>
      <c r="G85" s="64">
        <v>202.17</v>
      </c>
      <c r="H85" s="64">
        <v>61.09</v>
      </c>
      <c r="I85" s="64">
        <v>1.47</v>
      </c>
      <c r="J85" s="64">
        <v>0.37</v>
      </c>
      <c r="K85" s="64">
        <v>117.29</v>
      </c>
      <c r="L85" s="64">
        <v>18.53</v>
      </c>
      <c r="M85" s="64">
        <v>62.33</v>
      </c>
      <c r="N85" s="64">
        <v>22</v>
      </c>
      <c r="O85" s="64">
        <v>0</v>
      </c>
      <c r="P85" s="64">
        <v>1.52</v>
      </c>
      <c r="Q85" s="64">
        <v>3.18</v>
      </c>
      <c r="R85" s="198"/>
      <c r="S85" s="198"/>
      <c r="T85" s="198"/>
      <c r="U85" s="198"/>
    </row>
    <row r="86" spans="1:26" s="12" customFormat="1" x14ac:dyDescent="0.25">
      <c r="A86" s="214" t="s">
        <v>1381</v>
      </c>
      <c r="B86" s="64">
        <v>36.520000000000003</v>
      </c>
      <c r="C86" s="64">
        <v>67.430000000000007</v>
      </c>
      <c r="D86" s="64">
        <v>67.14</v>
      </c>
      <c r="E86" s="64">
        <v>0.41</v>
      </c>
      <c r="F86" s="64">
        <v>3.83</v>
      </c>
      <c r="G86" s="64">
        <v>202.17</v>
      </c>
      <c r="H86" s="64">
        <v>61.09</v>
      </c>
      <c r="I86" s="64">
        <v>1.42</v>
      </c>
      <c r="J86" s="64">
        <v>0.14000000000000001</v>
      </c>
      <c r="K86" s="64">
        <v>74.98</v>
      </c>
      <c r="L86" s="64">
        <v>18.95</v>
      </c>
      <c r="M86" s="64">
        <v>61.33</v>
      </c>
      <c r="N86" s="64">
        <v>22.7</v>
      </c>
      <c r="O86" s="64">
        <v>0</v>
      </c>
      <c r="P86" s="64">
        <v>1.65</v>
      </c>
      <c r="Q86" s="64">
        <v>5.16</v>
      </c>
      <c r="R86" s="198"/>
      <c r="S86" s="198"/>
      <c r="T86" s="198"/>
      <c r="U86" s="198"/>
    </row>
    <row r="87" spans="1:26" s="12" customFormat="1" x14ac:dyDescent="0.25">
      <c r="A87" s="214" t="s">
        <v>1382</v>
      </c>
      <c r="B87" s="64">
        <v>37.880000000000003</v>
      </c>
      <c r="C87" s="64">
        <v>67.569999999999993</v>
      </c>
      <c r="D87" s="64">
        <v>68.319999999999993</v>
      </c>
      <c r="E87" s="64">
        <v>0.65</v>
      </c>
      <c r="F87" s="64">
        <v>3.67</v>
      </c>
      <c r="G87" s="64">
        <v>195.14</v>
      </c>
      <c r="H87" s="64">
        <v>63.46</v>
      </c>
      <c r="I87" s="64">
        <v>1.44</v>
      </c>
      <c r="J87" s="64">
        <v>0.08</v>
      </c>
      <c r="K87" s="64">
        <v>1.65</v>
      </c>
      <c r="L87" s="64">
        <v>18.32</v>
      </c>
      <c r="M87" s="64">
        <v>64.260000000000005</v>
      </c>
      <c r="N87" s="64">
        <v>23</v>
      </c>
      <c r="O87" s="64">
        <v>0</v>
      </c>
      <c r="P87" s="64">
        <v>2.33</v>
      </c>
      <c r="Q87" s="64">
        <v>2.39</v>
      </c>
      <c r="R87" s="198"/>
      <c r="S87" s="198"/>
      <c r="T87" s="198"/>
      <c r="U87" s="198"/>
    </row>
    <row r="88" spans="1:26" s="12" customFormat="1" x14ac:dyDescent="0.25">
      <c r="A88" s="214" t="s">
        <v>1383</v>
      </c>
      <c r="B88" s="64">
        <v>40.56</v>
      </c>
      <c r="C88" s="64">
        <v>67.97</v>
      </c>
      <c r="D88" s="64">
        <v>70.680000000000007</v>
      </c>
      <c r="E88" s="64">
        <v>0.28000000000000003</v>
      </c>
      <c r="F88" s="64">
        <v>3.5</v>
      </c>
      <c r="G88" s="64">
        <v>168.86</v>
      </c>
      <c r="H88" s="64">
        <v>69.92</v>
      </c>
      <c r="I88" s="64">
        <v>1.52</v>
      </c>
      <c r="J88" s="64">
        <v>0.18</v>
      </c>
      <c r="K88" s="64">
        <v>10.84</v>
      </c>
      <c r="L88" s="64">
        <v>18.32</v>
      </c>
      <c r="M88" s="64">
        <v>63.85</v>
      </c>
      <c r="N88" s="64">
        <v>22.7</v>
      </c>
      <c r="O88" s="64">
        <v>0</v>
      </c>
      <c r="P88" s="64">
        <v>2.2200000000000002</v>
      </c>
      <c r="Q88" s="64">
        <v>2.15</v>
      </c>
      <c r="R88" s="198"/>
      <c r="S88" s="198"/>
      <c r="T88" s="198"/>
      <c r="U88" s="198"/>
    </row>
    <row r="89" spans="1:26" s="12" customFormat="1" x14ac:dyDescent="0.25">
      <c r="A89" s="214" t="s">
        <v>1384</v>
      </c>
      <c r="B89" s="64">
        <v>41.6</v>
      </c>
      <c r="C89" s="64">
        <v>67.77</v>
      </c>
      <c r="D89" s="64">
        <v>71.41</v>
      </c>
      <c r="E89" s="64">
        <v>0.3</v>
      </c>
      <c r="F89" s="64">
        <v>3.84</v>
      </c>
      <c r="G89" s="64">
        <v>168.86</v>
      </c>
      <c r="H89" s="64">
        <v>69.92</v>
      </c>
      <c r="I89" s="64">
        <v>1.56</v>
      </c>
      <c r="J89" s="64">
        <v>0.41</v>
      </c>
      <c r="K89" s="64">
        <v>109.34</v>
      </c>
      <c r="L89" s="64">
        <v>18.600000000000001</v>
      </c>
      <c r="M89" s="64">
        <v>58.03</v>
      </c>
      <c r="N89" s="64">
        <v>22.3</v>
      </c>
      <c r="O89" s="64">
        <v>0</v>
      </c>
      <c r="P89" s="64">
        <v>1.58</v>
      </c>
      <c r="Q89" s="64">
        <v>5.41</v>
      </c>
      <c r="R89" s="198"/>
      <c r="S89" s="198"/>
      <c r="T89" s="198"/>
      <c r="U89" s="198"/>
    </row>
    <row r="90" spans="1:26" s="12" customFormat="1" x14ac:dyDescent="0.25">
      <c r="A90" s="214" t="s">
        <v>1385</v>
      </c>
      <c r="B90" s="64">
        <v>39.24</v>
      </c>
      <c r="C90" s="64">
        <v>66.87</v>
      </c>
      <c r="D90" s="64">
        <v>69.02</v>
      </c>
      <c r="E90" s="64">
        <v>0.3</v>
      </c>
      <c r="F90" s="64">
        <v>5.18</v>
      </c>
      <c r="G90" s="64">
        <v>168.86</v>
      </c>
      <c r="H90" s="64">
        <v>69.92</v>
      </c>
      <c r="I90" s="64">
        <v>1.51</v>
      </c>
      <c r="J90" s="64">
        <v>0.74</v>
      </c>
      <c r="K90" s="64">
        <v>109.85</v>
      </c>
      <c r="L90" s="64">
        <v>19.09</v>
      </c>
      <c r="M90" s="64">
        <v>55</v>
      </c>
      <c r="N90" s="64">
        <v>22</v>
      </c>
      <c r="O90" s="64">
        <v>0</v>
      </c>
      <c r="P90" s="64">
        <v>1.21</v>
      </c>
      <c r="Q90" s="64">
        <v>7.93</v>
      </c>
      <c r="R90" s="198"/>
      <c r="S90" s="198"/>
      <c r="T90" s="198"/>
      <c r="U90" s="198"/>
    </row>
    <row r="91" spans="1:26" s="12" customFormat="1" x14ac:dyDescent="0.25">
      <c r="A91" s="214" t="s">
        <v>1386</v>
      </c>
      <c r="B91" s="64">
        <v>36.58</v>
      </c>
      <c r="C91" s="64">
        <v>65.95</v>
      </c>
      <c r="D91" s="64">
        <v>66.37</v>
      </c>
      <c r="E91" s="64">
        <v>0.28999999999999998</v>
      </c>
      <c r="F91" s="64">
        <v>5.38</v>
      </c>
      <c r="G91" s="64">
        <v>156.29</v>
      </c>
      <c r="H91" s="64">
        <v>67.28</v>
      </c>
      <c r="I91" s="64">
        <v>1.51</v>
      </c>
      <c r="J91" s="64">
        <v>0.16</v>
      </c>
      <c r="K91" s="64">
        <v>30.97</v>
      </c>
      <c r="L91" s="64">
        <v>18.97</v>
      </c>
      <c r="M91" s="64">
        <v>56.92</v>
      </c>
      <c r="N91" s="64">
        <v>23.3</v>
      </c>
      <c r="O91" s="64">
        <v>0</v>
      </c>
      <c r="P91" s="64">
        <v>1.31</v>
      </c>
      <c r="Q91" s="64">
        <v>7.53</v>
      </c>
      <c r="R91" s="198"/>
      <c r="S91" s="198"/>
      <c r="T91" s="198"/>
      <c r="U91" s="198"/>
    </row>
    <row r="92" spans="1:26" s="12" customFormat="1" x14ac:dyDescent="0.25">
      <c r="A92" s="214" t="s">
        <v>1387</v>
      </c>
      <c r="B92" s="64">
        <v>35.5</v>
      </c>
      <c r="C92" s="64">
        <v>65.180000000000007</v>
      </c>
      <c r="D92" s="64">
        <v>65.08</v>
      </c>
      <c r="E92" s="64">
        <v>0.28000000000000003</v>
      </c>
      <c r="F92" s="64">
        <v>5.17</v>
      </c>
      <c r="G92" s="64">
        <v>109.3</v>
      </c>
      <c r="H92" s="64">
        <v>54.36</v>
      </c>
      <c r="I92" s="64">
        <v>1.59</v>
      </c>
      <c r="J92" s="64">
        <v>0.33</v>
      </c>
      <c r="K92" s="64">
        <v>93.52</v>
      </c>
      <c r="L92" s="64">
        <v>18.68</v>
      </c>
      <c r="M92" s="64">
        <v>57.38</v>
      </c>
      <c r="N92" s="64">
        <v>23.1</v>
      </c>
      <c r="O92" s="64">
        <v>0</v>
      </c>
      <c r="P92" s="64">
        <v>1.41</v>
      </c>
      <c r="Q92" s="64">
        <v>3.44</v>
      </c>
      <c r="R92" s="198"/>
      <c r="S92" s="198"/>
      <c r="T92" s="198"/>
      <c r="U92" s="198"/>
    </row>
    <row r="93" spans="1:26" s="12" customFormat="1" x14ac:dyDescent="0.25">
      <c r="A93" s="214" t="s">
        <v>1388</v>
      </c>
      <c r="B93" s="64">
        <v>34.47</v>
      </c>
      <c r="C93" s="64">
        <v>64.31</v>
      </c>
      <c r="D93" s="64">
        <v>63.78</v>
      </c>
      <c r="E93" s="64">
        <v>0.2</v>
      </c>
      <c r="F93" s="64">
        <v>5.91</v>
      </c>
      <c r="G93" s="64">
        <v>109.3</v>
      </c>
      <c r="H93" s="64">
        <v>54.36</v>
      </c>
      <c r="I93" s="64">
        <v>1.6</v>
      </c>
      <c r="J93" s="64">
        <v>0.11</v>
      </c>
      <c r="K93" s="64">
        <v>130.26</v>
      </c>
      <c r="L93" s="64">
        <v>18.489999999999998</v>
      </c>
      <c r="M93" s="64">
        <v>57.74</v>
      </c>
      <c r="N93" s="64">
        <v>23.2</v>
      </c>
      <c r="O93" s="64">
        <v>0</v>
      </c>
      <c r="P93" s="64">
        <v>1.01</v>
      </c>
      <c r="Q93" s="64">
        <v>5.86</v>
      </c>
      <c r="R93" s="198"/>
      <c r="S93" s="198"/>
      <c r="T93" s="198"/>
      <c r="U93" s="198"/>
    </row>
    <row r="94" spans="1:26" s="12" customFormat="1" x14ac:dyDescent="0.25">
      <c r="A94" s="214" t="s">
        <v>1389</v>
      </c>
      <c r="B94" s="64">
        <v>32.979999999999997</v>
      </c>
      <c r="C94" s="64">
        <v>64.010000000000005</v>
      </c>
      <c r="D94" s="64">
        <v>62.42</v>
      </c>
      <c r="E94" s="64">
        <v>0.23</v>
      </c>
      <c r="F94" s="64">
        <v>6.22</v>
      </c>
      <c r="G94" s="64">
        <v>109.3</v>
      </c>
      <c r="H94" s="64">
        <v>54.36</v>
      </c>
      <c r="I94" s="64">
        <v>1.52</v>
      </c>
      <c r="J94" s="64">
        <v>0.1</v>
      </c>
      <c r="K94" s="64">
        <v>145.47999999999999</v>
      </c>
      <c r="L94" s="64">
        <v>18.36</v>
      </c>
      <c r="M94" s="64">
        <v>58.66</v>
      </c>
      <c r="N94" s="64">
        <v>23.1</v>
      </c>
      <c r="O94" s="64">
        <v>0</v>
      </c>
      <c r="P94" s="64">
        <v>0.84</v>
      </c>
      <c r="Q94" s="64">
        <v>7.08</v>
      </c>
      <c r="R94" s="198"/>
      <c r="S94" s="198"/>
      <c r="T94" s="198"/>
      <c r="U94" s="198"/>
    </row>
    <row r="95" spans="1:26" s="12" customFormat="1" x14ac:dyDescent="0.25">
      <c r="A95" s="214" t="s">
        <v>1390</v>
      </c>
      <c r="B95" s="64">
        <v>32.57</v>
      </c>
      <c r="C95" s="64">
        <v>63.54</v>
      </c>
      <c r="D95" s="64">
        <v>61.83</v>
      </c>
      <c r="E95" s="64">
        <v>0.18</v>
      </c>
      <c r="F95" s="64">
        <v>4.3499999999999996</v>
      </c>
      <c r="G95" s="64">
        <v>108.21</v>
      </c>
      <c r="H95" s="64">
        <v>50.8</v>
      </c>
      <c r="I95" s="64">
        <v>1.51</v>
      </c>
      <c r="J95" s="64">
        <v>0.13</v>
      </c>
      <c r="K95" s="64">
        <v>284.37</v>
      </c>
      <c r="L95" s="64">
        <v>17.66</v>
      </c>
      <c r="M95" s="64">
        <v>64.34</v>
      </c>
      <c r="N95" s="64">
        <v>23.6</v>
      </c>
      <c r="O95" s="64">
        <v>0</v>
      </c>
      <c r="P95" s="64">
        <v>1.08</v>
      </c>
      <c r="Q95" s="64">
        <v>4.88</v>
      </c>
      <c r="R95" s="198"/>
      <c r="S95" s="198"/>
      <c r="T95" s="198"/>
      <c r="U95" s="198"/>
    </row>
    <row r="96" spans="1:26" s="12" customFormat="1" x14ac:dyDescent="0.25">
      <c r="A96" s="214" t="s">
        <v>1391</v>
      </c>
      <c r="B96" s="64">
        <v>33.69</v>
      </c>
      <c r="C96" s="64">
        <v>63.71</v>
      </c>
      <c r="D96" s="64">
        <v>62.82</v>
      </c>
      <c r="E96" s="64">
        <v>0.26</v>
      </c>
      <c r="F96" s="64">
        <v>3.46</v>
      </c>
      <c r="G96" s="64">
        <v>104.16</v>
      </c>
      <c r="H96" s="64">
        <v>41.1</v>
      </c>
      <c r="I96" s="64">
        <v>1.56</v>
      </c>
      <c r="J96" s="64">
        <v>0.4</v>
      </c>
      <c r="K96" s="64">
        <v>104.35</v>
      </c>
      <c r="L96" s="64">
        <v>17.59</v>
      </c>
      <c r="M96" s="64">
        <v>66.3</v>
      </c>
      <c r="N96" s="64">
        <v>22.8</v>
      </c>
      <c r="O96" s="64">
        <v>0</v>
      </c>
      <c r="P96" s="64">
        <v>1.38</v>
      </c>
      <c r="Q96" s="64">
        <v>1.06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1392</v>
      </c>
      <c r="B97" s="64">
        <v>34.9</v>
      </c>
      <c r="C97" s="64">
        <v>63.29</v>
      </c>
      <c r="D97" s="64">
        <v>63.56</v>
      </c>
      <c r="E97" s="64">
        <v>0.31</v>
      </c>
      <c r="F97" s="64">
        <v>5.98</v>
      </c>
      <c r="G97" s="64">
        <v>104.16</v>
      </c>
      <c r="H97" s="64">
        <v>41.1</v>
      </c>
      <c r="I97" s="64">
        <v>1.46</v>
      </c>
      <c r="J97" s="64">
        <v>0.84</v>
      </c>
      <c r="K97" s="64">
        <v>112.65</v>
      </c>
      <c r="L97" s="64">
        <v>18.59</v>
      </c>
      <c r="M97" s="64">
        <v>57.13</v>
      </c>
      <c r="N97" s="64">
        <v>22.1</v>
      </c>
      <c r="O97" s="64">
        <v>0</v>
      </c>
      <c r="P97" s="64">
        <v>0.8</v>
      </c>
      <c r="Q97" s="64">
        <v>5.37</v>
      </c>
      <c r="R97" s="198"/>
      <c r="S97" s="198"/>
      <c r="T97" s="198"/>
      <c r="U97" s="198"/>
    </row>
    <row r="98" spans="1:33" s="12" customFormat="1" x14ac:dyDescent="0.25">
      <c r="A98" s="214" t="s">
        <v>1393</v>
      </c>
      <c r="B98" s="64">
        <v>33.799999999999997</v>
      </c>
      <c r="C98" s="64">
        <v>62.5</v>
      </c>
      <c r="D98" s="64">
        <v>62.25</v>
      </c>
      <c r="E98" s="64">
        <v>0.28000000000000003</v>
      </c>
      <c r="F98" s="64">
        <v>7.28</v>
      </c>
      <c r="G98" s="64">
        <v>104.16</v>
      </c>
      <c r="H98" s="64">
        <v>41.1</v>
      </c>
      <c r="I98" s="64">
        <v>1.44</v>
      </c>
      <c r="J98" s="64">
        <v>0.22</v>
      </c>
      <c r="K98" s="64">
        <v>165.33</v>
      </c>
      <c r="L98" s="64">
        <v>18.350000000000001</v>
      </c>
      <c r="M98" s="64">
        <v>58.27</v>
      </c>
      <c r="N98" s="64">
        <v>23.3</v>
      </c>
      <c r="O98" s="64">
        <v>0</v>
      </c>
      <c r="P98" s="64">
        <v>0.7</v>
      </c>
      <c r="Q98" s="64">
        <v>7.59</v>
      </c>
      <c r="R98" s="198"/>
      <c r="S98" s="198"/>
      <c r="T98" s="198"/>
      <c r="U98" s="198"/>
    </row>
    <row r="99" spans="1:33" s="12" customFormat="1" x14ac:dyDescent="0.25">
      <c r="A99" s="214" t="s">
        <v>1394</v>
      </c>
      <c r="B99" s="64">
        <v>32.24</v>
      </c>
      <c r="C99" s="64">
        <v>62.01</v>
      </c>
      <c r="D99" s="64">
        <v>60.72</v>
      </c>
      <c r="E99" s="64">
        <v>0.23</v>
      </c>
      <c r="F99" s="64">
        <v>7.67</v>
      </c>
      <c r="G99" s="64">
        <v>106.04</v>
      </c>
      <c r="H99" s="64">
        <v>43.37</v>
      </c>
      <c r="I99" s="64">
        <v>1.52</v>
      </c>
      <c r="J99" s="64">
        <v>0.38</v>
      </c>
      <c r="K99" s="64">
        <v>145.07</v>
      </c>
      <c r="L99" s="64">
        <v>18.32</v>
      </c>
      <c r="M99" s="64">
        <v>57.52</v>
      </c>
      <c r="N99" s="64">
        <v>23</v>
      </c>
      <c r="O99" s="64">
        <v>0</v>
      </c>
      <c r="P99" s="64">
        <v>0.57999999999999996</v>
      </c>
      <c r="Q99" s="64">
        <v>8.19</v>
      </c>
      <c r="R99" s="198"/>
      <c r="S99" s="198"/>
      <c r="T99" s="198"/>
      <c r="U99" s="198"/>
    </row>
    <row r="100" spans="1:33" s="12" customFormat="1" x14ac:dyDescent="0.25">
      <c r="A100" s="214" t="s">
        <v>1395</v>
      </c>
      <c r="B100" s="64">
        <v>30.3</v>
      </c>
      <c r="C100" s="64">
        <v>61.56</v>
      </c>
      <c r="D100" s="64">
        <v>58.92</v>
      </c>
      <c r="E100" s="64">
        <v>0.23</v>
      </c>
      <c r="F100" s="64">
        <v>10.02</v>
      </c>
      <c r="G100" s="64">
        <v>113.04</v>
      </c>
      <c r="H100" s="64">
        <v>49.53</v>
      </c>
      <c r="I100" s="64">
        <v>1.57</v>
      </c>
      <c r="J100" s="64">
        <v>0.13</v>
      </c>
      <c r="K100" s="64">
        <v>157.34</v>
      </c>
      <c r="L100" s="64">
        <v>18.07</v>
      </c>
      <c r="M100" s="64">
        <v>59.21</v>
      </c>
      <c r="N100" s="64">
        <v>23.5</v>
      </c>
      <c r="O100" s="64">
        <v>0</v>
      </c>
      <c r="P100" s="64">
        <v>0.51</v>
      </c>
      <c r="Q100" s="64">
        <v>8.81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1396</v>
      </c>
      <c r="B101" s="64">
        <v>28.79</v>
      </c>
      <c r="C101" s="64">
        <v>60.96</v>
      </c>
      <c r="D101" s="64">
        <v>57.38</v>
      </c>
      <c r="E101" s="64">
        <v>0.23</v>
      </c>
      <c r="F101" s="64">
        <v>8.1999999999999993</v>
      </c>
      <c r="G101" s="64">
        <v>113.04</v>
      </c>
      <c r="H101" s="64">
        <v>49.53</v>
      </c>
      <c r="I101" s="64">
        <v>1.5</v>
      </c>
      <c r="J101" s="64">
        <v>0.12</v>
      </c>
      <c r="K101" s="64">
        <v>8.49</v>
      </c>
      <c r="L101" s="64">
        <v>17.420000000000002</v>
      </c>
      <c r="M101" s="64">
        <v>66.83</v>
      </c>
      <c r="N101" s="64">
        <v>24</v>
      </c>
      <c r="O101" s="64">
        <v>0</v>
      </c>
      <c r="P101" s="64">
        <v>0.67</v>
      </c>
      <c r="Q101" s="64">
        <v>6.95</v>
      </c>
      <c r="R101" s="198"/>
      <c r="S101" s="198"/>
      <c r="T101" s="198"/>
      <c r="U101" s="198"/>
    </row>
    <row r="102" spans="1:33" s="12" customFormat="1" x14ac:dyDescent="0.25">
      <c r="A102" s="214" t="s">
        <v>1397</v>
      </c>
      <c r="B102" s="64">
        <v>27.76</v>
      </c>
      <c r="C102" s="64">
        <v>60.34</v>
      </c>
      <c r="D102" s="64">
        <v>56.21</v>
      </c>
      <c r="E102" s="64">
        <v>0.15</v>
      </c>
      <c r="F102" s="64">
        <v>6.07</v>
      </c>
      <c r="G102" s="64">
        <v>113.04</v>
      </c>
      <c r="H102" s="64">
        <v>49.53</v>
      </c>
      <c r="I102" s="64">
        <v>1.53</v>
      </c>
      <c r="J102" s="64">
        <v>0.08</v>
      </c>
      <c r="K102" s="64">
        <v>177.27</v>
      </c>
      <c r="L102" s="64">
        <v>16.989999999999998</v>
      </c>
      <c r="M102" s="64">
        <v>67.94</v>
      </c>
      <c r="N102" s="64">
        <v>23.6</v>
      </c>
      <c r="O102" s="64">
        <v>0</v>
      </c>
      <c r="P102" s="64">
        <v>0.59</v>
      </c>
      <c r="Q102" s="64">
        <v>7.01</v>
      </c>
      <c r="R102" s="198"/>
      <c r="S102" s="198"/>
      <c r="T102" s="198"/>
      <c r="U102" s="198"/>
    </row>
    <row r="103" spans="1:33" s="12" customFormat="1" x14ac:dyDescent="0.25">
      <c r="A103" s="214" t="s">
        <v>1398</v>
      </c>
      <c r="B103" s="64">
        <v>26.65</v>
      </c>
      <c r="C103" s="64">
        <v>60.09</v>
      </c>
      <c r="D103" s="64">
        <v>55.18</v>
      </c>
      <c r="E103" s="64">
        <v>0.12</v>
      </c>
      <c r="F103" s="64">
        <v>5.18</v>
      </c>
      <c r="G103" s="64">
        <v>108.86</v>
      </c>
      <c r="H103" s="64">
        <v>47.05</v>
      </c>
      <c r="I103" s="64">
        <v>1.5</v>
      </c>
      <c r="J103" s="64">
        <v>0.03</v>
      </c>
      <c r="K103" s="64">
        <v>116.2</v>
      </c>
      <c r="L103" s="64">
        <v>16.77</v>
      </c>
      <c r="M103" s="64">
        <v>69.38</v>
      </c>
      <c r="N103" s="64">
        <v>23.4</v>
      </c>
      <c r="O103" s="64">
        <v>0</v>
      </c>
      <c r="P103" s="64">
        <v>0.55000000000000004</v>
      </c>
      <c r="Q103" s="64">
        <v>7.05</v>
      </c>
      <c r="R103" s="198"/>
      <c r="S103" s="198"/>
      <c r="T103" s="198"/>
      <c r="U103" s="198"/>
    </row>
    <row r="104" spans="1:33" s="12" customFormat="1" x14ac:dyDescent="0.25">
      <c r="A104" s="214" t="s">
        <v>1399</v>
      </c>
      <c r="B104" s="64">
        <v>25.48</v>
      </c>
      <c r="C104" s="64">
        <v>59.78</v>
      </c>
      <c r="D104" s="64">
        <v>54.07</v>
      </c>
      <c r="E104" s="64">
        <v>0.31</v>
      </c>
      <c r="F104" s="64">
        <v>6.86</v>
      </c>
      <c r="G104" s="64">
        <v>93.23</v>
      </c>
      <c r="H104" s="64">
        <v>40.29</v>
      </c>
      <c r="I104" s="64">
        <v>1.53</v>
      </c>
      <c r="J104" s="64">
        <v>0.1</v>
      </c>
      <c r="K104" s="64">
        <v>189.08</v>
      </c>
      <c r="L104" s="64">
        <v>16.48</v>
      </c>
      <c r="M104" s="64">
        <v>71.010000000000005</v>
      </c>
      <c r="N104" s="64">
        <v>23.5</v>
      </c>
      <c r="O104" s="64">
        <v>0</v>
      </c>
      <c r="P104" s="64">
        <v>0.5</v>
      </c>
      <c r="Q104" s="64">
        <v>7.52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3.82</v>
      </c>
      <c r="C106" s="67">
        <f>MIN(C9:C104)</f>
        <v>47.24</v>
      </c>
      <c r="D106" s="67">
        <f t="shared" ref="D106:Q106" si="0">MIN(D9:D104)</f>
        <v>31.91</v>
      </c>
      <c r="E106" s="67">
        <f t="shared" si="0"/>
        <v>0.12</v>
      </c>
      <c r="F106" s="67">
        <f t="shared" si="0"/>
        <v>3.11</v>
      </c>
      <c r="G106" s="67">
        <f t="shared" si="0"/>
        <v>49.33</v>
      </c>
      <c r="H106" s="67">
        <f t="shared" si="0"/>
        <v>21.08</v>
      </c>
      <c r="I106" s="67">
        <f t="shared" si="0"/>
        <v>1.4</v>
      </c>
      <c r="J106" s="67">
        <f t="shared" si="0"/>
        <v>0</v>
      </c>
      <c r="K106" s="67">
        <f t="shared" si="0"/>
        <v>1.65</v>
      </c>
      <c r="L106" s="67">
        <f t="shared" si="0"/>
        <v>12.87</v>
      </c>
      <c r="M106" s="67">
        <f t="shared" si="0"/>
        <v>34.67</v>
      </c>
      <c r="N106" s="67">
        <f t="shared" si="0"/>
        <v>21.6</v>
      </c>
      <c r="O106" s="67">
        <f t="shared" si="0"/>
        <v>0</v>
      </c>
      <c r="P106" s="67">
        <f t="shared" si="0"/>
        <v>0.38</v>
      </c>
      <c r="Q106" s="67">
        <f t="shared" si="0"/>
        <v>0.04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58.01</v>
      </c>
      <c r="C107" s="66">
        <f t="shared" ref="C107:Q107" si="1">MAX(C9:C104)</f>
        <v>67.97</v>
      </c>
      <c r="D107" s="66">
        <f t="shared" si="1"/>
        <v>76.290000000000006</v>
      </c>
      <c r="E107" s="66">
        <f t="shared" si="1"/>
        <v>1</v>
      </c>
      <c r="F107" s="66">
        <f t="shared" si="1"/>
        <v>33.5</v>
      </c>
      <c r="G107" s="66">
        <f t="shared" si="1"/>
        <v>202.17</v>
      </c>
      <c r="H107" s="66">
        <f t="shared" si="1"/>
        <v>188.85</v>
      </c>
      <c r="I107" s="66">
        <f t="shared" si="1"/>
        <v>1.6</v>
      </c>
      <c r="J107" s="66">
        <f t="shared" si="1"/>
        <v>1.01</v>
      </c>
      <c r="K107" s="66">
        <f t="shared" si="1"/>
        <v>355.07</v>
      </c>
      <c r="L107" s="66">
        <f t="shared" si="1"/>
        <v>27.13</v>
      </c>
      <c r="M107" s="66">
        <f t="shared" si="1"/>
        <v>98.2</v>
      </c>
      <c r="N107" s="66">
        <f t="shared" si="1"/>
        <v>711.2</v>
      </c>
      <c r="O107" s="66">
        <f t="shared" si="1"/>
        <v>0</v>
      </c>
      <c r="P107" s="66">
        <f t="shared" si="1"/>
        <v>2.33</v>
      </c>
      <c r="Q107" s="66">
        <f t="shared" si="1"/>
        <v>11.85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28.10083333333333</v>
      </c>
      <c r="C108" s="67">
        <f t="shared" ref="C108:Q108" si="2">AVERAGE(C9:C104)</f>
        <v>56.11177083333336</v>
      </c>
      <c r="D108" s="67">
        <f t="shared" si="2"/>
        <v>54.147916666666674</v>
      </c>
      <c r="E108" s="67">
        <f t="shared" si="2"/>
        <v>0.47354166666666653</v>
      </c>
      <c r="F108" s="67">
        <f t="shared" si="2"/>
        <v>8.2864583333333357</v>
      </c>
      <c r="G108" s="67">
        <f t="shared" si="2"/>
        <v>109.47666666666663</v>
      </c>
      <c r="H108" s="67">
        <f t="shared" si="2"/>
        <v>51.171249999999993</v>
      </c>
      <c r="I108" s="67">
        <f t="shared" si="2"/>
        <v>1.5039583333333335</v>
      </c>
      <c r="J108" s="67">
        <f t="shared" si="2"/>
        <v>0.2364583333333333</v>
      </c>
      <c r="K108" s="67">
        <f t="shared" si="2"/>
        <v>173.6725000000001</v>
      </c>
      <c r="L108" s="67">
        <f t="shared" si="2"/>
        <v>18.801562499999992</v>
      </c>
      <c r="M108" s="67">
        <f t="shared" si="2"/>
        <v>65.404166666666683</v>
      </c>
      <c r="N108" s="67">
        <f t="shared" si="2"/>
        <v>172.66770833333337</v>
      </c>
      <c r="O108" s="67">
        <f t="shared" si="2"/>
        <v>0</v>
      </c>
      <c r="P108" s="67">
        <f t="shared" si="2"/>
        <v>0.88072916666666645</v>
      </c>
      <c r="Q108" s="67">
        <f t="shared" si="2"/>
        <v>5.2015789473684206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14.954160953546058</v>
      </c>
      <c r="C109" s="67">
        <f t="shared" ref="C109:Q109" si="3">STDEV(C9:C104)</f>
        <v>5.9948604293994894</v>
      </c>
      <c r="D109" s="67">
        <f t="shared" si="3"/>
        <v>12.698536502221266</v>
      </c>
      <c r="E109" s="67">
        <f t="shared" si="3"/>
        <v>0.19357021936383073</v>
      </c>
      <c r="F109" s="67">
        <f t="shared" si="3"/>
        <v>7.3345747882587853</v>
      </c>
      <c r="G109" s="67">
        <f t="shared" si="3"/>
        <v>39.616386473187966</v>
      </c>
      <c r="H109" s="67">
        <f t="shared" si="3"/>
        <v>29.635950545525652</v>
      </c>
      <c r="I109" s="67">
        <f t="shared" si="3"/>
        <v>4.4092705367970678E-2</v>
      </c>
      <c r="J109" s="67">
        <f t="shared" si="3"/>
        <v>0.22480859304922468</v>
      </c>
      <c r="K109" s="67">
        <f t="shared" si="3"/>
        <v>115.57594228813115</v>
      </c>
      <c r="L109" s="67">
        <f t="shared" si="3"/>
        <v>4.2161609696937488</v>
      </c>
      <c r="M109" s="67">
        <f t="shared" si="3"/>
        <v>21.414621648557596</v>
      </c>
      <c r="N109" s="67">
        <f t="shared" si="3"/>
        <v>234.13287477741159</v>
      </c>
      <c r="O109" s="67">
        <f t="shared" si="3"/>
        <v>0</v>
      </c>
      <c r="P109" s="67">
        <f t="shared" si="3"/>
        <v>0.40723262404640392</v>
      </c>
      <c r="Q109" s="67">
        <f t="shared" si="3"/>
        <v>2.9039017463997596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1400</v>
      </c>
      <c r="B9" s="64">
        <v>23.99</v>
      </c>
      <c r="C9" s="64">
        <v>58.38</v>
      </c>
      <c r="D9" s="64">
        <v>52.1</v>
      </c>
      <c r="E9" s="64">
        <v>0.38</v>
      </c>
      <c r="F9" s="64">
        <v>5.65</v>
      </c>
      <c r="G9" s="64">
        <v>93.23</v>
      </c>
      <c r="H9" s="64">
        <v>40.29</v>
      </c>
      <c r="I9" s="64">
        <v>1.55</v>
      </c>
      <c r="J9" s="64">
        <v>0.09</v>
      </c>
      <c r="K9" s="64">
        <v>154.65</v>
      </c>
      <c r="L9" s="64">
        <v>16.100000000000001</v>
      </c>
      <c r="M9" s="64">
        <v>74.900000000000006</v>
      </c>
      <c r="N9" s="64">
        <v>23.5</v>
      </c>
      <c r="O9" s="64">
        <v>0</v>
      </c>
      <c r="P9" s="64">
        <v>0.57999999999999996</v>
      </c>
      <c r="Q9" s="64">
        <v>7.67</v>
      </c>
      <c r="R9" s="198"/>
      <c r="S9" s="198"/>
      <c r="T9" s="198"/>
      <c r="U9" s="198"/>
    </row>
    <row r="10" spans="1:21" s="12" customFormat="1" x14ac:dyDescent="0.25">
      <c r="A10" s="214" t="s">
        <v>1401</v>
      </c>
      <c r="B10" s="64">
        <v>22.52</v>
      </c>
      <c r="C10" s="64">
        <v>57.6</v>
      </c>
      <c r="D10" s="64">
        <v>50.49</v>
      </c>
      <c r="E10" s="64">
        <v>0.45</v>
      </c>
      <c r="F10" s="64">
        <v>5.76</v>
      </c>
      <c r="G10" s="64">
        <v>93.23</v>
      </c>
      <c r="H10" s="64">
        <v>40.29</v>
      </c>
      <c r="I10" s="64">
        <v>1.48</v>
      </c>
      <c r="J10" s="64">
        <v>0.08</v>
      </c>
      <c r="K10" s="64">
        <v>322.81</v>
      </c>
      <c r="L10" s="64">
        <v>15.76</v>
      </c>
      <c r="M10" s="64">
        <v>77.180000000000007</v>
      </c>
      <c r="N10" s="64">
        <v>23.5</v>
      </c>
      <c r="O10" s="64">
        <v>0</v>
      </c>
      <c r="P10" s="64">
        <v>0.55000000000000004</v>
      </c>
      <c r="Q10" s="64">
        <v>7.39</v>
      </c>
      <c r="R10" s="198"/>
      <c r="S10" s="198"/>
      <c r="T10" s="198"/>
      <c r="U10" s="198"/>
    </row>
    <row r="11" spans="1:21" s="12" customFormat="1" x14ac:dyDescent="0.25">
      <c r="A11" s="214" t="s">
        <v>1402</v>
      </c>
      <c r="B11" s="64">
        <v>21.67</v>
      </c>
      <c r="C11" s="64">
        <v>56.94</v>
      </c>
      <c r="D11" s="64">
        <v>49.45</v>
      </c>
      <c r="E11" s="64">
        <v>0.44</v>
      </c>
      <c r="F11" s="64">
        <v>4.72</v>
      </c>
      <c r="G11" s="64">
        <v>89.12</v>
      </c>
      <c r="H11" s="64">
        <v>40.32</v>
      </c>
      <c r="I11" s="64">
        <v>1.48</v>
      </c>
      <c r="J11" s="64">
        <v>0.02</v>
      </c>
      <c r="K11" s="64">
        <v>330.51</v>
      </c>
      <c r="L11" s="64">
        <v>15.26</v>
      </c>
      <c r="M11" s="64">
        <v>82.29</v>
      </c>
      <c r="N11" s="64">
        <v>23.6</v>
      </c>
      <c r="O11" s="64">
        <v>0</v>
      </c>
      <c r="P11" s="64">
        <v>0.55000000000000004</v>
      </c>
      <c r="Q11" s="64">
        <v>6.21</v>
      </c>
      <c r="R11" s="198"/>
      <c r="S11" s="198"/>
      <c r="T11" s="198"/>
      <c r="U11" s="198"/>
    </row>
    <row r="12" spans="1:21" s="12" customFormat="1" x14ac:dyDescent="0.25">
      <c r="A12" s="214" t="s">
        <v>1403</v>
      </c>
      <c r="B12" s="64">
        <v>21.13</v>
      </c>
      <c r="C12" s="64">
        <v>56.11</v>
      </c>
      <c r="D12" s="64">
        <v>48.56</v>
      </c>
      <c r="E12" s="64">
        <v>0.4</v>
      </c>
      <c r="F12" s="64">
        <v>4.54</v>
      </c>
      <c r="G12" s="64">
        <v>73.760000000000005</v>
      </c>
      <c r="H12" s="64">
        <v>40.479999999999997</v>
      </c>
      <c r="I12" s="64">
        <v>1.49</v>
      </c>
      <c r="J12" s="64">
        <v>0.05</v>
      </c>
      <c r="K12" s="64">
        <v>40.450000000000003</v>
      </c>
      <c r="L12" s="64">
        <v>15.03</v>
      </c>
      <c r="M12" s="64">
        <v>82.84</v>
      </c>
      <c r="N12" s="64">
        <v>23.4</v>
      </c>
      <c r="O12" s="64">
        <v>0</v>
      </c>
      <c r="P12" s="64">
        <v>0.56000000000000005</v>
      </c>
      <c r="Q12" s="64">
        <v>6.12</v>
      </c>
      <c r="R12" s="198"/>
      <c r="S12" s="198"/>
      <c r="T12" s="198"/>
      <c r="U12" s="198"/>
    </row>
    <row r="13" spans="1:21" s="12" customFormat="1" x14ac:dyDescent="0.25">
      <c r="A13" s="214" t="s">
        <v>1404</v>
      </c>
      <c r="B13" s="64">
        <v>20.16</v>
      </c>
      <c r="C13" s="64">
        <v>55.25</v>
      </c>
      <c r="D13" s="64">
        <v>47.3</v>
      </c>
      <c r="E13" s="64">
        <v>0.37</v>
      </c>
      <c r="F13" s="64">
        <v>5.87</v>
      </c>
      <c r="G13" s="64">
        <v>73.760000000000005</v>
      </c>
      <c r="H13" s="64">
        <v>40.479999999999997</v>
      </c>
      <c r="I13" s="64">
        <v>1.51</v>
      </c>
      <c r="J13" s="64">
        <v>7.0000000000000007E-2</v>
      </c>
      <c r="K13" s="64">
        <v>258.16000000000003</v>
      </c>
      <c r="L13" s="64">
        <v>14.96</v>
      </c>
      <c r="M13" s="64">
        <v>83.38</v>
      </c>
      <c r="N13" s="64">
        <v>23.2</v>
      </c>
      <c r="O13" s="64">
        <v>0</v>
      </c>
      <c r="P13" s="64">
        <v>0.5</v>
      </c>
      <c r="Q13" s="64">
        <v>6.7</v>
      </c>
      <c r="R13" s="198"/>
      <c r="S13" s="198"/>
      <c r="T13" s="198"/>
      <c r="U13" s="198"/>
    </row>
    <row r="14" spans="1:21" s="12" customFormat="1" x14ac:dyDescent="0.25">
      <c r="A14" s="214" t="s">
        <v>1405</v>
      </c>
      <c r="B14" s="64">
        <v>18.989999999999998</v>
      </c>
      <c r="C14" s="64">
        <v>54.46</v>
      </c>
      <c r="D14" s="64">
        <v>45.93</v>
      </c>
      <c r="E14" s="64">
        <v>0.43</v>
      </c>
      <c r="F14" s="64">
        <v>6.03</v>
      </c>
      <c r="G14" s="64">
        <v>73.760000000000005</v>
      </c>
      <c r="H14" s="64">
        <v>40.479999999999997</v>
      </c>
      <c r="I14" s="64">
        <v>1.51</v>
      </c>
      <c r="J14" s="64">
        <v>0.11</v>
      </c>
      <c r="K14" s="64">
        <v>317.32</v>
      </c>
      <c r="L14" s="64">
        <v>14.53</v>
      </c>
      <c r="M14" s="64">
        <v>87.43</v>
      </c>
      <c r="N14" s="64">
        <v>23.4</v>
      </c>
      <c r="O14" s="64">
        <v>0</v>
      </c>
      <c r="P14" s="64">
        <v>0.56000000000000005</v>
      </c>
      <c r="Q14" s="64">
        <v>6.73</v>
      </c>
      <c r="R14" s="198"/>
      <c r="S14" s="198"/>
      <c r="T14" s="198"/>
      <c r="U14" s="198"/>
    </row>
    <row r="15" spans="1:21" s="12" customFormat="1" x14ac:dyDescent="0.25">
      <c r="A15" s="214" t="s">
        <v>1406</v>
      </c>
      <c r="B15" s="64">
        <v>18.059999999999999</v>
      </c>
      <c r="C15" s="64">
        <v>53.76</v>
      </c>
      <c r="D15" s="64">
        <v>44.8</v>
      </c>
      <c r="E15" s="64">
        <v>0.39</v>
      </c>
      <c r="F15" s="64">
        <v>5.68</v>
      </c>
      <c r="G15" s="64">
        <v>73.75</v>
      </c>
      <c r="H15" s="64">
        <v>37.450000000000003</v>
      </c>
      <c r="I15" s="64">
        <v>1.43</v>
      </c>
      <c r="J15" s="64">
        <v>0.17</v>
      </c>
      <c r="K15" s="64">
        <v>323.73</v>
      </c>
      <c r="L15" s="64">
        <v>14.42</v>
      </c>
      <c r="M15" s="64">
        <v>88.14</v>
      </c>
      <c r="N15" s="64">
        <v>23.2</v>
      </c>
      <c r="O15" s="64">
        <v>0</v>
      </c>
      <c r="P15" s="64">
        <v>0.48</v>
      </c>
      <c r="Q15" s="64">
        <v>6.43</v>
      </c>
      <c r="R15" s="198"/>
      <c r="S15" s="198"/>
      <c r="T15" s="198"/>
      <c r="U15" s="198"/>
    </row>
    <row r="16" spans="1:21" s="12" customFormat="1" x14ac:dyDescent="0.25">
      <c r="A16" s="214" t="s">
        <v>1407</v>
      </c>
      <c r="B16" s="64">
        <v>17.16</v>
      </c>
      <c r="C16" s="64">
        <v>53.33</v>
      </c>
      <c r="D16" s="64">
        <v>43.84</v>
      </c>
      <c r="E16" s="64">
        <v>0.33</v>
      </c>
      <c r="F16" s="64">
        <v>7.21</v>
      </c>
      <c r="G16" s="64">
        <v>73.69</v>
      </c>
      <c r="H16" s="64">
        <v>29.2</v>
      </c>
      <c r="I16" s="64">
        <v>1.42</v>
      </c>
      <c r="J16" s="64">
        <v>0.1</v>
      </c>
      <c r="K16" s="64">
        <v>144.09</v>
      </c>
      <c r="L16" s="64">
        <v>14.52</v>
      </c>
      <c r="M16" s="64">
        <v>84.44</v>
      </c>
      <c r="N16" s="64">
        <v>23</v>
      </c>
      <c r="O16" s="64">
        <v>0</v>
      </c>
      <c r="P16" s="64">
        <v>0.42</v>
      </c>
      <c r="Q16" s="64">
        <v>6.66</v>
      </c>
      <c r="R16" s="198"/>
      <c r="S16" s="198"/>
      <c r="T16" s="198"/>
      <c r="U16" s="198"/>
    </row>
    <row r="17" spans="1:21" s="12" customFormat="1" x14ac:dyDescent="0.25">
      <c r="A17" s="214" t="s">
        <v>1408</v>
      </c>
      <c r="B17" s="64">
        <v>15.98</v>
      </c>
      <c r="C17" s="64">
        <v>52.09</v>
      </c>
      <c r="D17" s="64">
        <v>42.21</v>
      </c>
      <c r="E17" s="64">
        <v>0.38</v>
      </c>
      <c r="F17" s="64">
        <v>9.1199999999999992</v>
      </c>
      <c r="G17" s="64">
        <v>73.69</v>
      </c>
      <c r="H17" s="64">
        <v>29.2</v>
      </c>
      <c r="I17" s="64">
        <v>1.48</v>
      </c>
      <c r="J17" s="64">
        <v>7.0000000000000007E-2</v>
      </c>
      <c r="K17" s="64">
        <v>298.18</v>
      </c>
      <c r="L17" s="64">
        <v>14.33</v>
      </c>
      <c r="M17" s="64">
        <v>86.2</v>
      </c>
      <c r="N17" s="64">
        <v>23.2</v>
      </c>
      <c r="O17" s="64">
        <v>0</v>
      </c>
      <c r="P17" s="64">
        <v>0.45</v>
      </c>
      <c r="Q17" s="64">
        <v>6.97</v>
      </c>
      <c r="R17" s="198"/>
      <c r="S17" s="198"/>
      <c r="T17" s="198"/>
      <c r="U17" s="198"/>
    </row>
    <row r="18" spans="1:21" s="12" customFormat="1" x14ac:dyDescent="0.25">
      <c r="A18" s="214" t="s">
        <v>1409</v>
      </c>
      <c r="B18" s="64">
        <v>14.81</v>
      </c>
      <c r="C18" s="64">
        <v>51.43</v>
      </c>
      <c r="D18" s="64">
        <v>40.909999999999997</v>
      </c>
      <c r="E18" s="64">
        <v>0.37</v>
      </c>
      <c r="F18" s="64">
        <v>8.7200000000000006</v>
      </c>
      <c r="G18" s="64">
        <v>73.69</v>
      </c>
      <c r="H18" s="64">
        <v>29.2</v>
      </c>
      <c r="I18" s="64">
        <v>1.44</v>
      </c>
      <c r="J18" s="64">
        <v>0.18</v>
      </c>
      <c r="K18" s="64">
        <v>314.97000000000003</v>
      </c>
      <c r="L18" s="64">
        <v>14.17</v>
      </c>
      <c r="M18" s="64">
        <v>87.15</v>
      </c>
      <c r="N18" s="64">
        <v>23.3</v>
      </c>
      <c r="O18" s="64">
        <v>0</v>
      </c>
      <c r="P18" s="64">
        <v>0.42</v>
      </c>
      <c r="Q18" s="64">
        <v>6.67</v>
      </c>
      <c r="R18" s="198"/>
      <c r="S18" s="198"/>
      <c r="T18" s="198"/>
      <c r="U18" s="198"/>
    </row>
    <row r="19" spans="1:21" s="12" customFormat="1" x14ac:dyDescent="0.25">
      <c r="A19" s="214" t="s">
        <v>1410</v>
      </c>
      <c r="B19" s="64">
        <v>13.82</v>
      </c>
      <c r="C19" s="64">
        <v>50.6</v>
      </c>
      <c r="D19" s="64">
        <v>39.659999999999997</v>
      </c>
      <c r="E19" s="64">
        <v>0.34</v>
      </c>
      <c r="F19" s="64">
        <v>7.82</v>
      </c>
      <c r="G19" s="64">
        <v>71.48</v>
      </c>
      <c r="H19" s="64">
        <v>29.99</v>
      </c>
      <c r="I19" s="64">
        <v>1.62</v>
      </c>
      <c r="J19" s="64">
        <v>0.16</v>
      </c>
      <c r="K19" s="64">
        <v>315.05</v>
      </c>
      <c r="L19" s="64">
        <v>14</v>
      </c>
      <c r="M19" s="64">
        <v>87.46</v>
      </c>
      <c r="N19" s="64">
        <v>23.3</v>
      </c>
      <c r="O19" s="64">
        <v>0</v>
      </c>
      <c r="P19" s="64">
        <v>0.38</v>
      </c>
      <c r="Q19" s="64">
        <v>6.05</v>
      </c>
      <c r="R19" s="198"/>
      <c r="S19" s="198"/>
      <c r="T19" s="198"/>
      <c r="U19" s="198"/>
    </row>
    <row r="20" spans="1:21" s="12" customFormat="1" x14ac:dyDescent="0.25">
      <c r="A20" s="214" t="s">
        <v>1411</v>
      </c>
      <c r="B20" s="64">
        <v>13.3</v>
      </c>
      <c r="C20" s="64">
        <v>50.33</v>
      </c>
      <c r="D20" s="64">
        <v>39.090000000000003</v>
      </c>
      <c r="E20" s="64">
        <v>0.34</v>
      </c>
      <c r="F20" s="64">
        <v>7.62</v>
      </c>
      <c r="G20" s="64">
        <v>62.67</v>
      </c>
      <c r="H20" s="64">
        <v>32.130000000000003</v>
      </c>
      <c r="I20" s="64">
        <v>1.45</v>
      </c>
      <c r="J20" s="64">
        <v>0.09</v>
      </c>
      <c r="K20" s="64">
        <v>313.82</v>
      </c>
      <c r="L20" s="64">
        <v>13.64</v>
      </c>
      <c r="M20" s="64">
        <v>89.98</v>
      </c>
      <c r="N20" s="64">
        <v>23.6</v>
      </c>
      <c r="O20" s="64">
        <v>0</v>
      </c>
      <c r="P20" s="64">
        <v>0.41</v>
      </c>
      <c r="Q20" s="64">
        <v>5.68</v>
      </c>
      <c r="R20" s="198"/>
      <c r="S20" s="198"/>
      <c r="T20" s="198"/>
      <c r="U20" s="198"/>
    </row>
    <row r="21" spans="1:21" s="12" customFormat="1" x14ac:dyDescent="0.25">
      <c r="A21" s="214" t="s">
        <v>1412</v>
      </c>
      <c r="B21" s="64">
        <v>12.68</v>
      </c>
      <c r="C21" s="64">
        <v>49.57</v>
      </c>
      <c r="D21" s="64">
        <v>38.18</v>
      </c>
      <c r="E21" s="64">
        <v>0.35</v>
      </c>
      <c r="F21" s="64">
        <v>7.29</v>
      </c>
      <c r="G21" s="64">
        <v>62.67</v>
      </c>
      <c r="H21" s="64">
        <v>32.130000000000003</v>
      </c>
      <c r="I21" s="64">
        <v>1.45</v>
      </c>
      <c r="J21" s="64">
        <v>0.06</v>
      </c>
      <c r="K21" s="64">
        <v>224.85</v>
      </c>
      <c r="L21" s="64">
        <v>13.35</v>
      </c>
      <c r="M21" s="64">
        <v>91.82</v>
      </c>
      <c r="N21" s="64">
        <v>23.3</v>
      </c>
      <c r="O21" s="64">
        <v>0</v>
      </c>
      <c r="P21" s="64">
        <v>0.4</v>
      </c>
      <c r="Q21" s="64">
        <v>5.81</v>
      </c>
      <c r="R21" s="198"/>
      <c r="S21" s="198"/>
      <c r="T21" s="198"/>
      <c r="U21" s="198"/>
    </row>
    <row r="22" spans="1:21" s="12" customFormat="1" x14ac:dyDescent="0.25">
      <c r="A22" s="214" t="s">
        <v>1413</v>
      </c>
      <c r="B22" s="64">
        <v>12.1</v>
      </c>
      <c r="C22" s="64">
        <v>49.08</v>
      </c>
      <c r="D22" s="64">
        <v>37.44</v>
      </c>
      <c r="E22" s="64">
        <v>0.34</v>
      </c>
      <c r="F22" s="64">
        <v>6.58</v>
      </c>
      <c r="G22" s="64">
        <v>62.67</v>
      </c>
      <c r="H22" s="64">
        <v>32.130000000000003</v>
      </c>
      <c r="I22" s="64">
        <v>1.58</v>
      </c>
      <c r="J22" s="64">
        <v>0.04</v>
      </c>
      <c r="K22" s="64">
        <v>209.06</v>
      </c>
      <c r="L22" s="64">
        <v>13.26</v>
      </c>
      <c r="M22" s="64">
        <v>94.18</v>
      </c>
      <c r="N22" s="64">
        <v>23.3</v>
      </c>
      <c r="O22" s="64">
        <v>0</v>
      </c>
      <c r="P22" s="64">
        <v>0.4</v>
      </c>
      <c r="Q22" s="64">
        <v>5.58</v>
      </c>
      <c r="R22" s="198"/>
      <c r="S22" s="198"/>
      <c r="T22" s="198"/>
      <c r="U22" s="198"/>
    </row>
    <row r="23" spans="1:21" s="12" customFormat="1" x14ac:dyDescent="0.25">
      <c r="A23" s="214" t="s">
        <v>1414</v>
      </c>
      <c r="B23" s="64">
        <v>11.77</v>
      </c>
      <c r="C23" s="64">
        <v>48.48</v>
      </c>
      <c r="D23" s="64">
        <v>36.840000000000003</v>
      </c>
      <c r="E23" s="64">
        <v>0.39</v>
      </c>
      <c r="F23" s="64">
        <v>6.1</v>
      </c>
      <c r="G23" s="64">
        <v>61.49</v>
      </c>
      <c r="H23" s="64">
        <v>33.57</v>
      </c>
      <c r="I23" s="64">
        <v>1.51</v>
      </c>
      <c r="J23" s="64">
        <v>0.1</v>
      </c>
      <c r="K23" s="64">
        <v>300.61</v>
      </c>
      <c r="L23" s="64">
        <v>13.14</v>
      </c>
      <c r="M23" s="64">
        <v>96.81</v>
      </c>
      <c r="N23" s="64">
        <v>23.3</v>
      </c>
      <c r="O23" s="64">
        <v>0</v>
      </c>
      <c r="P23" s="64">
        <v>0.44</v>
      </c>
      <c r="Q23" s="64">
        <v>5.42</v>
      </c>
      <c r="R23" s="198"/>
      <c r="S23" s="198"/>
      <c r="T23" s="198"/>
      <c r="U23" s="198"/>
    </row>
    <row r="24" spans="1:21" s="12" customFormat="1" x14ac:dyDescent="0.25">
      <c r="A24" s="214" t="s">
        <v>1415</v>
      </c>
      <c r="B24" s="64">
        <v>11.59</v>
      </c>
      <c r="C24" s="64">
        <v>48.34</v>
      </c>
      <c r="D24" s="64">
        <v>36.619999999999997</v>
      </c>
      <c r="E24" s="64">
        <v>0.21</v>
      </c>
      <c r="F24" s="64">
        <v>7.08</v>
      </c>
      <c r="G24" s="64">
        <v>56.79</v>
      </c>
      <c r="H24" s="64">
        <v>37.49</v>
      </c>
      <c r="I24" s="64">
        <v>1.5</v>
      </c>
      <c r="J24" s="64">
        <v>0.03</v>
      </c>
      <c r="K24" s="64">
        <v>220.65</v>
      </c>
      <c r="L24" s="64">
        <v>13.29</v>
      </c>
      <c r="M24" s="64">
        <v>94.05</v>
      </c>
      <c r="N24" s="64">
        <v>23.1</v>
      </c>
      <c r="O24" s="64">
        <v>0</v>
      </c>
      <c r="P24" s="64">
        <v>0.41</v>
      </c>
      <c r="Q24" s="64">
        <v>5.63</v>
      </c>
      <c r="R24" s="198"/>
      <c r="S24" s="198"/>
      <c r="T24" s="198"/>
      <c r="U24" s="198"/>
    </row>
    <row r="25" spans="1:21" s="12" customFormat="1" x14ac:dyDescent="0.25">
      <c r="A25" s="214" t="s">
        <v>1416</v>
      </c>
      <c r="B25" s="64">
        <v>11.45</v>
      </c>
      <c r="C25" s="64">
        <v>48.28</v>
      </c>
      <c r="D25" s="64">
        <v>36.47</v>
      </c>
      <c r="E25" s="64">
        <v>0.28999999999999998</v>
      </c>
      <c r="F25" s="64">
        <v>6</v>
      </c>
      <c r="G25" s="64">
        <v>56.79</v>
      </c>
      <c r="H25" s="64">
        <v>37.49</v>
      </c>
      <c r="I25" s="64">
        <v>1.51</v>
      </c>
      <c r="J25" s="64">
        <v>0.02</v>
      </c>
      <c r="K25" s="64">
        <v>180.62</v>
      </c>
      <c r="L25" s="64">
        <v>13.28</v>
      </c>
      <c r="M25" s="64">
        <v>94.85</v>
      </c>
      <c r="N25" s="64">
        <v>23.3</v>
      </c>
      <c r="O25" s="64">
        <v>0</v>
      </c>
      <c r="P25" s="64">
        <v>0.48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1417</v>
      </c>
      <c r="B26" s="64">
        <v>11.97</v>
      </c>
      <c r="C26" s="64">
        <v>48.39</v>
      </c>
      <c r="D26" s="64">
        <v>36.950000000000003</v>
      </c>
      <c r="E26" s="64">
        <v>0.27</v>
      </c>
      <c r="F26" s="64">
        <v>4.3</v>
      </c>
      <c r="G26" s="64">
        <v>56.79</v>
      </c>
      <c r="H26" s="64">
        <v>37.49</v>
      </c>
      <c r="I26" s="64">
        <v>1.51</v>
      </c>
      <c r="J26" s="64">
        <v>0.06</v>
      </c>
      <c r="K26" s="64">
        <v>187.38</v>
      </c>
      <c r="L26" s="64">
        <v>13.29</v>
      </c>
      <c r="M26" s="64">
        <v>96.17</v>
      </c>
      <c r="N26" s="64">
        <v>22.8</v>
      </c>
      <c r="O26" s="64">
        <v>0</v>
      </c>
      <c r="P26" s="64">
        <v>0.55000000000000004</v>
      </c>
      <c r="Q26" s="64">
        <v>3.83</v>
      </c>
      <c r="R26" s="198"/>
      <c r="S26" s="198"/>
      <c r="T26" s="198"/>
      <c r="U26" s="198"/>
    </row>
    <row r="27" spans="1:21" s="12" customFormat="1" x14ac:dyDescent="0.25">
      <c r="A27" s="214" t="s">
        <v>1418</v>
      </c>
      <c r="B27" s="64">
        <v>13.3</v>
      </c>
      <c r="C27" s="64">
        <v>48.85</v>
      </c>
      <c r="D27" s="64">
        <v>38.28</v>
      </c>
      <c r="E27" s="64">
        <v>0.3</v>
      </c>
      <c r="F27" s="64">
        <v>4.03</v>
      </c>
      <c r="G27" s="64">
        <v>58.67</v>
      </c>
      <c r="H27" s="64">
        <v>37.450000000000003</v>
      </c>
      <c r="I27" s="64">
        <v>1.46</v>
      </c>
      <c r="J27" s="64">
        <v>0.1</v>
      </c>
      <c r="K27" s="64">
        <v>141.79</v>
      </c>
      <c r="L27" s="64">
        <v>13.79</v>
      </c>
      <c r="M27" s="64">
        <v>93.02</v>
      </c>
      <c r="N27" s="64">
        <v>23.1</v>
      </c>
      <c r="O27" s="64">
        <v>0</v>
      </c>
      <c r="P27" s="64">
        <v>0.6</v>
      </c>
      <c r="Q27" s="64">
        <v>2.71</v>
      </c>
      <c r="R27" s="198"/>
      <c r="S27" s="198"/>
      <c r="T27" s="198"/>
      <c r="U27" s="198"/>
    </row>
    <row r="28" spans="1:21" s="12" customFormat="1" x14ac:dyDescent="0.25">
      <c r="A28" s="214" t="s">
        <v>1419</v>
      </c>
      <c r="B28" s="64">
        <v>15.87</v>
      </c>
      <c r="C28" s="64">
        <v>49.17</v>
      </c>
      <c r="D28" s="64">
        <v>40.51</v>
      </c>
      <c r="E28" s="64">
        <v>0.35</v>
      </c>
      <c r="F28" s="64">
        <v>3.2</v>
      </c>
      <c r="G28" s="64">
        <v>66.17</v>
      </c>
      <c r="H28" s="64">
        <v>37.270000000000003</v>
      </c>
      <c r="I28" s="64">
        <v>1.44</v>
      </c>
      <c r="J28" s="64">
        <v>0.13</v>
      </c>
      <c r="K28" s="64">
        <v>313.35000000000002</v>
      </c>
      <c r="L28" s="64">
        <v>13.37</v>
      </c>
      <c r="M28" s="64">
        <v>97.06</v>
      </c>
      <c r="N28" s="64">
        <v>23.4</v>
      </c>
      <c r="O28" s="64">
        <v>0</v>
      </c>
      <c r="P28" s="64">
        <v>0.62</v>
      </c>
      <c r="Q28" s="64">
        <v>0.17</v>
      </c>
      <c r="R28" s="198"/>
      <c r="S28" s="198"/>
      <c r="T28" s="198"/>
      <c r="U28" s="198"/>
    </row>
    <row r="29" spans="1:21" s="12" customFormat="1" x14ac:dyDescent="0.25">
      <c r="A29" s="214" t="s">
        <v>1420</v>
      </c>
      <c r="B29" s="64">
        <v>20.149999999999999</v>
      </c>
      <c r="C29" s="64">
        <v>50.11</v>
      </c>
      <c r="D29" s="64">
        <v>44.46</v>
      </c>
      <c r="E29" s="64">
        <v>0.33</v>
      </c>
      <c r="F29" s="64">
        <v>3.31</v>
      </c>
      <c r="G29" s="64">
        <v>66.17</v>
      </c>
      <c r="H29" s="64">
        <v>37.270000000000003</v>
      </c>
      <c r="I29" s="64">
        <v>1.48</v>
      </c>
      <c r="J29" s="64">
        <v>0.13</v>
      </c>
      <c r="K29" s="64">
        <v>277.33</v>
      </c>
      <c r="L29" s="64">
        <v>13.5</v>
      </c>
      <c r="M29" s="64">
        <v>96.16</v>
      </c>
      <c r="N29" s="64">
        <v>22.9</v>
      </c>
      <c r="O29" s="64">
        <v>0</v>
      </c>
      <c r="P29" s="64">
        <v>0.69</v>
      </c>
      <c r="Q29" s="64">
        <v>0</v>
      </c>
      <c r="R29" s="198"/>
      <c r="S29" s="198"/>
      <c r="T29" s="198"/>
      <c r="U29" s="198"/>
    </row>
    <row r="30" spans="1:21" s="12" customFormat="1" x14ac:dyDescent="0.25">
      <c r="A30" s="214" t="s">
        <v>1421</v>
      </c>
      <c r="B30" s="64">
        <v>23.75</v>
      </c>
      <c r="C30" s="64">
        <v>50.49</v>
      </c>
      <c r="D30" s="64">
        <v>47.56</v>
      </c>
      <c r="E30" s="64">
        <v>0.38</v>
      </c>
      <c r="F30" s="64">
        <v>3.5</v>
      </c>
      <c r="G30" s="64">
        <v>66.17</v>
      </c>
      <c r="H30" s="64">
        <v>37.270000000000003</v>
      </c>
      <c r="I30" s="64">
        <v>1.53</v>
      </c>
      <c r="J30" s="64">
        <v>0.09</v>
      </c>
      <c r="K30" s="64">
        <v>242.12</v>
      </c>
      <c r="L30" s="64">
        <v>13.36</v>
      </c>
      <c r="M30" s="64">
        <v>98.02</v>
      </c>
      <c r="N30" s="64">
        <v>23.3</v>
      </c>
      <c r="O30" s="64">
        <v>0</v>
      </c>
      <c r="P30" s="64">
        <v>0.66</v>
      </c>
      <c r="Q30" s="64">
        <v>1.19</v>
      </c>
      <c r="R30" s="198"/>
      <c r="S30" s="198"/>
      <c r="T30" s="198"/>
      <c r="U30" s="198"/>
    </row>
    <row r="31" spans="1:21" s="12" customFormat="1" x14ac:dyDescent="0.25">
      <c r="A31" s="214" t="s">
        <v>1422</v>
      </c>
      <c r="B31" s="64">
        <v>28.17</v>
      </c>
      <c r="C31" s="64">
        <v>50.89</v>
      </c>
      <c r="D31" s="64">
        <v>51.32</v>
      </c>
      <c r="E31" s="64">
        <v>0.43</v>
      </c>
      <c r="F31" s="64">
        <v>4.12</v>
      </c>
      <c r="G31" s="64">
        <v>82.57</v>
      </c>
      <c r="H31" s="64">
        <v>37.86</v>
      </c>
      <c r="I31" s="64">
        <v>1.52</v>
      </c>
      <c r="J31" s="64">
        <v>0.13</v>
      </c>
      <c r="K31" s="64">
        <v>292.7</v>
      </c>
      <c r="L31" s="64">
        <v>13.07</v>
      </c>
      <c r="M31" s="64">
        <v>98.17</v>
      </c>
      <c r="N31" s="64">
        <v>23.6</v>
      </c>
      <c r="O31" s="64">
        <v>0</v>
      </c>
      <c r="P31" s="64">
        <v>0.84</v>
      </c>
      <c r="Q31" s="64">
        <v>0.1</v>
      </c>
      <c r="R31" s="198"/>
      <c r="S31" s="198"/>
      <c r="T31" s="198"/>
      <c r="U31" s="198"/>
    </row>
    <row r="32" spans="1:21" s="12" customFormat="1" x14ac:dyDescent="0.25">
      <c r="A32" s="214" t="s">
        <v>1423</v>
      </c>
      <c r="B32" s="64">
        <v>35.119999999999997</v>
      </c>
      <c r="C32" s="64">
        <v>51.67</v>
      </c>
      <c r="D32" s="64">
        <v>57.32</v>
      </c>
      <c r="E32" s="64">
        <v>0.49</v>
      </c>
      <c r="F32" s="64">
        <v>3.87</v>
      </c>
      <c r="G32" s="64">
        <v>148.18</v>
      </c>
      <c r="H32" s="64">
        <v>39.47</v>
      </c>
      <c r="I32" s="64">
        <v>1.44</v>
      </c>
      <c r="J32" s="64">
        <v>0.05</v>
      </c>
      <c r="K32" s="64">
        <v>289.06</v>
      </c>
      <c r="L32" s="64">
        <v>12.86</v>
      </c>
      <c r="M32" s="64">
        <v>98.19</v>
      </c>
      <c r="N32" s="64">
        <v>23.6</v>
      </c>
      <c r="O32" s="64">
        <v>0</v>
      </c>
      <c r="P32" s="64">
        <v>1</v>
      </c>
      <c r="Q32" s="64">
        <v>0</v>
      </c>
      <c r="R32" s="198"/>
      <c r="S32" s="198"/>
      <c r="T32" s="198"/>
      <c r="U32" s="198"/>
    </row>
    <row r="33" spans="1:21" s="12" customFormat="1" x14ac:dyDescent="0.25">
      <c r="A33" s="214" t="s">
        <v>1424</v>
      </c>
      <c r="B33" s="64">
        <v>41.18</v>
      </c>
      <c r="C33" s="64">
        <v>52.12</v>
      </c>
      <c r="D33" s="64">
        <v>62.44</v>
      </c>
      <c r="E33" s="64">
        <v>0.41</v>
      </c>
      <c r="F33" s="64">
        <v>3.48</v>
      </c>
      <c r="G33" s="64">
        <v>148.18</v>
      </c>
      <c r="H33" s="64">
        <v>39.47</v>
      </c>
      <c r="I33" s="64">
        <v>1.52</v>
      </c>
      <c r="J33" s="64">
        <v>0.04</v>
      </c>
      <c r="K33" s="64">
        <v>315.67</v>
      </c>
      <c r="L33" s="64">
        <v>13.06</v>
      </c>
      <c r="M33" s="64">
        <v>98.18</v>
      </c>
      <c r="N33" s="64">
        <v>24.6</v>
      </c>
      <c r="O33" s="64">
        <v>0</v>
      </c>
      <c r="P33" s="64">
        <v>0.84</v>
      </c>
      <c r="Q33" s="64">
        <v>0.68</v>
      </c>
      <c r="R33" s="198"/>
      <c r="S33" s="198"/>
      <c r="T33" s="198"/>
      <c r="U33" s="198"/>
    </row>
    <row r="34" spans="1:21" s="12" customFormat="1" x14ac:dyDescent="0.25">
      <c r="A34" s="214" t="s">
        <v>1425</v>
      </c>
      <c r="B34" s="64">
        <v>43.49</v>
      </c>
      <c r="C34" s="64">
        <v>51.85</v>
      </c>
      <c r="D34" s="64">
        <v>64.14</v>
      </c>
      <c r="E34" s="64">
        <v>0.32</v>
      </c>
      <c r="F34" s="64">
        <v>3.25</v>
      </c>
      <c r="G34" s="64">
        <v>148.18</v>
      </c>
      <c r="H34" s="64">
        <v>39.47</v>
      </c>
      <c r="I34" s="64">
        <v>1.56</v>
      </c>
      <c r="J34" s="64">
        <v>0.08</v>
      </c>
      <c r="K34" s="64">
        <v>165.32</v>
      </c>
      <c r="L34" s="64">
        <v>13.01</v>
      </c>
      <c r="M34" s="64">
        <v>98.18</v>
      </c>
      <c r="N34" s="64">
        <v>28</v>
      </c>
      <c r="O34" s="64">
        <v>0</v>
      </c>
      <c r="P34" s="64">
        <v>0.77</v>
      </c>
      <c r="Q34" s="64">
        <v>4.8899999999999997</v>
      </c>
      <c r="R34" s="198"/>
      <c r="S34" s="198"/>
      <c r="T34" s="198"/>
      <c r="U34" s="198"/>
    </row>
    <row r="35" spans="1:21" s="12" customFormat="1" x14ac:dyDescent="0.25">
      <c r="A35" s="214" t="s">
        <v>1426</v>
      </c>
      <c r="B35" s="64">
        <v>45.23</v>
      </c>
      <c r="C35" s="64">
        <v>51.74</v>
      </c>
      <c r="D35" s="64">
        <v>65.47</v>
      </c>
      <c r="E35" s="64">
        <v>0.48</v>
      </c>
      <c r="F35" s="64">
        <v>3.22</v>
      </c>
      <c r="G35" s="64">
        <v>142.32</v>
      </c>
      <c r="H35" s="64">
        <v>42.18</v>
      </c>
      <c r="I35" s="64">
        <v>1.53</v>
      </c>
      <c r="J35" s="64">
        <v>0.05</v>
      </c>
      <c r="K35" s="64">
        <v>179.03</v>
      </c>
      <c r="L35" s="64">
        <v>13.06</v>
      </c>
      <c r="M35" s="64">
        <v>98.18</v>
      </c>
      <c r="N35" s="64">
        <v>41.5</v>
      </c>
      <c r="O35" s="64">
        <v>0</v>
      </c>
      <c r="P35" s="64">
        <v>0.95</v>
      </c>
      <c r="Q35" s="64">
        <v>5.32</v>
      </c>
      <c r="R35" s="198"/>
      <c r="S35" s="198"/>
      <c r="T35" s="198"/>
      <c r="U35" s="198"/>
    </row>
    <row r="36" spans="1:21" s="12" customFormat="1" x14ac:dyDescent="0.25">
      <c r="A36" s="214" t="s">
        <v>1427</v>
      </c>
      <c r="B36" s="64">
        <v>48.12</v>
      </c>
      <c r="C36" s="64">
        <v>50.86</v>
      </c>
      <c r="D36" s="64">
        <v>67.31</v>
      </c>
      <c r="E36" s="64">
        <v>0.53</v>
      </c>
      <c r="F36" s="64">
        <v>3.36</v>
      </c>
      <c r="G36" s="64">
        <v>118.87</v>
      </c>
      <c r="H36" s="64">
        <v>50.01</v>
      </c>
      <c r="I36" s="64">
        <v>1.37</v>
      </c>
      <c r="J36" s="64">
        <v>0.14000000000000001</v>
      </c>
      <c r="K36" s="64">
        <v>145.65</v>
      </c>
      <c r="L36" s="64">
        <v>13.26</v>
      </c>
      <c r="M36" s="64">
        <v>98.18</v>
      </c>
      <c r="N36" s="64">
        <v>59</v>
      </c>
      <c r="O36" s="64">
        <v>0</v>
      </c>
      <c r="P36" s="64">
        <v>1.1100000000000001</v>
      </c>
      <c r="Q36" s="64">
        <v>3.54</v>
      </c>
      <c r="R36" s="198"/>
      <c r="S36" s="198"/>
      <c r="T36" s="198"/>
      <c r="U36" s="198"/>
    </row>
    <row r="37" spans="1:21" s="12" customFormat="1" x14ac:dyDescent="0.25">
      <c r="A37" s="214" t="s">
        <v>1428</v>
      </c>
      <c r="B37" s="64">
        <v>52.94</v>
      </c>
      <c r="C37" s="64">
        <v>49.56</v>
      </c>
      <c r="D37" s="64">
        <v>70.45</v>
      </c>
      <c r="E37" s="64">
        <v>0.6</v>
      </c>
      <c r="F37" s="64">
        <v>4.47</v>
      </c>
      <c r="G37" s="64">
        <v>118.87</v>
      </c>
      <c r="H37" s="64">
        <v>50.01</v>
      </c>
      <c r="I37" s="64">
        <v>1.54</v>
      </c>
      <c r="J37" s="64">
        <v>0.1</v>
      </c>
      <c r="K37" s="64">
        <v>91.66</v>
      </c>
      <c r="L37" s="64">
        <v>13.82</v>
      </c>
      <c r="M37" s="64">
        <v>97.48</v>
      </c>
      <c r="N37" s="64">
        <v>77.7</v>
      </c>
      <c r="O37" s="64">
        <v>0</v>
      </c>
      <c r="P37" s="64">
        <v>1.31</v>
      </c>
      <c r="Q37" s="64">
        <v>1.08</v>
      </c>
      <c r="R37" s="198"/>
      <c r="S37" s="198"/>
      <c r="T37" s="198"/>
      <c r="U37" s="198"/>
    </row>
    <row r="38" spans="1:21" s="12" customFormat="1" x14ac:dyDescent="0.25">
      <c r="A38" s="214" t="s">
        <v>1429</v>
      </c>
      <c r="B38" s="64">
        <v>60.62</v>
      </c>
      <c r="C38" s="64">
        <v>50.4</v>
      </c>
      <c r="D38" s="64">
        <v>77.069999999999993</v>
      </c>
      <c r="E38" s="64">
        <v>0.6</v>
      </c>
      <c r="F38" s="64">
        <v>4.03</v>
      </c>
      <c r="G38" s="64">
        <v>118.87</v>
      </c>
      <c r="H38" s="64">
        <v>50.01</v>
      </c>
      <c r="I38" s="64">
        <v>1.53</v>
      </c>
      <c r="J38" s="64">
        <v>0.1</v>
      </c>
      <c r="K38" s="64">
        <v>87.75</v>
      </c>
      <c r="L38" s="64">
        <v>14.58</v>
      </c>
      <c r="M38" s="64">
        <v>95.36</v>
      </c>
      <c r="N38" s="64">
        <v>109.4</v>
      </c>
      <c r="O38" s="64">
        <v>0</v>
      </c>
      <c r="P38" s="64">
        <v>1.41</v>
      </c>
      <c r="Q38" s="64">
        <v>0.99</v>
      </c>
      <c r="R38" s="198"/>
      <c r="S38" s="198"/>
      <c r="T38" s="198"/>
      <c r="U38" s="198"/>
    </row>
    <row r="39" spans="1:21" s="12" customFormat="1" x14ac:dyDescent="0.25">
      <c r="A39" s="214" t="s">
        <v>1430</v>
      </c>
      <c r="B39" s="64">
        <v>65.48</v>
      </c>
      <c r="C39" s="64">
        <v>51.67</v>
      </c>
      <c r="D39" s="64">
        <v>81.67</v>
      </c>
      <c r="E39" s="64">
        <v>0.56999999999999995</v>
      </c>
      <c r="F39" s="64">
        <v>3.63</v>
      </c>
      <c r="G39" s="64">
        <v>132.66</v>
      </c>
      <c r="H39" s="64">
        <v>55.47</v>
      </c>
      <c r="I39" s="64">
        <v>1.53</v>
      </c>
      <c r="J39" s="64">
        <v>0.3</v>
      </c>
      <c r="K39" s="64">
        <v>87.4</v>
      </c>
      <c r="L39" s="64">
        <v>15.58</v>
      </c>
      <c r="M39" s="64">
        <v>86.11</v>
      </c>
      <c r="N39" s="64">
        <v>190</v>
      </c>
      <c r="O39" s="64">
        <v>0</v>
      </c>
      <c r="P39" s="64">
        <v>1.26</v>
      </c>
      <c r="Q39" s="64">
        <v>5.87</v>
      </c>
      <c r="R39" s="198"/>
      <c r="S39" s="198"/>
      <c r="T39" s="198"/>
      <c r="U39" s="198"/>
    </row>
    <row r="40" spans="1:21" s="12" customFormat="1" x14ac:dyDescent="0.25">
      <c r="A40" s="214" t="s">
        <v>1431</v>
      </c>
      <c r="B40" s="64">
        <v>65.91</v>
      </c>
      <c r="C40" s="64">
        <v>52.69</v>
      </c>
      <c r="D40" s="64">
        <v>82.58</v>
      </c>
      <c r="E40" s="64">
        <v>0.25</v>
      </c>
      <c r="F40" s="64">
        <v>3.69</v>
      </c>
      <c r="G40" s="64">
        <v>187.81</v>
      </c>
      <c r="H40" s="64">
        <v>70.319999999999993</v>
      </c>
      <c r="I40" s="64">
        <v>1.49</v>
      </c>
      <c r="J40" s="64">
        <v>0.2</v>
      </c>
      <c r="K40" s="64">
        <v>46.89</v>
      </c>
      <c r="L40" s="64">
        <v>17.07</v>
      </c>
      <c r="M40" s="64">
        <v>76.819999999999993</v>
      </c>
      <c r="N40" s="64">
        <v>234.3</v>
      </c>
      <c r="O40" s="64">
        <v>0</v>
      </c>
      <c r="P40" s="64">
        <v>1.37</v>
      </c>
      <c r="Q40" s="64">
        <v>8.4600000000000009</v>
      </c>
      <c r="R40" s="198"/>
      <c r="S40" s="198"/>
      <c r="T40" s="198"/>
      <c r="U40" s="198"/>
    </row>
    <row r="41" spans="1:21" s="12" customFormat="1" x14ac:dyDescent="0.25">
      <c r="A41" s="214" t="s">
        <v>1432</v>
      </c>
      <c r="B41" s="64">
        <v>65.709999999999994</v>
      </c>
      <c r="C41" s="64">
        <v>53.85</v>
      </c>
      <c r="D41" s="64">
        <v>83.06</v>
      </c>
      <c r="E41" s="64">
        <v>0.56000000000000005</v>
      </c>
      <c r="F41" s="64">
        <v>4.25</v>
      </c>
      <c r="G41" s="64">
        <v>187.81</v>
      </c>
      <c r="H41" s="64">
        <v>70.319999999999993</v>
      </c>
      <c r="I41" s="64">
        <v>1.49</v>
      </c>
      <c r="J41" s="64">
        <v>0.56999999999999995</v>
      </c>
      <c r="K41" s="64">
        <v>339.44</v>
      </c>
      <c r="L41" s="64">
        <v>19.5</v>
      </c>
      <c r="M41" s="64">
        <v>65.13</v>
      </c>
      <c r="N41" s="64">
        <v>288.10000000000002</v>
      </c>
      <c r="O41" s="64">
        <v>0</v>
      </c>
      <c r="P41" s="64">
        <v>1.42</v>
      </c>
      <c r="Q41" s="64">
        <v>7.83</v>
      </c>
      <c r="R41" s="198"/>
      <c r="S41" s="198"/>
      <c r="T41" s="198"/>
      <c r="U41" s="198"/>
    </row>
    <row r="42" spans="1:21" s="12" customFormat="1" x14ac:dyDescent="0.25">
      <c r="A42" s="214" t="s">
        <v>1433</v>
      </c>
      <c r="B42" s="64">
        <v>64.23</v>
      </c>
      <c r="C42" s="64">
        <v>55.7</v>
      </c>
      <c r="D42" s="64">
        <v>82.9</v>
      </c>
      <c r="E42" s="64">
        <v>0.41</v>
      </c>
      <c r="F42" s="64">
        <v>4.1500000000000004</v>
      </c>
      <c r="G42" s="64">
        <v>187.81</v>
      </c>
      <c r="H42" s="64">
        <v>70.319999999999993</v>
      </c>
      <c r="I42" s="64">
        <v>1.51</v>
      </c>
      <c r="J42" s="64">
        <v>0.11</v>
      </c>
      <c r="K42" s="64">
        <v>7.06</v>
      </c>
      <c r="L42" s="64">
        <v>20.25</v>
      </c>
      <c r="M42" s="64">
        <v>62.18</v>
      </c>
      <c r="N42" s="64">
        <v>291</v>
      </c>
      <c r="O42" s="64">
        <v>0</v>
      </c>
      <c r="P42" s="64">
        <v>1.28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4" t="s">
        <v>1434</v>
      </c>
      <c r="B43" s="64">
        <v>61.61</v>
      </c>
      <c r="C43" s="64">
        <v>57.39</v>
      </c>
      <c r="D43" s="64">
        <v>81.72</v>
      </c>
      <c r="E43" s="64">
        <v>0.39</v>
      </c>
      <c r="F43" s="64">
        <v>4.87</v>
      </c>
      <c r="G43" s="64">
        <v>184.29</v>
      </c>
      <c r="H43" s="64">
        <v>72.53</v>
      </c>
      <c r="I43" s="64">
        <v>1.51</v>
      </c>
      <c r="J43" s="64">
        <v>0.3</v>
      </c>
      <c r="K43" s="64">
        <v>331.9</v>
      </c>
      <c r="L43" s="64">
        <v>20.45</v>
      </c>
      <c r="M43" s="64">
        <v>60.3</v>
      </c>
      <c r="N43" s="64">
        <v>234.7</v>
      </c>
      <c r="O43" s="64">
        <v>0</v>
      </c>
      <c r="P43" s="64">
        <v>1.1499999999999999</v>
      </c>
      <c r="Q43" s="64">
        <v>10.88</v>
      </c>
      <c r="R43" s="198"/>
      <c r="S43" s="198"/>
      <c r="T43" s="198"/>
      <c r="U43" s="198"/>
    </row>
    <row r="44" spans="1:21" s="12" customFormat="1" x14ac:dyDescent="0.25">
      <c r="A44" s="214" t="s">
        <v>1435</v>
      </c>
      <c r="B44" s="64">
        <v>58.73</v>
      </c>
      <c r="C44" s="64">
        <v>58.73</v>
      </c>
      <c r="D44" s="64">
        <v>80.16</v>
      </c>
      <c r="E44" s="64">
        <v>0.42</v>
      </c>
      <c r="F44" s="64">
        <v>5.67</v>
      </c>
      <c r="G44" s="64">
        <v>170.19</v>
      </c>
      <c r="H44" s="64">
        <v>82.36</v>
      </c>
      <c r="I44" s="64">
        <v>1.54</v>
      </c>
      <c r="J44" s="64">
        <v>0.3</v>
      </c>
      <c r="K44" s="64">
        <v>344.72</v>
      </c>
      <c r="L44" s="64">
        <v>20.82</v>
      </c>
      <c r="M44" s="64">
        <v>58.97</v>
      </c>
      <c r="N44" s="64">
        <v>284.2</v>
      </c>
      <c r="O44" s="64">
        <v>0</v>
      </c>
      <c r="P44" s="64">
        <v>1.1399999999999999</v>
      </c>
      <c r="Q44" s="64">
        <v>11.18</v>
      </c>
      <c r="R44" s="198"/>
      <c r="S44" s="198"/>
      <c r="T44" s="198"/>
      <c r="U44" s="198"/>
    </row>
    <row r="45" spans="1:21" s="12" customFormat="1" x14ac:dyDescent="0.25">
      <c r="A45" s="214" t="s">
        <v>1436</v>
      </c>
      <c r="B45" s="64">
        <v>56.33</v>
      </c>
      <c r="C45" s="64">
        <v>60.15</v>
      </c>
      <c r="D45" s="64">
        <v>79.010000000000005</v>
      </c>
      <c r="E45" s="64">
        <v>0.37</v>
      </c>
      <c r="F45" s="64">
        <v>4.25</v>
      </c>
      <c r="G45" s="64">
        <v>170.19</v>
      </c>
      <c r="H45" s="64">
        <v>82.36</v>
      </c>
      <c r="I45" s="64">
        <v>1.51</v>
      </c>
      <c r="J45" s="64">
        <v>0.12</v>
      </c>
      <c r="K45" s="64">
        <v>338.57</v>
      </c>
      <c r="L45" s="64">
        <v>21.34</v>
      </c>
      <c r="M45" s="64">
        <v>57.02</v>
      </c>
      <c r="N45" s="64">
        <v>382</v>
      </c>
      <c r="O45" s="64">
        <v>0</v>
      </c>
      <c r="P45" s="64">
        <v>1.31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4" t="s">
        <v>1437</v>
      </c>
      <c r="B46" s="64">
        <v>53.32</v>
      </c>
      <c r="C46" s="64">
        <v>61.45</v>
      </c>
      <c r="D46" s="64">
        <v>77.319999999999993</v>
      </c>
      <c r="E46" s="64">
        <v>0.47</v>
      </c>
      <c r="F46" s="64">
        <v>7.74</v>
      </c>
      <c r="G46" s="64">
        <v>170.19</v>
      </c>
      <c r="H46" s="64">
        <v>82.36</v>
      </c>
      <c r="I46" s="64">
        <v>1.53</v>
      </c>
      <c r="J46" s="64">
        <v>0.25</v>
      </c>
      <c r="K46" s="64">
        <v>4.7699999999999996</v>
      </c>
      <c r="L46" s="64">
        <v>22.84</v>
      </c>
      <c r="M46" s="64">
        <v>52.34</v>
      </c>
      <c r="N46" s="64">
        <v>483.9</v>
      </c>
      <c r="O46" s="64">
        <v>0</v>
      </c>
      <c r="P46" s="64">
        <v>1.23</v>
      </c>
      <c r="Q46" s="64">
        <v>10.67</v>
      </c>
      <c r="R46" s="198"/>
      <c r="S46" s="198"/>
      <c r="T46" s="198"/>
      <c r="U46" s="198"/>
    </row>
    <row r="47" spans="1:21" s="12" customFormat="1" x14ac:dyDescent="0.25">
      <c r="A47" s="214" t="s">
        <v>1438</v>
      </c>
      <c r="B47" s="64">
        <v>49.02</v>
      </c>
      <c r="C47" s="64">
        <v>62.99</v>
      </c>
      <c r="D47" s="64">
        <v>74.72</v>
      </c>
      <c r="E47" s="64">
        <v>0.61</v>
      </c>
      <c r="F47" s="64">
        <v>8.27</v>
      </c>
      <c r="G47" s="64">
        <v>170.22</v>
      </c>
      <c r="H47" s="64">
        <v>81.62</v>
      </c>
      <c r="I47" s="64">
        <v>1.46</v>
      </c>
      <c r="J47" s="64">
        <v>0.34</v>
      </c>
      <c r="K47" s="64">
        <v>355.18</v>
      </c>
      <c r="L47" s="64">
        <v>23.84</v>
      </c>
      <c r="M47" s="64">
        <v>49.35</v>
      </c>
      <c r="N47" s="64">
        <v>510</v>
      </c>
      <c r="O47" s="64">
        <v>0</v>
      </c>
      <c r="P47" s="64">
        <v>1.33</v>
      </c>
      <c r="Q47" s="64">
        <v>10.59</v>
      </c>
      <c r="R47" s="198"/>
      <c r="S47" s="198"/>
      <c r="T47" s="198"/>
      <c r="U47" s="198"/>
    </row>
    <row r="48" spans="1:21" s="12" customFormat="1" x14ac:dyDescent="0.25">
      <c r="A48" s="214" t="s">
        <v>1439</v>
      </c>
      <c r="B48" s="64">
        <v>45.68</v>
      </c>
      <c r="C48" s="64">
        <v>64.599999999999994</v>
      </c>
      <c r="D48" s="64">
        <v>72.930000000000007</v>
      </c>
      <c r="E48" s="64">
        <v>0.69</v>
      </c>
      <c r="F48" s="64">
        <v>7.63</v>
      </c>
      <c r="G48" s="64">
        <v>170.35</v>
      </c>
      <c r="H48" s="64">
        <v>79.59</v>
      </c>
      <c r="I48" s="64">
        <v>1.48</v>
      </c>
      <c r="J48" s="64">
        <v>0.22</v>
      </c>
      <c r="K48" s="64">
        <v>18.2</v>
      </c>
      <c r="L48" s="64">
        <v>24.28</v>
      </c>
      <c r="M48" s="64">
        <v>47.85</v>
      </c>
      <c r="N48" s="64">
        <v>536.70000000000005</v>
      </c>
      <c r="O48" s="64">
        <v>0</v>
      </c>
      <c r="P48" s="64">
        <v>1.42</v>
      </c>
      <c r="Q48" s="64">
        <v>8.8699999999999992</v>
      </c>
      <c r="R48" s="198"/>
      <c r="S48" s="198"/>
      <c r="T48" s="198"/>
      <c r="U48" s="198"/>
    </row>
    <row r="49" spans="1:21" s="12" customFormat="1" x14ac:dyDescent="0.25">
      <c r="A49" s="214" t="s">
        <v>1440</v>
      </c>
      <c r="B49" s="64">
        <v>42.58</v>
      </c>
      <c r="C49" s="64">
        <v>65.760000000000005</v>
      </c>
      <c r="D49" s="64">
        <v>71.09</v>
      </c>
      <c r="E49" s="64">
        <v>0.48</v>
      </c>
      <c r="F49" s="64">
        <v>7.36</v>
      </c>
      <c r="G49" s="64">
        <v>170.35</v>
      </c>
      <c r="H49" s="64">
        <v>79.59</v>
      </c>
      <c r="I49" s="64">
        <v>1.57</v>
      </c>
      <c r="J49" s="64">
        <v>0.09</v>
      </c>
      <c r="K49" s="64">
        <v>113.56</v>
      </c>
      <c r="L49" s="64">
        <v>23.81</v>
      </c>
      <c r="M49" s="64">
        <v>48.99</v>
      </c>
      <c r="N49" s="64">
        <v>567</v>
      </c>
      <c r="O49" s="64">
        <v>0</v>
      </c>
      <c r="P49" s="64">
        <v>1.25</v>
      </c>
      <c r="Q49" s="64">
        <v>8.77</v>
      </c>
      <c r="R49" s="198"/>
      <c r="S49" s="198"/>
      <c r="T49" s="198"/>
      <c r="U49" s="198"/>
    </row>
    <row r="50" spans="1:21" s="12" customFormat="1" x14ac:dyDescent="0.25">
      <c r="A50" s="214" t="s">
        <v>1441</v>
      </c>
      <c r="B50" s="64">
        <v>38.58</v>
      </c>
      <c r="C50" s="64">
        <v>67.11</v>
      </c>
      <c r="D50" s="64">
        <v>68.62</v>
      </c>
      <c r="E50" s="64">
        <v>0.31</v>
      </c>
      <c r="F50" s="64">
        <v>9.42</v>
      </c>
      <c r="G50" s="64">
        <v>170.35</v>
      </c>
      <c r="H50" s="64">
        <v>79.59</v>
      </c>
      <c r="I50" s="64">
        <v>1.47</v>
      </c>
      <c r="J50" s="64">
        <v>1.38</v>
      </c>
      <c r="K50" s="64">
        <v>143.43</v>
      </c>
      <c r="L50" s="64">
        <v>22.57</v>
      </c>
      <c r="M50" s="64">
        <v>51</v>
      </c>
      <c r="N50" s="64">
        <v>625.70000000000005</v>
      </c>
      <c r="O50" s="64">
        <v>0</v>
      </c>
      <c r="P50" s="64">
        <v>0.96</v>
      </c>
      <c r="Q50" s="64">
        <v>8.99</v>
      </c>
      <c r="R50" s="198"/>
      <c r="S50" s="198"/>
      <c r="T50" s="198"/>
      <c r="U50" s="198"/>
    </row>
    <row r="51" spans="1:21" s="12" customFormat="1" x14ac:dyDescent="0.25">
      <c r="A51" s="214" t="s">
        <v>1442</v>
      </c>
      <c r="B51" s="64">
        <v>26.34</v>
      </c>
      <c r="C51" s="64">
        <v>71.53</v>
      </c>
      <c r="D51" s="64">
        <v>61.24</v>
      </c>
      <c r="E51" s="64">
        <v>0.36</v>
      </c>
      <c r="F51" s="64">
        <v>13.31</v>
      </c>
      <c r="G51" s="64">
        <v>160.22999999999999</v>
      </c>
      <c r="H51" s="64">
        <v>77.62</v>
      </c>
      <c r="I51" s="64">
        <v>1.48</v>
      </c>
      <c r="J51" s="64">
        <v>0.3</v>
      </c>
      <c r="K51" s="64">
        <v>123.7</v>
      </c>
      <c r="L51" s="64">
        <v>23.39</v>
      </c>
      <c r="M51" s="64">
        <v>49.51</v>
      </c>
      <c r="N51" s="64">
        <v>629.6</v>
      </c>
      <c r="O51" s="64">
        <v>0</v>
      </c>
      <c r="P51" s="64">
        <v>0.82</v>
      </c>
      <c r="Q51" s="64">
        <v>9.19</v>
      </c>
      <c r="R51" s="198"/>
      <c r="S51" s="198"/>
      <c r="T51" s="198"/>
      <c r="U51" s="198"/>
    </row>
    <row r="52" spans="1:21" s="12" customFormat="1" x14ac:dyDescent="0.25">
      <c r="A52" s="214" t="s">
        <v>1443</v>
      </c>
      <c r="B52" s="64">
        <v>17.37</v>
      </c>
      <c r="C52" s="64">
        <v>76</v>
      </c>
      <c r="D52" s="64">
        <v>56.51</v>
      </c>
      <c r="E52" s="64">
        <v>0.38</v>
      </c>
      <c r="F52" s="64">
        <v>17.53</v>
      </c>
      <c r="G52" s="64">
        <v>119.76</v>
      </c>
      <c r="H52" s="64">
        <v>72.28</v>
      </c>
      <c r="I52" s="64">
        <v>1.49</v>
      </c>
      <c r="J52" s="64">
        <v>0.8</v>
      </c>
      <c r="K52" s="64">
        <v>115.86</v>
      </c>
      <c r="L52" s="64">
        <v>23.14</v>
      </c>
      <c r="M52" s="64">
        <v>47.76</v>
      </c>
      <c r="N52" s="64">
        <v>662</v>
      </c>
      <c r="O52" s="64">
        <v>0</v>
      </c>
      <c r="P52" s="64">
        <v>0.7</v>
      </c>
      <c r="Q52" s="64">
        <v>8.61</v>
      </c>
      <c r="R52" s="198"/>
      <c r="S52" s="198"/>
      <c r="T52" s="198"/>
      <c r="U52" s="198"/>
    </row>
    <row r="53" spans="1:21" s="12" customFormat="1" x14ac:dyDescent="0.25">
      <c r="A53" s="214" t="s">
        <v>1444</v>
      </c>
      <c r="B53" s="64">
        <v>14</v>
      </c>
      <c r="C53" s="64">
        <v>73.599999999999994</v>
      </c>
      <c r="D53" s="64">
        <v>52.49</v>
      </c>
      <c r="E53" s="64">
        <v>0.37</v>
      </c>
      <c r="F53" s="64">
        <v>19.600000000000001</v>
      </c>
      <c r="G53" s="64">
        <v>119.76</v>
      </c>
      <c r="H53" s="64">
        <v>72.28</v>
      </c>
      <c r="I53" s="64">
        <v>1.49</v>
      </c>
      <c r="J53" s="64">
        <v>0.97</v>
      </c>
      <c r="K53" s="64">
        <v>118.14</v>
      </c>
      <c r="L53" s="64">
        <v>22.72</v>
      </c>
      <c r="M53" s="64">
        <v>47.18</v>
      </c>
      <c r="N53" s="64">
        <v>691.5</v>
      </c>
      <c r="O53" s="64">
        <v>0</v>
      </c>
      <c r="P53" s="64">
        <v>0.57999999999999996</v>
      </c>
      <c r="Q53" s="64">
        <v>8.26</v>
      </c>
      <c r="R53" s="198"/>
      <c r="S53" s="198"/>
      <c r="T53" s="198"/>
      <c r="U53" s="198"/>
    </row>
    <row r="54" spans="1:21" s="12" customFormat="1" x14ac:dyDescent="0.25">
      <c r="A54" s="214" t="s">
        <v>1445</v>
      </c>
      <c r="B54" s="64">
        <v>12.09</v>
      </c>
      <c r="C54" s="64">
        <v>69.63</v>
      </c>
      <c r="D54" s="64">
        <v>48.77</v>
      </c>
      <c r="E54" s="64">
        <v>0.44</v>
      </c>
      <c r="F54" s="64">
        <v>31.11</v>
      </c>
      <c r="G54" s="64">
        <v>119.76</v>
      </c>
      <c r="H54" s="64">
        <v>72.28</v>
      </c>
      <c r="I54" s="64">
        <v>1.41</v>
      </c>
      <c r="J54" s="64">
        <v>0.18</v>
      </c>
      <c r="K54" s="64">
        <v>353.07</v>
      </c>
      <c r="L54" s="64">
        <v>24.98</v>
      </c>
      <c r="M54" s="64">
        <v>39.18</v>
      </c>
      <c r="N54" s="64">
        <v>663.1</v>
      </c>
      <c r="O54" s="64">
        <v>0</v>
      </c>
      <c r="P54" s="64">
        <v>0.55000000000000004</v>
      </c>
      <c r="Q54" s="64">
        <v>7.3</v>
      </c>
      <c r="R54" s="198"/>
      <c r="S54" s="198"/>
      <c r="T54" s="198"/>
      <c r="U54" s="198"/>
    </row>
    <row r="55" spans="1:21" s="12" customFormat="1" x14ac:dyDescent="0.25">
      <c r="A55" s="214" t="s">
        <v>1446</v>
      </c>
      <c r="B55" s="64">
        <v>10.61</v>
      </c>
      <c r="C55" s="64">
        <v>68.209999999999994</v>
      </c>
      <c r="D55" s="64">
        <v>46.79</v>
      </c>
      <c r="E55" s="64">
        <v>0.44</v>
      </c>
      <c r="F55" s="64">
        <v>31.81</v>
      </c>
      <c r="G55" s="64">
        <v>106.55</v>
      </c>
      <c r="H55" s="64">
        <v>66.98</v>
      </c>
      <c r="I55" s="64">
        <v>1.48</v>
      </c>
      <c r="J55" s="64">
        <v>0.33</v>
      </c>
      <c r="K55" s="64">
        <v>327.52</v>
      </c>
      <c r="L55" s="64">
        <v>27.79</v>
      </c>
      <c r="M55" s="64">
        <v>34.799999999999997</v>
      </c>
      <c r="N55" s="64">
        <v>646</v>
      </c>
      <c r="O55" s="64">
        <v>0</v>
      </c>
      <c r="P55" s="64">
        <v>0.71</v>
      </c>
      <c r="Q55" s="64">
        <v>5.87</v>
      </c>
      <c r="R55" s="198"/>
      <c r="S55" s="198"/>
      <c r="T55" s="198"/>
      <c r="U55" s="198"/>
    </row>
    <row r="56" spans="1:21" s="12" customFormat="1" x14ac:dyDescent="0.25">
      <c r="A56" s="214" t="s">
        <v>1447</v>
      </c>
      <c r="B56" s="64">
        <v>7.4</v>
      </c>
      <c r="C56" s="64">
        <v>71.37</v>
      </c>
      <c r="D56" s="64">
        <v>45.96</v>
      </c>
      <c r="E56" s="64">
        <v>0.37</v>
      </c>
      <c r="F56" s="64">
        <v>28.13</v>
      </c>
      <c r="G56" s="64">
        <v>53.69</v>
      </c>
      <c r="H56" s="64">
        <v>52.54</v>
      </c>
      <c r="I56" s="64">
        <v>1.42</v>
      </c>
      <c r="J56" s="64">
        <v>0.11</v>
      </c>
      <c r="K56" s="64">
        <v>356.7</v>
      </c>
      <c r="L56" s="64">
        <v>27.75</v>
      </c>
      <c r="M56" s="64">
        <v>35.25</v>
      </c>
      <c r="N56" s="64">
        <v>621.4</v>
      </c>
      <c r="O56" s="64">
        <v>0</v>
      </c>
      <c r="P56" s="64">
        <v>0.81</v>
      </c>
      <c r="Q56" s="64">
        <v>4.72</v>
      </c>
      <c r="R56" s="198"/>
      <c r="S56" s="198"/>
      <c r="T56" s="198"/>
      <c r="U56" s="198"/>
    </row>
    <row r="57" spans="1:21" s="12" customFormat="1" x14ac:dyDescent="0.25">
      <c r="A57" s="214" t="s">
        <v>1448</v>
      </c>
      <c r="B57" s="64">
        <v>5.59</v>
      </c>
      <c r="C57" s="64">
        <v>71.84</v>
      </c>
      <c r="D57" s="64">
        <v>44.78</v>
      </c>
      <c r="E57" s="64">
        <v>0.67</v>
      </c>
      <c r="F57" s="64">
        <v>34.049999999999997</v>
      </c>
      <c r="G57" s="64">
        <v>53.69</v>
      </c>
      <c r="H57" s="64">
        <v>52.54</v>
      </c>
      <c r="I57" s="64">
        <v>1.51</v>
      </c>
      <c r="J57" s="64">
        <v>0.22</v>
      </c>
      <c r="K57" s="64">
        <v>32.61</v>
      </c>
      <c r="L57" s="64">
        <v>26.09</v>
      </c>
      <c r="M57" s="64">
        <v>37.93</v>
      </c>
      <c r="N57" s="64">
        <v>580.9</v>
      </c>
      <c r="O57" s="64">
        <v>0</v>
      </c>
      <c r="P57" s="64">
        <v>0.69</v>
      </c>
      <c r="Q57" s="64">
        <v>3.41</v>
      </c>
      <c r="R57" s="198"/>
      <c r="S57" s="198"/>
      <c r="T57" s="198"/>
      <c r="U57" s="198"/>
    </row>
    <row r="58" spans="1:21" s="12" customFormat="1" x14ac:dyDescent="0.25">
      <c r="A58" s="214" t="s">
        <v>1449</v>
      </c>
      <c r="B58" s="64">
        <v>4.6100000000000003</v>
      </c>
      <c r="C58" s="64">
        <v>71.25</v>
      </c>
      <c r="D58" s="64">
        <v>43.67</v>
      </c>
      <c r="E58" s="64">
        <v>0.7</v>
      </c>
      <c r="F58" s="64">
        <v>41.55</v>
      </c>
      <c r="G58" s="64">
        <v>53.69</v>
      </c>
      <c r="H58" s="64">
        <v>52.54</v>
      </c>
      <c r="I58" s="64">
        <v>1.53</v>
      </c>
      <c r="J58" s="64">
        <v>0.31</v>
      </c>
      <c r="K58" s="64">
        <v>119.69</v>
      </c>
      <c r="L58" s="64">
        <v>25.12</v>
      </c>
      <c r="M58" s="64">
        <v>38.75</v>
      </c>
      <c r="N58" s="64">
        <v>506.8</v>
      </c>
      <c r="O58" s="64">
        <v>0</v>
      </c>
      <c r="P58" s="64">
        <v>0.61</v>
      </c>
      <c r="Q58" s="64">
        <v>3.67</v>
      </c>
      <c r="R58" s="198"/>
      <c r="S58" s="198"/>
      <c r="T58" s="198"/>
      <c r="U58" s="198"/>
    </row>
    <row r="59" spans="1:21" s="12" customFormat="1" x14ac:dyDescent="0.25">
      <c r="A59" s="214" t="s">
        <v>1450</v>
      </c>
      <c r="B59" s="64">
        <v>3.49</v>
      </c>
      <c r="C59" s="64">
        <v>68.87</v>
      </c>
      <c r="D59" s="64">
        <v>41.45</v>
      </c>
      <c r="E59" s="64">
        <v>0.85</v>
      </c>
      <c r="F59" s="64">
        <v>48.45</v>
      </c>
      <c r="G59" s="64">
        <v>68.22</v>
      </c>
      <c r="H59" s="64">
        <v>50.87</v>
      </c>
      <c r="I59" s="64">
        <v>1.46</v>
      </c>
      <c r="J59" s="64">
        <v>0.15</v>
      </c>
      <c r="K59" s="64">
        <v>45.86</v>
      </c>
      <c r="L59" s="64">
        <v>25.1</v>
      </c>
      <c r="M59" s="64">
        <v>40.700000000000003</v>
      </c>
      <c r="N59" s="64">
        <v>454.5</v>
      </c>
      <c r="O59" s="64">
        <v>0</v>
      </c>
      <c r="P59" s="64">
        <v>0.69</v>
      </c>
      <c r="Q59" s="64">
        <v>4.6100000000000003</v>
      </c>
      <c r="R59" s="198"/>
      <c r="S59" s="198"/>
      <c r="T59" s="198"/>
      <c r="U59" s="198"/>
    </row>
    <row r="60" spans="1:21" s="12" customFormat="1" x14ac:dyDescent="0.25">
      <c r="A60" s="214" t="s">
        <v>1451</v>
      </c>
      <c r="B60" s="64">
        <v>2.41</v>
      </c>
      <c r="C60" s="64">
        <v>65.05</v>
      </c>
      <c r="D60" s="64">
        <v>38.47</v>
      </c>
      <c r="E60" s="64">
        <v>0.84</v>
      </c>
      <c r="F60" s="64">
        <v>36.729999999999997</v>
      </c>
      <c r="G60" s="64">
        <v>122.53</v>
      </c>
      <c r="H60" s="64">
        <v>43.42</v>
      </c>
      <c r="I60" s="64">
        <v>1.51</v>
      </c>
      <c r="J60" s="64">
        <v>0.4</v>
      </c>
      <c r="K60" s="64">
        <v>141.02000000000001</v>
      </c>
      <c r="L60" s="64">
        <v>24.69</v>
      </c>
      <c r="M60" s="64">
        <v>39.630000000000003</v>
      </c>
      <c r="N60" s="64">
        <v>418.5</v>
      </c>
      <c r="O60" s="64">
        <v>0</v>
      </c>
      <c r="P60" s="64">
        <v>0.64</v>
      </c>
      <c r="Q60" s="64">
        <v>3.95</v>
      </c>
      <c r="R60" s="198"/>
      <c r="S60" s="198"/>
      <c r="T60" s="198"/>
      <c r="U60" s="198"/>
    </row>
    <row r="61" spans="1:21" s="12" customFormat="1" x14ac:dyDescent="0.25">
      <c r="A61" s="214" t="s">
        <v>1452</v>
      </c>
      <c r="B61" s="64">
        <v>1.84</v>
      </c>
      <c r="C61" s="64">
        <v>61.2</v>
      </c>
      <c r="D61" s="64">
        <v>35.9</v>
      </c>
      <c r="E61" s="64">
        <v>0.97</v>
      </c>
      <c r="F61" s="64">
        <v>38.090000000000003</v>
      </c>
      <c r="G61" s="64">
        <v>122.53</v>
      </c>
      <c r="H61" s="64">
        <v>43.42</v>
      </c>
      <c r="I61" s="64">
        <v>1.46</v>
      </c>
      <c r="J61" s="64">
        <v>0.21</v>
      </c>
      <c r="K61" s="64">
        <v>348.45</v>
      </c>
      <c r="L61" s="64">
        <v>25.72</v>
      </c>
      <c r="M61" s="64">
        <v>39.18</v>
      </c>
      <c r="N61" s="64">
        <v>413.7</v>
      </c>
      <c r="O61" s="64">
        <v>0</v>
      </c>
      <c r="P61" s="64">
        <v>0.84</v>
      </c>
      <c r="Q61" s="64">
        <v>3.38</v>
      </c>
      <c r="R61" s="198"/>
      <c r="S61" s="198"/>
      <c r="T61" s="198"/>
      <c r="U61" s="198"/>
    </row>
    <row r="62" spans="1:21" s="12" customFormat="1" x14ac:dyDescent="0.25">
      <c r="A62" s="214" t="s">
        <v>1453</v>
      </c>
      <c r="B62" s="64">
        <v>2.66</v>
      </c>
      <c r="C62" s="64">
        <v>65.400000000000006</v>
      </c>
      <c r="D62" s="64">
        <v>38.869999999999997</v>
      </c>
      <c r="E62" s="64">
        <v>1.39</v>
      </c>
      <c r="F62" s="64">
        <v>32.71</v>
      </c>
      <c r="G62" s="64">
        <v>122.53</v>
      </c>
      <c r="H62" s="64">
        <v>43.42</v>
      </c>
      <c r="I62" s="64">
        <v>1.5</v>
      </c>
      <c r="J62" s="64">
        <v>0.67</v>
      </c>
      <c r="K62" s="64">
        <v>337.82</v>
      </c>
      <c r="L62" s="64">
        <v>26.1</v>
      </c>
      <c r="M62" s="64">
        <v>37.229999999999997</v>
      </c>
      <c r="N62" s="64">
        <v>438.7</v>
      </c>
      <c r="O62" s="64">
        <v>0</v>
      </c>
      <c r="P62" s="64">
        <v>0.93</v>
      </c>
      <c r="Q62" s="64">
        <v>1.69</v>
      </c>
      <c r="R62" s="198"/>
      <c r="S62" s="198"/>
      <c r="T62" s="198"/>
      <c r="U62" s="198"/>
    </row>
    <row r="63" spans="1:21" s="12" customFormat="1" x14ac:dyDescent="0.25">
      <c r="A63" s="214" t="s">
        <v>1454</v>
      </c>
      <c r="B63" s="64">
        <v>3.14</v>
      </c>
      <c r="C63" s="64">
        <v>66.89</v>
      </c>
      <c r="D63" s="64">
        <v>40.08</v>
      </c>
      <c r="E63" s="64">
        <v>1.68</v>
      </c>
      <c r="F63" s="64">
        <v>43.03</v>
      </c>
      <c r="G63" s="64">
        <v>116.19</v>
      </c>
      <c r="H63" s="64">
        <v>45.18</v>
      </c>
      <c r="I63" s="64">
        <v>1.56</v>
      </c>
      <c r="J63" s="64">
        <v>1.48</v>
      </c>
      <c r="K63" s="64">
        <v>334.96</v>
      </c>
      <c r="L63" s="64">
        <v>27.18</v>
      </c>
      <c r="M63" s="64">
        <v>33.74</v>
      </c>
      <c r="N63" s="64">
        <v>400.6</v>
      </c>
      <c r="O63" s="64">
        <v>0</v>
      </c>
      <c r="P63" s="64">
        <v>0.49</v>
      </c>
      <c r="Q63" s="64">
        <v>3.35</v>
      </c>
      <c r="R63" s="198"/>
      <c r="S63" s="198"/>
      <c r="T63" s="198"/>
      <c r="U63" s="198"/>
    </row>
    <row r="64" spans="1:21" s="12" customFormat="1" x14ac:dyDescent="0.25">
      <c r="A64" s="214" t="s">
        <v>1455</v>
      </c>
      <c r="B64" s="64">
        <v>3.61</v>
      </c>
      <c r="C64" s="64">
        <v>65.53</v>
      </c>
      <c r="D64" s="64">
        <v>39.71</v>
      </c>
      <c r="E64" s="64">
        <v>1.62</v>
      </c>
      <c r="F64" s="64">
        <v>23.99</v>
      </c>
      <c r="G64" s="64">
        <v>90.82</v>
      </c>
      <c r="H64" s="64">
        <v>49.98</v>
      </c>
      <c r="I64" s="64">
        <v>1.54</v>
      </c>
      <c r="J64" s="64">
        <v>0.66</v>
      </c>
      <c r="K64" s="64">
        <v>331.13</v>
      </c>
      <c r="L64" s="64">
        <v>27.26</v>
      </c>
      <c r="M64" s="64">
        <v>33.78</v>
      </c>
      <c r="N64" s="64">
        <v>238.6</v>
      </c>
      <c r="O64" s="64">
        <v>0</v>
      </c>
      <c r="P64" s="64">
        <v>0.66</v>
      </c>
      <c r="Q64" s="64">
        <v>4.3099999999999996</v>
      </c>
      <c r="R64" s="198"/>
      <c r="S64" s="198"/>
      <c r="T64" s="198"/>
      <c r="U64" s="198"/>
    </row>
    <row r="65" spans="1:21" s="12" customFormat="1" x14ac:dyDescent="0.25">
      <c r="A65" s="214" t="s">
        <v>1456</v>
      </c>
      <c r="B65" s="64">
        <v>3.62</v>
      </c>
      <c r="C65" s="64">
        <v>65.11</v>
      </c>
      <c r="D65" s="64">
        <v>39.479999999999997</v>
      </c>
      <c r="E65" s="64">
        <v>1.79</v>
      </c>
      <c r="F65" s="64">
        <v>35.4</v>
      </c>
      <c r="G65" s="64">
        <v>90.82</v>
      </c>
      <c r="H65" s="64">
        <v>49.98</v>
      </c>
      <c r="I65" s="64">
        <v>1.55</v>
      </c>
      <c r="J65" s="64">
        <v>1.28</v>
      </c>
      <c r="K65" s="64">
        <v>343.25</v>
      </c>
      <c r="L65" s="64">
        <v>26.89</v>
      </c>
      <c r="M65" s="64">
        <v>33.92</v>
      </c>
      <c r="N65" s="64">
        <v>220.6</v>
      </c>
      <c r="O65" s="64">
        <v>0</v>
      </c>
      <c r="P65" s="64">
        <v>0.64</v>
      </c>
      <c r="Q65" s="64">
        <v>3.97</v>
      </c>
      <c r="R65" s="198"/>
      <c r="S65" s="198"/>
      <c r="T65" s="198"/>
      <c r="U65" s="198"/>
    </row>
    <row r="66" spans="1:21" s="12" customFormat="1" x14ac:dyDescent="0.25">
      <c r="A66" s="214" t="s">
        <v>1457</v>
      </c>
      <c r="B66" s="64">
        <v>3.8</v>
      </c>
      <c r="C66" s="64">
        <v>67.31</v>
      </c>
      <c r="D66" s="64">
        <v>40.840000000000003</v>
      </c>
      <c r="E66" s="64">
        <v>1.68</v>
      </c>
      <c r="F66" s="64">
        <v>33.26</v>
      </c>
      <c r="G66" s="64">
        <v>90.82</v>
      </c>
      <c r="H66" s="64">
        <v>49.98</v>
      </c>
      <c r="I66" s="64">
        <v>1.48</v>
      </c>
      <c r="J66" s="64">
        <v>1.08</v>
      </c>
      <c r="K66" s="64">
        <v>337.54</v>
      </c>
      <c r="L66" s="64">
        <v>26.7</v>
      </c>
      <c r="M66" s="64">
        <v>33.9</v>
      </c>
      <c r="N66" s="64">
        <v>199.1</v>
      </c>
      <c r="O66" s="64">
        <v>0</v>
      </c>
      <c r="P66" s="64">
        <v>0.59</v>
      </c>
      <c r="Q66" s="64">
        <v>3.04</v>
      </c>
      <c r="R66" s="198"/>
      <c r="S66" s="198"/>
      <c r="T66" s="198"/>
      <c r="U66" s="198"/>
    </row>
    <row r="67" spans="1:21" s="12" customFormat="1" x14ac:dyDescent="0.25">
      <c r="A67" s="214" t="s">
        <v>1458</v>
      </c>
      <c r="B67" s="64">
        <v>3.85</v>
      </c>
      <c r="C67" s="64">
        <v>67.099999999999994</v>
      </c>
      <c r="D67" s="64">
        <v>40.76</v>
      </c>
      <c r="E67" s="64">
        <v>1.21</v>
      </c>
      <c r="F67" s="64">
        <v>22.58</v>
      </c>
      <c r="G67" s="64">
        <v>86.15</v>
      </c>
      <c r="H67" s="64">
        <v>47.24</v>
      </c>
      <c r="I67" s="64">
        <v>1.5</v>
      </c>
      <c r="J67" s="64">
        <v>0.6</v>
      </c>
      <c r="K67" s="64">
        <v>332.41</v>
      </c>
      <c r="L67" s="64">
        <v>26.32</v>
      </c>
      <c r="M67" s="64">
        <v>35.15</v>
      </c>
      <c r="N67" s="64">
        <v>229.7</v>
      </c>
      <c r="O67" s="64">
        <v>0</v>
      </c>
      <c r="P67" s="64">
        <v>0.59</v>
      </c>
      <c r="Q67" s="64">
        <v>4.1399999999999997</v>
      </c>
      <c r="R67" s="198"/>
      <c r="S67" s="198"/>
      <c r="T67" s="198"/>
      <c r="U67" s="198"/>
    </row>
    <row r="68" spans="1:21" s="12" customFormat="1" x14ac:dyDescent="0.25">
      <c r="A68" s="214" t="s">
        <v>1459</v>
      </c>
      <c r="B68" s="64">
        <v>4.17</v>
      </c>
      <c r="C68" s="64">
        <v>65.8</v>
      </c>
      <c r="D68" s="64">
        <v>40.31</v>
      </c>
      <c r="E68" s="64">
        <v>0.72</v>
      </c>
      <c r="F68" s="64">
        <v>9.7799999999999994</v>
      </c>
      <c r="G68" s="64">
        <v>67.489999999999995</v>
      </c>
      <c r="H68" s="64">
        <v>39.79</v>
      </c>
      <c r="I68" s="64">
        <v>1.58</v>
      </c>
      <c r="J68" s="64">
        <v>0.34</v>
      </c>
      <c r="K68" s="64">
        <v>337.29</v>
      </c>
      <c r="L68" s="64">
        <v>25.44</v>
      </c>
      <c r="M68" s="64">
        <v>36.44</v>
      </c>
      <c r="N68" s="64">
        <v>165.7</v>
      </c>
      <c r="O68" s="64">
        <v>0</v>
      </c>
      <c r="P68" s="64">
        <v>0.62</v>
      </c>
      <c r="Q68" s="64">
        <v>4.4400000000000004</v>
      </c>
      <c r="R68" s="198"/>
      <c r="S68" s="198"/>
      <c r="T68" s="198"/>
      <c r="U68" s="198"/>
    </row>
    <row r="69" spans="1:21" s="12" customFormat="1" x14ac:dyDescent="0.25">
      <c r="A69" s="214" t="s">
        <v>1460</v>
      </c>
      <c r="B69" s="64">
        <v>4.53</v>
      </c>
      <c r="C69" s="64">
        <v>64.91</v>
      </c>
      <c r="D69" s="64">
        <v>40.1</v>
      </c>
      <c r="E69" s="64">
        <v>0.91</v>
      </c>
      <c r="F69" s="64">
        <v>25.2</v>
      </c>
      <c r="G69" s="64">
        <v>67.489999999999995</v>
      </c>
      <c r="H69" s="64">
        <v>39.79</v>
      </c>
      <c r="I69" s="64">
        <v>1.54</v>
      </c>
      <c r="J69" s="64">
        <v>0.99</v>
      </c>
      <c r="K69" s="64">
        <v>341.41</v>
      </c>
      <c r="L69" s="64">
        <v>24.95</v>
      </c>
      <c r="M69" s="64">
        <v>38.090000000000003</v>
      </c>
      <c r="N69" s="64">
        <v>142</v>
      </c>
      <c r="O69" s="64">
        <v>0</v>
      </c>
      <c r="P69" s="64">
        <v>0.61</v>
      </c>
      <c r="Q69" s="64">
        <v>4.1900000000000004</v>
      </c>
      <c r="R69" s="198"/>
      <c r="S69" s="198"/>
      <c r="T69" s="198"/>
      <c r="U69" s="198"/>
    </row>
    <row r="70" spans="1:21" s="12" customFormat="1" x14ac:dyDescent="0.25">
      <c r="A70" s="214" t="s">
        <v>1461</v>
      </c>
      <c r="B70" s="64">
        <v>4.83</v>
      </c>
      <c r="C70" s="64">
        <v>64.19</v>
      </c>
      <c r="D70" s="64">
        <v>39.94</v>
      </c>
      <c r="E70" s="64">
        <v>1.64</v>
      </c>
      <c r="F70" s="64">
        <v>35.369999999999997</v>
      </c>
      <c r="G70" s="64">
        <v>67.489999999999995</v>
      </c>
      <c r="H70" s="64">
        <v>39.79</v>
      </c>
      <c r="I70" s="64">
        <v>1.54</v>
      </c>
      <c r="J70" s="64">
        <v>1.1399999999999999</v>
      </c>
      <c r="K70" s="64">
        <v>338.71</v>
      </c>
      <c r="L70" s="64">
        <v>24.1</v>
      </c>
      <c r="M70" s="64">
        <v>39.92</v>
      </c>
      <c r="N70" s="64">
        <v>109.6</v>
      </c>
      <c r="O70" s="64">
        <v>0</v>
      </c>
      <c r="P70" s="64">
        <v>0.63</v>
      </c>
      <c r="Q70" s="64">
        <v>3.84</v>
      </c>
      <c r="R70" s="198"/>
      <c r="S70" s="198"/>
      <c r="T70" s="198"/>
      <c r="U70" s="198"/>
    </row>
    <row r="71" spans="1:21" s="12" customFormat="1" x14ac:dyDescent="0.25">
      <c r="A71" s="214" t="s">
        <v>1462</v>
      </c>
      <c r="B71" s="64">
        <v>5.0199999999999996</v>
      </c>
      <c r="C71" s="64">
        <v>63.39</v>
      </c>
      <c r="D71" s="64">
        <v>39.659999999999997</v>
      </c>
      <c r="E71" s="64">
        <v>1.1100000000000001</v>
      </c>
      <c r="F71" s="64">
        <v>24.59</v>
      </c>
      <c r="G71" s="64">
        <v>66.28</v>
      </c>
      <c r="H71" s="64">
        <v>39.159999999999997</v>
      </c>
      <c r="I71" s="64">
        <v>1.55</v>
      </c>
      <c r="J71" s="64">
        <v>0.73</v>
      </c>
      <c r="K71" s="64">
        <v>334.27</v>
      </c>
      <c r="L71" s="64">
        <v>23.58</v>
      </c>
      <c r="M71" s="64">
        <v>41.47</v>
      </c>
      <c r="N71" s="64">
        <v>104.2</v>
      </c>
      <c r="O71" s="64">
        <v>0</v>
      </c>
      <c r="P71" s="64">
        <v>0.72</v>
      </c>
      <c r="Q71" s="64">
        <v>3.38</v>
      </c>
      <c r="R71" s="198"/>
      <c r="S71" s="198"/>
      <c r="T71" s="198"/>
      <c r="U71" s="198"/>
    </row>
    <row r="72" spans="1:21" s="12" customFormat="1" x14ac:dyDescent="0.25">
      <c r="A72" s="214" t="s">
        <v>1463</v>
      </c>
      <c r="B72" s="64">
        <v>5.4</v>
      </c>
      <c r="C72" s="64">
        <v>63.14</v>
      </c>
      <c r="D72" s="64">
        <v>39.83</v>
      </c>
      <c r="E72" s="64">
        <v>0.6</v>
      </c>
      <c r="F72" s="64">
        <v>19.96</v>
      </c>
      <c r="G72" s="64">
        <v>61.77</v>
      </c>
      <c r="H72" s="64">
        <v>37.44</v>
      </c>
      <c r="I72" s="64">
        <v>1.44</v>
      </c>
      <c r="J72" s="64">
        <v>0.7</v>
      </c>
      <c r="K72" s="64">
        <v>322.89</v>
      </c>
      <c r="L72" s="64">
        <v>23.45</v>
      </c>
      <c r="M72" s="64">
        <v>41.8</v>
      </c>
      <c r="N72" s="64">
        <v>95.9</v>
      </c>
      <c r="O72" s="64">
        <v>0</v>
      </c>
      <c r="P72" s="64">
        <v>0.72</v>
      </c>
      <c r="Q72" s="64">
        <v>3.29</v>
      </c>
      <c r="R72" s="198"/>
      <c r="S72" s="198"/>
      <c r="T72" s="198"/>
      <c r="U72" s="198"/>
    </row>
    <row r="73" spans="1:21" s="12" customFormat="1" x14ac:dyDescent="0.25">
      <c r="A73" s="214" t="s">
        <v>1464</v>
      </c>
      <c r="B73" s="64">
        <v>5.54</v>
      </c>
      <c r="C73" s="64">
        <v>63.28</v>
      </c>
      <c r="D73" s="64">
        <v>40.01</v>
      </c>
      <c r="E73" s="64">
        <v>1.24</v>
      </c>
      <c r="F73" s="64">
        <v>27.39</v>
      </c>
      <c r="G73" s="64">
        <v>61.77</v>
      </c>
      <c r="H73" s="64">
        <v>37.44</v>
      </c>
      <c r="I73" s="64">
        <v>1.47</v>
      </c>
      <c r="J73" s="64">
        <v>0.98</v>
      </c>
      <c r="K73" s="64">
        <v>349.36</v>
      </c>
      <c r="L73" s="64">
        <v>23.14</v>
      </c>
      <c r="M73" s="64">
        <v>42.48</v>
      </c>
      <c r="N73" s="64">
        <v>76.400000000000006</v>
      </c>
      <c r="O73" s="64">
        <v>0</v>
      </c>
      <c r="P73" s="64">
        <v>0.8</v>
      </c>
      <c r="Q73" s="64">
        <v>3.02</v>
      </c>
      <c r="R73" s="198"/>
      <c r="S73" s="198"/>
      <c r="T73" s="198"/>
      <c r="U73" s="198"/>
    </row>
    <row r="74" spans="1:21" s="12" customFormat="1" x14ac:dyDescent="0.25">
      <c r="A74" s="214" t="s">
        <v>1465</v>
      </c>
      <c r="B74" s="64">
        <v>6.04</v>
      </c>
      <c r="C74" s="64">
        <v>64.06</v>
      </c>
      <c r="D74" s="64">
        <v>40.840000000000003</v>
      </c>
      <c r="E74" s="64">
        <v>1.1299999999999999</v>
      </c>
      <c r="F74" s="64">
        <v>14.19</v>
      </c>
      <c r="G74" s="64">
        <v>61.77</v>
      </c>
      <c r="H74" s="64">
        <v>37.44</v>
      </c>
      <c r="I74" s="64">
        <v>1.5</v>
      </c>
      <c r="J74" s="64">
        <v>0.56000000000000005</v>
      </c>
      <c r="K74" s="64">
        <v>344.11</v>
      </c>
      <c r="L74" s="64">
        <v>22.79</v>
      </c>
      <c r="M74" s="64">
        <v>44.1</v>
      </c>
      <c r="N74" s="64">
        <v>58.5</v>
      </c>
      <c r="O74" s="64">
        <v>0</v>
      </c>
      <c r="P74" s="64">
        <v>0.94</v>
      </c>
      <c r="Q74" s="6" t="s">
        <v>42</v>
      </c>
      <c r="R74" s="198"/>
      <c r="S74" s="198"/>
      <c r="T74" s="198"/>
      <c r="U74" s="198"/>
    </row>
    <row r="75" spans="1:21" s="12" customFormat="1" x14ac:dyDescent="0.25">
      <c r="A75" s="214" t="s">
        <v>1466</v>
      </c>
      <c r="B75" s="64">
        <v>7.28</v>
      </c>
      <c r="C75" s="64">
        <v>65.09</v>
      </c>
      <c r="D75" s="64">
        <v>42.41</v>
      </c>
      <c r="E75" s="64">
        <v>0.92</v>
      </c>
      <c r="F75" s="64">
        <v>9.76</v>
      </c>
      <c r="G75" s="64">
        <v>68.27</v>
      </c>
      <c r="H75" s="64">
        <v>36.79</v>
      </c>
      <c r="I75" s="64">
        <v>1.52</v>
      </c>
      <c r="J75" s="64">
        <v>0.41</v>
      </c>
      <c r="K75" s="64">
        <v>345.58</v>
      </c>
      <c r="L75" s="64">
        <v>22.12</v>
      </c>
      <c r="M75" s="64">
        <v>47.2</v>
      </c>
      <c r="N75" s="64">
        <v>49.7</v>
      </c>
      <c r="O75" s="64">
        <v>0</v>
      </c>
      <c r="P75" s="64">
        <v>1.17</v>
      </c>
      <c r="Q75" s="64">
        <v>0.66</v>
      </c>
      <c r="R75" s="198"/>
      <c r="S75" s="198"/>
      <c r="T75" s="198"/>
      <c r="U75" s="198"/>
    </row>
    <row r="76" spans="1:21" s="12" customFormat="1" x14ac:dyDescent="0.25">
      <c r="A76" s="214" t="s">
        <v>1467</v>
      </c>
      <c r="B76" s="64">
        <v>8.82</v>
      </c>
      <c r="C76" s="64">
        <v>66.63</v>
      </c>
      <c r="D76" s="64">
        <v>44.49</v>
      </c>
      <c r="E76" s="64">
        <v>0.66</v>
      </c>
      <c r="F76" s="64">
        <v>5.94</v>
      </c>
      <c r="G76" s="64">
        <v>93.2</v>
      </c>
      <c r="H76" s="64">
        <v>34.08</v>
      </c>
      <c r="I76" s="64">
        <v>1.48</v>
      </c>
      <c r="J76" s="64">
        <v>0.11</v>
      </c>
      <c r="K76" s="64">
        <v>33.25</v>
      </c>
      <c r="L76" s="64">
        <v>21.36</v>
      </c>
      <c r="M76" s="64">
        <v>50.08</v>
      </c>
      <c r="N76" s="64">
        <v>38.200000000000003</v>
      </c>
      <c r="O76" s="64">
        <v>0</v>
      </c>
      <c r="P76" s="64">
        <v>1</v>
      </c>
      <c r="Q76" s="64">
        <v>1.81</v>
      </c>
      <c r="R76" s="198"/>
      <c r="S76" s="198"/>
      <c r="T76" s="198"/>
      <c r="U76" s="198"/>
    </row>
    <row r="77" spans="1:21" s="12" customFormat="1" x14ac:dyDescent="0.25">
      <c r="A77" s="214" t="s">
        <v>1468</v>
      </c>
      <c r="B77" s="64">
        <v>9.7100000000000009</v>
      </c>
      <c r="C77" s="64">
        <v>69.08</v>
      </c>
      <c r="D77" s="64">
        <v>46.56</v>
      </c>
      <c r="E77" s="64">
        <v>0.41</v>
      </c>
      <c r="F77" s="64">
        <v>4.72</v>
      </c>
      <c r="G77" s="64">
        <v>93.2</v>
      </c>
      <c r="H77" s="64">
        <v>34.08</v>
      </c>
      <c r="I77" s="64">
        <v>1.48</v>
      </c>
      <c r="J77" s="64">
        <v>0.19</v>
      </c>
      <c r="K77" s="64">
        <v>74.349999999999994</v>
      </c>
      <c r="L77" s="64">
        <v>20.72</v>
      </c>
      <c r="M77" s="64">
        <v>54.24</v>
      </c>
      <c r="N77" s="64">
        <v>28.8</v>
      </c>
      <c r="O77" s="64">
        <v>0</v>
      </c>
      <c r="P77" s="64">
        <v>0.86</v>
      </c>
      <c r="Q77" s="64">
        <v>4.4400000000000004</v>
      </c>
      <c r="R77" s="198"/>
      <c r="S77" s="198"/>
      <c r="T77" s="198"/>
      <c r="U77" s="198"/>
    </row>
    <row r="78" spans="1:21" s="12" customFormat="1" x14ac:dyDescent="0.25">
      <c r="A78" s="214" t="s">
        <v>1469</v>
      </c>
      <c r="B78" s="64">
        <v>8.86</v>
      </c>
      <c r="C78" s="64">
        <v>72.010000000000005</v>
      </c>
      <c r="D78" s="64">
        <v>47.49</v>
      </c>
      <c r="E78" s="64">
        <v>0.38</v>
      </c>
      <c r="F78" s="64">
        <v>4.25</v>
      </c>
      <c r="G78" s="64">
        <v>93.2</v>
      </c>
      <c r="H78" s="64">
        <v>34.08</v>
      </c>
      <c r="I78" s="64">
        <v>1.43</v>
      </c>
      <c r="J78" s="64">
        <v>0.14000000000000001</v>
      </c>
      <c r="K78" s="64">
        <v>70.430000000000007</v>
      </c>
      <c r="L78" s="64">
        <v>20.32</v>
      </c>
      <c r="M78" s="64">
        <v>61.01</v>
      </c>
      <c r="N78" s="64">
        <v>25.3</v>
      </c>
      <c r="O78" s="64">
        <v>0</v>
      </c>
      <c r="P78" s="64">
        <v>0.82</v>
      </c>
      <c r="Q78" s="64">
        <v>5.35</v>
      </c>
      <c r="R78" s="198"/>
      <c r="S78" s="198"/>
      <c r="T78" s="198"/>
      <c r="U78" s="198"/>
    </row>
    <row r="79" spans="1:21" s="12" customFormat="1" x14ac:dyDescent="0.25">
      <c r="A79" s="214" t="s">
        <v>1470</v>
      </c>
      <c r="B79" s="64">
        <v>9.1300000000000008</v>
      </c>
      <c r="C79" s="64">
        <v>73.16</v>
      </c>
      <c r="D79" s="64">
        <v>48.34</v>
      </c>
      <c r="E79" s="64">
        <v>0.53</v>
      </c>
      <c r="F79" s="64">
        <v>4.1100000000000003</v>
      </c>
      <c r="G79" s="64">
        <v>96.39</v>
      </c>
      <c r="H79" s="64">
        <v>34.54</v>
      </c>
      <c r="I79" s="64">
        <v>1.51</v>
      </c>
      <c r="J79" s="64">
        <v>0.12</v>
      </c>
      <c r="K79" s="64">
        <v>11.17</v>
      </c>
      <c r="L79" s="64">
        <v>19.63</v>
      </c>
      <c r="M79" s="64">
        <v>72.14</v>
      </c>
      <c r="N79" s="64">
        <v>24.4</v>
      </c>
      <c r="O79" s="64">
        <v>0</v>
      </c>
      <c r="P79" s="64">
        <v>1.62</v>
      </c>
      <c r="Q79" s="64">
        <v>2.17</v>
      </c>
      <c r="R79" s="198"/>
      <c r="S79" s="198"/>
      <c r="T79" s="198"/>
      <c r="U79" s="198"/>
    </row>
    <row r="80" spans="1:21" s="12" customFormat="1" x14ac:dyDescent="0.25">
      <c r="A80" s="214" t="s">
        <v>1471</v>
      </c>
      <c r="B80" s="64">
        <v>11.71</v>
      </c>
      <c r="C80" s="64">
        <v>72.66</v>
      </c>
      <c r="D80" s="64">
        <v>50.14</v>
      </c>
      <c r="E80" s="64">
        <v>0.6</v>
      </c>
      <c r="F80" s="64">
        <v>4.17</v>
      </c>
      <c r="G80" s="64">
        <v>109.13</v>
      </c>
      <c r="H80" s="64">
        <v>35.799999999999997</v>
      </c>
      <c r="I80" s="64">
        <v>1.44</v>
      </c>
      <c r="J80" s="64">
        <v>0.11</v>
      </c>
      <c r="K80" s="64">
        <v>59.53</v>
      </c>
      <c r="L80" s="64">
        <v>19.23</v>
      </c>
      <c r="M80" s="64">
        <v>71.36</v>
      </c>
      <c r="N80" s="64">
        <v>23.9</v>
      </c>
      <c r="O80" s="64">
        <v>0</v>
      </c>
      <c r="P80" s="64">
        <v>1.69</v>
      </c>
      <c r="Q80" s="64">
        <v>0.25</v>
      </c>
      <c r="R80" s="198"/>
      <c r="S80" s="198"/>
      <c r="T80" s="198"/>
      <c r="U80" s="198"/>
    </row>
    <row r="81" spans="1:26" s="12" customFormat="1" x14ac:dyDescent="0.25">
      <c r="A81" s="214" t="s">
        <v>1472</v>
      </c>
      <c r="B81" s="64">
        <v>14.27</v>
      </c>
      <c r="C81" s="64">
        <v>72.28</v>
      </c>
      <c r="D81" s="64">
        <v>51.98</v>
      </c>
      <c r="E81" s="64">
        <v>0.54</v>
      </c>
      <c r="F81" s="64">
        <v>4.08</v>
      </c>
      <c r="G81" s="64">
        <v>109.13</v>
      </c>
      <c r="H81" s="64">
        <v>35.799999999999997</v>
      </c>
      <c r="I81" s="64">
        <v>1.5</v>
      </c>
      <c r="J81" s="64">
        <v>0.06</v>
      </c>
      <c r="K81" s="64">
        <v>60.64</v>
      </c>
      <c r="L81" s="64">
        <v>18.98</v>
      </c>
      <c r="M81" s="64">
        <v>74.7</v>
      </c>
      <c r="N81" s="64">
        <v>24.2</v>
      </c>
      <c r="O81" s="64">
        <v>0</v>
      </c>
      <c r="P81" s="64">
        <v>1.65</v>
      </c>
      <c r="Q81" s="64">
        <v>0.4</v>
      </c>
      <c r="R81" s="198"/>
      <c r="S81" s="198"/>
      <c r="T81" s="198"/>
      <c r="U81" s="198"/>
    </row>
    <row r="82" spans="1:26" s="12" customFormat="1" x14ac:dyDescent="0.25">
      <c r="A82" s="214" t="s">
        <v>1473</v>
      </c>
      <c r="B82" s="64">
        <v>15.97</v>
      </c>
      <c r="C82" s="64">
        <v>71.63</v>
      </c>
      <c r="D82" s="64">
        <v>52.98</v>
      </c>
      <c r="E82" s="64">
        <v>0.42</v>
      </c>
      <c r="F82" s="64">
        <v>4.34</v>
      </c>
      <c r="G82" s="64">
        <v>109.13</v>
      </c>
      <c r="H82" s="64">
        <v>35.799999999999997</v>
      </c>
      <c r="I82" s="64">
        <v>1.51</v>
      </c>
      <c r="J82" s="64">
        <v>0.04</v>
      </c>
      <c r="K82" s="64">
        <v>357.01</v>
      </c>
      <c r="L82" s="64">
        <v>18.91</v>
      </c>
      <c r="M82" s="64">
        <v>75.83</v>
      </c>
      <c r="N82" s="64">
        <v>24</v>
      </c>
      <c r="O82" s="64">
        <v>0</v>
      </c>
      <c r="P82" s="64">
        <v>1.48</v>
      </c>
      <c r="Q82" s="64">
        <v>1.64</v>
      </c>
      <c r="R82" s="198"/>
      <c r="S82" s="198"/>
      <c r="T82" s="198"/>
      <c r="U82" s="198"/>
    </row>
    <row r="83" spans="1:26" s="12" customFormat="1" x14ac:dyDescent="0.25">
      <c r="A83" s="214" t="s">
        <v>1474</v>
      </c>
      <c r="B83" s="64">
        <v>17.55</v>
      </c>
      <c r="C83" s="64">
        <v>71.3</v>
      </c>
      <c r="D83" s="64">
        <v>54.07</v>
      </c>
      <c r="E83" s="64">
        <v>0.47</v>
      </c>
      <c r="F83" s="64">
        <v>4.09</v>
      </c>
      <c r="G83" s="64">
        <v>111.88</v>
      </c>
      <c r="H83" s="64">
        <v>38.42</v>
      </c>
      <c r="I83" s="64">
        <v>1.5</v>
      </c>
      <c r="J83" s="64">
        <v>0.14000000000000001</v>
      </c>
      <c r="K83" s="64">
        <v>327.72</v>
      </c>
      <c r="L83" s="64">
        <v>18.52</v>
      </c>
      <c r="M83" s="64">
        <v>73.2</v>
      </c>
      <c r="N83" s="64">
        <v>24</v>
      </c>
      <c r="O83" s="64">
        <v>0</v>
      </c>
      <c r="P83" s="64">
        <v>1.92</v>
      </c>
      <c r="Q83" s="64">
        <v>0.94</v>
      </c>
      <c r="R83" s="198"/>
      <c r="S83" s="198"/>
      <c r="T83" s="198"/>
      <c r="U83" s="198"/>
    </row>
    <row r="84" spans="1:26" s="12" customFormat="1" x14ac:dyDescent="0.25">
      <c r="A84" s="214" t="s">
        <v>1475</v>
      </c>
      <c r="B84" s="64">
        <v>21.79</v>
      </c>
      <c r="C84" s="64">
        <v>71.25</v>
      </c>
      <c r="D84" s="64">
        <v>57.44</v>
      </c>
      <c r="E84" s="64">
        <v>0.59</v>
      </c>
      <c r="F84" s="64">
        <v>3.94</v>
      </c>
      <c r="G84" s="64">
        <v>122.9</v>
      </c>
      <c r="H84" s="64">
        <v>45.54</v>
      </c>
      <c r="I84" s="64">
        <v>1.54</v>
      </c>
      <c r="J84" s="64">
        <v>0.03</v>
      </c>
      <c r="K84" s="64">
        <v>355.47</v>
      </c>
      <c r="L84" s="64">
        <v>18.3</v>
      </c>
      <c r="M84" s="64">
        <v>66.48</v>
      </c>
      <c r="N84" s="64">
        <v>23.9</v>
      </c>
      <c r="O84" s="64">
        <v>0</v>
      </c>
      <c r="P84" s="64">
        <v>2.25</v>
      </c>
      <c r="Q84" s="64">
        <v>0.05</v>
      </c>
      <c r="R84" s="198"/>
      <c r="S84" s="198"/>
      <c r="T84" s="198"/>
      <c r="U84" s="198"/>
    </row>
    <row r="85" spans="1:26" s="12" customFormat="1" x14ac:dyDescent="0.25">
      <c r="A85" s="214" t="s">
        <v>1476</v>
      </c>
      <c r="B85" s="64">
        <v>24.56</v>
      </c>
      <c r="C85" s="64">
        <v>71.459999999999994</v>
      </c>
      <c r="D85" s="64">
        <v>59.78</v>
      </c>
      <c r="E85" s="64">
        <v>0.47</v>
      </c>
      <c r="F85" s="64">
        <v>3.65</v>
      </c>
      <c r="G85" s="64">
        <v>122.9</v>
      </c>
      <c r="H85" s="64">
        <v>45.54</v>
      </c>
      <c r="I85" s="64">
        <v>1.53</v>
      </c>
      <c r="J85" s="64">
        <v>0.1</v>
      </c>
      <c r="K85" s="64">
        <v>56.68</v>
      </c>
      <c r="L85" s="64">
        <v>18.62</v>
      </c>
      <c r="M85" s="64">
        <v>62.35</v>
      </c>
      <c r="N85" s="64">
        <v>23.7</v>
      </c>
      <c r="O85" s="64">
        <v>0</v>
      </c>
      <c r="P85" s="64">
        <v>1.65</v>
      </c>
      <c r="Q85" s="64">
        <v>0.66</v>
      </c>
      <c r="R85" s="198"/>
      <c r="S85" s="198"/>
      <c r="T85" s="198"/>
      <c r="U85" s="198"/>
    </row>
    <row r="86" spans="1:26" s="12" customFormat="1" x14ac:dyDescent="0.25">
      <c r="A86" s="214" t="s">
        <v>1477</v>
      </c>
      <c r="B86" s="64">
        <v>25.35</v>
      </c>
      <c r="C86" s="64">
        <v>70.97</v>
      </c>
      <c r="D86" s="64">
        <v>60.14</v>
      </c>
      <c r="E86" s="64">
        <v>0.44</v>
      </c>
      <c r="F86" s="64">
        <v>3.98</v>
      </c>
      <c r="G86" s="64">
        <v>122.9</v>
      </c>
      <c r="H86" s="64">
        <v>45.54</v>
      </c>
      <c r="I86" s="64">
        <v>1.5</v>
      </c>
      <c r="J86" s="64">
        <v>7.0000000000000007E-2</v>
      </c>
      <c r="K86" s="64">
        <v>65.77</v>
      </c>
      <c r="L86" s="64">
        <v>18.66</v>
      </c>
      <c r="M86" s="64">
        <v>61.56</v>
      </c>
      <c r="N86" s="64">
        <v>23.8</v>
      </c>
      <c r="O86" s="64">
        <v>0</v>
      </c>
      <c r="P86" s="64">
        <v>1.58</v>
      </c>
      <c r="Q86" s="64">
        <v>2.68</v>
      </c>
      <c r="R86" s="198"/>
      <c r="S86" s="198"/>
      <c r="T86" s="198"/>
      <c r="U86" s="198"/>
    </row>
    <row r="87" spans="1:26" s="12" customFormat="1" x14ac:dyDescent="0.25">
      <c r="A87" s="214" t="s">
        <v>1478</v>
      </c>
      <c r="B87" s="64">
        <v>25.85</v>
      </c>
      <c r="C87" s="64">
        <v>71.19</v>
      </c>
      <c r="D87" s="64">
        <v>60.67</v>
      </c>
      <c r="E87" s="64">
        <v>0.43</v>
      </c>
      <c r="F87" s="64">
        <v>4.97</v>
      </c>
      <c r="G87" s="64">
        <v>126.31</v>
      </c>
      <c r="H87" s="64">
        <v>48.24</v>
      </c>
      <c r="I87" s="64">
        <v>1.5</v>
      </c>
      <c r="J87" s="64">
        <v>0.11</v>
      </c>
      <c r="K87" s="64">
        <v>19.309999999999999</v>
      </c>
      <c r="L87" s="64">
        <v>18.440000000000001</v>
      </c>
      <c r="M87" s="64">
        <v>63.44</v>
      </c>
      <c r="N87" s="64">
        <v>24.1</v>
      </c>
      <c r="O87" s="64">
        <v>0</v>
      </c>
      <c r="P87" s="64">
        <v>1.7</v>
      </c>
      <c r="Q87" s="64">
        <v>3.13</v>
      </c>
      <c r="R87" s="198"/>
      <c r="S87" s="198"/>
      <c r="T87" s="198"/>
      <c r="U87" s="198"/>
    </row>
    <row r="88" spans="1:26" s="12" customFormat="1" x14ac:dyDescent="0.25">
      <c r="A88" s="214" t="s">
        <v>1479</v>
      </c>
      <c r="B88" s="64">
        <v>27.46</v>
      </c>
      <c r="C88" s="64">
        <v>70.78</v>
      </c>
      <c r="D88" s="64">
        <v>61.73</v>
      </c>
      <c r="E88" s="64">
        <v>0.36</v>
      </c>
      <c r="F88" s="64">
        <v>5.12</v>
      </c>
      <c r="G88" s="64">
        <v>139.94999999999999</v>
      </c>
      <c r="H88" s="64">
        <v>55.6</v>
      </c>
      <c r="I88" s="64">
        <v>1.54</v>
      </c>
      <c r="J88" s="64">
        <v>0.05</v>
      </c>
      <c r="K88" s="64">
        <v>309.97000000000003</v>
      </c>
      <c r="L88" s="64">
        <v>18.079999999999998</v>
      </c>
      <c r="M88" s="64">
        <v>66.430000000000007</v>
      </c>
      <c r="N88" s="64">
        <v>24.2</v>
      </c>
      <c r="O88" s="64">
        <v>0</v>
      </c>
      <c r="P88" s="64">
        <v>2.17</v>
      </c>
      <c r="Q88" s="64">
        <v>0.72</v>
      </c>
      <c r="R88" s="198"/>
      <c r="S88" s="198"/>
      <c r="T88" s="198"/>
      <c r="U88" s="198"/>
    </row>
    <row r="89" spans="1:26" s="12" customFormat="1" x14ac:dyDescent="0.25">
      <c r="A89" s="214" t="s">
        <v>1480</v>
      </c>
      <c r="B89" s="64">
        <v>29.26</v>
      </c>
      <c r="C89" s="64">
        <v>70.53</v>
      </c>
      <c r="D89" s="64">
        <v>63.04</v>
      </c>
      <c r="E89" s="64">
        <v>0.6</v>
      </c>
      <c r="F89" s="64">
        <v>4.22</v>
      </c>
      <c r="G89" s="64">
        <v>139.94999999999999</v>
      </c>
      <c r="H89" s="64">
        <v>55.6</v>
      </c>
      <c r="I89" s="64">
        <v>1.41</v>
      </c>
      <c r="J89" s="64">
        <v>0.13</v>
      </c>
      <c r="K89" s="64">
        <v>265.38</v>
      </c>
      <c r="L89" s="64">
        <v>17.82</v>
      </c>
      <c r="M89" s="64">
        <v>68.11</v>
      </c>
      <c r="N89" s="64">
        <v>24.2</v>
      </c>
      <c r="O89" s="64">
        <v>0</v>
      </c>
      <c r="P89" s="64">
        <v>1.73</v>
      </c>
      <c r="Q89" s="64">
        <v>1.24</v>
      </c>
      <c r="R89" s="198"/>
      <c r="S89" s="198"/>
      <c r="T89" s="198"/>
      <c r="U89" s="198"/>
    </row>
    <row r="90" spans="1:26" s="12" customFormat="1" x14ac:dyDescent="0.25">
      <c r="A90" s="214" t="s">
        <v>1481</v>
      </c>
      <c r="B90" s="64">
        <v>30.95</v>
      </c>
      <c r="C90" s="64">
        <v>70.48</v>
      </c>
      <c r="D90" s="64">
        <v>64.36</v>
      </c>
      <c r="E90" s="64">
        <v>0.62</v>
      </c>
      <c r="F90" s="64">
        <v>3.83</v>
      </c>
      <c r="G90" s="64">
        <v>139.94999999999999</v>
      </c>
      <c r="H90" s="64">
        <v>55.6</v>
      </c>
      <c r="I90" s="64">
        <v>1.45</v>
      </c>
      <c r="J90" s="64">
        <v>0.15</v>
      </c>
      <c r="K90" s="64">
        <v>301.11</v>
      </c>
      <c r="L90" s="64">
        <v>17.55</v>
      </c>
      <c r="M90" s="64">
        <v>70.75</v>
      </c>
      <c r="N90" s="64">
        <v>24.2</v>
      </c>
      <c r="O90" s="64">
        <v>0</v>
      </c>
      <c r="P90" s="64">
        <v>2.16</v>
      </c>
      <c r="Q90" s="64">
        <v>0.8</v>
      </c>
      <c r="R90" s="198"/>
      <c r="S90" s="198"/>
      <c r="T90" s="198"/>
      <c r="U90" s="198"/>
    </row>
    <row r="91" spans="1:26" s="12" customFormat="1" x14ac:dyDescent="0.25">
      <c r="A91" s="214" t="s">
        <v>1482</v>
      </c>
      <c r="B91" s="64">
        <v>34.380000000000003</v>
      </c>
      <c r="C91" s="64">
        <v>70.56</v>
      </c>
      <c r="D91" s="64">
        <v>67.150000000000006</v>
      </c>
      <c r="E91" s="64">
        <v>0.62</v>
      </c>
      <c r="F91" s="64">
        <v>3.83</v>
      </c>
      <c r="G91" s="64">
        <v>140.5</v>
      </c>
      <c r="H91" s="64">
        <v>56.07</v>
      </c>
      <c r="I91" s="64">
        <v>1.47</v>
      </c>
      <c r="J91" s="64">
        <v>0.11</v>
      </c>
      <c r="K91" s="64">
        <v>262.76</v>
      </c>
      <c r="L91" s="64">
        <v>17.350000000000001</v>
      </c>
      <c r="M91" s="64">
        <v>68.78</v>
      </c>
      <c r="N91" s="64">
        <v>24.1</v>
      </c>
      <c r="O91" s="64">
        <v>0</v>
      </c>
      <c r="P91" s="64">
        <v>1.96</v>
      </c>
      <c r="Q91" s="64">
        <v>0.02</v>
      </c>
      <c r="R91" s="198"/>
      <c r="S91" s="198"/>
      <c r="T91" s="198"/>
      <c r="U91" s="198"/>
    </row>
    <row r="92" spans="1:26" s="12" customFormat="1" x14ac:dyDescent="0.25">
      <c r="A92" s="214" t="s">
        <v>1483</v>
      </c>
      <c r="B92" s="64">
        <v>35.869999999999997</v>
      </c>
      <c r="C92" s="64">
        <v>69.62</v>
      </c>
      <c r="D92" s="64">
        <v>67.83</v>
      </c>
      <c r="E92" s="64">
        <v>0.51</v>
      </c>
      <c r="F92" s="64">
        <v>3.7</v>
      </c>
      <c r="G92" s="64">
        <v>142.69</v>
      </c>
      <c r="H92" s="64">
        <v>58.14</v>
      </c>
      <c r="I92" s="64">
        <v>1.54</v>
      </c>
      <c r="J92" s="64">
        <v>0.03</v>
      </c>
      <c r="K92" s="64">
        <v>92.64</v>
      </c>
      <c r="L92" s="64">
        <v>17.2</v>
      </c>
      <c r="M92" s="64">
        <v>69.81</v>
      </c>
      <c r="N92" s="64">
        <v>24.2</v>
      </c>
      <c r="O92" s="64">
        <v>0</v>
      </c>
      <c r="P92" s="64">
        <v>1.43</v>
      </c>
      <c r="Q92" s="64">
        <v>3.25</v>
      </c>
      <c r="R92" s="198"/>
      <c r="S92" s="198"/>
      <c r="T92" s="198"/>
      <c r="U92" s="198"/>
    </row>
    <row r="93" spans="1:26" s="12" customFormat="1" x14ac:dyDescent="0.25">
      <c r="A93" s="214" t="s">
        <v>1484</v>
      </c>
      <c r="B93" s="64">
        <v>37.130000000000003</v>
      </c>
      <c r="C93" s="64">
        <v>69.040000000000006</v>
      </c>
      <c r="D93" s="64">
        <v>68.52</v>
      </c>
      <c r="E93" s="64">
        <v>0.54</v>
      </c>
      <c r="F93" s="64">
        <v>3.82</v>
      </c>
      <c r="G93" s="64">
        <v>142.69</v>
      </c>
      <c r="H93" s="64">
        <v>58.14</v>
      </c>
      <c r="I93" s="64">
        <v>1.5</v>
      </c>
      <c r="J93" s="64">
        <v>0.11</v>
      </c>
      <c r="K93" s="64">
        <v>311.92</v>
      </c>
      <c r="L93" s="64">
        <v>16.95</v>
      </c>
      <c r="M93" s="64">
        <v>74.599999999999994</v>
      </c>
      <c r="N93" s="64">
        <v>24.1</v>
      </c>
      <c r="O93" s="64">
        <v>0</v>
      </c>
      <c r="P93" s="64">
        <v>1.94</v>
      </c>
      <c r="Q93" s="64">
        <v>2.76</v>
      </c>
      <c r="R93" s="198"/>
      <c r="S93" s="198"/>
      <c r="T93" s="198"/>
      <c r="U93" s="198"/>
    </row>
    <row r="94" spans="1:26" s="12" customFormat="1" x14ac:dyDescent="0.25">
      <c r="A94" s="214" t="s">
        <v>1485</v>
      </c>
      <c r="B94" s="64">
        <v>42.77</v>
      </c>
      <c r="C94" s="64">
        <v>70.16</v>
      </c>
      <c r="D94" s="64">
        <v>73.66</v>
      </c>
      <c r="E94" s="64">
        <v>0.6</v>
      </c>
      <c r="F94" s="64">
        <v>3.49</v>
      </c>
      <c r="G94" s="64">
        <v>142.69</v>
      </c>
      <c r="H94" s="64">
        <v>58.14</v>
      </c>
      <c r="I94" s="64">
        <v>1.5</v>
      </c>
      <c r="J94" s="64">
        <v>0.06</v>
      </c>
      <c r="K94" s="64">
        <v>115.6</v>
      </c>
      <c r="L94" s="64">
        <v>16.89</v>
      </c>
      <c r="M94" s="64">
        <v>72.11</v>
      </c>
      <c r="N94" s="64">
        <v>24.1</v>
      </c>
      <c r="O94" s="64">
        <v>0</v>
      </c>
      <c r="P94" s="64">
        <v>1.85</v>
      </c>
      <c r="Q94" s="64">
        <v>2.38</v>
      </c>
      <c r="R94" s="198"/>
      <c r="S94" s="198"/>
      <c r="T94" s="198"/>
      <c r="U94" s="198"/>
    </row>
    <row r="95" spans="1:26" s="12" customFormat="1" x14ac:dyDescent="0.25">
      <c r="A95" s="214" t="s">
        <v>1486</v>
      </c>
      <c r="B95" s="64">
        <v>46.6</v>
      </c>
      <c r="C95" s="64">
        <v>70.849999999999994</v>
      </c>
      <c r="D95" s="64">
        <v>77.12</v>
      </c>
      <c r="E95" s="64">
        <v>0.53</v>
      </c>
      <c r="F95" s="64">
        <v>3.38</v>
      </c>
      <c r="G95" s="64">
        <v>144.35</v>
      </c>
      <c r="H95" s="64">
        <v>58.48</v>
      </c>
      <c r="I95" s="64">
        <v>1.48</v>
      </c>
      <c r="J95" s="64">
        <v>0.05</v>
      </c>
      <c r="K95" s="64">
        <v>145.56</v>
      </c>
      <c r="L95" s="64">
        <v>17.07</v>
      </c>
      <c r="M95" s="64">
        <v>69.73</v>
      </c>
      <c r="N95" s="64">
        <v>23.6</v>
      </c>
      <c r="O95" s="64">
        <v>0</v>
      </c>
      <c r="P95" s="64">
        <v>1.51</v>
      </c>
      <c r="Q95" s="64">
        <v>3.33</v>
      </c>
      <c r="R95" s="198"/>
      <c r="S95" s="198"/>
      <c r="T95" s="198"/>
      <c r="U95" s="198"/>
    </row>
    <row r="96" spans="1:26" s="12" customFormat="1" x14ac:dyDescent="0.25">
      <c r="A96" s="214" t="s">
        <v>1487</v>
      </c>
      <c r="B96" s="64">
        <v>50.26</v>
      </c>
      <c r="C96" s="64">
        <v>71.25</v>
      </c>
      <c r="D96" s="64">
        <v>80.27</v>
      </c>
      <c r="E96" s="64">
        <v>0.53</v>
      </c>
      <c r="F96" s="64">
        <v>3.6</v>
      </c>
      <c r="G96" s="64">
        <v>150.99</v>
      </c>
      <c r="H96" s="64">
        <v>59.4</v>
      </c>
      <c r="I96" s="64">
        <v>1.45</v>
      </c>
      <c r="J96" s="64">
        <v>0.24</v>
      </c>
      <c r="K96" s="64">
        <v>293.45999999999998</v>
      </c>
      <c r="L96" s="64">
        <v>17.170000000000002</v>
      </c>
      <c r="M96" s="64">
        <v>68.81</v>
      </c>
      <c r="N96" s="64">
        <v>23.7</v>
      </c>
      <c r="O96" s="64">
        <v>0</v>
      </c>
      <c r="P96" s="64">
        <v>1.64</v>
      </c>
      <c r="Q96" s="64">
        <v>2.98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1488</v>
      </c>
      <c r="B97" s="64">
        <v>52.53</v>
      </c>
      <c r="C97" s="64">
        <v>71.39</v>
      </c>
      <c r="D97" s="64">
        <v>82.17</v>
      </c>
      <c r="E97" s="64">
        <v>0.46</v>
      </c>
      <c r="F97" s="64">
        <v>3.46</v>
      </c>
      <c r="G97" s="64">
        <v>150.99</v>
      </c>
      <c r="H97" s="64">
        <v>59.4</v>
      </c>
      <c r="I97" s="64">
        <v>1.49</v>
      </c>
      <c r="J97" s="64">
        <v>7.0000000000000007E-2</v>
      </c>
      <c r="K97" s="64">
        <v>37.590000000000003</v>
      </c>
      <c r="L97" s="64">
        <v>16.899999999999999</v>
      </c>
      <c r="M97" s="64">
        <v>70.56</v>
      </c>
      <c r="N97" s="64">
        <v>24.2</v>
      </c>
      <c r="O97" s="64">
        <v>0</v>
      </c>
      <c r="P97" s="64">
        <v>1.59</v>
      </c>
      <c r="Q97" s="64">
        <v>5.0199999999999996</v>
      </c>
      <c r="R97" s="198"/>
      <c r="S97" s="198"/>
      <c r="T97" s="198"/>
      <c r="U97" s="198"/>
    </row>
    <row r="98" spans="1:33" s="12" customFormat="1" x14ac:dyDescent="0.25">
      <c r="A98" s="214" t="s">
        <v>1489</v>
      </c>
      <c r="B98" s="64">
        <v>52.46</v>
      </c>
      <c r="C98" s="64">
        <v>70.98</v>
      </c>
      <c r="D98" s="64">
        <v>81.88</v>
      </c>
      <c r="E98" s="64">
        <v>0.38</v>
      </c>
      <c r="F98" s="64">
        <v>3.45</v>
      </c>
      <c r="G98" s="64">
        <v>150.99</v>
      </c>
      <c r="H98" s="64">
        <v>59.4</v>
      </c>
      <c r="I98" s="64">
        <v>1.43</v>
      </c>
      <c r="J98" s="64">
        <v>0.52</v>
      </c>
      <c r="K98" s="64">
        <v>108.4</v>
      </c>
      <c r="L98" s="64">
        <v>17.12</v>
      </c>
      <c r="M98" s="64">
        <v>67.64</v>
      </c>
      <c r="N98" s="64">
        <v>23.1</v>
      </c>
      <c r="O98" s="64">
        <v>0</v>
      </c>
      <c r="P98" s="64">
        <v>1.35</v>
      </c>
      <c r="Q98" s="64">
        <v>7.29</v>
      </c>
      <c r="R98" s="198"/>
      <c r="S98" s="198"/>
      <c r="T98" s="198"/>
      <c r="U98" s="198"/>
    </row>
    <row r="99" spans="1:33" s="12" customFormat="1" x14ac:dyDescent="0.25">
      <c r="A99" s="214" t="s">
        <v>1490</v>
      </c>
      <c r="B99" s="64">
        <v>50.95</v>
      </c>
      <c r="C99" s="64">
        <v>70.400000000000006</v>
      </c>
      <c r="D99" s="64">
        <v>80.349999999999994</v>
      </c>
      <c r="E99" s="64">
        <v>0.27</v>
      </c>
      <c r="F99" s="64">
        <v>3.68</v>
      </c>
      <c r="G99" s="64">
        <v>150.53</v>
      </c>
      <c r="H99" s="64">
        <v>59.27</v>
      </c>
      <c r="I99" s="64">
        <v>1.47</v>
      </c>
      <c r="J99" s="64">
        <v>0.23</v>
      </c>
      <c r="K99" s="64">
        <v>356.37</v>
      </c>
      <c r="L99" s="64">
        <v>17.59</v>
      </c>
      <c r="M99" s="64">
        <v>67.81</v>
      </c>
      <c r="N99" s="64">
        <v>24.4</v>
      </c>
      <c r="O99" s="64">
        <v>0</v>
      </c>
      <c r="P99" s="64">
        <v>1.1599999999999999</v>
      </c>
      <c r="Q99" s="64">
        <v>8.6300000000000008</v>
      </c>
      <c r="R99" s="198"/>
      <c r="S99" s="198"/>
      <c r="T99" s="198"/>
      <c r="U99" s="198"/>
    </row>
    <row r="100" spans="1:33" s="12" customFormat="1" x14ac:dyDescent="0.25">
      <c r="A100" s="214" t="s">
        <v>1491</v>
      </c>
      <c r="B100" s="64">
        <v>49.78</v>
      </c>
      <c r="C100" s="64">
        <v>69.650000000000006</v>
      </c>
      <c r="D100" s="64">
        <v>79</v>
      </c>
      <c r="E100" s="64">
        <v>0.36</v>
      </c>
      <c r="F100" s="64">
        <v>3.66</v>
      </c>
      <c r="G100" s="64">
        <v>148.69</v>
      </c>
      <c r="H100" s="64">
        <v>58.92</v>
      </c>
      <c r="I100" s="64">
        <v>1.46</v>
      </c>
      <c r="J100" s="64">
        <v>0.1</v>
      </c>
      <c r="K100" s="64">
        <v>344.9</v>
      </c>
      <c r="L100" s="64">
        <v>16.25</v>
      </c>
      <c r="M100" s="64">
        <v>78.86</v>
      </c>
      <c r="N100" s="64">
        <v>24.7</v>
      </c>
      <c r="O100" s="64">
        <v>0</v>
      </c>
      <c r="P100" s="64">
        <v>1.38</v>
      </c>
      <c r="Q100" s="64">
        <v>8.48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1492</v>
      </c>
      <c r="B101" s="64">
        <v>48.43</v>
      </c>
      <c r="C101" s="64">
        <v>68.62</v>
      </c>
      <c r="D101" s="64">
        <v>77.349999999999994</v>
      </c>
      <c r="E101" s="64">
        <v>0.33</v>
      </c>
      <c r="F101" s="64">
        <v>3.83</v>
      </c>
      <c r="G101" s="64">
        <v>148.69</v>
      </c>
      <c r="H101" s="64">
        <v>58.92</v>
      </c>
      <c r="I101" s="64">
        <v>1.56</v>
      </c>
      <c r="J101" s="64">
        <v>0.09</v>
      </c>
      <c r="K101" s="64">
        <v>14.57</v>
      </c>
      <c r="L101" s="64">
        <v>16.079999999999998</v>
      </c>
      <c r="M101" s="64">
        <v>76.08</v>
      </c>
      <c r="N101" s="64">
        <v>24.1</v>
      </c>
      <c r="O101" s="64">
        <v>0</v>
      </c>
      <c r="P101" s="64">
        <v>1.26</v>
      </c>
      <c r="Q101" s="64">
        <v>8.73</v>
      </c>
      <c r="R101" s="198"/>
      <c r="S101" s="198"/>
      <c r="T101" s="198"/>
      <c r="U101" s="198"/>
    </row>
    <row r="102" spans="1:33" s="12" customFormat="1" x14ac:dyDescent="0.25">
      <c r="A102" s="214" t="s">
        <v>1493</v>
      </c>
      <c r="B102" s="64">
        <v>48.23</v>
      </c>
      <c r="C102" s="64">
        <v>68</v>
      </c>
      <c r="D102" s="64">
        <v>76.86</v>
      </c>
      <c r="E102" s="64">
        <v>0.34</v>
      </c>
      <c r="F102" s="64">
        <v>3.42</v>
      </c>
      <c r="G102" s="64">
        <v>148.69</v>
      </c>
      <c r="H102" s="64">
        <v>58.92</v>
      </c>
      <c r="I102" s="64">
        <v>1.47</v>
      </c>
      <c r="J102" s="64">
        <v>0.22</v>
      </c>
      <c r="K102" s="64">
        <v>337.1</v>
      </c>
      <c r="L102" s="64">
        <v>16.100000000000001</v>
      </c>
      <c r="M102" s="64">
        <v>80.41</v>
      </c>
      <c r="N102" s="64">
        <v>24.2</v>
      </c>
      <c r="O102" s="64">
        <v>0</v>
      </c>
      <c r="P102" s="64">
        <v>1.25</v>
      </c>
      <c r="Q102" s="64">
        <v>6.1</v>
      </c>
      <c r="R102" s="198"/>
      <c r="S102" s="198"/>
      <c r="T102" s="198"/>
      <c r="U102" s="198"/>
    </row>
    <row r="103" spans="1:33" s="12" customFormat="1" x14ac:dyDescent="0.25">
      <c r="A103" s="214" t="s">
        <v>1494</v>
      </c>
      <c r="B103" s="64">
        <v>48.22</v>
      </c>
      <c r="C103" s="64">
        <v>67.430000000000007</v>
      </c>
      <c r="D103" s="64">
        <v>76.53</v>
      </c>
      <c r="E103" s="64">
        <v>0.33</v>
      </c>
      <c r="F103" s="64">
        <v>3.7</v>
      </c>
      <c r="G103" s="64">
        <v>146.41999999999999</v>
      </c>
      <c r="H103" s="64">
        <v>58.44</v>
      </c>
      <c r="I103" s="64">
        <v>1.52</v>
      </c>
      <c r="J103" s="64">
        <v>0.09</v>
      </c>
      <c r="K103" s="64">
        <v>350.68</v>
      </c>
      <c r="L103" s="64">
        <v>15.51</v>
      </c>
      <c r="M103" s="64">
        <v>84.65</v>
      </c>
      <c r="N103" s="64">
        <v>24.5</v>
      </c>
      <c r="O103" s="64">
        <v>0</v>
      </c>
      <c r="P103" s="64">
        <v>1.05</v>
      </c>
      <c r="Q103" s="64">
        <v>8.0299999999999994</v>
      </c>
      <c r="R103" s="198"/>
      <c r="S103" s="198"/>
      <c r="T103" s="198"/>
      <c r="U103" s="198"/>
    </row>
    <row r="104" spans="1:33" s="12" customFormat="1" x14ac:dyDescent="0.25">
      <c r="A104" s="214" t="s">
        <v>1495</v>
      </c>
      <c r="B104" s="64">
        <v>46.19</v>
      </c>
      <c r="C104" s="64">
        <v>66.040000000000006</v>
      </c>
      <c r="D104" s="64">
        <v>74.14</v>
      </c>
      <c r="E104" s="64">
        <v>0.24</v>
      </c>
      <c r="F104" s="64">
        <v>4.5599999999999996</v>
      </c>
      <c r="G104" s="64">
        <v>137.34</v>
      </c>
      <c r="H104" s="64">
        <v>57.15</v>
      </c>
      <c r="I104" s="64">
        <v>1.49</v>
      </c>
      <c r="J104" s="64">
        <v>0.21</v>
      </c>
      <c r="K104" s="64">
        <v>333.05</v>
      </c>
      <c r="L104" s="64">
        <v>15.54</v>
      </c>
      <c r="M104" s="64">
        <v>80.84</v>
      </c>
      <c r="N104" s="64">
        <v>23.7</v>
      </c>
      <c r="O104" s="64">
        <v>0</v>
      </c>
      <c r="P104" s="64">
        <v>1.07</v>
      </c>
      <c r="Q104" s="64">
        <v>10.76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1.84</v>
      </c>
      <c r="C106" s="67">
        <f>MIN(C9:C104)</f>
        <v>48.28</v>
      </c>
      <c r="D106" s="67">
        <f t="shared" ref="D106:Q106" si="0">MIN(D9:D104)</f>
        <v>35.9</v>
      </c>
      <c r="E106" s="67">
        <f t="shared" si="0"/>
        <v>0.21</v>
      </c>
      <c r="F106" s="67">
        <f t="shared" si="0"/>
        <v>3.2</v>
      </c>
      <c r="G106" s="67">
        <f t="shared" si="0"/>
        <v>53.69</v>
      </c>
      <c r="H106" s="67">
        <f t="shared" si="0"/>
        <v>29.2</v>
      </c>
      <c r="I106" s="67">
        <f t="shared" si="0"/>
        <v>1.37</v>
      </c>
      <c r="J106" s="67">
        <f t="shared" si="0"/>
        <v>0.02</v>
      </c>
      <c r="K106" s="67">
        <f t="shared" si="0"/>
        <v>4.7699999999999996</v>
      </c>
      <c r="L106" s="67">
        <f t="shared" si="0"/>
        <v>12.86</v>
      </c>
      <c r="M106" s="67">
        <f t="shared" si="0"/>
        <v>33.74</v>
      </c>
      <c r="N106" s="67">
        <f t="shared" si="0"/>
        <v>22.8</v>
      </c>
      <c r="O106" s="67">
        <f t="shared" si="0"/>
        <v>0</v>
      </c>
      <c r="P106" s="67">
        <f t="shared" si="0"/>
        <v>0.38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65.91</v>
      </c>
      <c r="C107" s="66">
        <f t="shared" ref="C107:Q107" si="1">MAX(C9:C104)</f>
        <v>76</v>
      </c>
      <c r="D107" s="66">
        <f t="shared" si="1"/>
        <v>83.06</v>
      </c>
      <c r="E107" s="66">
        <f t="shared" si="1"/>
        <v>1.79</v>
      </c>
      <c r="F107" s="66">
        <f t="shared" si="1"/>
        <v>48.45</v>
      </c>
      <c r="G107" s="66">
        <f t="shared" si="1"/>
        <v>187.81</v>
      </c>
      <c r="H107" s="66">
        <f t="shared" si="1"/>
        <v>82.36</v>
      </c>
      <c r="I107" s="66">
        <f t="shared" si="1"/>
        <v>1.62</v>
      </c>
      <c r="J107" s="66">
        <f t="shared" si="1"/>
        <v>1.48</v>
      </c>
      <c r="K107" s="66">
        <f t="shared" si="1"/>
        <v>357.01</v>
      </c>
      <c r="L107" s="66">
        <f t="shared" si="1"/>
        <v>27.79</v>
      </c>
      <c r="M107" s="66">
        <f t="shared" si="1"/>
        <v>98.19</v>
      </c>
      <c r="N107" s="66">
        <f t="shared" si="1"/>
        <v>691.5</v>
      </c>
      <c r="O107" s="66">
        <f t="shared" si="1"/>
        <v>0</v>
      </c>
      <c r="P107" s="66">
        <f t="shared" si="1"/>
        <v>2.25</v>
      </c>
      <c r="Q107" s="66">
        <f t="shared" si="1"/>
        <v>11.18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25.859895833333322</v>
      </c>
      <c r="C108" s="67">
        <f t="shared" ref="C108:Q108" si="2">AVERAGE(C9:C104)</f>
        <v>62.305937499999992</v>
      </c>
      <c r="D108" s="67">
        <f t="shared" si="2"/>
        <v>55.769374999999997</v>
      </c>
      <c r="E108" s="67">
        <f t="shared" si="2"/>
        <v>0.5709375000000001</v>
      </c>
      <c r="F108" s="67">
        <f t="shared" si="2"/>
        <v>10.889791666666676</v>
      </c>
      <c r="G108" s="67">
        <f t="shared" si="2"/>
        <v>110.78031250000004</v>
      </c>
      <c r="H108" s="67">
        <f t="shared" si="2"/>
        <v>49.450208333333315</v>
      </c>
      <c r="I108" s="67">
        <f t="shared" si="2"/>
        <v>1.4957291666666672</v>
      </c>
      <c r="J108" s="67">
        <f t="shared" si="2"/>
        <v>0.27187499999999998</v>
      </c>
      <c r="K108" s="67">
        <f t="shared" si="2"/>
        <v>223.07500000000007</v>
      </c>
      <c r="L108" s="67">
        <f t="shared" si="2"/>
        <v>18.904062499999998</v>
      </c>
      <c r="M108" s="67">
        <f t="shared" si="2"/>
        <v>67.426770833333322</v>
      </c>
      <c r="N108" s="67">
        <f t="shared" si="2"/>
        <v>156.8947916666668</v>
      </c>
      <c r="O108" s="67">
        <f t="shared" si="2"/>
        <v>0</v>
      </c>
      <c r="P108" s="67">
        <f t="shared" si="2"/>
        <v>1.0096874999999998</v>
      </c>
      <c r="Q108" s="67">
        <f t="shared" si="2"/>
        <v>4.7717894736842137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19.204003611900244</v>
      </c>
      <c r="C109" s="67">
        <f t="shared" ref="C109:Q109" si="3">STDEV(C9:C104)</f>
        <v>8.5278274617340664</v>
      </c>
      <c r="D109" s="67">
        <f t="shared" si="3"/>
        <v>15.571553606192527</v>
      </c>
      <c r="E109" s="67">
        <f t="shared" si="3"/>
        <v>0.34526901220566208</v>
      </c>
      <c r="F109" s="67">
        <f t="shared" si="3"/>
        <v>11.505155638752987</v>
      </c>
      <c r="G109" s="67">
        <f t="shared" si="3"/>
        <v>39.602329794653066</v>
      </c>
      <c r="H109" s="67">
        <f t="shared" si="3"/>
        <v>14.69750490669953</v>
      </c>
      <c r="I109" s="67">
        <f t="shared" si="3"/>
        <v>4.3133691598067479E-2</v>
      </c>
      <c r="J109" s="67">
        <f t="shared" si="3"/>
        <v>0.32460927930440681</v>
      </c>
      <c r="K109" s="67">
        <f t="shared" si="3"/>
        <v>121.27402201105065</v>
      </c>
      <c r="L109" s="67">
        <f t="shared" si="3"/>
        <v>4.6057503138953741</v>
      </c>
      <c r="M109" s="67">
        <f t="shared" si="3"/>
        <v>21.197898927403283</v>
      </c>
      <c r="N109" s="67">
        <f t="shared" si="3"/>
        <v>207.07710253342907</v>
      </c>
      <c r="O109" s="67">
        <f t="shared" si="3"/>
        <v>0</v>
      </c>
      <c r="P109" s="67">
        <f t="shared" si="3"/>
        <v>0.48343388624342565</v>
      </c>
      <c r="Q109" s="67">
        <f t="shared" si="3"/>
        <v>3.0624996670246807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1496</v>
      </c>
      <c r="B9" s="64">
        <v>43.55</v>
      </c>
      <c r="C9" s="64">
        <v>64.989999999999995</v>
      </c>
      <c r="D9" s="64">
        <v>71.44</v>
      </c>
      <c r="E9" s="64">
        <v>0.33</v>
      </c>
      <c r="F9" s="64">
        <v>3.93</v>
      </c>
      <c r="G9" s="64">
        <v>137.34</v>
      </c>
      <c r="H9" s="64">
        <v>57.15</v>
      </c>
      <c r="I9" s="64">
        <v>1.45</v>
      </c>
      <c r="J9" s="64">
        <v>0.06</v>
      </c>
      <c r="K9" s="64">
        <v>278.06</v>
      </c>
      <c r="L9" s="64">
        <v>15.65</v>
      </c>
      <c r="M9" s="64">
        <v>79.069999999999993</v>
      </c>
      <c r="N9" s="64">
        <v>24.2</v>
      </c>
      <c r="O9" s="64">
        <v>0</v>
      </c>
      <c r="P9" s="64">
        <v>1.04</v>
      </c>
      <c r="Q9" s="64">
        <v>10.45</v>
      </c>
      <c r="R9" s="198"/>
      <c r="S9" s="198"/>
      <c r="T9" s="198"/>
      <c r="U9" s="198"/>
    </row>
    <row r="10" spans="1:21" s="12" customFormat="1" x14ac:dyDescent="0.25">
      <c r="A10" s="214" t="s">
        <v>1497</v>
      </c>
      <c r="B10" s="64">
        <v>41.37</v>
      </c>
      <c r="C10" s="64">
        <v>64.260000000000005</v>
      </c>
      <c r="D10" s="64">
        <v>69.290000000000006</v>
      </c>
      <c r="E10" s="64">
        <v>0.38</v>
      </c>
      <c r="F10" s="64">
        <v>3.6</v>
      </c>
      <c r="G10" s="64">
        <v>137.34</v>
      </c>
      <c r="H10" s="64">
        <v>57.15</v>
      </c>
      <c r="I10" s="64">
        <v>1.53</v>
      </c>
      <c r="J10" s="64">
        <v>0.08</v>
      </c>
      <c r="K10" s="64">
        <v>204.25</v>
      </c>
      <c r="L10" s="64">
        <v>15.5</v>
      </c>
      <c r="M10" s="64">
        <v>82.97</v>
      </c>
      <c r="N10" s="64">
        <v>24.1</v>
      </c>
      <c r="O10" s="64">
        <v>0</v>
      </c>
      <c r="P10" s="64">
        <v>1.07</v>
      </c>
      <c r="Q10" s="64">
        <v>9.18</v>
      </c>
      <c r="R10" s="198"/>
      <c r="S10" s="198"/>
      <c r="T10" s="198"/>
      <c r="U10" s="198"/>
    </row>
    <row r="11" spans="1:21" s="12" customFormat="1" x14ac:dyDescent="0.25">
      <c r="A11" s="214" t="s">
        <v>1498</v>
      </c>
      <c r="B11" s="64">
        <v>39.840000000000003</v>
      </c>
      <c r="C11" s="64">
        <v>62.85</v>
      </c>
      <c r="D11" s="64">
        <v>67.28</v>
      </c>
      <c r="E11" s="64">
        <v>0.45</v>
      </c>
      <c r="F11" s="64">
        <v>3.6</v>
      </c>
      <c r="G11" s="64">
        <v>134.16</v>
      </c>
      <c r="H11" s="64">
        <v>56.93</v>
      </c>
      <c r="I11" s="64">
        <v>1.49</v>
      </c>
      <c r="J11" s="64">
        <v>0.09</v>
      </c>
      <c r="K11" s="64">
        <v>313.05</v>
      </c>
      <c r="L11" s="64">
        <v>15.26</v>
      </c>
      <c r="M11" s="64">
        <v>85.28</v>
      </c>
      <c r="N11" s="64">
        <v>24.4</v>
      </c>
      <c r="O11" s="64">
        <v>0</v>
      </c>
      <c r="P11" s="64">
        <v>1.01</v>
      </c>
      <c r="Q11" s="64">
        <v>9.02</v>
      </c>
      <c r="R11" s="198"/>
      <c r="S11" s="198"/>
      <c r="T11" s="198"/>
      <c r="U11" s="198"/>
    </row>
    <row r="12" spans="1:21" s="12" customFormat="1" x14ac:dyDescent="0.25">
      <c r="A12" s="214" t="s">
        <v>1499</v>
      </c>
      <c r="B12" s="64">
        <v>38.5</v>
      </c>
      <c r="C12" s="64">
        <v>62.21</v>
      </c>
      <c r="D12" s="64">
        <v>65.849999999999994</v>
      </c>
      <c r="E12" s="64">
        <v>0.37</v>
      </c>
      <c r="F12" s="64">
        <v>3.34</v>
      </c>
      <c r="G12" s="64">
        <v>121.45</v>
      </c>
      <c r="H12" s="64">
        <v>55.93</v>
      </c>
      <c r="I12" s="64">
        <v>1.46</v>
      </c>
      <c r="J12" s="64">
        <v>0.06</v>
      </c>
      <c r="K12" s="64">
        <v>351.07</v>
      </c>
      <c r="L12" s="64">
        <v>14.68</v>
      </c>
      <c r="M12" s="64">
        <v>89.12</v>
      </c>
      <c r="N12" s="64">
        <v>24.4</v>
      </c>
      <c r="O12" s="64">
        <v>0</v>
      </c>
      <c r="P12" s="64">
        <v>1.03</v>
      </c>
      <c r="Q12" s="64">
        <v>8.81</v>
      </c>
      <c r="R12" s="198"/>
      <c r="S12" s="198"/>
      <c r="T12" s="198"/>
      <c r="U12" s="198"/>
    </row>
    <row r="13" spans="1:21" s="12" customFormat="1" x14ac:dyDescent="0.25">
      <c r="A13" s="214" t="s">
        <v>1500</v>
      </c>
      <c r="B13" s="64">
        <v>37.44</v>
      </c>
      <c r="C13" s="64">
        <v>61.53</v>
      </c>
      <c r="D13" s="64">
        <v>64.63</v>
      </c>
      <c r="E13" s="64">
        <v>0.4</v>
      </c>
      <c r="F13" s="64">
        <v>3.47</v>
      </c>
      <c r="G13" s="64">
        <v>121.45</v>
      </c>
      <c r="H13" s="64">
        <v>55.93</v>
      </c>
      <c r="I13" s="64">
        <v>1.52</v>
      </c>
      <c r="J13" s="64">
        <v>0.06</v>
      </c>
      <c r="K13" s="64">
        <v>311.39</v>
      </c>
      <c r="L13" s="64">
        <v>14.49</v>
      </c>
      <c r="M13" s="64">
        <v>91.11</v>
      </c>
      <c r="N13" s="64">
        <v>24.5</v>
      </c>
      <c r="O13" s="64">
        <v>0</v>
      </c>
      <c r="P13" s="64">
        <v>1.1100000000000001</v>
      </c>
      <c r="Q13" s="64">
        <v>8.5</v>
      </c>
      <c r="R13" s="198"/>
      <c r="S13" s="198"/>
      <c r="T13" s="198"/>
      <c r="U13" s="198"/>
    </row>
    <row r="14" spans="1:21" s="12" customFormat="1" x14ac:dyDescent="0.25">
      <c r="A14" s="214" t="s">
        <v>1501</v>
      </c>
      <c r="B14" s="64">
        <v>36.450000000000003</v>
      </c>
      <c r="C14" s="64">
        <v>60.68</v>
      </c>
      <c r="D14" s="64">
        <v>63.37</v>
      </c>
      <c r="E14" s="64">
        <v>0.36</v>
      </c>
      <c r="F14" s="64">
        <v>3.96</v>
      </c>
      <c r="G14" s="64">
        <v>121.45</v>
      </c>
      <c r="H14" s="64">
        <v>55.93</v>
      </c>
      <c r="I14" s="64">
        <v>1.45</v>
      </c>
      <c r="J14" s="64">
        <v>0.08</v>
      </c>
      <c r="K14" s="64">
        <v>266</v>
      </c>
      <c r="L14" s="64">
        <v>14.36</v>
      </c>
      <c r="M14" s="64">
        <v>91.19</v>
      </c>
      <c r="N14" s="64">
        <v>24.3</v>
      </c>
      <c r="O14" s="64">
        <v>0</v>
      </c>
      <c r="P14" s="64">
        <v>1.08</v>
      </c>
      <c r="Q14" s="64">
        <v>8.44</v>
      </c>
      <c r="R14" s="198"/>
      <c r="S14" s="198"/>
      <c r="T14" s="198"/>
      <c r="U14" s="198"/>
    </row>
    <row r="15" spans="1:21" s="12" customFormat="1" x14ac:dyDescent="0.25">
      <c r="A15" s="214" t="s">
        <v>1502</v>
      </c>
      <c r="B15" s="64">
        <v>35.369999999999997</v>
      </c>
      <c r="C15" s="64">
        <v>60.17</v>
      </c>
      <c r="D15" s="64">
        <v>62.22</v>
      </c>
      <c r="E15" s="64">
        <v>0.36</v>
      </c>
      <c r="F15" s="64">
        <v>4.05</v>
      </c>
      <c r="G15" s="64">
        <v>122.6</v>
      </c>
      <c r="H15" s="64">
        <v>57.13</v>
      </c>
      <c r="I15" s="64">
        <v>1.47</v>
      </c>
      <c r="J15" s="64">
        <v>0.06</v>
      </c>
      <c r="K15" s="64">
        <v>200.86</v>
      </c>
      <c r="L15" s="64">
        <v>14.27</v>
      </c>
      <c r="M15" s="64">
        <v>92.21</v>
      </c>
      <c r="N15" s="64">
        <v>24.3</v>
      </c>
      <c r="O15" s="64">
        <v>0</v>
      </c>
      <c r="P15" s="64">
        <v>0.97</v>
      </c>
      <c r="Q15" s="64">
        <v>8.33</v>
      </c>
      <c r="R15" s="198"/>
      <c r="S15" s="198"/>
      <c r="T15" s="198"/>
      <c r="U15" s="198"/>
    </row>
    <row r="16" spans="1:21" s="12" customFormat="1" x14ac:dyDescent="0.25">
      <c r="A16" s="214" t="s">
        <v>1503</v>
      </c>
      <c r="B16" s="64">
        <v>34.31</v>
      </c>
      <c r="C16" s="64">
        <v>59.39</v>
      </c>
      <c r="D16" s="64">
        <v>60.94</v>
      </c>
      <c r="E16" s="64">
        <v>0.28999999999999998</v>
      </c>
      <c r="F16" s="64">
        <v>3.75</v>
      </c>
      <c r="G16" s="64">
        <v>127.23</v>
      </c>
      <c r="H16" s="64">
        <v>60.37</v>
      </c>
      <c r="I16" s="64">
        <v>1.57</v>
      </c>
      <c r="J16" s="64">
        <v>0.02</v>
      </c>
      <c r="K16" s="64">
        <v>61.75</v>
      </c>
      <c r="L16" s="64">
        <v>14.07</v>
      </c>
      <c r="M16" s="64">
        <v>93.3</v>
      </c>
      <c r="N16" s="64">
        <v>24.4</v>
      </c>
      <c r="O16" s="64">
        <v>0</v>
      </c>
      <c r="P16" s="64">
        <v>0.99</v>
      </c>
      <c r="Q16" s="64">
        <v>8.74</v>
      </c>
      <c r="R16" s="198"/>
      <c r="S16" s="198"/>
      <c r="T16" s="198"/>
      <c r="U16" s="198"/>
    </row>
    <row r="17" spans="1:21" s="12" customFormat="1" x14ac:dyDescent="0.25">
      <c r="A17" s="214" t="s">
        <v>1504</v>
      </c>
      <c r="B17" s="64">
        <v>33.11</v>
      </c>
      <c r="C17" s="64">
        <v>58.43</v>
      </c>
      <c r="D17" s="64">
        <v>59.44</v>
      </c>
      <c r="E17" s="64">
        <v>0.28999999999999998</v>
      </c>
      <c r="F17" s="64">
        <v>4.07</v>
      </c>
      <c r="G17" s="64">
        <v>127.23</v>
      </c>
      <c r="H17" s="64">
        <v>60.37</v>
      </c>
      <c r="I17" s="64">
        <v>1.55</v>
      </c>
      <c r="J17" s="64">
        <v>0.11</v>
      </c>
      <c r="K17" s="64">
        <v>197.64</v>
      </c>
      <c r="L17" s="64">
        <v>13.93</v>
      </c>
      <c r="M17" s="64">
        <v>92.79</v>
      </c>
      <c r="N17" s="64">
        <v>24</v>
      </c>
      <c r="O17" s="64">
        <v>0</v>
      </c>
      <c r="P17" s="64">
        <v>1.07</v>
      </c>
      <c r="Q17" s="64">
        <v>8.76</v>
      </c>
      <c r="R17" s="198"/>
      <c r="S17" s="198"/>
      <c r="T17" s="198"/>
      <c r="U17" s="198"/>
    </row>
    <row r="18" spans="1:21" s="12" customFormat="1" x14ac:dyDescent="0.25">
      <c r="A18" s="214" t="s">
        <v>1505</v>
      </c>
      <c r="B18" s="64">
        <v>31.76</v>
      </c>
      <c r="C18" s="64">
        <v>57.71</v>
      </c>
      <c r="D18" s="64">
        <v>57.96</v>
      </c>
      <c r="E18" s="64">
        <v>0.28999999999999998</v>
      </c>
      <c r="F18" s="64">
        <v>4.3499999999999996</v>
      </c>
      <c r="G18" s="64">
        <v>127.23</v>
      </c>
      <c r="H18" s="64">
        <v>60.37</v>
      </c>
      <c r="I18" s="64">
        <v>1.54</v>
      </c>
      <c r="J18" s="64">
        <v>0.21</v>
      </c>
      <c r="K18" s="64">
        <v>308.92</v>
      </c>
      <c r="L18" s="64">
        <v>14.08</v>
      </c>
      <c r="M18" s="64">
        <v>92.53</v>
      </c>
      <c r="N18" s="64">
        <v>24.2</v>
      </c>
      <c r="O18" s="64">
        <v>0</v>
      </c>
      <c r="P18" s="64">
        <v>1.02</v>
      </c>
      <c r="Q18" s="64">
        <v>8.94</v>
      </c>
      <c r="R18" s="198"/>
      <c r="S18" s="198"/>
      <c r="T18" s="198"/>
      <c r="U18" s="198"/>
    </row>
    <row r="19" spans="1:21" s="12" customFormat="1" x14ac:dyDescent="0.25">
      <c r="A19" s="214" t="s">
        <v>1506</v>
      </c>
      <c r="B19" s="64">
        <v>30.59</v>
      </c>
      <c r="C19" s="64">
        <v>56.91</v>
      </c>
      <c r="D19" s="64">
        <v>56.58</v>
      </c>
      <c r="E19" s="64">
        <v>0.28999999999999998</v>
      </c>
      <c r="F19" s="64">
        <v>3.81</v>
      </c>
      <c r="G19" s="64">
        <v>124.93</v>
      </c>
      <c r="H19" s="64">
        <v>60.21</v>
      </c>
      <c r="I19" s="64">
        <v>1.48</v>
      </c>
      <c r="J19" s="64">
        <v>0.11</v>
      </c>
      <c r="K19" s="64">
        <v>313.43</v>
      </c>
      <c r="L19" s="64">
        <v>13.59</v>
      </c>
      <c r="M19" s="64">
        <v>96.94</v>
      </c>
      <c r="N19" s="64">
        <v>24.4</v>
      </c>
      <c r="O19" s="64">
        <v>0</v>
      </c>
      <c r="P19" s="64">
        <v>0.96</v>
      </c>
      <c r="Q19" s="64">
        <v>8.9600000000000009</v>
      </c>
      <c r="R19" s="198"/>
      <c r="S19" s="198"/>
      <c r="T19" s="198"/>
      <c r="U19" s="198"/>
    </row>
    <row r="20" spans="1:21" s="12" customFormat="1" x14ac:dyDescent="0.25">
      <c r="A20" s="214" t="s">
        <v>1507</v>
      </c>
      <c r="B20" s="64">
        <v>29.57</v>
      </c>
      <c r="C20" s="64">
        <v>56.33</v>
      </c>
      <c r="D20" s="64">
        <v>55.45</v>
      </c>
      <c r="E20" s="64">
        <v>0.28999999999999998</v>
      </c>
      <c r="F20" s="64">
        <v>3.83</v>
      </c>
      <c r="G20" s="64">
        <v>115.75</v>
      </c>
      <c r="H20" s="64">
        <v>59.76</v>
      </c>
      <c r="I20" s="64">
        <v>1.4</v>
      </c>
      <c r="J20" s="64">
        <v>0.14000000000000001</v>
      </c>
      <c r="K20" s="64">
        <v>306.61</v>
      </c>
      <c r="L20" s="64">
        <v>13.43</v>
      </c>
      <c r="M20" s="64">
        <v>98.15</v>
      </c>
      <c r="N20" s="64">
        <v>24.2</v>
      </c>
      <c r="O20" s="64">
        <v>0</v>
      </c>
      <c r="P20" s="64">
        <v>0.9</v>
      </c>
      <c r="Q20" s="64">
        <v>8.4499999999999993</v>
      </c>
      <c r="R20" s="198"/>
      <c r="S20" s="198"/>
      <c r="T20" s="198"/>
      <c r="U20" s="198"/>
    </row>
    <row r="21" spans="1:21" s="12" customFormat="1" x14ac:dyDescent="0.25">
      <c r="A21" s="214" t="s">
        <v>1508</v>
      </c>
      <c r="B21" s="64">
        <v>28.69</v>
      </c>
      <c r="C21" s="64">
        <v>55.62</v>
      </c>
      <c r="D21" s="64">
        <v>54.35</v>
      </c>
      <c r="E21" s="64">
        <v>0.25</v>
      </c>
      <c r="F21" s="64">
        <v>3.85</v>
      </c>
      <c r="G21" s="64">
        <v>115.75</v>
      </c>
      <c r="H21" s="64">
        <v>59.76</v>
      </c>
      <c r="I21" s="64">
        <v>1.53</v>
      </c>
      <c r="J21" s="64">
        <v>0.06</v>
      </c>
      <c r="K21" s="64">
        <v>282.51</v>
      </c>
      <c r="L21" s="64">
        <v>13.49</v>
      </c>
      <c r="M21" s="64">
        <v>98.16</v>
      </c>
      <c r="N21" s="64">
        <v>24.3</v>
      </c>
      <c r="O21" s="64">
        <v>0</v>
      </c>
      <c r="P21" s="64">
        <v>0.84</v>
      </c>
      <c r="Q21" s="64">
        <v>8.43</v>
      </c>
      <c r="R21" s="198"/>
      <c r="S21" s="198"/>
      <c r="T21" s="198"/>
      <c r="U21" s="198"/>
    </row>
    <row r="22" spans="1:21" s="12" customFormat="1" x14ac:dyDescent="0.25">
      <c r="A22" s="214" t="s">
        <v>1509</v>
      </c>
      <c r="B22" s="64">
        <v>28.11</v>
      </c>
      <c r="C22" s="64">
        <v>55.21</v>
      </c>
      <c r="D22" s="64">
        <v>53.66</v>
      </c>
      <c r="E22" s="64">
        <v>0.3</v>
      </c>
      <c r="F22" s="64">
        <v>3.48</v>
      </c>
      <c r="G22" s="64">
        <v>115.75</v>
      </c>
      <c r="H22" s="64">
        <v>59.76</v>
      </c>
      <c r="I22" s="64">
        <v>1.51</v>
      </c>
      <c r="J22" s="64">
        <v>0.11</v>
      </c>
      <c r="K22" s="64">
        <v>306.66000000000003</v>
      </c>
      <c r="L22" s="64">
        <v>13.45</v>
      </c>
      <c r="M22" s="64">
        <v>98.18</v>
      </c>
      <c r="N22" s="64">
        <v>24.4</v>
      </c>
      <c r="O22" s="64">
        <v>0</v>
      </c>
      <c r="P22" s="64">
        <v>0.91</v>
      </c>
      <c r="Q22" s="64">
        <v>7.64</v>
      </c>
      <c r="R22" s="198"/>
      <c r="S22" s="198"/>
      <c r="T22" s="198"/>
      <c r="U22" s="198"/>
    </row>
    <row r="23" spans="1:21" s="12" customFormat="1" x14ac:dyDescent="0.25">
      <c r="A23" s="214" t="s">
        <v>1510</v>
      </c>
      <c r="B23" s="64">
        <v>27.92</v>
      </c>
      <c r="C23" s="64">
        <v>54.39</v>
      </c>
      <c r="D23" s="64">
        <v>53.05</v>
      </c>
      <c r="E23" s="64">
        <v>0.26</v>
      </c>
      <c r="F23" s="64">
        <v>3.47</v>
      </c>
      <c r="G23" s="64">
        <v>115.67</v>
      </c>
      <c r="H23" s="64">
        <v>60.63</v>
      </c>
      <c r="I23" s="64">
        <v>1.52</v>
      </c>
      <c r="J23" s="64">
        <v>0.06</v>
      </c>
      <c r="K23" s="64">
        <v>312.16000000000003</v>
      </c>
      <c r="L23" s="64">
        <v>13.35</v>
      </c>
      <c r="M23" s="64">
        <v>98.17</v>
      </c>
      <c r="N23" s="64">
        <v>24.2</v>
      </c>
      <c r="O23" s="64">
        <v>0</v>
      </c>
      <c r="P23" s="64">
        <v>0.89</v>
      </c>
      <c r="Q23" s="64">
        <v>7.33</v>
      </c>
      <c r="R23" s="198"/>
      <c r="S23" s="198"/>
      <c r="T23" s="198"/>
      <c r="U23" s="198"/>
    </row>
    <row r="24" spans="1:21" s="12" customFormat="1" x14ac:dyDescent="0.25">
      <c r="A24" s="214" t="s">
        <v>1511</v>
      </c>
      <c r="B24" s="64">
        <v>27.71</v>
      </c>
      <c r="C24" s="64">
        <v>52.19</v>
      </c>
      <c r="D24" s="64">
        <v>51.67</v>
      </c>
      <c r="E24" s="64">
        <v>0.23</v>
      </c>
      <c r="F24" s="64">
        <v>4.08</v>
      </c>
      <c r="G24" s="64">
        <v>115.35</v>
      </c>
      <c r="H24" s="64">
        <v>62.99</v>
      </c>
      <c r="I24" s="64">
        <v>1.54</v>
      </c>
      <c r="J24" s="64">
        <v>0.28000000000000003</v>
      </c>
      <c r="K24" s="64">
        <v>342.79</v>
      </c>
      <c r="L24" s="64">
        <v>13.59</v>
      </c>
      <c r="M24" s="64">
        <v>94.87</v>
      </c>
      <c r="N24" s="64">
        <v>23.8</v>
      </c>
      <c r="O24" s="64">
        <v>0</v>
      </c>
      <c r="P24" s="64">
        <v>0.83</v>
      </c>
      <c r="Q24" s="64">
        <v>7.03</v>
      </c>
      <c r="R24" s="198"/>
      <c r="S24" s="198"/>
      <c r="T24" s="198"/>
      <c r="U24" s="198"/>
    </row>
    <row r="25" spans="1:21" s="12" customFormat="1" x14ac:dyDescent="0.25">
      <c r="A25" s="214" t="s">
        <v>1512</v>
      </c>
      <c r="B25" s="64">
        <v>27.21</v>
      </c>
      <c r="C25" s="64">
        <v>51.89</v>
      </c>
      <c r="D25" s="64">
        <v>51.11</v>
      </c>
      <c r="E25" s="64">
        <v>0.31</v>
      </c>
      <c r="F25" s="64">
        <v>5.18</v>
      </c>
      <c r="G25" s="64">
        <v>115.35</v>
      </c>
      <c r="H25" s="64">
        <v>62.99</v>
      </c>
      <c r="I25" s="64">
        <v>1.5</v>
      </c>
      <c r="J25" s="64">
        <v>0.11</v>
      </c>
      <c r="K25" s="64">
        <v>25.38</v>
      </c>
      <c r="L25" s="64">
        <v>13.91</v>
      </c>
      <c r="M25" s="64">
        <v>89</v>
      </c>
      <c r="N25" s="64">
        <v>24.2</v>
      </c>
      <c r="O25" s="64">
        <v>0</v>
      </c>
      <c r="P25" s="64">
        <v>0.68</v>
      </c>
      <c r="Q25" s="64">
        <v>7.45</v>
      </c>
      <c r="R25" s="198"/>
      <c r="S25" s="198"/>
      <c r="T25" s="198"/>
      <c r="U25" s="198"/>
    </row>
    <row r="26" spans="1:21" s="12" customFormat="1" x14ac:dyDescent="0.25">
      <c r="A26" s="214" t="s">
        <v>1513</v>
      </c>
      <c r="B26" s="64">
        <v>25.9</v>
      </c>
      <c r="C26" s="64">
        <v>52.45</v>
      </c>
      <c r="D26" s="64">
        <v>50.36</v>
      </c>
      <c r="E26" s="64">
        <v>0.28999999999999998</v>
      </c>
      <c r="F26" s="64">
        <v>5.04</v>
      </c>
      <c r="G26" s="64">
        <v>115.35</v>
      </c>
      <c r="H26" s="64">
        <v>62.99</v>
      </c>
      <c r="I26" s="64">
        <v>1.49</v>
      </c>
      <c r="J26" s="64">
        <v>0.19</v>
      </c>
      <c r="K26" s="64">
        <v>120.24</v>
      </c>
      <c r="L26" s="64">
        <v>13.99</v>
      </c>
      <c r="M26" s="64">
        <v>87.19</v>
      </c>
      <c r="N26" s="64">
        <v>24</v>
      </c>
      <c r="O26" s="64">
        <v>0</v>
      </c>
      <c r="P26" s="64">
        <v>0.64</v>
      </c>
      <c r="Q26" s="64">
        <v>8.0299999999999994</v>
      </c>
      <c r="R26" s="198"/>
      <c r="S26" s="198"/>
      <c r="T26" s="198"/>
      <c r="U26" s="198"/>
    </row>
    <row r="27" spans="1:21" s="12" customFormat="1" x14ac:dyDescent="0.25">
      <c r="A27" s="214" t="s">
        <v>1514</v>
      </c>
      <c r="B27" s="64">
        <v>24.32</v>
      </c>
      <c r="C27" s="64">
        <v>52.16</v>
      </c>
      <c r="D27" s="64">
        <v>48.93</v>
      </c>
      <c r="E27" s="64">
        <v>0.28999999999999998</v>
      </c>
      <c r="F27" s="64">
        <v>5.15</v>
      </c>
      <c r="G27" s="64">
        <v>113.07</v>
      </c>
      <c r="H27" s="64">
        <v>62.57</v>
      </c>
      <c r="I27" s="64">
        <v>1.45</v>
      </c>
      <c r="J27" s="64">
        <v>0.13</v>
      </c>
      <c r="K27" s="64">
        <v>101.36</v>
      </c>
      <c r="L27" s="64">
        <v>14.05</v>
      </c>
      <c r="M27" s="64">
        <v>85.53</v>
      </c>
      <c r="N27" s="64">
        <v>24.1</v>
      </c>
      <c r="O27" s="64">
        <v>0</v>
      </c>
      <c r="P27" s="64">
        <v>0.56999999999999995</v>
      </c>
      <c r="Q27" s="64">
        <v>8.1999999999999993</v>
      </c>
      <c r="R27" s="198"/>
      <c r="S27" s="198"/>
      <c r="T27" s="198"/>
      <c r="U27" s="198"/>
    </row>
    <row r="28" spans="1:21" s="12" customFormat="1" x14ac:dyDescent="0.25">
      <c r="A28" s="214" t="s">
        <v>1515</v>
      </c>
      <c r="B28" s="64">
        <v>22.83</v>
      </c>
      <c r="C28" s="64">
        <v>52.13</v>
      </c>
      <c r="D28" s="64">
        <v>47.73</v>
      </c>
      <c r="E28" s="64">
        <v>0.24</v>
      </c>
      <c r="F28" s="64">
        <v>5.37</v>
      </c>
      <c r="G28" s="64">
        <v>103.95</v>
      </c>
      <c r="H28" s="64">
        <v>60.54</v>
      </c>
      <c r="I28" s="64">
        <v>1.55</v>
      </c>
      <c r="J28" s="64">
        <v>0.1</v>
      </c>
      <c r="K28" s="64">
        <v>73.569999999999993</v>
      </c>
      <c r="L28" s="64">
        <v>14.02</v>
      </c>
      <c r="M28" s="64">
        <v>85.27</v>
      </c>
      <c r="N28" s="64">
        <v>24.2</v>
      </c>
      <c r="O28" s="64">
        <v>0</v>
      </c>
      <c r="P28" s="64">
        <v>0.51</v>
      </c>
      <c r="Q28" s="64">
        <v>7.97</v>
      </c>
      <c r="R28" s="198"/>
      <c r="S28" s="198"/>
      <c r="T28" s="198"/>
      <c r="U28" s="198"/>
    </row>
    <row r="29" spans="1:21" s="12" customFormat="1" x14ac:dyDescent="0.25">
      <c r="A29" s="214" t="s">
        <v>1516</v>
      </c>
      <c r="B29" s="64">
        <v>21.29</v>
      </c>
      <c r="C29" s="64">
        <v>51.85</v>
      </c>
      <c r="D29" s="64">
        <v>46.33</v>
      </c>
      <c r="E29" s="64">
        <v>0.28000000000000003</v>
      </c>
      <c r="F29" s="64">
        <v>5.67</v>
      </c>
      <c r="G29" s="64">
        <v>103.95</v>
      </c>
      <c r="H29" s="64">
        <v>60.54</v>
      </c>
      <c r="I29" s="64">
        <v>1.39</v>
      </c>
      <c r="J29" s="64">
        <v>0.1</v>
      </c>
      <c r="K29" s="64">
        <v>89.66</v>
      </c>
      <c r="L29" s="64">
        <v>13.92</v>
      </c>
      <c r="M29" s="64">
        <v>85.82</v>
      </c>
      <c r="N29" s="64">
        <v>24.2</v>
      </c>
      <c r="O29" s="64">
        <v>0</v>
      </c>
      <c r="P29" s="64">
        <v>0.49</v>
      </c>
      <c r="Q29" s="64">
        <v>7.63</v>
      </c>
      <c r="R29" s="198"/>
      <c r="S29" s="198"/>
      <c r="T29" s="198"/>
      <c r="U29" s="198"/>
    </row>
    <row r="30" spans="1:21" s="12" customFormat="1" x14ac:dyDescent="0.25">
      <c r="A30" s="214" t="s">
        <v>1517</v>
      </c>
      <c r="B30" s="64">
        <v>19.93</v>
      </c>
      <c r="C30" s="64">
        <v>51.43</v>
      </c>
      <c r="D30" s="64">
        <v>45.01</v>
      </c>
      <c r="E30" s="64">
        <v>0.22</v>
      </c>
      <c r="F30" s="64">
        <v>5.81</v>
      </c>
      <c r="G30" s="64">
        <v>103.95</v>
      </c>
      <c r="H30" s="64">
        <v>60.54</v>
      </c>
      <c r="I30" s="64">
        <v>1.48</v>
      </c>
      <c r="J30" s="64">
        <v>0.15</v>
      </c>
      <c r="K30" s="64">
        <v>54.29</v>
      </c>
      <c r="L30" s="64">
        <v>13.92</v>
      </c>
      <c r="M30" s="64">
        <v>86.71</v>
      </c>
      <c r="N30" s="64">
        <v>24.2</v>
      </c>
      <c r="O30" s="64">
        <v>0</v>
      </c>
      <c r="P30" s="64">
        <v>0.46</v>
      </c>
      <c r="Q30" s="64">
        <v>7.3</v>
      </c>
      <c r="R30" s="198"/>
      <c r="S30" s="198"/>
      <c r="T30" s="198"/>
      <c r="U30" s="198"/>
    </row>
    <row r="31" spans="1:21" s="12" customFormat="1" x14ac:dyDescent="0.25">
      <c r="A31" s="214" t="s">
        <v>1518</v>
      </c>
      <c r="B31" s="64">
        <v>18.670000000000002</v>
      </c>
      <c r="C31" s="64">
        <v>50.91</v>
      </c>
      <c r="D31" s="64">
        <v>43.72</v>
      </c>
      <c r="E31" s="64">
        <v>0.27</v>
      </c>
      <c r="F31" s="64">
        <v>5.76</v>
      </c>
      <c r="G31" s="64">
        <v>101.55</v>
      </c>
      <c r="H31" s="64">
        <v>58.31</v>
      </c>
      <c r="I31" s="64">
        <v>1.48</v>
      </c>
      <c r="J31" s="64">
        <v>0.15</v>
      </c>
      <c r="K31" s="64">
        <v>90.57</v>
      </c>
      <c r="L31" s="64">
        <v>13.86</v>
      </c>
      <c r="M31" s="64">
        <v>86.96</v>
      </c>
      <c r="N31" s="64">
        <v>24.3</v>
      </c>
      <c r="O31" s="64">
        <v>0</v>
      </c>
      <c r="P31" s="64">
        <v>0.46</v>
      </c>
      <c r="Q31" s="64">
        <v>7.13</v>
      </c>
      <c r="R31" s="198"/>
      <c r="S31" s="198"/>
      <c r="T31" s="198"/>
      <c r="U31" s="198"/>
    </row>
    <row r="32" spans="1:21" s="12" customFormat="1" x14ac:dyDescent="0.25">
      <c r="A32" s="214" t="s">
        <v>1519</v>
      </c>
      <c r="B32" s="64">
        <v>17.7</v>
      </c>
      <c r="C32" s="64">
        <v>50.47</v>
      </c>
      <c r="D32" s="64">
        <v>42.69</v>
      </c>
      <c r="E32" s="64">
        <v>0.31</v>
      </c>
      <c r="F32" s="64">
        <v>5.44</v>
      </c>
      <c r="G32" s="64">
        <v>91.93</v>
      </c>
      <c r="H32" s="64">
        <v>52.25</v>
      </c>
      <c r="I32" s="64">
        <v>1.45</v>
      </c>
      <c r="J32" s="64">
        <v>0.09</v>
      </c>
      <c r="K32" s="64">
        <v>72</v>
      </c>
      <c r="L32" s="64">
        <v>13.83</v>
      </c>
      <c r="M32" s="64">
        <v>86.94</v>
      </c>
      <c r="N32" s="64">
        <v>24.1</v>
      </c>
      <c r="O32" s="64">
        <v>0</v>
      </c>
      <c r="P32" s="64">
        <v>0.46</v>
      </c>
      <c r="Q32" s="64">
        <v>6.7</v>
      </c>
      <c r="R32" s="198"/>
      <c r="S32" s="198"/>
      <c r="T32" s="198"/>
      <c r="U32" s="198"/>
    </row>
    <row r="33" spans="1:21" s="12" customFormat="1" x14ac:dyDescent="0.25">
      <c r="A33" s="214" t="s">
        <v>1520</v>
      </c>
      <c r="B33" s="64">
        <v>17.11</v>
      </c>
      <c r="C33" s="64">
        <v>50.11</v>
      </c>
      <c r="D33" s="64">
        <v>42.02</v>
      </c>
      <c r="E33" s="64">
        <v>0.25</v>
      </c>
      <c r="F33" s="64">
        <v>4.62</v>
      </c>
      <c r="G33" s="64">
        <v>91.93</v>
      </c>
      <c r="H33" s="64">
        <v>52.25</v>
      </c>
      <c r="I33" s="64">
        <v>1.56</v>
      </c>
      <c r="J33" s="64">
        <v>0.2</v>
      </c>
      <c r="K33" s="64">
        <v>113.55</v>
      </c>
      <c r="L33" s="64">
        <v>13.9</v>
      </c>
      <c r="M33" s="64">
        <v>86.11</v>
      </c>
      <c r="N33" s="64">
        <v>24.4</v>
      </c>
      <c r="O33" s="64">
        <v>0</v>
      </c>
      <c r="P33" s="64">
        <v>0.46</v>
      </c>
      <c r="Q33" s="64">
        <v>5.6</v>
      </c>
      <c r="R33" s="198"/>
      <c r="S33" s="198"/>
      <c r="T33" s="198"/>
      <c r="U33" s="198"/>
    </row>
    <row r="34" spans="1:21" s="12" customFormat="1" x14ac:dyDescent="0.25">
      <c r="A34" s="214" t="s">
        <v>1521</v>
      </c>
      <c r="B34" s="64">
        <v>16.649999999999999</v>
      </c>
      <c r="C34" s="64">
        <v>50.04</v>
      </c>
      <c r="D34" s="64">
        <v>41.61</v>
      </c>
      <c r="E34" s="64">
        <v>0.31</v>
      </c>
      <c r="F34" s="64">
        <v>4.34</v>
      </c>
      <c r="G34" s="64">
        <v>91.93</v>
      </c>
      <c r="H34" s="64">
        <v>52.25</v>
      </c>
      <c r="I34" s="64">
        <v>1.52</v>
      </c>
      <c r="J34" s="64">
        <v>0.09</v>
      </c>
      <c r="K34" s="64">
        <v>24.63</v>
      </c>
      <c r="L34" s="64">
        <v>13.79</v>
      </c>
      <c r="M34" s="64">
        <v>87.86</v>
      </c>
      <c r="N34" s="64">
        <v>26.6</v>
      </c>
      <c r="O34" s="64">
        <v>0</v>
      </c>
      <c r="P34" s="64">
        <v>0.49</v>
      </c>
      <c r="Q34" s="64">
        <v>5.55</v>
      </c>
      <c r="R34" s="198"/>
      <c r="S34" s="198"/>
      <c r="T34" s="198"/>
      <c r="U34" s="198"/>
    </row>
    <row r="35" spans="1:21" s="12" customFormat="1" x14ac:dyDescent="0.25">
      <c r="A35" s="214" t="s">
        <v>1522</v>
      </c>
      <c r="B35" s="64">
        <v>18.399999999999999</v>
      </c>
      <c r="C35" s="64">
        <v>50.43</v>
      </c>
      <c r="D35" s="64">
        <v>43.23</v>
      </c>
      <c r="E35" s="64">
        <v>0.46</v>
      </c>
      <c r="F35" s="64">
        <v>3.45</v>
      </c>
      <c r="G35" s="64">
        <v>92.21</v>
      </c>
      <c r="H35" s="64">
        <v>52.13</v>
      </c>
      <c r="I35" s="64">
        <v>1.51</v>
      </c>
      <c r="J35" s="64">
        <v>0.06</v>
      </c>
      <c r="K35" s="64">
        <v>28.31</v>
      </c>
      <c r="L35" s="64">
        <v>13.66</v>
      </c>
      <c r="M35" s="64">
        <v>89.26</v>
      </c>
      <c r="N35" s="64">
        <v>35.6</v>
      </c>
      <c r="O35" s="64">
        <v>0</v>
      </c>
      <c r="P35" s="64">
        <v>0.79</v>
      </c>
      <c r="Q35" s="64">
        <v>1.07</v>
      </c>
      <c r="R35" s="198"/>
      <c r="S35" s="198"/>
      <c r="T35" s="198"/>
      <c r="U35" s="198"/>
    </row>
    <row r="36" spans="1:21" s="12" customFormat="1" x14ac:dyDescent="0.25">
      <c r="A36" s="214" t="s">
        <v>1523</v>
      </c>
      <c r="B36" s="64">
        <v>22.46</v>
      </c>
      <c r="C36" s="64">
        <v>51.38</v>
      </c>
      <c r="D36" s="64">
        <v>47.01</v>
      </c>
      <c r="E36" s="64">
        <v>0.47</v>
      </c>
      <c r="F36" s="64">
        <v>3.56</v>
      </c>
      <c r="G36" s="64">
        <v>93.3</v>
      </c>
      <c r="H36" s="64">
        <v>51.79</v>
      </c>
      <c r="I36" s="64">
        <v>1.54</v>
      </c>
      <c r="J36" s="64">
        <v>0.17</v>
      </c>
      <c r="K36" s="64">
        <v>84.43</v>
      </c>
      <c r="L36" s="64">
        <v>13.93</v>
      </c>
      <c r="M36" s="64">
        <v>87.5</v>
      </c>
      <c r="N36" s="64">
        <v>50.6</v>
      </c>
      <c r="O36" s="64">
        <v>0</v>
      </c>
      <c r="P36" s="64">
        <v>0.91</v>
      </c>
      <c r="Q36" s="64">
        <v>1.1100000000000001</v>
      </c>
      <c r="R36" s="198"/>
      <c r="S36" s="198"/>
      <c r="T36" s="198"/>
      <c r="U36" s="198"/>
    </row>
    <row r="37" spans="1:21" s="12" customFormat="1" x14ac:dyDescent="0.25">
      <c r="A37" s="214" t="s">
        <v>1524</v>
      </c>
      <c r="B37" s="64">
        <v>26.09</v>
      </c>
      <c r="C37" s="64">
        <v>52.19</v>
      </c>
      <c r="D37" s="64">
        <v>50.37</v>
      </c>
      <c r="E37" s="64">
        <v>0.45</v>
      </c>
      <c r="F37" s="64">
        <v>3.46</v>
      </c>
      <c r="G37" s="64">
        <v>93.3</v>
      </c>
      <c r="H37" s="64">
        <v>51.79</v>
      </c>
      <c r="I37" s="64">
        <v>1.52</v>
      </c>
      <c r="J37" s="64">
        <v>0.11</v>
      </c>
      <c r="K37" s="64">
        <v>66.209999999999994</v>
      </c>
      <c r="L37" s="64">
        <v>14.29</v>
      </c>
      <c r="M37" s="64">
        <v>85.39</v>
      </c>
      <c r="N37" s="64">
        <v>71.8</v>
      </c>
      <c r="O37" s="64">
        <v>0</v>
      </c>
      <c r="P37" s="64">
        <v>0.95</v>
      </c>
      <c r="Q37" s="64">
        <v>1.26</v>
      </c>
      <c r="R37" s="198"/>
      <c r="S37" s="198"/>
      <c r="T37" s="198"/>
      <c r="U37" s="198"/>
    </row>
    <row r="38" spans="1:21" s="12" customFormat="1" x14ac:dyDescent="0.25">
      <c r="A38" s="214" t="s">
        <v>1525</v>
      </c>
      <c r="B38" s="64">
        <v>28.52</v>
      </c>
      <c r="C38" s="64">
        <v>52.88</v>
      </c>
      <c r="D38" s="64">
        <v>52.7</v>
      </c>
      <c r="E38" s="64">
        <v>0.35</v>
      </c>
      <c r="F38" s="64">
        <v>3.36</v>
      </c>
      <c r="G38" s="64">
        <v>93.3</v>
      </c>
      <c r="H38" s="64">
        <v>51.79</v>
      </c>
      <c r="I38" s="64">
        <v>1.49</v>
      </c>
      <c r="J38" s="64">
        <v>0.23</v>
      </c>
      <c r="K38" s="64">
        <v>104.64</v>
      </c>
      <c r="L38" s="64">
        <v>14.76</v>
      </c>
      <c r="M38" s="64">
        <v>82.14</v>
      </c>
      <c r="N38" s="64">
        <v>94.5</v>
      </c>
      <c r="O38" s="64">
        <v>0</v>
      </c>
      <c r="P38" s="64">
        <v>0.88</v>
      </c>
      <c r="Q38" s="64">
        <v>2.36</v>
      </c>
      <c r="R38" s="198"/>
      <c r="S38" s="198"/>
      <c r="T38" s="198"/>
      <c r="U38" s="198"/>
    </row>
    <row r="39" spans="1:21" s="12" customFormat="1" x14ac:dyDescent="0.25">
      <c r="A39" s="214" t="s">
        <v>1526</v>
      </c>
      <c r="B39" s="64">
        <v>28.88</v>
      </c>
      <c r="C39" s="64">
        <v>53.39</v>
      </c>
      <c r="D39" s="64">
        <v>53.27</v>
      </c>
      <c r="E39" s="64">
        <v>0.33</v>
      </c>
      <c r="F39" s="64">
        <v>3.44</v>
      </c>
      <c r="G39" s="64">
        <v>95.28</v>
      </c>
      <c r="H39" s="64">
        <v>51.94</v>
      </c>
      <c r="I39" s="64">
        <v>1.52</v>
      </c>
      <c r="J39" s="64">
        <v>0.28999999999999998</v>
      </c>
      <c r="K39" s="64">
        <v>116.01</v>
      </c>
      <c r="L39" s="64">
        <v>15.69</v>
      </c>
      <c r="M39" s="64">
        <v>78.989999999999995</v>
      </c>
      <c r="N39" s="64">
        <v>174.4</v>
      </c>
      <c r="O39" s="64">
        <v>0</v>
      </c>
      <c r="P39" s="64">
        <v>0.88</v>
      </c>
      <c r="Q39" s="64">
        <v>4.8099999999999996</v>
      </c>
      <c r="R39" s="198"/>
      <c r="S39" s="198"/>
      <c r="T39" s="198"/>
      <c r="U39" s="198"/>
    </row>
    <row r="40" spans="1:21" s="12" customFormat="1" x14ac:dyDescent="0.25">
      <c r="A40" s="214" t="s">
        <v>1527</v>
      </c>
      <c r="B40" s="64">
        <v>28.88</v>
      </c>
      <c r="C40" s="64">
        <v>53.39</v>
      </c>
      <c r="D40" s="64">
        <v>53.27</v>
      </c>
      <c r="E40" s="64">
        <v>0.33</v>
      </c>
      <c r="F40" s="64">
        <v>3.44</v>
      </c>
      <c r="G40" s="64">
        <v>95.28</v>
      </c>
      <c r="H40" s="64">
        <v>51.94</v>
      </c>
      <c r="I40" s="64">
        <v>1.52</v>
      </c>
      <c r="J40" s="64">
        <v>0.28999999999999998</v>
      </c>
      <c r="K40" s="64">
        <v>116.01</v>
      </c>
      <c r="L40" s="64">
        <v>15.69</v>
      </c>
      <c r="M40" s="64">
        <v>78.989999999999995</v>
      </c>
      <c r="N40" s="64">
        <v>174.4</v>
      </c>
      <c r="O40" s="64">
        <v>0</v>
      </c>
      <c r="P40" s="64">
        <v>0.88</v>
      </c>
      <c r="Q40" s="64">
        <v>4.8099999999999996</v>
      </c>
      <c r="R40" s="198"/>
      <c r="S40" s="198"/>
      <c r="T40" s="198"/>
      <c r="U40" s="198"/>
    </row>
    <row r="41" spans="1:21" s="12" customFormat="1" x14ac:dyDescent="0.25">
      <c r="A41" s="214" t="s">
        <v>1528</v>
      </c>
      <c r="B41" s="64">
        <v>28.88</v>
      </c>
      <c r="C41" s="64">
        <v>53.39</v>
      </c>
      <c r="D41" s="64">
        <v>53.27</v>
      </c>
      <c r="E41" s="64">
        <v>0.33</v>
      </c>
      <c r="F41" s="64">
        <v>3.44</v>
      </c>
      <c r="G41" s="64">
        <v>95.28</v>
      </c>
      <c r="H41" s="64">
        <v>51.94</v>
      </c>
      <c r="I41" s="64">
        <v>1.52</v>
      </c>
      <c r="J41" s="64">
        <v>0.28999999999999998</v>
      </c>
      <c r="K41" s="64">
        <v>116.01</v>
      </c>
      <c r="L41" s="64">
        <v>15.69</v>
      </c>
      <c r="M41" s="64">
        <v>78.989999999999995</v>
      </c>
      <c r="N41" s="64">
        <v>174.4</v>
      </c>
      <c r="O41" s="64">
        <v>0</v>
      </c>
      <c r="P41" s="64">
        <v>0.88</v>
      </c>
      <c r="Q41" s="64">
        <v>4.8099999999999996</v>
      </c>
      <c r="R41" s="198"/>
      <c r="S41" s="198"/>
      <c r="T41" s="198"/>
      <c r="U41" s="198"/>
    </row>
    <row r="42" spans="1:21" s="12" customFormat="1" x14ac:dyDescent="0.25">
      <c r="A42" s="214" t="s">
        <v>1529</v>
      </c>
      <c r="B42" s="64">
        <v>28.21</v>
      </c>
      <c r="C42" s="64">
        <v>53.33</v>
      </c>
      <c r="D42" s="64">
        <v>52.7</v>
      </c>
      <c r="E42" s="64">
        <v>0.36</v>
      </c>
      <c r="F42" s="64">
        <v>6.38</v>
      </c>
      <c r="G42" s="64">
        <v>102.69</v>
      </c>
      <c r="H42" s="64">
        <v>52.36</v>
      </c>
      <c r="I42" s="64">
        <v>1.47</v>
      </c>
      <c r="J42" s="64">
        <v>1.1299999999999999</v>
      </c>
      <c r="K42" s="64">
        <v>108.42</v>
      </c>
      <c r="L42" s="64">
        <v>17.11</v>
      </c>
      <c r="M42" s="64">
        <v>65.94</v>
      </c>
      <c r="N42" s="64">
        <v>286.5</v>
      </c>
      <c r="O42" s="64">
        <v>0</v>
      </c>
      <c r="P42" s="64">
        <v>0.67</v>
      </c>
      <c r="Q42" s="64">
        <v>6.65</v>
      </c>
      <c r="R42" s="198"/>
      <c r="S42" s="198"/>
      <c r="T42" s="198"/>
      <c r="U42" s="198"/>
    </row>
    <row r="43" spans="1:21" s="12" customFormat="1" x14ac:dyDescent="0.25">
      <c r="A43" s="214" t="s">
        <v>1530</v>
      </c>
      <c r="B43" s="64">
        <v>25.48</v>
      </c>
      <c r="C43" s="64">
        <v>53.1</v>
      </c>
      <c r="D43" s="64">
        <v>50.39</v>
      </c>
      <c r="E43" s="64">
        <v>0.67</v>
      </c>
      <c r="F43" s="64">
        <v>9.3699999999999992</v>
      </c>
      <c r="G43" s="64">
        <v>99.9</v>
      </c>
      <c r="H43" s="64">
        <v>52.06</v>
      </c>
      <c r="I43" s="64">
        <v>1.57</v>
      </c>
      <c r="J43" s="64">
        <v>0.31</v>
      </c>
      <c r="K43" s="64">
        <v>91.32</v>
      </c>
      <c r="L43" s="64">
        <v>19.11</v>
      </c>
      <c r="M43" s="64">
        <v>54.75</v>
      </c>
      <c r="N43" s="64">
        <v>382.4</v>
      </c>
      <c r="O43" s="64">
        <v>0</v>
      </c>
      <c r="P43" s="64">
        <v>0.55000000000000004</v>
      </c>
      <c r="Q43" s="64">
        <v>7.46</v>
      </c>
      <c r="R43" s="198"/>
      <c r="S43" s="198"/>
      <c r="T43" s="198"/>
      <c r="U43" s="198"/>
    </row>
    <row r="44" spans="1:21" s="12" customFormat="1" x14ac:dyDescent="0.25">
      <c r="A44" s="214" t="s">
        <v>1531</v>
      </c>
      <c r="B44" s="64">
        <v>24.36</v>
      </c>
      <c r="C44" s="64">
        <v>53.61</v>
      </c>
      <c r="D44" s="64">
        <v>49.77</v>
      </c>
      <c r="E44" s="64">
        <v>0.79</v>
      </c>
      <c r="F44" s="64">
        <v>8.8000000000000007</v>
      </c>
      <c r="G44" s="64">
        <v>88.76</v>
      </c>
      <c r="H44" s="64">
        <v>50.72</v>
      </c>
      <c r="I44" s="64">
        <v>1.53</v>
      </c>
      <c r="J44" s="64">
        <v>0.16</v>
      </c>
      <c r="K44" s="64">
        <v>65.38</v>
      </c>
      <c r="L44" s="64">
        <v>19.87</v>
      </c>
      <c r="M44" s="64">
        <v>53</v>
      </c>
      <c r="N44" s="64">
        <v>429.6</v>
      </c>
      <c r="O44" s="64">
        <v>0</v>
      </c>
      <c r="P44" s="64">
        <v>0.59</v>
      </c>
      <c r="Q44" s="64">
        <v>5.99</v>
      </c>
      <c r="R44" s="198"/>
      <c r="S44" s="198"/>
      <c r="T44" s="198"/>
      <c r="U44" s="198"/>
    </row>
    <row r="45" spans="1:21" s="12" customFormat="1" x14ac:dyDescent="0.25">
      <c r="A45" s="214" t="s">
        <v>1532</v>
      </c>
      <c r="B45" s="64">
        <v>23.79</v>
      </c>
      <c r="C45" s="64">
        <v>54.1</v>
      </c>
      <c r="D45" s="64">
        <v>49.58</v>
      </c>
      <c r="E45" s="64">
        <v>1.02</v>
      </c>
      <c r="F45" s="64">
        <v>7.56</v>
      </c>
      <c r="G45" s="64">
        <v>88.76</v>
      </c>
      <c r="H45" s="64">
        <v>50.72</v>
      </c>
      <c r="I45" s="64">
        <v>1.54</v>
      </c>
      <c r="J45" s="64">
        <v>0.28999999999999998</v>
      </c>
      <c r="K45" s="64">
        <v>108.3</v>
      </c>
      <c r="L45" s="64">
        <v>20.96</v>
      </c>
      <c r="M45" s="64">
        <v>50.91</v>
      </c>
      <c r="N45" s="64">
        <v>475.9</v>
      </c>
      <c r="O45" s="64">
        <v>0</v>
      </c>
      <c r="P45" s="64">
        <v>0.66</v>
      </c>
      <c r="Q45" s="64">
        <v>4.4000000000000004</v>
      </c>
      <c r="R45" s="198"/>
      <c r="S45" s="198"/>
      <c r="T45" s="198"/>
      <c r="U45" s="198"/>
    </row>
    <row r="46" spans="1:21" s="12" customFormat="1" x14ac:dyDescent="0.25">
      <c r="A46" s="214" t="s">
        <v>1533</v>
      </c>
      <c r="B46" s="64">
        <v>23.63</v>
      </c>
      <c r="C46" s="64">
        <v>54.63</v>
      </c>
      <c r="D46" s="64">
        <v>49.74</v>
      </c>
      <c r="E46" s="64">
        <v>0.84</v>
      </c>
      <c r="F46" s="64">
        <v>7.5</v>
      </c>
      <c r="G46" s="64">
        <v>88.76</v>
      </c>
      <c r="H46" s="64">
        <v>50.72</v>
      </c>
      <c r="I46" s="64">
        <v>1.47</v>
      </c>
      <c r="J46" s="64">
        <v>0.65</v>
      </c>
      <c r="K46" s="64">
        <v>100.73</v>
      </c>
      <c r="L46" s="64">
        <v>20.149999999999999</v>
      </c>
      <c r="M46" s="64">
        <v>53.94</v>
      </c>
      <c r="N46" s="64">
        <v>510</v>
      </c>
      <c r="O46" s="64">
        <v>0</v>
      </c>
      <c r="P46" s="64">
        <v>0.6</v>
      </c>
      <c r="Q46" s="64">
        <v>4.34</v>
      </c>
      <c r="R46" s="198"/>
      <c r="S46" s="198"/>
      <c r="T46" s="198"/>
      <c r="U46" s="198"/>
    </row>
    <row r="47" spans="1:21" s="12" customFormat="1" x14ac:dyDescent="0.25">
      <c r="A47" s="214" t="s">
        <v>1534</v>
      </c>
      <c r="B47" s="64">
        <v>22.93</v>
      </c>
      <c r="C47" s="64">
        <v>55.16</v>
      </c>
      <c r="D47" s="64">
        <v>49.47</v>
      </c>
      <c r="E47" s="64">
        <v>1.27</v>
      </c>
      <c r="F47" s="64">
        <v>7.95</v>
      </c>
      <c r="G47" s="64">
        <v>90.63</v>
      </c>
      <c r="H47" s="64">
        <v>48.48</v>
      </c>
      <c r="I47" s="64">
        <v>1.44</v>
      </c>
      <c r="J47" s="64">
        <v>0.38</v>
      </c>
      <c r="K47" s="64">
        <v>88.17</v>
      </c>
      <c r="L47" s="64">
        <v>21.53</v>
      </c>
      <c r="M47" s="64">
        <v>50.34</v>
      </c>
      <c r="N47" s="64">
        <v>545.29999999999995</v>
      </c>
      <c r="O47" s="64">
        <v>0</v>
      </c>
      <c r="P47" s="64">
        <v>0.72</v>
      </c>
      <c r="Q47" s="64">
        <v>5.35</v>
      </c>
      <c r="R47" s="198"/>
      <c r="S47" s="198"/>
      <c r="T47" s="198"/>
      <c r="U47" s="198"/>
    </row>
    <row r="48" spans="1:21" s="12" customFormat="1" x14ac:dyDescent="0.25">
      <c r="A48" s="214" t="s">
        <v>1535</v>
      </c>
      <c r="B48" s="64">
        <v>22.32</v>
      </c>
      <c r="C48" s="64">
        <v>55.43</v>
      </c>
      <c r="D48" s="64">
        <v>49.13</v>
      </c>
      <c r="E48" s="64">
        <v>1.59</v>
      </c>
      <c r="F48" s="64">
        <v>9.07</v>
      </c>
      <c r="G48" s="64">
        <v>98.13</v>
      </c>
      <c r="H48" s="64">
        <v>42.39</v>
      </c>
      <c r="I48" s="64">
        <v>1.47</v>
      </c>
      <c r="J48" s="64">
        <v>0.35</v>
      </c>
      <c r="K48" s="64">
        <v>81.11</v>
      </c>
      <c r="L48" s="64">
        <v>22.27</v>
      </c>
      <c r="M48" s="64">
        <v>46.1</v>
      </c>
      <c r="N48" s="64">
        <v>578.5</v>
      </c>
      <c r="O48" s="64">
        <v>0</v>
      </c>
      <c r="P48" s="64">
        <v>0.65</v>
      </c>
      <c r="Q48" s="64">
        <v>5.18</v>
      </c>
      <c r="R48" s="198"/>
      <c r="S48" s="198"/>
      <c r="T48" s="198"/>
      <c r="U48" s="198"/>
    </row>
    <row r="49" spans="1:21" s="12" customFormat="1" x14ac:dyDescent="0.25">
      <c r="A49" s="214" t="s">
        <v>1536</v>
      </c>
      <c r="B49" s="64">
        <v>21.44</v>
      </c>
      <c r="C49" s="64">
        <v>55.57</v>
      </c>
      <c r="D49" s="64">
        <v>48.51</v>
      </c>
      <c r="E49" s="64">
        <v>1.43</v>
      </c>
      <c r="F49" s="64">
        <v>11.49</v>
      </c>
      <c r="G49" s="64">
        <v>98.13</v>
      </c>
      <c r="H49" s="64">
        <v>42.39</v>
      </c>
      <c r="I49" s="64">
        <v>1.48</v>
      </c>
      <c r="J49" s="64">
        <v>0.56999999999999995</v>
      </c>
      <c r="K49" s="64">
        <v>119.02</v>
      </c>
      <c r="L49" s="64">
        <v>22.09</v>
      </c>
      <c r="M49" s="64">
        <v>45.79</v>
      </c>
      <c r="N49" s="64">
        <v>610.9</v>
      </c>
      <c r="O49" s="64">
        <v>0</v>
      </c>
      <c r="P49" s="64">
        <v>0.56999999999999995</v>
      </c>
      <c r="Q49" s="64">
        <v>5.79</v>
      </c>
      <c r="R49" s="198"/>
      <c r="S49" s="198"/>
      <c r="T49" s="198"/>
      <c r="U49" s="198"/>
    </row>
    <row r="50" spans="1:21" s="12" customFormat="1" x14ac:dyDescent="0.25">
      <c r="A50" s="214" t="s">
        <v>1537</v>
      </c>
      <c r="B50" s="64">
        <v>20.22</v>
      </c>
      <c r="C50" s="64">
        <v>55.66</v>
      </c>
      <c r="D50" s="64">
        <v>47.58</v>
      </c>
      <c r="E50" s="64">
        <v>1.6</v>
      </c>
      <c r="F50" s="64">
        <v>11.94</v>
      </c>
      <c r="G50" s="64">
        <v>98.13</v>
      </c>
      <c r="H50" s="64">
        <v>42.39</v>
      </c>
      <c r="I50" s="64">
        <v>1.48</v>
      </c>
      <c r="J50" s="64">
        <v>1.28</v>
      </c>
      <c r="K50" s="64">
        <v>115.62</v>
      </c>
      <c r="L50" s="64">
        <v>21.7</v>
      </c>
      <c r="M50" s="64">
        <v>46.83</v>
      </c>
      <c r="N50" s="64">
        <v>635.1</v>
      </c>
      <c r="O50" s="64">
        <v>0</v>
      </c>
      <c r="P50" s="64">
        <v>0.51</v>
      </c>
      <c r="Q50" s="64">
        <v>6.47</v>
      </c>
      <c r="R50" s="198"/>
      <c r="S50" s="198"/>
      <c r="T50" s="198"/>
      <c r="U50" s="198"/>
    </row>
    <row r="51" spans="1:21" s="12" customFormat="1" x14ac:dyDescent="0.25">
      <c r="A51" s="214" t="s">
        <v>1538</v>
      </c>
      <c r="B51" s="64">
        <v>18.84</v>
      </c>
      <c r="C51" s="64">
        <v>55.53</v>
      </c>
      <c r="D51" s="64">
        <v>46.4</v>
      </c>
      <c r="E51" s="64">
        <v>2.0099999999999998</v>
      </c>
      <c r="F51" s="64">
        <v>15.79</v>
      </c>
      <c r="G51" s="64">
        <v>95.86</v>
      </c>
      <c r="H51" s="64">
        <v>41.46</v>
      </c>
      <c r="I51" s="64">
        <v>1.51</v>
      </c>
      <c r="J51" s="64">
        <v>0.56000000000000005</v>
      </c>
      <c r="K51" s="64">
        <v>354.7</v>
      </c>
      <c r="L51" s="64">
        <v>23.44</v>
      </c>
      <c r="M51" s="64">
        <v>44.17</v>
      </c>
      <c r="N51" s="64">
        <v>645.79999999999995</v>
      </c>
      <c r="O51" s="64">
        <v>0</v>
      </c>
      <c r="P51" s="64">
        <v>0.67</v>
      </c>
      <c r="Q51" s="64">
        <v>6.03</v>
      </c>
      <c r="R51" s="198"/>
      <c r="S51" s="198"/>
      <c r="T51" s="198"/>
      <c r="U51" s="198"/>
    </row>
    <row r="52" spans="1:21" s="12" customFormat="1" x14ac:dyDescent="0.25">
      <c r="A52" s="214" t="s">
        <v>1539</v>
      </c>
      <c r="B52" s="64">
        <v>17.989999999999998</v>
      </c>
      <c r="C52" s="64">
        <v>55.77</v>
      </c>
      <c r="D52" s="64">
        <v>45.85</v>
      </c>
      <c r="E52" s="64">
        <v>2.84</v>
      </c>
      <c r="F52" s="64">
        <v>16.25</v>
      </c>
      <c r="G52" s="64">
        <v>86.76</v>
      </c>
      <c r="H52" s="64">
        <v>38.94</v>
      </c>
      <c r="I52" s="64">
        <v>1.54</v>
      </c>
      <c r="J52" s="64">
        <v>0.77</v>
      </c>
      <c r="K52" s="64">
        <v>339.65</v>
      </c>
      <c r="L52" s="64">
        <v>26.63</v>
      </c>
      <c r="M52" s="64">
        <v>37.21</v>
      </c>
      <c r="N52" s="64">
        <v>648.9</v>
      </c>
      <c r="O52" s="64">
        <v>0</v>
      </c>
      <c r="P52" s="64">
        <v>0.84</v>
      </c>
      <c r="Q52" s="64">
        <v>4.1399999999999997</v>
      </c>
      <c r="R52" s="198"/>
      <c r="S52" s="198"/>
      <c r="T52" s="198"/>
      <c r="U52" s="198"/>
    </row>
    <row r="53" spans="1:21" s="12" customFormat="1" x14ac:dyDescent="0.25">
      <c r="A53" s="214" t="s">
        <v>1540</v>
      </c>
      <c r="B53" s="64">
        <v>17.440000000000001</v>
      </c>
      <c r="C53" s="64">
        <v>57.52</v>
      </c>
      <c r="D53" s="64">
        <v>46.37</v>
      </c>
      <c r="E53" s="64">
        <v>2.4300000000000002</v>
      </c>
      <c r="F53" s="64">
        <v>16.579999999999998</v>
      </c>
      <c r="G53" s="64">
        <v>86.76</v>
      </c>
      <c r="H53" s="64">
        <v>38.94</v>
      </c>
      <c r="I53" s="64">
        <v>1.53</v>
      </c>
      <c r="J53" s="64">
        <v>0.71</v>
      </c>
      <c r="K53" s="64">
        <v>343.03</v>
      </c>
      <c r="L53" s="64">
        <v>26.92</v>
      </c>
      <c r="M53" s="64">
        <v>37.049999999999997</v>
      </c>
      <c r="N53" s="64">
        <v>653.6</v>
      </c>
      <c r="O53" s="64">
        <v>0</v>
      </c>
      <c r="P53" s="64">
        <v>0.8</v>
      </c>
      <c r="Q53" s="64">
        <v>3.98</v>
      </c>
      <c r="R53" s="198"/>
      <c r="S53" s="198"/>
      <c r="T53" s="198"/>
      <c r="U53" s="198"/>
    </row>
    <row r="54" spans="1:21" s="12" customFormat="1" x14ac:dyDescent="0.25">
      <c r="A54" s="214" t="s">
        <v>1541</v>
      </c>
      <c r="B54" s="64">
        <v>16.46</v>
      </c>
      <c r="C54" s="64">
        <v>59.53</v>
      </c>
      <c r="D54" s="64">
        <v>46.7</v>
      </c>
      <c r="E54" s="64">
        <v>1.52</v>
      </c>
      <c r="F54" s="64">
        <v>16.100000000000001</v>
      </c>
      <c r="G54" s="64">
        <v>86.76</v>
      </c>
      <c r="H54" s="64">
        <v>38.94</v>
      </c>
      <c r="I54" s="64">
        <v>1.47</v>
      </c>
      <c r="J54" s="64">
        <v>0.53</v>
      </c>
      <c r="K54" s="64">
        <v>331.74</v>
      </c>
      <c r="L54" s="64">
        <v>27.9</v>
      </c>
      <c r="M54" s="64">
        <v>34.49</v>
      </c>
      <c r="N54" s="64">
        <v>653.70000000000005</v>
      </c>
      <c r="O54" s="64">
        <v>0</v>
      </c>
      <c r="P54" s="64">
        <v>0.7</v>
      </c>
      <c r="Q54" s="64">
        <v>4.6100000000000003</v>
      </c>
      <c r="R54" s="198"/>
      <c r="S54" s="198"/>
      <c r="T54" s="198"/>
      <c r="U54" s="198"/>
    </row>
    <row r="55" spans="1:21" s="12" customFormat="1" x14ac:dyDescent="0.25">
      <c r="A55" s="214" t="s">
        <v>1542</v>
      </c>
      <c r="B55" s="64">
        <v>14.47</v>
      </c>
      <c r="C55" s="64">
        <v>61.13</v>
      </c>
      <c r="D55" s="64">
        <v>45.98</v>
      </c>
      <c r="E55" s="64">
        <v>1.76</v>
      </c>
      <c r="F55" s="64">
        <v>33.409999999999997</v>
      </c>
      <c r="G55" s="64">
        <v>86.14</v>
      </c>
      <c r="H55" s="64">
        <v>38.729999999999997</v>
      </c>
      <c r="I55" s="64">
        <v>1.49</v>
      </c>
      <c r="J55" s="64">
        <v>0.77</v>
      </c>
      <c r="K55" s="64">
        <v>330.56</v>
      </c>
      <c r="L55" s="64">
        <v>28.45</v>
      </c>
      <c r="M55" s="64">
        <v>34</v>
      </c>
      <c r="N55" s="64">
        <v>641</v>
      </c>
      <c r="O55" s="64">
        <v>0</v>
      </c>
      <c r="P55" s="64">
        <v>0.7</v>
      </c>
      <c r="Q55" s="64">
        <v>5.72</v>
      </c>
      <c r="R55" s="198"/>
      <c r="S55" s="198"/>
      <c r="T55" s="198"/>
      <c r="U55" s="198"/>
    </row>
    <row r="56" spans="1:21" s="12" customFormat="1" x14ac:dyDescent="0.25">
      <c r="A56" s="214" t="s">
        <v>1543</v>
      </c>
      <c r="B56" s="64">
        <v>12.21</v>
      </c>
      <c r="C56" s="64">
        <v>62.48</v>
      </c>
      <c r="D56" s="64">
        <v>44.92</v>
      </c>
      <c r="E56" s="64">
        <v>1.17</v>
      </c>
      <c r="F56" s="64">
        <v>31.56</v>
      </c>
      <c r="G56" s="64">
        <v>83.79</v>
      </c>
      <c r="H56" s="64">
        <v>38.17</v>
      </c>
      <c r="I56" s="64">
        <v>1.48</v>
      </c>
      <c r="J56" s="64">
        <v>0.65</v>
      </c>
      <c r="K56" s="64">
        <v>329.16</v>
      </c>
      <c r="L56" s="64">
        <v>28.58</v>
      </c>
      <c r="M56" s="64">
        <v>33.75</v>
      </c>
      <c r="N56" s="64">
        <v>685.2</v>
      </c>
      <c r="O56" s="64">
        <v>0</v>
      </c>
      <c r="P56" s="64">
        <v>0.73</v>
      </c>
      <c r="Q56" s="64">
        <v>5.52</v>
      </c>
      <c r="R56" s="198"/>
      <c r="S56" s="198"/>
      <c r="T56" s="198"/>
      <c r="U56" s="198"/>
    </row>
    <row r="57" spans="1:21" s="12" customFormat="1" x14ac:dyDescent="0.25">
      <c r="A57" s="214" t="s">
        <v>1544</v>
      </c>
      <c r="B57" s="64">
        <v>10.55</v>
      </c>
      <c r="C57" s="64">
        <v>63.63</v>
      </c>
      <c r="D57" s="64">
        <v>44.22</v>
      </c>
      <c r="E57" s="64">
        <v>1.85</v>
      </c>
      <c r="F57" s="64">
        <v>28.93</v>
      </c>
      <c r="G57" s="64">
        <v>83.79</v>
      </c>
      <c r="H57" s="64">
        <v>38.17</v>
      </c>
      <c r="I57" s="64">
        <v>1.46</v>
      </c>
      <c r="J57" s="64">
        <v>0.78</v>
      </c>
      <c r="K57" s="64">
        <v>332.69</v>
      </c>
      <c r="L57" s="64">
        <v>28.94</v>
      </c>
      <c r="M57" s="64">
        <v>33.03</v>
      </c>
      <c r="N57" s="64">
        <v>698.3</v>
      </c>
      <c r="O57" s="64">
        <v>0</v>
      </c>
      <c r="P57" s="64">
        <v>0.73</v>
      </c>
      <c r="Q57" s="64">
        <v>4.3</v>
      </c>
      <c r="R57" s="198"/>
      <c r="S57" s="198"/>
      <c r="T57" s="198"/>
      <c r="U57" s="198"/>
    </row>
    <row r="58" spans="1:21" s="12" customFormat="1" x14ac:dyDescent="0.25">
      <c r="A58" s="214" t="s">
        <v>1545</v>
      </c>
      <c r="B58" s="64">
        <v>9.02</v>
      </c>
      <c r="C58" s="64">
        <v>64.650000000000006</v>
      </c>
      <c r="D58" s="64">
        <v>43.56</v>
      </c>
      <c r="E58" s="64">
        <v>1.54</v>
      </c>
      <c r="F58" s="64">
        <v>35.21</v>
      </c>
      <c r="G58" s="64">
        <v>83.79</v>
      </c>
      <c r="H58" s="64">
        <v>38.17</v>
      </c>
      <c r="I58" s="64">
        <v>1.49</v>
      </c>
      <c r="J58" s="64">
        <v>0.56999999999999995</v>
      </c>
      <c r="K58" s="64">
        <v>340.93</v>
      </c>
      <c r="L58" s="64">
        <v>28.36</v>
      </c>
      <c r="M58" s="64">
        <v>32.58</v>
      </c>
      <c r="N58" s="64">
        <v>707</v>
      </c>
      <c r="O58" s="64">
        <v>0</v>
      </c>
      <c r="P58" s="64">
        <v>0.67</v>
      </c>
      <c r="Q58" s="64">
        <v>4.75</v>
      </c>
      <c r="R58" s="198"/>
      <c r="S58" s="198"/>
      <c r="T58" s="198"/>
      <c r="U58" s="198"/>
    </row>
    <row r="59" spans="1:21" s="12" customFormat="1" x14ac:dyDescent="0.25">
      <c r="A59" s="214" t="s">
        <v>1546</v>
      </c>
      <c r="B59" s="64">
        <v>7.4</v>
      </c>
      <c r="C59" s="64">
        <v>65</v>
      </c>
      <c r="D59" s="64">
        <v>42.45</v>
      </c>
      <c r="E59" s="64">
        <v>1.68</v>
      </c>
      <c r="F59" s="64">
        <v>30.54</v>
      </c>
      <c r="G59" s="64">
        <v>81.88</v>
      </c>
      <c r="H59" s="64">
        <v>38.25</v>
      </c>
      <c r="I59" s="64">
        <v>1.5</v>
      </c>
      <c r="J59" s="64">
        <v>0.54</v>
      </c>
      <c r="K59" s="64">
        <v>342.06</v>
      </c>
      <c r="L59" s="64">
        <v>28.17</v>
      </c>
      <c r="M59" s="64">
        <v>30.76</v>
      </c>
      <c r="N59" s="64">
        <v>668.1</v>
      </c>
      <c r="O59" s="64">
        <v>0</v>
      </c>
      <c r="P59" s="64">
        <v>0.56999999999999995</v>
      </c>
      <c r="Q59" s="64">
        <v>4.95</v>
      </c>
      <c r="R59" s="198"/>
      <c r="S59" s="198"/>
      <c r="T59" s="198"/>
      <c r="U59" s="198"/>
    </row>
    <row r="60" spans="1:21" s="12" customFormat="1" x14ac:dyDescent="0.25">
      <c r="A60" s="214" t="s">
        <v>1547</v>
      </c>
      <c r="B60" s="64">
        <v>6.11</v>
      </c>
      <c r="C60" s="64">
        <v>64</v>
      </c>
      <c r="D60" s="64">
        <v>40.86</v>
      </c>
      <c r="E60" s="64">
        <v>1.36</v>
      </c>
      <c r="F60" s="64">
        <v>33.92</v>
      </c>
      <c r="G60" s="64">
        <v>74.25</v>
      </c>
      <c r="H60" s="64">
        <v>38.58</v>
      </c>
      <c r="I60" s="64">
        <v>1.5</v>
      </c>
      <c r="J60" s="64">
        <v>0.61</v>
      </c>
      <c r="K60" s="64">
        <v>348.52</v>
      </c>
      <c r="L60" s="64">
        <v>27</v>
      </c>
      <c r="M60" s="64">
        <v>33.29</v>
      </c>
      <c r="N60" s="64">
        <v>606.20000000000005</v>
      </c>
      <c r="O60" s="64">
        <v>0</v>
      </c>
      <c r="P60" s="64">
        <v>0.56000000000000005</v>
      </c>
      <c r="Q60" s="64">
        <v>5.07</v>
      </c>
      <c r="R60" s="198"/>
      <c r="S60" s="198"/>
      <c r="T60" s="198"/>
      <c r="U60" s="198"/>
    </row>
    <row r="61" spans="1:21" s="12" customFormat="1" x14ac:dyDescent="0.25">
      <c r="A61" s="214" t="s">
        <v>1548</v>
      </c>
      <c r="B61" s="64">
        <v>5.3</v>
      </c>
      <c r="C61" s="64">
        <v>62.98</v>
      </c>
      <c r="D61" s="64">
        <v>39.659999999999997</v>
      </c>
      <c r="E61" s="64">
        <v>1.08</v>
      </c>
      <c r="F61" s="64">
        <v>14.43</v>
      </c>
      <c r="G61" s="64">
        <v>74.25</v>
      </c>
      <c r="H61" s="64">
        <v>38.58</v>
      </c>
      <c r="I61" s="64">
        <v>1.43</v>
      </c>
      <c r="J61" s="64">
        <v>0.22</v>
      </c>
      <c r="K61" s="64">
        <v>329.77</v>
      </c>
      <c r="L61" s="64">
        <v>26.58</v>
      </c>
      <c r="M61" s="64">
        <v>33.86</v>
      </c>
      <c r="N61" s="64">
        <v>569.79999999999995</v>
      </c>
      <c r="O61" s="64">
        <v>0</v>
      </c>
      <c r="P61" s="64">
        <v>0.59</v>
      </c>
      <c r="Q61" s="64">
        <v>4.59</v>
      </c>
      <c r="R61" s="198"/>
      <c r="S61" s="198"/>
      <c r="T61" s="198"/>
      <c r="U61" s="198"/>
    </row>
    <row r="62" spans="1:21" s="12" customFormat="1" x14ac:dyDescent="0.25">
      <c r="A62" s="214" t="s">
        <v>1549</v>
      </c>
      <c r="B62" s="64">
        <v>4.55</v>
      </c>
      <c r="C62" s="64">
        <v>61.82</v>
      </c>
      <c r="D62" s="64">
        <v>38.409999999999997</v>
      </c>
      <c r="E62" s="64">
        <v>0.89</v>
      </c>
      <c r="F62" s="64">
        <v>20.3</v>
      </c>
      <c r="G62" s="64">
        <v>74.25</v>
      </c>
      <c r="H62" s="64">
        <v>38.58</v>
      </c>
      <c r="I62" s="64">
        <v>1.51</v>
      </c>
      <c r="J62" s="64">
        <v>0.34</v>
      </c>
      <c r="K62" s="64">
        <v>64.34</v>
      </c>
      <c r="L62" s="64">
        <v>25.18</v>
      </c>
      <c r="M62" s="64">
        <v>36.75</v>
      </c>
      <c r="N62" s="64">
        <v>541.6</v>
      </c>
      <c r="O62" s="64">
        <v>0</v>
      </c>
      <c r="P62" s="64">
        <v>0.62</v>
      </c>
      <c r="Q62" s="64">
        <v>4.5</v>
      </c>
      <c r="R62" s="198"/>
      <c r="S62" s="198"/>
      <c r="T62" s="198"/>
      <c r="U62" s="198"/>
    </row>
    <row r="63" spans="1:21" s="12" customFormat="1" x14ac:dyDescent="0.25">
      <c r="A63" s="214" t="s">
        <v>1550</v>
      </c>
      <c r="B63" s="64">
        <v>4.2300000000000004</v>
      </c>
      <c r="C63" s="64">
        <v>60.94</v>
      </c>
      <c r="D63" s="64">
        <v>37.67</v>
      </c>
      <c r="E63" s="64">
        <v>2.16</v>
      </c>
      <c r="F63" s="64">
        <v>28.38</v>
      </c>
      <c r="G63" s="64">
        <v>74.09</v>
      </c>
      <c r="H63" s="64">
        <v>37.479999999999997</v>
      </c>
      <c r="I63" s="64">
        <v>1.53</v>
      </c>
      <c r="J63" s="64">
        <v>0.59</v>
      </c>
      <c r="K63" s="64">
        <v>341.06</v>
      </c>
      <c r="L63" s="64">
        <v>26.75</v>
      </c>
      <c r="M63" s="64">
        <v>34.1</v>
      </c>
      <c r="N63" s="64">
        <v>433.6</v>
      </c>
      <c r="O63" s="64">
        <v>0</v>
      </c>
      <c r="P63" s="64">
        <v>0.71</v>
      </c>
      <c r="Q63" s="64">
        <v>2.6</v>
      </c>
      <c r="R63" s="198"/>
      <c r="S63" s="198"/>
      <c r="T63" s="198"/>
      <c r="U63" s="198"/>
    </row>
    <row r="64" spans="1:21" s="12" customFormat="1" x14ac:dyDescent="0.25">
      <c r="A64" s="214" t="s">
        <v>1551</v>
      </c>
      <c r="B64" s="64">
        <v>4.2699999999999996</v>
      </c>
      <c r="C64" s="64">
        <v>60.71</v>
      </c>
      <c r="D64" s="64">
        <v>37.57</v>
      </c>
      <c r="E64" s="64">
        <v>1.85</v>
      </c>
      <c r="F64" s="64">
        <v>19.02</v>
      </c>
      <c r="G64" s="64">
        <v>73.489999999999995</v>
      </c>
      <c r="H64" s="64">
        <v>34.49</v>
      </c>
      <c r="I64" s="64">
        <v>1.57</v>
      </c>
      <c r="J64" s="64">
        <v>0.24</v>
      </c>
      <c r="K64" s="64">
        <v>350.02</v>
      </c>
      <c r="L64" s="64">
        <v>26.22</v>
      </c>
      <c r="M64" s="64">
        <v>34.81</v>
      </c>
      <c r="N64" s="64">
        <v>217.3</v>
      </c>
      <c r="O64" s="64">
        <v>0</v>
      </c>
      <c r="P64" s="64">
        <v>0.73</v>
      </c>
      <c r="Q64" s="64">
        <v>1.99</v>
      </c>
      <c r="R64" s="198"/>
      <c r="S64" s="198"/>
      <c r="T64" s="198"/>
      <c r="U64" s="198"/>
    </row>
    <row r="65" spans="1:21" s="12" customFormat="1" x14ac:dyDescent="0.25">
      <c r="A65" s="214" t="s">
        <v>1552</v>
      </c>
      <c r="B65" s="64">
        <v>4.3899999999999997</v>
      </c>
      <c r="C65" s="64">
        <v>60.94</v>
      </c>
      <c r="D65" s="64">
        <v>37.799999999999997</v>
      </c>
      <c r="E65" s="64">
        <v>3.07</v>
      </c>
      <c r="F65" s="64">
        <v>31.76</v>
      </c>
      <c r="G65" s="64">
        <v>73.489999999999995</v>
      </c>
      <c r="H65" s="64">
        <v>34.49</v>
      </c>
      <c r="I65" s="64">
        <v>1.48</v>
      </c>
      <c r="J65" s="64">
        <v>0.81</v>
      </c>
      <c r="K65" s="64">
        <v>344</v>
      </c>
      <c r="L65" s="64">
        <v>26.49</v>
      </c>
      <c r="M65" s="64">
        <v>33.869999999999997</v>
      </c>
      <c r="N65" s="64">
        <v>197.1</v>
      </c>
      <c r="O65" s="64">
        <v>0</v>
      </c>
      <c r="P65" s="64">
        <v>0.82</v>
      </c>
      <c r="Q65" s="64">
        <v>2.4900000000000002</v>
      </c>
      <c r="R65" s="198"/>
      <c r="S65" s="198"/>
      <c r="T65" s="198"/>
      <c r="U65" s="198"/>
    </row>
    <row r="66" spans="1:21" s="12" customFormat="1" x14ac:dyDescent="0.25">
      <c r="A66" s="214" t="s">
        <v>1553</v>
      </c>
      <c r="B66" s="64">
        <v>4.83</v>
      </c>
      <c r="C66" s="64">
        <v>61.56</v>
      </c>
      <c r="D66" s="64">
        <v>38.49</v>
      </c>
      <c r="E66" s="64">
        <v>5.16</v>
      </c>
      <c r="F66" s="64">
        <v>30.85</v>
      </c>
      <c r="G66" s="64">
        <v>73.489999999999995</v>
      </c>
      <c r="H66" s="64">
        <v>34.49</v>
      </c>
      <c r="I66" s="64">
        <v>1.53</v>
      </c>
      <c r="J66" s="64">
        <v>1.08</v>
      </c>
      <c r="K66" s="64">
        <v>339.92</v>
      </c>
      <c r="L66" s="64">
        <v>26.3</v>
      </c>
      <c r="M66" s="64">
        <v>33.380000000000003</v>
      </c>
      <c r="N66" s="64">
        <v>178.5</v>
      </c>
      <c r="O66" s="64">
        <v>0</v>
      </c>
      <c r="P66" s="64">
        <v>0.76</v>
      </c>
      <c r="Q66" s="64">
        <v>2.0699999999999998</v>
      </c>
      <c r="R66" s="198"/>
      <c r="S66" s="198"/>
      <c r="T66" s="198"/>
      <c r="U66" s="198"/>
    </row>
    <row r="67" spans="1:21" s="12" customFormat="1" x14ac:dyDescent="0.25">
      <c r="A67" s="214" t="s">
        <v>1554</v>
      </c>
      <c r="B67" s="64">
        <v>5.33</v>
      </c>
      <c r="C67" s="64">
        <v>62.07</v>
      </c>
      <c r="D67" s="64">
        <v>39.17</v>
      </c>
      <c r="E67" s="64">
        <v>5.24</v>
      </c>
      <c r="F67" s="64">
        <v>29.87</v>
      </c>
      <c r="G67" s="64">
        <v>76.430000000000007</v>
      </c>
      <c r="H67" s="64">
        <v>35.89</v>
      </c>
      <c r="I67" s="64">
        <v>1.51</v>
      </c>
      <c r="J67" s="64">
        <v>0.89</v>
      </c>
      <c r="K67" s="64">
        <v>341.61</v>
      </c>
      <c r="L67" s="64">
        <v>25.65</v>
      </c>
      <c r="M67" s="64">
        <v>34.090000000000003</v>
      </c>
      <c r="N67" s="64">
        <v>191.5</v>
      </c>
      <c r="O67" s="64">
        <v>0</v>
      </c>
      <c r="P67" s="64">
        <v>0.63</v>
      </c>
      <c r="Q67" s="64">
        <v>1.71</v>
      </c>
      <c r="R67" s="198"/>
      <c r="S67" s="198"/>
      <c r="T67" s="198"/>
      <c r="U67" s="198"/>
    </row>
    <row r="68" spans="1:21" s="12" customFormat="1" x14ac:dyDescent="0.25">
      <c r="A68" s="214" t="s">
        <v>1555</v>
      </c>
      <c r="B68" s="64">
        <v>5.68</v>
      </c>
      <c r="C68" s="64">
        <v>61.65</v>
      </c>
      <c r="D68" s="64">
        <v>39.22</v>
      </c>
      <c r="E68" s="64">
        <v>4.9800000000000004</v>
      </c>
      <c r="F68" s="64">
        <v>27.86</v>
      </c>
      <c r="G68" s="64">
        <v>88.2</v>
      </c>
      <c r="H68" s="64">
        <v>39.72</v>
      </c>
      <c r="I68" s="64">
        <v>1.48</v>
      </c>
      <c r="J68" s="64">
        <v>0.57999999999999996</v>
      </c>
      <c r="K68" s="64">
        <v>322.94</v>
      </c>
      <c r="L68" s="64">
        <v>25.22</v>
      </c>
      <c r="M68" s="64">
        <v>34.67</v>
      </c>
      <c r="N68" s="64">
        <v>143.9</v>
      </c>
      <c r="O68" s="64">
        <v>0</v>
      </c>
      <c r="P68" s="64">
        <v>0.7</v>
      </c>
      <c r="Q68" s="64">
        <v>2.48</v>
      </c>
      <c r="R68" s="198"/>
      <c r="S68" s="198"/>
      <c r="T68" s="198"/>
      <c r="U68" s="198"/>
    </row>
    <row r="69" spans="1:21" s="12" customFormat="1" x14ac:dyDescent="0.25">
      <c r="A69" s="214" t="s">
        <v>1556</v>
      </c>
      <c r="B69" s="64">
        <v>6.09</v>
      </c>
      <c r="C69" s="64">
        <v>61.45</v>
      </c>
      <c r="D69" s="64">
        <v>39.44</v>
      </c>
      <c r="E69" s="64">
        <v>5.85</v>
      </c>
      <c r="F69" s="64">
        <v>35.06</v>
      </c>
      <c r="G69" s="64">
        <v>88.2</v>
      </c>
      <c r="H69" s="64">
        <v>39.72</v>
      </c>
      <c r="I69" s="64">
        <v>1.49</v>
      </c>
      <c r="J69" s="64">
        <v>0.88</v>
      </c>
      <c r="K69" s="64">
        <v>326.95</v>
      </c>
      <c r="L69" s="64">
        <v>24.58</v>
      </c>
      <c r="M69" s="64">
        <v>34.659999999999997</v>
      </c>
      <c r="N69" s="64">
        <v>128.6</v>
      </c>
      <c r="O69" s="64">
        <v>0</v>
      </c>
      <c r="P69" s="64">
        <v>0.6</v>
      </c>
      <c r="Q69" s="64">
        <v>1.96</v>
      </c>
      <c r="R69" s="198"/>
      <c r="S69" s="198"/>
      <c r="T69" s="198"/>
      <c r="U69" s="198"/>
    </row>
    <row r="70" spans="1:21" s="12" customFormat="1" x14ac:dyDescent="0.25">
      <c r="A70" s="214" t="s">
        <v>1557</v>
      </c>
      <c r="B70" s="64">
        <v>6.33</v>
      </c>
      <c r="C70" s="64">
        <v>61.36</v>
      </c>
      <c r="D70" s="64">
        <v>39.590000000000003</v>
      </c>
      <c r="E70" s="64">
        <v>5.15</v>
      </c>
      <c r="F70" s="64">
        <v>38.119999999999997</v>
      </c>
      <c r="G70" s="64">
        <v>88.2</v>
      </c>
      <c r="H70" s="64">
        <v>39.72</v>
      </c>
      <c r="I70" s="64">
        <v>1.54</v>
      </c>
      <c r="J70" s="64">
        <v>0.73</v>
      </c>
      <c r="K70" s="64">
        <v>332.75</v>
      </c>
      <c r="L70" s="64">
        <v>24.16</v>
      </c>
      <c r="M70" s="64">
        <v>35.83</v>
      </c>
      <c r="N70" s="64">
        <v>117.5</v>
      </c>
      <c r="O70" s="64">
        <v>0</v>
      </c>
      <c r="P70" s="64">
        <v>0.64</v>
      </c>
      <c r="Q70" s="64">
        <v>2.64</v>
      </c>
      <c r="R70" s="198"/>
      <c r="S70" s="198"/>
      <c r="T70" s="198"/>
      <c r="U70" s="198"/>
    </row>
    <row r="71" spans="1:21" s="12" customFormat="1" x14ac:dyDescent="0.25">
      <c r="A71" s="214" t="s">
        <v>1558</v>
      </c>
      <c r="B71" s="64">
        <v>6.48</v>
      </c>
      <c r="C71" s="64">
        <v>61.14</v>
      </c>
      <c r="D71" s="64">
        <v>39.58</v>
      </c>
      <c r="E71" s="64">
        <v>4.97</v>
      </c>
      <c r="F71" s="64">
        <v>27.38</v>
      </c>
      <c r="G71" s="64">
        <v>89.09</v>
      </c>
      <c r="H71" s="64">
        <v>38.96</v>
      </c>
      <c r="I71" s="64">
        <v>1.46</v>
      </c>
      <c r="J71" s="64">
        <v>0.8</v>
      </c>
      <c r="K71" s="64">
        <v>336.95</v>
      </c>
      <c r="L71" s="64">
        <v>23.94</v>
      </c>
      <c r="M71" s="64">
        <v>36.33</v>
      </c>
      <c r="N71" s="64">
        <v>104.4</v>
      </c>
      <c r="O71" s="64">
        <v>0</v>
      </c>
      <c r="P71" s="64">
        <v>0.76</v>
      </c>
      <c r="Q71" s="64">
        <v>2.27</v>
      </c>
      <c r="R71" s="198"/>
      <c r="S71" s="198"/>
      <c r="T71" s="198"/>
      <c r="U71" s="198"/>
    </row>
    <row r="72" spans="1:21" s="12" customFormat="1" x14ac:dyDescent="0.25">
      <c r="A72" s="214" t="s">
        <v>1559</v>
      </c>
      <c r="B72" s="64">
        <v>6.72</v>
      </c>
      <c r="C72" s="64">
        <v>61.5</v>
      </c>
      <c r="D72" s="64">
        <v>39.97</v>
      </c>
      <c r="E72" s="64">
        <v>3.28</v>
      </c>
      <c r="F72" s="64">
        <v>43.43</v>
      </c>
      <c r="G72" s="64">
        <v>92.66</v>
      </c>
      <c r="H72" s="64">
        <v>36.89</v>
      </c>
      <c r="I72" s="64">
        <v>1.54</v>
      </c>
      <c r="J72" s="64">
        <v>0.97</v>
      </c>
      <c r="K72" s="64">
        <v>336.83</v>
      </c>
      <c r="L72" s="64">
        <v>23.56</v>
      </c>
      <c r="M72" s="64">
        <v>37.14</v>
      </c>
      <c r="N72" s="64">
        <v>90.7</v>
      </c>
      <c r="O72" s="64">
        <v>0</v>
      </c>
      <c r="P72" s="64">
        <v>0.8</v>
      </c>
      <c r="Q72" s="64">
        <v>2.31</v>
      </c>
      <c r="R72" s="198"/>
      <c r="S72" s="198"/>
      <c r="T72" s="198"/>
      <c r="U72" s="198"/>
    </row>
    <row r="73" spans="1:21" s="12" customFormat="1" x14ac:dyDescent="0.25">
      <c r="A73" s="214" t="s">
        <v>1560</v>
      </c>
      <c r="B73" s="64">
        <v>6.57</v>
      </c>
      <c r="C73" s="64">
        <v>61.8</v>
      </c>
      <c r="D73" s="64">
        <v>40.020000000000003</v>
      </c>
      <c r="E73" s="64">
        <v>5.7</v>
      </c>
      <c r="F73" s="64">
        <v>41.24</v>
      </c>
      <c r="G73" s="64">
        <v>92.66</v>
      </c>
      <c r="H73" s="64">
        <v>36.89</v>
      </c>
      <c r="I73" s="64">
        <v>1.48</v>
      </c>
      <c r="J73" s="64">
        <v>0.93</v>
      </c>
      <c r="K73" s="64">
        <v>341.84</v>
      </c>
      <c r="L73" s="64">
        <v>23.07</v>
      </c>
      <c r="M73" s="64">
        <v>37.880000000000003</v>
      </c>
      <c r="N73" s="64">
        <v>77.099999999999994</v>
      </c>
      <c r="O73" s="64">
        <v>0</v>
      </c>
      <c r="P73" s="64">
        <v>0.73</v>
      </c>
      <c r="Q73" s="64">
        <v>2.63</v>
      </c>
      <c r="R73" s="198"/>
      <c r="S73" s="198"/>
      <c r="T73" s="198"/>
      <c r="U73" s="198"/>
    </row>
    <row r="74" spans="1:21" s="12" customFormat="1" x14ac:dyDescent="0.25">
      <c r="A74" s="214" t="s">
        <v>1561</v>
      </c>
      <c r="B74" s="64">
        <v>6.7</v>
      </c>
      <c r="C74" s="64">
        <v>62.79</v>
      </c>
      <c r="D74" s="64">
        <v>40.67</v>
      </c>
      <c r="E74" s="64">
        <v>5.15</v>
      </c>
      <c r="F74" s="64">
        <v>18.7</v>
      </c>
      <c r="G74" s="64">
        <v>92.66</v>
      </c>
      <c r="H74" s="64">
        <v>36.89</v>
      </c>
      <c r="I74" s="64">
        <v>1.44</v>
      </c>
      <c r="J74" s="64">
        <v>0.62</v>
      </c>
      <c r="K74" s="64">
        <v>343.95</v>
      </c>
      <c r="L74" s="64">
        <v>22.69</v>
      </c>
      <c r="M74" s="64">
        <v>39.96</v>
      </c>
      <c r="N74" s="64">
        <v>63.8</v>
      </c>
      <c r="O74" s="64">
        <v>0</v>
      </c>
      <c r="P74" s="64">
        <v>1.05</v>
      </c>
      <c r="Q74" s="64">
        <v>0.08</v>
      </c>
      <c r="R74" s="198"/>
      <c r="S74" s="198"/>
      <c r="T74" s="198"/>
      <c r="U74" s="198"/>
    </row>
    <row r="75" spans="1:21" s="12" customFormat="1" x14ac:dyDescent="0.25">
      <c r="A75" s="214" t="s">
        <v>1562</v>
      </c>
      <c r="B75" s="64">
        <v>7.43</v>
      </c>
      <c r="C75" s="64">
        <v>63.86</v>
      </c>
      <c r="D75" s="64">
        <v>41.85</v>
      </c>
      <c r="E75" s="64">
        <v>5.29</v>
      </c>
      <c r="F75" s="64">
        <v>27.05</v>
      </c>
      <c r="G75" s="64">
        <v>92.89</v>
      </c>
      <c r="H75" s="64">
        <v>36.94</v>
      </c>
      <c r="I75" s="64">
        <v>1.57</v>
      </c>
      <c r="J75" s="64">
        <v>0.83</v>
      </c>
      <c r="K75" s="64">
        <v>345.26</v>
      </c>
      <c r="L75" s="64">
        <v>22.24</v>
      </c>
      <c r="M75" s="64">
        <v>40.31</v>
      </c>
      <c r="N75" s="64">
        <v>51.5</v>
      </c>
      <c r="O75" s="64">
        <v>0</v>
      </c>
      <c r="P75" s="64">
        <v>0.96</v>
      </c>
      <c r="Q75" s="64">
        <v>0.46</v>
      </c>
      <c r="R75" s="198"/>
      <c r="S75" s="198"/>
      <c r="T75" s="198"/>
      <c r="U75" s="198"/>
    </row>
    <row r="76" spans="1:21" s="12" customFormat="1" x14ac:dyDescent="0.25">
      <c r="A76" s="214" t="s">
        <v>1563</v>
      </c>
      <c r="B76" s="64">
        <v>7.9</v>
      </c>
      <c r="C76" s="64">
        <v>64.52</v>
      </c>
      <c r="D76" s="64">
        <v>42.59</v>
      </c>
      <c r="E76" s="64">
        <v>4.71</v>
      </c>
      <c r="F76" s="64">
        <v>28.23</v>
      </c>
      <c r="G76" s="64">
        <v>93.84</v>
      </c>
      <c r="H76" s="64">
        <v>37.159999999999997</v>
      </c>
      <c r="I76" s="64">
        <v>1.5</v>
      </c>
      <c r="J76" s="64">
        <v>0.81</v>
      </c>
      <c r="K76" s="64">
        <v>348.43</v>
      </c>
      <c r="L76" s="64">
        <v>21.75</v>
      </c>
      <c r="M76" s="64">
        <v>42.32</v>
      </c>
      <c r="N76" s="64">
        <v>39.799999999999997</v>
      </c>
      <c r="O76" s="64">
        <v>0</v>
      </c>
      <c r="P76" s="64">
        <v>1.1100000000000001</v>
      </c>
      <c r="Q76" s="64">
        <v>1.37</v>
      </c>
      <c r="R76" s="198"/>
      <c r="S76" s="198"/>
      <c r="T76" s="198"/>
      <c r="U76" s="198"/>
    </row>
    <row r="77" spans="1:21" s="12" customFormat="1" x14ac:dyDescent="0.25">
      <c r="A77" s="214" t="s">
        <v>1564</v>
      </c>
      <c r="B77" s="64">
        <v>8.4499999999999993</v>
      </c>
      <c r="C77" s="64">
        <v>65.37</v>
      </c>
      <c r="D77" s="64">
        <v>43.5</v>
      </c>
      <c r="E77" s="64">
        <v>3.52</v>
      </c>
      <c r="F77" s="64">
        <v>16.27</v>
      </c>
      <c r="G77" s="64">
        <v>93.84</v>
      </c>
      <c r="H77" s="64">
        <v>37.159999999999997</v>
      </c>
      <c r="I77" s="64">
        <v>1.4</v>
      </c>
      <c r="J77" s="64">
        <v>0.52</v>
      </c>
      <c r="K77" s="64">
        <v>347.93</v>
      </c>
      <c r="L77" s="64">
        <v>21.18</v>
      </c>
      <c r="M77" s="64">
        <v>42.88</v>
      </c>
      <c r="N77" s="64">
        <v>30.4</v>
      </c>
      <c r="O77" s="64">
        <v>0</v>
      </c>
      <c r="P77" s="64">
        <v>1.28</v>
      </c>
      <c r="Q77" s="212" t="s">
        <v>42</v>
      </c>
      <c r="R77" s="198"/>
      <c r="S77" s="198"/>
      <c r="T77" s="198"/>
      <c r="U77" s="198"/>
    </row>
    <row r="78" spans="1:21" s="12" customFormat="1" x14ac:dyDescent="0.25">
      <c r="A78" s="214" t="s">
        <v>1565</v>
      </c>
      <c r="B78" s="64">
        <v>9.14</v>
      </c>
      <c r="C78" s="64">
        <v>66.2</v>
      </c>
      <c r="D78" s="64">
        <v>44.51</v>
      </c>
      <c r="E78" s="64">
        <v>3.17</v>
      </c>
      <c r="F78" s="64">
        <v>16.940000000000001</v>
      </c>
      <c r="G78" s="64">
        <v>93.84</v>
      </c>
      <c r="H78" s="64">
        <v>37.159999999999997</v>
      </c>
      <c r="I78" s="64">
        <v>1.45</v>
      </c>
      <c r="J78" s="64">
        <v>0.52</v>
      </c>
      <c r="K78" s="64">
        <v>342.71</v>
      </c>
      <c r="L78" s="64">
        <v>20.72</v>
      </c>
      <c r="M78" s="64">
        <v>44.46</v>
      </c>
      <c r="N78" s="64">
        <v>26.4</v>
      </c>
      <c r="O78" s="64">
        <v>0</v>
      </c>
      <c r="P78" s="64">
        <v>1.36</v>
      </c>
      <c r="Q78" s="212" t="s">
        <v>42</v>
      </c>
      <c r="R78" s="198"/>
      <c r="S78" s="198"/>
      <c r="T78" s="198"/>
      <c r="U78" s="198"/>
    </row>
    <row r="79" spans="1:21" s="12" customFormat="1" x14ac:dyDescent="0.25">
      <c r="A79" s="214" t="s">
        <v>1566</v>
      </c>
      <c r="B79" s="64">
        <v>9.92</v>
      </c>
      <c r="C79" s="64">
        <v>66.73</v>
      </c>
      <c r="D79" s="64">
        <v>45.42</v>
      </c>
      <c r="E79" s="64">
        <v>2.64</v>
      </c>
      <c r="F79" s="64">
        <v>10.29</v>
      </c>
      <c r="G79" s="64">
        <v>94.84</v>
      </c>
      <c r="H79" s="64">
        <v>38.229999999999997</v>
      </c>
      <c r="I79" s="64">
        <v>1.51</v>
      </c>
      <c r="J79" s="64">
        <v>0.45</v>
      </c>
      <c r="K79" s="64">
        <v>346.33</v>
      </c>
      <c r="L79" s="64">
        <v>20.28</v>
      </c>
      <c r="M79" s="64">
        <v>46.93</v>
      </c>
      <c r="N79" s="64">
        <v>25.6</v>
      </c>
      <c r="O79" s="64">
        <v>0</v>
      </c>
      <c r="P79" s="64">
        <v>1.55</v>
      </c>
      <c r="Q79" s="64">
        <v>0.34</v>
      </c>
      <c r="R79" s="198"/>
      <c r="S79" s="198"/>
      <c r="T79" s="198"/>
      <c r="U79" s="198"/>
    </row>
    <row r="80" spans="1:21" s="12" customFormat="1" x14ac:dyDescent="0.25">
      <c r="A80" s="214" t="s">
        <v>1567</v>
      </c>
      <c r="B80" s="64">
        <v>11.22</v>
      </c>
      <c r="C80" s="64">
        <v>68.12</v>
      </c>
      <c r="D80" s="64">
        <v>47.24</v>
      </c>
      <c r="E80" s="64">
        <v>2.71</v>
      </c>
      <c r="F80" s="64">
        <v>10.28</v>
      </c>
      <c r="G80" s="64">
        <v>98.86</v>
      </c>
      <c r="H80" s="64">
        <v>41.15</v>
      </c>
      <c r="I80" s="64">
        <v>1.44</v>
      </c>
      <c r="J80" s="64">
        <v>0.56000000000000005</v>
      </c>
      <c r="K80" s="64">
        <v>345.49</v>
      </c>
      <c r="L80" s="64">
        <v>20.079999999999998</v>
      </c>
      <c r="M80" s="64">
        <v>47.37</v>
      </c>
      <c r="N80" s="64">
        <v>25.3</v>
      </c>
      <c r="O80" s="64">
        <v>0</v>
      </c>
      <c r="P80" s="64">
        <v>1.58</v>
      </c>
      <c r="Q80" s="64">
        <v>0.09</v>
      </c>
      <c r="R80" s="198"/>
      <c r="S80" s="198"/>
      <c r="T80" s="198"/>
      <c r="U80" s="198"/>
    </row>
    <row r="81" spans="1:26" s="12" customFormat="1" x14ac:dyDescent="0.25">
      <c r="A81" s="214" t="s">
        <v>1568</v>
      </c>
      <c r="B81" s="64">
        <v>13.76</v>
      </c>
      <c r="C81" s="64">
        <v>70.28</v>
      </c>
      <c r="D81" s="64">
        <v>50.47</v>
      </c>
      <c r="E81" s="64">
        <v>2.14</v>
      </c>
      <c r="F81" s="64">
        <v>5.48</v>
      </c>
      <c r="G81" s="64">
        <v>98.86</v>
      </c>
      <c r="H81" s="64">
        <v>41.15</v>
      </c>
      <c r="I81" s="64">
        <v>1.54</v>
      </c>
      <c r="J81" s="64">
        <v>0.19</v>
      </c>
      <c r="K81" s="64">
        <v>338.54</v>
      </c>
      <c r="L81" s="64">
        <v>19.77</v>
      </c>
      <c r="M81" s="64">
        <v>49.49</v>
      </c>
      <c r="N81" s="64">
        <v>25.6</v>
      </c>
      <c r="O81" s="64">
        <v>0</v>
      </c>
      <c r="P81" s="64">
        <v>1.68</v>
      </c>
      <c r="Q81" s="64">
        <v>1.08</v>
      </c>
      <c r="R81" s="198"/>
      <c r="S81" s="198"/>
      <c r="T81" s="198"/>
      <c r="U81" s="198"/>
    </row>
    <row r="82" spans="1:26" s="12" customFormat="1" x14ac:dyDescent="0.25">
      <c r="A82" s="214" t="s">
        <v>1569</v>
      </c>
      <c r="B82" s="64">
        <v>16.54</v>
      </c>
      <c r="C82" s="64">
        <v>72.47</v>
      </c>
      <c r="D82" s="64">
        <v>53.9</v>
      </c>
      <c r="E82" s="64">
        <v>2.3199999999999998</v>
      </c>
      <c r="F82" s="64">
        <v>5.59</v>
      </c>
      <c r="G82" s="64">
        <v>98.86</v>
      </c>
      <c r="H82" s="64">
        <v>41.15</v>
      </c>
      <c r="I82" s="64">
        <v>1.47</v>
      </c>
      <c r="J82" s="64">
        <v>0.31</v>
      </c>
      <c r="K82" s="64">
        <v>338.08</v>
      </c>
      <c r="L82" s="64">
        <v>19.440000000000001</v>
      </c>
      <c r="M82" s="64">
        <v>50.65</v>
      </c>
      <c r="N82" s="64">
        <v>25.5</v>
      </c>
      <c r="O82" s="64">
        <v>0</v>
      </c>
      <c r="P82" s="64">
        <v>1.72</v>
      </c>
      <c r="Q82" s="64">
        <v>1.33</v>
      </c>
      <c r="R82" s="198"/>
      <c r="S82" s="198"/>
      <c r="T82" s="198"/>
      <c r="U82" s="198"/>
    </row>
    <row r="83" spans="1:26" s="12" customFormat="1" x14ac:dyDescent="0.25">
      <c r="A83" s="214" t="s">
        <v>1570</v>
      </c>
      <c r="B83" s="64">
        <v>17.53</v>
      </c>
      <c r="C83" s="64">
        <v>73.790000000000006</v>
      </c>
      <c r="D83" s="64">
        <v>55.43</v>
      </c>
      <c r="E83" s="64">
        <v>1.67</v>
      </c>
      <c r="F83" s="64">
        <v>4.67</v>
      </c>
      <c r="G83" s="64">
        <v>102.97</v>
      </c>
      <c r="H83" s="64">
        <v>42.02</v>
      </c>
      <c r="I83" s="64">
        <v>1.6</v>
      </c>
      <c r="J83" s="64">
        <v>0.19</v>
      </c>
      <c r="K83" s="64">
        <v>79.48</v>
      </c>
      <c r="L83" s="64">
        <v>19.079999999999998</v>
      </c>
      <c r="M83" s="64">
        <v>51.06</v>
      </c>
      <c r="N83" s="64">
        <v>25.7</v>
      </c>
      <c r="O83" s="64">
        <v>0</v>
      </c>
      <c r="P83" s="64">
        <v>1.56</v>
      </c>
      <c r="Q83" s="64">
        <v>2.4900000000000002</v>
      </c>
      <c r="R83" s="198"/>
      <c r="S83" s="198"/>
      <c r="T83" s="198"/>
      <c r="U83" s="198"/>
    </row>
    <row r="84" spans="1:26" s="12" customFormat="1" x14ac:dyDescent="0.25">
      <c r="A84" s="214" t="s">
        <v>1571</v>
      </c>
      <c r="B84" s="64">
        <v>17.75</v>
      </c>
      <c r="C84" s="64">
        <v>74.53</v>
      </c>
      <c r="D84" s="64">
        <v>56.01</v>
      </c>
      <c r="E84" s="64">
        <v>1.61</v>
      </c>
      <c r="F84" s="64">
        <v>4.4800000000000004</v>
      </c>
      <c r="G84" s="64">
        <v>119.39</v>
      </c>
      <c r="H84" s="64">
        <v>44.39</v>
      </c>
      <c r="I84" s="64">
        <v>1.44</v>
      </c>
      <c r="J84" s="64">
        <v>0.08</v>
      </c>
      <c r="K84" s="64">
        <v>342.92</v>
      </c>
      <c r="L84" s="64">
        <v>18.760000000000002</v>
      </c>
      <c r="M84" s="64">
        <v>52.28</v>
      </c>
      <c r="N84" s="64">
        <v>25.3</v>
      </c>
      <c r="O84" s="64">
        <v>0</v>
      </c>
      <c r="P84" s="64">
        <v>1.66</v>
      </c>
      <c r="Q84" s="64">
        <v>2.8</v>
      </c>
      <c r="R84" s="198"/>
      <c r="S84" s="198"/>
      <c r="T84" s="198"/>
      <c r="U84" s="198"/>
    </row>
    <row r="85" spans="1:26" s="12" customFormat="1" x14ac:dyDescent="0.25">
      <c r="A85" s="214" t="s">
        <v>1572</v>
      </c>
      <c r="B85" s="64">
        <v>18.12</v>
      </c>
      <c r="C85" s="64">
        <v>75.599999999999994</v>
      </c>
      <c r="D85" s="64">
        <v>56.9</v>
      </c>
      <c r="E85" s="64">
        <v>1.57</v>
      </c>
      <c r="F85" s="64">
        <v>4.17</v>
      </c>
      <c r="G85" s="64">
        <v>119.39</v>
      </c>
      <c r="H85" s="64">
        <v>44.39</v>
      </c>
      <c r="I85" s="64">
        <v>1.52</v>
      </c>
      <c r="J85" s="64">
        <v>0.09</v>
      </c>
      <c r="K85" s="64">
        <v>343.89</v>
      </c>
      <c r="L85" s="64">
        <v>18.510000000000002</v>
      </c>
      <c r="M85" s="64">
        <v>52.94</v>
      </c>
      <c r="N85" s="64">
        <v>25.7</v>
      </c>
      <c r="O85" s="64">
        <v>0</v>
      </c>
      <c r="P85" s="64">
        <v>1.75</v>
      </c>
      <c r="Q85" s="64">
        <v>1.76</v>
      </c>
      <c r="R85" s="198"/>
      <c r="S85" s="198"/>
      <c r="T85" s="198"/>
      <c r="U85" s="198"/>
    </row>
    <row r="86" spans="1:26" s="12" customFormat="1" x14ac:dyDescent="0.25">
      <c r="A86" s="214" t="s">
        <v>1573</v>
      </c>
      <c r="B86" s="64">
        <v>19.52</v>
      </c>
      <c r="C86" s="64">
        <v>76.48</v>
      </c>
      <c r="D86" s="64">
        <v>58.51</v>
      </c>
      <c r="E86" s="64">
        <v>1.38</v>
      </c>
      <c r="F86" s="64">
        <v>4.07</v>
      </c>
      <c r="G86" s="64">
        <v>119.39</v>
      </c>
      <c r="H86" s="64">
        <v>44.39</v>
      </c>
      <c r="I86" s="64">
        <v>1.56</v>
      </c>
      <c r="J86" s="64">
        <v>0.1</v>
      </c>
      <c r="K86" s="64">
        <v>48.8</v>
      </c>
      <c r="L86" s="64">
        <v>18.329999999999998</v>
      </c>
      <c r="M86" s="64">
        <v>52.37</v>
      </c>
      <c r="N86" s="64">
        <v>25.5</v>
      </c>
      <c r="O86" s="64">
        <v>0</v>
      </c>
      <c r="P86" s="64">
        <v>1.76</v>
      </c>
      <c r="Q86" s="64">
        <v>2.59</v>
      </c>
      <c r="R86" s="198"/>
      <c r="S86" s="198"/>
      <c r="T86" s="198"/>
      <c r="U86" s="198"/>
    </row>
    <row r="87" spans="1:26" s="12" customFormat="1" x14ac:dyDescent="0.25">
      <c r="A87" s="214" t="s">
        <v>1574</v>
      </c>
      <c r="B87" s="64">
        <v>20.28</v>
      </c>
      <c r="C87" s="64">
        <v>77.13</v>
      </c>
      <c r="D87" s="64">
        <v>59.48</v>
      </c>
      <c r="E87" s="64">
        <v>1.39</v>
      </c>
      <c r="F87" s="64">
        <v>4.37</v>
      </c>
      <c r="G87" s="64">
        <v>123.49</v>
      </c>
      <c r="H87" s="64">
        <v>47.73</v>
      </c>
      <c r="I87" s="64">
        <v>1.44</v>
      </c>
      <c r="J87" s="64">
        <v>0.16</v>
      </c>
      <c r="K87" s="64">
        <v>70.58</v>
      </c>
      <c r="L87" s="64">
        <v>18.21</v>
      </c>
      <c r="M87" s="64">
        <v>51.72</v>
      </c>
      <c r="N87" s="64">
        <v>25.4</v>
      </c>
      <c r="O87" s="64">
        <v>0</v>
      </c>
      <c r="P87" s="64">
        <v>1.79</v>
      </c>
      <c r="Q87" s="64">
        <v>2.9</v>
      </c>
      <c r="R87" s="198"/>
      <c r="S87" s="198"/>
      <c r="T87" s="198"/>
      <c r="U87" s="198"/>
    </row>
    <row r="88" spans="1:26" s="12" customFormat="1" x14ac:dyDescent="0.25">
      <c r="A88" s="214" t="s">
        <v>1575</v>
      </c>
      <c r="B88" s="64">
        <v>19.62</v>
      </c>
      <c r="C88" s="64">
        <v>76.86</v>
      </c>
      <c r="D88" s="64">
        <v>58.8</v>
      </c>
      <c r="E88" s="64">
        <v>0.91</v>
      </c>
      <c r="F88" s="64">
        <v>4.79</v>
      </c>
      <c r="G88" s="64">
        <v>139.91999999999999</v>
      </c>
      <c r="H88" s="64">
        <v>56.83</v>
      </c>
      <c r="I88" s="64">
        <v>1.49</v>
      </c>
      <c r="J88" s="64">
        <v>0.13</v>
      </c>
      <c r="K88" s="64">
        <v>66.28</v>
      </c>
      <c r="L88" s="64">
        <v>18.02</v>
      </c>
      <c r="M88" s="64">
        <v>52.76</v>
      </c>
      <c r="N88" s="64">
        <v>25.6</v>
      </c>
      <c r="O88" s="64">
        <v>0</v>
      </c>
      <c r="P88" s="64">
        <v>1.61</v>
      </c>
      <c r="Q88" s="64">
        <v>4.0999999999999996</v>
      </c>
      <c r="R88" s="198"/>
      <c r="S88" s="198"/>
      <c r="T88" s="198"/>
      <c r="U88" s="198"/>
    </row>
    <row r="89" spans="1:26" s="12" customFormat="1" x14ac:dyDescent="0.25">
      <c r="A89" s="214" t="s">
        <v>1576</v>
      </c>
      <c r="B89" s="64">
        <v>19.23</v>
      </c>
      <c r="C89" s="64">
        <v>76.45</v>
      </c>
      <c r="D89" s="64">
        <v>58.26</v>
      </c>
      <c r="E89" s="64">
        <v>1.18</v>
      </c>
      <c r="F89" s="64">
        <v>4.46</v>
      </c>
      <c r="G89" s="64">
        <v>139.91999999999999</v>
      </c>
      <c r="H89" s="64">
        <v>56.83</v>
      </c>
      <c r="I89" s="64">
        <v>1.47</v>
      </c>
      <c r="J89" s="64">
        <v>0.13</v>
      </c>
      <c r="K89" s="64">
        <v>90.02</v>
      </c>
      <c r="L89" s="64">
        <v>17.73</v>
      </c>
      <c r="M89" s="64">
        <v>53.66</v>
      </c>
      <c r="N89" s="64">
        <v>25.5</v>
      </c>
      <c r="O89" s="64">
        <v>0</v>
      </c>
      <c r="P89" s="64">
        <v>1.69</v>
      </c>
      <c r="Q89" s="64">
        <v>3.79</v>
      </c>
      <c r="R89" s="198"/>
      <c r="S89" s="198"/>
      <c r="T89" s="198"/>
      <c r="U89" s="198"/>
    </row>
    <row r="90" spans="1:26" s="12" customFormat="1" x14ac:dyDescent="0.25">
      <c r="A90" s="214" t="s">
        <v>1577</v>
      </c>
      <c r="B90" s="64">
        <v>18.46</v>
      </c>
      <c r="C90" s="64">
        <v>75.69</v>
      </c>
      <c r="D90" s="64">
        <v>57.22</v>
      </c>
      <c r="E90" s="64">
        <v>1.1299999999999999</v>
      </c>
      <c r="F90" s="64">
        <v>5.99</v>
      </c>
      <c r="G90" s="64">
        <v>139.91999999999999</v>
      </c>
      <c r="H90" s="64">
        <v>56.83</v>
      </c>
      <c r="I90" s="64">
        <v>1.61</v>
      </c>
      <c r="J90" s="64">
        <v>0.15</v>
      </c>
      <c r="K90" s="64">
        <v>80.790000000000006</v>
      </c>
      <c r="L90" s="64">
        <v>17.63</v>
      </c>
      <c r="M90" s="64">
        <v>54.13</v>
      </c>
      <c r="N90" s="64">
        <v>25.6</v>
      </c>
      <c r="O90" s="64">
        <v>0</v>
      </c>
      <c r="P90" s="64">
        <v>1.38</v>
      </c>
      <c r="Q90" s="64">
        <v>4.87</v>
      </c>
      <c r="R90" s="198"/>
      <c r="S90" s="198"/>
      <c r="T90" s="198"/>
      <c r="U90" s="198"/>
    </row>
    <row r="91" spans="1:26" s="12" customFormat="1" x14ac:dyDescent="0.25">
      <c r="A91" s="214" t="s">
        <v>1578</v>
      </c>
      <c r="B91" s="64">
        <v>17.36</v>
      </c>
      <c r="C91" s="64">
        <v>74.78</v>
      </c>
      <c r="D91" s="64">
        <v>55.84</v>
      </c>
      <c r="E91" s="64">
        <v>1.17</v>
      </c>
      <c r="F91" s="64">
        <v>5.63</v>
      </c>
      <c r="G91" s="64">
        <v>139.13999999999999</v>
      </c>
      <c r="H91" s="64">
        <v>57.44</v>
      </c>
      <c r="I91" s="64">
        <v>1.51</v>
      </c>
      <c r="J91" s="64">
        <v>0.04</v>
      </c>
      <c r="K91" s="64">
        <v>344.19</v>
      </c>
      <c r="L91" s="64">
        <v>17.28</v>
      </c>
      <c r="M91" s="64">
        <v>59.15</v>
      </c>
      <c r="N91" s="64">
        <v>25.8</v>
      </c>
      <c r="O91" s="64">
        <v>0</v>
      </c>
      <c r="P91" s="64">
        <v>1.67</v>
      </c>
      <c r="Q91" s="64">
        <v>3.77</v>
      </c>
      <c r="R91" s="198"/>
      <c r="S91" s="198"/>
      <c r="T91" s="198"/>
      <c r="U91" s="198"/>
    </row>
    <row r="92" spans="1:26" s="12" customFormat="1" x14ac:dyDescent="0.25">
      <c r="A92" s="214" t="s">
        <v>1579</v>
      </c>
      <c r="B92" s="64">
        <v>18.899999999999999</v>
      </c>
      <c r="C92" s="64">
        <v>74.41</v>
      </c>
      <c r="D92" s="64">
        <v>56.87</v>
      </c>
      <c r="E92" s="64">
        <v>1.27</v>
      </c>
      <c r="F92" s="64">
        <v>4.5199999999999996</v>
      </c>
      <c r="G92" s="64">
        <v>136.22999999999999</v>
      </c>
      <c r="H92" s="64">
        <v>60.15</v>
      </c>
      <c r="I92" s="64">
        <v>1.52</v>
      </c>
      <c r="J92" s="64">
        <v>7.0000000000000007E-2</v>
      </c>
      <c r="K92" s="64">
        <v>87.24</v>
      </c>
      <c r="L92" s="64">
        <v>16.940000000000001</v>
      </c>
      <c r="M92" s="64">
        <v>61.39</v>
      </c>
      <c r="N92" s="64">
        <v>25.7</v>
      </c>
      <c r="O92" s="64">
        <v>0</v>
      </c>
      <c r="P92" s="64">
        <v>2.25</v>
      </c>
      <c r="Q92" s="64">
        <v>1.39</v>
      </c>
      <c r="R92" s="198"/>
      <c r="S92" s="198"/>
      <c r="T92" s="198"/>
      <c r="U92" s="198"/>
    </row>
    <row r="93" spans="1:26" s="12" customFormat="1" x14ac:dyDescent="0.25">
      <c r="A93" s="214" t="s">
        <v>1580</v>
      </c>
      <c r="B93" s="64">
        <v>20.34</v>
      </c>
      <c r="C93" s="64">
        <v>74.36</v>
      </c>
      <c r="D93" s="64">
        <v>58</v>
      </c>
      <c r="E93" s="64">
        <v>1.02</v>
      </c>
      <c r="F93" s="64">
        <v>4.0599999999999996</v>
      </c>
      <c r="G93" s="64">
        <v>136.22999999999999</v>
      </c>
      <c r="H93" s="64">
        <v>60.15</v>
      </c>
      <c r="I93" s="64">
        <v>1.55</v>
      </c>
      <c r="J93" s="64">
        <v>0.11</v>
      </c>
      <c r="K93" s="64">
        <v>128.07</v>
      </c>
      <c r="L93" s="64">
        <v>16.899999999999999</v>
      </c>
      <c r="M93" s="64">
        <v>59.95</v>
      </c>
      <c r="N93" s="64">
        <v>25.6</v>
      </c>
      <c r="O93" s="64">
        <v>0</v>
      </c>
      <c r="P93" s="64">
        <v>1.88</v>
      </c>
      <c r="Q93" s="64">
        <v>2.89</v>
      </c>
      <c r="R93" s="198"/>
      <c r="S93" s="198"/>
      <c r="T93" s="198"/>
      <c r="U93" s="198"/>
    </row>
    <row r="94" spans="1:26" s="12" customFormat="1" x14ac:dyDescent="0.25">
      <c r="A94" s="214" t="s">
        <v>1581</v>
      </c>
      <c r="B94" s="64">
        <v>20.399999999999999</v>
      </c>
      <c r="C94" s="64">
        <v>74.53</v>
      </c>
      <c r="D94" s="64">
        <v>58.14</v>
      </c>
      <c r="E94" s="64">
        <v>1.2</v>
      </c>
      <c r="F94" s="64">
        <v>4.1399999999999997</v>
      </c>
      <c r="G94" s="64">
        <v>136.22999999999999</v>
      </c>
      <c r="H94" s="64">
        <v>60.15</v>
      </c>
      <c r="I94" s="64">
        <v>1.51</v>
      </c>
      <c r="J94" s="64">
        <v>0.06</v>
      </c>
      <c r="K94" s="64">
        <v>68.41</v>
      </c>
      <c r="L94" s="64">
        <v>16.760000000000002</v>
      </c>
      <c r="M94" s="64">
        <v>61.75</v>
      </c>
      <c r="N94" s="64">
        <v>25.8</v>
      </c>
      <c r="O94" s="64">
        <v>0</v>
      </c>
      <c r="P94" s="64">
        <v>1.67</v>
      </c>
      <c r="Q94" s="64">
        <v>3.16</v>
      </c>
      <c r="R94" s="198"/>
      <c r="S94" s="198"/>
      <c r="T94" s="198"/>
      <c r="U94" s="198"/>
    </row>
    <row r="95" spans="1:26" s="12" customFormat="1" x14ac:dyDescent="0.25">
      <c r="A95" s="214" t="s">
        <v>1582</v>
      </c>
      <c r="B95" s="64">
        <v>20.79</v>
      </c>
      <c r="C95" s="64">
        <v>73.84</v>
      </c>
      <c r="D95" s="64">
        <v>58.07</v>
      </c>
      <c r="E95" s="64">
        <v>1.29</v>
      </c>
      <c r="F95" s="64">
        <v>3.62</v>
      </c>
      <c r="G95" s="64">
        <v>136.76</v>
      </c>
      <c r="H95" s="64">
        <v>61.26</v>
      </c>
      <c r="I95" s="64">
        <v>1.48</v>
      </c>
      <c r="J95" s="64">
        <v>7.0000000000000007E-2</v>
      </c>
      <c r="K95" s="64">
        <v>311.18</v>
      </c>
      <c r="L95" s="64">
        <v>16.52</v>
      </c>
      <c r="M95" s="64">
        <v>63.9</v>
      </c>
      <c r="N95" s="64">
        <v>25.8</v>
      </c>
      <c r="O95" s="64">
        <v>0</v>
      </c>
      <c r="P95" s="64">
        <v>1.72</v>
      </c>
      <c r="Q95" s="64">
        <v>1.55</v>
      </c>
      <c r="R95" s="198"/>
      <c r="S95" s="198"/>
      <c r="T95" s="198"/>
      <c r="U95" s="198"/>
    </row>
    <row r="96" spans="1:26" s="12" customFormat="1" x14ac:dyDescent="0.25">
      <c r="A96" s="214" t="s">
        <v>1583</v>
      </c>
      <c r="B96" s="64">
        <v>24.7</v>
      </c>
      <c r="C96" s="64">
        <v>74.17</v>
      </c>
      <c r="D96" s="64">
        <v>61.39</v>
      </c>
      <c r="E96" s="64">
        <v>1.26</v>
      </c>
      <c r="F96" s="64">
        <v>3.81</v>
      </c>
      <c r="G96" s="64">
        <v>138.86000000000001</v>
      </c>
      <c r="H96" s="64">
        <v>64.28</v>
      </c>
      <c r="I96" s="64">
        <v>1.62</v>
      </c>
      <c r="J96" s="64">
        <v>0.11</v>
      </c>
      <c r="K96" s="64">
        <v>265.89</v>
      </c>
      <c r="L96" s="64">
        <v>16.29</v>
      </c>
      <c r="M96" s="64">
        <v>66.37</v>
      </c>
      <c r="N96" s="64">
        <v>25.8</v>
      </c>
      <c r="O96" s="64">
        <v>0</v>
      </c>
      <c r="P96" s="64">
        <v>1.93</v>
      </c>
      <c r="Q96" s="64">
        <v>0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1584</v>
      </c>
      <c r="B97" s="64">
        <v>26.87</v>
      </c>
      <c r="C97" s="64">
        <v>73.78</v>
      </c>
      <c r="D97" s="64">
        <v>62.92</v>
      </c>
      <c r="E97" s="64">
        <v>1.21</v>
      </c>
      <c r="F97" s="64">
        <v>4.32</v>
      </c>
      <c r="G97" s="64">
        <v>138.86000000000001</v>
      </c>
      <c r="H97" s="64">
        <v>64.28</v>
      </c>
      <c r="I97" s="64">
        <v>1.47</v>
      </c>
      <c r="J97" s="64">
        <v>0.12</v>
      </c>
      <c r="K97" s="64">
        <v>270.29000000000002</v>
      </c>
      <c r="L97" s="64">
        <v>15.99</v>
      </c>
      <c r="M97" s="64">
        <v>67.73</v>
      </c>
      <c r="N97" s="64">
        <v>26.1</v>
      </c>
      <c r="O97" s="64">
        <v>0</v>
      </c>
      <c r="P97" s="64">
        <v>1.47</v>
      </c>
      <c r="Q97" s="64">
        <v>1.5</v>
      </c>
      <c r="R97" s="198"/>
      <c r="S97" s="198"/>
      <c r="T97" s="198"/>
      <c r="U97" s="198"/>
    </row>
    <row r="98" spans="1:33" s="12" customFormat="1" x14ac:dyDescent="0.25">
      <c r="A98" s="214" t="s">
        <v>1585</v>
      </c>
      <c r="B98" s="64">
        <v>26.98</v>
      </c>
      <c r="C98" s="64">
        <v>73.13</v>
      </c>
      <c r="D98" s="64">
        <v>62.64</v>
      </c>
      <c r="E98" s="64">
        <v>1.17</v>
      </c>
      <c r="F98" s="64">
        <v>4.55</v>
      </c>
      <c r="G98" s="64">
        <v>138.86000000000001</v>
      </c>
      <c r="H98" s="64">
        <v>64.28</v>
      </c>
      <c r="I98" s="64">
        <v>1.52</v>
      </c>
      <c r="J98" s="64">
        <v>0.15</v>
      </c>
      <c r="K98" s="64">
        <v>261.79000000000002</v>
      </c>
      <c r="L98" s="64">
        <v>15.72</v>
      </c>
      <c r="M98" s="64">
        <v>68.900000000000006</v>
      </c>
      <c r="N98" s="64">
        <v>25.7</v>
      </c>
      <c r="O98" s="64">
        <v>0</v>
      </c>
      <c r="P98" s="64">
        <v>1.46</v>
      </c>
      <c r="Q98" s="64">
        <v>3.05</v>
      </c>
      <c r="R98" s="198"/>
      <c r="S98" s="198"/>
      <c r="T98" s="198"/>
      <c r="U98" s="198"/>
    </row>
    <row r="99" spans="1:33" s="12" customFormat="1" x14ac:dyDescent="0.25">
      <c r="A99" s="214" t="s">
        <v>1586</v>
      </c>
      <c r="B99" s="64">
        <v>26.44</v>
      </c>
      <c r="C99" s="64">
        <v>72.42</v>
      </c>
      <c r="D99" s="64">
        <v>61.82</v>
      </c>
      <c r="E99" s="64">
        <v>1.1000000000000001</v>
      </c>
      <c r="F99" s="64">
        <v>4.88</v>
      </c>
      <c r="G99" s="64">
        <v>137.44999999999999</v>
      </c>
      <c r="H99" s="64">
        <v>64.02</v>
      </c>
      <c r="I99" s="64">
        <v>1.51</v>
      </c>
      <c r="J99" s="64">
        <v>0.06</v>
      </c>
      <c r="K99" s="64">
        <v>124.85</v>
      </c>
      <c r="L99" s="64">
        <v>16.170000000000002</v>
      </c>
      <c r="M99" s="64">
        <v>63.11</v>
      </c>
      <c r="N99" s="64">
        <v>25.2</v>
      </c>
      <c r="O99" s="64">
        <v>0</v>
      </c>
      <c r="P99" s="64">
        <v>1.17</v>
      </c>
      <c r="Q99" s="64">
        <v>5.04</v>
      </c>
      <c r="R99" s="198"/>
      <c r="S99" s="198"/>
      <c r="T99" s="198"/>
      <c r="U99" s="198"/>
    </row>
    <row r="100" spans="1:33" s="12" customFormat="1" x14ac:dyDescent="0.25">
      <c r="A100" s="214" t="s">
        <v>1587</v>
      </c>
      <c r="B100" s="64">
        <v>25.02</v>
      </c>
      <c r="C100" s="64">
        <v>71.81</v>
      </c>
      <c r="D100" s="64">
        <v>60.34</v>
      </c>
      <c r="E100" s="64">
        <v>1.04</v>
      </c>
      <c r="F100" s="64">
        <v>8.07</v>
      </c>
      <c r="G100" s="64">
        <v>131.83000000000001</v>
      </c>
      <c r="H100" s="64">
        <v>63.3</v>
      </c>
      <c r="I100" s="64">
        <v>1.52</v>
      </c>
      <c r="J100" s="64">
        <v>0.25</v>
      </c>
      <c r="K100" s="64">
        <v>100.58</v>
      </c>
      <c r="L100" s="64">
        <v>16.61</v>
      </c>
      <c r="M100" s="64">
        <v>58.81</v>
      </c>
      <c r="N100" s="64">
        <v>25.1</v>
      </c>
      <c r="O100" s="64">
        <v>0</v>
      </c>
      <c r="P100" s="64">
        <v>0.89</v>
      </c>
      <c r="Q100" s="64">
        <v>6.96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1588</v>
      </c>
      <c r="B101" s="64">
        <v>23.02</v>
      </c>
      <c r="C101" s="64">
        <v>70.510000000000005</v>
      </c>
      <c r="D101" s="64">
        <v>58.02</v>
      </c>
      <c r="E101" s="64">
        <v>1.07</v>
      </c>
      <c r="F101" s="64">
        <v>13.23</v>
      </c>
      <c r="G101" s="64">
        <v>131.83000000000001</v>
      </c>
      <c r="H101" s="64">
        <v>63.3</v>
      </c>
      <c r="I101" s="64">
        <v>1.54</v>
      </c>
      <c r="J101" s="64">
        <v>0.38</v>
      </c>
      <c r="K101" s="64">
        <v>116.77</v>
      </c>
      <c r="L101" s="64">
        <v>16.57</v>
      </c>
      <c r="M101" s="64">
        <v>59.55</v>
      </c>
      <c r="N101" s="64">
        <v>25.3</v>
      </c>
      <c r="O101" s="64">
        <v>0</v>
      </c>
      <c r="P101" s="64">
        <v>0.68</v>
      </c>
      <c r="Q101" s="64">
        <v>8.3000000000000007</v>
      </c>
      <c r="R101" s="198"/>
      <c r="S101" s="198"/>
      <c r="T101" s="198"/>
      <c r="U101" s="198"/>
    </row>
    <row r="102" spans="1:33" s="12" customFormat="1" x14ac:dyDescent="0.25">
      <c r="A102" s="214" t="s">
        <v>1589</v>
      </c>
      <c r="B102" s="64">
        <v>20.92</v>
      </c>
      <c r="C102" s="64">
        <v>69.05</v>
      </c>
      <c r="D102" s="64">
        <v>55.53</v>
      </c>
      <c r="E102" s="64">
        <v>1.0900000000000001</v>
      </c>
      <c r="F102" s="64">
        <v>14.22</v>
      </c>
      <c r="G102" s="64">
        <v>131.83000000000001</v>
      </c>
      <c r="H102" s="64">
        <v>63.3</v>
      </c>
      <c r="I102" s="64">
        <v>1.46</v>
      </c>
      <c r="J102" s="64">
        <v>0.23</v>
      </c>
      <c r="K102" s="64">
        <v>110.75</v>
      </c>
      <c r="L102" s="64">
        <v>16.43</v>
      </c>
      <c r="M102" s="64">
        <v>60.22</v>
      </c>
      <c r="N102" s="64">
        <v>25.8</v>
      </c>
      <c r="O102" s="64">
        <v>0</v>
      </c>
      <c r="P102" s="64">
        <v>0.59</v>
      </c>
      <c r="Q102" s="64">
        <v>8.5299999999999994</v>
      </c>
      <c r="R102" s="198"/>
      <c r="S102" s="198"/>
      <c r="T102" s="198"/>
      <c r="U102" s="198"/>
    </row>
    <row r="103" spans="1:33" s="12" customFormat="1" x14ac:dyDescent="0.25">
      <c r="A103" s="214" t="s">
        <v>1590</v>
      </c>
      <c r="B103" s="64">
        <v>19.02</v>
      </c>
      <c r="C103" s="64">
        <v>67.709999999999994</v>
      </c>
      <c r="D103" s="64">
        <v>53.27</v>
      </c>
      <c r="E103" s="64">
        <v>1.17</v>
      </c>
      <c r="F103" s="64">
        <v>13.82</v>
      </c>
      <c r="G103" s="64">
        <v>127.6</v>
      </c>
      <c r="H103" s="64">
        <v>62.18</v>
      </c>
      <c r="I103" s="64">
        <v>1.48</v>
      </c>
      <c r="J103" s="64">
        <v>7.0000000000000007E-2</v>
      </c>
      <c r="K103" s="64">
        <v>72.290000000000006</v>
      </c>
      <c r="L103" s="64">
        <v>16.14</v>
      </c>
      <c r="M103" s="64">
        <v>62.08</v>
      </c>
      <c r="N103" s="64">
        <v>26.1</v>
      </c>
      <c r="O103" s="64">
        <v>0</v>
      </c>
      <c r="P103" s="64">
        <v>0.56999999999999995</v>
      </c>
      <c r="Q103" s="64">
        <v>8.14</v>
      </c>
      <c r="R103" s="198"/>
      <c r="S103" s="198"/>
      <c r="T103" s="198"/>
      <c r="U103" s="198"/>
    </row>
    <row r="104" spans="1:33" s="12" customFormat="1" x14ac:dyDescent="0.25">
      <c r="A104" s="214" t="s">
        <v>1591</v>
      </c>
      <c r="B104" s="64">
        <v>17.47</v>
      </c>
      <c r="C104" s="64">
        <v>66.59</v>
      </c>
      <c r="D104" s="64">
        <v>51.41</v>
      </c>
      <c r="E104" s="64">
        <v>0.71</v>
      </c>
      <c r="F104" s="64">
        <v>12.02</v>
      </c>
      <c r="G104" s="64">
        <v>110.68</v>
      </c>
      <c r="H104" s="64">
        <v>59.14</v>
      </c>
      <c r="I104" s="64">
        <v>1.56</v>
      </c>
      <c r="J104" s="64">
        <v>0.43</v>
      </c>
      <c r="K104" s="64">
        <v>109.28</v>
      </c>
      <c r="L104" s="64">
        <v>16.03</v>
      </c>
      <c r="M104" s="64">
        <v>62.25</v>
      </c>
      <c r="N104" s="64">
        <v>25.6</v>
      </c>
      <c r="O104" s="64">
        <v>0</v>
      </c>
      <c r="P104" s="64">
        <v>0.57999999999999996</v>
      </c>
      <c r="Q104" s="64">
        <v>7.36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4.2300000000000004</v>
      </c>
      <c r="C106" s="67">
        <f>MIN(C9:C104)</f>
        <v>50.04</v>
      </c>
      <c r="D106" s="67">
        <f t="shared" ref="D106:Q106" si="0">MIN(D9:D104)</f>
        <v>37.57</v>
      </c>
      <c r="E106" s="67">
        <f t="shared" si="0"/>
        <v>0.22</v>
      </c>
      <c r="F106" s="67">
        <f t="shared" si="0"/>
        <v>3.34</v>
      </c>
      <c r="G106" s="67">
        <f t="shared" si="0"/>
        <v>73.489999999999995</v>
      </c>
      <c r="H106" s="67">
        <f t="shared" si="0"/>
        <v>34.49</v>
      </c>
      <c r="I106" s="67">
        <f t="shared" si="0"/>
        <v>1.39</v>
      </c>
      <c r="J106" s="67">
        <f t="shared" si="0"/>
        <v>0.02</v>
      </c>
      <c r="K106" s="67">
        <f t="shared" si="0"/>
        <v>24.63</v>
      </c>
      <c r="L106" s="67">
        <f t="shared" si="0"/>
        <v>13.35</v>
      </c>
      <c r="M106" s="67">
        <f t="shared" si="0"/>
        <v>30.76</v>
      </c>
      <c r="N106" s="67">
        <f t="shared" si="0"/>
        <v>23.8</v>
      </c>
      <c r="O106" s="67">
        <f t="shared" si="0"/>
        <v>0</v>
      </c>
      <c r="P106" s="67">
        <f t="shared" si="0"/>
        <v>0.46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43.55</v>
      </c>
      <c r="C107" s="66">
        <f t="shared" ref="C107:Q107" si="1">MAX(C9:C104)</f>
        <v>77.13</v>
      </c>
      <c r="D107" s="66">
        <f t="shared" si="1"/>
        <v>71.44</v>
      </c>
      <c r="E107" s="66">
        <f t="shared" si="1"/>
        <v>5.85</v>
      </c>
      <c r="F107" s="66">
        <f t="shared" si="1"/>
        <v>43.43</v>
      </c>
      <c r="G107" s="66">
        <f t="shared" si="1"/>
        <v>139.91999999999999</v>
      </c>
      <c r="H107" s="66">
        <f t="shared" si="1"/>
        <v>64.28</v>
      </c>
      <c r="I107" s="66">
        <f t="shared" si="1"/>
        <v>1.62</v>
      </c>
      <c r="J107" s="66">
        <f t="shared" si="1"/>
        <v>1.28</v>
      </c>
      <c r="K107" s="66">
        <f t="shared" si="1"/>
        <v>354.7</v>
      </c>
      <c r="L107" s="66">
        <f t="shared" si="1"/>
        <v>28.94</v>
      </c>
      <c r="M107" s="66">
        <f t="shared" si="1"/>
        <v>98.18</v>
      </c>
      <c r="N107" s="66">
        <f t="shared" si="1"/>
        <v>707</v>
      </c>
      <c r="O107" s="66">
        <f t="shared" si="1"/>
        <v>0</v>
      </c>
      <c r="P107" s="66">
        <f t="shared" si="1"/>
        <v>2.25</v>
      </c>
      <c r="Q107" s="66">
        <f t="shared" si="1"/>
        <v>10.45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19.806770833333335</v>
      </c>
      <c r="C108" s="67">
        <f t="shared" ref="C108:Q108" si="2">AVERAGE(C9:C104)</f>
        <v>61.88614583333333</v>
      </c>
      <c r="D108" s="67">
        <f t="shared" si="2"/>
        <v>50.683333333333344</v>
      </c>
      <c r="E108" s="67">
        <f t="shared" si="2"/>
        <v>1.5208333333333324</v>
      </c>
      <c r="F108" s="67">
        <f t="shared" si="2"/>
        <v>11.874375000000001</v>
      </c>
      <c r="G108" s="67">
        <f t="shared" si="2"/>
        <v>105.92739583333336</v>
      </c>
      <c r="H108" s="67">
        <f t="shared" si="2"/>
        <v>50.031562499999978</v>
      </c>
      <c r="I108" s="67">
        <f t="shared" si="2"/>
        <v>1.5017708333333335</v>
      </c>
      <c r="J108" s="67">
        <f t="shared" si="2"/>
        <v>0.34374999999999978</v>
      </c>
      <c r="K108" s="67">
        <f t="shared" si="2"/>
        <v>215.88718750000007</v>
      </c>
      <c r="L108" s="67">
        <f t="shared" si="2"/>
        <v>18.976458333333337</v>
      </c>
      <c r="M108" s="67">
        <f t="shared" si="2"/>
        <v>61.442083333333329</v>
      </c>
      <c r="N108" s="67">
        <f t="shared" si="2"/>
        <v>170.20104166666667</v>
      </c>
      <c r="O108" s="67">
        <f t="shared" si="2"/>
        <v>0</v>
      </c>
      <c r="P108" s="67">
        <f t="shared" si="2"/>
        <v>0.96572916666666664</v>
      </c>
      <c r="Q108" s="67">
        <f t="shared" si="2"/>
        <v>4.8449999999999989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9.6392858978564462</v>
      </c>
      <c r="C109" s="67">
        <f t="shared" ref="C109:Q109" si="3">STDEV(C9:C104)</f>
        <v>8.05913007840266</v>
      </c>
      <c r="D109" s="67">
        <f t="shared" si="3"/>
        <v>8.2340018621970383</v>
      </c>
      <c r="E109" s="67">
        <f t="shared" si="3"/>
        <v>1.494381524360791</v>
      </c>
      <c r="F109" s="67">
        <f t="shared" si="3"/>
        <v>10.944794563001889</v>
      </c>
      <c r="G109" s="67">
        <f t="shared" si="3"/>
        <v>20.361537954775589</v>
      </c>
      <c r="H109" s="67">
        <f t="shared" si="3"/>
        <v>9.9360068573717939</v>
      </c>
      <c r="I109" s="67">
        <f t="shared" si="3"/>
        <v>4.4176554669373487E-2</v>
      </c>
      <c r="J109" s="67">
        <f t="shared" si="3"/>
        <v>0.30291652489197696</v>
      </c>
      <c r="K109" s="67">
        <f t="shared" si="3"/>
        <v>121.09300466303725</v>
      </c>
      <c r="L109" s="67">
        <f t="shared" si="3"/>
        <v>4.8157423823313312</v>
      </c>
      <c r="M109" s="67">
        <f t="shared" si="3"/>
        <v>21.983374814746121</v>
      </c>
      <c r="N109" s="67">
        <f t="shared" si="3"/>
        <v>231.46304035749444</v>
      </c>
      <c r="O109" s="67">
        <f t="shared" si="3"/>
        <v>0</v>
      </c>
      <c r="P109" s="67">
        <f t="shared" si="3"/>
        <v>0.42488573025218201</v>
      </c>
      <c r="Q109" s="67">
        <f t="shared" si="3"/>
        <v>2.7464028281779216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3" sqref="G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1592</v>
      </c>
      <c r="B9" s="64">
        <v>16.21</v>
      </c>
      <c r="C9" s="64">
        <v>65.42</v>
      </c>
      <c r="D9" s="64">
        <v>49.75</v>
      </c>
      <c r="E9" s="64">
        <v>1.25</v>
      </c>
      <c r="F9" s="64">
        <v>13.57</v>
      </c>
      <c r="G9" s="64">
        <v>110.68</v>
      </c>
      <c r="H9" s="64">
        <v>59.14</v>
      </c>
      <c r="I9" s="64">
        <v>1.52</v>
      </c>
      <c r="J9" s="64">
        <v>0.33</v>
      </c>
      <c r="K9" s="64">
        <v>108.49</v>
      </c>
      <c r="L9" s="64">
        <v>16.21</v>
      </c>
      <c r="M9" s="64">
        <v>61.77</v>
      </c>
      <c r="N9" s="64">
        <v>25.6</v>
      </c>
      <c r="O9" s="64">
        <v>0</v>
      </c>
      <c r="P9" s="64">
        <v>0.52</v>
      </c>
      <c r="Q9" s="64">
        <v>7.19</v>
      </c>
      <c r="R9" s="198"/>
      <c r="S9" s="198"/>
      <c r="T9" s="198"/>
      <c r="U9" s="198"/>
    </row>
    <row r="10" spans="1:21" s="12" customFormat="1" x14ac:dyDescent="0.25">
      <c r="A10" s="214" t="s">
        <v>1593</v>
      </c>
      <c r="B10" s="64">
        <v>14.99</v>
      </c>
      <c r="C10" s="64">
        <v>64.48</v>
      </c>
      <c r="D10" s="64">
        <v>48.25</v>
      </c>
      <c r="E10" s="64">
        <v>1.23</v>
      </c>
      <c r="F10" s="64">
        <v>12.67</v>
      </c>
      <c r="G10" s="64">
        <v>110.68</v>
      </c>
      <c r="H10" s="64">
        <v>59.14</v>
      </c>
      <c r="I10" s="64">
        <v>1.48</v>
      </c>
      <c r="J10" s="64">
        <v>0.25</v>
      </c>
      <c r="K10" s="64">
        <v>103.1</v>
      </c>
      <c r="L10" s="64">
        <v>15.92</v>
      </c>
      <c r="M10" s="64">
        <v>63.58</v>
      </c>
      <c r="N10" s="64">
        <v>25.9</v>
      </c>
      <c r="O10" s="64">
        <v>0</v>
      </c>
      <c r="P10" s="64">
        <v>0.5</v>
      </c>
      <c r="Q10" s="64">
        <v>6.89</v>
      </c>
      <c r="R10" s="198"/>
      <c r="S10" s="198"/>
      <c r="T10" s="198"/>
      <c r="U10" s="198"/>
    </row>
    <row r="11" spans="1:21" s="12" customFormat="1" x14ac:dyDescent="0.25">
      <c r="A11" s="214" t="s">
        <v>1594</v>
      </c>
      <c r="B11" s="64">
        <v>13.93</v>
      </c>
      <c r="C11" s="64">
        <v>63.42</v>
      </c>
      <c r="D11" s="64">
        <v>46.82</v>
      </c>
      <c r="E11" s="64">
        <v>1.19</v>
      </c>
      <c r="F11" s="64">
        <v>11.86</v>
      </c>
      <c r="G11" s="64">
        <v>109.65</v>
      </c>
      <c r="H11" s="64">
        <v>58.18</v>
      </c>
      <c r="I11" s="64">
        <v>1.51</v>
      </c>
      <c r="J11" s="64">
        <v>0.35</v>
      </c>
      <c r="K11" s="64">
        <v>113.29</v>
      </c>
      <c r="L11" s="64">
        <v>15.96</v>
      </c>
      <c r="M11" s="64">
        <v>62.94</v>
      </c>
      <c r="N11" s="64">
        <v>25.7</v>
      </c>
      <c r="O11" s="64">
        <v>0</v>
      </c>
      <c r="P11" s="64">
        <v>0.5</v>
      </c>
      <c r="Q11" s="64">
        <v>6.61</v>
      </c>
      <c r="R11" s="198"/>
      <c r="S11" s="198"/>
      <c r="T11" s="198"/>
      <c r="U11" s="198"/>
    </row>
    <row r="12" spans="1:21" s="12" customFormat="1" x14ac:dyDescent="0.25">
      <c r="A12" s="214" t="s">
        <v>1595</v>
      </c>
      <c r="B12" s="64">
        <v>12.85</v>
      </c>
      <c r="C12" s="64">
        <v>62.26</v>
      </c>
      <c r="D12" s="64">
        <v>45.31</v>
      </c>
      <c r="E12" s="64">
        <v>1.18</v>
      </c>
      <c r="F12" s="64">
        <v>13.68</v>
      </c>
      <c r="G12" s="64">
        <v>105.49</v>
      </c>
      <c r="H12" s="64">
        <v>53.9</v>
      </c>
      <c r="I12" s="64">
        <v>1.55</v>
      </c>
      <c r="J12" s="64">
        <v>0.24</v>
      </c>
      <c r="K12" s="64">
        <v>94.82</v>
      </c>
      <c r="L12" s="64">
        <v>16.059999999999999</v>
      </c>
      <c r="M12" s="64">
        <v>62.17</v>
      </c>
      <c r="N12" s="64">
        <v>25.7</v>
      </c>
      <c r="O12" s="64">
        <v>0</v>
      </c>
      <c r="P12" s="64">
        <v>0.44</v>
      </c>
      <c r="Q12" s="64">
        <v>6.69</v>
      </c>
      <c r="R12" s="198"/>
      <c r="S12" s="198"/>
      <c r="T12" s="198"/>
      <c r="U12" s="198"/>
    </row>
    <row r="13" spans="1:21" s="12" customFormat="1" x14ac:dyDescent="0.25">
      <c r="A13" s="214" t="s">
        <v>1596</v>
      </c>
      <c r="B13" s="64">
        <v>11.69</v>
      </c>
      <c r="C13" s="64">
        <v>60.87</v>
      </c>
      <c r="D13" s="64">
        <v>43.61</v>
      </c>
      <c r="E13" s="64">
        <v>1.18</v>
      </c>
      <c r="F13" s="64">
        <v>14.23</v>
      </c>
      <c r="G13" s="64">
        <v>105.49</v>
      </c>
      <c r="H13" s="64">
        <v>53.9</v>
      </c>
      <c r="I13" s="64">
        <v>1.46</v>
      </c>
      <c r="J13" s="64">
        <v>0.28000000000000003</v>
      </c>
      <c r="K13" s="64">
        <v>318.93</v>
      </c>
      <c r="L13" s="64">
        <v>15.5</v>
      </c>
      <c r="M13" s="64">
        <v>67.92</v>
      </c>
      <c r="N13" s="64">
        <v>26.4</v>
      </c>
      <c r="O13" s="64">
        <v>0</v>
      </c>
      <c r="P13" s="64">
        <v>0.42</v>
      </c>
      <c r="Q13" s="64">
        <v>6.4</v>
      </c>
      <c r="R13" s="198"/>
      <c r="S13" s="198"/>
      <c r="T13" s="198"/>
      <c r="U13" s="198"/>
    </row>
    <row r="14" spans="1:21" s="12" customFormat="1" x14ac:dyDescent="0.25">
      <c r="A14" s="214" t="s">
        <v>1597</v>
      </c>
      <c r="B14" s="64">
        <v>10.68</v>
      </c>
      <c r="C14" s="64">
        <v>60.14</v>
      </c>
      <c r="D14" s="64">
        <v>42.4</v>
      </c>
      <c r="E14" s="64">
        <v>1.1000000000000001</v>
      </c>
      <c r="F14" s="64">
        <v>12.15</v>
      </c>
      <c r="G14" s="64">
        <v>105.49</v>
      </c>
      <c r="H14" s="64">
        <v>53.9</v>
      </c>
      <c r="I14" s="64">
        <v>1.47</v>
      </c>
      <c r="J14" s="64">
        <v>0.08</v>
      </c>
      <c r="K14" s="64">
        <v>87.45</v>
      </c>
      <c r="L14" s="64">
        <v>14.74</v>
      </c>
      <c r="M14" s="64">
        <v>71.56</v>
      </c>
      <c r="N14" s="64">
        <v>26.5</v>
      </c>
      <c r="O14" s="64">
        <v>0</v>
      </c>
      <c r="P14" s="64">
        <v>0.42</v>
      </c>
      <c r="Q14" s="64">
        <v>6.12</v>
      </c>
      <c r="R14" s="198"/>
      <c r="S14" s="198"/>
      <c r="T14" s="198"/>
      <c r="U14" s="198"/>
    </row>
    <row r="15" spans="1:21" s="12" customFormat="1" x14ac:dyDescent="0.25">
      <c r="A15" s="214" t="s">
        <v>1598</v>
      </c>
      <c r="B15" s="64">
        <v>9.8800000000000008</v>
      </c>
      <c r="C15" s="64">
        <v>58.82</v>
      </c>
      <c r="D15" s="64">
        <v>41.03</v>
      </c>
      <c r="E15" s="64">
        <v>0.98</v>
      </c>
      <c r="F15" s="64">
        <v>10.07</v>
      </c>
      <c r="G15" s="64">
        <v>102.27</v>
      </c>
      <c r="H15" s="64">
        <v>51.7</v>
      </c>
      <c r="I15" s="64">
        <v>1.5</v>
      </c>
      <c r="J15" s="64">
        <v>0.15</v>
      </c>
      <c r="K15" s="64">
        <v>58.52</v>
      </c>
      <c r="L15" s="64">
        <v>14.74</v>
      </c>
      <c r="M15" s="64">
        <v>71.38</v>
      </c>
      <c r="N15" s="64">
        <v>26.2</v>
      </c>
      <c r="O15" s="64">
        <v>0</v>
      </c>
      <c r="P15" s="64">
        <v>0.43</v>
      </c>
      <c r="Q15" s="64">
        <v>5.76</v>
      </c>
      <c r="R15" s="198"/>
      <c r="S15" s="198"/>
      <c r="T15" s="198"/>
      <c r="U15" s="198"/>
    </row>
    <row r="16" spans="1:21" s="12" customFormat="1" x14ac:dyDescent="0.25">
      <c r="A16" s="214" t="s">
        <v>1599</v>
      </c>
      <c r="B16" s="64">
        <v>9.25</v>
      </c>
      <c r="C16" s="64">
        <v>57.37</v>
      </c>
      <c r="D16" s="64">
        <v>39.729999999999997</v>
      </c>
      <c r="E16" s="64">
        <v>0.95</v>
      </c>
      <c r="F16" s="64">
        <v>9.36</v>
      </c>
      <c r="G16" s="64">
        <v>89.36</v>
      </c>
      <c r="H16" s="64">
        <v>45.73</v>
      </c>
      <c r="I16" s="64">
        <v>1.53</v>
      </c>
      <c r="J16" s="64">
        <v>0.08</v>
      </c>
      <c r="K16" s="64">
        <v>295.55</v>
      </c>
      <c r="L16" s="64">
        <v>14.14</v>
      </c>
      <c r="M16" s="64">
        <v>78.8</v>
      </c>
      <c r="N16" s="64">
        <v>26.6</v>
      </c>
      <c r="O16" s="64">
        <v>0</v>
      </c>
      <c r="P16" s="64">
        <v>0.44</v>
      </c>
      <c r="Q16" s="64">
        <v>5.69</v>
      </c>
      <c r="R16" s="198"/>
      <c r="S16" s="198"/>
      <c r="T16" s="198"/>
      <c r="U16" s="198"/>
    </row>
    <row r="17" spans="1:21" s="12" customFormat="1" x14ac:dyDescent="0.25">
      <c r="A17" s="214" t="s">
        <v>1600</v>
      </c>
      <c r="B17" s="64">
        <v>8.86</v>
      </c>
      <c r="C17" s="64">
        <v>56.26</v>
      </c>
      <c r="D17" s="64">
        <v>38.799999999999997</v>
      </c>
      <c r="E17" s="64">
        <v>0.9</v>
      </c>
      <c r="F17" s="64">
        <v>8.4700000000000006</v>
      </c>
      <c r="G17" s="64">
        <v>89.36</v>
      </c>
      <c r="H17" s="64">
        <v>45.73</v>
      </c>
      <c r="I17" s="64">
        <v>1.5</v>
      </c>
      <c r="J17" s="64">
        <v>0.02</v>
      </c>
      <c r="K17" s="64">
        <v>277.91000000000003</v>
      </c>
      <c r="L17" s="64">
        <v>13.87</v>
      </c>
      <c r="M17" s="64">
        <v>79.069999999999993</v>
      </c>
      <c r="N17" s="64">
        <v>26.2</v>
      </c>
      <c r="O17" s="64">
        <v>0</v>
      </c>
      <c r="P17" s="64">
        <v>0.45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1601</v>
      </c>
      <c r="B18" s="64">
        <v>8.7100000000000009</v>
      </c>
      <c r="C18" s="64">
        <v>55.06</v>
      </c>
      <c r="D18" s="64">
        <v>38.020000000000003</v>
      </c>
      <c r="E18" s="64">
        <v>0.82</v>
      </c>
      <c r="F18" s="64">
        <v>6.88</v>
      </c>
      <c r="G18" s="64">
        <v>89.36</v>
      </c>
      <c r="H18" s="64">
        <v>45.73</v>
      </c>
      <c r="I18" s="64">
        <v>1.5</v>
      </c>
      <c r="J18" s="64">
        <v>0.11</v>
      </c>
      <c r="K18" s="64">
        <v>317.76</v>
      </c>
      <c r="L18" s="64">
        <v>13.55</v>
      </c>
      <c r="M18" s="64">
        <v>84.73</v>
      </c>
      <c r="N18" s="64">
        <v>26.4</v>
      </c>
      <c r="O18" s="64">
        <v>0</v>
      </c>
      <c r="P18" s="64">
        <v>0.49</v>
      </c>
      <c r="Q18" s="64">
        <v>4.99</v>
      </c>
      <c r="R18" s="198"/>
      <c r="S18" s="198"/>
      <c r="T18" s="198"/>
      <c r="U18" s="198"/>
    </row>
    <row r="19" spans="1:21" s="12" customFormat="1" x14ac:dyDescent="0.25">
      <c r="A19" s="214" t="s">
        <v>1602</v>
      </c>
      <c r="B19" s="64">
        <v>9.09</v>
      </c>
      <c r="C19" s="64">
        <v>54.46</v>
      </c>
      <c r="D19" s="64">
        <v>37.99</v>
      </c>
      <c r="E19" s="64">
        <v>0.77</v>
      </c>
      <c r="F19" s="64">
        <v>5.85</v>
      </c>
      <c r="G19" s="64">
        <v>90.2</v>
      </c>
      <c r="H19" s="64">
        <v>45.2</v>
      </c>
      <c r="I19" s="64">
        <v>1.55</v>
      </c>
      <c r="J19" s="64">
        <v>0.1</v>
      </c>
      <c r="K19" s="64">
        <v>282.81</v>
      </c>
      <c r="L19" s="64">
        <v>13.32</v>
      </c>
      <c r="M19" s="64">
        <v>86.41</v>
      </c>
      <c r="N19" s="64">
        <v>26.3</v>
      </c>
      <c r="O19" s="64">
        <v>0</v>
      </c>
      <c r="P19" s="64">
        <v>0.49</v>
      </c>
      <c r="Q19" s="64">
        <v>3.92</v>
      </c>
      <c r="R19" s="198"/>
      <c r="S19" s="198"/>
      <c r="T19" s="198"/>
      <c r="U19" s="198"/>
    </row>
    <row r="20" spans="1:21" s="12" customFormat="1" x14ac:dyDescent="0.25">
      <c r="A20" s="214" t="s">
        <v>1603</v>
      </c>
      <c r="B20" s="64">
        <v>9.34</v>
      </c>
      <c r="C20" s="64">
        <v>53.88</v>
      </c>
      <c r="D20" s="64">
        <v>37.869999999999997</v>
      </c>
      <c r="E20" s="64">
        <v>0.7</v>
      </c>
      <c r="F20" s="64">
        <v>6.15</v>
      </c>
      <c r="G20" s="64">
        <v>93.56</v>
      </c>
      <c r="H20" s="64">
        <v>43.79</v>
      </c>
      <c r="I20" s="64">
        <v>1.52</v>
      </c>
      <c r="J20" s="64">
        <v>0.13</v>
      </c>
      <c r="K20" s="64">
        <v>64.45</v>
      </c>
      <c r="L20" s="64">
        <v>13.14</v>
      </c>
      <c r="M20" s="64">
        <v>85.81</v>
      </c>
      <c r="N20" s="64">
        <v>25.9</v>
      </c>
      <c r="O20" s="64">
        <v>0</v>
      </c>
      <c r="P20" s="64">
        <v>0.49</v>
      </c>
      <c r="Q20" s="64">
        <v>4.3600000000000003</v>
      </c>
      <c r="R20" s="198"/>
      <c r="S20" s="198"/>
      <c r="T20" s="198"/>
      <c r="U20" s="198"/>
    </row>
    <row r="21" spans="1:21" s="12" customFormat="1" x14ac:dyDescent="0.25">
      <c r="A21" s="214" t="s">
        <v>1604</v>
      </c>
      <c r="B21" s="64">
        <v>9.3699999999999992</v>
      </c>
      <c r="C21" s="64">
        <v>52.91</v>
      </c>
      <c r="D21" s="64">
        <v>37.36</v>
      </c>
      <c r="E21" s="64">
        <v>0.67</v>
      </c>
      <c r="F21" s="64">
        <v>6.04</v>
      </c>
      <c r="G21" s="64">
        <v>93.56</v>
      </c>
      <c r="H21" s="64">
        <v>43.79</v>
      </c>
      <c r="I21" s="64">
        <v>1.48</v>
      </c>
      <c r="J21" s="64">
        <v>0.1</v>
      </c>
      <c r="K21" s="64">
        <v>344.65</v>
      </c>
      <c r="L21" s="64">
        <v>13.05</v>
      </c>
      <c r="M21" s="64">
        <v>87.93</v>
      </c>
      <c r="N21" s="64">
        <v>26.4</v>
      </c>
      <c r="O21" s="64">
        <v>0</v>
      </c>
      <c r="P21" s="64">
        <v>0.52</v>
      </c>
      <c r="Q21" s="64">
        <v>4.54</v>
      </c>
      <c r="R21" s="198"/>
      <c r="S21" s="198"/>
      <c r="T21" s="198"/>
      <c r="U21" s="198"/>
    </row>
    <row r="22" spans="1:21" s="12" customFormat="1" x14ac:dyDescent="0.25">
      <c r="A22" s="214" t="s">
        <v>1605</v>
      </c>
      <c r="B22" s="64">
        <v>9.48</v>
      </c>
      <c r="C22" s="64">
        <v>52.4</v>
      </c>
      <c r="D22" s="64">
        <v>37.159999999999997</v>
      </c>
      <c r="E22" s="64">
        <v>0.7</v>
      </c>
      <c r="F22" s="64">
        <v>5.56</v>
      </c>
      <c r="G22" s="64">
        <v>93.56</v>
      </c>
      <c r="H22" s="64">
        <v>43.79</v>
      </c>
      <c r="I22" s="64">
        <v>1.5</v>
      </c>
      <c r="J22" s="64">
        <v>0.13</v>
      </c>
      <c r="K22" s="64">
        <v>15.36</v>
      </c>
      <c r="L22" s="64">
        <v>12.9</v>
      </c>
      <c r="M22" s="64">
        <v>88.12</v>
      </c>
      <c r="N22" s="64">
        <v>26</v>
      </c>
      <c r="O22" s="64">
        <v>0</v>
      </c>
      <c r="P22" s="64">
        <v>0.52</v>
      </c>
      <c r="Q22" s="64">
        <v>4.78</v>
      </c>
      <c r="R22" s="198"/>
      <c r="S22" s="198"/>
      <c r="T22" s="198"/>
      <c r="U22" s="198"/>
    </row>
    <row r="23" spans="1:21" s="12" customFormat="1" x14ac:dyDescent="0.25">
      <c r="A23" s="214" t="s">
        <v>1606</v>
      </c>
      <c r="B23" s="64">
        <v>9.52</v>
      </c>
      <c r="C23" s="64">
        <v>51.94</v>
      </c>
      <c r="D23" s="64">
        <v>36.94</v>
      </c>
      <c r="E23" s="64">
        <v>0.64</v>
      </c>
      <c r="F23" s="64">
        <v>6.92</v>
      </c>
      <c r="G23" s="64">
        <v>93.61</v>
      </c>
      <c r="H23" s="64">
        <v>44.97</v>
      </c>
      <c r="I23" s="64">
        <v>1.45</v>
      </c>
      <c r="J23" s="64">
        <v>0.13</v>
      </c>
      <c r="K23" s="64">
        <v>0.6</v>
      </c>
      <c r="L23" s="64">
        <v>13.08</v>
      </c>
      <c r="M23" s="64">
        <v>82.95</v>
      </c>
      <c r="N23" s="64">
        <v>26</v>
      </c>
      <c r="O23" s="64">
        <v>0</v>
      </c>
      <c r="P23" s="64">
        <v>0.5</v>
      </c>
      <c r="Q23" s="64">
        <v>4.88</v>
      </c>
      <c r="R23" s="198"/>
      <c r="S23" s="198"/>
      <c r="T23" s="198"/>
      <c r="U23" s="198"/>
    </row>
    <row r="24" spans="1:21" s="12" customFormat="1" x14ac:dyDescent="0.25">
      <c r="A24" s="214" t="s">
        <v>1607</v>
      </c>
      <c r="B24" s="64">
        <v>9.49</v>
      </c>
      <c r="C24" s="64">
        <v>52</v>
      </c>
      <c r="D24" s="64">
        <v>36.96</v>
      </c>
      <c r="E24" s="64">
        <v>0.59</v>
      </c>
      <c r="F24" s="64">
        <v>6.64</v>
      </c>
      <c r="G24" s="64">
        <v>93.81</v>
      </c>
      <c r="H24" s="64">
        <v>48.19</v>
      </c>
      <c r="I24" s="64">
        <v>1.52</v>
      </c>
      <c r="J24" s="64">
        <v>0.05</v>
      </c>
      <c r="K24" s="64">
        <v>23.25</v>
      </c>
      <c r="L24" s="64">
        <v>13.04</v>
      </c>
      <c r="M24" s="64">
        <v>83.84</v>
      </c>
      <c r="N24" s="64">
        <v>26.2</v>
      </c>
      <c r="O24" s="64">
        <v>0</v>
      </c>
      <c r="P24" s="64">
        <v>0.52</v>
      </c>
      <c r="Q24" s="64">
        <v>4.46</v>
      </c>
      <c r="R24" s="198"/>
      <c r="S24" s="198"/>
      <c r="T24" s="198"/>
      <c r="U24" s="198"/>
    </row>
    <row r="25" spans="1:21" s="12" customFormat="1" x14ac:dyDescent="0.25">
      <c r="A25" s="214" t="s">
        <v>1608</v>
      </c>
      <c r="B25" s="64">
        <v>9.4700000000000006</v>
      </c>
      <c r="C25" s="64">
        <v>51.84</v>
      </c>
      <c r="D25" s="64">
        <v>36.85</v>
      </c>
      <c r="E25" s="64">
        <v>0.79</v>
      </c>
      <c r="F25" s="64">
        <v>5.72</v>
      </c>
      <c r="G25" s="64">
        <v>93.81</v>
      </c>
      <c r="H25" s="64">
        <v>48.19</v>
      </c>
      <c r="I25" s="64">
        <v>1.47</v>
      </c>
      <c r="J25" s="64">
        <v>0.06</v>
      </c>
      <c r="K25" s="64">
        <v>343.06</v>
      </c>
      <c r="L25" s="64">
        <v>12.84</v>
      </c>
      <c r="M25" s="64">
        <v>86.91</v>
      </c>
      <c r="N25" s="64">
        <v>26.1</v>
      </c>
      <c r="O25" s="64">
        <v>0</v>
      </c>
      <c r="P25" s="64">
        <v>0.61</v>
      </c>
      <c r="Q25" s="64">
        <v>4.43</v>
      </c>
      <c r="R25" s="198"/>
      <c r="S25" s="198"/>
      <c r="T25" s="198"/>
      <c r="U25" s="198"/>
    </row>
    <row r="26" spans="1:21" s="12" customFormat="1" x14ac:dyDescent="0.25">
      <c r="A26" s="214" t="s">
        <v>1609</v>
      </c>
      <c r="B26" s="64">
        <v>9.7799999999999994</v>
      </c>
      <c r="C26" s="64">
        <v>52.02</v>
      </c>
      <c r="D26" s="64">
        <v>37.19</v>
      </c>
      <c r="E26" s="64">
        <v>0.84</v>
      </c>
      <c r="F26" s="64">
        <v>4.71</v>
      </c>
      <c r="G26" s="64">
        <v>93.81</v>
      </c>
      <c r="H26" s="64">
        <v>48.19</v>
      </c>
      <c r="I26" s="64">
        <v>1.49</v>
      </c>
      <c r="J26" s="64">
        <v>0.13</v>
      </c>
      <c r="K26" s="64">
        <v>97.57</v>
      </c>
      <c r="L26" s="64">
        <v>12.9</v>
      </c>
      <c r="M26" s="64">
        <v>86.03</v>
      </c>
      <c r="N26" s="64">
        <v>26.1</v>
      </c>
      <c r="O26" s="64">
        <v>0</v>
      </c>
      <c r="P26" s="64">
        <v>0.7</v>
      </c>
      <c r="Q26" s="64">
        <v>3.45</v>
      </c>
      <c r="R26" s="198"/>
      <c r="S26" s="198"/>
      <c r="T26" s="198"/>
      <c r="U26" s="198"/>
    </row>
    <row r="27" spans="1:21" s="12" customFormat="1" x14ac:dyDescent="0.25">
      <c r="A27" s="214" t="s">
        <v>1610</v>
      </c>
      <c r="B27" s="64">
        <v>10.46</v>
      </c>
      <c r="C27" s="64">
        <v>52.18</v>
      </c>
      <c r="D27" s="64">
        <v>37.840000000000003</v>
      </c>
      <c r="E27" s="64">
        <v>1.02</v>
      </c>
      <c r="F27" s="64">
        <v>4.4400000000000004</v>
      </c>
      <c r="G27" s="64">
        <v>96.2</v>
      </c>
      <c r="H27" s="64">
        <v>49.41</v>
      </c>
      <c r="I27" s="64">
        <v>1.52</v>
      </c>
      <c r="J27" s="64">
        <v>0.18</v>
      </c>
      <c r="K27" s="64">
        <v>72.760000000000005</v>
      </c>
      <c r="L27" s="64">
        <v>13.11</v>
      </c>
      <c r="M27" s="64">
        <v>84.32</v>
      </c>
      <c r="N27" s="64">
        <v>26</v>
      </c>
      <c r="O27" s="64">
        <v>0</v>
      </c>
      <c r="P27" s="64">
        <v>0.87</v>
      </c>
      <c r="Q27" s="64">
        <v>3.22</v>
      </c>
      <c r="R27" s="198"/>
      <c r="S27" s="198"/>
      <c r="T27" s="198"/>
      <c r="U27" s="198"/>
    </row>
    <row r="28" spans="1:21" s="12" customFormat="1" x14ac:dyDescent="0.25">
      <c r="A28" s="214" t="s">
        <v>1611</v>
      </c>
      <c r="B28" s="64">
        <v>11.04</v>
      </c>
      <c r="C28" s="64">
        <v>52.58</v>
      </c>
      <c r="D28" s="64">
        <v>38.520000000000003</v>
      </c>
      <c r="E28" s="64">
        <v>1.35</v>
      </c>
      <c r="F28" s="64">
        <v>4.8499999999999996</v>
      </c>
      <c r="G28" s="64">
        <v>105.75</v>
      </c>
      <c r="H28" s="64">
        <v>54.87</v>
      </c>
      <c r="I28" s="64">
        <v>1.51</v>
      </c>
      <c r="J28" s="64">
        <v>0.34</v>
      </c>
      <c r="K28" s="64">
        <v>342.58</v>
      </c>
      <c r="L28" s="64">
        <v>13.06</v>
      </c>
      <c r="M28" s="64">
        <v>84.16</v>
      </c>
      <c r="N28" s="64">
        <v>25.8</v>
      </c>
      <c r="O28" s="64">
        <v>0</v>
      </c>
      <c r="P28" s="64">
        <v>1.03</v>
      </c>
      <c r="Q28" s="64">
        <v>4.0599999999999996</v>
      </c>
      <c r="R28" s="198"/>
      <c r="S28" s="198"/>
      <c r="T28" s="198"/>
      <c r="U28" s="198"/>
    </row>
    <row r="29" spans="1:21" s="12" customFormat="1" x14ac:dyDescent="0.25">
      <c r="A29" s="214" t="s">
        <v>1612</v>
      </c>
      <c r="B29" s="64">
        <v>11.52</v>
      </c>
      <c r="C29" s="64">
        <v>52.98</v>
      </c>
      <c r="D29" s="64">
        <v>39.119999999999997</v>
      </c>
      <c r="E29" s="64">
        <v>1.44</v>
      </c>
      <c r="F29" s="64">
        <v>5.17</v>
      </c>
      <c r="G29" s="64">
        <v>105.75</v>
      </c>
      <c r="H29" s="64">
        <v>54.87</v>
      </c>
      <c r="I29" s="64">
        <v>1.43</v>
      </c>
      <c r="J29" s="64">
        <v>0.13</v>
      </c>
      <c r="K29" s="64">
        <v>318.08</v>
      </c>
      <c r="L29" s="64">
        <v>12.99</v>
      </c>
      <c r="M29" s="64">
        <v>83.94</v>
      </c>
      <c r="N29" s="64">
        <v>26.2</v>
      </c>
      <c r="O29" s="64">
        <v>0</v>
      </c>
      <c r="P29" s="64">
        <v>0.92</v>
      </c>
      <c r="Q29" s="64">
        <v>4.3499999999999996</v>
      </c>
      <c r="R29" s="198"/>
      <c r="S29" s="198"/>
      <c r="T29" s="198"/>
      <c r="U29" s="198"/>
    </row>
    <row r="30" spans="1:21" s="12" customFormat="1" x14ac:dyDescent="0.25">
      <c r="A30" s="214" t="s">
        <v>1613</v>
      </c>
      <c r="B30" s="64">
        <v>12.13</v>
      </c>
      <c r="C30" s="64">
        <v>53.28</v>
      </c>
      <c r="D30" s="64">
        <v>39.78</v>
      </c>
      <c r="E30" s="64">
        <v>1.34</v>
      </c>
      <c r="F30" s="64">
        <v>4.5</v>
      </c>
      <c r="G30" s="64">
        <v>105.75</v>
      </c>
      <c r="H30" s="64">
        <v>54.87</v>
      </c>
      <c r="I30" s="64">
        <v>1.52</v>
      </c>
      <c r="J30" s="64">
        <v>0.06</v>
      </c>
      <c r="K30" s="64">
        <v>112.1</v>
      </c>
      <c r="L30" s="64">
        <v>12.92</v>
      </c>
      <c r="M30" s="64">
        <v>81.92</v>
      </c>
      <c r="N30" s="64">
        <v>26.2</v>
      </c>
      <c r="O30" s="64">
        <v>0</v>
      </c>
      <c r="P30" s="64">
        <v>0.85</v>
      </c>
      <c r="Q30" s="64">
        <v>3.9</v>
      </c>
      <c r="R30" s="198"/>
      <c r="S30" s="198"/>
      <c r="T30" s="198"/>
      <c r="U30" s="198"/>
    </row>
    <row r="31" spans="1:21" s="12" customFormat="1" x14ac:dyDescent="0.25">
      <c r="A31" s="214" t="s">
        <v>1614</v>
      </c>
      <c r="B31" s="64">
        <v>12.42</v>
      </c>
      <c r="C31" s="64">
        <v>53.51</v>
      </c>
      <c r="D31" s="64">
        <v>40.14</v>
      </c>
      <c r="E31" s="64">
        <v>1.3</v>
      </c>
      <c r="F31" s="64">
        <v>5.46</v>
      </c>
      <c r="G31" s="64">
        <v>106.97</v>
      </c>
      <c r="H31" s="64">
        <v>55.63</v>
      </c>
      <c r="I31" s="64">
        <v>1.54</v>
      </c>
      <c r="J31" s="64">
        <v>0.27</v>
      </c>
      <c r="K31" s="64">
        <v>107.44</v>
      </c>
      <c r="L31" s="64">
        <v>12.97</v>
      </c>
      <c r="M31" s="64">
        <v>80.59</v>
      </c>
      <c r="N31" s="64">
        <v>25.9</v>
      </c>
      <c r="O31" s="64">
        <v>0</v>
      </c>
      <c r="P31" s="64">
        <v>0.68</v>
      </c>
      <c r="Q31" s="64">
        <v>4.57</v>
      </c>
      <c r="R31" s="198"/>
      <c r="S31" s="198"/>
      <c r="T31" s="198"/>
      <c r="U31" s="198"/>
    </row>
    <row r="32" spans="1:21" s="12" customFormat="1" x14ac:dyDescent="0.25">
      <c r="A32" s="214" t="s">
        <v>1615</v>
      </c>
      <c r="B32" s="64">
        <v>12.36</v>
      </c>
      <c r="C32" s="64">
        <v>53.48</v>
      </c>
      <c r="D32" s="64">
        <v>40.07</v>
      </c>
      <c r="E32" s="64">
        <v>1.1599999999999999</v>
      </c>
      <c r="F32" s="64">
        <v>5.81</v>
      </c>
      <c r="G32" s="64">
        <v>111.54</v>
      </c>
      <c r="H32" s="64">
        <v>57.82</v>
      </c>
      <c r="I32" s="64">
        <v>1.48</v>
      </c>
      <c r="J32" s="64">
        <v>0.13</v>
      </c>
      <c r="K32" s="64">
        <v>91.58</v>
      </c>
      <c r="L32" s="64">
        <v>12.87</v>
      </c>
      <c r="M32" s="64">
        <v>81.59</v>
      </c>
      <c r="N32" s="64">
        <v>26.4</v>
      </c>
      <c r="O32" s="64">
        <v>0</v>
      </c>
      <c r="P32" s="64">
        <v>0.61</v>
      </c>
      <c r="Q32" s="64">
        <v>5.14</v>
      </c>
      <c r="R32" s="198"/>
      <c r="S32" s="198"/>
      <c r="T32" s="198"/>
      <c r="U32" s="198"/>
    </row>
    <row r="33" spans="1:21" s="12" customFormat="1" x14ac:dyDescent="0.25">
      <c r="A33" s="214" t="s">
        <v>1616</v>
      </c>
      <c r="B33" s="64">
        <v>12.3</v>
      </c>
      <c r="C33" s="64">
        <v>53.25</v>
      </c>
      <c r="D33" s="64">
        <v>39.9</v>
      </c>
      <c r="E33" s="64">
        <v>1.08</v>
      </c>
      <c r="F33" s="64">
        <v>5.64</v>
      </c>
      <c r="G33" s="64">
        <v>111.54</v>
      </c>
      <c r="H33" s="64">
        <v>57.82</v>
      </c>
      <c r="I33" s="64">
        <v>1.5</v>
      </c>
      <c r="J33" s="64">
        <v>0.14000000000000001</v>
      </c>
      <c r="K33" s="64">
        <v>73.53</v>
      </c>
      <c r="L33" s="64">
        <v>12.84</v>
      </c>
      <c r="M33" s="64">
        <v>79.75</v>
      </c>
      <c r="N33" s="64">
        <v>26.7</v>
      </c>
      <c r="O33" s="64">
        <v>0</v>
      </c>
      <c r="P33" s="64">
        <v>0.56999999999999995</v>
      </c>
      <c r="Q33" s="64">
        <v>5.09</v>
      </c>
      <c r="R33" s="198"/>
      <c r="S33" s="198"/>
      <c r="T33" s="198"/>
      <c r="U33" s="198"/>
    </row>
    <row r="34" spans="1:21" s="12" customFormat="1" x14ac:dyDescent="0.25">
      <c r="A34" s="214" t="s">
        <v>1617</v>
      </c>
      <c r="B34" s="64">
        <v>12.28</v>
      </c>
      <c r="C34" s="64">
        <v>52.87</v>
      </c>
      <c r="D34" s="64">
        <v>39.67</v>
      </c>
      <c r="E34" s="64">
        <v>1.03</v>
      </c>
      <c r="F34" s="64">
        <v>5.84</v>
      </c>
      <c r="G34" s="64">
        <v>111.54</v>
      </c>
      <c r="H34" s="64">
        <v>57.82</v>
      </c>
      <c r="I34" s="64">
        <v>1.56</v>
      </c>
      <c r="J34" s="64">
        <v>0.18</v>
      </c>
      <c r="K34" s="64">
        <v>76.349999999999994</v>
      </c>
      <c r="L34" s="64">
        <v>12.92</v>
      </c>
      <c r="M34" s="64">
        <v>76.680000000000007</v>
      </c>
      <c r="N34" s="64">
        <v>29.8</v>
      </c>
      <c r="O34" s="64">
        <v>0</v>
      </c>
      <c r="P34" s="64">
        <v>0.53</v>
      </c>
      <c r="Q34" s="64">
        <v>5.17</v>
      </c>
      <c r="R34" s="198"/>
      <c r="S34" s="198"/>
      <c r="T34" s="198"/>
      <c r="U34" s="198"/>
    </row>
    <row r="35" spans="1:21" s="12" customFormat="1" x14ac:dyDescent="0.25">
      <c r="A35" s="214" t="s">
        <v>1618</v>
      </c>
      <c r="B35" s="64">
        <v>12.87</v>
      </c>
      <c r="C35" s="64">
        <v>53.11</v>
      </c>
      <c r="D35" s="64">
        <v>40.28</v>
      </c>
      <c r="E35" s="64">
        <v>1.07</v>
      </c>
      <c r="F35" s="64">
        <v>4.59</v>
      </c>
      <c r="G35" s="64">
        <v>110.39</v>
      </c>
      <c r="H35" s="64">
        <v>57.34</v>
      </c>
      <c r="I35" s="64">
        <v>1.52</v>
      </c>
      <c r="J35" s="64">
        <v>0.21</v>
      </c>
      <c r="K35" s="64">
        <v>100.31</v>
      </c>
      <c r="L35" s="64">
        <v>12.84</v>
      </c>
      <c r="M35" s="64">
        <v>76.84</v>
      </c>
      <c r="N35" s="64">
        <v>40.299999999999997</v>
      </c>
      <c r="O35" s="64">
        <v>0</v>
      </c>
      <c r="P35" s="64">
        <v>0.54</v>
      </c>
      <c r="Q35" s="64">
        <v>3.59</v>
      </c>
      <c r="R35" s="198"/>
      <c r="S35" s="198"/>
      <c r="T35" s="198"/>
      <c r="U35" s="198"/>
    </row>
    <row r="36" spans="1:21" s="12" customFormat="1" x14ac:dyDescent="0.25">
      <c r="A36" s="214" t="s">
        <v>1619</v>
      </c>
      <c r="B36" s="64">
        <v>13.65</v>
      </c>
      <c r="C36" s="64">
        <v>53.37</v>
      </c>
      <c r="D36" s="64">
        <v>41.04</v>
      </c>
      <c r="E36" s="64">
        <v>0.99</v>
      </c>
      <c r="F36" s="64">
        <v>4.84</v>
      </c>
      <c r="G36" s="64">
        <v>105.76</v>
      </c>
      <c r="H36" s="64">
        <v>56.04</v>
      </c>
      <c r="I36" s="64">
        <v>1.47</v>
      </c>
      <c r="J36" s="64">
        <v>0.17</v>
      </c>
      <c r="K36" s="64">
        <v>99.19</v>
      </c>
      <c r="L36" s="64">
        <v>12.99</v>
      </c>
      <c r="M36" s="64">
        <v>76.650000000000006</v>
      </c>
      <c r="N36" s="64">
        <v>56.5</v>
      </c>
      <c r="O36" s="64">
        <v>0</v>
      </c>
      <c r="P36" s="64">
        <v>0.62</v>
      </c>
      <c r="Q36" s="64">
        <v>3.81</v>
      </c>
      <c r="R36" s="198"/>
      <c r="S36" s="198"/>
      <c r="T36" s="198"/>
      <c r="U36" s="198"/>
    </row>
    <row r="37" spans="1:21" s="12" customFormat="1" x14ac:dyDescent="0.25">
      <c r="A37" s="214" t="s">
        <v>1620</v>
      </c>
      <c r="B37" s="64">
        <v>14.13</v>
      </c>
      <c r="C37" s="64">
        <v>53.19</v>
      </c>
      <c r="D37" s="64">
        <v>41.33</v>
      </c>
      <c r="E37" s="64">
        <v>1.06</v>
      </c>
      <c r="F37" s="64">
        <v>4.91</v>
      </c>
      <c r="G37" s="64">
        <v>105.76</v>
      </c>
      <c r="H37" s="64">
        <v>56.04</v>
      </c>
      <c r="I37" s="64">
        <v>1.5</v>
      </c>
      <c r="J37" s="64">
        <v>0.08</v>
      </c>
      <c r="K37" s="64">
        <v>75</v>
      </c>
      <c r="L37" s="64">
        <v>13.38</v>
      </c>
      <c r="M37" s="64">
        <v>75.66</v>
      </c>
      <c r="N37" s="64">
        <v>74.5</v>
      </c>
      <c r="O37" s="64">
        <v>0</v>
      </c>
      <c r="P37" s="64">
        <v>0.65</v>
      </c>
      <c r="Q37" s="64">
        <v>3.8</v>
      </c>
      <c r="R37" s="198"/>
      <c r="S37" s="198"/>
      <c r="T37" s="198"/>
      <c r="U37" s="198"/>
    </row>
    <row r="38" spans="1:21" s="12" customFormat="1" x14ac:dyDescent="0.25">
      <c r="A38" s="214" t="s">
        <v>1621</v>
      </c>
      <c r="B38" s="64">
        <v>15.3</v>
      </c>
      <c r="C38" s="64">
        <v>53.38</v>
      </c>
      <c r="D38" s="64">
        <v>42.38</v>
      </c>
      <c r="E38" s="64">
        <v>1.1000000000000001</v>
      </c>
      <c r="F38" s="64">
        <v>4.78</v>
      </c>
      <c r="G38" s="64">
        <v>105.76</v>
      </c>
      <c r="H38" s="64">
        <v>56.04</v>
      </c>
      <c r="I38" s="64">
        <v>1.53</v>
      </c>
      <c r="J38" s="64">
        <v>0.33</v>
      </c>
      <c r="K38" s="64">
        <v>95.82</v>
      </c>
      <c r="L38" s="64">
        <v>13.86</v>
      </c>
      <c r="M38" s="64">
        <v>72.89</v>
      </c>
      <c r="N38" s="64">
        <v>97.6</v>
      </c>
      <c r="O38" s="64">
        <v>0</v>
      </c>
      <c r="P38" s="64">
        <v>0.73</v>
      </c>
      <c r="Q38" s="64">
        <v>2.2999999999999998</v>
      </c>
      <c r="R38" s="198"/>
      <c r="S38" s="198"/>
      <c r="T38" s="198"/>
      <c r="U38" s="198"/>
    </row>
    <row r="39" spans="1:21" s="12" customFormat="1" x14ac:dyDescent="0.25">
      <c r="A39" s="214" t="s">
        <v>1622</v>
      </c>
      <c r="B39" s="64">
        <v>15.97</v>
      </c>
      <c r="C39" s="64">
        <v>53.11</v>
      </c>
      <c r="D39" s="64">
        <v>42.76</v>
      </c>
      <c r="E39" s="64">
        <v>1</v>
      </c>
      <c r="F39" s="64">
        <v>4.83</v>
      </c>
      <c r="G39" s="64">
        <v>104.77</v>
      </c>
      <c r="H39" s="64">
        <v>55.51</v>
      </c>
      <c r="I39" s="64">
        <v>1.53</v>
      </c>
      <c r="J39" s="64">
        <v>0.31</v>
      </c>
      <c r="K39" s="64">
        <v>113.07</v>
      </c>
      <c r="L39" s="64">
        <v>14.98</v>
      </c>
      <c r="M39" s="64">
        <v>65.05</v>
      </c>
      <c r="N39" s="64">
        <v>194</v>
      </c>
      <c r="O39" s="64">
        <v>0</v>
      </c>
      <c r="P39" s="64">
        <v>0.71</v>
      </c>
      <c r="Q39" s="64">
        <v>3.8</v>
      </c>
      <c r="R39" s="198"/>
      <c r="S39" s="198"/>
      <c r="T39" s="198"/>
      <c r="U39" s="198"/>
    </row>
    <row r="40" spans="1:21" s="12" customFormat="1" x14ac:dyDescent="0.25">
      <c r="A40" s="214" t="s">
        <v>1623</v>
      </c>
      <c r="B40" s="64">
        <v>16.75</v>
      </c>
      <c r="C40" s="64">
        <v>53.5</v>
      </c>
      <c r="D40" s="64">
        <v>43.6</v>
      </c>
      <c r="E40" s="64">
        <v>0.59</v>
      </c>
      <c r="F40" s="64">
        <v>4.55</v>
      </c>
      <c r="G40" s="64">
        <v>100.78</v>
      </c>
      <c r="H40" s="64">
        <v>54.05</v>
      </c>
      <c r="I40" s="64">
        <v>1.48</v>
      </c>
      <c r="J40" s="64">
        <v>0.32</v>
      </c>
      <c r="K40" s="64">
        <v>110.83</v>
      </c>
      <c r="L40" s="64">
        <v>16.760000000000002</v>
      </c>
      <c r="M40" s="64">
        <v>55.62</v>
      </c>
      <c r="N40" s="64">
        <v>251.2</v>
      </c>
      <c r="O40" s="64">
        <v>0</v>
      </c>
      <c r="P40" s="64">
        <v>0.77</v>
      </c>
      <c r="Q40" s="64">
        <v>3.03</v>
      </c>
      <c r="R40" s="198"/>
      <c r="S40" s="198"/>
      <c r="T40" s="198"/>
      <c r="U40" s="198"/>
    </row>
    <row r="41" spans="1:21" s="12" customFormat="1" x14ac:dyDescent="0.25">
      <c r="A41" s="214" t="s">
        <v>1624</v>
      </c>
      <c r="B41" s="64">
        <v>17.91</v>
      </c>
      <c r="C41" s="64">
        <v>54.21</v>
      </c>
      <c r="D41" s="64">
        <v>44.92</v>
      </c>
      <c r="E41" s="64">
        <v>0.82</v>
      </c>
      <c r="F41" s="64">
        <v>4.63</v>
      </c>
      <c r="G41" s="64">
        <v>100.78</v>
      </c>
      <c r="H41" s="64">
        <v>54.05</v>
      </c>
      <c r="I41" s="64">
        <v>1.48</v>
      </c>
      <c r="J41" s="64">
        <v>0.15</v>
      </c>
      <c r="K41" s="64">
        <v>123.44</v>
      </c>
      <c r="L41" s="64">
        <v>18.21</v>
      </c>
      <c r="M41" s="64">
        <v>50.66</v>
      </c>
      <c r="N41" s="64">
        <v>302.10000000000002</v>
      </c>
      <c r="O41" s="64">
        <v>0</v>
      </c>
      <c r="P41" s="64">
        <v>0.78</v>
      </c>
      <c r="Q41" s="64">
        <v>2.78</v>
      </c>
      <c r="R41" s="198"/>
      <c r="S41" s="198"/>
      <c r="T41" s="198"/>
      <c r="U41" s="198"/>
    </row>
    <row r="42" spans="1:21" s="12" customFormat="1" x14ac:dyDescent="0.25">
      <c r="A42" s="214" t="s">
        <v>1625</v>
      </c>
      <c r="B42" s="64">
        <v>18.62</v>
      </c>
      <c r="C42" s="64">
        <v>55.04</v>
      </c>
      <c r="D42" s="64">
        <v>45.96</v>
      </c>
      <c r="E42" s="64">
        <v>0.88</v>
      </c>
      <c r="F42" s="64">
        <v>5.22</v>
      </c>
      <c r="G42" s="64">
        <v>100.78</v>
      </c>
      <c r="H42" s="64">
        <v>54.05</v>
      </c>
      <c r="I42" s="64">
        <v>1.43</v>
      </c>
      <c r="J42" s="64">
        <v>0.06</v>
      </c>
      <c r="K42" s="64">
        <v>91.93</v>
      </c>
      <c r="L42" s="64">
        <v>19.29</v>
      </c>
      <c r="M42" s="64">
        <v>47.17</v>
      </c>
      <c r="N42" s="64">
        <v>352.2</v>
      </c>
      <c r="O42" s="64">
        <v>0</v>
      </c>
      <c r="P42" s="64">
        <v>0.82</v>
      </c>
      <c r="Q42" s="64">
        <v>3.36</v>
      </c>
      <c r="R42" s="198"/>
      <c r="S42" s="198"/>
      <c r="T42" s="198"/>
      <c r="U42" s="198"/>
    </row>
    <row r="43" spans="1:21" s="12" customFormat="1" x14ac:dyDescent="0.25">
      <c r="A43" s="214" t="s">
        <v>1626</v>
      </c>
      <c r="B43" s="64">
        <v>19.47</v>
      </c>
      <c r="C43" s="64">
        <v>56.01</v>
      </c>
      <c r="D43" s="64">
        <v>47.17</v>
      </c>
      <c r="E43" s="64">
        <v>1.1200000000000001</v>
      </c>
      <c r="F43" s="64">
        <v>5.4</v>
      </c>
      <c r="G43" s="64">
        <v>99.86</v>
      </c>
      <c r="H43" s="64">
        <v>52.26</v>
      </c>
      <c r="I43" s="64">
        <v>1.56</v>
      </c>
      <c r="J43" s="64">
        <v>0.18</v>
      </c>
      <c r="K43" s="64">
        <v>51.91</v>
      </c>
      <c r="L43" s="64">
        <v>19.72</v>
      </c>
      <c r="M43" s="64">
        <v>44.53</v>
      </c>
      <c r="N43" s="64">
        <v>404.7</v>
      </c>
      <c r="O43" s="64">
        <v>0</v>
      </c>
      <c r="P43" s="64">
        <v>0.74</v>
      </c>
      <c r="Q43" s="64">
        <v>3.17</v>
      </c>
      <c r="R43" s="198"/>
      <c r="S43" s="198"/>
      <c r="T43" s="198"/>
      <c r="U43" s="198"/>
    </row>
    <row r="44" spans="1:21" s="12" customFormat="1" x14ac:dyDescent="0.25">
      <c r="A44" s="214" t="s">
        <v>1627</v>
      </c>
      <c r="B44" s="64">
        <v>19.93</v>
      </c>
      <c r="C44" s="64">
        <v>56.77</v>
      </c>
      <c r="D44" s="64">
        <v>47.95</v>
      </c>
      <c r="E44" s="64">
        <v>1.06</v>
      </c>
      <c r="F44" s="64">
        <v>5.72</v>
      </c>
      <c r="G44" s="64">
        <v>96.19</v>
      </c>
      <c r="H44" s="64">
        <v>44.33</v>
      </c>
      <c r="I44" s="64">
        <v>1.54</v>
      </c>
      <c r="J44" s="64">
        <v>0.34</v>
      </c>
      <c r="K44" s="64">
        <v>96.23</v>
      </c>
      <c r="L44" s="64">
        <v>19.829999999999998</v>
      </c>
      <c r="M44" s="64">
        <v>46.59</v>
      </c>
      <c r="N44" s="64">
        <v>448.5</v>
      </c>
      <c r="O44" s="64">
        <v>0</v>
      </c>
      <c r="P44" s="64">
        <v>0.73</v>
      </c>
      <c r="Q44" s="64">
        <v>3.85</v>
      </c>
      <c r="R44" s="198"/>
      <c r="S44" s="198"/>
      <c r="T44" s="198"/>
      <c r="U44" s="198"/>
    </row>
    <row r="45" spans="1:21" s="12" customFormat="1" x14ac:dyDescent="0.25">
      <c r="A45" s="214" t="s">
        <v>1628</v>
      </c>
      <c r="B45" s="64">
        <v>20.86</v>
      </c>
      <c r="C45" s="64">
        <v>57.49</v>
      </c>
      <c r="D45" s="64">
        <v>49.1</v>
      </c>
      <c r="E45" s="64">
        <v>1.71</v>
      </c>
      <c r="F45" s="64">
        <v>7.09</v>
      </c>
      <c r="G45" s="64">
        <v>96.19</v>
      </c>
      <c r="H45" s="64">
        <v>44.33</v>
      </c>
      <c r="I45" s="64">
        <v>1.5</v>
      </c>
      <c r="J45" s="64">
        <v>0.54</v>
      </c>
      <c r="K45" s="64">
        <v>342.28</v>
      </c>
      <c r="L45" s="64">
        <v>22.64</v>
      </c>
      <c r="M45" s="64">
        <v>38.92</v>
      </c>
      <c r="N45" s="64">
        <v>490</v>
      </c>
      <c r="O45" s="64">
        <v>0</v>
      </c>
      <c r="P45" s="64">
        <v>0.92</v>
      </c>
      <c r="Q45" s="64">
        <v>1.1100000000000001</v>
      </c>
      <c r="R45" s="198"/>
      <c r="S45" s="198"/>
      <c r="T45" s="198"/>
      <c r="U45" s="198"/>
    </row>
    <row r="46" spans="1:21" s="12" customFormat="1" x14ac:dyDescent="0.25">
      <c r="A46" s="214" t="s">
        <v>1629</v>
      </c>
      <c r="B46" s="64">
        <v>21.54</v>
      </c>
      <c r="C46" s="64">
        <v>58.59</v>
      </c>
      <c r="D46" s="64">
        <v>50.25</v>
      </c>
      <c r="E46" s="64">
        <v>1.24</v>
      </c>
      <c r="F46" s="64">
        <v>7.62</v>
      </c>
      <c r="G46" s="64">
        <v>96.19</v>
      </c>
      <c r="H46" s="64">
        <v>44.33</v>
      </c>
      <c r="I46" s="64">
        <v>1.54</v>
      </c>
      <c r="J46" s="64">
        <v>0.59</v>
      </c>
      <c r="K46" s="64">
        <v>93.7</v>
      </c>
      <c r="L46" s="64">
        <v>21.5</v>
      </c>
      <c r="M46" s="64">
        <v>42.41</v>
      </c>
      <c r="N46" s="64">
        <v>531.20000000000005</v>
      </c>
      <c r="O46" s="64">
        <v>0</v>
      </c>
      <c r="P46" s="64">
        <v>0.81</v>
      </c>
      <c r="Q46" s="64">
        <v>3.44</v>
      </c>
      <c r="R46" s="198"/>
      <c r="S46" s="198"/>
      <c r="T46" s="198"/>
      <c r="U46" s="198"/>
    </row>
    <row r="47" spans="1:21" s="12" customFormat="1" x14ac:dyDescent="0.25">
      <c r="A47" s="214" t="s">
        <v>1630</v>
      </c>
      <c r="B47" s="64">
        <v>20.94</v>
      </c>
      <c r="C47" s="64">
        <v>59.04</v>
      </c>
      <c r="D47" s="64">
        <v>50.02</v>
      </c>
      <c r="E47" s="64">
        <v>1.28</v>
      </c>
      <c r="F47" s="64">
        <v>9.98</v>
      </c>
      <c r="G47" s="64">
        <v>96.6</v>
      </c>
      <c r="H47" s="64">
        <v>39.69</v>
      </c>
      <c r="I47" s="64">
        <v>1.54</v>
      </c>
      <c r="J47" s="64">
        <v>0.25</v>
      </c>
      <c r="K47" s="64">
        <v>27</v>
      </c>
      <c r="L47" s="64">
        <v>21.77</v>
      </c>
      <c r="M47" s="64">
        <v>41.78</v>
      </c>
      <c r="N47" s="64">
        <v>564.79999999999995</v>
      </c>
      <c r="O47" s="64">
        <v>0</v>
      </c>
      <c r="P47" s="64">
        <v>0.71</v>
      </c>
      <c r="Q47" s="64">
        <v>5.1100000000000003</v>
      </c>
      <c r="R47" s="198"/>
      <c r="S47" s="198"/>
      <c r="T47" s="198"/>
      <c r="U47" s="198"/>
    </row>
    <row r="48" spans="1:21" s="12" customFormat="1" x14ac:dyDescent="0.25">
      <c r="A48" s="214" t="s">
        <v>1631</v>
      </c>
      <c r="B48" s="64">
        <v>20.46</v>
      </c>
      <c r="C48" s="64">
        <v>59.73</v>
      </c>
      <c r="D48" s="64">
        <v>50.01</v>
      </c>
      <c r="E48" s="64">
        <v>2.3199999999999998</v>
      </c>
      <c r="F48" s="64">
        <v>12.14</v>
      </c>
      <c r="G48" s="64">
        <v>98.11</v>
      </c>
      <c r="H48" s="64">
        <v>27.05</v>
      </c>
      <c r="I48" s="64">
        <v>1.53</v>
      </c>
      <c r="J48" s="64">
        <v>0.7</v>
      </c>
      <c r="K48" s="64">
        <v>339.21</v>
      </c>
      <c r="L48" s="64">
        <v>24.7</v>
      </c>
      <c r="M48" s="64">
        <v>35.18</v>
      </c>
      <c r="N48" s="64">
        <v>594.6</v>
      </c>
      <c r="O48" s="64">
        <v>0</v>
      </c>
      <c r="P48" s="64">
        <v>0.86</v>
      </c>
      <c r="Q48" s="64">
        <v>1.61</v>
      </c>
      <c r="R48" s="198"/>
      <c r="S48" s="198"/>
      <c r="T48" s="198"/>
      <c r="U48" s="198"/>
    </row>
    <row r="49" spans="1:21" s="12" customFormat="1" x14ac:dyDescent="0.25">
      <c r="A49" s="214" t="s">
        <v>1632</v>
      </c>
      <c r="B49" s="64">
        <v>19.78</v>
      </c>
      <c r="C49" s="64">
        <v>60.52</v>
      </c>
      <c r="D49" s="64">
        <v>49.91</v>
      </c>
      <c r="E49" s="64">
        <v>1.35</v>
      </c>
      <c r="F49" s="64">
        <v>8.74</v>
      </c>
      <c r="G49" s="64">
        <v>98.11</v>
      </c>
      <c r="H49" s="64">
        <v>27.05</v>
      </c>
      <c r="I49" s="64">
        <v>1.5</v>
      </c>
      <c r="J49" s="64">
        <v>0.8</v>
      </c>
      <c r="K49" s="64">
        <v>113.18</v>
      </c>
      <c r="L49" s="64">
        <v>22.93</v>
      </c>
      <c r="M49" s="64">
        <v>39.67</v>
      </c>
      <c r="N49" s="64">
        <v>632</v>
      </c>
      <c r="O49" s="64">
        <v>0</v>
      </c>
      <c r="P49" s="64">
        <v>0.75</v>
      </c>
      <c r="Q49" s="64">
        <v>4.8</v>
      </c>
      <c r="R49" s="198"/>
      <c r="S49" s="198"/>
      <c r="T49" s="198"/>
      <c r="U49" s="198"/>
    </row>
    <row r="50" spans="1:21" s="12" customFormat="1" x14ac:dyDescent="0.25">
      <c r="A50" s="214" t="s">
        <v>1633</v>
      </c>
      <c r="B50" s="64">
        <v>17.739999999999998</v>
      </c>
      <c r="C50" s="64">
        <v>60.23</v>
      </c>
      <c r="D50" s="64">
        <v>48.11</v>
      </c>
      <c r="E50" s="64">
        <v>0.75</v>
      </c>
      <c r="F50" s="64">
        <v>6.71</v>
      </c>
      <c r="G50" s="64">
        <v>98.11</v>
      </c>
      <c r="H50" s="64">
        <v>27.05</v>
      </c>
      <c r="I50" s="64">
        <v>1.49</v>
      </c>
      <c r="J50" s="64">
        <v>1.1599999999999999</v>
      </c>
      <c r="K50" s="64">
        <v>114.66</v>
      </c>
      <c r="L50" s="64">
        <v>21.24</v>
      </c>
      <c r="M50" s="64">
        <v>44.19</v>
      </c>
      <c r="N50" s="64">
        <v>653.29999999999995</v>
      </c>
      <c r="O50" s="64">
        <v>0</v>
      </c>
      <c r="P50" s="64">
        <v>0.68</v>
      </c>
      <c r="Q50" s="64">
        <v>6.15</v>
      </c>
      <c r="R50" s="198"/>
      <c r="S50" s="198"/>
      <c r="T50" s="198"/>
      <c r="U50" s="198"/>
    </row>
    <row r="51" spans="1:21" s="12" customFormat="1" x14ac:dyDescent="0.25">
      <c r="A51" s="214" t="s">
        <v>1634</v>
      </c>
      <c r="B51" s="64">
        <v>15.2</v>
      </c>
      <c r="C51" s="64">
        <v>59.76</v>
      </c>
      <c r="D51" s="64">
        <v>45.81</v>
      </c>
      <c r="E51" s="64">
        <v>0.92</v>
      </c>
      <c r="F51" s="64">
        <v>12.25</v>
      </c>
      <c r="G51" s="64">
        <v>97.72</v>
      </c>
      <c r="H51" s="64">
        <v>27.05</v>
      </c>
      <c r="I51" s="64">
        <v>1.54</v>
      </c>
      <c r="J51" s="64">
        <v>0.28000000000000003</v>
      </c>
      <c r="K51" s="64">
        <v>122.86</v>
      </c>
      <c r="L51" s="64">
        <v>22.86</v>
      </c>
      <c r="M51" s="64">
        <v>41.49</v>
      </c>
      <c r="N51" s="64">
        <v>672.2</v>
      </c>
      <c r="O51" s="64">
        <v>0</v>
      </c>
      <c r="P51" s="64">
        <v>0.7</v>
      </c>
      <c r="Q51" s="64">
        <v>6.09</v>
      </c>
      <c r="R51" s="198"/>
      <c r="S51" s="198"/>
      <c r="T51" s="198"/>
      <c r="U51" s="198"/>
    </row>
    <row r="52" spans="1:21" s="12" customFormat="1" x14ac:dyDescent="0.25">
      <c r="A52" s="214" t="s">
        <v>1635</v>
      </c>
      <c r="B52" s="64">
        <v>13.19</v>
      </c>
      <c r="C52" s="64">
        <v>59.78</v>
      </c>
      <c r="D52" s="64">
        <v>44.22</v>
      </c>
      <c r="E52" s="64">
        <v>1</v>
      </c>
      <c r="F52" s="64">
        <v>11.73</v>
      </c>
      <c r="G52" s="212" t="s">
        <v>42</v>
      </c>
      <c r="H52" s="212" t="s">
        <v>42</v>
      </c>
      <c r="I52" s="64">
        <v>1.43</v>
      </c>
      <c r="J52" s="64">
        <v>0.36</v>
      </c>
      <c r="K52" s="64">
        <v>116.86</v>
      </c>
      <c r="L52" s="64">
        <v>23.69</v>
      </c>
      <c r="M52" s="64">
        <v>40.1</v>
      </c>
      <c r="N52" s="64">
        <v>698.9</v>
      </c>
      <c r="O52" s="64">
        <v>0</v>
      </c>
      <c r="P52" s="64">
        <v>0.69</v>
      </c>
      <c r="Q52" s="64">
        <v>5.42</v>
      </c>
      <c r="R52" s="198"/>
      <c r="S52" s="198"/>
      <c r="T52" s="198"/>
      <c r="U52" s="198"/>
    </row>
    <row r="53" spans="1:21" s="12" customFormat="1" x14ac:dyDescent="0.25">
      <c r="A53" s="214" t="s">
        <v>1636</v>
      </c>
      <c r="B53" s="64">
        <v>11.28</v>
      </c>
      <c r="C53" s="64">
        <v>59.65</v>
      </c>
      <c r="D53" s="64">
        <v>42.61</v>
      </c>
      <c r="E53" s="64">
        <v>0.97</v>
      </c>
      <c r="F53" s="64">
        <v>11.78</v>
      </c>
      <c r="G53" s="212" t="s">
        <v>42</v>
      </c>
      <c r="H53" s="212" t="s">
        <v>42</v>
      </c>
      <c r="I53" s="64">
        <v>1.42</v>
      </c>
      <c r="J53" s="64">
        <v>0.54</v>
      </c>
      <c r="K53" s="64">
        <v>114.59</v>
      </c>
      <c r="L53" s="64">
        <v>23.43</v>
      </c>
      <c r="M53" s="64">
        <v>39.369999999999997</v>
      </c>
      <c r="N53" s="64">
        <v>700.7</v>
      </c>
      <c r="O53" s="64">
        <v>0</v>
      </c>
      <c r="P53" s="64">
        <v>0.64</v>
      </c>
      <c r="Q53" s="64">
        <v>5.52</v>
      </c>
      <c r="R53" s="198"/>
      <c r="S53" s="198"/>
      <c r="T53" s="198"/>
      <c r="U53" s="198"/>
    </row>
    <row r="54" spans="1:21" s="12" customFormat="1" x14ac:dyDescent="0.25">
      <c r="A54" s="214" t="s">
        <v>1637</v>
      </c>
      <c r="B54" s="64">
        <v>9.56</v>
      </c>
      <c r="C54" s="64">
        <v>59.39</v>
      </c>
      <c r="D54" s="64">
        <v>41.08</v>
      </c>
      <c r="E54" s="64">
        <v>1.52</v>
      </c>
      <c r="F54" s="64">
        <v>18.510000000000002</v>
      </c>
      <c r="G54" s="212" t="s">
        <v>42</v>
      </c>
      <c r="H54" s="212" t="s">
        <v>42</v>
      </c>
      <c r="I54" s="64">
        <v>1.54</v>
      </c>
      <c r="J54" s="64">
        <v>0.72</v>
      </c>
      <c r="K54" s="64">
        <v>111.13</v>
      </c>
      <c r="L54" s="64">
        <v>23.59</v>
      </c>
      <c r="M54" s="64">
        <v>38.85</v>
      </c>
      <c r="N54" s="64">
        <v>718.6</v>
      </c>
      <c r="O54" s="64">
        <v>0</v>
      </c>
      <c r="P54" s="64">
        <v>0.64</v>
      </c>
      <c r="Q54" s="64">
        <v>5.31</v>
      </c>
      <c r="R54" s="198"/>
      <c r="S54" s="198"/>
      <c r="T54" s="198"/>
      <c r="U54" s="198"/>
    </row>
    <row r="55" spans="1:21" s="12" customFormat="1" x14ac:dyDescent="0.25">
      <c r="A55" s="214" t="s">
        <v>1638</v>
      </c>
      <c r="B55" s="64">
        <v>8.5</v>
      </c>
      <c r="C55" s="64">
        <v>58.33</v>
      </c>
      <c r="D55" s="64">
        <v>39.65</v>
      </c>
      <c r="E55" s="64">
        <v>1.38</v>
      </c>
      <c r="F55" s="64">
        <v>19.37</v>
      </c>
      <c r="G55" s="64">
        <v>94.53</v>
      </c>
      <c r="H55" s="64">
        <v>40.19</v>
      </c>
      <c r="I55" s="64">
        <v>1.57</v>
      </c>
      <c r="J55" s="64">
        <v>0.99</v>
      </c>
      <c r="K55" s="64">
        <v>109.69</v>
      </c>
      <c r="L55" s="64">
        <v>22.71</v>
      </c>
      <c r="M55" s="64">
        <v>39.56</v>
      </c>
      <c r="N55" s="64">
        <v>729.5</v>
      </c>
      <c r="O55" s="64">
        <v>0</v>
      </c>
      <c r="P55" s="64">
        <v>0.49</v>
      </c>
      <c r="Q55" s="64">
        <v>5.64</v>
      </c>
      <c r="R55" s="198"/>
      <c r="S55" s="198"/>
      <c r="T55" s="198"/>
      <c r="U55" s="198"/>
    </row>
    <row r="56" spans="1:21" s="12" customFormat="1" x14ac:dyDescent="0.25">
      <c r="A56" s="214" t="s">
        <v>1639</v>
      </c>
      <c r="B56" s="64">
        <v>7.66</v>
      </c>
      <c r="C56" s="64">
        <v>57.25</v>
      </c>
      <c r="D56" s="64">
        <v>38.380000000000003</v>
      </c>
      <c r="E56" s="64">
        <v>1.03</v>
      </c>
      <c r="F56" s="64">
        <v>20.079999999999998</v>
      </c>
      <c r="G56" s="64">
        <v>88.07</v>
      </c>
      <c r="H56" s="64">
        <v>40.19</v>
      </c>
      <c r="I56" s="64">
        <v>1.54</v>
      </c>
      <c r="J56" s="64">
        <v>0.61</v>
      </c>
      <c r="K56" s="64">
        <v>112.29</v>
      </c>
      <c r="L56" s="64">
        <v>22.93</v>
      </c>
      <c r="M56" s="64">
        <v>38.85</v>
      </c>
      <c r="N56" s="64">
        <v>716.5</v>
      </c>
      <c r="O56" s="64">
        <v>0</v>
      </c>
      <c r="P56" s="64">
        <v>0.54</v>
      </c>
      <c r="Q56" s="64">
        <v>5.43</v>
      </c>
      <c r="R56" s="198"/>
      <c r="S56" s="198"/>
      <c r="T56" s="198"/>
      <c r="U56" s="198"/>
    </row>
    <row r="57" spans="1:21" s="12" customFormat="1" x14ac:dyDescent="0.25">
      <c r="A57" s="214" t="s">
        <v>1640</v>
      </c>
      <c r="B57" s="64">
        <v>7.12</v>
      </c>
      <c r="C57" s="64">
        <v>56.33</v>
      </c>
      <c r="D57" s="64">
        <v>37.44</v>
      </c>
      <c r="E57" s="64">
        <v>2.76</v>
      </c>
      <c r="F57" s="64">
        <v>24.83</v>
      </c>
      <c r="G57" s="64">
        <v>88.07</v>
      </c>
      <c r="H57" s="64">
        <v>40.19</v>
      </c>
      <c r="I57" s="64">
        <v>1.38</v>
      </c>
      <c r="J57" s="64">
        <v>0.37</v>
      </c>
      <c r="K57" s="64">
        <v>345.34</v>
      </c>
      <c r="L57" s="64">
        <v>24.3</v>
      </c>
      <c r="M57" s="64">
        <v>35.21</v>
      </c>
      <c r="N57" s="64">
        <v>685.6</v>
      </c>
      <c r="O57" s="64">
        <v>0</v>
      </c>
      <c r="P57" s="64">
        <v>0.52</v>
      </c>
      <c r="Q57" s="64">
        <v>4.18</v>
      </c>
      <c r="R57" s="198"/>
      <c r="S57" s="198"/>
      <c r="T57" s="198"/>
      <c r="U57" s="198"/>
    </row>
    <row r="58" spans="1:21" s="12" customFormat="1" x14ac:dyDescent="0.25">
      <c r="A58" s="214" t="s">
        <v>1641</v>
      </c>
      <c r="B58" s="64">
        <v>7.06</v>
      </c>
      <c r="C58" s="64">
        <v>56.51</v>
      </c>
      <c r="D58" s="64">
        <v>37.49</v>
      </c>
      <c r="E58" s="64">
        <v>4.59</v>
      </c>
      <c r="F58" s="64">
        <v>39.32</v>
      </c>
      <c r="G58" s="64">
        <v>88.07</v>
      </c>
      <c r="H58" s="64">
        <v>40.19</v>
      </c>
      <c r="I58" s="64">
        <v>1.46</v>
      </c>
      <c r="J58" s="64">
        <v>1.01</v>
      </c>
      <c r="K58" s="64">
        <v>342.57</v>
      </c>
      <c r="L58" s="64">
        <v>27.31</v>
      </c>
      <c r="M58" s="64">
        <v>30.5</v>
      </c>
      <c r="N58" s="64">
        <v>698.1</v>
      </c>
      <c r="O58" s="64">
        <v>0</v>
      </c>
      <c r="P58" s="64">
        <v>0.61</v>
      </c>
      <c r="Q58" s="64">
        <v>3.25</v>
      </c>
      <c r="R58" s="198"/>
      <c r="S58" s="198"/>
      <c r="T58" s="198"/>
      <c r="U58" s="198"/>
    </row>
    <row r="59" spans="1:21" s="12" customFormat="1" x14ac:dyDescent="0.25">
      <c r="A59" s="214" t="s">
        <v>1642</v>
      </c>
      <c r="B59" s="64">
        <v>7.01</v>
      </c>
      <c r="C59" s="64">
        <v>57.27</v>
      </c>
      <c r="D59" s="64">
        <v>37.869999999999997</v>
      </c>
      <c r="E59" s="64">
        <v>5.16</v>
      </c>
      <c r="F59" s="64">
        <v>32.65</v>
      </c>
      <c r="G59" s="64">
        <v>85.73</v>
      </c>
      <c r="H59" s="64">
        <v>36.97</v>
      </c>
      <c r="I59" s="64">
        <v>1.53</v>
      </c>
      <c r="J59" s="64">
        <v>0.56999999999999995</v>
      </c>
      <c r="K59" s="64">
        <v>339.82</v>
      </c>
      <c r="L59" s="64">
        <v>27.57</v>
      </c>
      <c r="M59" s="64">
        <v>30.12</v>
      </c>
      <c r="N59" s="64">
        <v>674.3</v>
      </c>
      <c r="O59" s="64">
        <v>0</v>
      </c>
      <c r="P59" s="64">
        <v>0.67</v>
      </c>
      <c r="Q59" s="64">
        <v>2.98</v>
      </c>
      <c r="R59" s="198"/>
      <c r="S59" s="198"/>
      <c r="T59" s="198"/>
      <c r="U59" s="198"/>
    </row>
    <row r="60" spans="1:21" s="12" customFormat="1" x14ac:dyDescent="0.25">
      <c r="A60" s="214" t="s">
        <v>1643</v>
      </c>
      <c r="B60" s="64">
        <v>6.83</v>
      </c>
      <c r="C60" s="64">
        <v>57.75</v>
      </c>
      <c r="D60" s="64">
        <v>38</v>
      </c>
      <c r="E60" s="64">
        <v>3.08</v>
      </c>
      <c r="F60" s="64">
        <v>25.84</v>
      </c>
      <c r="G60" s="64">
        <v>76.98</v>
      </c>
      <c r="H60" s="64">
        <v>22.6</v>
      </c>
      <c r="I60" s="64">
        <v>1.46</v>
      </c>
      <c r="J60" s="64">
        <v>0.74</v>
      </c>
      <c r="K60" s="64">
        <v>115.61</v>
      </c>
      <c r="L60" s="64">
        <v>24.8</v>
      </c>
      <c r="M60" s="64">
        <v>33.04</v>
      </c>
      <c r="N60" s="64">
        <v>671.3</v>
      </c>
      <c r="O60" s="64">
        <v>0</v>
      </c>
      <c r="P60" s="64">
        <v>0.48</v>
      </c>
      <c r="Q60" s="64">
        <v>3.47</v>
      </c>
      <c r="R60" s="198"/>
      <c r="S60" s="198"/>
      <c r="T60" s="198"/>
      <c r="U60" s="198"/>
    </row>
    <row r="61" spans="1:21" s="12" customFormat="1" x14ac:dyDescent="0.25">
      <c r="A61" s="214" t="s">
        <v>1644</v>
      </c>
      <c r="B61" s="64">
        <v>6.52</v>
      </c>
      <c r="C61" s="64">
        <v>57.3</v>
      </c>
      <c r="D61" s="64">
        <v>37.5</v>
      </c>
      <c r="E61" s="64">
        <v>4.09</v>
      </c>
      <c r="F61" s="64">
        <v>32.619999999999997</v>
      </c>
      <c r="G61" s="64">
        <v>76.98</v>
      </c>
      <c r="H61" s="64">
        <v>22.6</v>
      </c>
      <c r="I61" s="64">
        <v>1.61</v>
      </c>
      <c r="J61" s="64">
        <v>0.32</v>
      </c>
      <c r="K61" s="64">
        <v>17.260000000000002</v>
      </c>
      <c r="L61" s="64">
        <v>25.3</v>
      </c>
      <c r="M61" s="64">
        <v>32.01</v>
      </c>
      <c r="N61" s="64">
        <v>620.1</v>
      </c>
      <c r="O61" s="64">
        <v>0</v>
      </c>
      <c r="P61" s="64">
        <v>0.54</v>
      </c>
      <c r="Q61" s="64">
        <v>3.93</v>
      </c>
      <c r="R61" s="198"/>
      <c r="S61" s="198"/>
      <c r="T61" s="198"/>
      <c r="U61" s="198"/>
    </row>
    <row r="62" spans="1:21" s="12" customFormat="1" x14ac:dyDescent="0.25">
      <c r="A62" s="214" t="s">
        <v>1645</v>
      </c>
      <c r="B62" s="64">
        <v>6.26</v>
      </c>
      <c r="C62" s="64">
        <v>57.18</v>
      </c>
      <c r="D62" s="64">
        <v>37.229999999999997</v>
      </c>
      <c r="E62" s="64">
        <v>3.75</v>
      </c>
      <c r="F62" s="64">
        <v>27.21</v>
      </c>
      <c r="G62" s="64">
        <v>76.98</v>
      </c>
      <c r="H62" s="64">
        <v>22.6</v>
      </c>
      <c r="I62" s="64">
        <v>1.57</v>
      </c>
      <c r="J62" s="64">
        <v>0.46</v>
      </c>
      <c r="K62" s="64">
        <v>102.53</v>
      </c>
      <c r="L62" s="64">
        <v>24.61</v>
      </c>
      <c r="M62" s="64">
        <v>33.799999999999997</v>
      </c>
      <c r="N62" s="64">
        <v>593.5</v>
      </c>
      <c r="O62" s="64">
        <v>0</v>
      </c>
      <c r="P62" s="64">
        <v>0.48</v>
      </c>
      <c r="Q62" s="64">
        <v>3.8</v>
      </c>
      <c r="R62" s="198"/>
      <c r="S62" s="198"/>
      <c r="T62" s="198"/>
      <c r="U62" s="198"/>
    </row>
    <row r="63" spans="1:21" s="12" customFormat="1" x14ac:dyDescent="0.25">
      <c r="A63" s="214" t="s">
        <v>1646</v>
      </c>
      <c r="B63" s="64">
        <v>6.03</v>
      </c>
      <c r="C63" s="64">
        <v>57.09</v>
      </c>
      <c r="D63" s="64">
        <v>36.99</v>
      </c>
      <c r="E63" s="64">
        <v>1.72</v>
      </c>
      <c r="F63" s="64">
        <v>20.7</v>
      </c>
      <c r="G63" s="64">
        <v>74.97</v>
      </c>
      <c r="H63" s="64">
        <v>23.54</v>
      </c>
      <c r="I63" s="64">
        <v>1.55</v>
      </c>
      <c r="J63" s="64">
        <v>0.8</v>
      </c>
      <c r="K63" s="64">
        <v>133.06</v>
      </c>
      <c r="L63" s="64">
        <v>23.93</v>
      </c>
      <c r="M63" s="64">
        <v>33.53</v>
      </c>
      <c r="N63" s="64">
        <v>537.4</v>
      </c>
      <c r="O63" s="64">
        <v>0</v>
      </c>
      <c r="P63" s="64">
        <v>0.45</v>
      </c>
      <c r="Q63" s="64">
        <v>3.69</v>
      </c>
      <c r="R63" s="198"/>
      <c r="S63" s="198"/>
      <c r="T63" s="198"/>
      <c r="U63" s="198"/>
    </row>
    <row r="64" spans="1:21" s="12" customFormat="1" x14ac:dyDescent="0.25">
      <c r="A64" s="214" t="s">
        <v>1647</v>
      </c>
      <c r="B64" s="64">
        <v>5.52</v>
      </c>
      <c r="C64" s="64">
        <v>56.52</v>
      </c>
      <c r="D64" s="64">
        <v>36.26</v>
      </c>
      <c r="E64" s="64">
        <v>1.72</v>
      </c>
      <c r="F64" s="64">
        <v>19.690000000000001</v>
      </c>
      <c r="G64" s="64">
        <v>67.489999999999995</v>
      </c>
      <c r="H64" s="64">
        <v>26.08</v>
      </c>
      <c r="I64" s="64">
        <v>1.48</v>
      </c>
      <c r="J64" s="64">
        <v>1.31</v>
      </c>
      <c r="K64" s="64">
        <v>106.73</v>
      </c>
      <c r="L64" s="64">
        <v>23.22</v>
      </c>
      <c r="M64" s="64">
        <v>34.65</v>
      </c>
      <c r="N64" s="64">
        <v>250</v>
      </c>
      <c r="O64" s="64">
        <v>0</v>
      </c>
      <c r="P64" s="64">
        <v>0.44</v>
      </c>
      <c r="Q64" s="64">
        <v>4.87</v>
      </c>
      <c r="R64" s="198"/>
      <c r="S64" s="198"/>
      <c r="T64" s="198"/>
      <c r="U64" s="198"/>
    </row>
    <row r="65" spans="1:21" s="12" customFormat="1" x14ac:dyDescent="0.25">
      <c r="A65" s="214" t="s">
        <v>1648</v>
      </c>
      <c r="B65" s="64">
        <v>4.9800000000000004</v>
      </c>
      <c r="C65" s="64">
        <v>55.61</v>
      </c>
      <c r="D65" s="64">
        <v>35.33</v>
      </c>
      <c r="E65" s="64">
        <v>2.16</v>
      </c>
      <c r="F65" s="64">
        <v>31.64</v>
      </c>
      <c r="G65" s="64">
        <v>67.489999999999995</v>
      </c>
      <c r="H65" s="64">
        <v>26.08</v>
      </c>
      <c r="I65" s="64">
        <v>1.49</v>
      </c>
      <c r="J65" s="64">
        <v>0.74</v>
      </c>
      <c r="K65" s="64">
        <v>110.49</v>
      </c>
      <c r="L65" s="64">
        <v>23.08</v>
      </c>
      <c r="M65" s="64">
        <v>35.71</v>
      </c>
      <c r="N65" s="64">
        <v>196.1</v>
      </c>
      <c r="O65" s="64">
        <v>0</v>
      </c>
      <c r="P65" s="64">
        <v>0.43</v>
      </c>
      <c r="Q65" s="64">
        <v>5.0599999999999996</v>
      </c>
      <c r="R65" s="198"/>
      <c r="S65" s="198"/>
      <c r="T65" s="198"/>
      <c r="U65" s="198"/>
    </row>
    <row r="66" spans="1:21" s="12" customFormat="1" x14ac:dyDescent="0.25">
      <c r="A66" s="214" t="s">
        <v>1649</v>
      </c>
      <c r="B66" s="64">
        <v>4.62</v>
      </c>
      <c r="C66" s="64">
        <v>54.92</v>
      </c>
      <c r="D66" s="64">
        <v>34.659999999999997</v>
      </c>
      <c r="E66" s="64">
        <v>3.31</v>
      </c>
      <c r="F66" s="64">
        <v>31.96</v>
      </c>
      <c r="G66" s="64">
        <v>67.489999999999995</v>
      </c>
      <c r="H66" s="64">
        <v>26.08</v>
      </c>
      <c r="I66" s="64">
        <v>1.45</v>
      </c>
      <c r="J66" s="64">
        <v>0.28999999999999998</v>
      </c>
      <c r="K66" s="64">
        <v>97.13</v>
      </c>
      <c r="L66" s="64">
        <v>23.86</v>
      </c>
      <c r="M66" s="64">
        <v>34.07</v>
      </c>
      <c r="N66" s="64">
        <v>162.19999999999999</v>
      </c>
      <c r="O66" s="64">
        <v>0</v>
      </c>
      <c r="P66" s="64">
        <v>0.52</v>
      </c>
      <c r="Q66" s="64">
        <v>3.79</v>
      </c>
      <c r="R66" s="198"/>
      <c r="S66" s="198"/>
      <c r="T66" s="198"/>
      <c r="U66" s="198"/>
    </row>
    <row r="67" spans="1:21" s="12" customFormat="1" x14ac:dyDescent="0.25">
      <c r="A67" s="214" t="s">
        <v>1650</v>
      </c>
      <c r="B67" s="64">
        <v>4.4400000000000004</v>
      </c>
      <c r="C67" s="64">
        <v>54.78</v>
      </c>
      <c r="D67" s="64">
        <v>34.44</v>
      </c>
      <c r="E67" s="64">
        <v>1.35</v>
      </c>
      <c r="F67" s="64">
        <v>9.6199999999999992</v>
      </c>
      <c r="G67" s="64">
        <v>66.400000000000006</v>
      </c>
      <c r="H67" s="64">
        <v>24.04</v>
      </c>
      <c r="I67" s="64">
        <v>1.4</v>
      </c>
      <c r="J67" s="64">
        <v>0.93</v>
      </c>
      <c r="K67" s="64">
        <v>110.55</v>
      </c>
      <c r="L67" s="64">
        <v>23.01</v>
      </c>
      <c r="M67" s="64">
        <v>35.270000000000003</v>
      </c>
      <c r="N67" s="64">
        <v>215.8</v>
      </c>
      <c r="O67" s="64">
        <v>0</v>
      </c>
      <c r="P67" s="64">
        <v>0.49</v>
      </c>
      <c r="Q67" s="64">
        <v>4.0599999999999996</v>
      </c>
      <c r="R67" s="198"/>
      <c r="S67" s="198"/>
      <c r="T67" s="198"/>
      <c r="U67" s="198"/>
    </row>
    <row r="68" spans="1:21" s="12" customFormat="1" x14ac:dyDescent="0.25">
      <c r="A68" s="214" t="s">
        <v>1651</v>
      </c>
      <c r="B68" s="64">
        <v>3.89</v>
      </c>
      <c r="C68" s="64">
        <v>54.48</v>
      </c>
      <c r="D68" s="64">
        <v>33.840000000000003</v>
      </c>
      <c r="E68" s="64">
        <v>1.6</v>
      </c>
      <c r="F68" s="64">
        <v>13</v>
      </c>
      <c r="G68" s="64">
        <v>62.36</v>
      </c>
      <c r="H68" s="64">
        <v>18.46</v>
      </c>
      <c r="I68" s="64">
        <v>1.58</v>
      </c>
      <c r="J68" s="64">
        <v>0.36</v>
      </c>
      <c r="K68" s="64">
        <v>108.14</v>
      </c>
      <c r="L68" s="64">
        <v>22.88</v>
      </c>
      <c r="M68" s="64">
        <v>34.51</v>
      </c>
      <c r="N68" s="64">
        <v>145.6</v>
      </c>
      <c r="O68" s="64">
        <v>0</v>
      </c>
      <c r="P68" s="64">
        <v>0.51</v>
      </c>
      <c r="Q68" s="64">
        <v>4.57</v>
      </c>
      <c r="R68" s="198"/>
      <c r="S68" s="198"/>
      <c r="T68" s="198"/>
      <c r="U68" s="198"/>
    </row>
    <row r="69" spans="1:21" s="12" customFormat="1" x14ac:dyDescent="0.25">
      <c r="A69" s="214" t="s">
        <v>1652</v>
      </c>
      <c r="B69" s="64">
        <v>3.68</v>
      </c>
      <c r="C69" s="64">
        <v>54.83</v>
      </c>
      <c r="D69" s="64">
        <v>33.85</v>
      </c>
      <c r="E69" s="64">
        <v>1.1299999999999999</v>
      </c>
      <c r="F69" s="64">
        <v>9.8000000000000007</v>
      </c>
      <c r="G69" s="64">
        <v>62.36</v>
      </c>
      <c r="H69" s="64">
        <v>18.46</v>
      </c>
      <c r="I69" s="64">
        <v>1.5</v>
      </c>
      <c r="J69" s="64">
        <v>0.63</v>
      </c>
      <c r="K69" s="64">
        <v>114.63</v>
      </c>
      <c r="L69" s="64">
        <v>22.78</v>
      </c>
      <c r="M69" s="64">
        <v>34.72</v>
      </c>
      <c r="N69" s="64">
        <v>118.8</v>
      </c>
      <c r="O69" s="64">
        <v>0</v>
      </c>
      <c r="P69" s="64">
        <v>0.5</v>
      </c>
      <c r="Q69" s="64">
        <v>4.49</v>
      </c>
      <c r="R69" s="198"/>
      <c r="S69" s="198"/>
      <c r="T69" s="198"/>
      <c r="U69" s="198"/>
    </row>
    <row r="70" spans="1:21" s="12" customFormat="1" x14ac:dyDescent="0.25">
      <c r="A70" s="214" t="s">
        <v>1653</v>
      </c>
      <c r="B70" s="64">
        <v>3.55</v>
      </c>
      <c r="C70" s="64">
        <v>55.23</v>
      </c>
      <c r="D70" s="64">
        <v>33.979999999999997</v>
      </c>
      <c r="E70" s="64">
        <v>1.06</v>
      </c>
      <c r="F70" s="64">
        <v>10.27</v>
      </c>
      <c r="G70" s="64">
        <v>62.36</v>
      </c>
      <c r="H70" s="64">
        <v>18.46</v>
      </c>
      <c r="I70" s="64">
        <v>1.48</v>
      </c>
      <c r="J70" s="64">
        <v>0.51</v>
      </c>
      <c r="K70" s="64">
        <v>109.24</v>
      </c>
      <c r="L70" s="64">
        <v>22.68</v>
      </c>
      <c r="M70" s="64">
        <v>34.479999999999997</v>
      </c>
      <c r="N70" s="64">
        <v>108.4</v>
      </c>
      <c r="O70" s="64">
        <v>0</v>
      </c>
      <c r="P70" s="64">
        <v>0.49</v>
      </c>
      <c r="Q70" s="64">
        <v>4.49</v>
      </c>
      <c r="R70" s="198"/>
      <c r="S70" s="198"/>
      <c r="T70" s="198"/>
      <c r="U70" s="198"/>
    </row>
    <row r="71" spans="1:21" s="12" customFormat="1" x14ac:dyDescent="0.25">
      <c r="A71" s="214" t="s">
        <v>1654</v>
      </c>
      <c r="B71" s="64">
        <v>3.45</v>
      </c>
      <c r="C71" s="64">
        <v>55.39</v>
      </c>
      <c r="D71" s="64">
        <v>33.99</v>
      </c>
      <c r="E71" s="64">
        <v>1.33</v>
      </c>
      <c r="F71" s="64">
        <v>13.89</v>
      </c>
      <c r="G71" s="64">
        <v>62.64</v>
      </c>
      <c r="H71" s="64">
        <v>21.57</v>
      </c>
      <c r="I71" s="64">
        <v>1.58</v>
      </c>
      <c r="J71" s="64">
        <v>0.15</v>
      </c>
      <c r="K71" s="64">
        <v>78.180000000000007</v>
      </c>
      <c r="L71" s="64">
        <v>22.51</v>
      </c>
      <c r="M71" s="64">
        <v>36.28</v>
      </c>
      <c r="N71" s="64">
        <v>96.5</v>
      </c>
      <c r="O71" s="64">
        <v>0</v>
      </c>
      <c r="P71" s="64">
        <v>0.52</v>
      </c>
      <c r="Q71" s="64">
        <v>4.3499999999999996</v>
      </c>
      <c r="R71" s="198"/>
      <c r="S71" s="198"/>
      <c r="T71" s="198"/>
      <c r="U71" s="198"/>
    </row>
    <row r="72" spans="1:21" s="12" customFormat="1" x14ac:dyDescent="0.25">
      <c r="A72" s="214" t="s">
        <v>1655</v>
      </c>
      <c r="B72" s="64">
        <v>3.62</v>
      </c>
      <c r="C72" s="64">
        <v>56.08</v>
      </c>
      <c r="D72" s="64">
        <v>34.5</v>
      </c>
      <c r="E72" s="64">
        <v>1.1299999999999999</v>
      </c>
      <c r="F72" s="64">
        <v>8.69</v>
      </c>
      <c r="G72" s="64">
        <v>63.8</v>
      </c>
      <c r="H72" s="64">
        <v>30.05</v>
      </c>
      <c r="I72" s="64">
        <v>1.56</v>
      </c>
      <c r="J72" s="64">
        <v>0.13</v>
      </c>
      <c r="K72" s="64">
        <v>37.299999999999997</v>
      </c>
      <c r="L72" s="64">
        <v>22.39</v>
      </c>
      <c r="M72" s="64">
        <v>35.96</v>
      </c>
      <c r="N72" s="64">
        <v>84.9</v>
      </c>
      <c r="O72" s="64">
        <v>0</v>
      </c>
      <c r="P72" s="64">
        <v>0.56000000000000005</v>
      </c>
      <c r="Q72" s="64">
        <v>3.88</v>
      </c>
      <c r="R72" s="198"/>
      <c r="S72" s="198"/>
      <c r="T72" s="198"/>
      <c r="U72" s="198"/>
    </row>
    <row r="73" spans="1:21" s="12" customFormat="1" x14ac:dyDescent="0.25">
      <c r="A73" s="214" t="s">
        <v>1656</v>
      </c>
      <c r="B73" s="64">
        <v>4.24</v>
      </c>
      <c r="C73" s="64">
        <v>57.75</v>
      </c>
      <c r="D73" s="64">
        <v>35.92</v>
      </c>
      <c r="E73" s="64">
        <v>0.96</v>
      </c>
      <c r="F73" s="64">
        <v>5.93</v>
      </c>
      <c r="G73" s="64">
        <v>63.8</v>
      </c>
      <c r="H73" s="64">
        <v>30.05</v>
      </c>
      <c r="I73" s="64">
        <v>1.48</v>
      </c>
      <c r="J73" s="64">
        <v>0.26</v>
      </c>
      <c r="K73" s="64">
        <v>92.54</v>
      </c>
      <c r="L73" s="64">
        <v>22.13</v>
      </c>
      <c r="M73" s="64">
        <v>36.1</v>
      </c>
      <c r="N73" s="64">
        <v>74.099999999999994</v>
      </c>
      <c r="O73" s="64">
        <v>0</v>
      </c>
      <c r="P73" s="64">
        <v>0.55000000000000004</v>
      </c>
      <c r="Q73" s="64">
        <v>3.23</v>
      </c>
      <c r="R73" s="198"/>
      <c r="S73" s="198"/>
      <c r="T73" s="198"/>
      <c r="U73" s="198"/>
    </row>
    <row r="74" spans="1:21" s="12" customFormat="1" x14ac:dyDescent="0.25">
      <c r="A74" s="214" t="s">
        <v>1657</v>
      </c>
      <c r="B74" s="64">
        <v>4.1500000000000004</v>
      </c>
      <c r="C74" s="64">
        <v>58.75</v>
      </c>
      <c r="D74" s="64">
        <v>36.4</v>
      </c>
      <c r="E74" s="64">
        <v>0.86</v>
      </c>
      <c r="F74" s="64">
        <v>7.09</v>
      </c>
      <c r="G74" s="64">
        <v>63.8</v>
      </c>
      <c r="H74" s="64">
        <v>30.05</v>
      </c>
      <c r="I74" s="64">
        <v>1.45</v>
      </c>
      <c r="J74" s="64">
        <v>0.11</v>
      </c>
      <c r="K74" s="64">
        <v>22.14</v>
      </c>
      <c r="L74" s="64">
        <v>21.58</v>
      </c>
      <c r="M74" s="64">
        <v>45.29</v>
      </c>
      <c r="N74" s="64">
        <v>62.5</v>
      </c>
      <c r="O74" s="64">
        <v>0</v>
      </c>
      <c r="P74" s="64">
        <v>0.53</v>
      </c>
      <c r="Q74" s="64">
        <v>4.21</v>
      </c>
      <c r="R74" s="198"/>
      <c r="S74" s="198"/>
      <c r="T74" s="198"/>
      <c r="U74" s="198"/>
    </row>
    <row r="75" spans="1:21" s="12" customFormat="1" x14ac:dyDescent="0.25">
      <c r="A75" s="214" t="s">
        <v>1658</v>
      </c>
      <c r="B75" s="64">
        <v>3.8</v>
      </c>
      <c r="C75" s="64">
        <v>59.01</v>
      </c>
      <c r="D75" s="64">
        <v>36.26</v>
      </c>
      <c r="E75" s="64">
        <v>1.1000000000000001</v>
      </c>
      <c r="F75" s="64">
        <v>13.74</v>
      </c>
      <c r="G75" s="64">
        <v>64.099999999999994</v>
      </c>
      <c r="H75" s="64">
        <v>30.87</v>
      </c>
      <c r="I75" s="64">
        <v>1.52</v>
      </c>
      <c r="J75" s="64">
        <v>0.14000000000000001</v>
      </c>
      <c r="K75" s="64">
        <v>45.83</v>
      </c>
      <c r="L75" s="64">
        <v>21.17</v>
      </c>
      <c r="M75" s="64">
        <v>45.91</v>
      </c>
      <c r="N75" s="64">
        <v>51</v>
      </c>
      <c r="O75" s="64">
        <v>0</v>
      </c>
      <c r="P75" s="64">
        <v>0.48</v>
      </c>
      <c r="Q75" s="64">
        <v>4.4400000000000004</v>
      </c>
      <c r="R75" s="198"/>
      <c r="S75" s="198"/>
      <c r="T75" s="198"/>
      <c r="U75" s="198"/>
    </row>
    <row r="76" spans="1:21" s="12" customFormat="1" x14ac:dyDescent="0.25">
      <c r="A76" s="214" t="s">
        <v>1659</v>
      </c>
      <c r="B76" s="64">
        <v>3.37</v>
      </c>
      <c r="C76" s="64">
        <v>58.45</v>
      </c>
      <c r="D76" s="64">
        <v>35.61</v>
      </c>
      <c r="E76" s="64">
        <v>1.37</v>
      </c>
      <c r="F76" s="64">
        <v>12.87</v>
      </c>
      <c r="G76" s="64">
        <v>65.23</v>
      </c>
      <c r="H76" s="64">
        <v>34.5</v>
      </c>
      <c r="I76" s="64">
        <v>1.51</v>
      </c>
      <c r="J76" s="64">
        <v>0.05</v>
      </c>
      <c r="K76" s="64">
        <v>53.43</v>
      </c>
      <c r="L76" s="64">
        <v>20.84</v>
      </c>
      <c r="M76" s="64">
        <v>40.869999999999997</v>
      </c>
      <c r="N76" s="64">
        <v>40</v>
      </c>
      <c r="O76" s="64">
        <v>0</v>
      </c>
      <c r="P76" s="64">
        <v>0.49</v>
      </c>
      <c r="Q76" s="64">
        <v>4.3</v>
      </c>
      <c r="R76" s="198"/>
      <c r="S76" s="198"/>
      <c r="T76" s="198"/>
      <c r="U76" s="198"/>
    </row>
    <row r="77" spans="1:21" s="12" customFormat="1" x14ac:dyDescent="0.25">
      <c r="A77" s="214" t="s">
        <v>1660</v>
      </c>
      <c r="B77" s="64">
        <v>3.88</v>
      </c>
      <c r="C77" s="64">
        <v>59.06</v>
      </c>
      <c r="D77" s="64">
        <v>36.35</v>
      </c>
      <c r="E77" s="64">
        <v>1</v>
      </c>
      <c r="F77" s="64">
        <v>4.57</v>
      </c>
      <c r="G77" s="64">
        <v>65.23</v>
      </c>
      <c r="H77" s="64">
        <v>34.5</v>
      </c>
      <c r="I77" s="64">
        <v>1.53</v>
      </c>
      <c r="J77" s="64">
        <v>0.09</v>
      </c>
      <c r="K77" s="64">
        <v>317.70999999999998</v>
      </c>
      <c r="L77" s="64">
        <v>20.25</v>
      </c>
      <c r="M77" s="64">
        <v>57.15</v>
      </c>
      <c r="N77" s="64">
        <v>31.7</v>
      </c>
      <c r="O77" s="64">
        <v>0</v>
      </c>
      <c r="P77" s="64">
        <v>0.72</v>
      </c>
      <c r="Q77" s="64">
        <v>2</v>
      </c>
      <c r="R77" s="198"/>
      <c r="S77" s="198"/>
      <c r="T77" s="198"/>
      <c r="U77" s="198"/>
    </row>
    <row r="78" spans="1:21" s="12" customFormat="1" x14ac:dyDescent="0.25">
      <c r="A78" s="214" t="s">
        <v>1661</v>
      </c>
      <c r="B78" s="64">
        <v>8.17</v>
      </c>
      <c r="C78" s="64">
        <v>62.54</v>
      </c>
      <c r="D78" s="64">
        <v>41.71</v>
      </c>
      <c r="E78" s="64">
        <v>0.86</v>
      </c>
      <c r="F78" s="64">
        <v>3.94</v>
      </c>
      <c r="G78" s="64">
        <v>65.23</v>
      </c>
      <c r="H78" s="64">
        <v>34.5</v>
      </c>
      <c r="I78" s="64">
        <v>1.5</v>
      </c>
      <c r="J78" s="64">
        <v>0.12</v>
      </c>
      <c r="K78" s="64">
        <v>333.95</v>
      </c>
      <c r="L78" s="64">
        <v>19.239999999999998</v>
      </c>
      <c r="M78" s="64">
        <v>68.650000000000006</v>
      </c>
      <c r="N78" s="64">
        <v>28</v>
      </c>
      <c r="O78" s="64">
        <v>0</v>
      </c>
      <c r="P78" s="64">
        <v>1.03</v>
      </c>
      <c r="Q78" s="64">
        <v>2.16</v>
      </c>
      <c r="R78" s="198"/>
      <c r="S78" s="198"/>
      <c r="T78" s="198"/>
      <c r="U78" s="198"/>
    </row>
    <row r="79" spans="1:21" s="12" customFormat="1" x14ac:dyDescent="0.25">
      <c r="A79" s="214" t="s">
        <v>1662</v>
      </c>
      <c r="B79" s="64">
        <v>14.03</v>
      </c>
      <c r="C79" s="64">
        <v>65.88</v>
      </c>
      <c r="D79" s="64">
        <v>48.26</v>
      </c>
      <c r="E79" s="64">
        <v>0.9</v>
      </c>
      <c r="F79" s="64">
        <v>3.51</v>
      </c>
      <c r="G79" s="64">
        <v>83.15</v>
      </c>
      <c r="H79" s="64">
        <v>37.380000000000003</v>
      </c>
      <c r="I79" s="64">
        <v>1.44</v>
      </c>
      <c r="J79" s="64">
        <v>0.11</v>
      </c>
      <c r="K79" s="64">
        <v>291.5</v>
      </c>
      <c r="L79" s="64">
        <v>18.57</v>
      </c>
      <c r="M79" s="64">
        <v>70.55</v>
      </c>
      <c r="N79" s="64">
        <v>27</v>
      </c>
      <c r="O79" s="64">
        <v>0</v>
      </c>
      <c r="P79" s="64">
        <v>1.39</v>
      </c>
      <c r="Q79" s="64">
        <v>1.69</v>
      </c>
      <c r="R79" s="198"/>
      <c r="S79" s="198"/>
      <c r="T79" s="198"/>
      <c r="U79" s="198"/>
    </row>
    <row r="80" spans="1:21" s="12" customFormat="1" x14ac:dyDescent="0.25">
      <c r="A80" s="214" t="s">
        <v>1663</v>
      </c>
      <c r="B80" s="64">
        <v>18.45</v>
      </c>
      <c r="C80" s="64">
        <v>68.150000000000006</v>
      </c>
      <c r="D80" s="64">
        <v>53.05</v>
      </c>
      <c r="E80" s="64">
        <v>0.95</v>
      </c>
      <c r="F80" s="64">
        <v>3.56</v>
      </c>
      <c r="G80" s="64">
        <v>150.12</v>
      </c>
      <c r="H80" s="64">
        <v>45.2</v>
      </c>
      <c r="I80" s="64">
        <v>1.52</v>
      </c>
      <c r="J80" s="64">
        <v>0.05</v>
      </c>
      <c r="K80" s="64">
        <v>51.44</v>
      </c>
      <c r="L80" s="64">
        <v>18.54</v>
      </c>
      <c r="M80" s="64">
        <v>64.150000000000006</v>
      </c>
      <c r="N80" s="64">
        <v>26.4</v>
      </c>
      <c r="O80" s="64">
        <v>0</v>
      </c>
      <c r="P80" s="64">
        <v>1.23</v>
      </c>
      <c r="Q80" s="64">
        <v>1.66</v>
      </c>
      <c r="R80" s="198"/>
      <c r="S80" s="198"/>
      <c r="T80" s="198"/>
      <c r="U80" s="198"/>
    </row>
    <row r="81" spans="1:26" s="12" customFormat="1" x14ac:dyDescent="0.25">
      <c r="A81" s="214" t="s">
        <v>1664</v>
      </c>
      <c r="B81" s="64">
        <v>21.63</v>
      </c>
      <c r="C81" s="64">
        <v>70.56</v>
      </c>
      <c r="D81" s="64">
        <v>56.93</v>
      </c>
      <c r="E81" s="64">
        <v>0.99</v>
      </c>
      <c r="F81" s="64">
        <v>3.54</v>
      </c>
      <c r="G81" s="64">
        <v>150.12</v>
      </c>
      <c r="H81" s="64">
        <v>45.2</v>
      </c>
      <c r="I81" s="64">
        <v>1.52</v>
      </c>
      <c r="J81" s="64">
        <v>0.09</v>
      </c>
      <c r="K81" s="64">
        <v>39.979999999999997</v>
      </c>
      <c r="L81" s="64">
        <v>19.03</v>
      </c>
      <c r="M81" s="64">
        <v>59.94</v>
      </c>
      <c r="N81" s="64">
        <v>26.4</v>
      </c>
      <c r="O81" s="64">
        <v>0</v>
      </c>
      <c r="P81" s="64">
        <v>1.57</v>
      </c>
      <c r="Q81" s="64">
        <v>1.49</v>
      </c>
      <c r="R81" s="198"/>
      <c r="S81" s="198"/>
      <c r="T81" s="198"/>
      <c r="U81" s="198"/>
    </row>
    <row r="82" spans="1:26" s="12" customFormat="1" x14ac:dyDescent="0.25">
      <c r="A82" s="214" t="s">
        <v>1665</v>
      </c>
      <c r="B82" s="64">
        <v>25.44</v>
      </c>
      <c r="C82" s="64">
        <v>73.09</v>
      </c>
      <c r="D82" s="64">
        <v>61.38</v>
      </c>
      <c r="E82" s="64">
        <v>1.62</v>
      </c>
      <c r="F82" s="64">
        <v>3.66</v>
      </c>
      <c r="G82" s="64">
        <v>150.12</v>
      </c>
      <c r="H82" s="64">
        <v>45.2</v>
      </c>
      <c r="I82" s="64">
        <v>1.51</v>
      </c>
      <c r="J82" s="64">
        <v>0.09</v>
      </c>
      <c r="K82" s="64">
        <v>54.71</v>
      </c>
      <c r="L82" s="64">
        <v>18.84</v>
      </c>
      <c r="M82" s="64">
        <v>53.03</v>
      </c>
      <c r="N82" s="64">
        <v>26.5</v>
      </c>
      <c r="O82" s="64">
        <v>0</v>
      </c>
      <c r="P82" s="64">
        <v>2.41</v>
      </c>
      <c r="Q82" s="64">
        <v>0.01</v>
      </c>
      <c r="R82" s="198"/>
      <c r="S82" s="198"/>
      <c r="T82" s="198"/>
      <c r="U82" s="198"/>
    </row>
    <row r="83" spans="1:26" s="12" customFormat="1" x14ac:dyDescent="0.25">
      <c r="A83" s="214" t="s">
        <v>1666</v>
      </c>
      <c r="B83" s="64">
        <v>28.82</v>
      </c>
      <c r="C83" s="64">
        <v>73.959999999999994</v>
      </c>
      <c r="D83" s="64">
        <v>64.569999999999993</v>
      </c>
      <c r="E83" s="64">
        <v>1.91</v>
      </c>
      <c r="F83" s="64">
        <v>4.01</v>
      </c>
      <c r="G83" s="64">
        <v>155.41999999999999</v>
      </c>
      <c r="H83" s="64">
        <v>52.38</v>
      </c>
      <c r="I83" s="64">
        <v>1.52</v>
      </c>
      <c r="J83" s="64">
        <v>0.1</v>
      </c>
      <c r="K83" s="64">
        <v>66.11</v>
      </c>
      <c r="L83" s="64">
        <v>18.43</v>
      </c>
      <c r="M83" s="64">
        <v>54.02</v>
      </c>
      <c r="N83" s="64">
        <v>26.7</v>
      </c>
      <c r="O83" s="64">
        <v>0</v>
      </c>
      <c r="P83" s="64">
        <v>2.54</v>
      </c>
      <c r="Q83" s="64">
        <v>0.06</v>
      </c>
      <c r="R83" s="198"/>
      <c r="S83" s="198"/>
      <c r="T83" s="198"/>
      <c r="U83" s="198"/>
    </row>
    <row r="84" spans="1:26" s="12" customFormat="1" x14ac:dyDescent="0.25">
      <c r="A84" s="214" t="s">
        <v>1667</v>
      </c>
      <c r="B84" s="64">
        <v>30.75</v>
      </c>
      <c r="C84" s="64">
        <v>74.400000000000006</v>
      </c>
      <c r="D84" s="64">
        <v>66.36</v>
      </c>
      <c r="E84" s="64">
        <v>2.0499999999999998</v>
      </c>
      <c r="F84" s="64">
        <v>3.87</v>
      </c>
      <c r="G84" s="64">
        <v>176.58</v>
      </c>
      <c r="H84" s="64">
        <v>71.930000000000007</v>
      </c>
      <c r="I84" s="64">
        <v>1.55</v>
      </c>
      <c r="J84" s="64">
        <v>0.17</v>
      </c>
      <c r="K84" s="64">
        <v>80.14</v>
      </c>
      <c r="L84" s="64">
        <v>18.27</v>
      </c>
      <c r="M84" s="64">
        <v>52.9</v>
      </c>
      <c r="N84" s="64">
        <v>26.5</v>
      </c>
      <c r="O84" s="64">
        <v>0</v>
      </c>
      <c r="P84" s="64">
        <v>2.46</v>
      </c>
      <c r="Q84" s="64">
        <v>0.63</v>
      </c>
      <c r="R84" s="198"/>
      <c r="S84" s="198"/>
      <c r="T84" s="198"/>
      <c r="U84" s="198"/>
    </row>
    <row r="85" spans="1:26" s="12" customFormat="1" x14ac:dyDescent="0.25">
      <c r="A85" s="214" t="s">
        <v>1668</v>
      </c>
      <c r="B85" s="64">
        <v>31.71</v>
      </c>
      <c r="C85" s="64">
        <v>75.02</v>
      </c>
      <c r="D85" s="64">
        <v>67.47</v>
      </c>
      <c r="E85" s="64">
        <v>2.16</v>
      </c>
      <c r="F85" s="64">
        <v>4.07</v>
      </c>
      <c r="G85" s="64">
        <v>176.58</v>
      </c>
      <c r="H85" s="64">
        <v>71.930000000000007</v>
      </c>
      <c r="I85" s="64">
        <v>1.49</v>
      </c>
      <c r="J85" s="64">
        <v>0.15</v>
      </c>
      <c r="K85" s="64">
        <v>94.91</v>
      </c>
      <c r="L85" s="64">
        <v>18.309999999999999</v>
      </c>
      <c r="M85" s="64">
        <v>50.63</v>
      </c>
      <c r="N85" s="64">
        <v>26.7</v>
      </c>
      <c r="O85" s="64">
        <v>0</v>
      </c>
      <c r="P85" s="64">
        <v>2.06</v>
      </c>
      <c r="Q85" s="64">
        <v>1.86</v>
      </c>
      <c r="R85" s="198"/>
      <c r="S85" s="198"/>
      <c r="T85" s="198"/>
      <c r="U85" s="198"/>
    </row>
    <row r="86" spans="1:26" s="12" customFormat="1" x14ac:dyDescent="0.25">
      <c r="A86" s="214" t="s">
        <v>1669</v>
      </c>
      <c r="B86" s="64">
        <v>31.5</v>
      </c>
      <c r="C86" s="64">
        <v>75.48</v>
      </c>
      <c r="D86" s="64">
        <v>67.56</v>
      </c>
      <c r="E86" s="64">
        <v>2.06</v>
      </c>
      <c r="F86" s="64">
        <v>4.28</v>
      </c>
      <c r="G86" s="64">
        <v>176.58</v>
      </c>
      <c r="H86" s="64">
        <v>71.930000000000007</v>
      </c>
      <c r="I86" s="64">
        <v>1.5</v>
      </c>
      <c r="J86" s="64">
        <v>0.08</v>
      </c>
      <c r="K86" s="64">
        <v>122.59</v>
      </c>
      <c r="L86" s="64">
        <v>17.829999999999998</v>
      </c>
      <c r="M86" s="64">
        <v>52.28</v>
      </c>
      <c r="N86" s="64">
        <v>27</v>
      </c>
      <c r="O86" s="64">
        <v>0</v>
      </c>
      <c r="P86" s="64">
        <v>2.17</v>
      </c>
      <c r="Q86" s="64">
        <v>3.32</v>
      </c>
      <c r="R86" s="198"/>
      <c r="S86" s="198"/>
      <c r="T86" s="198"/>
      <c r="U86" s="198"/>
    </row>
    <row r="87" spans="1:26" s="12" customFormat="1" x14ac:dyDescent="0.25">
      <c r="A87" s="214" t="s">
        <v>1670</v>
      </c>
      <c r="B87" s="64">
        <v>31.67</v>
      </c>
      <c r="C87" s="64">
        <v>76.349999999999994</v>
      </c>
      <c r="D87" s="64">
        <v>68.180000000000007</v>
      </c>
      <c r="E87" s="64">
        <v>2.09</v>
      </c>
      <c r="F87" s="64">
        <v>4.4400000000000004</v>
      </c>
      <c r="G87" s="64">
        <v>177.66</v>
      </c>
      <c r="H87" s="64">
        <v>72.099999999999994</v>
      </c>
      <c r="I87" s="64">
        <v>1.5</v>
      </c>
      <c r="J87" s="64">
        <v>0.17</v>
      </c>
      <c r="K87" s="64">
        <v>352.11</v>
      </c>
      <c r="L87" s="64">
        <v>17.420000000000002</v>
      </c>
      <c r="M87" s="64">
        <v>60.75</v>
      </c>
      <c r="N87" s="64">
        <v>27.2</v>
      </c>
      <c r="O87" s="64">
        <v>0</v>
      </c>
      <c r="P87" s="64">
        <v>3.14</v>
      </c>
      <c r="Q87" s="64">
        <v>1.46</v>
      </c>
      <c r="R87" s="198"/>
      <c r="S87" s="198"/>
      <c r="T87" s="198"/>
      <c r="U87" s="198"/>
    </row>
    <row r="88" spans="1:26" s="12" customFormat="1" x14ac:dyDescent="0.25">
      <c r="A88" s="214" t="s">
        <v>1671</v>
      </c>
      <c r="B88" s="64">
        <v>36.56</v>
      </c>
      <c r="C88" s="64">
        <v>77.540000000000006</v>
      </c>
      <c r="D88" s="64">
        <v>72.75</v>
      </c>
      <c r="E88" s="64">
        <v>1.26</v>
      </c>
      <c r="F88" s="64">
        <v>4.7</v>
      </c>
      <c r="G88" s="64">
        <v>182</v>
      </c>
      <c r="H88" s="64">
        <v>72.55</v>
      </c>
      <c r="I88" s="64">
        <v>1.49</v>
      </c>
      <c r="J88" s="64">
        <v>0.14000000000000001</v>
      </c>
      <c r="K88" s="64">
        <v>325.3</v>
      </c>
      <c r="L88" s="64">
        <v>16.79</v>
      </c>
      <c r="M88" s="64">
        <v>65.14</v>
      </c>
      <c r="N88" s="64">
        <v>27.1</v>
      </c>
      <c r="O88" s="64">
        <v>0</v>
      </c>
      <c r="P88" s="64">
        <v>4</v>
      </c>
      <c r="Q88" s="64">
        <v>0</v>
      </c>
      <c r="R88" s="198"/>
      <c r="S88" s="198"/>
      <c r="T88" s="198"/>
      <c r="U88" s="198"/>
    </row>
    <row r="89" spans="1:26" s="12" customFormat="1" x14ac:dyDescent="0.25">
      <c r="A89" s="214" t="s">
        <v>1672</v>
      </c>
      <c r="B89" s="64">
        <v>41.1</v>
      </c>
      <c r="C89" s="64">
        <v>78.12</v>
      </c>
      <c r="D89" s="64">
        <v>76.709999999999994</v>
      </c>
      <c r="E89" s="64">
        <v>1.69</v>
      </c>
      <c r="F89" s="64">
        <v>4.01</v>
      </c>
      <c r="G89" s="64">
        <v>182</v>
      </c>
      <c r="H89" s="64">
        <v>72.55</v>
      </c>
      <c r="I89" s="64">
        <v>1.42</v>
      </c>
      <c r="J89" s="64">
        <v>0.13</v>
      </c>
      <c r="K89" s="64">
        <v>268.26</v>
      </c>
      <c r="L89" s="64">
        <v>16.89</v>
      </c>
      <c r="M89" s="64">
        <v>61.62</v>
      </c>
      <c r="N89" s="64">
        <v>26.9</v>
      </c>
      <c r="O89" s="64">
        <v>0</v>
      </c>
      <c r="P89" s="64">
        <v>3.1</v>
      </c>
      <c r="Q89" s="64">
        <v>0.87</v>
      </c>
      <c r="R89" s="198"/>
      <c r="S89" s="198"/>
      <c r="T89" s="198"/>
      <c r="U89" s="198"/>
    </row>
    <row r="90" spans="1:26" s="12" customFormat="1" x14ac:dyDescent="0.25">
      <c r="A90" s="214" t="s">
        <v>1673</v>
      </c>
      <c r="B90" s="64">
        <v>44.18</v>
      </c>
      <c r="C90" s="64">
        <v>78.83</v>
      </c>
      <c r="D90" s="64">
        <v>79.58</v>
      </c>
      <c r="E90" s="64">
        <v>1.72</v>
      </c>
      <c r="F90" s="64">
        <v>4.05</v>
      </c>
      <c r="G90" s="64">
        <v>182</v>
      </c>
      <c r="H90" s="64">
        <v>72.55</v>
      </c>
      <c r="I90" s="64">
        <v>1.55</v>
      </c>
      <c r="J90" s="64">
        <v>0.13</v>
      </c>
      <c r="K90" s="64">
        <v>320.55</v>
      </c>
      <c r="L90" s="64">
        <v>16.59</v>
      </c>
      <c r="M90" s="64">
        <v>67.28</v>
      </c>
      <c r="N90" s="64">
        <v>27.1</v>
      </c>
      <c r="O90" s="64">
        <v>0</v>
      </c>
      <c r="P90" s="64">
        <v>3.15</v>
      </c>
      <c r="Q90" s="64">
        <v>0.24</v>
      </c>
      <c r="R90" s="198"/>
      <c r="S90" s="198"/>
      <c r="T90" s="198"/>
      <c r="U90" s="198"/>
    </row>
    <row r="91" spans="1:26" s="12" customFormat="1" x14ac:dyDescent="0.25">
      <c r="A91" s="214" t="s">
        <v>1674</v>
      </c>
      <c r="B91" s="64">
        <v>48.66</v>
      </c>
      <c r="C91" s="64">
        <v>79.02</v>
      </c>
      <c r="D91" s="64">
        <v>83.28</v>
      </c>
      <c r="E91" s="64">
        <v>1.58</v>
      </c>
      <c r="F91" s="64">
        <v>4.04</v>
      </c>
      <c r="G91" s="64">
        <v>181.86</v>
      </c>
      <c r="H91" s="64">
        <v>75.010000000000005</v>
      </c>
      <c r="I91" s="64">
        <v>1.49</v>
      </c>
      <c r="J91" s="64">
        <v>0.15</v>
      </c>
      <c r="K91" s="64">
        <v>255.41</v>
      </c>
      <c r="L91" s="64">
        <v>16.3</v>
      </c>
      <c r="M91" s="64">
        <v>65.92</v>
      </c>
      <c r="N91" s="64">
        <v>26.9</v>
      </c>
      <c r="O91" s="64">
        <v>0</v>
      </c>
      <c r="P91" s="64">
        <v>3.14</v>
      </c>
      <c r="Q91" s="212" t="s">
        <v>42</v>
      </c>
      <c r="R91" s="198"/>
      <c r="S91" s="198"/>
      <c r="T91" s="198"/>
      <c r="U91" s="198"/>
    </row>
    <row r="92" spans="1:26" s="12" customFormat="1" x14ac:dyDescent="0.25">
      <c r="A92" s="214" t="s">
        <v>1675</v>
      </c>
      <c r="B92" s="64">
        <v>52.1</v>
      </c>
      <c r="C92" s="64">
        <v>78.97</v>
      </c>
      <c r="D92" s="64">
        <v>86.01</v>
      </c>
      <c r="E92" s="64">
        <v>1.53</v>
      </c>
      <c r="F92" s="64">
        <v>3.92</v>
      </c>
      <c r="G92" s="64">
        <v>181.32</v>
      </c>
      <c r="H92" s="64">
        <v>87.09</v>
      </c>
      <c r="I92" s="64">
        <v>1.52</v>
      </c>
      <c r="J92" s="64">
        <v>0.09</v>
      </c>
      <c r="K92" s="64">
        <v>273.41000000000003</v>
      </c>
      <c r="L92" s="64">
        <v>16.239999999999998</v>
      </c>
      <c r="M92" s="64">
        <v>67.59</v>
      </c>
      <c r="N92" s="64">
        <v>27.2</v>
      </c>
      <c r="O92" s="64">
        <v>0</v>
      </c>
      <c r="P92" s="64">
        <v>2.83</v>
      </c>
      <c r="Q92" s="212" t="s">
        <v>42</v>
      </c>
      <c r="R92" s="198"/>
      <c r="S92" s="198"/>
      <c r="T92" s="198"/>
      <c r="U92" s="198"/>
    </row>
    <row r="93" spans="1:26" s="12" customFormat="1" x14ac:dyDescent="0.25">
      <c r="A93" s="214" t="s">
        <v>1676</v>
      </c>
      <c r="B93" s="64">
        <v>56.65</v>
      </c>
      <c r="C93" s="64">
        <v>78.97</v>
      </c>
      <c r="D93" s="64">
        <v>89.66</v>
      </c>
      <c r="E93" s="64">
        <v>1.5</v>
      </c>
      <c r="F93" s="64">
        <v>3.59</v>
      </c>
      <c r="G93" s="64">
        <v>181.32</v>
      </c>
      <c r="H93" s="64">
        <v>87.09</v>
      </c>
      <c r="I93" s="64">
        <v>1.44</v>
      </c>
      <c r="J93" s="64">
        <v>0.15</v>
      </c>
      <c r="K93" s="64">
        <v>293.16000000000003</v>
      </c>
      <c r="L93" s="64">
        <v>15.6</v>
      </c>
      <c r="M93" s="64">
        <v>71.319999999999993</v>
      </c>
      <c r="N93" s="64">
        <v>27.1</v>
      </c>
      <c r="O93" s="64">
        <v>0</v>
      </c>
      <c r="P93" s="64">
        <v>3.5</v>
      </c>
      <c r="Q93" s="212" t="s">
        <v>42</v>
      </c>
      <c r="R93" s="198"/>
      <c r="S93" s="198"/>
      <c r="T93" s="198"/>
      <c r="U93" s="198"/>
    </row>
    <row r="94" spans="1:26" s="12" customFormat="1" x14ac:dyDescent="0.25">
      <c r="A94" s="214" t="s">
        <v>1677</v>
      </c>
      <c r="B94" s="64">
        <v>65.5</v>
      </c>
      <c r="C94" s="64">
        <v>79.55</v>
      </c>
      <c r="D94" s="64">
        <v>97.07</v>
      </c>
      <c r="E94" s="64">
        <v>1.62</v>
      </c>
      <c r="F94" s="64">
        <v>3.88</v>
      </c>
      <c r="G94" s="64">
        <v>181.32</v>
      </c>
      <c r="H94" s="64">
        <v>87.09</v>
      </c>
      <c r="I94" s="64">
        <v>1.5</v>
      </c>
      <c r="J94" s="64">
        <v>0.05</v>
      </c>
      <c r="K94" s="64">
        <v>265.57</v>
      </c>
      <c r="L94" s="64">
        <v>15.29</v>
      </c>
      <c r="M94" s="64">
        <v>70.739999999999995</v>
      </c>
      <c r="N94" s="64">
        <v>27</v>
      </c>
      <c r="O94" s="64">
        <v>0</v>
      </c>
      <c r="P94" s="64">
        <v>3.42</v>
      </c>
      <c r="Q94" s="212" t="s">
        <v>42</v>
      </c>
      <c r="R94" s="198"/>
      <c r="S94" s="198"/>
      <c r="T94" s="198"/>
      <c r="U94" s="198"/>
    </row>
    <row r="95" spans="1:26" s="12" customFormat="1" x14ac:dyDescent="0.25">
      <c r="A95" s="214" t="s">
        <v>1678</v>
      </c>
      <c r="B95" s="64">
        <v>73.42</v>
      </c>
      <c r="C95" s="64">
        <v>79.84</v>
      </c>
      <c r="D95" s="64">
        <v>103.59</v>
      </c>
      <c r="E95" s="64">
        <v>1.41</v>
      </c>
      <c r="F95" s="64">
        <v>3.94</v>
      </c>
      <c r="G95" s="64">
        <v>191.09</v>
      </c>
      <c r="H95" s="64">
        <v>88.2</v>
      </c>
      <c r="I95" s="64">
        <v>1.49</v>
      </c>
      <c r="J95" s="64">
        <v>0.1</v>
      </c>
      <c r="K95" s="64">
        <v>311.74</v>
      </c>
      <c r="L95" s="64">
        <v>15.15</v>
      </c>
      <c r="M95" s="64">
        <v>73.8</v>
      </c>
      <c r="N95" s="64">
        <v>27</v>
      </c>
      <c r="O95" s="64">
        <v>0</v>
      </c>
      <c r="P95" s="64">
        <v>3.15</v>
      </c>
      <c r="Q95" s="64">
        <v>1.1599999999999999</v>
      </c>
      <c r="R95" s="198"/>
      <c r="S95" s="198"/>
      <c r="T95" s="198"/>
      <c r="U95" s="198"/>
    </row>
    <row r="96" spans="1:26" s="12" customFormat="1" x14ac:dyDescent="0.25">
      <c r="A96" s="214" t="s">
        <v>1679</v>
      </c>
      <c r="B96" s="64">
        <v>86.68</v>
      </c>
      <c r="C96" s="64">
        <v>81.540000000000006</v>
      </c>
      <c r="D96" s="64">
        <v>115.16</v>
      </c>
      <c r="E96" s="64">
        <v>1.41</v>
      </c>
      <c r="F96" s="64">
        <v>3.86</v>
      </c>
      <c r="G96" s="64">
        <v>227.6</v>
      </c>
      <c r="H96" s="64">
        <v>91.22</v>
      </c>
      <c r="I96" s="64">
        <v>1.5</v>
      </c>
      <c r="J96" s="64">
        <v>0.12</v>
      </c>
      <c r="K96" s="64">
        <v>318.12</v>
      </c>
      <c r="L96" s="64">
        <v>14.82</v>
      </c>
      <c r="M96" s="64">
        <v>78.459999999999994</v>
      </c>
      <c r="N96" s="64">
        <v>27.2</v>
      </c>
      <c r="O96" s="64">
        <v>0</v>
      </c>
      <c r="P96" s="64">
        <v>3.47</v>
      </c>
      <c r="Q96" s="64">
        <v>1.39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1680</v>
      </c>
      <c r="B97" s="64">
        <v>101.38</v>
      </c>
      <c r="C97" s="64">
        <v>83.24</v>
      </c>
      <c r="D97" s="64">
        <v>127.88</v>
      </c>
      <c r="E97" s="64">
        <v>1.35</v>
      </c>
      <c r="F97" s="64">
        <v>3.53</v>
      </c>
      <c r="G97" s="64">
        <v>227.6</v>
      </c>
      <c r="H97" s="64">
        <v>91.22</v>
      </c>
      <c r="I97" s="64">
        <v>1.48</v>
      </c>
      <c r="J97" s="64">
        <v>0.09</v>
      </c>
      <c r="K97" s="64">
        <v>306.08999999999997</v>
      </c>
      <c r="L97" s="64">
        <v>14.57</v>
      </c>
      <c r="M97" s="64">
        <v>80.94</v>
      </c>
      <c r="N97" s="64">
        <v>27.1</v>
      </c>
      <c r="O97" s="64">
        <v>0</v>
      </c>
      <c r="P97" s="64">
        <v>3.56</v>
      </c>
      <c r="Q97" s="64">
        <v>1.34</v>
      </c>
      <c r="R97" s="198"/>
      <c r="S97" s="198"/>
      <c r="T97" s="198"/>
      <c r="U97" s="198"/>
    </row>
    <row r="98" spans="1:33" s="12" customFormat="1" x14ac:dyDescent="0.25">
      <c r="A98" s="214" t="s">
        <v>1681</v>
      </c>
      <c r="B98" s="64">
        <v>117.48</v>
      </c>
      <c r="C98" s="64">
        <v>84.61</v>
      </c>
      <c r="D98" s="64">
        <v>141.55000000000001</v>
      </c>
      <c r="E98" s="64">
        <v>1.39</v>
      </c>
      <c r="F98" s="64">
        <v>3.91</v>
      </c>
      <c r="G98" s="64">
        <v>227.6</v>
      </c>
      <c r="H98" s="64">
        <v>91.22</v>
      </c>
      <c r="I98" s="64">
        <v>1.48</v>
      </c>
      <c r="J98" s="64">
        <v>0.11</v>
      </c>
      <c r="K98" s="64">
        <v>301.13</v>
      </c>
      <c r="L98" s="64">
        <v>14.27</v>
      </c>
      <c r="M98" s="64">
        <v>82.53</v>
      </c>
      <c r="N98" s="64">
        <v>27</v>
      </c>
      <c r="O98" s="64">
        <v>0</v>
      </c>
      <c r="P98" s="64">
        <v>3.31</v>
      </c>
      <c r="Q98" s="64">
        <v>2.33</v>
      </c>
      <c r="R98" s="198"/>
      <c r="S98" s="198"/>
      <c r="T98" s="198"/>
      <c r="U98" s="198"/>
    </row>
    <row r="99" spans="1:33" s="12" customFormat="1" x14ac:dyDescent="0.25">
      <c r="A99" s="214" t="s">
        <v>1682</v>
      </c>
      <c r="B99" s="64">
        <v>128.29</v>
      </c>
      <c r="C99" s="64">
        <v>85.34</v>
      </c>
      <c r="D99" s="64">
        <v>150.62</v>
      </c>
      <c r="E99" s="64">
        <v>1.34</v>
      </c>
      <c r="F99" s="64">
        <v>3.94</v>
      </c>
      <c r="G99" s="64">
        <v>227.6</v>
      </c>
      <c r="H99" s="64">
        <v>96.03</v>
      </c>
      <c r="I99" s="64">
        <v>1.49</v>
      </c>
      <c r="J99" s="64">
        <v>0.1</v>
      </c>
      <c r="K99" s="64">
        <v>285.38</v>
      </c>
      <c r="L99" s="64">
        <v>14.1</v>
      </c>
      <c r="M99" s="64">
        <v>85.07</v>
      </c>
      <c r="N99" s="64">
        <v>27.1</v>
      </c>
      <c r="O99" s="64">
        <v>0</v>
      </c>
      <c r="P99" s="64">
        <v>3.24</v>
      </c>
      <c r="Q99" s="64">
        <v>0.81</v>
      </c>
      <c r="R99" s="198"/>
      <c r="S99" s="198"/>
      <c r="T99" s="198"/>
      <c r="U99" s="198"/>
    </row>
    <row r="100" spans="1:33" s="12" customFormat="1" x14ac:dyDescent="0.25">
      <c r="A100" s="214" t="s">
        <v>1683</v>
      </c>
      <c r="B100" s="64">
        <v>138</v>
      </c>
      <c r="C100" s="64">
        <v>85.6</v>
      </c>
      <c r="D100" s="64">
        <v>158.55000000000001</v>
      </c>
      <c r="E100" s="64">
        <v>1.22</v>
      </c>
      <c r="F100" s="64">
        <v>3.72</v>
      </c>
      <c r="G100" s="64">
        <v>295.23</v>
      </c>
      <c r="H100" s="64">
        <v>109.15</v>
      </c>
      <c r="I100" s="64">
        <v>1.5</v>
      </c>
      <c r="J100" s="64">
        <v>0.13</v>
      </c>
      <c r="K100" s="64">
        <v>307.01</v>
      </c>
      <c r="L100" s="64">
        <v>13.92</v>
      </c>
      <c r="M100" s="64">
        <v>86.62</v>
      </c>
      <c r="N100" s="64">
        <v>26.9</v>
      </c>
      <c r="O100" s="64">
        <v>0</v>
      </c>
      <c r="P100" s="64">
        <v>2.76</v>
      </c>
      <c r="Q100" s="64">
        <v>2.95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1684</v>
      </c>
      <c r="B101" s="64">
        <v>149.24</v>
      </c>
      <c r="C101" s="64">
        <v>85.1</v>
      </c>
      <c r="D101" s="64">
        <v>167.29</v>
      </c>
      <c r="E101" s="64">
        <v>1.28</v>
      </c>
      <c r="F101" s="64">
        <v>3.64</v>
      </c>
      <c r="G101" s="64">
        <v>295.23</v>
      </c>
      <c r="H101" s="64">
        <v>109.15</v>
      </c>
      <c r="I101" s="64">
        <v>1.5</v>
      </c>
      <c r="J101" s="64">
        <v>0.11</v>
      </c>
      <c r="K101" s="64">
        <v>299.89999999999998</v>
      </c>
      <c r="L101" s="64">
        <v>13.76</v>
      </c>
      <c r="M101" s="64">
        <v>90.51</v>
      </c>
      <c r="N101" s="64">
        <v>27.1</v>
      </c>
      <c r="O101" s="64">
        <v>0</v>
      </c>
      <c r="P101" s="64">
        <v>3.02</v>
      </c>
      <c r="Q101" s="64">
        <v>2.1</v>
      </c>
      <c r="R101" s="198"/>
      <c r="S101" s="198"/>
      <c r="T101" s="198"/>
      <c r="U101" s="198"/>
    </row>
    <row r="102" spans="1:33" s="12" customFormat="1" x14ac:dyDescent="0.25">
      <c r="A102" s="214" t="s">
        <v>1685</v>
      </c>
      <c r="B102" s="64">
        <v>162.19999999999999</v>
      </c>
      <c r="C102" s="64">
        <v>85.39</v>
      </c>
      <c r="D102" s="64">
        <v>177.84</v>
      </c>
      <c r="E102" s="64">
        <v>1.22</v>
      </c>
      <c r="F102" s="64">
        <v>3.34</v>
      </c>
      <c r="G102" s="64">
        <v>295.23</v>
      </c>
      <c r="H102" s="64">
        <v>109.15</v>
      </c>
      <c r="I102" s="64">
        <v>1.44</v>
      </c>
      <c r="J102" s="64">
        <v>0.09</v>
      </c>
      <c r="K102" s="64">
        <v>286.82</v>
      </c>
      <c r="L102" s="64">
        <v>13.55</v>
      </c>
      <c r="M102" s="64">
        <v>90.43</v>
      </c>
      <c r="N102" s="64">
        <v>27.1</v>
      </c>
      <c r="O102" s="64">
        <v>0</v>
      </c>
      <c r="P102" s="64">
        <v>2.95</v>
      </c>
      <c r="Q102" s="64">
        <v>1.51</v>
      </c>
      <c r="R102" s="198"/>
      <c r="S102" s="198"/>
      <c r="T102" s="198"/>
      <c r="U102" s="198"/>
    </row>
    <row r="103" spans="1:33" s="12" customFormat="1" x14ac:dyDescent="0.25">
      <c r="A103" s="214" t="s">
        <v>1686</v>
      </c>
      <c r="B103" s="64">
        <v>170.6</v>
      </c>
      <c r="C103" s="64">
        <v>84.79</v>
      </c>
      <c r="D103" s="64">
        <v>184.25</v>
      </c>
      <c r="E103" s="64">
        <v>1.1200000000000001</v>
      </c>
      <c r="F103" s="64">
        <v>3.63</v>
      </c>
      <c r="G103" s="64">
        <v>287.39999999999998</v>
      </c>
      <c r="H103" s="64">
        <v>105.53</v>
      </c>
      <c r="I103" s="64">
        <v>1.53</v>
      </c>
      <c r="J103" s="64">
        <v>0.17</v>
      </c>
      <c r="K103" s="64">
        <v>313.07</v>
      </c>
      <c r="L103" s="64">
        <v>13.5</v>
      </c>
      <c r="M103" s="64">
        <v>91.33</v>
      </c>
      <c r="N103" s="64">
        <v>27</v>
      </c>
      <c r="O103" s="64">
        <v>0</v>
      </c>
      <c r="P103" s="64">
        <v>2.58</v>
      </c>
      <c r="Q103" s="64">
        <v>9.19</v>
      </c>
      <c r="R103" s="198"/>
      <c r="S103" s="198"/>
      <c r="T103" s="198"/>
      <c r="U103" s="198"/>
    </row>
    <row r="104" spans="1:33" s="12" customFormat="1" x14ac:dyDescent="0.25">
      <c r="A104" s="214" t="s">
        <v>1687</v>
      </c>
      <c r="B104" s="64">
        <v>177.87</v>
      </c>
      <c r="C104" s="64">
        <v>83.86</v>
      </c>
      <c r="D104" s="64">
        <v>189.56</v>
      </c>
      <c r="E104" s="64">
        <v>0.67</v>
      </c>
      <c r="F104" s="64">
        <v>3.41</v>
      </c>
      <c r="G104" s="64">
        <v>258.13</v>
      </c>
      <c r="H104" s="64">
        <v>95.67</v>
      </c>
      <c r="I104" s="64">
        <v>1.54</v>
      </c>
      <c r="J104" s="64">
        <v>0.1</v>
      </c>
      <c r="K104" s="64">
        <v>297.26</v>
      </c>
      <c r="L104" s="64">
        <v>13.31</v>
      </c>
      <c r="M104" s="64">
        <v>91</v>
      </c>
      <c r="N104" s="64">
        <v>27.2</v>
      </c>
      <c r="O104" s="64">
        <v>0</v>
      </c>
      <c r="P104" s="64">
        <v>2.72</v>
      </c>
      <c r="Q104" s="64">
        <v>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3.37</v>
      </c>
      <c r="C106" s="67">
        <f>MIN(C9:C104)</f>
        <v>51.84</v>
      </c>
      <c r="D106" s="67">
        <f t="shared" ref="D106:Q106" si="0">MIN(D9:D104)</f>
        <v>33.840000000000003</v>
      </c>
      <c r="E106" s="67">
        <f t="shared" si="0"/>
        <v>0.59</v>
      </c>
      <c r="F106" s="67">
        <f t="shared" si="0"/>
        <v>3.34</v>
      </c>
      <c r="G106" s="67">
        <f t="shared" si="0"/>
        <v>62.36</v>
      </c>
      <c r="H106" s="67">
        <f t="shared" si="0"/>
        <v>18.46</v>
      </c>
      <c r="I106" s="67">
        <f t="shared" si="0"/>
        <v>1.38</v>
      </c>
      <c r="J106" s="67">
        <f t="shared" si="0"/>
        <v>0.02</v>
      </c>
      <c r="K106" s="67">
        <f t="shared" si="0"/>
        <v>0.6</v>
      </c>
      <c r="L106" s="67">
        <f t="shared" si="0"/>
        <v>12.84</v>
      </c>
      <c r="M106" s="67">
        <f t="shared" si="0"/>
        <v>30.12</v>
      </c>
      <c r="N106" s="67">
        <f t="shared" si="0"/>
        <v>25.6</v>
      </c>
      <c r="O106" s="67">
        <f t="shared" si="0"/>
        <v>0</v>
      </c>
      <c r="P106" s="67">
        <f t="shared" si="0"/>
        <v>0.42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177.87</v>
      </c>
      <c r="C107" s="66">
        <f t="shared" ref="C107:Q107" si="1">MAX(C9:C104)</f>
        <v>85.6</v>
      </c>
      <c r="D107" s="66">
        <f t="shared" si="1"/>
        <v>189.56</v>
      </c>
      <c r="E107" s="66">
        <f t="shared" si="1"/>
        <v>5.16</v>
      </c>
      <c r="F107" s="66">
        <f t="shared" si="1"/>
        <v>39.32</v>
      </c>
      <c r="G107" s="66">
        <f t="shared" si="1"/>
        <v>295.23</v>
      </c>
      <c r="H107" s="66">
        <f t="shared" si="1"/>
        <v>109.15</v>
      </c>
      <c r="I107" s="66">
        <f t="shared" si="1"/>
        <v>1.61</v>
      </c>
      <c r="J107" s="66">
        <f t="shared" si="1"/>
        <v>1.31</v>
      </c>
      <c r="K107" s="66">
        <f t="shared" si="1"/>
        <v>352.11</v>
      </c>
      <c r="L107" s="66">
        <f t="shared" si="1"/>
        <v>27.57</v>
      </c>
      <c r="M107" s="66">
        <f t="shared" si="1"/>
        <v>91.33</v>
      </c>
      <c r="N107" s="66">
        <f t="shared" si="1"/>
        <v>729.5</v>
      </c>
      <c r="O107" s="66">
        <f t="shared" si="1"/>
        <v>0</v>
      </c>
      <c r="P107" s="66">
        <f t="shared" si="1"/>
        <v>4</v>
      </c>
      <c r="Q107" s="66">
        <f t="shared" si="1"/>
        <v>9.19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27.442812499999999</v>
      </c>
      <c r="C108" s="67">
        <f t="shared" ref="C108:Q108" si="2">AVERAGE(C9:C104)</f>
        <v>62.470416666666694</v>
      </c>
      <c r="D108" s="67">
        <f t="shared" si="2"/>
        <v>57.128645833333344</v>
      </c>
      <c r="E108" s="67">
        <f t="shared" si="2"/>
        <v>1.4113541666666665</v>
      </c>
      <c r="F108" s="67">
        <f t="shared" si="2"/>
        <v>9.3503125000000011</v>
      </c>
      <c r="G108" s="67">
        <f t="shared" si="2"/>
        <v>120.98569892473111</v>
      </c>
      <c r="H108" s="67">
        <f t="shared" si="2"/>
        <v>52.24806451612902</v>
      </c>
      <c r="I108" s="67">
        <f t="shared" si="2"/>
        <v>1.5022916666666664</v>
      </c>
      <c r="J108" s="67">
        <f t="shared" si="2"/>
        <v>0.28020833333333334</v>
      </c>
      <c r="K108" s="67">
        <f t="shared" si="2"/>
        <v>168.05229166666655</v>
      </c>
      <c r="L108" s="67">
        <f t="shared" si="2"/>
        <v>17.95645833333333</v>
      </c>
      <c r="M108" s="67">
        <f t="shared" si="2"/>
        <v>60.554999999999986</v>
      </c>
      <c r="N108" s="67">
        <f t="shared" si="2"/>
        <v>181.80625000000001</v>
      </c>
      <c r="O108" s="67">
        <f t="shared" si="2"/>
        <v>0</v>
      </c>
      <c r="P108" s="67">
        <f t="shared" si="2"/>
        <v>1.2022916666666668</v>
      </c>
      <c r="Q108" s="67">
        <f t="shared" si="2"/>
        <v>3.8071739130434801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38.847848079753803</v>
      </c>
      <c r="C109" s="67">
        <f t="shared" ref="C109:Q109" si="3">STDEV(C9:C104)</f>
        <v>10.634482336315211</v>
      </c>
      <c r="D109" s="67">
        <f t="shared" si="3"/>
        <v>36.138272367752677</v>
      </c>
      <c r="E109" s="67">
        <f t="shared" si="3"/>
        <v>0.80210462605594846</v>
      </c>
      <c r="F109" s="67">
        <f t="shared" si="3"/>
        <v>7.8462678292729837</v>
      </c>
      <c r="G109" s="67">
        <f t="shared" si="3"/>
        <v>58.219059302622746</v>
      </c>
      <c r="H109" s="67">
        <f t="shared" si="3"/>
        <v>22.755823633889062</v>
      </c>
      <c r="I109" s="67">
        <f t="shared" si="3"/>
        <v>4.153575927132689E-2</v>
      </c>
      <c r="J109" s="67">
        <f t="shared" si="3"/>
        <v>0.27079990346988364</v>
      </c>
      <c r="K109" s="67">
        <f t="shared" si="3"/>
        <v>112.71000783547115</v>
      </c>
      <c r="L109" s="67">
        <f t="shared" si="3"/>
        <v>4.2911723288794139</v>
      </c>
      <c r="M109" s="67">
        <f t="shared" si="3"/>
        <v>19.775771406871669</v>
      </c>
      <c r="N109" s="67">
        <f t="shared" si="3"/>
        <v>245.37676071170321</v>
      </c>
      <c r="O109" s="67">
        <f t="shared" si="3"/>
        <v>0</v>
      </c>
      <c r="P109" s="67">
        <f t="shared" si="3"/>
        <v>1.0495467484552472</v>
      </c>
      <c r="Q109" s="67">
        <f t="shared" si="3"/>
        <v>1.8496416796364217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1688</v>
      </c>
      <c r="B9" s="64">
        <v>180.66</v>
      </c>
      <c r="C9" s="64">
        <v>83.09</v>
      </c>
      <c r="D9" s="64">
        <v>191.38</v>
      </c>
      <c r="E9" s="64">
        <v>0.85</v>
      </c>
      <c r="F9" s="64">
        <v>3.35</v>
      </c>
      <c r="G9" s="64">
        <v>258.13</v>
      </c>
      <c r="H9" s="64">
        <v>95.67</v>
      </c>
      <c r="I9" s="64">
        <v>1.59</v>
      </c>
      <c r="J9" s="64">
        <v>0.13</v>
      </c>
      <c r="K9" s="64">
        <v>284.72000000000003</v>
      </c>
      <c r="L9" s="64">
        <v>13.28</v>
      </c>
      <c r="M9" s="64">
        <v>89.39</v>
      </c>
      <c r="N9" s="64">
        <v>27</v>
      </c>
      <c r="O9" s="64">
        <v>0</v>
      </c>
      <c r="P9" s="64">
        <v>2.04</v>
      </c>
      <c r="Q9" s="64">
        <v>16.149999999999999</v>
      </c>
      <c r="R9" s="198"/>
      <c r="S9" s="198"/>
      <c r="T9" s="198"/>
      <c r="U9" s="198"/>
    </row>
    <row r="10" spans="1:21" s="12" customFormat="1" x14ac:dyDescent="0.25">
      <c r="A10" s="214" t="s">
        <v>1689</v>
      </c>
      <c r="B10" s="64">
        <v>178.22</v>
      </c>
      <c r="C10" s="64">
        <v>82.02</v>
      </c>
      <c r="D10" s="64">
        <v>188.83</v>
      </c>
      <c r="E10" s="64">
        <v>0.81</v>
      </c>
      <c r="F10" s="64">
        <v>3.7</v>
      </c>
      <c r="G10" s="64">
        <v>258.13</v>
      </c>
      <c r="H10" s="64">
        <v>95.67</v>
      </c>
      <c r="I10" s="64">
        <v>1.53</v>
      </c>
      <c r="J10" s="64">
        <v>0.11</v>
      </c>
      <c r="K10" s="64">
        <v>295.92</v>
      </c>
      <c r="L10" s="64">
        <v>13.21</v>
      </c>
      <c r="M10" s="64">
        <v>90.51</v>
      </c>
      <c r="N10" s="64">
        <v>27.3</v>
      </c>
      <c r="O10" s="64">
        <v>0</v>
      </c>
      <c r="P10" s="64">
        <v>1.95</v>
      </c>
      <c r="Q10" s="64">
        <v>20.89</v>
      </c>
      <c r="R10" s="198"/>
      <c r="S10" s="198"/>
      <c r="T10" s="198"/>
      <c r="U10" s="198"/>
    </row>
    <row r="11" spans="1:21" s="12" customFormat="1" x14ac:dyDescent="0.25">
      <c r="A11" s="214" t="s">
        <v>1690</v>
      </c>
      <c r="B11" s="64">
        <v>175.83</v>
      </c>
      <c r="C11" s="64">
        <v>80.650000000000006</v>
      </c>
      <c r="D11" s="64">
        <v>186.16</v>
      </c>
      <c r="E11" s="64">
        <v>0.78</v>
      </c>
      <c r="F11" s="64">
        <v>3.34</v>
      </c>
      <c r="G11" s="64">
        <v>207.91</v>
      </c>
      <c r="H11" s="64">
        <v>94.44</v>
      </c>
      <c r="I11" s="64">
        <v>1.43</v>
      </c>
      <c r="J11" s="64">
        <v>0.09</v>
      </c>
      <c r="K11" s="64">
        <v>273.29000000000002</v>
      </c>
      <c r="L11" s="64">
        <v>12.93</v>
      </c>
      <c r="M11" s="64">
        <v>90.14</v>
      </c>
      <c r="N11" s="64">
        <v>27.3</v>
      </c>
      <c r="O11" s="64">
        <v>0</v>
      </c>
      <c r="P11" s="64">
        <v>1.77</v>
      </c>
      <c r="Q11" s="64">
        <v>20.66</v>
      </c>
      <c r="R11" s="198"/>
      <c r="S11" s="198"/>
      <c r="T11" s="198"/>
      <c r="U11" s="198"/>
    </row>
    <row r="12" spans="1:21" s="12" customFormat="1" x14ac:dyDescent="0.25">
      <c r="A12" s="214" t="s">
        <v>1691</v>
      </c>
      <c r="B12" s="64">
        <v>172.65</v>
      </c>
      <c r="C12" s="64">
        <v>79.61</v>
      </c>
      <c r="D12" s="64">
        <v>183.03</v>
      </c>
      <c r="E12" s="64">
        <v>0.73</v>
      </c>
      <c r="F12" s="64">
        <v>3.37</v>
      </c>
      <c r="G12" s="64">
        <v>207.91</v>
      </c>
      <c r="H12" s="64">
        <v>88.41</v>
      </c>
      <c r="I12" s="64">
        <v>1.45</v>
      </c>
      <c r="J12" s="64">
        <v>0.17</v>
      </c>
      <c r="K12" s="64">
        <v>323.81</v>
      </c>
      <c r="L12" s="64">
        <v>12.86</v>
      </c>
      <c r="M12" s="64">
        <v>92.74</v>
      </c>
      <c r="N12" s="64">
        <v>26.9</v>
      </c>
      <c r="O12" s="64">
        <v>0</v>
      </c>
      <c r="P12" s="64">
        <v>1.47</v>
      </c>
      <c r="Q12" s="64">
        <v>22.01</v>
      </c>
      <c r="R12" s="198"/>
      <c r="S12" s="198"/>
      <c r="T12" s="198"/>
      <c r="U12" s="198"/>
    </row>
    <row r="13" spans="1:21" s="12" customFormat="1" x14ac:dyDescent="0.25">
      <c r="A13" s="214" t="s">
        <v>1692</v>
      </c>
      <c r="B13" s="64">
        <v>168.32</v>
      </c>
      <c r="C13" s="64">
        <v>77.91</v>
      </c>
      <c r="D13" s="64">
        <v>178.63</v>
      </c>
      <c r="E13" s="64">
        <v>0.78</v>
      </c>
      <c r="F13" s="64">
        <v>3.46</v>
      </c>
      <c r="G13" s="64">
        <v>207.91</v>
      </c>
      <c r="H13" s="64">
        <v>88.41</v>
      </c>
      <c r="I13" s="64">
        <v>1.51</v>
      </c>
      <c r="J13" s="64">
        <v>0.1</v>
      </c>
      <c r="K13" s="64">
        <v>353.95</v>
      </c>
      <c r="L13" s="64">
        <v>13.19</v>
      </c>
      <c r="M13" s="64">
        <v>90.16</v>
      </c>
      <c r="N13" s="64">
        <v>26.1</v>
      </c>
      <c r="O13" s="64">
        <v>0</v>
      </c>
      <c r="P13" s="64">
        <v>1.49</v>
      </c>
      <c r="Q13" s="64">
        <v>23.84</v>
      </c>
      <c r="R13" s="198"/>
      <c r="S13" s="198"/>
      <c r="T13" s="198"/>
      <c r="U13" s="198"/>
    </row>
    <row r="14" spans="1:21" s="12" customFormat="1" x14ac:dyDescent="0.25">
      <c r="A14" s="214" t="s">
        <v>1693</v>
      </c>
      <c r="B14" s="64">
        <v>160.59</v>
      </c>
      <c r="C14" s="64">
        <v>76.33</v>
      </c>
      <c r="D14" s="64">
        <v>171.55</v>
      </c>
      <c r="E14" s="64">
        <v>0.86</v>
      </c>
      <c r="F14" s="64">
        <v>3.35</v>
      </c>
      <c r="G14" s="64">
        <v>207.91</v>
      </c>
      <c r="H14" s="64">
        <v>88.41</v>
      </c>
      <c r="I14" s="64">
        <v>1.45</v>
      </c>
      <c r="J14" s="64">
        <v>0.23</v>
      </c>
      <c r="K14" s="64">
        <v>317.14</v>
      </c>
      <c r="L14" s="64">
        <v>13.32</v>
      </c>
      <c r="M14" s="64">
        <v>85.19</v>
      </c>
      <c r="N14" s="64">
        <v>26.9</v>
      </c>
      <c r="O14" s="64">
        <v>0</v>
      </c>
      <c r="P14" s="64">
        <v>1.42</v>
      </c>
      <c r="Q14" s="64">
        <v>28.98</v>
      </c>
      <c r="R14" s="198"/>
      <c r="S14" s="198"/>
      <c r="T14" s="198"/>
      <c r="U14" s="198"/>
    </row>
    <row r="15" spans="1:21" s="12" customFormat="1" x14ac:dyDescent="0.25">
      <c r="A15" s="214" t="s">
        <v>1694</v>
      </c>
      <c r="B15" s="64">
        <v>150.78</v>
      </c>
      <c r="C15" s="64">
        <v>74.900000000000006</v>
      </c>
      <c r="D15" s="64">
        <v>162.9</v>
      </c>
      <c r="E15" s="64">
        <v>1.0900000000000001</v>
      </c>
      <c r="F15" s="64">
        <v>3.34</v>
      </c>
      <c r="G15" s="64">
        <v>198.53</v>
      </c>
      <c r="H15" s="64">
        <v>86.39</v>
      </c>
      <c r="I15" s="64">
        <v>1.52</v>
      </c>
      <c r="J15" s="64">
        <v>0.23</v>
      </c>
      <c r="K15" s="64">
        <v>325.14</v>
      </c>
      <c r="L15" s="64">
        <v>13.36</v>
      </c>
      <c r="M15" s="64">
        <v>82.35</v>
      </c>
      <c r="N15" s="64">
        <v>26.8</v>
      </c>
      <c r="O15" s="64">
        <v>0</v>
      </c>
      <c r="P15" s="64">
        <v>1.18</v>
      </c>
      <c r="Q15" s="64">
        <v>30.46</v>
      </c>
      <c r="R15" s="198"/>
      <c r="S15" s="198"/>
      <c r="T15" s="198"/>
      <c r="U15" s="198"/>
    </row>
    <row r="16" spans="1:21" s="12" customFormat="1" x14ac:dyDescent="0.25">
      <c r="A16" s="214" t="s">
        <v>1695</v>
      </c>
      <c r="B16" s="64">
        <v>140.61000000000001</v>
      </c>
      <c r="C16" s="64">
        <v>74.13</v>
      </c>
      <c r="D16" s="64">
        <v>154.32</v>
      </c>
      <c r="E16" s="64">
        <v>1.62</v>
      </c>
      <c r="F16" s="64">
        <v>3.69</v>
      </c>
      <c r="G16" s="64">
        <v>160.99</v>
      </c>
      <c r="H16" s="64">
        <v>80.900000000000006</v>
      </c>
      <c r="I16" s="64">
        <v>1.48</v>
      </c>
      <c r="J16" s="64">
        <v>0.5</v>
      </c>
      <c r="K16" s="64">
        <v>344.15</v>
      </c>
      <c r="L16" s="64">
        <v>13.45</v>
      </c>
      <c r="M16" s="64">
        <v>78.69</v>
      </c>
      <c r="N16" s="64">
        <v>26.6</v>
      </c>
      <c r="O16" s="64">
        <v>0</v>
      </c>
      <c r="P16" s="64">
        <v>1.02</v>
      </c>
      <c r="Q16" s="64">
        <v>29.01</v>
      </c>
      <c r="R16" s="198"/>
      <c r="S16" s="198"/>
      <c r="T16" s="198"/>
      <c r="U16" s="198"/>
    </row>
    <row r="17" spans="1:21" s="12" customFormat="1" x14ac:dyDescent="0.25">
      <c r="A17" s="214" t="s">
        <v>1696</v>
      </c>
      <c r="B17" s="64">
        <v>130.84</v>
      </c>
      <c r="C17" s="64">
        <v>73.27</v>
      </c>
      <c r="D17" s="64">
        <v>146.01</v>
      </c>
      <c r="E17" s="64">
        <v>1.55</v>
      </c>
      <c r="F17" s="64">
        <v>4.79</v>
      </c>
      <c r="G17" s="64">
        <v>160.99</v>
      </c>
      <c r="H17" s="64">
        <v>80.900000000000006</v>
      </c>
      <c r="I17" s="64">
        <v>1.49</v>
      </c>
      <c r="J17" s="64">
        <v>0.05</v>
      </c>
      <c r="K17" s="64">
        <v>331.69</v>
      </c>
      <c r="L17" s="64">
        <v>13.53</v>
      </c>
      <c r="M17" s="64">
        <v>74.510000000000005</v>
      </c>
      <c r="N17" s="64">
        <v>27.4</v>
      </c>
      <c r="O17" s="64">
        <v>0</v>
      </c>
      <c r="P17" s="64">
        <v>0.77</v>
      </c>
      <c r="Q17" s="64">
        <v>28.5</v>
      </c>
      <c r="R17" s="198"/>
      <c r="S17" s="198"/>
      <c r="T17" s="198"/>
      <c r="U17" s="198"/>
    </row>
    <row r="18" spans="1:21" s="12" customFormat="1" x14ac:dyDescent="0.25">
      <c r="A18" s="214" t="s">
        <v>1697</v>
      </c>
      <c r="B18" s="64">
        <v>121.09</v>
      </c>
      <c r="C18" s="64">
        <v>72</v>
      </c>
      <c r="D18" s="64">
        <v>137.49</v>
      </c>
      <c r="E18" s="64">
        <v>1.18</v>
      </c>
      <c r="F18" s="64">
        <v>4.6100000000000003</v>
      </c>
      <c r="G18" s="64">
        <v>160.99</v>
      </c>
      <c r="H18" s="64">
        <v>80.900000000000006</v>
      </c>
      <c r="I18" s="64">
        <v>1.49</v>
      </c>
      <c r="J18" s="64">
        <v>7.0000000000000007E-2</v>
      </c>
      <c r="K18" s="64">
        <v>210.22</v>
      </c>
      <c r="L18" s="64">
        <v>13.41</v>
      </c>
      <c r="M18" s="64">
        <v>76.58</v>
      </c>
      <c r="N18" s="64">
        <v>27.5</v>
      </c>
      <c r="O18" s="64">
        <v>0</v>
      </c>
      <c r="P18" s="64">
        <v>0.73</v>
      </c>
      <c r="Q18" s="64">
        <v>27.33</v>
      </c>
      <c r="R18" s="198"/>
      <c r="S18" s="198"/>
      <c r="T18" s="198"/>
      <c r="U18" s="198"/>
    </row>
    <row r="19" spans="1:21" s="12" customFormat="1" x14ac:dyDescent="0.25">
      <c r="A19" s="214" t="s">
        <v>1698</v>
      </c>
      <c r="B19" s="64">
        <v>111.98</v>
      </c>
      <c r="C19" s="64">
        <v>70.790000000000006</v>
      </c>
      <c r="D19" s="64">
        <v>129.51</v>
      </c>
      <c r="E19" s="64">
        <v>1.56</v>
      </c>
      <c r="F19" s="64">
        <v>4.16</v>
      </c>
      <c r="G19" s="64">
        <v>159.69</v>
      </c>
      <c r="H19" s="64">
        <v>81.45</v>
      </c>
      <c r="I19" s="64">
        <v>1.5</v>
      </c>
      <c r="J19" s="64">
        <v>0.06</v>
      </c>
      <c r="K19" s="64">
        <v>199.64</v>
      </c>
      <c r="L19" s="64">
        <v>13.09</v>
      </c>
      <c r="M19" s="64">
        <v>78.44</v>
      </c>
      <c r="N19" s="64">
        <v>27.7</v>
      </c>
      <c r="O19" s="64">
        <v>0</v>
      </c>
      <c r="P19" s="64">
        <v>0.75</v>
      </c>
      <c r="Q19" s="64">
        <v>25.25</v>
      </c>
      <c r="R19" s="198"/>
      <c r="S19" s="198"/>
      <c r="T19" s="198"/>
      <c r="U19" s="198"/>
    </row>
    <row r="20" spans="1:21" s="12" customFormat="1" x14ac:dyDescent="0.25">
      <c r="A20" s="214" t="s">
        <v>1699</v>
      </c>
      <c r="B20" s="64">
        <v>104.1</v>
      </c>
      <c r="C20" s="64">
        <v>69.510000000000005</v>
      </c>
      <c r="D20" s="64">
        <v>122.49</v>
      </c>
      <c r="E20" s="64">
        <v>1.95</v>
      </c>
      <c r="F20" s="64">
        <v>3.92</v>
      </c>
      <c r="G20" s="64">
        <v>154.44999999999999</v>
      </c>
      <c r="H20" s="64">
        <v>82.95</v>
      </c>
      <c r="I20" s="64">
        <v>1.6</v>
      </c>
      <c r="J20" s="64">
        <v>0.13</v>
      </c>
      <c r="K20" s="64">
        <v>6.53</v>
      </c>
      <c r="L20" s="64">
        <v>12.91</v>
      </c>
      <c r="M20" s="64">
        <v>80.45</v>
      </c>
      <c r="N20" s="64">
        <v>27.6</v>
      </c>
      <c r="O20" s="64">
        <v>0</v>
      </c>
      <c r="P20" s="64">
        <v>0.82</v>
      </c>
      <c r="Q20" s="64">
        <v>23.58</v>
      </c>
      <c r="R20" s="198"/>
      <c r="S20" s="198"/>
      <c r="T20" s="198"/>
      <c r="U20" s="198"/>
    </row>
    <row r="21" spans="1:21" s="12" customFormat="1" x14ac:dyDescent="0.25">
      <c r="A21" s="214" t="s">
        <v>1700</v>
      </c>
      <c r="B21" s="64">
        <v>97.09</v>
      </c>
      <c r="C21" s="64">
        <v>68</v>
      </c>
      <c r="D21" s="64">
        <v>116.04</v>
      </c>
      <c r="E21" s="64">
        <v>2.09</v>
      </c>
      <c r="F21" s="64">
        <v>3.97</v>
      </c>
      <c r="G21" s="64">
        <v>154.44999999999999</v>
      </c>
      <c r="H21" s="64">
        <v>82.95</v>
      </c>
      <c r="I21" s="64">
        <v>1.51</v>
      </c>
      <c r="J21" s="64">
        <v>0.06</v>
      </c>
      <c r="K21" s="64">
        <v>102.76</v>
      </c>
      <c r="L21" s="64">
        <v>12.76</v>
      </c>
      <c r="M21" s="64">
        <v>80.5</v>
      </c>
      <c r="N21" s="64">
        <v>27.7</v>
      </c>
      <c r="O21" s="64">
        <v>0</v>
      </c>
      <c r="P21" s="64">
        <v>0.88</v>
      </c>
      <c r="Q21" s="64">
        <v>21.74</v>
      </c>
      <c r="R21" s="198"/>
      <c r="S21" s="198"/>
      <c r="T21" s="198"/>
      <c r="U21" s="198"/>
    </row>
    <row r="22" spans="1:21" s="12" customFormat="1" x14ac:dyDescent="0.25">
      <c r="A22" s="214" t="s">
        <v>1701</v>
      </c>
      <c r="B22" s="64">
        <v>90.43</v>
      </c>
      <c r="C22" s="64">
        <v>66.98</v>
      </c>
      <c r="D22" s="64">
        <v>110.13</v>
      </c>
      <c r="E22" s="64">
        <v>2.48</v>
      </c>
      <c r="F22" s="64">
        <v>3.93</v>
      </c>
      <c r="G22" s="64">
        <v>154.44999999999999</v>
      </c>
      <c r="H22" s="64">
        <v>82.95</v>
      </c>
      <c r="I22" s="64">
        <v>1.45</v>
      </c>
      <c r="J22" s="64">
        <v>0.1</v>
      </c>
      <c r="K22" s="64">
        <v>52.5</v>
      </c>
      <c r="L22" s="64">
        <v>12.59</v>
      </c>
      <c r="M22" s="64">
        <v>81.73</v>
      </c>
      <c r="N22" s="64">
        <v>27.5</v>
      </c>
      <c r="O22" s="64">
        <v>0</v>
      </c>
      <c r="P22" s="64">
        <v>0.97</v>
      </c>
      <c r="Q22" s="64">
        <v>19.71</v>
      </c>
      <c r="R22" s="198"/>
      <c r="S22" s="198"/>
      <c r="T22" s="198"/>
      <c r="U22" s="198"/>
    </row>
    <row r="23" spans="1:21" s="12" customFormat="1" x14ac:dyDescent="0.25">
      <c r="A23" s="214" t="s">
        <v>1702</v>
      </c>
      <c r="B23" s="64">
        <v>84.56</v>
      </c>
      <c r="C23" s="64">
        <v>66.010000000000005</v>
      </c>
      <c r="D23" s="64">
        <v>104.89</v>
      </c>
      <c r="E23" s="64">
        <v>2.5499999999999998</v>
      </c>
      <c r="F23" s="64">
        <v>3.24</v>
      </c>
      <c r="G23" s="64">
        <v>166.36</v>
      </c>
      <c r="H23" s="64">
        <v>86.17</v>
      </c>
      <c r="I23" s="64">
        <v>1.48</v>
      </c>
      <c r="J23" s="64">
        <v>0.13</v>
      </c>
      <c r="K23" s="64">
        <v>42.34</v>
      </c>
      <c r="L23" s="64">
        <v>12.95</v>
      </c>
      <c r="M23" s="64">
        <v>78.42</v>
      </c>
      <c r="N23" s="64">
        <v>26.9</v>
      </c>
      <c r="O23" s="64">
        <v>0</v>
      </c>
      <c r="P23" s="64">
        <v>1.1299999999999999</v>
      </c>
      <c r="Q23" s="64">
        <v>18.27</v>
      </c>
      <c r="R23" s="198"/>
      <c r="S23" s="198"/>
      <c r="T23" s="198"/>
      <c r="U23" s="198"/>
    </row>
    <row r="24" spans="1:21" s="12" customFormat="1" x14ac:dyDescent="0.25">
      <c r="A24" s="214" t="s">
        <v>1703</v>
      </c>
      <c r="B24" s="64">
        <v>79.52</v>
      </c>
      <c r="C24" s="64">
        <v>65.11</v>
      </c>
      <c r="D24" s="64">
        <v>100.35</v>
      </c>
      <c r="E24" s="64">
        <v>1.79</v>
      </c>
      <c r="F24" s="64">
        <v>3.31</v>
      </c>
      <c r="G24" s="64">
        <v>214.01</v>
      </c>
      <c r="H24" s="64">
        <v>94.96</v>
      </c>
      <c r="I24" s="64">
        <v>1.52</v>
      </c>
      <c r="J24" s="64">
        <v>0.4</v>
      </c>
      <c r="K24" s="64">
        <v>113.51</v>
      </c>
      <c r="L24" s="64">
        <v>13.16</v>
      </c>
      <c r="M24" s="64">
        <v>76.31</v>
      </c>
      <c r="N24" s="64">
        <v>26.7</v>
      </c>
      <c r="O24" s="64">
        <v>0</v>
      </c>
      <c r="P24" s="64">
        <v>1.27</v>
      </c>
      <c r="Q24" s="64">
        <v>17.239999999999998</v>
      </c>
      <c r="R24" s="198"/>
      <c r="S24" s="198"/>
      <c r="T24" s="198"/>
      <c r="U24" s="198"/>
    </row>
    <row r="25" spans="1:21" s="12" customFormat="1" x14ac:dyDescent="0.25">
      <c r="A25" s="214" t="s">
        <v>1704</v>
      </c>
      <c r="B25" s="64">
        <v>74.61</v>
      </c>
      <c r="C25" s="64">
        <v>64.010000000000005</v>
      </c>
      <c r="D25" s="64">
        <v>95.81</v>
      </c>
      <c r="E25" s="64">
        <v>2.5499999999999998</v>
      </c>
      <c r="F25" s="64">
        <v>4.05</v>
      </c>
      <c r="G25" s="64">
        <v>214.01</v>
      </c>
      <c r="H25" s="64">
        <v>94.96</v>
      </c>
      <c r="I25" s="64">
        <v>1.52</v>
      </c>
      <c r="J25" s="64">
        <v>0.17</v>
      </c>
      <c r="K25" s="64">
        <v>74.430000000000007</v>
      </c>
      <c r="L25" s="64">
        <v>13.34</v>
      </c>
      <c r="M25" s="64">
        <v>75.77</v>
      </c>
      <c r="N25" s="64">
        <v>27.3</v>
      </c>
      <c r="O25" s="64">
        <v>0</v>
      </c>
      <c r="P25" s="64">
        <v>1.08</v>
      </c>
      <c r="Q25" s="64">
        <v>16.989999999999998</v>
      </c>
      <c r="R25" s="198"/>
      <c r="S25" s="198"/>
      <c r="T25" s="198"/>
      <c r="U25" s="198"/>
    </row>
    <row r="26" spans="1:21" s="12" customFormat="1" x14ac:dyDescent="0.25">
      <c r="A26" s="214" t="s">
        <v>1705</v>
      </c>
      <c r="B26" s="64">
        <v>69.61</v>
      </c>
      <c r="C26" s="64">
        <v>63.13</v>
      </c>
      <c r="D26" s="64">
        <v>91.31</v>
      </c>
      <c r="E26" s="64">
        <v>2.2999999999999998</v>
      </c>
      <c r="F26" s="64">
        <v>4.34</v>
      </c>
      <c r="G26" s="64">
        <v>214.01</v>
      </c>
      <c r="H26" s="64">
        <v>94.96</v>
      </c>
      <c r="I26" s="64">
        <v>1.52</v>
      </c>
      <c r="J26" s="64">
        <v>0.17</v>
      </c>
      <c r="K26" s="64">
        <v>68.37</v>
      </c>
      <c r="L26" s="64">
        <v>13.02</v>
      </c>
      <c r="M26" s="64">
        <v>78.67</v>
      </c>
      <c r="N26" s="64">
        <v>27.7</v>
      </c>
      <c r="O26" s="64">
        <v>0</v>
      </c>
      <c r="P26" s="64">
        <v>1.03</v>
      </c>
      <c r="Q26" s="64">
        <v>16.28</v>
      </c>
      <c r="R26" s="198"/>
      <c r="S26" s="198"/>
      <c r="T26" s="198"/>
      <c r="U26" s="198"/>
    </row>
    <row r="27" spans="1:21" s="12" customFormat="1" x14ac:dyDescent="0.25">
      <c r="A27" s="214" t="s">
        <v>1706</v>
      </c>
      <c r="B27" s="64">
        <v>65.319999999999993</v>
      </c>
      <c r="C27" s="64">
        <v>61.76</v>
      </c>
      <c r="D27" s="64">
        <v>87.11</v>
      </c>
      <c r="E27" s="64">
        <v>1.91</v>
      </c>
      <c r="F27" s="64">
        <v>4</v>
      </c>
      <c r="G27" s="64">
        <v>211.2</v>
      </c>
      <c r="H27" s="64">
        <v>94.74</v>
      </c>
      <c r="I27" s="64">
        <v>1.53</v>
      </c>
      <c r="J27" s="64">
        <v>0.11</v>
      </c>
      <c r="K27" s="64">
        <v>59.14</v>
      </c>
      <c r="L27" s="64">
        <v>12.72</v>
      </c>
      <c r="M27" s="64">
        <v>82.01</v>
      </c>
      <c r="N27" s="64">
        <v>27.5</v>
      </c>
      <c r="O27" s="64">
        <v>0</v>
      </c>
      <c r="P27" s="64">
        <v>1.1000000000000001</v>
      </c>
      <c r="Q27" s="64">
        <v>14.9</v>
      </c>
      <c r="R27" s="198"/>
      <c r="S27" s="198"/>
      <c r="T27" s="198"/>
      <c r="U27" s="198"/>
    </row>
    <row r="28" spans="1:21" s="12" customFormat="1" x14ac:dyDescent="0.25">
      <c r="A28" s="214" t="s">
        <v>1707</v>
      </c>
      <c r="B28" s="64">
        <v>62.04</v>
      </c>
      <c r="C28" s="64">
        <v>60.91</v>
      </c>
      <c r="D28" s="64">
        <v>84.02</v>
      </c>
      <c r="E28" s="64">
        <v>1.78</v>
      </c>
      <c r="F28" s="64">
        <v>4.1399999999999997</v>
      </c>
      <c r="G28" s="64">
        <v>199.95</v>
      </c>
      <c r="H28" s="64">
        <v>93.76</v>
      </c>
      <c r="I28" s="64">
        <v>1.54</v>
      </c>
      <c r="J28" s="64">
        <v>0.12</v>
      </c>
      <c r="K28" s="64">
        <v>50.54</v>
      </c>
      <c r="L28" s="64">
        <v>12.72</v>
      </c>
      <c r="M28" s="64">
        <v>81.400000000000006</v>
      </c>
      <c r="N28" s="64">
        <v>27.5</v>
      </c>
      <c r="O28" s="64">
        <v>0</v>
      </c>
      <c r="P28" s="64">
        <v>0.96</v>
      </c>
      <c r="Q28" s="64">
        <v>14.03</v>
      </c>
      <c r="R28" s="198"/>
      <c r="S28" s="198"/>
      <c r="T28" s="198"/>
      <c r="U28" s="198"/>
    </row>
    <row r="29" spans="1:21" s="12" customFormat="1" x14ac:dyDescent="0.25">
      <c r="A29" s="214" t="s">
        <v>1708</v>
      </c>
      <c r="B29" s="64">
        <v>59.04</v>
      </c>
      <c r="C29" s="64">
        <v>60.36</v>
      </c>
      <c r="D29" s="64">
        <v>81.3</v>
      </c>
      <c r="E29" s="64">
        <v>1.66</v>
      </c>
      <c r="F29" s="64">
        <v>4.04</v>
      </c>
      <c r="G29" s="64">
        <v>199.95</v>
      </c>
      <c r="H29" s="64">
        <v>93.76</v>
      </c>
      <c r="I29" s="64">
        <v>1.55</v>
      </c>
      <c r="J29" s="64">
        <v>0.15</v>
      </c>
      <c r="K29" s="64">
        <v>62.49</v>
      </c>
      <c r="L29" s="64">
        <v>12.65</v>
      </c>
      <c r="M29" s="64">
        <v>80.290000000000006</v>
      </c>
      <c r="N29" s="64">
        <v>27.5</v>
      </c>
      <c r="O29" s="64">
        <v>0</v>
      </c>
      <c r="P29" s="64">
        <v>0.81</v>
      </c>
      <c r="Q29" s="64">
        <v>12.41</v>
      </c>
      <c r="R29" s="198"/>
      <c r="S29" s="198"/>
      <c r="T29" s="198"/>
      <c r="U29" s="198"/>
    </row>
    <row r="30" spans="1:21" s="12" customFormat="1" x14ac:dyDescent="0.25">
      <c r="A30" s="214" t="s">
        <v>1709</v>
      </c>
      <c r="B30" s="64">
        <v>56.25</v>
      </c>
      <c r="C30" s="64">
        <v>60.11</v>
      </c>
      <c r="D30" s="64">
        <v>78.930000000000007</v>
      </c>
      <c r="E30" s="64">
        <v>1.56</v>
      </c>
      <c r="F30" s="64">
        <v>4.0999999999999996</v>
      </c>
      <c r="G30" s="64">
        <v>199.95</v>
      </c>
      <c r="H30" s="64">
        <v>93.76</v>
      </c>
      <c r="I30" s="64">
        <v>1.44</v>
      </c>
      <c r="J30" s="64">
        <v>0.15</v>
      </c>
      <c r="K30" s="64">
        <v>73.55</v>
      </c>
      <c r="L30" s="64">
        <v>12.52</v>
      </c>
      <c r="M30" s="64">
        <v>79.2</v>
      </c>
      <c r="N30" s="64">
        <v>27.6</v>
      </c>
      <c r="O30" s="64">
        <v>0</v>
      </c>
      <c r="P30" s="64">
        <v>0.74</v>
      </c>
      <c r="Q30" s="64">
        <v>11.69</v>
      </c>
      <c r="R30" s="198"/>
      <c r="S30" s="198"/>
      <c r="T30" s="198"/>
      <c r="U30" s="198"/>
    </row>
    <row r="31" spans="1:21" s="12" customFormat="1" x14ac:dyDescent="0.25">
      <c r="A31" s="214" t="s">
        <v>1710</v>
      </c>
      <c r="B31" s="64">
        <v>53.41</v>
      </c>
      <c r="C31" s="64">
        <v>59.62</v>
      </c>
      <c r="D31" s="64">
        <v>76.38</v>
      </c>
      <c r="E31" s="64">
        <v>1.47</v>
      </c>
      <c r="F31" s="64">
        <v>4.32</v>
      </c>
      <c r="G31" s="64">
        <v>182.96</v>
      </c>
      <c r="H31" s="64">
        <v>88.4</v>
      </c>
      <c r="I31" s="64">
        <v>1.51</v>
      </c>
      <c r="J31" s="64">
        <v>0.14000000000000001</v>
      </c>
      <c r="K31" s="64">
        <v>17.260000000000002</v>
      </c>
      <c r="L31" s="64">
        <v>12.33</v>
      </c>
      <c r="M31" s="64">
        <v>79.760000000000005</v>
      </c>
      <c r="N31" s="64">
        <v>27.8</v>
      </c>
      <c r="O31" s="64">
        <v>0</v>
      </c>
      <c r="P31" s="64">
        <v>0.63</v>
      </c>
      <c r="Q31" s="64">
        <v>11.36</v>
      </c>
      <c r="R31" s="198"/>
      <c r="S31" s="198"/>
      <c r="T31" s="198"/>
      <c r="U31" s="198"/>
    </row>
    <row r="32" spans="1:21" s="12" customFormat="1" x14ac:dyDescent="0.25">
      <c r="A32" s="214" t="s">
        <v>1711</v>
      </c>
      <c r="B32" s="64">
        <v>52.16</v>
      </c>
      <c r="C32" s="64">
        <v>60.09</v>
      </c>
      <c r="D32" s="64">
        <v>75.64</v>
      </c>
      <c r="E32" s="64">
        <v>1.52</v>
      </c>
      <c r="F32" s="64">
        <v>4.09</v>
      </c>
      <c r="G32" s="64">
        <v>115.02</v>
      </c>
      <c r="H32" s="64">
        <v>73.81</v>
      </c>
      <c r="I32" s="64">
        <v>1.47</v>
      </c>
      <c r="J32" s="64">
        <v>0.14000000000000001</v>
      </c>
      <c r="K32" s="64">
        <v>64.98</v>
      </c>
      <c r="L32" s="64">
        <v>12.21</v>
      </c>
      <c r="M32" s="64">
        <v>76.88</v>
      </c>
      <c r="N32" s="64">
        <v>27.5</v>
      </c>
      <c r="O32" s="64">
        <v>0</v>
      </c>
      <c r="P32" s="64">
        <v>0.67</v>
      </c>
      <c r="Q32" s="64">
        <v>8.94</v>
      </c>
      <c r="R32" s="198"/>
      <c r="S32" s="198"/>
      <c r="T32" s="198"/>
      <c r="U32" s="198"/>
    </row>
    <row r="33" spans="1:21" s="12" customFormat="1" x14ac:dyDescent="0.25">
      <c r="A33" s="214" t="s">
        <v>1712</v>
      </c>
      <c r="B33" s="64">
        <v>53.71</v>
      </c>
      <c r="C33" s="64">
        <v>60.4</v>
      </c>
      <c r="D33" s="64">
        <v>77.05</v>
      </c>
      <c r="E33" s="64">
        <v>1.52</v>
      </c>
      <c r="F33" s="64">
        <v>3.63</v>
      </c>
      <c r="G33" s="64">
        <v>115.02</v>
      </c>
      <c r="H33" s="64">
        <v>73.81</v>
      </c>
      <c r="I33" s="64">
        <v>1.53</v>
      </c>
      <c r="J33" s="64">
        <v>0.13</v>
      </c>
      <c r="K33" s="64">
        <v>325.48</v>
      </c>
      <c r="L33" s="64">
        <v>12.07</v>
      </c>
      <c r="M33" s="64">
        <v>80.349999999999994</v>
      </c>
      <c r="N33" s="64">
        <v>28.1</v>
      </c>
      <c r="O33" s="64">
        <v>0</v>
      </c>
      <c r="P33" s="64">
        <v>0.89</v>
      </c>
      <c r="Q33" s="64">
        <v>0.51</v>
      </c>
      <c r="R33" s="198"/>
      <c r="S33" s="198"/>
      <c r="T33" s="198"/>
      <c r="U33" s="198"/>
    </row>
    <row r="34" spans="1:21" s="12" customFormat="1" x14ac:dyDescent="0.25">
      <c r="A34" s="214" t="s">
        <v>1713</v>
      </c>
      <c r="B34" s="64">
        <v>57.38</v>
      </c>
      <c r="C34" s="64">
        <v>61.24</v>
      </c>
      <c r="D34" s="64">
        <v>80.45</v>
      </c>
      <c r="E34" s="64">
        <v>1.44</v>
      </c>
      <c r="F34" s="64">
        <v>3.56</v>
      </c>
      <c r="G34" s="64">
        <v>115.02</v>
      </c>
      <c r="H34" s="64">
        <v>73.81</v>
      </c>
      <c r="I34" s="64">
        <v>1.54</v>
      </c>
      <c r="J34" s="64">
        <v>0.11</v>
      </c>
      <c r="K34" s="64">
        <v>304.98</v>
      </c>
      <c r="L34" s="64">
        <v>11.77</v>
      </c>
      <c r="M34" s="64">
        <v>82.38</v>
      </c>
      <c r="N34" s="64">
        <v>31.3</v>
      </c>
      <c r="O34" s="64">
        <v>0</v>
      </c>
      <c r="P34" s="64">
        <v>0.86</v>
      </c>
      <c r="Q34" s="64">
        <v>2.73</v>
      </c>
      <c r="R34" s="198"/>
      <c r="S34" s="198"/>
      <c r="T34" s="198"/>
      <c r="U34" s="198"/>
    </row>
    <row r="35" spans="1:21" s="12" customFormat="1" x14ac:dyDescent="0.25">
      <c r="A35" s="214" t="s">
        <v>1714</v>
      </c>
      <c r="B35" s="64">
        <v>59.56</v>
      </c>
      <c r="C35" s="64">
        <v>61.61</v>
      </c>
      <c r="D35" s="64">
        <v>82.41</v>
      </c>
      <c r="E35" s="64">
        <v>1.35</v>
      </c>
      <c r="F35" s="64">
        <v>3.45</v>
      </c>
      <c r="G35" s="64">
        <v>118.57</v>
      </c>
      <c r="H35" s="64">
        <v>71.180000000000007</v>
      </c>
      <c r="I35" s="64">
        <v>1.54</v>
      </c>
      <c r="J35" s="64">
        <v>0.01</v>
      </c>
      <c r="K35" s="64">
        <v>295.52</v>
      </c>
      <c r="L35" s="64">
        <v>11.71</v>
      </c>
      <c r="M35" s="64">
        <v>83.18</v>
      </c>
      <c r="N35" s="64">
        <v>41.3</v>
      </c>
      <c r="O35" s="64">
        <v>0</v>
      </c>
      <c r="P35" s="64">
        <v>0.92</v>
      </c>
      <c r="Q35" s="64">
        <v>4.71</v>
      </c>
      <c r="R35" s="198"/>
      <c r="S35" s="198"/>
      <c r="T35" s="198"/>
      <c r="U35" s="198"/>
    </row>
    <row r="36" spans="1:21" s="12" customFormat="1" x14ac:dyDescent="0.25">
      <c r="A36" s="214" t="s">
        <v>1715</v>
      </c>
      <c r="B36" s="64">
        <v>60.7</v>
      </c>
      <c r="C36" s="64">
        <v>61.43</v>
      </c>
      <c r="D36" s="64">
        <v>83.22</v>
      </c>
      <c r="E36" s="64">
        <v>1.28</v>
      </c>
      <c r="F36" s="64">
        <v>3.77</v>
      </c>
      <c r="G36" s="64">
        <v>132.78</v>
      </c>
      <c r="H36" s="64">
        <v>64.02</v>
      </c>
      <c r="I36" s="64">
        <v>1.53</v>
      </c>
      <c r="J36" s="64">
        <v>7.0000000000000007E-2</v>
      </c>
      <c r="K36" s="64">
        <v>276.67</v>
      </c>
      <c r="L36" s="64">
        <v>12.06</v>
      </c>
      <c r="M36" s="64">
        <v>77.92</v>
      </c>
      <c r="N36" s="64">
        <v>56.5</v>
      </c>
      <c r="O36" s="64">
        <v>0</v>
      </c>
      <c r="P36" s="64">
        <v>0.82</v>
      </c>
      <c r="Q36" s="64">
        <v>7.24</v>
      </c>
      <c r="R36" s="198"/>
      <c r="S36" s="198"/>
      <c r="T36" s="198"/>
      <c r="U36" s="198"/>
    </row>
    <row r="37" spans="1:21" s="12" customFormat="1" x14ac:dyDescent="0.25">
      <c r="A37" s="214" t="s">
        <v>1716</v>
      </c>
      <c r="B37" s="64">
        <v>61.39</v>
      </c>
      <c r="C37" s="64">
        <v>61.29</v>
      </c>
      <c r="D37" s="64">
        <v>83.7</v>
      </c>
      <c r="E37" s="64">
        <v>1.27</v>
      </c>
      <c r="F37" s="64">
        <v>3.78</v>
      </c>
      <c r="G37" s="64">
        <v>132.78</v>
      </c>
      <c r="H37" s="64">
        <v>64.02</v>
      </c>
      <c r="I37" s="64">
        <v>1.42</v>
      </c>
      <c r="J37" s="64">
        <v>0.13</v>
      </c>
      <c r="K37" s="64">
        <v>300.63</v>
      </c>
      <c r="L37" s="64">
        <v>12.53</v>
      </c>
      <c r="M37" s="64">
        <v>76.12</v>
      </c>
      <c r="N37" s="64">
        <v>73.3</v>
      </c>
      <c r="O37" s="64">
        <v>0</v>
      </c>
      <c r="P37" s="64">
        <v>0.94</v>
      </c>
      <c r="Q37" s="64">
        <v>6.64</v>
      </c>
      <c r="R37" s="198"/>
      <c r="S37" s="198"/>
      <c r="T37" s="198"/>
      <c r="U37" s="198"/>
    </row>
    <row r="38" spans="1:21" s="12" customFormat="1" x14ac:dyDescent="0.25">
      <c r="A38" s="214" t="s">
        <v>1717</v>
      </c>
      <c r="B38" s="64">
        <v>63.22</v>
      </c>
      <c r="C38" s="64">
        <v>61.68</v>
      </c>
      <c r="D38" s="64">
        <v>85.38</v>
      </c>
      <c r="E38" s="64">
        <v>1.33</v>
      </c>
      <c r="F38" s="64">
        <v>3.66</v>
      </c>
      <c r="G38" s="64">
        <v>132.78</v>
      </c>
      <c r="H38" s="64">
        <v>64.02</v>
      </c>
      <c r="I38" s="64">
        <v>1.49</v>
      </c>
      <c r="J38" s="64">
        <v>0.14000000000000001</v>
      </c>
      <c r="K38" s="64">
        <v>336.56</v>
      </c>
      <c r="L38" s="64">
        <v>12.96</v>
      </c>
      <c r="M38" s="64">
        <v>80.08</v>
      </c>
      <c r="N38" s="64">
        <v>94.4</v>
      </c>
      <c r="O38" s="64">
        <v>0</v>
      </c>
      <c r="P38" s="64">
        <v>1.24</v>
      </c>
      <c r="Q38" s="64">
        <v>4.32</v>
      </c>
      <c r="R38" s="198"/>
      <c r="S38" s="198"/>
      <c r="T38" s="198"/>
      <c r="U38" s="198"/>
    </row>
    <row r="39" spans="1:21" s="12" customFormat="1" x14ac:dyDescent="0.25">
      <c r="A39" s="214" t="s">
        <v>1718</v>
      </c>
      <c r="B39" s="64">
        <v>65.739999999999995</v>
      </c>
      <c r="C39" s="64">
        <v>61.83</v>
      </c>
      <c r="D39" s="64">
        <v>87.49</v>
      </c>
      <c r="E39" s="64">
        <v>1.35</v>
      </c>
      <c r="F39" s="64">
        <v>3.51</v>
      </c>
      <c r="G39" s="64">
        <v>136.63999999999999</v>
      </c>
      <c r="H39" s="64">
        <v>64.72</v>
      </c>
      <c r="I39" s="64">
        <v>1.54</v>
      </c>
      <c r="J39" s="64">
        <v>0.1</v>
      </c>
      <c r="K39" s="64">
        <v>15.76</v>
      </c>
      <c r="L39" s="64">
        <v>14.37</v>
      </c>
      <c r="M39" s="64">
        <v>67.900000000000006</v>
      </c>
      <c r="N39" s="64">
        <v>188.1</v>
      </c>
      <c r="O39" s="64">
        <v>0</v>
      </c>
      <c r="P39" s="64">
        <v>1.26</v>
      </c>
      <c r="Q39" s="64">
        <v>4.72</v>
      </c>
      <c r="R39" s="198"/>
      <c r="S39" s="198"/>
      <c r="T39" s="198"/>
      <c r="U39" s="198"/>
    </row>
    <row r="40" spans="1:21" s="12" customFormat="1" x14ac:dyDescent="0.25">
      <c r="A40" s="214" t="s">
        <v>1719</v>
      </c>
      <c r="B40" s="64">
        <v>65.95</v>
      </c>
      <c r="C40" s="64">
        <v>61.89</v>
      </c>
      <c r="D40" s="64">
        <v>87.69</v>
      </c>
      <c r="E40" s="64">
        <v>0.66</v>
      </c>
      <c r="F40" s="64">
        <v>3.89</v>
      </c>
      <c r="G40" s="64">
        <v>152.09</v>
      </c>
      <c r="H40" s="64">
        <v>66.73</v>
      </c>
      <c r="I40" s="64">
        <v>1.5</v>
      </c>
      <c r="J40" s="64">
        <v>0.17</v>
      </c>
      <c r="K40" s="64">
        <v>55.7</v>
      </c>
      <c r="L40" s="64">
        <v>16.38</v>
      </c>
      <c r="M40" s="64">
        <v>56.47</v>
      </c>
      <c r="N40" s="64">
        <v>246.8</v>
      </c>
      <c r="O40" s="64">
        <v>0</v>
      </c>
      <c r="P40" s="64">
        <v>1.04</v>
      </c>
      <c r="Q40" s="64">
        <v>8.26</v>
      </c>
      <c r="R40" s="198"/>
      <c r="S40" s="198"/>
      <c r="T40" s="198"/>
      <c r="U40" s="198"/>
    </row>
    <row r="41" spans="1:21" s="12" customFormat="1" x14ac:dyDescent="0.25">
      <c r="A41" s="214" t="s">
        <v>1720</v>
      </c>
      <c r="B41" s="64">
        <v>65</v>
      </c>
      <c r="C41" s="64">
        <v>62.09</v>
      </c>
      <c r="D41" s="64">
        <v>87.04</v>
      </c>
      <c r="E41" s="64">
        <v>1.44</v>
      </c>
      <c r="F41" s="64">
        <v>4.5599999999999996</v>
      </c>
      <c r="G41" s="64">
        <v>152.09</v>
      </c>
      <c r="H41" s="64">
        <v>66.73</v>
      </c>
      <c r="I41" s="64">
        <v>1.53</v>
      </c>
      <c r="J41" s="64">
        <v>0.46</v>
      </c>
      <c r="K41" s="64">
        <v>357.3</v>
      </c>
      <c r="L41" s="64">
        <v>18.850000000000001</v>
      </c>
      <c r="M41" s="64">
        <v>47.64</v>
      </c>
      <c r="N41" s="64">
        <v>298.39999999999998</v>
      </c>
      <c r="O41" s="64">
        <v>0</v>
      </c>
      <c r="P41" s="64">
        <v>0.93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4" t="s">
        <v>1721</v>
      </c>
      <c r="B42" s="64">
        <v>62.94</v>
      </c>
      <c r="C42" s="64">
        <v>62.62</v>
      </c>
      <c r="D42" s="64">
        <v>85.68</v>
      </c>
      <c r="E42" s="64">
        <v>1.35</v>
      </c>
      <c r="F42" s="64">
        <v>5.03</v>
      </c>
      <c r="G42" s="64">
        <v>152.09</v>
      </c>
      <c r="H42" s="64">
        <v>66.73</v>
      </c>
      <c r="I42" s="64">
        <v>1.47</v>
      </c>
      <c r="J42" s="64">
        <v>0.19</v>
      </c>
      <c r="K42" s="64">
        <v>94.53</v>
      </c>
      <c r="L42" s="64">
        <v>18.68</v>
      </c>
      <c r="M42" s="64">
        <v>48.44</v>
      </c>
      <c r="N42" s="64">
        <v>349.1</v>
      </c>
      <c r="O42" s="64">
        <v>0</v>
      </c>
      <c r="P42" s="64">
        <v>0.84</v>
      </c>
      <c r="Q42" s="64">
        <v>11.35</v>
      </c>
      <c r="R42" s="198"/>
      <c r="S42" s="198"/>
      <c r="T42" s="198"/>
      <c r="U42" s="198"/>
    </row>
    <row r="43" spans="1:21" s="12" customFormat="1" x14ac:dyDescent="0.25">
      <c r="A43" s="214" t="s">
        <v>1722</v>
      </c>
      <c r="B43" s="64">
        <v>59.96</v>
      </c>
      <c r="C43" s="64">
        <v>63.05</v>
      </c>
      <c r="D43" s="64">
        <v>83.52</v>
      </c>
      <c r="E43" s="64">
        <v>1.1399999999999999</v>
      </c>
      <c r="F43" s="64">
        <v>4.4000000000000004</v>
      </c>
      <c r="G43" s="64">
        <v>145.47999999999999</v>
      </c>
      <c r="H43" s="64">
        <v>63.62</v>
      </c>
      <c r="I43" s="64">
        <v>1.51</v>
      </c>
      <c r="J43" s="64">
        <v>0.63</v>
      </c>
      <c r="K43" s="64">
        <v>114.81</v>
      </c>
      <c r="L43" s="64">
        <v>18.55</v>
      </c>
      <c r="M43" s="64">
        <v>48.72</v>
      </c>
      <c r="N43" s="64">
        <v>393.9</v>
      </c>
      <c r="O43" s="64">
        <v>0</v>
      </c>
      <c r="P43" s="64">
        <v>0.86</v>
      </c>
      <c r="Q43" s="64">
        <v>11.65</v>
      </c>
      <c r="R43" s="198"/>
      <c r="S43" s="198"/>
      <c r="T43" s="198"/>
      <c r="U43" s="198"/>
    </row>
    <row r="44" spans="1:21" s="12" customFormat="1" x14ac:dyDescent="0.25">
      <c r="A44" s="214" t="s">
        <v>1723</v>
      </c>
      <c r="B44" s="64">
        <v>57.58</v>
      </c>
      <c r="C44" s="64">
        <v>63.1</v>
      </c>
      <c r="D44" s="64">
        <v>81.650000000000006</v>
      </c>
      <c r="E44" s="64">
        <v>1.41</v>
      </c>
      <c r="F44" s="64">
        <v>5.19</v>
      </c>
      <c r="G44" s="64">
        <v>119.03</v>
      </c>
      <c r="H44" s="64">
        <v>49.78</v>
      </c>
      <c r="I44" s="64">
        <v>1.49</v>
      </c>
      <c r="J44" s="64">
        <v>0.36</v>
      </c>
      <c r="K44" s="64">
        <v>109.06</v>
      </c>
      <c r="L44" s="64">
        <v>19.690000000000001</v>
      </c>
      <c r="M44" s="64">
        <v>44.67</v>
      </c>
      <c r="N44" s="64">
        <v>434.6</v>
      </c>
      <c r="O44" s="64">
        <v>0</v>
      </c>
      <c r="P44" s="64">
        <v>0.89</v>
      </c>
      <c r="Q44" s="64">
        <v>8.36</v>
      </c>
      <c r="R44" s="198"/>
      <c r="S44" s="198"/>
      <c r="T44" s="198"/>
      <c r="U44" s="198"/>
    </row>
    <row r="45" spans="1:21" s="12" customFormat="1" x14ac:dyDescent="0.25">
      <c r="A45" s="214" t="s">
        <v>1724</v>
      </c>
      <c r="B45" s="64">
        <v>54.9</v>
      </c>
      <c r="C45" s="64">
        <v>63.55</v>
      </c>
      <c r="D45" s="64">
        <v>79.75</v>
      </c>
      <c r="E45" s="64">
        <v>1.23</v>
      </c>
      <c r="F45" s="64">
        <v>8.2899999999999991</v>
      </c>
      <c r="G45" s="64">
        <v>119.03</v>
      </c>
      <c r="H45" s="64">
        <v>49.78</v>
      </c>
      <c r="I45" s="64">
        <v>1.51</v>
      </c>
      <c r="J45" s="64">
        <v>1.17</v>
      </c>
      <c r="K45" s="64">
        <v>114.99</v>
      </c>
      <c r="L45" s="64">
        <v>18.829999999999998</v>
      </c>
      <c r="M45" s="64">
        <v>44.69</v>
      </c>
      <c r="N45" s="64">
        <v>484.7</v>
      </c>
      <c r="O45" s="64">
        <v>0</v>
      </c>
      <c r="P45" s="64">
        <v>0.65</v>
      </c>
      <c r="Q45" s="64">
        <v>10.95</v>
      </c>
      <c r="R45" s="198"/>
      <c r="S45" s="198"/>
      <c r="T45" s="198"/>
      <c r="U45" s="198"/>
    </row>
    <row r="46" spans="1:21" s="12" customFormat="1" x14ac:dyDescent="0.25">
      <c r="A46" s="214" t="s">
        <v>1725</v>
      </c>
      <c r="B46" s="64">
        <v>51.57</v>
      </c>
      <c r="C46" s="64">
        <v>63.44</v>
      </c>
      <c r="D46" s="64">
        <v>77.010000000000005</v>
      </c>
      <c r="E46" s="64">
        <v>1.47</v>
      </c>
      <c r="F46" s="64">
        <v>12.71</v>
      </c>
      <c r="G46" s="64">
        <v>119.03</v>
      </c>
      <c r="H46" s="64">
        <v>49.78</v>
      </c>
      <c r="I46" s="64">
        <v>1.48</v>
      </c>
      <c r="J46" s="64">
        <v>0.28000000000000003</v>
      </c>
      <c r="K46" s="64">
        <v>71.27</v>
      </c>
      <c r="L46" s="64">
        <v>20.23</v>
      </c>
      <c r="M46" s="64">
        <v>40.4</v>
      </c>
      <c r="N46" s="64">
        <v>517.9</v>
      </c>
      <c r="O46" s="64">
        <v>0</v>
      </c>
      <c r="P46" s="64">
        <v>0.55000000000000004</v>
      </c>
      <c r="Q46" s="64">
        <v>12.3</v>
      </c>
      <c r="R46" s="198"/>
      <c r="S46" s="198"/>
      <c r="T46" s="198"/>
      <c r="U46" s="198"/>
    </row>
    <row r="47" spans="1:21" s="12" customFormat="1" x14ac:dyDescent="0.25">
      <c r="A47" s="214" t="s">
        <v>1726</v>
      </c>
      <c r="B47" s="64">
        <v>48.42</v>
      </c>
      <c r="C47" s="64">
        <v>63.45</v>
      </c>
      <c r="D47" s="64">
        <v>74.489999999999995</v>
      </c>
      <c r="E47" s="64">
        <v>1.56</v>
      </c>
      <c r="F47" s="64">
        <v>10.24</v>
      </c>
      <c r="G47" s="64">
        <v>111.91</v>
      </c>
      <c r="H47" s="64">
        <v>47.11</v>
      </c>
      <c r="I47" s="64">
        <v>1.45</v>
      </c>
      <c r="J47" s="64">
        <v>0.97</v>
      </c>
      <c r="K47" s="64">
        <v>117.92</v>
      </c>
      <c r="L47" s="64">
        <v>20.5</v>
      </c>
      <c r="M47" s="64">
        <v>40.35</v>
      </c>
      <c r="N47" s="64">
        <v>556.5</v>
      </c>
      <c r="O47" s="64">
        <v>0</v>
      </c>
      <c r="P47" s="64">
        <v>0.62</v>
      </c>
      <c r="Q47" s="64">
        <v>10.65</v>
      </c>
      <c r="R47" s="198"/>
      <c r="S47" s="198"/>
      <c r="T47" s="198"/>
      <c r="U47" s="198"/>
    </row>
    <row r="48" spans="1:21" s="12" customFormat="1" x14ac:dyDescent="0.25">
      <c r="A48" s="214" t="s">
        <v>1727</v>
      </c>
      <c r="B48" s="64">
        <v>45.47</v>
      </c>
      <c r="C48" s="64">
        <v>63.52</v>
      </c>
      <c r="D48" s="64">
        <v>72.17</v>
      </c>
      <c r="E48" s="64">
        <v>1.86</v>
      </c>
      <c r="F48" s="64">
        <v>10.97</v>
      </c>
      <c r="G48" s="64">
        <v>85.28</v>
      </c>
      <c r="H48" s="64">
        <v>39.83</v>
      </c>
      <c r="I48" s="64">
        <v>1.48</v>
      </c>
      <c r="J48" s="64">
        <v>0.31</v>
      </c>
      <c r="K48" s="64">
        <v>83.25</v>
      </c>
      <c r="L48" s="64">
        <v>21.42</v>
      </c>
      <c r="M48" s="64">
        <v>39.22</v>
      </c>
      <c r="N48" s="64">
        <v>575.70000000000005</v>
      </c>
      <c r="O48" s="64">
        <v>0</v>
      </c>
      <c r="P48" s="64">
        <v>0.72</v>
      </c>
      <c r="Q48" s="64">
        <v>10.06</v>
      </c>
      <c r="R48" s="198"/>
      <c r="S48" s="198"/>
      <c r="T48" s="198"/>
      <c r="U48" s="198"/>
    </row>
    <row r="49" spans="1:21" s="12" customFormat="1" x14ac:dyDescent="0.25">
      <c r="A49" s="214" t="s">
        <v>1728</v>
      </c>
      <c r="B49" s="64">
        <v>42.67</v>
      </c>
      <c r="C49" s="64">
        <v>64.150000000000006</v>
      </c>
      <c r="D49" s="64">
        <v>70.27</v>
      </c>
      <c r="E49" s="64">
        <v>2.06</v>
      </c>
      <c r="F49" s="64">
        <v>12.28</v>
      </c>
      <c r="G49" s="64">
        <v>85.28</v>
      </c>
      <c r="H49" s="64">
        <v>39.83</v>
      </c>
      <c r="I49" s="64">
        <v>1.51</v>
      </c>
      <c r="J49" s="64">
        <v>0.14000000000000001</v>
      </c>
      <c r="K49" s="64">
        <v>33.93</v>
      </c>
      <c r="L49" s="64">
        <v>22.32</v>
      </c>
      <c r="M49" s="64">
        <v>38.42</v>
      </c>
      <c r="N49" s="64">
        <v>606.70000000000005</v>
      </c>
      <c r="O49" s="64">
        <v>0</v>
      </c>
      <c r="P49" s="64">
        <v>0.78</v>
      </c>
      <c r="Q49" s="64">
        <v>9.1</v>
      </c>
      <c r="R49" s="198"/>
      <c r="S49" s="198"/>
      <c r="T49" s="198"/>
      <c r="U49" s="198"/>
    </row>
    <row r="50" spans="1:21" s="12" customFormat="1" x14ac:dyDescent="0.25">
      <c r="A50" s="214" t="s">
        <v>1729</v>
      </c>
      <c r="B50" s="211" t="s">
        <v>40</v>
      </c>
      <c r="C50" s="211" t="s">
        <v>40</v>
      </c>
      <c r="D50" s="211" t="s">
        <v>40</v>
      </c>
      <c r="E50" s="64">
        <v>2.12</v>
      </c>
      <c r="F50" s="64">
        <v>12.58</v>
      </c>
      <c r="G50" s="211" t="s">
        <v>40</v>
      </c>
      <c r="H50" s="211" t="s">
        <v>40</v>
      </c>
      <c r="I50" s="64">
        <v>1.47</v>
      </c>
      <c r="J50" s="64">
        <v>0.62</v>
      </c>
      <c r="K50" s="64">
        <v>116.2</v>
      </c>
      <c r="L50" s="64">
        <v>22.23</v>
      </c>
      <c r="M50" s="64">
        <v>36.549999999999997</v>
      </c>
      <c r="N50" s="64">
        <v>642.70000000000005</v>
      </c>
      <c r="O50" s="64">
        <v>0</v>
      </c>
      <c r="P50" s="64">
        <v>0.75</v>
      </c>
      <c r="Q50" s="64">
        <v>8.42</v>
      </c>
      <c r="R50" s="198"/>
      <c r="S50" s="198"/>
      <c r="T50" s="198"/>
      <c r="U50" s="198"/>
    </row>
    <row r="51" spans="1:21" s="12" customFormat="1" x14ac:dyDescent="0.25">
      <c r="A51" s="214" t="s">
        <v>1730</v>
      </c>
      <c r="B51" s="211" t="s">
        <v>40</v>
      </c>
      <c r="C51" s="211" t="s">
        <v>40</v>
      </c>
      <c r="D51" s="211" t="s">
        <v>40</v>
      </c>
      <c r="E51" s="64">
        <v>1.87</v>
      </c>
      <c r="F51" s="64">
        <v>13.64</v>
      </c>
      <c r="G51" s="211" t="s">
        <v>40</v>
      </c>
      <c r="H51" s="211" t="s">
        <v>40</v>
      </c>
      <c r="I51" s="64">
        <v>1.49</v>
      </c>
      <c r="J51" s="64">
        <v>0.89</v>
      </c>
      <c r="K51" s="64">
        <v>103.95</v>
      </c>
      <c r="L51" s="64">
        <v>21.69</v>
      </c>
      <c r="M51" s="64">
        <v>36.72</v>
      </c>
      <c r="N51" s="64">
        <v>654</v>
      </c>
      <c r="O51" s="64">
        <v>0</v>
      </c>
      <c r="P51" s="64">
        <v>0.56000000000000005</v>
      </c>
      <c r="Q51" s="64">
        <v>9.3000000000000007</v>
      </c>
      <c r="R51" s="198"/>
      <c r="S51" s="198"/>
      <c r="T51" s="198"/>
      <c r="U51" s="198"/>
    </row>
    <row r="52" spans="1:21" s="12" customFormat="1" x14ac:dyDescent="0.25">
      <c r="A52" s="214" t="s">
        <v>1731</v>
      </c>
      <c r="B52" s="211" t="s">
        <v>40</v>
      </c>
      <c r="C52" s="211" t="s">
        <v>40</v>
      </c>
      <c r="D52" s="211" t="s">
        <v>40</v>
      </c>
      <c r="E52" s="64">
        <v>1.79</v>
      </c>
      <c r="F52" s="64">
        <v>13.38</v>
      </c>
      <c r="G52" s="211" t="s">
        <v>40</v>
      </c>
      <c r="H52" s="211" t="s">
        <v>40</v>
      </c>
      <c r="I52" s="64">
        <v>1.5</v>
      </c>
      <c r="J52" s="64">
        <v>0.87</v>
      </c>
      <c r="K52" s="64">
        <v>117.24</v>
      </c>
      <c r="L52" s="64">
        <v>22.04</v>
      </c>
      <c r="M52" s="64">
        <v>36.5</v>
      </c>
      <c r="N52" s="64">
        <v>679.6</v>
      </c>
      <c r="O52" s="64">
        <v>0</v>
      </c>
      <c r="P52" s="64">
        <v>0.52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4" t="s">
        <v>1732</v>
      </c>
      <c r="B53" s="64">
        <v>31.56</v>
      </c>
      <c r="C53" s="64">
        <v>64.739999999999995</v>
      </c>
      <c r="D53" s="64">
        <v>61.68</v>
      </c>
      <c r="E53" s="64">
        <v>2.27</v>
      </c>
      <c r="F53" s="64">
        <v>18.399999999999999</v>
      </c>
      <c r="G53" s="211" t="s">
        <v>40</v>
      </c>
      <c r="H53" s="211" t="s">
        <v>40</v>
      </c>
      <c r="I53" s="64">
        <v>1.47</v>
      </c>
      <c r="J53" s="64">
        <v>0.63</v>
      </c>
      <c r="K53" s="64">
        <v>98.19</v>
      </c>
      <c r="L53" s="64">
        <v>22.68</v>
      </c>
      <c r="M53" s="64">
        <v>34.86</v>
      </c>
      <c r="N53" s="64">
        <v>690.8</v>
      </c>
      <c r="O53" s="64">
        <v>0</v>
      </c>
      <c r="P53" s="64">
        <v>0.57999999999999996</v>
      </c>
      <c r="Q53" s="64">
        <v>8.73</v>
      </c>
      <c r="R53" s="198"/>
      <c r="S53" s="198"/>
      <c r="T53" s="198"/>
      <c r="U53" s="198"/>
    </row>
    <row r="54" spans="1:21" s="12" customFormat="1" x14ac:dyDescent="0.25">
      <c r="A54" s="214" t="s">
        <v>1733</v>
      </c>
      <c r="B54" s="64">
        <v>19.760000000000002</v>
      </c>
      <c r="C54" s="64">
        <v>65.3</v>
      </c>
      <c r="D54" s="64">
        <v>52.53</v>
      </c>
      <c r="E54" s="64">
        <v>2.71</v>
      </c>
      <c r="F54" s="64">
        <v>27.01</v>
      </c>
      <c r="G54" s="64">
        <v>93.88</v>
      </c>
      <c r="H54" s="64">
        <v>39.58</v>
      </c>
      <c r="I54" s="64">
        <v>1.47</v>
      </c>
      <c r="J54" s="64">
        <v>0.56000000000000005</v>
      </c>
      <c r="K54" s="64">
        <v>109.93</v>
      </c>
      <c r="L54" s="64">
        <v>23.46</v>
      </c>
      <c r="M54" s="64">
        <v>32.119999999999997</v>
      </c>
      <c r="N54" s="64">
        <v>729.2</v>
      </c>
      <c r="O54" s="64">
        <v>0</v>
      </c>
      <c r="P54" s="64">
        <v>0.44</v>
      </c>
      <c r="Q54" s="64">
        <v>8.24</v>
      </c>
      <c r="R54" s="198"/>
      <c r="S54" s="198"/>
      <c r="T54" s="198"/>
      <c r="U54" s="198"/>
    </row>
    <row r="55" spans="1:21" s="12" customFormat="1" x14ac:dyDescent="0.25">
      <c r="A55" s="214" t="s">
        <v>1734</v>
      </c>
      <c r="B55" s="64">
        <v>2.27</v>
      </c>
      <c r="C55" s="64">
        <v>48.69</v>
      </c>
      <c r="D55" s="64">
        <v>29.34</v>
      </c>
      <c r="E55" s="64">
        <v>1.73</v>
      </c>
      <c r="F55" s="64">
        <v>27.79</v>
      </c>
      <c r="G55" s="64">
        <v>81.319999999999993</v>
      </c>
      <c r="H55" s="64">
        <v>37.26</v>
      </c>
      <c r="I55" s="64">
        <v>1.45</v>
      </c>
      <c r="J55" s="64">
        <v>0.75</v>
      </c>
      <c r="K55" s="64">
        <v>105.45</v>
      </c>
      <c r="L55" s="64">
        <v>22.75</v>
      </c>
      <c r="M55" s="64">
        <v>33.1</v>
      </c>
      <c r="N55" s="64">
        <v>721.1</v>
      </c>
      <c r="O55" s="64">
        <v>0</v>
      </c>
      <c r="P55" s="211" t="s">
        <v>40</v>
      </c>
      <c r="Q55" s="64">
        <v>5.63</v>
      </c>
      <c r="R55" s="198"/>
      <c r="S55" s="198"/>
      <c r="T55" s="198"/>
      <c r="U55" s="198"/>
    </row>
    <row r="56" spans="1:21" s="12" customFormat="1" x14ac:dyDescent="0.25">
      <c r="A56" s="214" t="s">
        <v>1735</v>
      </c>
      <c r="B56" s="64">
        <v>1.38</v>
      </c>
      <c r="C56" s="64">
        <v>43.9</v>
      </c>
      <c r="D56" s="64">
        <v>25.98</v>
      </c>
      <c r="E56" s="64">
        <v>0.59</v>
      </c>
      <c r="F56" s="64">
        <v>22.24</v>
      </c>
      <c r="G56" s="64">
        <v>31.07</v>
      </c>
      <c r="H56" s="64">
        <v>30.6</v>
      </c>
      <c r="I56" s="64">
        <v>1.52</v>
      </c>
      <c r="J56" s="64">
        <v>0.51</v>
      </c>
      <c r="K56" s="64">
        <v>333.6</v>
      </c>
      <c r="L56" s="64">
        <v>25.41</v>
      </c>
      <c r="M56" s="64">
        <v>28.57</v>
      </c>
      <c r="N56" s="64">
        <v>717.7</v>
      </c>
      <c r="O56" s="64">
        <v>0</v>
      </c>
      <c r="P56" s="211" t="s">
        <v>40</v>
      </c>
      <c r="Q56" s="64">
        <v>4.07</v>
      </c>
      <c r="R56" s="198"/>
      <c r="S56" s="198"/>
      <c r="T56" s="198"/>
      <c r="U56" s="198"/>
    </row>
    <row r="57" spans="1:21" s="12" customFormat="1" x14ac:dyDescent="0.25">
      <c r="A57" s="214" t="s">
        <v>1736</v>
      </c>
      <c r="B57" s="64">
        <v>1.61</v>
      </c>
      <c r="C57" s="64">
        <v>46.8</v>
      </c>
      <c r="D57" s="64">
        <v>27.76</v>
      </c>
      <c r="E57" s="64">
        <v>2.2599999999999998</v>
      </c>
      <c r="F57" s="64">
        <v>29.11</v>
      </c>
      <c r="G57" s="64">
        <v>31.07</v>
      </c>
      <c r="H57" s="64">
        <v>30.6</v>
      </c>
      <c r="I57" s="64">
        <v>1.58</v>
      </c>
      <c r="J57" s="64">
        <v>0.42</v>
      </c>
      <c r="K57" s="64">
        <v>78.459999999999994</v>
      </c>
      <c r="L57" s="64">
        <v>26.02</v>
      </c>
      <c r="M57" s="64">
        <v>27.29</v>
      </c>
      <c r="N57" s="64">
        <v>690.2</v>
      </c>
      <c r="O57" s="64">
        <v>0</v>
      </c>
      <c r="P57" s="64">
        <v>0.48</v>
      </c>
      <c r="Q57" s="64">
        <v>3.85</v>
      </c>
      <c r="R57" s="198"/>
      <c r="S57" s="198"/>
      <c r="T57" s="198"/>
      <c r="U57" s="198"/>
    </row>
    <row r="58" spans="1:21" s="12" customFormat="1" x14ac:dyDescent="0.25">
      <c r="A58" s="214" t="s">
        <v>1737</v>
      </c>
      <c r="B58" s="64">
        <v>2.2400000000000002</v>
      </c>
      <c r="C58" s="64">
        <v>63.34</v>
      </c>
      <c r="D58" s="64">
        <v>37.4</v>
      </c>
      <c r="E58" s="64">
        <v>2.33</v>
      </c>
      <c r="F58" s="64">
        <v>31.57</v>
      </c>
      <c r="G58" s="64">
        <v>31.07</v>
      </c>
      <c r="H58" s="64">
        <v>30.6</v>
      </c>
      <c r="I58" s="64">
        <v>1.41</v>
      </c>
      <c r="J58" s="64">
        <v>0.28000000000000003</v>
      </c>
      <c r="K58" s="64">
        <v>20.25</v>
      </c>
      <c r="L58" s="64">
        <v>24.54</v>
      </c>
      <c r="M58" s="64">
        <v>30.82</v>
      </c>
      <c r="N58" s="64">
        <v>647.79999999999995</v>
      </c>
      <c r="O58" s="64">
        <v>0</v>
      </c>
      <c r="P58" s="64">
        <v>0.5</v>
      </c>
      <c r="Q58" s="64">
        <v>7.26</v>
      </c>
      <c r="R58" s="198"/>
      <c r="S58" s="198"/>
      <c r="T58" s="198"/>
      <c r="U58" s="198"/>
    </row>
    <row r="59" spans="1:21" s="12" customFormat="1" x14ac:dyDescent="0.25">
      <c r="A59" s="214" t="s">
        <v>1738</v>
      </c>
      <c r="B59" s="64">
        <v>1.76</v>
      </c>
      <c r="C59" s="64">
        <v>70.97</v>
      </c>
      <c r="D59" s="64">
        <v>41.22</v>
      </c>
      <c r="E59" s="64">
        <v>1.66</v>
      </c>
      <c r="F59" s="64">
        <v>29.75</v>
      </c>
      <c r="G59" s="64">
        <v>43.45</v>
      </c>
      <c r="H59" s="64">
        <v>30.75</v>
      </c>
      <c r="I59" s="64">
        <v>1.48</v>
      </c>
      <c r="J59" s="64">
        <v>0.78</v>
      </c>
      <c r="K59" s="64">
        <v>118.33</v>
      </c>
      <c r="L59" s="64">
        <v>23.46</v>
      </c>
      <c r="M59" s="64">
        <v>32.090000000000003</v>
      </c>
      <c r="N59" s="64">
        <v>640.6</v>
      </c>
      <c r="O59" s="64">
        <v>0</v>
      </c>
      <c r="P59" s="64">
        <v>0.42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1739</v>
      </c>
      <c r="B60" s="64">
        <v>2.96</v>
      </c>
      <c r="C60" s="64">
        <v>75.8</v>
      </c>
      <c r="D60" s="64">
        <v>44.85</v>
      </c>
      <c r="E60" s="64">
        <v>4.16</v>
      </c>
      <c r="F60" s="64">
        <v>29.3</v>
      </c>
      <c r="G60" s="64">
        <v>92.96</v>
      </c>
      <c r="H60" s="64">
        <v>31.43</v>
      </c>
      <c r="I60" s="64">
        <v>1.49</v>
      </c>
      <c r="J60" s="64">
        <v>0.28000000000000003</v>
      </c>
      <c r="K60" s="64">
        <v>17.579999999999998</v>
      </c>
      <c r="L60" s="64">
        <v>24.41</v>
      </c>
      <c r="M60" s="64">
        <v>31.25</v>
      </c>
      <c r="N60" s="64">
        <v>586.29999999999995</v>
      </c>
      <c r="O60" s="64">
        <v>0</v>
      </c>
      <c r="P60" s="64">
        <v>0.64</v>
      </c>
      <c r="Q60" s="64">
        <v>9.24</v>
      </c>
      <c r="R60" s="198"/>
      <c r="S60" s="198"/>
      <c r="T60" s="198"/>
      <c r="U60" s="198"/>
    </row>
    <row r="61" spans="1:21" s="12" customFormat="1" x14ac:dyDescent="0.25">
      <c r="A61" s="214" t="s">
        <v>1740</v>
      </c>
      <c r="B61" s="64">
        <v>1.81</v>
      </c>
      <c r="C61" s="64">
        <v>74.14</v>
      </c>
      <c r="D61" s="64">
        <v>43.02</v>
      </c>
      <c r="E61" s="64">
        <v>2.23</v>
      </c>
      <c r="F61" s="64">
        <v>25.55</v>
      </c>
      <c r="G61" s="64">
        <v>92.96</v>
      </c>
      <c r="H61" s="64">
        <v>31.43</v>
      </c>
      <c r="I61" s="64">
        <v>1.47</v>
      </c>
      <c r="J61" s="64">
        <v>0.78</v>
      </c>
      <c r="K61" s="64">
        <v>106.71</v>
      </c>
      <c r="L61" s="64">
        <v>23.24</v>
      </c>
      <c r="M61" s="64">
        <v>31.71</v>
      </c>
      <c r="N61" s="64">
        <v>577.4</v>
      </c>
      <c r="O61" s="64">
        <v>0</v>
      </c>
      <c r="P61" s="64">
        <v>0.44</v>
      </c>
      <c r="Q61" s="64">
        <v>11.45</v>
      </c>
      <c r="R61" s="198"/>
      <c r="S61" s="198"/>
      <c r="T61" s="198"/>
      <c r="U61" s="198"/>
    </row>
    <row r="62" spans="1:21" s="12" customFormat="1" x14ac:dyDescent="0.25">
      <c r="A62" s="214" t="s">
        <v>1741</v>
      </c>
      <c r="B62" s="64">
        <v>1.51</v>
      </c>
      <c r="C62" s="64">
        <v>62.38</v>
      </c>
      <c r="D62" s="64">
        <v>36.29</v>
      </c>
      <c r="E62" s="64">
        <v>1.68</v>
      </c>
      <c r="F62" s="64">
        <v>23.67</v>
      </c>
      <c r="G62" s="64">
        <v>92.96</v>
      </c>
      <c r="H62" s="64">
        <v>31.43</v>
      </c>
      <c r="I62" s="64">
        <v>1.43</v>
      </c>
      <c r="J62" s="64">
        <v>0.49</v>
      </c>
      <c r="K62" s="64">
        <v>82.44</v>
      </c>
      <c r="L62" s="64">
        <v>23.17</v>
      </c>
      <c r="M62" s="64">
        <v>32.85</v>
      </c>
      <c r="N62" s="64">
        <v>550</v>
      </c>
      <c r="O62" s="64">
        <v>0</v>
      </c>
      <c r="P62" s="64">
        <v>0.54</v>
      </c>
      <c r="Q62" s="64">
        <v>12.01</v>
      </c>
      <c r="R62" s="198"/>
      <c r="S62" s="198"/>
      <c r="T62" s="198"/>
      <c r="U62" s="198"/>
    </row>
    <row r="63" spans="1:21" s="12" customFormat="1" x14ac:dyDescent="0.25">
      <c r="A63" s="214" t="s">
        <v>1742</v>
      </c>
      <c r="B63" s="64">
        <v>1.82</v>
      </c>
      <c r="C63" s="64">
        <v>58.48</v>
      </c>
      <c r="D63" s="64">
        <v>34.380000000000003</v>
      </c>
      <c r="E63" s="64">
        <v>1.64</v>
      </c>
      <c r="F63" s="64">
        <v>15.64</v>
      </c>
      <c r="G63" s="64">
        <v>90.18</v>
      </c>
      <c r="H63" s="64">
        <v>32.200000000000003</v>
      </c>
      <c r="I63" s="64">
        <v>1.53</v>
      </c>
      <c r="J63" s="64">
        <v>0.84</v>
      </c>
      <c r="K63" s="64">
        <v>122.22</v>
      </c>
      <c r="L63" s="64">
        <v>23.85</v>
      </c>
      <c r="M63" s="64">
        <v>31.2</v>
      </c>
      <c r="N63" s="64">
        <v>492.5</v>
      </c>
      <c r="O63" s="64">
        <v>0</v>
      </c>
      <c r="P63" s="64">
        <v>0.64</v>
      </c>
      <c r="Q63" s="64">
        <v>10.17</v>
      </c>
      <c r="R63" s="198"/>
      <c r="S63" s="198"/>
      <c r="T63" s="198"/>
      <c r="U63" s="198"/>
    </row>
    <row r="64" spans="1:21" s="12" customFormat="1" x14ac:dyDescent="0.25">
      <c r="A64" s="214" t="s">
        <v>1743</v>
      </c>
      <c r="B64" s="64">
        <v>1.62</v>
      </c>
      <c r="C64" s="64">
        <v>56.75</v>
      </c>
      <c r="D64" s="64">
        <v>33.26</v>
      </c>
      <c r="E64" s="64">
        <v>1.39</v>
      </c>
      <c r="F64" s="64">
        <v>12.5</v>
      </c>
      <c r="G64" s="64">
        <v>79.09</v>
      </c>
      <c r="H64" s="64">
        <v>34.299999999999997</v>
      </c>
      <c r="I64" s="64">
        <v>1.54</v>
      </c>
      <c r="J64" s="64">
        <v>0.74</v>
      </c>
      <c r="K64" s="64">
        <v>116.2</v>
      </c>
      <c r="L64" s="64">
        <v>22.9</v>
      </c>
      <c r="M64" s="64">
        <v>32.450000000000003</v>
      </c>
      <c r="N64" s="64">
        <v>237.7</v>
      </c>
      <c r="O64" s="64">
        <v>0</v>
      </c>
      <c r="P64" s="64">
        <v>0.61</v>
      </c>
      <c r="Q64" s="64">
        <v>9.5399999999999991</v>
      </c>
      <c r="R64" s="198"/>
      <c r="S64" s="198"/>
      <c r="T64" s="198"/>
      <c r="U64" s="198"/>
    </row>
    <row r="65" spans="1:21" s="12" customFormat="1" x14ac:dyDescent="0.25">
      <c r="A65" s="214" t="s">
        <v>1744</v>
      </c>
      <c r="B65" s="64">
        <v>1.95</v>
      </c>
      <c r="C65" s="64">
        <v>55.68</v>
      </c>
      <c r="D65" s="64">
        <v>32.94</v>
      </c>
      <c r="E65" s="64">
        <v>2.5099999999999998</v>
      </c>
      <c r="F65" s="64">
        <v>24.14</v>
      </c>
      <c r="G65" s="64">
        <v>79.09</v>
      </c>
      <c r="H65" s="64">
        <v>34.299999999999997</v>
      </c>
      <c r="I65" s="64">
        <v>1.54</v>
      </c>
      <c r="J65" s="64">
        <v>0.53</v>
      </c>
      <c r="K65" s="64">
        <v>344.25</v>
      </c>
      <c r="L65" s="64">
        <v>24.24</v>
      </c>
      <c r="M65" s="64">
        <v>30.56</v>
      </c>
      <c r="N65" s="64">
        <v>204.1</v>
      </c>
      <c r="O65" s="64">
        <v>0</v>
      </c>
      <c r="P65" s="64">
        <v>0.84</v>
      </c>
      <c r="Q65" s="64">
        <v>7.65</v>
      </c>
      <c r="R65" s="198"/>
      <c r="S65" s="198"/>
      <c r="T65" s="198"/>
      <c r="U65" s="198"/>
    </row>
    <row r="66" spans="1:21" s="12" customFormat="1" x14ac:dyDescent="0.25">
      <c r="A66" s="214" t="s">
        <v>1745</v>
      </c>
      <c r="B66" s="64">
        <v>2.0499999999999998</v>
      </c>
      <c r="C66" s="64">
        <v>66.84</v>
      </c>
      <c r="D66" s="64">
        <v>39.18</v>
      </c>
      <c r="E66" s="64">
        <v>5.92</v>
      </c>
      <c r="F66" s="64">
        <v>36.880000000000003</v>
      </c>
      <c r="G66" s="64">
        <v>79.09</v>
      </c>
      <c r="H66" s="64">
        <v>34.299999999999997</v>
      </c>
      <c r="I66" s="64">
        <v>1.57</v>
      </c>
      <c r="J66" s="64">
        <v>0.94</v>
      </c>
      <c r="K66" s="64">
        <v>329.11</v>
      </c>
      <c r="L66" s="64">
        <v>25.46</v>
      </c>
      <c r="M66" s="64">
        <v>29.16</v>
      </c>
      <c r="N66" s="64">
        <v>188.6</v>
      </c>
      <c r="O66" s="64">
        <v>0</v>
      </c>
      <c r="P66" s="64">
        <v>0.9</v>
      </c>
      <c r="Q66" s="64">
        <v>5.52</v>
      </c>
      <c r="R66" s="198"/>
      <c r="S66" s="198"/>
      <c r="T66" s="198"/>
      <c r="U66" s="198"/>
    </row>
    <row r="67" spans="1:21" s="12" customFormat="1" x14ac:dyDescent="0.25">
      <c r="A67" s="214" t="s">
        <v>1746</v>
      </c>
      <c r="B67" s="64">
        <v>1.59</v>
      </c>
      <c r="C67" s="64">
        <v>74.41</v>
      </c>
      <c r="D67" s="64">
        <v>42.99</v>
      </c>
      <c r="E67" s="64">
        <v>3.65</v>
      </c>
      <c r="F67" s="64">
        <v>18.149999999999999</v>
      </c>
      <c r="G67" s="64">
        <v>79.930000000000007</v>
      </c>
      <c r="H67" s="64">
        <v>34.57</v>
      </c>
      <c r="I67" s="64">
        <v>1.42</v>
      </c>
      <c r="J67" s="64">
        <v>0.42</v>
      </c>
      <c r="K67" s="64">
        <v>337.73</v>
      </c>
      <c r="L67" s="64">
        <v>25.3</v>
      </c>
      <c r="M67" s="64">
        <v>28.56</v>
      </c>
      <c r="N67" s="64">
        <v>228.9</v>
      </c>
      <c r="O67" s="64">
        <v>0</v>
      </c>
      <c r="P67" s="64">
        <v>0.95</v>
      </c>
      <c r="Q67" s="64">
        <v>5.05</v>
      </c>
      <c r="R67" s="198"/>
      <c r="S67" s="198"/>
      <c r="T67" s="198"/>
      <c r="U67" s="198"/>
    </row>
    <row r="68" spans="1:21" s="12" customFormat="1" x14ac:dyDescent="0.25">
      <c r="A68" s="214" t="s">
        <v>1747</v>
      </c>
      <c r="B68" s="64">
        <v>1.86</v>
      </c>
      <c r="C68" s="64">
        <v>74</v>
      </c>
      <c r="D68" s="64">
        <v>42.98</v>
      </c>
      <c r="E68" s="64">
        <v>2.21</v>
      </c>
      <c r="F68" s="64">
        <v>12.84</v>
      </c>
      <c r="G68" s="64">
        <v>83.05</v>
      </c>
      <c r="H68" s="64">
        <v>35.32</v>
      </c>
      <c r="I68" s="64">
        <v>1.42</v>
      </c>
      <c r="J68" s="64">
        <v>0.23</v>
      </c>
      <c r="K68" s="64">
        <v>349.82</v>
      </c>
      <c r="L68" s="64">
        <v>24.23</v>
      </c>
      <c r="M68" s="64">
        <v>29.59</v>
      </c>
      <c r="N68" s="64">
        <v>171.4</v>
      </c>
      <c r="O68" s="64">
        <v>0</v>
      </c>
      <c r="P68" s="64">
        <v>0.91</v>
      </c>
      <c r="Q68" s="64">
        <v>5.6</v>
      </c>
      <c r="R68" s="198"/>
      <c r="S68" s="198"/>
      <c r="T68" s="198"/>
      <c r="U68" s="198"/>
    </row>
    <row r="69" spans="1:21" s="12" customFormat="1" x14ac:dyDescent="0.25">
      <c r="A69" s="214" t="s">
        <v>1748</v>
      </c>
      <c r="B69" s="64">
        <v>2.2799999999999998</v>
      </c>
      <c r="C69" s="64">
        <v>72.239999999999995</v>
      </c>
      <c r="D69" s="64">
        <v>42.34</v>
      </c>
      <c r="E69" s="64">
        <v>1.81</v>
      </c>
      <c r="F69" s="64">
        <v>22.79</v>
      </c>
      <c r="G69" s="64">
        <v>83.05</v>
      </c>
      <c r="H69" s="64">
        <v>35.32</v>
      </c>
      <c r="I69" s="64">
        <v>1.52</v>
      </c>
      <c r="J69" s="64">
        <v>0.69</v>
      </c>
      <c r="K69" s="64">
        <v>105.18</v>
      </c>
      <c r="L69" s="64">
        <v>22.76</v>
      </c>
      <c r="M69" s="64">
        <v>29.87</v>
      </c>
      <c r="N69" s="64">
        <v>146.80000000000001</v>
      </c>
      <c r="O69" s="64">
        <v>0</v>
      </c>
      <c r="P69" s="64">
        <v>0.77</v>
      </c>
      <c r="Q69" s="64">
        <v>6.3</v>
      </c>
      <c r="R69" s="198"/>
      <c r="S69" s="198"/>
      <c r="T69" s="198"/>
      <c r="U69" s="198"/>
    </row>
    <row r="70" spans="1:21" s="12" customFormat="1" x14ac:dyDescent="0.25">
      <c r="A70" s="214" t="s">
        <v>1749</v>
      </c>
      <c r="B70" s="64">
        <v>2.52</v>
      </c>
      <c r="C70" s="64">
        <v>69.86</v>
      </c>
      <c r="D70" s="64">
        <v>41.22</v>
      </c>
      <c r="E70" s="64">
        <v>4.4800000000000004</v>
      </c>
      <c r="F70" s="64">
        <v>39.89</v>
      </c>
      <c r="G70" s="64">
        <v>83.05</v>
      </c>
      <c r="H70" s="64">
        <v>35.32</v>
      </c>
      <c r="I70" s="64">
        <v>1.39</v>
      </c>
      <c r="J70" s="64">
        <v>0.83</v>
      </c>
      <c r="K70" s="64">
        <v>339.82</v>
      </c>
      <c r="L70" s="64">
        <v>22.81</v>
      </c>
      <c r="M70" s="64">
        <v>31.78</v>
      </c>
      <c r="N70" s="64">
        <v>130.80000000000001</v>
      </c>
      <c r="O70" s="64">
        <v>0</v>
      </c>
      <c r="P70" s="64">
        <v>0.88</v>
      </c>
      <c r="Q70" s="64">
        <v>5.7</v>
      </c>
      <c r="R70" s="198"/>
      <c r="S70" s="198"/>
      <c r="T70" s="198"/>
      <c r="U70" s="198"/>
    </row>
    <row r="71" spans="1:21" s="12" customFormat="1" x14ac:dyDescent="0.25">
      <c r="A71" s="214" t="s">
        <v>1750</v>
      </c>
      <c r="B71" s="64">
        <v>3.13</v>
      </c>
      <c r="C71" s="64">
        <v>68.650000000000006</v>
      </c>
      <c r="D71" s="64">
        <v>41.04</v>
      </c>
      <c r="E71" s="64">
        <v>5.97</v>
      </c>
      <c r="F71" s="64">
        <v>34.020000000000003</v>
      </c>
      <c r="G71" s="64">
        <v>83.99</v>
      </c>
      <c r="H71" s="64">
        <v>35.33</v>
      </c>
      <c r="I71" s="64">
        <v>1.43</v>
      </c>
      <c r="J71" s="64">
        <v>0.68</v>
      </c>
      <c r="K71" s="64">
        <v>344.46</v>
      </c>
      <c r="L71" s="64">
        <v>22.91</v>
      </c>
      <c r="M71" s="64">
        <v>31.39</v>
      </c>
      <c r="N71" s="64">
        <v>121.5</v>
      </c>
      <c r="O71" s="64">
        <v>0</v>
      </c>
      <c r="P71" s="64">
        <v>1.03</v>
      </c>
      <c r="Q71" s="64">
        <v>2.46</v>
      </c>
      <c r="R71" s="198"/>
      <c r="S71" s="198"/>
      <c r="T71" s="198"/>
      <c r="U71" s="198"/>
    </row>
    <row r="72" spans="1:21" s="12" customFormat="1" x14ac:dyDescent="0.25">
      <c r="A72" s="214" t="s">
        <v>1751</v>
      </c>
      <c r="B72" s="64">
        <v>3.76</v>
      </c>
      <c r="C72" s="64">
        <v>68.31</v>
      </c>
      <c r="D72" s="64">
        <v>41.36</v>
      </c>
      <c r="E72" s="64">
        <v>3.1</v>
      </c>
      <c r="F72" s="64">
        <v>28.38</v>
      </c>
      <c r="G72" s="64">
        <v>87.51</v>
      </c>
      <c r="H72" s="64">
        <v>35.36</v>
      </c>
      <c r="I72" s="64">
        <v>1.45</v>
      </c>
      <c r="J72" s="64">
        <v>0.44</v>
      </c>
      <c r="K72" s="64">
        <v>336.12</v>
      </c>
      <c r="L72" s="64">
        <v>22.66</v>
      </c>
      <c r="M72" s="64">
        <v>32.159999999999997</v>
      </c>
      <c r="N72" s="64">
        <v>112.5</v>
      </c>
      <c r="O72" s="64">
        <v>0</v>
      </c>
      <c r="P72" s="64">
        <v>1.06</v>
      </c>
      <c r="Q72" s="64">
        <v>2.44</v>
      </c>
      <c r="R72" s="198"/>
      <c r="S72" s="198"/>
      <c r="T72" s="198"/>
      <c r="U72" s="198"/>
    </row>
    <row r="73" spans="1:21" s="12" customFormat="1" x14ac:dyDescent="0.25">
      <c r="A73" s="214" t="s">
        <v>1752</v>
      </c>
      <c r="B73" s="64">
        <v>4.18</v>
      </c>
      <c r="C73" s="64">
        <v>67.930000000000007</v>
      </c>
      <c r="D73" s="64">
        <v>41.48</v>
      </c>
      <c r="E73" s="64">
        <v>3.81</v>
      </c>
      <c r="F73" s="64">
        <v>30.39</v>
      </c>
      <c r="G73" s="64">
        <v>87.51</v>
      </c>
      <c r="H73" s="64">
        <v>35.36</v>
      </c>
      <c r="I73" s="64">
        <v>1.48</v>
      </c>
      <c r="J73" s="64">
        <v>0.37</v>
      </c>
      <c r="K73" s="64">
        <v>325.73</v>
      </c>
      <c r="L73" s="64">
        <v>22.31</v>
      </c>
      <c r="M73" s="64">
        <v>33.93</v>
      </c>
      <c r="N73" s="64">
        <v>106.8</v>
      </c>
      <c r="O73" s="64">
        <v>0</v>
      </c>
      <c r="P73" s="64">
        <v>0.97</v>
      </c>
      <c r="Q73" s="64">
        <v>2.91</v>
      </c>
      <c r="R73" s="198"/>
      <c r="S73" s="198"/>
      <c r="T73" s="198"/>
      <c r="U73" s="198"/>
    </row>
    <row r="74" spans="1:21" s="12" customFormat="1" x14ac:dyDescent="0.25">
      <c r="A74" s="214" t="s">
        <v>1753</v>
      </c>
      <c r="B74" s="64">
        <v>4.66</v>
      </c>
      <c r="C74" s="64">
        <v>68.180000000000007</v>
      </c>
      <c r="D74" s="64">
        <v>42.01</v>
      </c>
      <c r="E74" s="64">
        <v>3.22</v>
      </c>
      <c r="F74" s="64">
        <v>19.61</v>
      </c>
      <c r="G74" s="64">
        <v>87.51</v>
      </c>
      <c r="H74" s="64">
        <v>35.36</v>
      </c>
      <c r="I74" s="64">
        <v>1.5</v>
      </c>
      <c r="J74" s="64">
        <v>0.31</v>
      </c>
      <c r="K74" s="64">
        <v>350.06</v>
      </c>
      <c r="L74" s="64">
        <v>21.76</v>
      </c>
      <c r="M74" s="64">
        <v>34.69</v>
      </c>
      <c r="N74" s="64">
        <v>104</v>
      </c>
      <c r="O74" s="64">
        <v>0</v>
      </c>
      <c r="P74" s="64">
        <v>1.1599999999999999</v>
      </c>
      <c r="Q74" s="64">
        <v>2.2000000000000002</v>
      </c>
      <c r="R74" s="198"/>
      <c r="S74" s="198"/>
      <c r="T74" s="198"/>
      <c r="U74" s="198"/>
    </row>
    <row r="75" spans="1:21" s="12" customFormat="1" x14ac:dyDescent="0.25">
      <c r="A75" s="214" t="s">
        <v>1754</v>
      </c>
      <c r="B75" s="64">
        <v>5.31</v>
      </c>
      <c r="C75" s="64">
        <v>68.55</v>
      </c>
      <c r="D75" s="64">
        <v>42.74</v>
      </c>
      <c r="E75" s="64">
        <v>3.14</v>
      </c>
      <c r="F75" s="64">
        <v>16.739999999999998</v>
      </c>
      <c r="G75" s="64">
        <v>90.01</v>
      </c>
      <c r="H75" s="64">
        <v>35.880000000000003</v>
      </c>
      <c r="I75" s="64">
        <v>1.44</v>
      </c>
      <c r="J75" s="64">
        <v>0.3</v>
      </c>
      <c r="K75" s="64">
        <v>327.18</v>
      </c>
      <c r="L75" s="64">
        <v>21.17</v>
      </c>
      <c r="M75" s="64">
        <v>38.020000000000003</v>
      </c>
      <c r="N75" s="64">
        <v>89</v>
      </c>
      <c r="O75" s="64">
        <v>0</v>
      </c>
      <c r="P75" s="64">
        <v>1.19</v>
      </c>
      <c r="Q75" s="64">
        <v>1.24</v>
      </c>
      <c r="R75" s="198"/>
      <c r="S75" s="198"/>
      <c r="T75" s="198"/>
      <c r="U75" s="198"/>
    </row>
    <row r="76" spans="1:21" s="12" customFormat="1" x14ac:dyDescent="0.25">
      <c r="A76" s="214" t="s">
        <v>1755</v>
      </c>
      <c r="B76" s="64">
        <v>5.82</v>
      </c>
      <c r="C76" s="64">
        <v>68.489999999999995</v>
      </c>
      <c r="D76" s="64">
        <v>43.12</v>
      </c>
      <c r="E76" s="64">
        <v>2.36</v>
      </c>
      <c r="F76" s="64">
        <v>17.22</v>
      </c>
      <c r="G76" s="64">
        <v>99.36</v>
      </c>
      <c r="H76" s="64">
        <v>38.200000000000003</v>
      </c>
      <c r="I76" s="64">
        <v>1.52</v>
      </c>
      <c r="J76" s="64">
        <v>0.11</v>
      </c>
      <c r="K76" s="64">
        <v>286.66000000000003</v>
      </c>
      <c r="L76" s="64">
        <v>20.52</v>
      </c>
      <c r="M76" s="64">
        <v>37.119999999999997</v>
      </c>
      <c r="N76" s="64">
        <v>75.599999999999994</v>
      </c>
      <c r="O76" s="64">
        <v>0</v>
      </c>
      <c r="P76" s="64">
        <v>1.18</v>
      </c>
      <c r="Q76" s="64">
        <v>2.4900000000000002</v>
      </c>
      <c r="R76" s="198"/>
      <c r="S76" s="198"/>
      <c r="T76" s="198"/>
      <c r="U76" s="198"/>
    </row>
    <row r="77" spans="1:21" s="12" customFormat="1" x14ac:dyDescent="0.25">
      <c r="A77" s="214" t="s">
        <v>1756</v>
      </c>
      <c r="B77" s="64">
        <v>6.71</v>
      </c>
      <c r="C77" s="64">
        <v>68.959999999999994</v>
      </c>
      <c r="D77" s="64">
        <v>44.09</v>
      </c>
      <c r="E77" s="64">
        <v>1.77</v>
      </c>
      <c r="F77" s="64">
        <v>5.75</v>
      </c>
      <c r="G77" s="64">
        <v>99.36</v>
      </c>
      <c r="H77" s="64">
        <v>38.200000000000003</v>
      </c>
      <c r="I77" s="64">
        <v>1.45</v>
      </c>
      <c r="J77" s="64">
        <v>0.06</v>
      </c>
      <c r="K77" s="64">
        <v>318.45999999999998</v>
      </c>
      <c r="L77" s="64">
        <v>19.64</v>
      </c>
      <c r="M77" s="64">
        <v>47.23</v>
      </c>
      <c r="N77" s="64">
        <v>73.400000000000006</v>
      </c>
      <c r="O77" s="64">
        <v>0</v>
      </c>
      <c r="P77" s="64">
        <v>1.52</v>
      </c>
      <c r="Q77" s="64">
        <v>0.7</v>
      </c>
      <c r="R77" s="198"/>
      <c r="S77" s="198"/>
      <c r="T77" s="198"/>
      <c r="U77" s="198"/>
    </row>
    <row r="78" spans="1:21" s="12" customFormat="1" x14ac:dyDescent="0.25">
      <c r="A78" s="214" t="s">
        <v>1757</v>
      </c>
      <c r="B78" s="64">
        <v>8.2899999999999991</v>
      </c>
      <c r="C78" s="64">
        <v>69.89</v>
      </c>
      <c r="D78" s="64">
        <v>45.87</v>
      </c>
      <c r="E78" s="64">
        <v>1.57</v>
      </c>
      <c r="F78" s="64">
        <v>5.0199999999999996</v>
      </c>
      <c r="G78" s="64">
        <v>99.36</v>
      </c>
      <c r="H78" s="64">
        <v>38.200000000000003</v>
      </c>
      <c r="I78" s="64">
        <v>1.44</v>
      </c>
      <c r="J78" s="64">
        <v>0.05</v>
      </c>
      <c r="K78" s="64">
        <v>2.9</v>
      </c>
      <c r="L78" s="64">
        <v>18.87</v>
      </c>
      <c r="M78" s="64">
        <v>56.46</v>
      </c>
      <c r="N78" s="64">
        <v>65.400000000000006</v>
      </c>
      <c r="O78" s="64">
        <v>0</v>
      </c>
      <c r="P78" s="64">
        <v>1.59</v>
      </c>
      <c r="Q78" s="64">
        <v>1.1299999999999999</v>
      </c>
      <c r="R78" s="198"/>
      <c r="S78" s="198"/>
      <c r="T78" s="198"/>
      <c r="U78" s="198"/>
    </row>
    <row r="79" spans="1:21" s="12" customFormat="1" x14ac:dyDescent="0.25">
      <c r="A79" s="214" t="s">
        <v>1758</v>
      </c>
      <c r="B79" s="64">
        <v>9.99</v>
      </c>
      <c r="C79" s="64">
        <v>70.760000000000005</v>
      </c>
      <c r="D79" s="64">
        <v>47.71</v>
      </c>
      <c r="E79" s="64">
        <v>1.41</v>
      </c>
      <c r="F79" s="64">
        <v>4.46</v>
      </c>
      <c r="G79" s="64">
        <v>102.73</v>
      </c>
      <c r="H79" s="64">
        <v>39.9</v>
      </c>
      <c r="I79" s="64">
        <v>1.49</v>
      </c>
      <c r="J79" s="64">
        <v>0.04</v>
      </c>
      <c r="K79" s="64">
        <v>0.56999999999999995</v>
      </c>
      <c r="L79" s="64">
        <v>18.62</v>
      </c>
      <c r="M79" s="64">
        <v>59.73</v>
      </c>
      <c r="N79" s="64">
        <v>66.8</v>
      </c>
      <c r="O79" s="64">
        <v>0</v>
      </c>
      <c r="P79" s="64">
        <v>1.73</v>
      </c>
      <c r="Q79" s="64">
        <v>0.75</v>
      </c>
      <c r="R79" s="198"/>
      <c r="S79" s="198"/>
      <c r="T79" s="198"/>
      <c r="U79" s="198"/>
    </row>
    <row r="80" spans="1:21" s="12" customFormat="1" x14ac:dyDescent="0.25">
      <c r="A80" s="214" t="s">
        <v>1759</v>
      </c>
      <c r="B80" s="64">
        <v>12.32</v>
      </c>
      <c r="C80" s="64">
        <v>71.62</v>
      </c>
      <c r="D80" s="64">
        <v>50.05</v>
      </c>
      <c r="E80" s="64">
        <v>1.42</v>
      </c>
      <c r="F80" s="64">
        <v>4.33</v>
      </c>
      <c r="G80" s="64">
        <v>116.19</v>
      </c>
      <c r="H80" s="64">
        <v>44.53</v>
      </c>
      <c r="I80" s="64">
        <v>1.53</v>
      </c>
      <c r="J80" s="64">
        <v>0.08</v>
      </c>
      <c r="K80" s="64">
        <v>38.86</v>
      </c>
      <c r="L80" s="64">
        <v>18.29</v>
      </c>
      <c r="M80" s="64">
        <v>63.25</v>
      </c>
      <c r="N80" s="64">
        <v>66.5</v>
      </c>
      <c r="O80" s="64">
        <v>0</v>
      </c>
      <c r="P80" s="64">
        <v>2.1</v>
      </c>
      <c r="Q80" s="6" t="s">
        <v>42</v>
      </c>
      <c r="R80" s="198"/>
      <c r="S80" s="198"/>
      <c r="T80" s="198"/>
      <c r="U80" s="198"/>
    </row>
    <row r="81" spans="1:26" s="12" customFormat="1" x14ac:dyDescent="0.25">
      <c r="A81" s="214" t="s">
        <v>1760</v>
      </c>
      <c r="B81" s="64">
        <v>15.46</v>
      </c>
      <c r="C81" s="64">
        <v>72.66</v>
      </c>
      <c r="D81" s="64">
        <v>53.15</v>
      </c>
      <c r="E81" s="64">
        <v>1.39</v>
      </c>
      <c r="F81" s="64">
        <v>3.98</v>
      </c>
      <c r="G81" s="64">
        <v>116.19</v>
      </c>
      <c r="H81" s="64">
        <v>44.53</v>
      </c>
      <c r="I81" s="64">
        <v>1.51</v>
      </c>
      <c r="J81" s="64">
        <v>0.06</v>
      </c>
      <c r="K81" s="64">
        <v>342.6</v>
      </c>
      <c r="L81" s="64">
        <v>18.03</v>
      </c>
      <c r="M81" s="64">
        <v>58.1</v>
      </c>
      <c r="N81" s="64">
        <v>63.3</v>
      </c>
      <c r="O81" s="64">
        <v>0</v>
      </c>
      <c r="P81" s="64">
        <v>2.17</v>
      </c>
      <c r="Q81" s="64">
        <v>0.12</v>
      </c>
      <c r="R81" s="198"/>
      <c r="S81" s="198"/>
      <c r="T81" s="198"/>
      <c r="U81" s="198"/>
    </row>
    <row r="82" spans="1:26" s="12" customFormat="1" x14ac:dyDescent="0.25">
      <c r="A82" s="214" t="s">
        <v>1761</v>
      </c>
      <c r="B82" s="64">
        <v>19.38</v>
      </c>
      <c r="C82" s="64">
        <v>74.14</v>
      </c>
      <c r="D82" s="64">
        <v>57.11</v>
      </c>
      <c r="E82" s="64">
        <v>1.3</v>
      </c>
      <c r="F82" s="64">
        <v>3.94</v>
      </c>
      <c r="G82" s="64">
        <v>116.19</v>
      </c>
      <c r="H82" s="64">
        <v>44.53</v>
      </c>
      <c r="I82" s="64">
        <v>1.52</v>
      </c>
      <c r="J82" s="64">
        <v>0.06</v>
      </c>
      <c r="K82" s="64">
        <v>344.7</v>
      </c>
      <c r="L82" s="64">
        <v>17.239999999999998</v>
      </c>
      <c r="M82" s="64">
        <v>58.08</v>
      </c>
      <c r="N82" s="64">
        <v>63.5</v>
      </c>
      <c r="O82" s="64">
        <v>0</v>
      </c>
      <c r="P82" s="64">
        <v>2.1</v>
      </c>
      <c r="Q82" s="64">
        <v>0.51</v>
      </c>
      <c r="R82" s="198"/>
      <c r="S82" s="198"/>
      <c r="T82" s="198"/>
      <c r="U82" s="198"/>
    </row>
    <row r="83" spans="1:26" s="12" customFormat="1" x14ac:dyDescent="0.25">
      <c r="A83" s="214" t="s">
        <v>1762</v>
      </c>
      <c r="B83" s="64">
        <v>26.57</v>
      </c>
      <c r="C83" s="64">
        <v>76.48</v>
      </c>
      <c r="D83" s="64">
        <v>64.16</v>
      </c>
      <c r="E83" s="64">
        <v>1.21</v>
      </c>
      <c r="F83" s="64">
        <v>3.98</v>
      </c>
      <c r="G83" s="64">
        <v>131.30000000000001</v>
      </c>
      <c r="H83" s="64">
        <v>46.11</v>
      </c>
      <c r="I83" s="64">
        <v>1.55</v>
      </c>
      <c r="J83" s="64">
        <v>0.03</v>
      </c>
      <c r="K83" s="64">
        <v>293.73</v>
      </c>
      <c r="L83" s="64">
        <v>16.739999999999998</v>
      </c>
      <c r="M83" s="64">
        <v>62.74</v>
      </c>
      <c r="N83" s="64">
        <v>63.5</v>
      </c>
      <c r="O83" s="64">
        <v>0</v>
      </c>
      <c r="P83" s="64">
        <v>2.4</v>
      </c>
      <c r="Q83" s="64">
        <v>0.87</v>
      </c>
      <c r="R83" s="198"/>
      <c r="S83" s="198"/>
      <c r="T83" s="198"/>
      <c r="U83" s="198"/>
    </row>
    <row r="84" spans="1:26" s="12" customFormat="1" x14ac:dyDescent="0.25">
      <c r="A84" s="214" t="s">
        <v>1763</v>
      </c>
      <c r="B84" s="64">
        <v>36.11</v>
      </c>
      <c r="C84" s="64">
        <v>79.400000000000006</v>
      </c>
      <c r="D84" s="64">
        <v>73.42</v>
      </c>
      <c r="E84" s="64">
        <v>1.31</v>
      </c>
      <c r="F84" s="64">
        <v>3.67</v>
      </c>
      <c r="G84" s="64">
        <v>191.72</v>
      </c>
      <c r="H84" s="64">
        <v>50.4</v>
      </c>
      <c r="I84" s="64">
        <v>1.5</v>
      </c>
      <c r="J84" s="64">
        <v>7.0000000000000007E-2</v>
      </c>
      <c r="K84" s="64">
        <v>270.61</v>
      </c>
      <c r="L84" s="64">
        <v>16.38</v>
      </c>
      <c r="M84" s="64">
        <v>65.75</v>
      </c>
      <c r="N84" s="64">
        <v>63.2</v>
      </c>
      <c r="O84" s="64">
        <v>0</v>
      </c>
      <c r="P84" s="64">
        <v>2.72</v>
      </c>
      <c r="Q84" s="64">
        <v>1.36</v>
      </c>
      <c r="R84" s="198"/>
      <c r="S84" s="198"/>
      <c r="T84" s="198"/>
      <c r="U84" s="198"/>
    </row>
    <row r="85" spans="1:26" s="12" customFormat="1" x14ac:dyDescent="0.25">
      <c r="A85" s="214" t="s">
        <v>1764</v>
      </c>
      <c r="B85" s="64">
        <v>47.13</v>
      </c>
      <c r="C85" s="64">
        <v>82.22</v>
      </c>
      <c r="D85" s="64">
        <v>83.81</v>
      </c>
      <c r="E85" s="64">
        <v>1.37</v>
      </c>
      <c r="F85" s="64">
        <v>3.91</v>
      </c>
      <c r="G85" s="64">
        <v>191.72</v>
      </c>
      <c r="H85" s="64">
        <v>50.4</v>
      </c>
      <c r="I85" s="64">
        <v>1.48</v>
      </c>
      <c r="J85" s="64">
        <v>0.12</v>
      </c>
      <c r="K85" s="64">
        <v>281.38</v>
      </c>
      <c r="L85" s="64">
        <v>16.27</v>
      </c>
      <c r="M85" s="64">
        <v>68.3</v>
      </c>
      <c r="N85" s="64">
        <v>63.8</v>
      </c>
      <c r="O85" s="64">
        <v>0</v>
      </c>
      <c r="P85" s="64">
        <v>2.73</v>
      </c>
      <c r="Q85" s="64">
        <v>1.47</v>
      </c>
      <c r="R85" s="198"/>
      <c r="S85" s="198"/>
      <c r="T85" s="198"/>
      <c r="U85" s="198"/>
    </row>
    <row r="86" spans="1:26" s="12" customFormat="1" x14ac:dyDescent="0.25">
      <c r="A86" s="214" t="s">
        <v>1765</v>
      </c>
      <c r="B86" s="64">
        <v>60.65</v>
      </c>
      <c r="C86" s="64">
        <v>84.2</v>
      </c>
      <c r="D86" s="64">
        <v>95.75</v>
      </c>
      <c r="E86" s="64">
        <v>1.33</v>
      </c>
      <c r="F86" s="64">
        <v>3.83</v>
      </c>
      <c r="G86" s="64">
        <v>191.72</v>
      </c>
      <c r="H86" s="64">
        <v>50.4</v>
      </c>
      <c r="I86" s="64">
        <v>1.52</v>
      </c>
      <c r="J86" s="64">
        <v>0.12</v>
      </c>
      <c r="K86" s="64">
        <v>282.97000000000003</v>
      </c>
      <c r="L86" s="64">
        <v>16.04</v>
      </c>
      <c r="M86" s="64">
        <v>68.98</v>
      </c>
      <c r="N86" s="64">
        <v>63.3</v>
      </c>
      <c r="O86" s="64">
        <v>0</v>
      </c>
      <c r="P86" s="64">
        <v>3.09</v>
      </c>
      <c r="Q86" s="64">
        <v>1.94</v>
      </c>
      <c r="R86" s="198"/>
      <c r="S86" s="198"/>
      <c r="T86" s="198"/>
      <c r="U86" s="198"/>
    </row>
    <row r="87" spans="1:26" s="12" customFormat="1" x14ac:dyDescent="0.25">
      <c r="A87" s="214" t="s">
        <v>1766</v>
      </c>
      <c r="B87" s="64">
        <v>70.59</v>
      </c>
      <c r="C87" s="64">
        <v>85.24</v>
      </c>
      <c r="D87" s="64">
        <v>104.3</v>
      </c>
      <c r="E87" s="64">
        <v>1.22</v>
      </c>
      <c r="F87" s="64">
        <v>3.53</v>
      </c>
      <c r="G87" s="64">
        <v>202.16</v>
      </c>
      <c r="H87" s="64">
        <v>56.8</v>
      </c>
      <c r="I87" s="64">
        <v>1.54</v>
      </c>
      <c r="J87" s="64">
        <v>0.04</v>
      </c>
      <c r="K87" s="64">
        <v>261.87</v>
      </c>
      <c r="L87" s="64">
        <v>15.82</v>
      </c>
      <c r="M87" s="64">
        <v>67.040000000000006</v>
      </c>
      <c r="N87" s="64">
        <v>62.6</v>
      </c>
      <c r="O87" s="64">
        <v>0</v>
      </c>
      <c r="P87" s="64">
        <v>2.82</v>
      </c>
      <c r="Q87" s="64">
        <v>1.26</v>
      </c>
      <c r="R87" s="198"/>
      <c r="S87" s="198"/>
      <c r="T87" s="198"/>
      <c r="U87" s="198"/>
    </row>
    <row r="88" spans="1:26" s="12" customFormat="1" x14ac:dyDescent="0.25">
      <c r="A88" s="214" t="s">
        <v>1767</v>
      </c>
      <c r="B88" s="64">
        <v>78.53</v>
      </c>
      <c r="C88" s="64">
        <v>85.95</v>
      </c>
      <c r="D88" s="64">
        <v>111.05</v>
      </c>
      <c r="E88" s="64">
        <v>0.65</v>
      </c>
      <c r="F88" s="64">
        <v>3.91</v>
      </c>
      <c r="G88" s="64">
        <v>241.16</v>
      </c>
      <c r="H88" s="64">
        <v>74.25</v>
      </c>
      <c r="I88" s="64">
        <v>1.57</v>
      </c>
      <c r="J88" s="64">
        <v>0.06</v>
      </c>
      <c r="K88" s="64">
        <v>177.55</v>
      </c>
      <c r="L88" s="64">
        <v>15.79</v>
      </c>
      <c r="M88" s="64">
        <v>69.150000000000006</v>
      </c>
      <c r="N88" s="64">
        <v>61.9</v>
      </c>
      <c r="O88" s="64">
        <v>0</v>
      </c>
      <c r="P88" s="64">
        <v>2.57</v>
      </c>
      <c r="Q88" s="64">
        <v>2.11</v>
      </c>
      <c r="R88" s="198"/>
      <c r="S88" s="198"/>
      <c r="T88" s="198"/>
      <c r="U88" s="198"/>
    </row>
    <row r="89" spans="1:26" s="12" customFormat="1" x14ac:dyDescent="0.25">
      <c r="A89" s="214" t="s">
        <v>1768</v>
      </c>
      <c r="B89" s="64">
        <v>90.01</v>
      </c>
      <c r="C89" s="64">
        <v>87.75</v>
      </c>
      <c r="D89" s="64">
        <v>121.25</v>
      </c>
      <c r="E89" s="64">
        <v>1.1000000000000001</v>
      </c>
      <c r="F89" s="64">
        <v>3.92</v>
      </c>
      <c r="G89" s="64">
        <v>241.16</v>
      </c>
      <c r="H89" s="64">
        <v>74.25</v>
      </c>
      <c r="I89" s="64">
        <v>1.48</v>
      </c>
      <c r="J89" s="64">
        <v>0.08</v>
      </c>
      <c r="K89" s="64">
        <v>179.86</v>
      </c>
      <c r="L89" s="64">
        <v>15.73</v>
      </c>
      <c r="M89" s="64">
        <v>66.03</v>
      </c>
      <c r="N89" s="64">
        <v>61.4</v>
      </c>
      <c r="O89" s="64">
        <v>0</v>
      </c>
      <c r="P89" s="64">
        <v>2.67</v>
      </c>
      <c r="Q89" s="64">
        <v>1.22</v>
      </c>
      <c r="R89" s="198"/>
      <c r="S89" s="198"/>
      <c r="T89" s="198"/>
      <c r="U89" s="198"/>
    </row>
    <row r="90" spans="1:26" s="12" customFormat="1" x14ac:dyDescent="0.25">
      <c r="A90" s="214" t="s">
        <v>1769</v>
      </c>
      <c r="B90" s="64">
        <v>98.02</v>
      </c>
      <c r="C90" s="64">
        <v>88.66</v>
      </c>
      <c r="D90" s="64">
        <v>128.18</v>
      </c>
      <c r="E90" s="64">
        <v>1.1399999999999999</v>
      </c>
      <c r="F90" s="64">
        <v>3.81</v>
      </c>
      <c r="G90" s="64">
        <v>241.16</v>
      </c>
      <c r="H90" s="64">
        <v>74.25</v>
      </c>
      <c r="I90" s="64">
        <v>1.49</v>
      </c>
      <c r="J90" s="64">
        <v>0.09</v>
      </c>
      <c r="K90" s="64">
        <v>308.77</v>
      </c>
      <c r="L90" s="64">
        <v>15.48</v>
      </c>
      <c r="M90" s="64">
        <v>78.599999999999994</v>
      </c>
      <c r="N90" s="64">
        <v>60.7</v>
      </c>
      <c r="O90" s="64">
        <v>0</v>
      </c>
      <c r="P90" s="64">
        <v>3.64</v>
      </c>
      <c r="Q90" s="64">
        <v>1.41</v>
      </c>
      <c r="R90" s="198"/>
      <c r="S90" s="198"/>
      <c r="T90" s="198"/>
      <c r="U90" s="198"/>
    </row>
    <row r="91" spans="1:26" s="12" customFormat="1" x14ac:dyDescent="0.25">
      <c r="A91" s="214" t="s">
        <v>1770</v>
      </c>
      <c r="B91" s="64">
        <v>106.39</v>
      </c>
      <c r="C91" s="64">
        <v>89</v>
      </c>
      <c r="D91" s="64">
        <v>135.08000000000001</v>
      </c>
      <c r="E91" s="64">
        <v>1.1200000000000001</v>
      </c>
      <c r="F91" s="64">
        <v>3.92</v>
      </c>
      <c r="G91" s="64">
        <v>242.85</v>
      </c>
      <c r="H91" s="64">
        <v>77.02</v>
      </c>
      <c r="I91" s="64">
        <v>1.48</v>
      </c>
      <c r="J91" s="64">
        <v>0.02</v>
      </c>
      <c r="K91" s="64">
        <v>150.28</v>
      </c>
      <c r="L91" s="64">
        <v>15.18</v>
      </c>
      <c r="M91" s="64">
        <v>77.08</v>
      </c>
      <c r="N91" s="64">
        <v>60.1</v>
      </c>
      <c r="O91" s="64">
        <v>0</v>
      </c>
      <c r="P91" s="64">
        <v>3.66</v>
      </c>
      <c r="Q91" s="64">
        <v>1.66</v>
      </c>
      <c r="R91" s="198"/>
      <c r="S91" s="198"/>
      <c r="T91" s="198"/>
      <c r="U91" s="198"/>
    </row>
    <row r="92" spans="1:26" s="12" customFormat="1" x14ac:dyDescent="0.25">
      <c r="A92" s="214" t="s">
        <v>1771</v>
      </c>
      <c r="B92" s="64">
        <v>113.96</v>
      </c>
      <c r="C92" s="64">
        <v>88.95</v>
      </c>
      <c r="D92" s="64">
        <v>141.13</v>
      </c>
      <c r="E92" s="64">
        <v>1.27</v>
      </c>
      <c r="F92" s="64">
        <v>3.85</v>
      </c>
      <c r="G92" s="64">
        <v>247.9</v>
      </c>
      <c r="H92" s="64">
        <v>84.83</v>
      </c>
      <c r="I92" s="64">
        <v>1.48</v>
      </c>
      <c r="J92" s="64">
        <v>0.17</v>
      </c>
      <c r="K92" s="64">
        <v>337.82</v>
      </c>
      <c r="L92" s="64">
        <v>15.13</v>
      </c>
      <c r="M92" s="64">
        <v>81.849999999999994</v>
      </c>
      <c r="N92" s="64">
        <v>60.2</v>
      </c>
      <c r="O92" s="64">
        <v>0</v>
      </c>
      <c r="P92" s="64">
        <v>4.3600000000000003</v>
      </c>
      <c r="Q92" s="6" t="s">
        <v>42</v>
      </c>
      <c r="R92" s="198"/>
      <c r="S92" s="198"/>
      <c r="T92" s="198"/>
      <c r="U92" s="198"/>
    </row>
    <row r="93" spans="1:26" s="12" customFormat="1" x14ac:dyDescent="0.25">
      <c r="A93" s="214" t="s">
        <v>1772</v>
      </c>
      <c r="B93" s="64">
        <v>124.9</v>
      </c>
      <c r="C93" s="64">
        <v>89.02</v>
      </c>
      <c r="D93" s="64">
        <v>149.94</v>
      </c>
      <c r="E93" s="64">
        <v>1.2</v>
      </c>
      <c r="F93" s="64">
        <v>3.28</v>
      </c>
      <c r="G93" s="64">
        <v>247.9</v>
      </c>
      <c r="H93" s="64">
        <v>84.83</v>
      </c>
      <c r="I93" s="64">
        <v>1.48</v>
      </c>
      <c r="J93" s="64">
        <v>0.09</v>
      </c>
      <c r="K93" s="64">
        <v>306.39</v>
      </c>
      <c r="L93" s="64">
        <v>15.08</v>
      </c>
      <c r="M93" s="64">
        <v>77.209999999999994</v>
      </c>
      <c r="N93" s="64">
        <v>59.4</v>
      </c>
      <c r="O93" s="64">
        <v>0</v>
      </c>
      <c r="P93" s="64">
        <v>4</v>
      </c>
      <c r="Q93" s="64">
        <v>3.87</v>
      </c>
      <c r="R93" s="198"/>
      <c r="S93" s="198"/>
      <c r="T93" s="198"/>
      <c r="U93" s="198"/>
    </row>
    <row r="94" spans="1:26" s="12" customFormat="1" x14ac:dyDescent="0.25">
      <c r="A94" s="214" t="s">
        <v>1773</v>
      </c>
      <c r="B94" s="64">
        <v>133.75</v>
      </c>
      <c r="C94" s="64">
        <v>88.68</v>
      </c>
      <c r="D94" s="64">
        <v>156.85</v>
      </c>
      <c r="E94" s="64">
        <v>1.21</v>
      </c>
      <c r="F94" s="64">
        <v>4.0199999999999996</v>
      </c>
      <c r="G94" s="64">
        <v>247.9</v>
      </c>
      <c r="H94" s="64">
        <v>84.83</v>
      </c>
      <c r="I94" s="64">
        <v>1.57</v>
      </c>
      <c r="J94" s="64">
        <v>0.14000000000000001</v>
      </c>
      <c r="K94" s="64">
        <v>333.56</v>
      </c>
      <c r="L94" s="64">
        <v>15.18</v>
      </c>
      <c r="M94" s="64">
        <v>80.84</v>
      </c>
      <c r="N94" s="64">
        <v>59</v>
      </c>
      <c r="O94" s="64">
        <v>0</v>
      </c>
      <c r="P94" s="64">
        <v>4.3899999999999997</v>
      </c>
      <c r="Q94" s="64">
        <v>1.73</v>
      </c>
      <c r="R94" s="198"/>
      <c r="S94" s="198"/>
      <c r="T94" s="198"/>
      <c r="U94" s="198"/>
    </row>
    <row r="95" spans="1:26" s="12" customFormat="1" x14ac:dyDescent="0.25">
      <c r="A95" s="214" t="s">
        <v>1774</v>
      </c>
      <c r="B95" s="64">
        <v>143.37</v>
      </c>
      <c r="C95" s="64">
        <v>88.7</v>
      </c>
      <c r="D95" s="64">
        <v>164.57</v>
      </c>
      <c r="E95" s="64">
        <v>1.23</v>
      </c>
      <c r="F95" s="64">
        <v>3.89</v>
      </c>
      <c r="G95" s="64">
        <v>247.9</v>
      </c>
      <c r="H95" s="64">
        <v>86.96</v>
      </c>
      <c r="I95" s="64">
        <v>1.39</v>
      </c>
      <c r="J95" s="64">
        <v>0.12</v>
      </c>
      <c r="K95" s="64">
        <v>321.70999999999998</v>
      </c>
      <c r="L95" s="64">
        <v>14.87</v>
      </c>
      <c r="M95" s="64">
        <v>80.349999999999994</v>
      </c>
      <c r="N95" s="64">
        <v>58.1</v>
      </c>
      <c r="O95" s="64">
        <v>0</v>
      </c>
      <c r="P95" s="64">
        <v>4.22</v>
      </c>
      <c r="Q95" s="64">
        <v>2.4500000000000002</v>
      </c>
      <c r="R95" s="198"/>
      <c r="S95" s="198"/>
      <c r="T95" s="198"/>
      <c r="U95" s="198"/>
    </row>
    <row r="96" spans="1:26" s="12" customFormat="1" x14ac:dyDescent="0.25">
      <c r="A96" s="214" t="s">
        <v>1775</v>
      </c>
      <c r="B96" s="64">
        <v>151.83000000000001</v>
      </c>
      <c r="C96" s="64">
        <v>88.91</v>
      </c>
      <c r="D96" s="64">
        <v>171.47</v>
      </c>
      <c r="E96" s="64">
        <v>1.18</v>
      </c>
      <c r="F96" s="64">
        <v>3.94</v>
      </c>
      <c r="G96" s="64">
        <v>296.07</v>
      </c>
      <c r="H96" s="64">
        <v>93.09</v>
      </c>
      <c r="I96" s="64">
        <v>1.54</v>
      </c>
      <c r="J96" s="64">
        <v>0.11</v>
      </c>
      <c r="K96" s="64">
        <v>271.75</v>
      </c>
      <c r="L96" s="64">
        <v>14.93</v>
      </c>
      <c r="M96" s="64">
        <v>81.709999999999994</v>
      </c>
      <c r="N96" s="64">
        <v>57.2</v>
      </c>
      <c r="O96" s="64">
        <v>0</v>
      </c>
      <c r="P96" s="64">
        <v>3.85</v>
      </c>
      <c r="Q96" s="64">
        <v>9.8699999999999992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1776</v>
      </c>
      <c r="B97" s="64">
        <v>156.38999999999999</v>
      </c>
      <c r="C97" s="64">
        <v>88.45</v>
      </c>
      <c r="D97" s="64">
        <v>174.87</v>
      </c>
      <c r="E97" s="64">
        <v>1.0900000000000001</v>
      </c>
      <c r="F97" s="64">
        <v>3.58</v>
      </c>
      <c r="G97" s="64">
        <v>296.07</v>
      </c>
      <c r="H97" s="64">
        <v>93.09</v>
      </c>
      <c r="I97" s="64">
        <v>1.51</v>
      </c>
      <c r="J97" s="64">
        <v>0.39</v>
      </c>
      <c r="K97" s="64">
        <v>148.1</v>
      </c>
      <c r="L97" s="64">
        <v>15.02</v>
      </c>
      <c r="M97" s="64">
        <v>72.16</v>
      </c>
      <c r="N97" s="64">
        <v>55.7</v>
      </c>
      <c r="O97" s="64">
        <v>0</v>
      </c>
      <c r="P97" s="64">
        <v>3.65</v>
      </c>
      <c r="Q97" s="64">
        <v>13.65</v>
      </c>
      <c r="R97" s="198"/>
      <c r="S97" s="198"/>
      <c r="T97" s="198"/>
      <c r="U97" s="198"/>
    </row>
    <row r="98" spans="1:33" s="12" customFormat="1" x14ac:dyDescent="0.25">
      <c r="A98" s="214" t="s">
        <v>1777</v>
      </c>
      <c r="B98" s="64">
        <v>154.82</v>
      </c>
      <c r="C98" s="64">
        <v>88.08</v>
      </c>
      <c r="D98" s="64">
        <v>173.41</v>
      </c>
      <c r="E98" s="64">
        <v>0.99</v>
      </c>
      <c r="F98" s="64">
        <v>3.68</v>
      </c>
      <c r="G98" s="64">
        <v>296.07</v>
      </c>
      <c r="H98" s="64">
        <v>93.09</v>
      </c>
      <c r="I98" s="64">
        <v>1.48</v>
      </c>
      <c r="J98" s="64">
        <v>0.1</v>
      </c>
      <c r="K98" s="64">
        <v>324.13</v>
      </c>
      <c r="L98" s="64">
        <v>15.98</v>
      </c>
      <c r="M98" s="64">
        <v>67.73</v>
      </c>
      <c r="N98" s="64">
        <v>57</v>
      </c>
      <c r="O98" s="64">
        <v>0</v>
      </c>
      <c r="P98" s="64">
        <v>2.93</v>
      </c>
      <c r="Q98" s="64">
        <v>18.29</v>
      </c>
      <c r="R98" s="198"/>
      <c r="S98" s="198"/>
      <c r="T98" s="198"/>
      <c r="U98" s="198"/>
    </row>
    <row r="99" spans="1:33" s="12" customFormat="1" x14ac:dyDescent="0.25">
      <c r="A99" s="214" t="s">
        <v>1778</v>
      </c>
      <c r="B99" s="64">
        <v>152.85</v>
      </c>
      <c r="C99" s="64">
        <v>87.34</v>
      </c>
      <c r="D99" s="64">
        <v>171.43</v>
      </c>
      <c r="E99" s="64">
        <v>0.91</v>
      </c>
      <c r="F99" s="64">
        <v>3.45</v>
      </c>
      <c r="G99" s="64">
        <v>218.07</v>
      </c>
      <c r="H99" s="64">
        <v>92.76</v>
      </c>
      <c r="I99" s="64">
        <v>1.51</v>
      </c>
      <c r="J99" s="64">
        <v>0.1</v>
      </c>
      <c r="K99" s="64">
        <v>295.89999999999998</v>
      </c>
      <c r="L99" s="64">
        <v>14.99</v>
      </c>
      <c r="M99" s="64">
        <v>71.52</v>
      </c>
      <c r="N99" s="64">
        <v>57.7</v>
      </c>
      <c r="O99" s="64">
        <v>0</v>
      </c>
      <c r="P99" s="64">
        <v>2.67</v>
      </c>
      <c r="Q99" s="64">
        <v>17.260000000000002</v>
      </c>
      <c r="R99" s="198"/>
      <c r="S99" s="198"/>
      <c r="T99" s="198"/>
      <c r="U99" s="198"/>
    </row>
    <row r="100" spans="1:33" s="12" customFormat="1" x14ac:dyDescent="0.25">
      <c r="A100" s="214" t="s">
        <v>1779</v>
      </c>
      <c r="B100" s="64">
        <v>149.58000000000001</v>
      </c>
      <c r="C100" s="64">
        <v>86.73</v>
      </c>
      <c r="D100" s="64">
        <v>168.46</v>
      </c>
      <c r="E100" s="64">
        <v>0.78</v>
      </c>
      <c r="F100" s="64">
        <v>3.64</v>
      </c>
      <c r="G100" s="64">
        <v>218.07</v>
      </c>
      <c r="H100" s="64">
        <v>91.85</v>
      </c>
      <c r="I100" s="64">
        <v>1.44</v>
      </c>
      <c r="J100" s="64">
        <v>0.1</v>
      </c>
      <c r="K100" s="64">
        <v>279.27</v>
      </c>
      <c r="L100" s="64">
        <v>14.43</v>
      </c>
      <c r="M100" s="64">
        <v>71.61</v>
      </c>
      <c r="N100" s="64">
        <v>57.8</v>
      </c>
      <c r="O100" s="64">
        <v>0</v>
      </c>
      <c r="P100" s="64">
        <v>2.31</v>
      </c>
      <c r="Q100" s="64">
        <v>19.399999999999999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1780</v>
      </c>
      <c r="B101" s="64">
        <v>144.63</v>
      </c>
      <c r="C101" s="64">
        <v>85.94</v>
      </c>
      <c r="D101" s="64">
        <v>164.05</v>
      </c>
      <c r="E101" s="64">
        <v>0.7</v>
      </c>
      <c r="F101" s="64">
        <v>3.45</v>
      </c>
      <c r="G101" s="64">
        <v>218.07</v>
      </c>
      <c r="H101" s="64">
        <v>91.85</v>
      </c>
      <c r="I101" s="64">
        <v>1.5</v>
      </c>
      <c r="J101" s="64">
        <v>0.08</v>
      </c>
      <c r="K101" s="64">
        <v>303.12</v>
      </c>
      <c r="L101" s="64">
        <v>14.31</v>
      </c>
      <c r="M101" s="64">
        <v>73.2</v>
      </c>
      <c r="N101" s="64">
        <v>57.7</v>
      </c>
      <c r="O101" s="64">
        <v>0</v>
      </c>
      <c r="P101" s="64">
        <v>2.15</v>
      </c>
      <c r="Q101" s="64">
        <v>20.8</v>
      </c>
      <c r="R101" s="198"/>
      <c r="S101" s="198"/>
      <c r="T101" s="198"/>
      <c r="U101" s="198"/>
    </row>
    <row r="102" spans="1:33" s="12" customFormat="1" x14ac:dyDescent="0.25">
      <c r="A102" s="214" t="s">
        <v>1781</v>
      </c>
      <c r="B102" s="64">
        <v>140.9</v>
      </c>
      <c r="C102" s="64">
        <v>84.84</v>
      </c>
      <c r="D102" s="64">
        <v>160.46</v>
      </c>
      <c r="E102" s="64">
        <v>0.71</v>
      </c>
      <c r="F102" s="64">
        <v>3.53</v>
      </c>
      <c r="G102" s="64">
        <v>218.07</v>
      </c>
      <c r="H102" s="64">
        <v>91.85</v>
      </c>
      <c r="I102" s="64">
        <v>1.53</v>
      </c>
      <c r="J102" s="64">
        <v>0.18</v>
      </c>
      <c r="K102" s="64">
        <v>313.37</v>
      </c>
      <c r="L102" s="64">
        <v>14.14</v>
      </c>
      <c r="M102" s="64">
        <v>78.48</v>
      </c>
      <c r="N102" s="64">
        <v>58</v>
      </c>
      <c r="O102" s="64">
        <v>0</v>
      </c>
      <c r="P102" s="64">
        <v>2.23</v>
      </c>
      <c r="Q102" s="64">
        <v>19.27</v>
      </c>
      <c r="R102" s="198"/>
      <c r="S102" s="198"/>
      <c r="T102" s="198"/>
      <c r="U102" s="198"/>
    </row>
    <row r="103" spans="1:33" s="12" customFormat="1" x14ac:dyDescent="0.25">
      <c r="A103" s="214" t="s">
        <v>1782</v>
      </c>
      <c r="B103" s="64">
        <v>137.24</v>
      </c>
      <c r="C103" s="64">
        <v>83.47</v>
      </c>
      <c r="D103" s="64">
        <v>156.76</v>
      </c>
      <c r="E103" s="64">
        <v>0.68</v>
      </c>
      <c r="F103" s="64">
        <v>3.62</v>
      </c>
      <c r="G103" s="64">
        <v>208.7</v>
      </c>
      <c r="H103" s="64">
        <v>90.36</v>
      </c>
      <c r="I103" s="64">
        <v>1.44</v>
      </c>
      <c r="J103" s="64">
        <v>0.64</v>
      </c>
      <c r="K103" s="64">
        <v>324.2</v>
      </c>
      <c r="L103" s="64">
        <v>13.8</v>
      </c>
      <c r="M103" s="64">
        <v>82.3</v>
      </c>
      <c r="N103" s="64">
        <v>56.6</v>
      </c>
      <c r="O103" s="64">
        <v>0</v>
      </c>
      <c r="P103" s="64">
        <v>1.96</v>
      </c>
      <c r="Q103" s="64">
        <v>21.63</v>
      </c>
      <c r="R103" s="198"/>
      <c r="S103" s="198"/>
      <c r="T103" s="198"/>
      <c r="U103" s="198"/>
    </row>
    <row r="104" spans="1:33" s="12" customFormat="1" x14ac:dyDescent="0.25">
      <c r="A104" s="214" t="s">
        <v>1783</v>
      </c>
      <c r="B104" s="64">
        <v>130.85</v>
      </c>
      <c r="C104" s="64">
        <v>82.36</v>
      </c>
      <c r="D104" s="64">
        <v>151.03</v>
      </c>
      <c r="E104" s="64">
        <v>0.5</v>
      </c>
      <c r="F104" s="64">
        <v>3.81</v>
      </c>
      <c r="G104" s="64">
        <v>171.2</v>
      </c>
      <c r="H104" s="64">
        <v>86.29</v>
      </c>
      <c r="I104" s="64">
        <v>1.52</v>
      </c>
      <c r="J104" s="64">
        <v>0.28999999999999998</v>
      </c>
      <c r="K104" s="64">
        <v>333.76</v>
      </c>
      <c r="L104" s="64">
        <v>13.94</v>
      </c>
      <c r="M104" s="64">
        <v>79.38</v>
      </c>
      <c r="N104" s="64">
        <v>57.5</v>
      </c>
      <c r="O104" s="64">
        <v>0</v>
      </c>
      <c r="P104" s="64">
        <v>1.91</v>
      </c>
      <c r="Q104" s="64">
        <v>23.83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1.38</v>
      </c>
      <c r="C106" s="67">
        <f>MIN(C9:C104)</f>
        <v>43.9</v>
      </c>
      <c r="D106" s="67">
        <f t="shared" ref="D106:Q106" si="0">MIN(D9:D104)</f>
        <v>25.98</v>
      </c>
      <c r="E106" s="67">
        <f t="shared" si="0"/>
        <v>0.5</v>
      </c>
      <c r="F106" s="67">
        <f t="shared" si="0"/>
        <v>3.24</v>
      </c>
      <c r="G106" s="67">
        <f t="shared" si="0"/>
        <v>31.07</v>
      </c>
      <c r="H106" s="67">
        <f t="shared" si="0"/>
        <v>30.6</v>
      </c>
      <c r="I106" s="67">
        <f t="shared" si="0"/>
        <v>1.39</v>
      </c>
      <c r="J106" s="67">
        <f t="shared" si="0"/>
        <v>0.01</v>
      </c>
      <c r="K106" s="67">
        <f t="shared" si="0"/>
        <v>0.56999999999999995</v>
      </c>
      <c r="L106" s="67">
        <f t="shared" si="0"/>
        <v>11.71</v>
      </c>
      <c r="M106" s="67">
        <f t="shared" si="0"/>
        <v>27.29</v>
      </c>
      <c r="N106" s="67">
        <f t="shared" si="0"/>
        <v>26.1</v>
      </c>
      <c r="O106" s="67">
        <f t="shared" si="0"/>
        <v>0</v>
      </c>
      <c r="P106" s="67">
        <f t="shared" si="0"/>
        <v>0.42</v>
      </c>
      <c r="Q106" s="67">
        <f t="shared" si="0"/>
        <v>0.12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180.66</v>
      </c>
      <c r="C107" s="66">
        <f t="shared" ref="C107:Q107" si="1">MAX(C9:C104)</f>
        <v>89.02</v>
      </c>
      <c r="D107" s="66">
        <f t="shared" si="1"/>
        <v>191.38</v>
      </c>
      <c r="E107" s="66">
        <f t="shared" si="1"/>
        <v>5.97</v>
      </c>
      <c r="F107" s="66">
        <f t="shared" si="1"/>
        <v>39.89</v>
      </c>
      <c r="G107" s="66">
        <f t="shared" si="1"/>
        <v>296.07</v>
      </c>
      <c r="H107" s="66">
        <f t="shared" si="1"/>
        <v>95.67</v>
      </c>
      <c r="I107" s="66">
        <f t="shared" si="1"/>
        <v>1.6</v>
      </c>
      <c r="J107" s="66">
        <f t="shared" si="1"/>
        <v>1.17</v>
      </c>
      <c r="K107" s="66">
        <f t="shared" si="1"/>
        <v>357.3</v>
      </c>
      <c r="L107" s="66">
        <f t="shared" si="1"/>
        <v>26.02</v>
      </c>
      <c r="M107" s="66">
        <f t="shared" si="1"/>
        <v>92.74</v>
      </c>
      <c r="N107" s="66">
        <f t="shared" si="1"/>
        <v>729.2</v>
      </c>
      <c r="O107" s="66">
        <f t="shared" si="1"/>
        <v>0</v>
      </c>
      <c r="P107" s="66">
        <f t="shared" si="1"/>
        <v>4.3899999999999997</v>
      </c>
      <c r="Q107" s="66">
        <f t="shared" si="1"/>
        <v>30.46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67.166666666666686</v>
      </c>
      <c r="C108" s="67">
        <f t="shared" ref="C108:Q108" si="2">AVERAGE(C9:C104)</f>
        <v>71.005053763440841</v>
      </c>
      <c r="D108" s="67">
        <f t="shared" si="2"/>
        <v>93.69569892473119</v>
      </c>
      <c r="E108" s="67">
        <f t="shared" si="2"/>
        <v>1.7240625000000005</v>
      </c>
      <c r="F108" s="67">
        <f t="shared" si="2"/>
        <v>9.7751041666666669</v>
      </c>
      <c r="G108" s="67">
        <f t="shared" si="2"/>
        <v>153.63999999999996</v>
      </c>
      <c r="H108" s="67">
        <f t="shared" si="2"/>
        <v>64.015543478260881</v>
      </c>
      <c r="I108" s="67">
        <f t="shared" si="2"/>
        <v>1.4949999999999994</v>
      </c>
      <c r="J108" s="67">
        <f t="shared" si="2"/>
        <v>0.29020833333333335</v>
      </c>
      <c r="K108" s="67">
        <f t="shared" si="2"/>
        <v>204.45302083333331</v>
      </c>
      <c r="L108" s="67">
        <f t="shared" si="2"/>
        <v>17.3784375</v>
      </c>
      <c r="M108" s="67">
        <f t="shared" si="2"/>
        <v>60.383437499999985</v>
      </c>
      <c r="N108" s="67">
        <f t="shared" si="2"/>
        <v>190.421875</v>
      </c>
      <c r="O108" s="67">
        <f t="shared" si="2"/>
        <v>0</v>
      </c>
      <c r="P108" s="67">
        <f t="shared" si="2"/>
        <v>1.4743617021276596</v>
      </c>
      <c r="Q108" s="67">
        <f t="shared" si="2"/>
        <v>10.403404255319149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55.916155543140086</v>
      </c>
      <c r="C109" s="67">
        <f t="shared" ref="C109:Q109" si="3">STDEV(C9:C104)</f>
        <v>10.728541335235825</v>
      </c>
      <c r="D109" s="67">
        <f t="shared" si="3"/>
        <v>48.699104143127165</v>
      </c>
      <c r="E109" s="67">
        <f t="shared" si="3"/>
        <v>0.98572290130537776</v>
      </c>
      <c r="F109" s="67">
        <f t="shared" si="3"/>
        <v>9.6715643969200684</v>
      </c>
      <c r="G109" s="67">
        <f t="shared" si="3"/>
        <v>65.454730837510752</v>
      </c>
      <c r="H109" s="67">
        <f t="shared" si="3"/>
        <v>23.742750813351396</v>
      </c>
      <c r="I109" s="67">
        <f t="shared" si="3"/>
        <v>4.3455966824264558E-2</v>
      </c>
      <c r="J109" s="67">
        <f t="shared" si="3"/>
        <v>0.27250100595339843</v>
      </c>
      <c r="K109" s="67">
        <f t="shared" si="3"/>
        <v>121.49290294299239</v>
      </c>
      <c r="L109" s="67">
        <f t="shared" si="3"/>
        <v>4.3748482868431875</v>
      </c>
      <c r="M109" s="67">
        <f t="shared" si="3"/>
        <v>21.244028551850615</v>
      </c>
      <c r="N109" s="67">
        <f t="shared" si="3"/>
        <v>229.85293156282845</v>
      </c>
      <c r="O109" s="67">
        <f t="shared" si="3"/>
        <v>0</v>
      </c>
      <c r="P109" s="67">
        <f t="shared" si="3"/>
        <v>1.0190281671274948</v>
      </c>
      <c r="Q109" s="67">
        <f t="shared" si="3"/>
        <v>8.1219461825236046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 t="shared" ref="E110:O110" si="4">COUNT(E9:E104)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</f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1784</v>
      </c>
      <c r="B9" s="64">
        <v>124.59</v>
      </c>
      <c r="C9" s="64">
        <v>80.819999999999993</v>
      </c>
      <c r="D9" s="64">
        <v>145.16</v>
      </c>
      <c r="E9" s="64">
        <v>0.73</v>
      </c>
      <c r="F9" s="64">
        <v>3.82</v>
      </c>
      <c r="G9" s="64">
        <v>171.2</v>
      </c>
      <c r="H9" s="64">
        <v>86.29</v>
      </c>
      <c r="I9" s="64">
        <v>1.46</v>
      </c>
      <c r="J9" s="64">
        <v>0.1</v>
      </c>
      <c r="K9" s="64">
        <v>115.6</v>
      </c>
      <c r="L9" s="64">
        <v>13.94</v>
      </c>
      <c r="M9" s="64">
        <v>76.319999999999993</v>
      </c>
      <c r="N9" s="64">
        <v>58.2</v>
      </c>
      <c r="O9" s="64">
        <v>0</v>
      </c>
      <c r="P9" s="64">
        <v>1.67</v>
      </c>
      <c r="Q9" s="64">
        <v>22.53</v>
      </c>
      <c r="R9" s="198"/>
      <c r="S9" s="198"/>
      <c r="T9" s="198"/>
      <c r="U9" s="198"/>
    </row>
    <row r="10" spans="1:21" s="12" customFormat="1" x14ac:dyDescent="0.25">
      <c r="A10" s="214" t="s">
        <v>1785</v>
      </c>
      <c r="B10" s="64">
        <v>118</v>
      </c>
      <c r="C10" s="64">
        <v>79.14</v>
      </c>
      <c r="D10" s="64">
        <v>138.94999999999999</v>
      </c>
      <c r="E10" s="64">
        <v>0.65</v>
      </c>
      <c r="F10" s="64">
        <v>3.52</v>
      </c>
      <c r="G10" s="64">
        <v>171.2</v>
      </c>
      <c r="H10" s="64">
        <v>86.29</v>
      </c>
      <c r="I10" s="64">
        <v>1.55</v>
      </c>
      <c r="J10" s="64">
        <v>0.06</v>
      </c>
      <c r="K10" s="64">
        <v>156.41999999999999</v>
      </c>
      <c r="L10" s="64">
        <v>13.68</v>
      </c>
      <c r="M10" s="64">
        <v>75.819999999999993</v>
      </c>
      <c r="N10" s="64">
        <v>58.4</v>
      </c>
      <c r="O10" s="64">
        <v>0</v>
      </c>
      <c r="P10" s="64">
        <v>1.47</v>
      </c>
      <c r="Q10" s="64">
        <v>22.68</v>
      </c>
      <c r="R10" s="198"/>
      <c r="S10" s="198"/>
      <c r="T10" s="198"/>
      <c r="U10" s="198"/>
    </row>
    <row r="11" spans="1:21" s="12" customFormat="1" x14ac:dyDescent="0.25">
      <c r="A11" s="214" t="s">
        <v>1786</v>
      </c>
      <c r="B11" s="64">
        <v>110.72</v>
      </c>
      <c r="C11" s="64">
        <v>77.540000000000006</v>
      </c>
      <c r="D11" s="64">
        <v>132.22999999999999</v>
      </c>
      <c r="E11" s="64">
        <v>0.59</v>
      </c>
      <c r="F11" s="64">
        <v>3.49</v>
      </c>
      <c r="G11" s="64">
        <v>168.57</v>
      </c>
      <c r="H11" s="64">
        <v>85.36</v>
      </c>
      <c r="I11" s="64">
        <v>1.49</v>
      </c>
      <c r="J11" s="64">
        <v>0.12</v>
      </c>
      <c r="K11" s="64">
        <v>321.48</v>
      </c>
      <c r="L11" s="64">
        <v>13.68</v>
      </c>
      <c r="M11" s="64">
        <v>78.7</v>
      </c>
      <c r="N11" s="64">
        <v>59</v>
      </c>
      <c r="O11" s="64">
        <v>0</v>
      </c>
      <c r="P11" s="64">
        <v>1.27</v>
      </c>
      <c r="Q11" s="64">
        <v>23.05</v>
      </c>
      <c r="R11" s="198"/>
      <c r="S11" s="198"/>
      <c r="T11" s="198"/>
      <c r="U11" s="198"/>
    </row>
    <row r="12" spans="1:21" s="12" customFormat="1" x14ac:dyDescent="0.25">
      <c r="A12" s="214" t="s">
        <v>1787</v>
      </c>
      <c r="B12" s="64">
        <v>104.28</v>
      </c>
      <c r="C12" s="64">
        <v>76.510000000000005</v>
      </c>
      <c r="D12" s="64">
        <v>126.49</v>
      </c>
      <c r="E12" s="64">
        <v>0.57999999999999996</v>
      </c>
      <c r="F12" s="64">
        <v>3.41</v>
      </c>
      <c r="G12" s="64">
        <v>158.07</v>
      </c>
      <c r="H12" s="64">
        <v>80.849999999999994</v>
      </c>
      <c r="I12" s="64">
        <v>1.47</v>
      </c>
      <c r="J12" s="64">
        <v>0.06</v>
      </c>
      <c r="K12" s="64">
        <v>304.04000000000002</v>
      </c>
      <c r="L12" s="64">
        <v>13.24</v>
      </c>
      <c r="M12" s="64">
        <v>79.63</v>
      </c>
      <c r="N12" s="64">
        <v>59</v>
      </c>
      <c r="O12" s="64">
        <v>0</v>
      </c>
      <c r="P12" s="64">
        <v>1.29</v>
      </c>
      <c r="Q12" s="64">
        <v>21.18</v>
      </c>
      <c r="R12" s="198"/>
      <c r="S12" s="198"/>
      <c r="T12" s="198"/>
      <c r="U12" s="198"/>
    </row>
    <row r="13" spans="1:21" s="12" customFormat="1" x14ac:dyDescent="0.25">
      <c r="A13" s="214" t="s">
        <v>1788</v>
      </c>
      <c r="B13" s="64">
        <v>97.98</v>
      </c>
      <c r="C13" s="64">
        <v>75.349999999999994</v>
      </c>
      <c r="D13" s="64">
        <v>120.8</v>
      </c>
      <c r="E13" s="64">
        <v>0.47</v>
      </c>
      <c r="F13" s="64">
        <v>3.56</v>
      </c>
      <c r="G13" s="64">
        <v>158.07</v>
      </c>
      <c r="H13" s="64">
        <v>80.849999999999994</v>
      </c>
      <c r="I13" s="64">
        <v>1.51</v>
      </c>
      <c r="J13" s="64">
        <v>0.03</v>
      </c>
      <c r="K13" s="64">
        <v>282.01</v>
      </c>
      <c r="L13" s="64">
        <v>12.96</v>
      </c>
      <c r="M13" s="64">
        <v>80.37</v>
      </c>
      <c r="N13" s="64">
        <v>58.9</v>
      </c>
      <c r="O13" s="64">
        <v>0</v>
      </c>
      <c r="P13" s="64">
        <v>0.94</v>
      </c>
      <c r="Q13" s="64">
        <v>20.57</v>
      </c>
      <c r="R13" s="198"/>
      <c r="S13" s="198"/>
      <c r="T13" s="198"/>
      <c r="U13" s="198"/>
    </row>
    <row r="14" spans="1:21" s="12" customFormat="1" x14ac:dyDescent="0.25">
      <c r="A14" s="214" t="s">
        <v>1789</v>
      </c>
      <c r="B14" s="64">
        <v>91.64</v>
      </c>
      <c r="C14" s="64">
        <v>74.11</v>
      </c>
      <c r="D14" s="64">
        <v>115.03</v>
      </c>
      <c r="E14" s="64">
        <v>0.41</v>
      </c>
      <c r="F14" s="64">
        <v>3.51</v>
      </c>
      <c r="G14" s="64">
        <v>158.07</v>
      </c>
      <c r="H14" s="64">
        <v>80.849999999999994</v>
      </c>
      <c r="I14" s="64">
        <v>1.48</v>
      </c>
      <c r="J14" s="64">
        <v>0.08</v>
      </c>
      <c r="K14" s="64">
        <v>260.88</v>
      </c>
      <c r="L14" s="64">
        <v>12.81</v>
      </c>
      <c r="M14" s="64">
        <v>83.48</v>
      </c>
      <c r="N14" s="64">
        <v>59</v>
      </c>
      <c r="O14" s="64">
        <v>0</v>
      </c>
      <c r="P14" s="64">
        <v>1.07</v>
      </c>
      <c r="Q14" s="64">
        <v>19.420000000000002</v>
      </c>
      <c r="R14" s="198"/>
      <c r="S14" s="198"/>
      <c r="T14" s="198"/>
      <c r="U14" s="198"/>
    </row>
    <row r="15" spans="1:21" s="12" customFormat="1" x14ac:dyDescent="0.25">
      <c r="A15" s="214" t="s">
        <v>1790</v>
      </c>
      <c r="B15" s="64">
        <v>85.81</v>
      </c>
      <c r="C15" s="64">
        <v>72.84</v>
      </c>
      <c r="D15" s="64">
        <v>109.66</v>
      </c>
      <c r="E15" s="64">
        <v>0.46</v>
      </c>
      <c r="F15" s="64">
        <v>2.98</v>
      </c>
      <c r="G15" s="64">
        <v>154.19</v>
      </c>
      <c r="H15" s="64">
        <v>78.81</v>
      </c>
      <c r="I15" s="64">
        <v>1.59</v>
      </c>
      <c r="J15" s="64">
        <v>0.18</v>
      </c>
      <c r="K15" s="64">
        <v>344.83</v>
      </c>
      <c r="L15" s="64">
        <v>12.66</v>
      </c>
      <c r="M15" s="64">
        <v>85.77</v>
      </c>
      <c r="N15" s="64">
        <v>58.9</v>
      </c>
      <c r="O15" s="64">
        <v>0</v>
      </c>
      <c r="P15" s="64">
        <v>1.05</v>
      </c>
      <c r="Q15" s="64">
        <v>17.77</v>
      </c>
      <c r="R15" s="198"/>
      <c r="S15" s="198"/>
      <c r="T15" s="198"/>
      <c r="U15" s="198"/>
    </row>
    <row r="16" spans="1:21" s="12" customFormat="1" x14ac:dyDescent="0.25">
      <c r="A16" s="214" t="s">
        <v>1791</v>
      </c>
      <c r="B16" s="64">
        <v>80.680000000000007</v>
      </c>
      <c r="C16" s="64">
        <v>71.260000000000005</v>
      </c>
      <c r="D16" s="64">
        <v>104.67</v>
      </c>
      <c r="E16" s="64">
        <v>0.46</v>
      </c>
      <c r="F16" s="64">
        <v>3.08</v>
      </c>
      <c r="G16" s="64">
        <v>138.69999999999999</v>
      </c>
      <c r="H16" s="64">
        <v>73.260000000000005</v>
      </c>
      <c r="I16" s="64">
        <v>1.5</v>
      </c>
      <c r="J16" s="64">
        <v>0.17</v>
      </c>
      <c r="K16" s="64">
        <v>304.45</v>
      </c>
      <c r="L16" s="64">
        <v>12.84</v>
      </c>
      <c r="M16" s="64">
        <v>84.39</v>
      </c>
      <c r="N16" s="64">
        <v>58.1</v>
      </c>
      <c r="O16" s="64">
        <v>0</v>
      </c>
      <c r="P16" s="64">
        <v>1.02</v>
      </c>
      <c r="Q16" s="64">
        <v>17.48</v>
      </c>
      <c r="R16" s="198"/>
      <c r="S16" s="198"/>
      <c r="T16" s="198"/>
      <c r="U16" s="198"/>
    </row>
    <row r="17" spans="1:21" s="12" customFormat="1" x14ac:dyDescent="0.25">
      <c r="A17" s="214" t="s">
        <v>1792</v>
      </c>
      <c r="B17" s="64">
        <v>74.97</v>
      </c>
      <c r="C17" s="64">
        <v>70.16</v>
      </c>
      <c r="D17" s="64">
        <v>99.48</v>
      </c>
      <c r="E17" s="64">
        <v>0.39</v>
      </c>
      <c r="F17" s="64">
        <v>4.18</v>
      </c>
      <c r="G17" s="64">
        <v>138.69999999999999</v>
      </c>
      <c r="H17" s="64">
        <v>73.260000000000005</v>
      </c>
      <c r="I17" s="64">
        <v>1.52</v>
      </c>
      <c r="J17" s="64">
        <v>0.02</v>
      </c>
      <c r="K17" s="64">
        <v>189.94</v>
      </c>
      <c r="L17" s="64">
        <v>13.2</v>
      </c>
      <c r="M17" s="64">
        <v>75.28</v>
      </c>
      <c r="N17" s="64">
        <v>58.9</v>
      </c>
      <c r="O17" s="64">
        <v>0</v>
      </c>
      <c r="P17" s="64">
        <v>0.87</v>
      </c>
      <c r="Q17" s="64">
        <v>17.309999999999999</v>
      </c>
      <c r="R17" s="198"/>
      <c r="S17" s="198"/>
      <c r="T17" s="198"/>
      <c r="U17" s="198"/>
    </row>
    <row r="18" spans="1:21" s="12" customFormat="1" x14ac:dyDescent="0.25">
      <c r="A18" s="214" t="s">
        <v>1793</v>
      </c>
      <c r="B18" s="64">
        <v>69.09</v>
      </c>
      <c r="C18" s="64">
        <v>69.37</v>
      </c>
      <c r="D18" s="64">
        <v>94.34</v>
      </c>
      <c r="E18" s="64">
        <v>0.62</v>
      </c>
      <c r="F18" s="64">
        <v>4.7699999999999996</v>
      </c>
      <c r="G18" s="64">
        <v>138.69999999999999</v>
      </c>
      <c r="H18" s="64">
        <v>73.260000000000005</v>
      </c>
      <c r="I18" s="64">
        <v>1.48</v>
      </c>
      <c r="J18" s="64">
        <v>0.22</v>
      </c>
      <c r="K18" s="64">
        <v>340.76</v>
      </c>
      <c r="L18" s="64">
        <v>13.46</v>
      </c>
      <c r="M18" s="64">
        <v>73.099999999999994</v>
      </c>
      <c r="N18" s="64">
        <v>58.8</v>
      </c>
      <c r="O18" s="64">
        <v>0</v>
      </c>
      <c r="P18" s="64">
        <v>0.83</v>
      </c>
      <c r="Q18" s="64">
        <v>16.55</v>
      </c>
      <c r="R18" s="198"/>
      <c r="S18" s="198"/>
      <c r="T18" s="198"/>
      <c r="U18" s="198"/>
    </row>
    <row r="19" spans="1:21" s="12" customFormat="1" x14ac:dyDescent="0.25">
      <c r="A19" s="214" t="s">
        <v>1794</v>
      </c>
      <c r="B19" s="64">
        <v>63.48</v>
      </c>
      <c r="C19" s="64">
        <v>68.73</v>
      </c>
      <c r="D19" s="64">
        <v>89.49</v>
      </c>
      <c r="E19" s="64">
        <v>0.51</v>
      </c>
      <c r="F19" s="64">
        <v>5.12</v>
      </c>
      <c r="G19" s="64">
        <v>136.44999999999999</v>
      </c>
      <c r="H19" s="64">
        <v>73.38</v>
      </c>
      <c r="I19" s="64">
        <v>1.48</v>
      </c>
      <c r="J19" s="64">
        <v>0.04</v>
      </c>
      <c r="K19" s="64">
        <v>324.52999999999997</v>
      </c>
      <c r="L19" s="64">
        <v>13</v>
      </c>
      <c r="M19" s="64">
        <v>73.09</v>
      </c>
      <c r="N19" s="64">
        <v>59.8</v>
      </c>
      <c r="O19" s="64">
        <v>0</v>
      </c>
      <c r="P19" s="64">
        <v>0.81</v>
      </c>
      <c r="Q19" s="64">
        <v>15.89</v>
      </c>
      <c r="R19" s="198"/>
      <c r="S19" s="198"/>
      <c r="T19" s="198"/>
      <c r="U19" s="198"/>
    </row>
    <row r="20" spans="1:21" s="12" customFormat="1" x14ac:dyDescent="0.25">
      <c r="A20" s="214" t="s">
        <v>1795</v>
      </c>
      <c r="B20" s="64">
        <v>58.19</v>
      </c>
      <c r="C20" s="64">
        <v>68.12</v>
      </c>
      <c r="D20" s="64">
        <v>84.9</v>
      </c>
      <c r="E20" s="64">
        <v>0.62</v>
      </c>
      <c r="F20" s="64">
        <v>6.39</v>
      </c>
      <c r="G20" s="64">
        <v>127.46</v>
      </c>
      <c r="H20" s="64">
        <v>73.739999999999995</v>
      </c>
      <c r="I20" s="64">
        <v>1.43</v>
      </c>
      <c r="J20" s="64">
        <v>0.12</v>
      </c>
      <c r="K20" s="64">
        <v>131.21</v>
      </c>
      <c r="L20" s="64">
        <v>13</v>
      </c>
      <c r="M20" s="64">
        <v>72.7</v>
      </c>
      <c r="N20" s="64">
        <v>60.2</v>
      </c>
      <c r="O20" s="64">
        <v>0</v>
      </c>
      <c r="P20" s="64">
        <v>0.68</v>
      </c>
      <c r="Q20" s="64">
        <v>15.4</v>
      </c>
      <c r="R20" s="198"/>
      <c r="S20" s="198"/>
      <c r="T20" s="198"/>
      <c r="U20" s="198"/>
    </row>
    <row r="21" spans="1:21" s="12" customFormat="1" x14ac:dyDescent="0.25">
      <c r="A21" s="214" t="s">
        <v>1796</v>
      </c>
      <c r="B21" s="64">
        <v>53.14</v>
      </c>
      <c r="C21" s="64">
        <v>67.2</v>
      </c>
      <c r="D21" s="64">
        <v>80.349999999999994</v>
      </c>
      <c r="E21" s="64">
        <v>0.61</v>
      </c>
      <c r="F21" s="64">
        <v>6.63</v>
      </c>
      <c r="G21" s="64">
        <v>127.46</v>
      </c>
      <c r="H21" s="64">
        <v>73.739999999999995</v>
      </c>
      <c r="I21" s="64">
        <v>1.49</v>
      </c>
      <c r="J21" s="64">
        <v>0.1</v>
      </c>
      <c r="K21" s="64">
        <v>101.28</v>
      </c>
      <c r="L21" s="64">
        <v>13.13</v>
      </c>
      <c r="M21" s="64">
        <v>72.66</v>
      </c>
      <c r="N21" s="64">
        <v>60.3</v>
      </c>
      <c r="O21" s="64">
        <v>0</v>
      </c>
      <c r="P21" s="64">
        <v>0.74</v>
      </c>
      <c r="Q21" s="64">
        <v>14.83</v>
      </c>
      <c r="R21" s="198"/>
      <c r="S21" s="198"/>
      <c r="T21" s="198"/>
      <c r="U21" s="198"/>
    </row>
    <row r="22" spans="1:21" s="12" customFormat="1" x14ac:dyDescent="0.25">
      <c r="A22" s="214" t="s">
        <v>1797</v>
      </c>
      <c r="B22" s="64">
        <v>48.72</v>
      </c>
      <c r="C22" s="64">
        <v>66.34</v>
      </c>
      <c r="D22" s="64">
        <v>76.33</v>
      </c>
      <c r="E22" s="64">
        <v>0.82</v>
      </c>
      <c r="F22" s="64">
        <v>5.69</v>
      </c>
      <c r="G22" s="64">
        <v>127.46</v>
      </c>
      <c r="H22" s="64">
        <v>73.739999999999995</v>
      </c>
      <c r="I22" s="64">
        <v>1.53</v>
      </c>
      <c r="J22" s="64">
        <v>7.0000000000000007E-2</v>
      </c>
      <c r="K22" s="64">
        <v>295.69</v>
      </c>
      <c r="L22" s="64">
        <v>13.1</v>
      </c>
      <c r="M22" s="64">
        <v>78.22</v>
      </c>
      <c r="N22" s="64">
        <v>60.9</v>
      </c>
      <c r="O22" s="64">
        <v>0</v>
      </c>
      <c r="P22" s="64">
        <v>0.81</v>
      </c>
      <c r="Q22" s="64">
        <v>13.58</v>
      </c>
      <c r="R22" s="198"/>
      <c r="S22" s="198"/>
      <c r="T22" s="198"/>
      <c r="U22" s="198"/>
    </row>
    <row r="23" spans="1:21" s="12" customFormat="1" x14ac:dyDescent="0.25">
      <c r="A23" s="214" t="s">
        <v>1798</v>
      </c>
      <c r="B23" s="64">
        <v>45.14</v>
      </c>
      <c r="C23" s="64">
        <v>65.23</v>
      </c>
      <c r="D23" s="64">
        <v>72.849999999999994</v>
      </c>
      <c r="E23" s="64">
        <v>0.69</v>
      </c>
      <c r="F23" s="64">
        <v>4.55</v>
      </c>
      <c r="G23" s="64">
        <v>129.19</v>
      </c>
      <c r="H23" s="64">
        <v>73.72</v>
      </c>
      <c r="I23" s="64">
        <v>1.55</v>
      </c>
      <c r="J23" s="64">
        <v>0.12</v>
      </c>
      <c r="K23" s="64">
        <v>277.23</v>
      </c>
      <c r="L23" s="64">
        <v>12.39</v>
      </c>
      <c r="M23" s="64">
        <v>83.95</v>
      </c>
      <c r="N23" s="64">
        <v>60.6</v>
      </c>
      <c r="O23" s="64">
        <v>0</v>
      </c>
      <c r="P23" s="64">
        <v>0.85</v>
      </c>
      <c r="Q23" s="64">
        <v>12.82</v>
      </c>
      <c r="R23" s="198"/>
      <c r="S23" s="198"/>
      <c r="T23" s="198"/>
      <c r="U23" s="198"/>
    </row>
    <row r="24" spans="1:21" s="12" customFormat="1" x14ac:dyDescent="0.25">
      <c r="A24" s="214" t="s">
        <v>1799</v>
      </c>
      <c r="B24" s="64">
        <v>42.36</v>
      </c>
      <c r="C24" s="64">
        <v>64.06</v>
      </c>
      <c r="D24" s="64">
        <v>69.97</v>
      </c>
      <c r="E24" s="64">
        <v>0.46</v>
      </c>
      <c r="F24" s="64">
        <v>3.74</v>
      </c>
      <c r="G24" s="64">
        <v>136.12</v>
      </c>
      <c r="H24" s="64">
        <v>73.67</v>
      </c>
      <c r="I24" s="64">
        <v>1.49</v>
      </c>
      <c r="J24" s="64">
        <v>0.12</v>
      </c>
      <c r="K24" s="64">
        <v>317.27</v>
      </c>
      <c r="L24" s="64">
        <v>12.07</v>
      </c>
      <c r="M24" s="64">
        <v>88.84</v>
      </c>
      <c r="N24" s="64">
        <v>60.6</v>
      </c>
      <c r="O24" s="64">
        <v>0</v>
      </c>
      <c r="P24" s="64">
        <v>0.91</v>
      </c>
      <c r="Q24" s="64">
        <v>11.51</v>
      </c>
      <c r="R24" s="198"/>
      <c r="S24" s="198"/>
      <c r="T24" s="198"/>
      <c r="U24" s="198"/>
    </row>
    <row r="25" spans="1:21" s="12" customFormat="1" x14ac:dyDescent="0.25">
      <c r="A25" s="214" t="s">
        <v>1800</v>
      </c>
      <c r="B25" s="64">
        <v>41.21</v>
      </c>
      <c r="C25" s="64">
        <v>63.27</v>
      </c>
      <c r="D25" s="64">
        <v>68.61</v>
      </c>
      <c r="E25" s="64">
        <v>0.72</v>
      </c>
      <c r="F25" s="64">
        <v>3.41</v>
      </c>
      <c r="G25" s="64">
        <v>136.12</v>
      </c>
      <c r="H25" s="64">
        <v>73.67</v>
      </c>
      <c r="I25" s="64">
        <v>1.49</v>
      </c>
      <c r="J25" s="64">
        <v>0.08</v>
      </c>
      <c r="K25" s="64">
        <v>311.07</v>
      </c>
      <c r="L25" s="64">
        <v>11.87</v>
      </c>
      <c r="M25" s="64">
        <v>87.23</v>
      </c>
      <c r="N25" s="64">
        <v>60.3</v>
      </c>
      <c r="O25" s="64">
        <v>0</v>
      </c>
      <c r="P25" s="64">
        <v>0.92</v>
      </c>
      <c r="Q25" s="64">
        <v>8.6199999999999992</v>
      </c>
      <c r="R25" s="198"/>
      <c r="S25" s="198"/>
      <c r="T25" s="198"/>
      <c r="U25" s="198"/>
    </row>
    <row r="26" spans="1:21" s="12" customFormat="1" x14ac:dyDescent="0.25">
      <c r="A26" s="214" t="s">
        <v>1801</v>
      </c>
      <c r="B26" s="64">
        <v>40.549999999999997</v>
      </c>
      <c r="C26" s="64">
        <v>62.78</v>
      </c>
      <c r="D26" s="64">
        <v>67.81</v>
      </c>
      <c r="E26" s="64">
        <v>0.73</v>
      </c>
      <c r="F26" s="64">
        <v>3.47</v>
      </c>
      <c r="G26" s="64">
        <v>136.12</v>
      </c>
      <c r="H26" s="64">
        <v>73.67</v>
      </c>
      <c r="I26" s="64">
        <v>1.52</v>
      </c>
      <c r="J26" s="64">
        <v>0.08</v>
      </c>
      <c r="K26" s="64">
        <v>77.34</v>
      </c>
      <c r="L26" s="64">
        <v>12.13</v>
      </c>
      <c r="M26" s="64">
        <v>82.01</v>
      </c>
      <c r="N26" s="64">
        <v>60.1</v>
      </c>
      <c r="O26" s="64">
        <v>0</v>
      </c>
      <c r="P26" s="64">
        <v>0.97</v>
      </c>
      <c r="Q26" s="64">
        <v>8.7899999999999991</v>
      </c>
      <c r="R26" s="198"/>
      <c r="S26" s="198"/>
      <c r="T26" s="198"/>
      <c r="U26" s="198"/>
    </row>
    <row r="27" spans="1:21" s="12" customFormat="1" x14ac:dyDescent="0.25">
      <c r="A27" s="214" t="s">
        <v>1802</v>
      </c>
      <c r="B27" s="64">
        <v>38.75</v>
      </c>
      <c r="C27" s="64">
        <v>62.64</v>
      </c>
      <c r="D27" s="64">
        <v>66.290000000000006</v>
      </c>
      <c r="E27" s="64">
        <v>0.73</v>
      </c>
      <c r="F27" s="64">
        <v>3.48</v>
      </c>
      <c r="G27" s="64">
        <v>139.61000000000001</v>
      </c>
      <c r="H27" s="64">
        <v>73.91</v>
      </c>
      <c r="I27" s="64">
        <v>1.48</v>
      </c>
      <c r="J27" s="64">
        <v>0.12</v>
      </c>
      <c r="K27" s="64">
        <v>78.08</v>
      </c>
      <c r="L27" s="64">
        <v>12.36</v>
      </c>
      <c r="M27" s="64">
        <v>79.36</v>
      </c>
      <c r="N27" s="64">
        <v>60.1</v>
      </c>
      <c r="O27" s="64">
        <v>0</v>
      </c>
      <c r="P27" s="64">
        <v>1.03</v>
      </c>
      <c r="Q27" s="64">
        <v>9.68</v>
      </c>
      <c r="R27" s="198"/>
      <c r="S27" s="198"/>
      <c r="T27" s="198"/>
      <c r="U27" s="198"/>
    </row>
    <row r="28" spans="1:21" s="12" customFormat="1" x14ac:dyDescent="0.25">
      <c r="A28" s="214" t="s">
        <v>1803</v>
      </c>
      <c r="B28" s="64">
        <v>37.06</v>
      </c>
      <c r="C28" s="64">
        <v>62.52</v>
      </c>
      <c r="D28" s="64">
        <v>64.87</v>
      </c>
      <c r="E28" s="64">
        <v>0.77</v>
      </c>
      <c r="F28" s="64">
        <v>3.74</v>
      </c>
      <c r="G28" s="64">
        <v>153.57</v>
      </c>
      <c r="H28" s="64">
        <v>74.94</v>
      </c>
      <c r="I28" s="64">
        <v>1.38</v>
      </c>
      <c r="J28" s="64">
        <v>0.23</v>
      </c>
      <c r="K28" s="64">
        <v>82.14</v>
      </c>
      <c r="L28" s="64">
        <v>12.61</v>
      </c>
      <c r="M28" s="64">
        <v>76.08</v>
      </c>
      <c r="N28" s="64">
        <v>59.8</v>
      </c>
      <c r="O28" s="64">
        <v>0</v>
      </c>
      <c r="P28" s="64">
        <v>0.99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4" t="s">
        <v>1804</v>
      </c>
      <c r="B29" s="64">
        <v>35.130000000000003</v>
      </c>
      <c r="C29" s="64">
        <v>62.34</v>
      </c>
      <c r="D29" s="64">
        <v>63.22</v>
      </c>
      <c r="E29" s="64">
        <v>0.85</v>
      </c>
      <c r="F29" s="64">
        <v>4.3899999999999997</v>
      </c>
      <c r="G29" s="64">
        <v>153.57</v>
      </c>
      <c r="H29" s="64">
        <v>74.94</v>
      </c>
      <c r="I29" s="64">
        <v>1.5</v>
      </c>
      <c r="J29" s="64">
        <v>0.19</v>
      </c>
      <c r="K29" s="64">
        <v>348.19</v>
      </c>
      <c r="L29" s="64">
        <v>12.66</v>
      </c>
      <c r="M29" s="64">
        <v>75.489999999999995</v>
      </c>
      <c r="N29" s="64">
        <v>60.2</v>
      </c>
      <c r="O29" s="64">
        <v>0</v>
      </c>
      <c r="P29" s="64">
        <v>0.98</v>
      </c>
      <c r="Q29" s="64">
        <v>9.7799999999999994</v>
      </c>
      <c r="R29" s="198"/>
      <c r="S29" s="198"/>
      <c r="T29" s="198"/>
      <c r="U29" s="198"/>
    </row>
    <row r="30" spans="1:21" s="12" customFormat="1" x14ac:dyDescent="0.25">
      <c r="A30" s="214" t="s">
        <v>1805</v>
      </c>
      <c r="B30" s="64">
        <v>33.659999999999997</v>
      </c>
      <c r="C30" s="64">
        <v>62.05</v>
      </c>
      <c r="D30" s="64">
        <v>61.88</v>
      </c>
      <c r="E30" s="64">
        <v>1.01</v>
      </c>
      <c r="F30" s="64">
        <v>4.4800000000000004</v>
      </c>
      <c r="G30" s="64">
        <v>153.57</v>
      </c>
      <c r="H30" s="64">
        <v>74.94</v>
      </c>
      <c r="I30" s="64">
        <v>1.51</v>
      </c>
      <c r="J30" s="64">
        <v>0.14000000000000001</v>
      </c>
      <c r="K30" s="64">
        <v>32.119999999999997</v>
      </c>
      <c r="L30" s="64">
        <v>12.57</v>
      </c>
      <c r="M30" s="64">
        <v>76.03</v>
      </c>
      <c r="N30" s="64">
        <v>60.5</v>
      </c>
      <c r="O30" s="64">
        <v>0</v>
      </c>
      <c r="P30" s="64">
        <v>1.01</v>
      </c>
      <c r="Q30" s="64">
        <v>8.3699999999999992</v>
      </c>
      <c r="R30" s="198"/>
      <c r="S30" s="198"/>
      <c r="T30" s="198"/>
      <c r="U30" s="198"/>
    </row>
    <row r="31" spans="1:21" s="12" customFormat="1" x14ac:dyDescent="0.25">
      <c r="A31" s="214" t="s">
        <v>1806</v>
      </c>
      <c r="B31" s="64">
        <v>32.22</v>
      </c>
      <c r="C31" s="64">
        <v>61.89</v>
      </c>
      <c r="D31" s="64">
        <v>60.64</v>
      </c>
      <c r="E31" s="64">
        <v>0.97</v>
      </c>
      <c r="F31" s="64">
        <v>4.5199999999999996</v>
      </c>
      <c r="G31" s="64">
        <v>151.51</v>
      </c>
      <c r="H31" s="64">
        <v>74.39</v>
      </c>
      <c r="I31" s="64">
        <v>1.42</v>
      </c>
      <c r="J31" s="64">
        <v>0.19</v>
      </c>
      <c r="K31" s="64">
        <v>77.83</v>
      </c>
      <c r="L31" s="64">
        <v>12.39</v>
      </c>
      <c r="M31" s="64">
        <v>77.44</v>
      </c>
      <c r="N31" s="64">
        <v>59.3</v>
      </c>
      <c r="O31" s="64">
        <v>0</v>
      </c>
      <c r="P31" s="64">
        <v>0.85</v>
      </c>
      <c r="Q31" s="64">
        <v>9.11</v>
      </c>
      <c r="R31" s="198"/>
      <c r="S31" s="198"/>
      <c r="T31" s="198"/>
      <c r="U31" s="198"/>
    </row>
    <row r="32" spans="1:21" s="12" customFormat="1" x14ac:dyDescent="0.25">
      <c r="A32" s="214" t="s">
        <v>1807</v>
      </c>
      <c r="B32" s="64">
        <v>30.75</v>
      </c>
      <c r="C32" s="64">
        <v>61.76</v>
      </c>
      <c r="D32" s="64">
        <v>59.38</v>
      </c>
      <c r="E32" s="64">
        <v>0.96</v>
      </c>
      <c r="F32" s="64">
        <v>4.0199999999999996</v>
      </c>
      <c r="G32" s="64">
        <v>143.27000000000001</v>
      </c>
      <c r="H32" s="64">
        <v>72.88</v>
      </c>
      <c r="I32" s="64">
        <v>1.56</v>
      </c>
      <c r="J32" s="64">
        <v>0.12</v>
      </c>
      <c r="K32" s="64">
        <v>80.58</v>
      </c>
      <c r="L32" s="64">
        <v>12.27</v>
      </c>
      <c r="M32" s="64">
        <v>78.37</v>
      </c>
      <c r="N32" s="64">
        <v>58.2</v>
      </c>
      <c r="O32" s="64">
        <v>0</v>
      </c>
      <c r="P32" s="64">
        <v>0.82</v>
      </c>
      <c r="Q32" s="64">
        <v>8.48</v>
      </c>
      <c r="R32" s="198"/>
      <c r="S32" s="198"/>
      <c r="T32" s="198"/>
      <c r="U32" s="198"/>
    </row>
    <row r="33" spans="1:21" s="12" customFormat="1" x14ac:dyDescent="0.25">
      <c r="A33" s="214" t="s">
        <v>1808</v>
      </c>
      <c r="B33" s="64">
        <v>30.21</v>
      </c>
      <c r="C33" s="64">
        <v>61.57</v>
      </c>
      <c r="D33" s="64">
        <v>58.85</v>
      </c>
      <c r="E33" s="64">
        <v>0.89</v>
      </c>
      <c r="F33" s="64">
        <v>3.53</v>
      </c>
      <c r="G33" s="64">
        <v>143.27000000000001</v>
      </c>
      <c r="H33" s="64">
        <v>72.88</v>
      </c>
      <c r="I33" s="64">
        <v>1.48</v>
      </c>
      <c r="J33" s="64">
        <v>0.11</v>
      </c>
      <c r="K33" s="64">
        <v>49.31</v>
      </c>
      <c r="L33" s="64">
        <v>12.08</v>
      </c>
      <c r="M33" s="64">
        <v>78.739999999999995</v>
      </c>
      <c r="N33" s="64">
        <v>57.7</v>
      </c>
      <c r="O33" s="64">
        <v>0</v>
      </c>
      <c r="P33" s="64">
        <v>0.76</v>
      </c>
      <c r="Q33" s="64">
        <v>7.27</v>
      </c>
      <c r="R33" s="198"/>
      <c r="S33" s="198"/>
      <c r="T33" s="198"/>
      <c r="U33" s="198"/>
    </row>
    <row r="34" spans="1:21" s="12" customFormat="1" x14ac:dyDescent="0.25">
      <c r="A34" s="214" t="s">
        <v>1809</v>
      </c>
      <c r="B34" s="64">
        <v>29.32</v>
      </c>
      <c r="C34" s="64">
        <v>61.3</v>
      </c>
      <c r="D34" s="64">
        <v>57.99</v>
      </c>
      <c r="E34" s="64">
        <v>0.78</v>
      </c>
      <c r="F34" s="64">
        <v>4.21</v>
      </c>
      <c r="G34" s="64">
        <v>143.27000000000001</v>
      </c>
      <c r="H34" s="64">
        <v>72.88</v>
      </c>
      <c r="I34" s="64">
        <v>1.42</v>
      </c>
      <c r="J34" s="64">
        <v>0.17</v>
      </c>
      <c r="K34" s="64">
        <v>86.28</v>
      </c>
      <c r="L34" s="64">
        <v>12.21</v>
      </c>
      <c r="M34" s="64">
        <v>75.84</v>
      </c>
      <c r="N34" s="64">
        <v>59.7</v>
      </c>
      <c r="O34" s="64">
        <v>0</v>
      </c>
      <c r="P34" s="64">
        <v>0.65</v>
      </c>
      <c r="Q34" s="64">
        <v>8.16</v>
      </c>
      <c r="R34" s="198"/>
      <c r="S34" s="198"/>
      <c r="T34" s="198"/>
      <c r="U34" s="198"/>
    </row>
    <row r="35" spans="1:21" s="12" customFormat="1" x14ac:dyDescent="0.25">
      <c r="A35" s="214" t="s">
        <v>1810</v>
      </c>
      <c r="B35" s="64">
        <v>27.79</v>
      </c>
      <c r="C35" s="64">
        <v>60.98</v>
      </c>
      <c r="D35" s="64">
        <v>56.59</v>
      </c>
      <c r="E35" s="64">
        <v>0.72</v>
      </c>
      <c r="F35" s="64">
        <v>5.47</v>
      </c>
      <c r="G35" s="64">
        <v>137.72999999999999</v>
      </c>
      <c r="H35" s="64">
        <v>71.569999999999993</v>
      </c>
      <c r="I35" s="64">
        <v>1.52</v>
      </c>
      <c r="J35" s="64">
        <v>0.18</v>
      </c>
      <c r="K35" s="64">
        <v>102.71</v>
      </c>
      <c r="L35" s="64">
        <v>12.4</v>
      </c>
      <c r="M35" s="64">
        <v>73.5</v>
      </c>
      <c r="N35" s="64">
        <v>69.099999999999994</v>
      </c>
      <c r="O35" s="64">
        <v>0</v>
      </c>
      <c r="P35" s="64">
        <v>0.53</v>
      </c>
      <c r="Q35" s="64">
        <v>8.99</v>
      </c>
      <c r="R35" s="198"/>
      <c r="S35" s="198"/>
      <c r="T35" s="198"/>
      <c r="U35" s="198"/>
    </row>
    <row r="36" spans="1:21" s="12" customFormat="1" x14ac:dyDescent="0.25">
      <c r="A36" s="214" t="s">
        <v>1811</v>
      </c>
      <c r="B36" s="64">
        <v>26</v>
      </c>
      <c r="C36" s="64">
        <v>60.22</v>
      </c>
      <c r="D36" s="64">
        <v>54.73</v>
      </c>
      <c r="E36" s="64">
        <v>0.64</v>
      </c>
      <c r="F36" s="64">
        <v>6.71</v>
      </c>
      <c r="G36" s="64">
        <v>115.55</v>
      </c>
      <c r="H36" s="64">
        <v>68.010000000000005</v>
      </c>
      <c r="I36" s="64">
        <v>1.55</v>
      </c>
      <c r="J36" s="64">
        <v>0.18</v>
      </c>
      <c r="K36" s="64">
        <v>96.26</v>
      </c>
      <c r="L36" s="64">
        <v>12.62</v>
      </c>
      <c r="M36" s="64">
        <v>71.33</v>
      </c>
      <c r="N36" s="64">
        <v>86.3</v>
      </c>
      <c r="O36" s="64">
        <v>0</v>
      </c>
      <c r="P36" s="64">
        <v>0.44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4" t="s">
        <v>1812</v>
      </c>
      <c r="B37" s="64">
        <v>24.26</v>
      </c>
      <c r="C37" s="64">
        <v>59.63</v>
      </c>
      <c r="D37" s="64">
        <v>53.01</v>
      </c>
      <c r="E37" s="64">
        <v>0.65</v>
      </c>
      <c r="F37" s="64">
        <v>6.55</v>
      </c>
      <c r="G37" s="64">
        <v>115.55</v>
      </c>
      <c r="H37" s="64">
        <v>68.010000000000005</v>
      </c>
      <c r="I37" s="64">
        <v>1.48</v>
      </c>
      <c r="J37" s="64">
        <v>7.0000000000000007E-2</v>
      </c>
      <c r="K37" s="64">
        <v>11.96</v>
      </c>
      <c r="L37" s="64">
        <v>13.03</v>
      </c>
      <c r="M37" s="64">
        <v>69.12</v>
      </c>
      <c r="N37" s="64">
        <v>105.8</v>
      </c>
      <c r="O37" s="64">
        <v>0</v>
      </c>
      <c r="P37" s="64">
        <v>0.51</v>
      </c>
      <c r="Q37" s="64">
        <v>8.16</v>
      </c>
      <c r="R37" s="198"/>
      <c r="S37" s="198"/>
      <c r="T37" s="198"/>
      <c r="U37" s="198"/>
    </row>
    <row r="38" spans="1:21" s="12" customFormat="1" x14ac:dyDescent="0.25">
      <c r="A38" s="214" t="s">
        <v>1813</v>
      </c>
      <c r="B38" s="64">
        <v>23.03</v>
      </c>
      <c r="C38" s="64">
        <v>59.55</v>
      </c>
      <c r="D38" s="64">
        <v>51.97</v>
      </c>
      <c r="E38" s="64">
        <v>0.71</v>
      </c>
      <c r="F38" s="64">
        <v>6.59</v>
      </c>
      <c r="G38" s="64">
        <v>115.55</v>
      </c>
      <c r="H38" s="64">
        <v>68.010000000000005</v>
      </c>
      <c r="I38" s="64">
        <v>1.5</v>
      </c>
      <c r="J38" s="64">
        <v>0.18</v>
      </c>
      <c r="K38" s="64">
        <v>95.95</v>
      </c>
      <c r="L38" s="64">
        <v>13.47</v>
      </c>
      <c r="M38" s="64">
        <v>67.67</v>
      </c>
      <c r="N38" s="64">
        <v>127.9</v>
      </c>
      <c r="O38" s="64">
        <v>0</v>
      </c>
      <c r="P38" s="64">
        <v>0.56000000000000005</v>
      </c>
      <c r="Q38" s="64">
        <v>7.39</v>
      </c>
      <c r="R38" s="198"/>
      <c r="S38" s="198"/>
      <c r="T38" s="198"/>
      <c r="U38" s="198"/>
    </row>
    <row r="39" spans="1:21" s="12" customFormat="1" x14ac:dyDescent="0.25">
      <c r="A39" s="214" t="s">
        <v>1814</v>
      </c>
      <c r="B39" s="64">
        <v>21.81</v>
      </c>
      <c r="C39" s="64">
        <v>59.15</v>
      </c>
      <c r="D39" s="64">
        <v>50.78</v>
      </c>
      <c r="E39" s="64">
        <v>0.72</v>
      </c>
      <c r="F39" s="64">
        <v>6.92</v>
      </c>
      <c r="G39" s="64">
        <v>107.62</v>
      </c>
      <c r="H39" s="64">
        <v>65.650000000000006</v>
      </c>
      <c r="I39" s="64">
        <v>1.48</v>
      </c>
      <c r="J39" s="64">
        <v>0.47</v>
      </c>
      <c r="K39" s="64">
        <v>99.57</v>
      </c>
      <c r="L39" s="64">
        <v>13.98</v>
      </c>
      <c r="M39" s="64">
        <v>65.959999999999994</v>
      </c>
      <c r="N39" s="64">
        <v>196</v>
      </c>
      <c r="O39" s="64">
        <v>0</v>
      </c>
      <c r="P39" s="64">
        <v>0.64</v>
      </c>
      <c r="Q39" s="64">
        <v>7.49</v>
      </c>
      <c r="R39" s="198"/>
      <c r="S39" s="198"/>
      <c r="T39" s="198"/>
      <c r="U39" s="198"/>
    </row>
    <row r="40" spans="1:21" s="12" customFormat="1" x14ac:dyDescent="0.25">
      <c r="A40" s="214" t="s">
        <v>1815</v>
      </c>
      <c r="B40" s="64">
        <v>20.87</v>
      </c>
      <c r="C40" s="64">
        <v>58.74</v>
      </c>
      <c r="D40" s="64">
        <v>49.8</v>
      </c>
      <c r="E40" s="64">
        <v>0.46</v>
      </c>
      <c r="F40" s="64">
        <v>6.73</v>
      </c>
      <c r="G40" s="64">
        <v>75.91</v>
      </c>
      <c r="H40" s="64">
        <v>58.82</v>
      </c>
      <c r="I40" s="64">
        <v>1.47</v>
      </c>
      <c r="J40" s="64">
        <v>0.73</v>
      </c>
      <c r="K40" s="64">
        <v>104.92</v>
      </c>
      <c r="L40" s="64">
        <v>14.91</v>
      </c>
      <c r="M40" s="64">
        <v>61.27</v>
      </c>
      <c r="N40" s="64">
        <v>245.4</v>
      </c>
      <c r="O40" s="64">
        <v>0</v>
      </c>
      <c r="P40" s="64">
        <v>0.59</v>
      </c>
      <c r="Q40" s="64">
        <v>7.29</v>
      </c>
      <c r="R40" s="198"/>
      <c r="S40" s="198"/>
      <c r="T40" s="198"/>
      <c r="U40" s="198"/>
    </row>
    <row r="41" spans="1:21" s="12" customFormat="1" x14ac:dyDescent="0.25">
      <c r="A41" s="214" t="s">
        <v>1816</v>
      </c>
      <c r="B41" s="64">
        <v>19.899999999999999</v>
      </c>
      <c r="C41" s="64">
        <v>57.95</v>
      </c>
      <c r="D41" s="64">
        <v>48.59</v>
      </c>
      <c r="E41" s="64">
        <v>0.87</v>
      </c>
      <c r="F41" s="64">
        <v>9.0299999999999994</v>
      </c>
      <c r="G41" s="64">
        <v>75.91</v>
      </c>
      <c r="H41" s="64">
        <v>58.82</v>
      </c>
      <c r="I41" s="64">
        <v>1.47</v>
      </c>
      <c r="J41" s="64">
        <v>0.97</v>
      </c>
      <c r="K41" s="64">
        <v>108.93</v>
      </c>
      <c r="L41" s="64">
        <v>15.44</v>
      </c>
      <c r="M41" s="64">
        <v>58.67</v>
      </c>
      <c r="N41" s="64">
        <v>293.8</v>
      </c>
      <c r="O41" s="64">
        <v>0</v>
      </c>
      <c r="P41" s="64">
        <v>0.52</v>
      </c>
      <c r="Q41" s="64">
        <v>7.66</v>
      </c>
      <c r="R41" s="198"/>
      <c r="S41" s="198"/>
      <c r="T41" s="198"/>
      <c r="U41" s="198"/>
    </row>
    <row r="42" spans="1:21" s="12" customFormat="1" x14ac:dyDescent="0.25">
      <c r="A42" s="214" t="s">
        <v>1817</v>
      </c>
      <c r="B42" s="64">
        <v>18.670000000000002</v>
      </c>
      <c r="C42" s="64">
        <v>57.19</v>
      </c>
      <c r="D42" s="64">
        <v>47.18</v>
      </c>
      <c r="E42" s="64">
        <v>0.88</v>
      </c>
      <c r="F42" s="64">
        <v>8.19</v>
      </c>
      <c r="G42" s="64">
        <v>75.91</v>
      </c>
      <c r="H42" s="64">
        <v>58.82</v>
      </c>
      <c r="I42" s="64">
        <v>1.51</v>
      </c>
      <c r="J42" s="64">
        <v>0.44</v>
      </c>
      <c r="K42" s="64">
        <v>99.36</v>
      </c>
      <c r="L42" s="64">
        <v>16.46</v>
      </c>
      <c r="M42" s="64">
        <v>55.81</v>
      </c>
      <c r="N42" s="64">
        <v>338.2</v>
      </c>
      <c r="O42" s="64">
        <v>0</v>
      </c>
      <c r="P42" s="64">
        <v>0.72</v>
      </c>
      <c r="Q42" s="64">
        <v>7.31</v>
      </c>
      <c r="R42" s="198"/>
      <c r="S42" s="198"/>
      <c r="T42" s="198"/>
      <c r="U42" s="198"/>
    </row>
    <row r="43" spans="1:21" s="12" customFormat="1" x14ac:dyDescent="0.25">
      <c r="A43" s="214" t="s">
        <v>1818</v>
      </c>
      <c r="B43" s="64">
        <v>17.66</v>
      </c>
      <c r="C43" s="64">
        <v>57.24</v>
      </c>
      <c r="D43" s="64">
        <v>46.4</v>
      </c>
      <c r="E43" s="64">
        <v>0.79</v>
      </c>
      <c r="F43" s="64">
        <v>7.13</v>
      </c>
      <c r="G43" s="64">
        <v>75.88</v>
      </c>
      <c r="H43" s="64">
        <v>57.27</v>
      </c>
      <c r="I43" s="64">
        <v>1.48</v>
      </c>
      <c r="J43" s="64">
        <v>0.89</v>
      </c>
      <c r="K43" s="64">
        <v>110.62</v>
      </c>
      <c r="L43" s="64">
        <v>16.98</v>
      </c>
      <c r="M43" s="64">
        <v>52.56</v>
      </c>
      <c r="N43" s="64">
        <v>400.6</v>
      </c>
      <c r="O43" s="64">
        <v>0</v>
      </c>
      <c r="P43" s="64">
        <v>0.7</v>
      </c>
      <c r="Q43" s="64">
        <v>6.59</v>
      </c>
      <c r="R43" s="198"/>
      <c r="S43" s="198"/>
      <c r="T43" s="198"/>
      <c r="U43" s="198"/>
    </row>
    <row r="44" spans="1:21" s="12" customFormat="1" x14ac:dyDescent="0.25">
      <c r="A44" s="214" t="s">
        <v>1819</v>
      </c>
      <c r="B44" s="64">
        <v>16.43</v>
      </c>
      <c r="C44" s="64">
        <v>57.1</v>
      </c>
      <c r="D44" s="64">
        <v>45.33</v>
      </c>
      <c r="E44" s="64">
        <v>0.75</v>
      </c>
      <c r="F44" s="64">
        <v>7.68</v>
      </c>
      <c r="G44" s="64">
        <v>75.760000000000005</v>
      </c>
      <c r="H44" s="64">
        <v>49.39</v>
      </c>
      <c r="I44" s="64">
        <v>1.64</v>
      </c>
      <c r="J44" s="64">
        <v>0.55000000000000004</v>
      </c>
      <c r="K44" s="64">
        <v>107.54</v>
      </c>
      <c r="L44" s="64">
        <v>18</v>
      </c>
      <c r="M44" s="64">
        <v>51.06</v>
      </c>
      <c r="N44" s="64">
        <v>429.4</v>
      </c>
      <c r="O44" s="64">
        <v>0</v>
      </c>
      <c r="P44" s="64">
        <v>0.75</v>
      </c>
      <c r="Q44" s="64">
        <v>6.65</v>
      </c>
      <c r="R44" s="198"/>
      <c r="S44" s="198"/>
      <c r="T44" s="198"/>
      <c r="U44" s="198"/>
    </row>
    <row r="45" spans="1:21" s="12" customFormat="1" x14ac:dyDescent="0.25">
      <c r="A45" s="214" t="s">
        <v>1820</v>
      </c>
      <c r="B45" s="64">
        <v>15.43</v>
      </c>
      <c r="C45" s="64">
        <v>57.38</v>
      </c>
      <c r="D45" s="64">
        <v>44.69</v>
      </c>
      <c r="E45" s="64">
        <v>0.6</v>
      </c>
      <c r="F45" s="64">
        <v>6.23</v>
      </c>
      <c r="G45" s="64">
        <v>75.760000000000005</v>
      </c>
      <c r="H45" s="64">
        <v>49.39</v>
      </c>
      <c r="I45" s="64">
        <v>1.5</v>
      </c>
      <c r="J45" s="64">
        <v>0.9</v>
      </c>
      <c r="K45" s="64">
        <v>108.51</v>
      </c>
      <c r="L45" s="64">
        <v>18.02</v>
      </c>
      <c r="M45" s="64">
        <v>49.13</v>
      </c>
      <c r="N45" s="64">
        <v>461.7</v>
      </c>
      <c r="O45" s="64">
        <v>0</v>
      </c>
      <c r="P45" s="64">
        <v>0.73</v>
      </c>
      <c r="Q45" s="64">
        <v>6.34</v>
      </c>
      <c r="R45" s="198"/>
      <c r="S45" s="198"/>
      <c r="T45" s="198"/>
      <c r="U45" s="198"/>
    </row>
    <row r="46" spans="1:21" s="12" customFormat="1" x14ac:dyDescent="0.25">
      <c r="A46" s="214" t="s">
        <v>1821</v>
      </c>
      <c r="B46" s="64">
        <v>13.92</v>
      </c>
      <c r="C46" s="64">
        <v>57.4</v>
      </c>
      <c r="D46" s="64">
        <v>43.49</v>
      </c>
      <c r="E46" s="64">
        <v>0.7</v>
      </c>
      <c r="F46" s="64">
        <v>6.67</v>
      </c>
      <c r="G46" s="64">
        <v>75.760000000000005</v>
      </c>
      <c r="H46" s="64">
        <v>49.39</v>
      </c>
      <c r="I46" s="64">
        <v>1.58</v>
      </c>
      <c r="J46" s="64">
        <v>0.9</v>
      </c>
      <c r="K46" s="64">
        <v>107.29</v>
      </c>
      <c r="L46" s="64">
        <v>18.3</v>
      </c>
      <c r="M46" s="64">
        <v>49.2</v>
      </c>
      <c r="N46" s="64">
        <v>501.4</v>
      </c>
      <c r="O46" s="64">
        <v>0</v>
      </c>
      <c r="P46" s="64">
        <v>0.71</v>
      </c>
      <c r="Q46" s="64">
        <v>6.48</v>
      </c>
      <c r="R46" s="198"/>
      <c r="S46" s="198"/>
      <c r="T46" s="198"/>
      <c r="U46" s="198"/>
    </row>
    <row r="47" spans="1:21" s="12" customFormat="1" x14ac:dyDescent="0.25">
      <c r="A47" s="214" t="s">
        <v>1822</v>
      </c>
      <c r="B47" s="64">
        <v>12.24</v>
      </c>
      <c r="C47" s="64">
        <v>57.39</v>
      </c>
      <c r="D47" s="64">
        <v>42.13</v>
      </c>
      <c r="E47" s="64">
        <v>0.7</v>
      </c>
      <c r="F47" s="64">
        <v>7.4</v>
      </c>
      <c r="G47" s="64">
        <v>76.12</v>
      </c>
      <c r="H47" s="64">
        <v>48.11</v>
      </c>
      <c r="I47" s="64">
        <v>1.43</v>
      </c>
      <c r="J47" s="64">
        <v>0.93</v>
      </c>
      <c r="K47" s="64">
        <v>111.63</v>
      </c>
      <c r="L47" s="64">
        <v>19.38</v>
      </c>
      <c r="M47" s="64">
        <v>45.67</v>
      </c>
      <c r="N47" s="64">
        <v>547.6</v>
      </c>
      <c r="O47" s="64">
        <v>0</v>
      </c>
      <c r="P47" s="64">
        <v>0.64</v>
      </c>
      <c r="Q47" s="64">
        <v>6.39</v>
      </c>
      <c r="R47" s="198"/>
      <c r="S47" s="198"/>
      <c r="T47" s="198"/>
      <c r="U47" s="198"/>
    </row>
    <row r="48" spans="1:21" s="12" customFormat="1" x14ac:dyDescent="0.25">
      <c r="A48" s="214" t="s">
        <v>1823</v>
      </c>
      <c r="B48" s="64">
        <v>10.54</v>
      </c>
      <c r="C48" s="64">
        <v>57.43</v>
      </c>
      <c r="D48" s="64">
        <v>40.79</v>
      </c>
      <c r="E48" s="64">
        <v>0.61</v>
      </c>
      <c r="F48" s="64">
        <v>6.92</v>
      </c>
      <c r="G48" s="64">
        <v>77.47</v>
      </c>
      <c r="H48" s="64">
        <v>44.63</v>
      </c>
      <c r="I48" s="64">
        <v>1.49</v>
      </c>
      <c r="J48" s="64">
        <v>0.73</v>
      </c>
      <c r="K48" s="64">
        <v>105.7</v>
      </c>
      <c r="L48" s="64">
        <v>20.07</v>
      </c>
      <c r="M48" s="64">
        <v>44.02</v>
      </c>
      <c r="N48" s="64">
        <v>576.70000000000005</v>
      </c>
      <c r="O48" s="64">
        <v>0</v>
      </c>
      <c r="P48" s="64">
        <v>0.68</v>
      </c>
      <c r="Q48" s="64">
        <v>6.24</v>
      </c>
      <c r="R48" s="198"/>
      <c r="S48" s="198"/>
      <c r="T48" s="198"/>
      <c r="U48" s="198"/>
    </row>
    <row r="49" spans="1:21" s="12" customFormat="1" x14ac:dyDescent="0.25">
      <c r="A49" s="214" t="s">
        <v>1824</v>
      </c>
      <c r="B49" s="64">
        <v>8.9700000000000006</v>
      </c>
      <c r="C49" s="64">
        <v>57.53</v>
      </c>
      <c r="D49" s="64">
        <v>39.590000000000003</v>
      </c>
      <c r="E49" s="64">
        <v>0.54</v>
      </c>
      <c r="F49" s="64">
        <v>6.41</v>
      </c>
      <c r="G49" s="64">
        <v>77.47</v>
      </c>
      <c r="H49" s="64">
        <v>44.63</v>
      </c>
      <c r="I49" s="64">
        <v>1.45</v>
      </c>
      <c r="J49" s="64">
        <v>0.67</v>
      </c>
      <c r="K49" s="64">
        <v>119.37</v>
      </c>
      <c r="L49" s="64">
        <v>21.04</v>
      </c>
      <c r="M49" s="64">
        <v>41.33</v>
      </c>
      <c r="N49" s="64">
        <v>611.70000000000005</v>
      </c>
      <c r="O49" s="64">
        <v>0</v>
      </c>
      <c r="P49" s="64">
        <v>0.68</v>
      </c>
      <c r="Q49" s="64">
        <v>5.93</v>
      </c>
      <c r="R49" s="198"/>
      <c r="S49" s="198"/>
      <c r="T49" s="198"/>
      <c r="U49" s="198"/>
    </row>
    <row r="50" spans="1:21" s="12" customFormat="1" x14ac:dyDescent="0.25">
      <c r="A50" s="214" t="s">
        <v>1825</v>
      </c>
      <c r="B50" s="64">
        <v>7.59</v>
      </c>
      <c r="C50" s="64">
        <v>57.58</v>
      </c>
      <c r="D50" s="64">
        <v>38.51</v>
      </c>
      <c r="E50" s="64">
        <v>0.64</v>
      </c>
      <c r="F50" s="64">
        <v>7.64</v>
      </c>
      <c r="G50" s="64">
        <v>77.47</v>
      </c>
      <c r="H50" s="64">
        <v>44.63</v>
      </c>
      <c r="I50" s="64">
        <v>1.45</v>
      </c>
      <c r="J50" s="64">
        <v>0.63</v>
      </c>
      <c r="K50" s="64">
        <v>120.99</v>
      </c>
      <c r="L50" s="64">
        <v>22.06</v>
      </c>
      <c r="M50" s="64">
        <v>38.299999999999997</v>
      </c>
      <c r="N50" s="64">
        <v>635.20000000000005</v>
      </c>
      <c r="O50" s="64">
        <v>0</v>
      </c>
      <c r="P50" s="64">
        <v>0.64</v>
      </c>
      <c r="Q50" s="64">
        <v>5.68</v>
      </c>
      <c r="R50" s="198"/>
      <c r="S50" s="198"/>
      <c r="T50" s="198"/>
      <c r="U50" s="198"/>
    </row>
    <row r="51" spans="1:21" s="12" customFormat="1" x14ac:dyDescent="0.25">
      <c r="A51" s="214" t="s">
        <v>1826</v>
      </c>
      <c r="B51" s="64">
        <v>6.34</v>
      </c>
      <c r="C51" s="64">
        <v>57.5</v>
      </c>
      <c r="D51" s="64">
        <v>37.46</v>
      </c>
      <c r="E51" s="64">
        <v>0.62</v>
      </c>
      <c r="F51" s="64">
        <v>7.94</v>
      </c>
      <c r="G51" s="64">
        <v>76.62</v>
      </c>
      <c r="H51" s="64">
        <v>44.04</v>
      </c>
      <c r="I51" s="64">
        <v>1.51</v>
      </c>
      <c r="J51" s="64">
        <v>0.82</v>
      </c>
      <c r="K51" s="64">
        <v>122.82</v>
      </c>
      <c r="L51" s="64">
        <v>22.45</v>
      </c>
      <c r="M51" s="64">
        <v>36.18</v>
      </c>
      <c r="N51" s="64">
        <v>659</v>
      </c>
      <c r="O51" s="64">
        <v>0</v>
      </c>
      <c r="P51" s="64">
        <v>0.61</v>
      </c>
      <c r="Q51" s="64">
        <v>5.59</v>
      </c>
      <c r="R51" s="198"/>
      <c r="S51" s="198"/>
      <c r="T51" s="198"/>
      <c r="U51" s="198"/>
    </row>
    <row r="52" spans="1:21" s="12" customFormat="1" x14ac:dyDescent="0.25">
      <c r="A52" s="214" t="s">
        <v>1827</v>
      </c>
      <c r="B52" s="64">
        <v>5.33</v>
      </c>
      <c r="C52" s="64">
        <v>57.26</v>
      </c>
      <c r="D52" s="64">
        <v>36.520000000000003</v>
      </c>
      <c r="E52" s="64">
        <v>0.75</v>
      </c>
      <c r="F52" s="64">
        <v>11.89</v>
      </c>
      <c r="G52" s="64">
        <v>73.2</v>
      </c>
      <c r="H52" s="64">
        <v>42.46</v>
      </c>
      <c r="I52" s="64">
        <v>1.45</v>
      </c>
      <c r="J52" s="64">
        <v>0.53</v>
      </c>
      <c r="K52" s="64">
        <v>109.23</v>
      </c>
      <c r="L52" s="64">
        <v>23.24</v>
      </c>
      <c r="M52" s="64">
        <v>33.39</v>
      </c>
      <c r="N52" s="64">
        <v>677.9</v>
      </c>
      <c r="O52" s="64">
        <v>0</v>
      </c>
      <c r="P52" s="64">
        <v>0.57999999999999996</v>
      </c>
      <c r="Q52" s="64">
        <v>5.25</v>
      </c>
      <c r="R52" s="198"/>
      <c r="S52" s="198"/>
      <c r="T52" s="198"/>
      <c r="U52" s="198"/>
    </row>
    <row r="53" spans="1:21" s="12" customFormat="1" x14ac:dyDescent="0.25">
      <c r="A53" s="214" t="s">
        <v>1828</v>
      </c>
      <c r="B53" s="64">
        <v>4.7699999999999996</v>
      </c>
      <c r="C53" s="64">
        <v>57.2</v>
      </c>
      <c r="D53" s="64">
        <v>36.04</v>
      </c>
      <c r="E53" s="64">
        <v>0.74</v>
      </c>
      <c r="F53" s="64">
        <v>10.77</v>
      </c>
      <c r="G53" s="64">
        <v>73.2</v>
      </c>
      <c r="H53" s="64">
        <v>42.46</v>
      </c>
      <c r="I53" s="64">
        <v>1.5</v>
      </c>
      <c r="J53" s="64">
        <v>0.11</v>
      </c>
      <c r="K53" s="64">
        <v>43.48</v>
      </c>
      <c r="L53" s="64">
        <v>24.94</v>
      </c>
      <c r="M53" s="64">
        <v>29.19</v>
      </c>
      <c r="N53" s="64">
        <v>677.7</v>
      </c>
      <c r="O53" s="64">
        <v>0</v>
      </c>
      <c r="P53" s="64">
        <v>0.57999999999999996</v>
      </c>
      <c r="Q53" s="64">
        <v>4.5</v>
      </c>
      <c r="R53" s="198"/>
      <c r="S53" s="198"/>
      <c r="T53" s="198"/>
      <c r="U53" s="198"/>
    </row>
    <row r="54" spans="1:21" s="12" customFormat="1" x14ac:dyDescent="0.25">
      <c r="A54" s="214" t="s">
        <v>1829</v>
      </c>
      <c r="B54" s="64">
        <v>4.28</v>
      </c>
      <c r="C54" s="64">
        <v>56.77</v>
      </c>
      <c r="D54" s="64">
        <v>35.409999999999997</v>
      </c>
      <c r="E54" s="64">
        <v>0.52</v>
      </c>
      <c r="F54" s="64">
        <v>7.73</v>
      </c>
      <c r="G54" s="64">
        <v>73.2</v>
      </c>
      <c r="H54" s="64">
        <v>42.46</v>
      </c>
      <c r="I54" s="64">
        <v>1.51</v>
      </c>
      <c r="J54" s="64">
        <v>1.04</v>
      </c>
      <c r="K54" s="64">
        <v>121.1</v>
      </c>
      <c r="L54" s="64">
        <v>23.31</v>
      </c>
      <c r="M54" s="64">
        <v>31.13</v>
      </c>
      <c r="N54" s="64">
        <v>694.8</v>
      </c>
      <c r="O54" s="64">
        <v>0</v>
      </c>
      <c r="P54" s="64">
        <v>0.56999999999999995</v>
      </c>
      <c r="Q54" s="64">
        <v>5.13</v>
      </c>
      <c r="R54" s="198"/>
      <c r="S54" s="198"/>
      <c r="T54" s="198"/>
      <c r="U54" s="198"/>
    </row>
    <row r="55" spans="1:21" s="12" customFormat="1" x14ac:dyDescent="0.25">
      <c r="A55" s="214" t="s">
        <v>1830</v>
      </c>
      <c r="B55" s="64">
        <v>3.72</v>
      </c>
      <c r="C55" s="64">
        <v>55.66</v>
      </c>
      <c r="D55" s="64">
        <v>34.340000000000003</v>
      </c>
      <c r="E55" s="64">
        <v>1.04</v>
      </c>
      <c r="F55" s="64">
        <v>25.37</v>
      </c>
      <c r="G55" s="64">
        <v>68.37</v>
      </c>
      <c r="H55" s="64">
        <v>40.880000000000003</v>
      </c>
      <c r="I55" s="64">
        <v>1.5</v>
      </c>
      <c r="J55" s="64">
        <v>0.65</v>
      </c>
      <c r="K55" s="64">
        <v>349.43</v>
      </c>
      <c r="L55" s="64">
        <v>25.54</v>
      </c>
      <c r="M55" s="64">
        <v>28.81</v>
      </c>
      <c r="N55" s="64">
        <v>674.9</v>
      </c>
      <c r="O55" s="64">
        <v>0</v>
      </c>
      <c r="P55" s="64">
        <v>0.52</v>
      </c>
      <c r="Q55" s="64">
        <v>4.9800000000000004</v>
      </c>
      <c r="R55" s="198"/>
      <c r="S55" s="198"/>
      <c r="T55" s="198"/>
      <c r="U55" s="198"/>
    </row>
    <row r="56" spans="1:21" s="12" customFormat="1" x14ac:dyDescent="0.25">
      <c r="A56" s="214" t="s">
        <v>1831</v>
      </c>
      <c r="B56" s="64">
        <v>3.61</v>
      </c>
      <c r="C56" s="64">
        <v>55.39</v>
      </c>
      <c r="D56" s="64">
        <v>34.11</v>
      </c>
      <c r="E56" s="64">
        <v>0.56000000000000005</v>
      </c>
      <c r="F56" s="64">
        <v>12.85</v>
      </c>
      <c r="G56" s="64">
        <v>49.06</v>
      </c>
      <c r="H56" s="64">
        <v>36.6</v>
      </c>
      <c r="I56" s="64">
        <v>1.53</v>
      </c>
      <c r="J56" s="64">
        <v>0.53</v>
      </c>
      <c r="K56" s="64">
        <v>96.62</v>
      </c>
      <c r="L56" s="64">
        <v>24.22</v>
      </c>
      <c r="M56" s="64">
        <v>31.12</v>
      </c>
      <c r="N56" s="64">
        <v>620.70000000000005</v>
      </c>
      <c r="O56" s="64">
        <v>0</v>
      </c>
      <c r="P56" s="64">
        <v>0.51</v>
      </c>
      <c r="Q56" s="64">
        <v>4.92</v>
      </c>
      <c r="R56" s="198"/>
      <c r="S56" s="198"/>
      <c r="T56" s="198"/>
      <c r="U56" s="198"/>
    </row>
    <row r="57" spans="1:21" s="12" customFormat="1" x14ac:dyDescent="0.25">
      <c r="A57" s="214" t="s">
        <v>1832</v>
      </c>
      <c r="B57" s="64">
        <v>3.56</v>
      </c>
      <c r="C57" s="64">
        <v>55.04</v>
      </c>
      <c r="D57" s="64">
        <v>33.880000000000003</v>
      </c>
      <c r="E57" s="64">
        <v>1.53</v>
      </c>
      <c r="F57" s="64">
        <v>20.22</v>
      </c>
      <c r="G57" s="64">
        <v>49.06</v>
      </c>
      <c r="H57" s="64">
        <v>36.6</v>
      </c>
      <c r="I57" s="64">
        <v>1.44</v>
      </c>
      <c r="J57" s="64">
        <v>0.56000000000000005</v>
      </c>
      <c r="K57" s="64">
        <v>92.51</v>
      </c>
      <c r="L57" s="64">
        <v>23.77</v>
      </c>
      <c r="M57" s="64">
        <v>32.200000000000003</v>
      </c>
      <c r="N57" s="64">
        <v>596.29999999999995</v>
      </c>
      <c r="O57" s="64">
        <v>0</v>
      </c>
      <c r="P57" s="64">
        <v>0.5</v>
      </c>
      <c r="Q57" s="64">
        <v>4.87</v>
      </c>
      <c r="R57" s="198"/>
      <c r="S57" s="198"/>
      <c r="T57" s="198"/>
      <c r="U57" s="198"/>
    </row>
    <row r="58" spans="1:21" s="12" customFormat="1" x14ac:dyDescent="0.25">
      <c r="A58" s="214" t="s">
        <v>1833</v>
      </c>
      <c r="B58" s="64">
        <v>3.79</v>
      </c>
      <c r="C58" s="64">
        <v>54.42</v>
      </c>
      <c r="D58" s="64">
        <v>33.71</v>
      </c>
      <c r="E58" s="64">
        <v>1.8</v>
      </c>
      <c r="F58" s="64">
        <v>21.74</v>
      </c>
      <c r="G58" s="64">
        <v>49.06</v>
      </c>
      <c r="H58" s="64">
        <v>36.6</v>
      </c>
      <c r="I58" s="64">
        <v>1.49</v>
      </c>
      <c r="J58" s="64">
        <v>0.54</v>
      </c>
      <c r="K58" s="64">
        <v>87.3</v>
      </c>
      <c r="L58" s="64">
        <v>23.64</v>
      </c>
      <c r="M58" s="64">
        <v>32.56</v>
      </c>
      <c r="N58" s="64">
        <v>610.6</v>
      </c>
      <c r="O58" s="64">
        <v>0</v>
      </c>
      <c r="P58" s="64">
        <v>0.48</v>
      </c>
      <c r="Q58" s="64">
        <v>2.75</v>
      </c>
      <c r="R58" s="198"/>
      <c r="S58" s="198"/>
      <c r="T58" s="198"/>
      <c r="U58" s="198"/>
    </row>
    <row r="59" spans="1:21" s="12" customFormat="1" x14ac:dyDescent="0.25">
      <c r="A59" s="214" t="s">
        <v>1834</v>
      </c>
      <c r="B59" s="64">
        <v>4.0999999999999996</v>
      </c>
      <c r="C59" s="64">
        <v>54.4</v>
      </c>
      <c r="D59" s="64">
        <v>33.96</v>
      </c>
      <c r="E59" s="64">
        <v>2.99</v>
      </c>
      <c r="F59" s="64">
        <v>30.84</v>
      </c>
      <c r="G59" s="64">
        <v>50.23</v>
      </c>
      <c r="H59" s="64">
        <v>35.31</v>
      </c>
      <c r="I59" s="64">
        <v>1.5</v>
      </c>
      <c r="J59" s="64">
        <v>0.09</v>
      </c>
      <c r="K59" s="64">
        <v>16.36</v>
      </c>
      <c r="L59" s="64">
        <v>25.1</v>
      </c>
      <c r="M59" s="64">
        <v>29.88</v>
      </c>
      <c r="N59" s="64">
        <v>556.79999999999995</v>
      </c>
      <c r="O59" s="64">
        <v>0</v>
      </c>
      <c r="P59" s="64">
        <v>0.56000000000000005</v>
      </c>
      <c r="Q59" s="64">
        <v>3</v>
      </c>
      <c r="R59" s="198"/>
      <c r="S59" s="198"/>
      <c r="T59" s="198"/>
      <c r="U59" s="198"/>
    </row>
    <row r="60" spans="1:21" s="12" customFormat="1" x14ac:dyDescent="0.25">
      <c r="A60" s="214" t="s">
        <v>1835</v>
      </c>
      <c r="B60" s="64">
        <v>4.22</v>
      </c>
      <c r="C60" s="64">
        <v>54.5</v>
      </c>
      <c r="D60" s="64">
        <v>34.11</v>
      </c>
      <c r="E60" s="64">
        <v>2.14</v>
      </c>
      <c r="F60" s="64">
        <v>25.22</v>
      </c>
      <c r="G60" s="64">
        <v>54.6</v>
      </c>
      <c r="H60" s="64">
        <v>29.59</v>
      </c>
      <c r="I60" s="64">
        <v>1.47</v>
      </c>
      <c r="J60" s="64">
        <v>7.0000000000000007E-2</v>
      </c>
      <c r="K60" s="64">
        <v>121.38</v>
      </c>
      <c r="L60" s="64">
        <v>24.92</v>
      </c>
      <c r="M60" s="64">
        <v>30.14</v>
      </c>
      <c r="N60" s="64">
        <v>543</v>
      </c>
      <c r="O60" s="64">
        <v>0</v>
      </c>
      <c r="P60" s="64">
        <v>0.52</v>
      </c>
      <c r="Q60" s="64">
        <v>3.54</v>
      </c>
      <c r="R60" s="198"/>
      <c r="S60" s="198"/>
      <c r="T60" s="198"/>
      <c r="U60" s="198"/>
    </row>
    <row r="61" spans="1:21" s="12" customFormat="1" x14ac:dyDescent="0.25">
      <c r="A61" s="214" t="s">
        <v>1836</v>
      </c>
      <c r="B61" s="64">
        <v>4.21</v>
      </c>
      <c r="C61" s="64">
        <v>54.54</v>
      </c>
      <c r="D61" s="64">
        <v>34.130000000000003</v>
      </c>
      <c r="E61" s="64">
        <v>2.68</v>
      </c>
      <c r="F61" s="64">
        <v>33.159999999999997</v>
      </c>
      <c r="G61" s="64">
        <v>54.6</v>
      </c>
      <c r="H61" s="64">
        <v>29.59</v>
      </c>
      <c r="I61" s="64">
        <v>1.5</v>
      </c>
      <c r="J61" s="64">
        <v>0.35</v>
      </c>
      <c r="K61" s="64">
        <v>347.3</v>
      </c>
      <c r="L61" s="64">
        <v>25.22</v>
      </c>
      <c r="M61" s="64">
        <v>30.83</v>
      </c>
      <c r="N61" s="64">
        <v>521.20000000000005</v>
      </c>
      <c r="O61" s="64">
        <v>0</v>
      </c>
      <c r="P61" s="64">
        <v>0.5</v>
      </c>
      <c r="Q61" s="64">
        <v>3.44</v>
      </c>
      <c r="R61" s="198"/>
      <c r="S61" s="198"/>
      <c r="T61" s="198"/>
      <c r="U61" s="198"/>
    </row>
    <row r="62" spans="1:21" s="12" customFormat="1" x14ac:dyDescent="0.25">
      <c r="A62" s="214" t="s">
        <v>1837</v>
      </c>
      <c r="B62" s="64">
        <v>4.34</v>
      </c>
      <c r="C62" s="64">
        <v>55.02</v>
      </c>
      <c r="D62" s="64">
        <v>34.49</v>
      </c>
      <c r="E62" s="64">
        <v>2.68</v>
      </c>
      <c r="F62" s="64">
        <v>24.98</v>
      </c>
      <c r="G62" s="64">
        <v>54.6</v>
      </c>
      <c r="H62" s="64">
        <v>29.59</v>
      </c>
      <c r="I62" s="64">
        <v>1.58</v>
      </c>
      <c r="J62" s="64">
        <v>0.34</v>
      </c>
      <c r="K62" s="64">
        <v>82.47</v>
      </c>
      <c r="L62" s="64">
        <v>24.63</v>
      </c>
      <c r="M62" s="64">
        <v>30.79</v>
      </c>
      <c r="N62" s="64">
        <v>494.2</v>
      </c>
      <c r="O62" s="64">
        <v>0</v>
      </c>
      <c r="P62" s="64">
        <v>0.53</v>
      </c>
      <c r="Q62" s="64">
        <v>3.47</v>
      </c>
      <c r="R62" s="198"/>
      <c r="S62" s="198"/>
      <c r="T62" s="198"/>
      <c r="U62" s="198"/>
    </row>
    <row r="63" spans="1:21" s="12" customFormat="1" x14ac:dyDescent="0.25">
      <c r="A63" s="214" t="s">
        <v>1838</v>
      </c>
      <c r="B63" s="64">
        <v>4.3899999999999997</v>
      </c>
      <c r="C63" s="64">
        <v>55.54</v>
      </c>
      <c r="D63" s="64">
        <v>34.82</v>
      </c>
      <c r="E63" s="64">
        <v>2.0499999999999998</v>
      </c>
      <c r="F63" s="64">
        <v>40.96</v>
      </c>
      <c r="G63" s="64">
        <v>55.15</v>
      </c>
      <c r="H63" s="64">
        <v>26.02</v>
      </c>
      <c r="I63" s="64">
        <v>1.57</v>
      </c>
      <c r="J63" s="64">
        <v>0.59</v>
      </c>
      <c r="K63" s="64">
        <v>338.92</v>
      </c>
      <c r="L63" s="64">
        <v>25.21</v>
      </c>
      <c r="M63" s="64">
        <v>29.92</v>
      </c>
      <c r="N63" s="64">
        <v>411</v>
      </c>
      <c r="O63" s="64">
        <v>0</v>
      </c>
      <c r="P63" s="64">
        <v>0.64</v>
      </c>
      <c r="Q63" s="64">
        <v>3.12</v>
      </c>
      <c r="R63" s="198"/>
      <c r="S63" s="198"/>
      <c r="T63" s="198"/>
      <c r="U63" s="198"/>
    </row>
    <row r="64" spans="1:21" s="12" customFormat="1" x14ac:dyDescent="0.25">
      <c r="A64" s="214" t="s">
        <v>1839</v>
      </c>
      <c r="B64" s="64">
        <v>4.37</v>
      </c>
      <c r="C64" s="64">
        <v>56.16</v>
      </c>
      <c r="D64" s="64">
        <v>35.14</v>
      </c>
      <c r="E64" s="64">
        <v>3.15</v>
      </c>
      <c r="F64" s="64">
        <v>41.53</v>
      </c>
      <c r="G64" s="64">
        <v>57.35</v>
      </c>
      <c r="H64" s="64">
        <v>16.28</v>
      </c>
      <c r="I64" s="64">
        <v>1.61</v>
      </c>
      <c r="J64" s="64">
        <v>0.83</v>
      </c>
      <c r="K64" s="64">
        <v>338.07</v>
      </c>
      <c r="L64" s="64">
        <v>25.49</v>
      </c>
      <c r="M64" s="64">
        <v>29.96</v>
      </c>
      <c r="N64" s="64">
        <v>221.5</v>
      </c>
      <c r="O64" s="64">
        <v>0</v>
      </c>
      <c r="P64" s="64">
        <v>0.55000000000000004</v>
      </c>
      <c r="Q64" s="64">
        <v>3.4</v>
      </c>
      <c r="R64" s="198"/>
      <c r="S64" s="198"/>
      <c r="T64" s="198"/>
      <c r="U64" s="198"/>
    </row>
    <row r="65" spans="1:21" s="12" customFormat="1" x14ac:dyDescent="0.25">
      <c r="A65" s="214" t="s">
        <v>1840</v>
      </c>
      <c r="B65" s="64">
        <v>4.33</v>
      </c>
      <c r="C65" s="64">
        <v>56.76</v>
      </c>
      <c r="D65" s="64">
        <v>35.450000000000003</v>
      </c>
      <c r="E65" s="64">
        <v>3.24</v>
      </c>
      <c r="F65" s="64">
        <v>37.19</v>
      </c>
      <c r="G65" s="64">
        <v>57.35</v>
      </c>
      <c r="H65" s="64">
        <v>16.28</v>
      </c>
      <c r="I65" s="64">
        <v>1.58</v>
      </c>
      <c r="J65" s="64">
        <v>0.6</v>
      </c>
      <c r="K65" s="64">
        <v>343.47</v>
      </c>
      <c r="L65" s="64">
        <v>25.54</v>
      </c>
      <c r="M65" s="64">
        <v>30.23</v>
      </c>
      <c r="N65" s="64">
        <v>190.3</v>
      </c>
      <c r="O65" s="64">
        <v>0</v>
      </c>
      <c r="P65" s="64">
        <v>0.68</v>
      </c>
      <c r="Q65" s="64">
        <v>3.38</v>
      </c>
      <c r="R65" s="198"/>
      <c r="S65" s="198"/>
      <c r="T65" s="198"/>
      <c r="U65" s="198"/>
    </row>
    <row r="66" spans="1:21" s="12" customFormat="1" x14ac:dyDescent="0.25">
      <c r="A66" s="214" t="s">
        <v>1841</v>
      </c>
      <c r="B66" s="64">
        <v>4.4400000000000004</v>
      </c>
      <c r="C66" s="64">
        <v>57.69</v>
      </c>
      <c r="D66" s="64">
        <v>36.049999999999997</v>
      </c>
      <c r="E66" s="64">
        <v>3.13</v>
      </c>
      <c r="F66" s="64">
        <v>33.76</v>
      </c>
      <c r="G66" s="64">
        <v>57.35</v>
      </c>
      <c r="H66" s="64">
        <v>16.28</v>
      </c>
      <c r="I66" s="64">
        <v>1.54</v>
      </c>
      <c r="J66" s="64">
        <v>0.8</v>
      </c>
      <c r="K66" s="64">
        <v>343.71</v>
      </c>
      <c r="L66" s="64">
        <v>25.22</v>
      </c>
      <c r="M66" s="64">
        <v>30.27</v>
      </c>
      <c r="N66" s="64">
        <v>168</v>
      </c>
      <c r="O66" s="64">
        <v>0</v>
      </c>
      <c r="P66" s="64">
        <v>0.7</v>
      </c>
      <c r="Q66" s="64">
        <v>2.4</v>
      </c>
      <c r="R66" s="198"/>
      <c r="S66" s="198"/>
      <c r="T66" s="198"/>
      <c r="U66" s="198"/>
    </row>
    <row r="67" spans="1:21" s="12" customFormat="1" x14ac:dyDescent="0.25">
      <c r="A67" s="214" t="s">
        <v>1842</v>
      </c>
      <c r="B67" s="64">
        <v>4.7699999999999996</v>
      </c>
      <c r="C67" s="64">
        <v>58.95</v>
      </c>
      <c r="D67" s="64">
        <v>37</v>
      </c>
      <c r="E67" s="64">
        <v>4.1399999999999997</v>
      </c>
      <c r="F67" s="64">
        <v>42.13</v>
      </c>
      <c r="G67" s="64">
        <v>60.79</v>
      </c>
      <c r="H67" s="64">
        <v>20.41</v>
      </c>
      <c r="I67" s="64">
        <v>1.49</v>
      </c>
      <c r="J67" s="64">
        <v>1.4</v>
      </c>
      <c r="K67" s="64">
        <v>341.63</v>
      </c>
      <c r="L67" s="64">
        <v>24.6</v>
      </c>
      <c r="M67" s="64">
        <v>30.99</v>
      </c>
      <c r="N67" s="64">
        <v>186.1</v>
      </c>
      <c r="O67" s="64">
        <v>0</v>
      </c>
      <c r="P67" s="64">
        <v>0.64</v>
      </c>
      <c r="Q67" s="64">
        <v>2.37</v>
      </c>
      <c r="R67" s="198"/>
      <c r="S67" s="198"/>
      <c r="T67" s="198"/>
      <c r="U67" s="198"/>
    </row>
    <row r="68" spans="1:21" s="12" customFormat="1" x14ac:dyDescent="0.25">
      <c r="A68" s="214" t="s">
        <v>1843</v>
      </c>
      <c r="B68" s="64">
        <v>4.83</v>
      </c>
      <c r="C68" s="64">
        <v>60.24</v>
      </c>
      <c r="D68" s="64">
        <v>37.770000000000003</v>
      </c>
      <c r="E68" s="64">
        <v>4.25</v>
      </c>
      <c r="F68" s="64">
        <v>35.450000000000003</v>
      </c>
      <c r="G68" s="64">
        <v>73.650000000000006</v>
      </c>
      <c r="H68" s="64">
        <v>31.68</v>
      </c>
      <c r="I68" s="64">
        <v>1.52</v>
      </c>
      <c r="J68" s="64">
        <v>1.17</v>
      </c>
      <c r="K68" s="64">
        <v>344.99</v>
      </c>
      <c r="L68" s="64">
        <v>23.84</v>
      </c>
      <c r="M68" s="64">
        <v>32.21</v>
      </c>
      <c r="N68" s="64">
        <v>147.1</v>
      </c>
      <c r="O68" s="64">
        <v>0</v>
      </c>
      <c r="P68" s="64">
        <v>0.7</v>
      </c>
      <c r="Q68" s="64">
        <v>2.72</v>
      </c>
      <c r="R68" s="198"/>
      <c r="S68" s="198"/>
      <c r="T68" s="198"/>
      <c r="U68" s="198"/>
    </row>
    <row r="69" spans="1:21" s="12" customFormat="1" x14ac:dyDescent="0.25">
      <c r="A69" s="214" t="s">
        <v>1844</v>
      </c>
      <c r="B69" s="64">
        <v>4.95</v>
      </c>
      <c r="C69" s="64">
        <v>61.22</v>
      </c>
      <c r="D69" s="64">
        <v>38.4</v>
      </c>
      <c r="E69" s="64">
        <v>3.34</v>
      </c>
      <c r="F69" s="64">
        <v>38.340000000000003</v>
      </c>
      <c r="G69" s="64">
        <v>73.650000000000006</v>
      </c>
      <c r="H69" s="64">
        <v>31.68</v>
      </c>
      <c r="I69" s="64">
        <v>1.54</v>
      </c>
      <c r="J69" s="64">
        <v>0.81</v>
      </c>
      <c r="K69" s="64">
        <v>341.07</v>
      </c>
      <c r="L69" s="64">
        <v>23.32</v>
      </c>
      <c r="M69" s="64">
        <v>32.950000000000003</v>
      </c>
      <c r="N69" s="64">
        <v>121.2</v>
      </c>
      <c r="O69" s="64">
        <v>0</v>
      </c>
      <c r="P69" s="64">
        <v>0.69</v>
      </c>
      <c r="Q69" s="64">
        <v>2.76</v>
      </c>
      <c r="R69" s="198"/>
      <c r="S69" s="198"/>
      <c r="T69" s="198"/>
      <c r="U69" s="198"/>
    </row>
    <row r="70" spans="1:21" s="12" customFormat="1" x14ac:dyDescent="0.25">
      <c r="A70" s="214" t="s">
        <v>1845</v>
      </c>
      <c r="B70" s="64">
        <v>4.93</v>
      </c>
      <c r="C70" s="64">
        <v>62.05</v>
      </c>
      <c r="D70" s="64">
        <v>38.840000000000003</v>
      </c>
      <c r="E70" s="64">
        <v>2.27</v>
      </c>
      <c r="F70" s="64">
        <v>26.19</v>
      </c>
      <c r="G70" s="64">
        <v>73.650000000000006</v>
      </c>
      <c r="H70" s="64">
        <v>31.68</v>
      </c>
      <c r="I70" s="64">
        <v>1.48</v>
      </c>
      <c r="J70" s="64">
        <v>0.84</v>
      </c>
      <c r="K70" s="64">
        <v>330.99</v>
      </c>
      <c r="L70" s="64">
        <v>23.18</v>
      </c>
      <c r="M70" s="64">
        <v>34.200000000000003</v>
      </c>
      <c r="N70" s="64">
        <v>108.9</v>
      </c>
      <c r="O70" s="64">
        <v>0</v>
      </c>
      <c r="P70" s="64">
        <v>0.63</v>
      </c>
      <c r="Q70" s="64">
        <v>3.38</v>
      </c>
      <c r="R70" s="198"/>
      <c r="S70" s="198"/>
      <c r="T70" s="198"/>
      <c r="U70" s="198"/>
    </row>
    <row r="71" spans="1:21" s="12" customFormat="1" x14ac:dyDescent="0.25">
      <c r="A71" s="214" t="s">
        <v>1846</v>
      </c>
      <c r="B71" s="64">
        <v>4.9400000000000004</v>
      </c>
      <c r="C71" s="64">
        <v>63.12</v>
      </c>
      <c r="D71" s="64">
        <v>39.450000000000003</v>
      </c>
      <c r="E71" s="64">
        <v>2.02</v>
      </c>
      <c r="F71" s="64">
        <v>36.770000000000003</v>
      </c>
      <c r="G71" s="64">
        <v>72.62</v>
      </c>
      <c r="H71" s="64">
        <v>32.22</v>
      </c>
      <c r="I71" s="64">
        <v>1.54</v>
      </c>
      <c r="J71" s="64">
        <v>0.9</v>
      </c>
      <c r="K71" s="64">
        <v>332.02</v>
      </c>
      <c r="L71" s="64">
        <v>22.85</v>
      </c>
      <c r="M71" s="64">
        <v>34.69</v>
      </c>
      <c r="N71" s="64">
        <v>96.9</v>
      </c>
      <c r="O71" s="64">
        <v>0</v>
      </c>
      <c r="P71" s="64">
        <v>0.61</v>
      </c>
      <c r="Q71" s="64">
        <v>3.63</v>
      </c>
      <c r="R71" s="198"/>
      <c r="S71" s="198"/>
      <c r="T71" s="198"/>
      <c r="U71" s="198"/>
    </row>
    <row r="72" spans="1:21" s="12" customFormat="1" x14ac:dyDescent="0.25">
      <c r="A72" s="214" t="s">
        <v>1847</v>
      </c>
      <c r="B72" s="64">
        <v>4.5599999999999996</v>
      </c>
      <c r="C72" s="64">
        <v>63.41</v>
      </c>
      <c r="D72" s="64">
        <v>39.299999999999997</v>
      </c>
      <c r="E72" s="64">
        <v>1.66</v>
      </c>
      <c r="F72" s="64">
        <v>30.58</v>
      </c>
      <c r="G72" s="64">
        <v>68.77</v>
      </c>
      <c r="H72" s="64">
        <v>33.72</v>
      </c>
      <c r="I72" s="64">
        <v>1.45</v>
      </c>
      <c r="J72" s="64">
        <v>0.8</v>
      </c>
      <c r="K72" s="64">
        <v>345.84</v>
      </c>
      <c r="L72" s="64">
        <v>22.51</v>
      </c>
      <c r="M72" s="64">
        <v>34.68</v>
      </c>
      <c r="N72" s="64">
        <v>85.1</v>
      </c>
      <c r="O72" s="64">
        <v>0</v>
      </c>
      <c r="P72" s="64">
        <v>0.77</v>
      </c>
      <c r="Q72" s="64">
        <v>4.1500000000000004</v>
      </c>
      <c r="R72" s="198"/>
      <c r="S72" s="198"/>
      <c r="T72" s="198"/>
      <c r="U72" s="198"/>
    </row>
    <row r="73" spans="1:21" s="12" customFormat="1" x14ac:dyDescent="0.25">
      <c r="A73" s="214" t="s">
        <v>1848</v>
      </c>
      <c r="B73" s="64">
        <v>4.47</v>
      </c>
      <c r="C73" s="64">
        <v>64.09</v>
      </c>
      <c r="D73" s="64">
        <v>39.6</v>
      </c>
      <c r="E73" s="64">
        <v>2</v>
      </c>
      <c r="F73" s="64">
        <v>20.51</v>
      </c>
      <c r="G73" s="64">
        <v>68.77</v>
      </c>
      <c r="H73" s="64">
        <v>33.72</v>
      </c>
      <c r="I73" s="64">
        <v>1.56</v>
      </c>
      <c r="J73" s="64">
        <v>0.5</v>
      </c>
      <c r="K73" s="64">
        <v>344.61</v>
      </c>
      <c r="L73" s="64">
        <v>22.08</v>
      </c>
      <c r="M73" s="64">
        <v>35.270000000000003</v>
      </c>
      <c r="N73" s="64">
        <v>72</v>
      </c>
      <c r="O73" s="64">
        <v>0</v>
      </c>
      <c r="P73" s="64">
        <v>0.81</v>
      </c>
      <c r="Q73" s="64">
        <v>3.73</v>
      </c>
      <c r="R73" s="198"/>
      <c r="S73" s="198"/>
      <c r="T73" s="198"/>
      <c r="U73" s="198"/>
    </row>
    <row r="74" spans="1:21" s="12" customFormat="1" x14ac:dyDescent="0.25">
      <c r="A74" s="214" t="s">
        <v>1849</v>
      </c>
      <c r="B74" s="64">
        <v>4.7699999999999996</v>
      </c>
      <c r="C74" s="64">
        <v>65.11</v>
      </c>
      <c r="D74" s="64">
        <v>40.409999999999997</v>
      </c>
      <c r="E74" s="64">
        <v>2.6</v>
      </c>
      <c r="F74" s="64">
        <v>24.39</v>
      </c>
      <c r="G74" s="64">
        <v>68.77</v>
      </c>
      <c r="H74" s="64">
        <v>33.72</v>
      </c>
      <c r="I74" s="64">
        <v>1.47</v>
      </c>
      <c r="J74" s="64">
        <v>0.95</v>
      </c>
      <c r="K74" s="64">
        <v>346.05</v>
      </c>
      <c r="L74" s="64">
        <v>21.69</v>
      </c>
      <c r="M74" s="64">
        <v>36.520000000000003</v>
      </c>
      <c r="N74" s="64">
        <v>59.6</v>
      </c>
      <c r="O74" s="64">
        <v>0</v>
      </c>
      <c r="P74" s="64">
        <v>0.93</v>
      </c>
      <c r="Q74" s="64">
        <v>2.3199999999999998</v>
      </c>
      <c r="R74" s="198"/>
      <c r="S74" s="198"/>
      <c r="T74" s="198"/>
      <c r="U74" s="198"/>
    </row>
    <row r="75" spans="1:21" s="12" customFormat="1" x14ac:dyDescent="0.25">
      <c r="A75" s="214" t="s">
        <v>1850</v>
      </c>
      <c r="B75" s="64">
        <v>5.17</v>
      </c>
      <c r="C75" s="64">
        <v>66.44</v>
      </c>
      <c r="D75" s="64">
        <v>41.46</v>
      </c>
      <c r="E75" s="64">
        <v>2.12</v>
      </c>
      <c r="F75" s="64">
        <v>30.34</v>
      </c>
      <c r="G75" s="64">
        <v>69.59</v>
      </c>
      <c r="H75" s="64">
        <v>33.630000000000003</v>
      </c>
      <c r="I75" s="64">
        <v>1.56</v>
      </c>
      <c r="J75" s="64">
        <v>0.85</v>
      </c>
      <c r="K75" s="64">
        <v>349.67</v>
      </c>
      <c r="L75" s="64">
        <v>21.28</v>
      </c>
      <c r="M75" s="64">
        <v>37.880000000000003</v>
      </c>
      <c r="N75" s="64">
        <v>47.5</v>
      </c>
      <c r="O75" s="64">
        <v>0</v>
      </c>
      <c r="P75" s="64">
        <v>0.89</v>
      </c>
      <c r="Q75" s="64">
        <v>2.4900000000000002</v>
      </c>
      <c r="R75" s="198"/>
      <c r="S75" s="198"/>
      <c r="T75" s="198"/>
      <c r="U75" s="198"/>
    </row>
    <row r="76" spans="1:21" s="12" customFormat="1" x14ac:dyDescent="0.25">
      <c r="A76" s="214" t="s">
        <v>1851</v>
      </c>
      <c r="B76" s="64">
        <v>5.3</v>
      </c>
      <c r="C76" s="64">
        <v>67.540000000000006</v>
      </c>
      <c r="D76" s="64">
        <v>42.17</v>
      </c>
      <c r="E76" s="64">
        <v>1.65</v>
      </c>
      <c r="F76" s="64">
        <v>19.98</v>
      </c>
      <c r="G76" s="64">
        <v>72.66</v>
      </c>
      <c r="H76" s="64">
        <v>33.25</v>
      </c>
      <c r="I76" s="64">
        <v>1.51</v>
      </c>
      <c r="J76" s="64">
        <v>0.53</v>
      </c>
      <c r="K76" s="64">
        <v>345.09</v>
      </c>
      <c r="L76" s="64">
        <v>20.74</v>
      </c>
      <c r="M76" s="64">
        <v>41.42</v>
      </c>
      <c r="N76" s="64">
        <v>36.200000000000003</v>
      </c>
      <c r="O76" s="64">
        <v>0</v>
      </c>
      <c r="P76" s="64">
        <v>0.94</v>
      </c>
      <c r="Q76" s="64">
        <v>2.17</v>
      </c>
      <c r="R76" s="198"/>
      <c r="S76" s="198"/>
      <c r="T76" s="198"/>
      <c r="U76" s="198"/>
    </row>
    <row r="77" spans="1:21" s="12" customFormat="1" x14ac:dyDescent="0.25">
      <c r="A77" s="214" t="s">
        <v>1852</v>
      </c>
      <c r="B77" s="64">
        <v>5.68</v>
      </c>
      <c r="C77" s="64">
        <v>68.739999999999995</v>
      </c>
      <c r="D77" s="64">
        <v>43.14</v>
      </c>
      <c r="E77" s="64">
        <v>0.89</v>
      </c>
      <c r="F77" s="64">
        <v>8.99</v>
      </c>
      <c r="G77" s="64">
        <v>72.66</v>
      </c>
      <c r="H77" s="64">
        <v>33.25</v>
      </c>
      <c r="I77" s="64">
        <v>1.48</v>
      </c>
      <c r="J77" s="64">
        <v>0.28000000000000003</v>
      </c>
      <c r="K77" s="64">
        <v>331.17</v>
      </c>
      <c r="L77" s="64">
        <v>19.87</v>
      </c>
      <c r="M77" s="64">
        <v>53.51</v>
      </c>
      <c r="N77" s="64">
        <v>27.7</v>
      </c>
      <c r="O77" s="64">
        <v>0</v>
      </c>
      <c r="P77" s="64">
        <v>0.87</v>
      </c>
      <c r="Q77" s="64">
        <v>3.06</v>
      </c>
      <c r="R77" s="198"/>
      <c r="S77" s="198"/>
      <c r="T77" s="198"/>
      <c r="U77" s="198"/>
    </row>
    <row r="78" spans="1:21" s="12" customFormat="1" x14ac:dyDescent="0.25">
      <c r="A78" s="214" t="s">
        <v>1853</v>
      </c>
      <c r="B78" s="64">
        <v>7.09</v>
      </c>
      <c r="C78" s="64">
        <v>70.7</v>
      </c>
      <c r="D78" s="64">
        <v>45.35</v>
      </c>
      <c r="E78" s="64">
        <v>0.56000000000000005</v>
      </c>
      <c r="F78" s="64">
        <v>4.08</v>
      </c>
      <c r="G78" s="64">
        <v>72.66</v>
      </c>
      <c r="H78" s="64">
        <v>33.25</v>
      </c>
      <c r="I78" s="64">
        <v>1.55</v>
      </c>
      <c r="J78" s="64">
        <v>0.16</v>
      </c>
      <c r="K78" s="64">
        <v>321.47000000000003</v>
      </c>
      <c r="L78" s="64">
        <v>19.22</v>
      </c>
      <c r="M78" s="64">
        <v>56.59</v>
      </c>
      <c r="N78" s="64">
        <v>23.9</v>
      </c>
      <c r="O78" s="64">
        <v>0</v>
      </c>
      <c r="P78" s="64">
        <v>0.95</v>
      </c>
      <c r="Q78" s="64">
        <v>3.41</v>
      </c>
      <c r="R78" s="198"/>
      <c r="S78" s="198"/>
      <c r="T78" s="198"/>
      <c r="U78" s="198"/>
    </row>
    <row r="79" spans="1:21" s="12" customFormat="1" x14ac:dyDescent="0.25">
      <c r="A79" s="214" t="s">
        <v>1854</v>
      </c>
      <c r="B79" s="64">
        <v>8.73</v>
      </c>
      <c r="C79" s="64">
        <v>72.89</v>
      </c>
      <c r="D79" s="64">
        <v>47.87</v>
      </c>
      <c r="E79" s="64">
        <v>0.67</v>
      </c>
      <c r="F79" s="64">
        <v>3.88</v>
      </c>
      <c r="G79" s="64">
        <v>75.540000000000006</v>
      </c>
      <c r="H79" s="64">
        <v>34.770000000000003</v>
      </c>
      <c r="I79" s="64">
        <v>1.56</v>
      </c>
      <c r="J79" s="64">
        <v>0.12</v>
      </c>
      <c r="K79" s="64">
        <v>63.13</v>
      </c>
      <c r="L79" s="64">
        <v>18.850000000000001</v>
      </c>
      <c r="M79" s="64">
        <v>55.59</v>
      </c>
      <c r="N79" s="64">
        <v>22.9</v>
      </c>
      <c r="O79" s="64">
        <v>0</v>
      </c>
      <c r="P79" s="64">
        <v>1.18</v>
      </c>
      <c r="Q79" s="64">
        <v>3.67</v>
      </c>
      <c r="R79" s="198"/>
      <c r="S79" s="198"/>
      <c r="T79" s="198"/>
      <c r="U79" s="198"/>
    </row>
    <row r="80" spans="1:21" s="12" customFormat="1" x14ac:dyDescent="0.25">
      <c r="A80" s="214" t="s">
        <v>1855</v>
      </c>
      <c r="B80" s="64">
        <v>9.77</v>
      </c>
      <c r="C80" s="64">
        <v>74.22</v>
      </c>
      <c r="D80" s="64">
        <v>49.44</v>
      </c>
      <c r="E80" s="64">
        <v>0.56999999999999995</v>
      </c>
      <c r="F80" s="64">
        <v>4.09</v>
      </c>
      <c r="G80" s="64">
        <v>87.04</v>
      </c>
      <c r="H80" s="64">
        <v>38.92</v>
      </c>
      <c r="I80" s="64">
        <v>1.45</v>
      </c>
      <c r="J80" s="64">
        <v>0.16</v>
      </c>
      <c r="K80" s="64">
        <v>79.989999999999995</v>
      </c>
      <c r="L80" s="64">
        <v>18.63</v>
      </c>
      <c r="M80" s="64">
        <v>56.33</v>
      </c>
      <c r="N80" s="64">
        <v>22.7</v>
      </c>
      <c r="O80" s="64">
        <v>0</v>
      </c>
      <c r="P80" s="64">
        <v>1.1000000000000001</v>
      </c>
      <c r="Q80" s="64">
        <v>4.01</v>
      </c>
      <c r="R80" s="198"/>
      <c r="S80" s="198"/>
      <c r="T80" s="198"/>
      <c r="U80" s="198"/>
    </row>
    <row r="81" spans="1:26" s="12" customFormat="1" x14ac:dyDescent="0.25">
      <c r="A81" s="214" t="s">
        <v>1856</v>
      </c>
      <c r="B81" s="64">
        <v>11.14</v>
      </c>
      <c r="C81" s="64">
        <v>75.47</v>
      </c>
      <c r="D81" s="64">
        <v>51.24</v>
      </c>
      <c r="E81" s="64">
        <v>0.59</v>
      </c>
      <c r="F81" s="64">
        <v>3.77</v>
      </c>
      <c r="G81" s="64">
        <v>87.04</v>
      </c>
      <c r="H81" s="64">
        <v>38.92</v>
      </c>
      <c r="I81" s="64">
        <v>1.51</v>
      </c>
      <c r="J81" s="64">
        <v>0.2</v>
      </c>
      <c r="K81" s="64">
        <v>86.71</v>
      </c>
      <c r="L81" s="64">
        <v>18.600000000000001</v>
      </c>
      <c r="M81" s="64">
        <v>50.73</v>
      </c>
      <c r="N81" s="64">
        <v>22.6</v>
      </c>
      <c r="O81" s="64">
        <v>0</v>
      </c>
      <c r="P81" s="64">
        <v>1.31</v>
      </c>
      <c r="Q81" s="64">
        <v>4.03</v>
      </c>
      <c r="R81" s="198"/>
      <c r="S81" s="198"/>
      <c r="T81" s="198"/>
      <c r="U81" s="198"/>
    </row>
    <row r="82" spans="1:26" s="12" customFormat="1" x14ac:dyDescent="0.25">
      <c r="A82" s="214" t="s">
        <v>1857</v>
      </c>
      <c r="B82" s="64">
        <v>12.22</v>
      </c>
      <c r="C82" s="64">
        <v>76.650000000000006</v>
      </c>
      <c r="D82" s="64">
        <v>52.75</v>
      </c>
      <c r="E82" s="64">
        <v>0.78</v>
      </c>
      <c r="F82" s="64">
        <v>3.73</v>
      </c>
      <c r="G82" s="64">
        <v>87.04</v>
      </c>
      <c r="H82" s="64">
        <v>38.92</v>
      </c>
      <c r="I82" s="64">
        <v>1.55</v>
      </c>
      <c r="J82" s="64">
        <v>0.2</v>
      </c>
      <c r="K82" s="64">
        <v>79.27</v>
      </c>
      <c r="L82" s="64">
        <v>18.55</v>
      </c>
      <c r="M82" s="64">
        <v>46.94</v>
      </c>
      <c r="N82" s="64">
        <v>22.5</v>
      </c>
      <c r="O82" s="64">
        <v>0</v>
      </c>
      <c r="P82" s="64">
        <v>1.5</v>
      </c>
      <c r="Q82" s="64">
        <v>3.5</v>
      </c>
      <c r="R82" s="198"/>
      <c r="S82" s="198"/>
      <c r="T82" s="198"/>
      <c r="U82" s="198"/>
    </row>
    <row r="83" spans="1:26" s="12" customFormat="1" x14ac:dyDescent="0.25">
      <c r="A83" s="214" t="s">
        <v>1858</v>
      </c>
      <c r="B83" s="64">
        <v>12.84</v>
      </c>
      <c r="C83" s="64">
        <v>77.790000000000006</v>
      </c>
      <c r="D83" s="64">
        <v>53.87</v>
      </c>
      <c r="E83" s="64">
        <v>0.84</v>
      </c>
      <c r="F83" s="64">
        <v>4.1900000000000004</v>
      </c>
      <c r="G83" s="64">
        <v>93.54</v>
      </c>
      <c r="H83" s="64">
        <v>41.57</v>
      </c>
      <c r="I83" s="64">
        <v>1.52</v>
      </c>
      <c r="J83" s="64">
        <v>0.17</v>
      </c>
      <c r="K83" s="64">
        <v>82.5</v>
      </c>
      <c r="L83" s="64">
        <v>18.34</v>
      </c>
      <c r="M83" s="64">
        <v>47.61</v>
      </c>
      <c r="N83" s="64">
        <v>22.6</v>
      </c>
      <c r="O83" s="64">
        <v>0</v>
      </c>
      <c r="P83" s="64">
        <v>1.72</v>
      </c>
      <c r="Q83" s="64">
        <v>3.56</v>
      </c>
      <c r="R83" s="198"/>
      <c r="S83" s="198"/>
      <c r="T83" s="198"/>
      <c r="U83" s="198"/>
    </row>
    <row r="84" spans="1:26" s="12" customFormat="1" x14ac:dyDescent="0.25">
      <c r="A84" s="214" t="s">
        <v>1859</v>
      </c>
      <c r="B84" s="64">
        <v>13.38</v>
      </c>
      <c r="C84" s="64">
        <v>78.819999999999993</v>
      </c>
      <c r="D84" s="64">
        <v>54.88</v>
      </c>
      <c r="E84" s="64">
        <v>0.79</v>
      </c>
      <c r="F84" s="64">
        <v>4.3600000000000003</v>
      </c>
      <c r="G84" s="64">
        <v>119.57</v>
      </c>
      <c r="H84" s="64">
        <v>48.8</v>
      </c>
      <c r="I84" s="64">
        <v>1.45</v>
      </c>
      <c r="J84" s="64">
        <v>0.16</v>
      </c>
      <c r="K84" s="64">
        <v>74.06</v>
      </c>
      <c r="L84" s="64">
        <v>18.149999999999999</v>
      </c>
      <c r="M84" s="64">
        <v>48.4</v>
      </c>
      <c r="N84" s="64">
        <v>22.7</v>
      </c>
      <c r="O84" s="64">
        <v>0</v>
      </c>
      <c r="P84" s="64">
        <v>1.91</v>
      </c>
      <c r="Q84" s="64">
        <v>3.06</v>
      </c>
      <c r="R84" s="198"/>
      <c r="S84" s="198"/>
      <c r="T84" s="198"/>
      <c r="U84" s="198"/>
    </row>
    <row r="85" spans="1:26" s="12" customFormat="1" x14ac:dyDescent="0.25">
      <c r="A85" s="214" t="s">
        <v>1860</v>
      </c>
      <c r="B85" s="64">
        <v>14.06</v>
      </c>
      <c r="C85" s="64">
        <v>78.95</v>
      </c>
      <c r="D85" s="64">
        <v>55.5</v>
      </c>
      <c r="E85" s="64">
        <v>0.99</v>
      </c>
      <c r="F85" s="64">
        <v>4.41</v>
      </c>
      <c r="G85" s="64">
        <v>119.57</v>
      </c>
      <c r="H85" s="64">
        <v>48.8</v>
      </c>
      <c r="I85" s="64">
        <v>1.49</v>
      </c>
      <c r="J85" s="64">
        <v>0.21</v>
      </c>
      <c r="K85" s="64">
        <v>74.290000000000006</v>
      </c>
      <c r="L85" s="64">
        <v>17.86</v>
      </c>
      <c r="M85" s="64">
        <v>50.91</v>
      </c>
      <c r="N85" s="64">
        <v>22.9</v>
      </c>
      <c r="O85" s="64">
        <v>0</v>
      </c>
      <c r="P85" s="64">
        <v>1.73</v>
      </c>
      <c r="Q85" s="64">
        <v>2.02</v>
      </c>
      <c r="R85" s="198"/>
      <c r="S85" s="198"/>
      <c r="T85" s="198"/>
      <c r="U85" s="198"/>
    </row>
    <row r="86" spans="1:26" s="12" customFormat="1" x14ac:dyDescent="0.25">
      <c r="A86" s="214" t="s">
        <v>1861</v>
      </c>
      <c r="B86" s="64">
        <v>14.19</v>
      </c>
      <c r="C86" s="64">
        <v>78.13</v>
      </c>
      <c r="D86" s="64">
        <v>55.14</v>
      </c>
      <c r="E86" s="64">
        <v>0.97</v>
      </c>
      <c r="F86" s="64">
        <v>5.8</v>
      </c>
      <c r="G86" s="64">
        <v>119.57</v>
      </c>
      <c r="H86" s="64">
        <v>48.8</v>
      </c>
      <c r="I86" s="64">
        <v>1.55</v>
      </c>
      <c r="J86" s="64">
        <v>0.15</v>
      </c>
      <c r="K86" s="64">
        <v>90.35</v>
      </c>
      <c r="L86" s="64">
        <v>17.38</v>
      </c>
      <c r="M86" s="64">
        <v>53.43</v>
      </c>
      <c r="N86" s="64">
        <v>23</v>
      </c>
      <c r="O86" s="64">
        <v>0</v>
      </c>
      <c r="P86" s="64">
        <v>1.63</v>
      </c>
      <c r="Q86" s="64">
        <v>3.8</v>
      </c>
      <c r="R86" s="198"/>
      <c r="S86" s="198"/>
      <c r="T86" s="198"/>
      <c r="U86" s="198"/>
    </row>
    <row r="87" spans="1:26" s="12" customFormat="1" x14ac:dyDescent="0.25">
      <c r="A87" s="214" t="s">
        <v>1862</v>
      </c>
      <c r="B87" s="64">
        <v>14</v>
      </c>
      <c r="C87" s="64">
        <v>77.010000000000005</v>
      </c>
      <c r="D87" s="64">
        <v>54.37</v>
      </c>
      <c r="E87" s="64">
        <v>0.86</v>
      </c>
      <c r="F87" s="64">
        <v>6.09</v>
      </c>
      <c r="G87" s="64">
        <v>120.04</v>
      </c>
      <c r="H87" s="64">
        <v>50.36</v>
      </c>
      <c r="I87" s="64">
        <v>1.55</v>
      </c>
      <c r="J87" s="64">
        <v>0.11</v>
      </c>
      <c r="K87" s="64">
        <v>55.14</v>
      </c>
      <c r="L87" s="64">
        <v>17.07</v>
      </c>
      <c r="M87" s="64">
        <v>54.67</v>
      </c>
      <c r="N87" s="64">
        <v>22.9</v>
      </c>
      <c r="O87" s="64">
        <v>0</v>
      </c>
      <c r="P87" s="64">
        <v>1.47</v>
      </c>
      <c r="Q87" s="64">
        <v>4.58</v>
      </c>
      <c r="R87" s="198"/>
      <c r="S87" s="198"/>
      <c r="T87" s="198"/>
      <c r="U87" s="198"/>
    </row>
    <row r="88" spans="1:26" s="12" customFormat="1" x14ac:dyDescent="0.25">
      <c r="A88" s="214" t="s">
        <v>1863</v>
      </c>
      <c r="B88" s="64">
        <v>13.82</v>
      </c>
      <c r="C88" s="64">
        <v>76.180000000000007</v>
      </c>
      <c r="D88" s="64">
        <v>53.77</v>
      </c>
      <c r="E88" s="64">
        <v>0.65</v>
      </c>
      <c r="F88" s="64">
        <v>6.19</v>
      </c>
      <c r="G88" s="64">
        <v>121.93</v>
      </c>
      <c r="H88" s="64">
        <v>54.6</v>
      </c>
      <c r="I88" s="64">
        <v>1.5</v>
      </c>
      <c r="J88" s="64">
        <v>0.13</v>
      </c>
      <c r="K88" s="64">
        <v>52.17</v>
      </c>
      <c r="L88" s="64">
        <v>16.88</v>
      </c>
      <c r="M88" s="64">
        <v>55.05</v>
      </c>
      <c r="N88" s="64">
        <v>22.7</v>
      </c>
      <c r="O88" s="64">
        <v>0</v>
      </c>
      <c r="P88" s="64">
        <v>1.36</v>
      </c>
      <c r="Q88" s="64">
        <v>4.79</v>
      </c>
      <c r="R88" s="198"/>
      <c r="S88" s="198"/>
      <c r="T88" s="198"/>
      <c r="U88" s="198"/>
    </row>
    <row r="89" spans="1:26" s="12" customFormat="1" x14ac:dyDescent="0.25">
      <c r="A89" s="214" t="s">
        <v>1864</v>
      </c>
      <c r="B89" s="64">
        <v>13.62</v>
      </c>
      <c r="C89" s="64">
        <v>75.05</v>
      </c>
      <c r="D89" s="64">
        <v>52.99</v>
      </c>
      <c r="E89" s="64">
        <v>1</v>
      </c>
      <c r="F89" s="64">
        <v>6.01</v>
      </c>
      <c r="G89" s="64">
        <v>121.93</v>
      </c>
      <c r="H89" s="64">
        <v>54.6</v>
      </c>
      <c r="I89" s="64">
        <v>1.53</v>
      </c>
      <c r="J89" s="64">
        <v>0.11</v>
      </c>
      <c r="K89" s="64">
        <v>48.15</v>
      </c>
      <c r="L89" s="64">
        <v>16.899999999999999</v>
      </c>
      <c r="M89" s="64">
        <v>55.18</v>
      </c>
      <c r="N89" s="64">
        <v>22.8</v>
      </c>
      <c r="O89" s="64">
        <v>0</v>
      </c>
      <c r="P89" s="64">
        <v>1.27</v>
      </c>
      <c r="Q89" s="64">
        <v>4.72</v>
      </c>
      <c r="R89" s="198"/>
      <c r="S89" s="198"/>
      <c r="T89" s="198"/>
      <c r="U89" s="198"/>
    </row>
    <row r="90" spans="1:26" s="12" customFormat="1" x14ac:dyDescent="0.25">
      <c r="A90" s="214" t="s">
        <v>1865</v>
      </c>
      <c r="B90" s="64">
        <v>13.78</v>
      </c>
      <c r="C90" s="64">
        <v>74.260000000000005</v>
      </c>
      <c r="D90" s="64">
        <v>52.68</v>
      </c>
      <c r="E90" s="64">
        <v>1.04</v>
      </c>
      <c r="F90" s="64">
        <v>5.55</v>
      </c>
      <c r="G90" s="64">
        <v>121.93</v>
      </c>
      <c r="H90" s="64">
        <v>54.6</v>
      </c>
      <c r="I90" s="64">
        <v>1.49</v>
      </c>
      <c r="J90" s="64">
        <v>7.0000000000000007E-2</v>
      </c>
      <c r="K90" s="64">
        <v>29.85</v>
      </c>
      <c r="L90" s="64">
        <v>16.57</v>
      </c>
      <c r="M90" s="64">
        <v>58.82</v>
      </c>
      <c r="N90" s="64">
        <v>23</v>
      </c>
      <c r="O90" s="64">
        <v>0</v>
      </c>
      <c r="P90" s="64">
        <v>1.62</v>
      </c>
      <c r="Q90" s="64">
        <v>2.66</v>
      </c>
      <c r="R90" s="198"/>
      <c r="S90" s="198"/>
      <c r="T90" s="198"/>
      <c r="U90" s="198"/>
    </row>
    <row r="91" spans="1:26" s="12" customFormat="1" x14ac:dyDescent="0.25">
      <c r="A91" s="214" t="s">
        <v>1866</v>
      </c>
      <c r="B91" s="64">
        <v>15.86</v>
      </c>
      <c r="C91" s="64">
        <v>73.930000000000007</v>
      </c>
      <c r="D91" s="64">
        <v>54.17</v>
      </c>
      <c r="E91" s="64">
        <v>1.02</v>
      </c>
      <c r="F91" s="64">
        <v>4.17</v>
      </c>
      <c r="G91" s="64">
        <v>121.29</v>
      </c>
      <c r="H91" s="64">
        <v>55.14</v>
      </c>
      <c r="I91" s="64">
        <v>1.54</v>
      </c>
      <c r="J91" s="64">
        <v>0.14000000000000001</v>
      </c>
      <c r="K91" s="64">
        <v>266.75</v>
      </c>
      <c r="L91" s="64">
        <v>16.14</v>
      </c>
      <c r="M91" s="64">
        <v>62.56</v>
      </c>
      <c r="N91" s="64">
        <v>22.8</v>
      </c>
      <c r="O91" s="64">
        <v>0</v>
      </c>
      <c r="P91" s="64">
        <v>1.82</v>
      </c>
      <c r="Q91" s="212" t="s">
        <v>42</v>
      </c>
      <c r="R91" s="198"/>
      <c r="S91" s="198"/>
      <c r="T91" s="198"/>
      <c r="U91" s="198"/>
    </row>
    <row r="92" spans="1:26" s="12" customFormat="1" x14ac:dyDescent="0.25">
      <c r="A92" s="214" t="s">
        <v>1867</v>
      </c>
      <c r="B92" s="64">
        <v>18.72</v>
      </c>
      <c r="C92" s="64">
        <v>73.930000000000007</v>
      </c>
      <c r="D92" s="64">
        <v>56.45</v>
      </c>
      <c r="E92" s="64">
        <v>1.2</v>
      </c>
      <c r="F92" s="64">
        <v>3.94</v>
      </c>
      <c r="G92" s="64">
        <v>118.93</v>
      </c>
      <c r="H92" s="64">
        <v>57.54</v>
      </c>
      <c r="I92" s="64">
        <v>1.47</v>
      </c>
      <c r="J92" s="64">
        <v>0.06</v>
      </c>
      <c r="K92" s="64">
        <v>273.73</v>
      </c>
      <c r="L92" s="64">
        <v>15.74</v>
      </c>
      <c r="M92" s="64">
        <v>66.42</v>
      </c>
      <c r="N92" s="64">
        <v>23.1</v>
      </c>
      <c r="O92" s="64">
        <v>0</v>
      </c>
      <c r="P92" s="64">
        <v>2.13</v>
      </c>
      <c r="Q92" s="212" t="s">
        <v>42</v>
      </c>
      <c r="R92" s="198"/>
      <c r="S92" s="198"/>
      <c r="T92" s="198"/>
      <c r="U92" s="198"/>
    </row>
    <row r="93" spans="1:26" s="12" customFormat="1" x14ac:dyDescent="0.25">
      <c r="A93" s="214" t="s">
        <v>1868</v>
      </c>
      <c r="B93" s="64">
        <v>24.8</v>
      </c>
      <c r="C93" s="64">
        <v>74.650000000000006</v>
      </c>
      <c r="D93" s="64">
        <v>61.73</v>
      </c>
      <c r="E93" s="64">
        <v>1.4</v>
      </c>
      <c r="F93" s="64">
        <v>3.88</v>
      </c>
      <c r="G93" s="64">
        <v>118.93</v>
      </c>
      <c r="H93" s="64">
        <v>57.54</v>
      </c>
      <c r="I93" s="64">
        <v>1.51</v>
      </c>
      <c r="J93" s="64">
        <v>0.15</v>
      </c>
      <c r="K93" s="64">
        <v>296.05</v>
      </c>
      <c r="L93" s="64">
        <v>15.39</v>
      </c>
      <c r="M93" s="64">
        <v>71.650000000000006</v>
      </c>
      <c r="N93" s="64">
        <v>23</v>
      </c>
      <c r="O93" s="64">
        <v>0</v>
      </c>
      <c r="P93" s="64">
        <v>2.59</v>
      </c>
      <c r="Q93" s="212" t="s">
        <v>42</v>
      </c>
      <c r="R93" s="198"/>
      <c r="S93" s="198"/>
      <c r="T93" s="198"/>
      <c r="U93" s="198"/>
    </row>
    <row r="94" spans="1:26" s="12" customFormat="1" x14ac:dyDescent="0.25">
      <c r="A94" s="214" t="s">
        <v>1869</v>
      </c>
      <c r="B94" s="64">
        <v>35.89</v>
      </c>
      <c r="C94" s="64">
        <v>75.5</v>
      </c>
      <c r="D94" s="64">
        <v>71.09</v>
      </c>
      <c r="E94" s="64">
        <v>1.42</v>
      </c>
      <c r="F94" s="64">
        <v>3.96</v>
      </c>
      <c r="G94" s="64">
        <v>118.93</v>
      </c>
      <c r="H94" s="64">
        <v>57.54</v>
      </c>
      <c r="I94" s="64">
        <v>1.52</v>
      </c>
      <c r="J94" s="64">
        <v>0.15</v>
      </c>
      <c r="K94" s="64">
        <v>292.29000000000002</v>
      </c>
      <c r="L94" s="64">
        <v>15.06</v>
      </c>
      <c r="M94" s="64">
        <v>74.97</v>
      </c>
      <c r="N94" s="64">
        <v>23</v>
      </c>
      <c r="O94" s="64">
        <v>0</v>
      </c>
      <c r="P94" s="64">
        <v>3.27</v>
      </c>
      <c r="Q94" s="212" t="s">
        <v>42</v>
      </c>
      <c r="R94" s="198"/>
      <c r="S94" s="198"/>
      <c r="T94" s="198"/>
      <c r="U94" s="198"/>
    </row>
    <row r="95" spans="1:26" s="12" customFormat="1" x14ac:dyDescent="0.25">
      <c r="A95" s="214" t="s">
        <v>1870</v>
      </c>
      <c r="B95" s="64">
        <v>48.5</v>
      </c>
      <c r="C95" s="64">
        <v>76.22</v>
      </c>
      <c r="D95" s="64">
        <v>81.599999999999994</v>
      </c>
      <c r="E95" s="64">
        <v>1.34</v>
      </c>
      <c r="F95" s="64">
        <v>3.8</v>
      </c>
      <c r="G95" s="64">
        <v>141.41999999999999</v>
      </c>
      <c r="H95" s="64">
        <v>59.3</v>
      </c>
      <c r="I95" s="64">
        <v>1.51</v>
      </c>
      <c r="J95" s="64">
        <v>0.13</v>
      </c>
      <c r="K95" s="64">
        <v>293.14</v>
      </c>
      <c r="L95" s="64">
        <v>14.87</v>
      </c>
      <c r="M95" s="64">
        <v>74.040000000000006</v>
      </c>
      <c r="N95" s="64">
        <v>22.9</v>
      </c>
      <c r="O95" s="64">
        <v>0</v>
      </c>
      <c r="P95" s="64">
        <v>3.11</v>
      </c>
      <c r="Q95" s="212" t="s">
        <v>42</v>
      </c>
      <c r="R95" s="198"/>
      <c r="S95" s="198"/>
      <c r="T95" s="198"/>
      <c r="U95" s="198"/>
    </row>
    <row r="96" spans="1:26" s="12" customFormat="1" x14ac:dyDescent="0.25">
      <c r="A96" s="214" t="s">
        <v>1871</v>
      </c>
      <c r="B96" s="64">
        <v>59.45</v>
      </c>
      <c r="C96" s="64">
        <v>77.22</v>
      </c>
      <c r="D96" s="64">
        <v>90.94</v>
      </c>
      <c r="E96" s="64">
        <v>1.25</v>
      </c>
      <c r="F96" s="64">
        <v>3.69</v>
      </c>
      <c r="G96" s="64">
        <v>225.45</v>
      </c>
      <c r="H96" s="64">
        <v>64.09</v>
      </c>
      <c r="I96" s="64">
        <v>1.5</v>
      </c>
      <c r="J96" s="64">
        <v>0.09</v>
      </c>
      <c r="K96" s="64">
        <v>314.52</v>
      </c>
      <c r="L96" s="64">
        <v>14.66</v>
      </c>
      <c r="M96" s="64">
        <v>75.28</v>
      </c>
      <c r="N96" s="64">
        <v>23</v>
      </c>
      <c r="O96" s="64">
        <v>0</v>
      </c>
      <c r="P96" s="64">
        <v>2.91</v>
      </c>
      <c r="Q96" s="212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1872</v>
      </c>
      <c r="B97" s="64">
        <v>69.069999999999993</v>
      </c>
      <c r="C97" s="64">
        <v>78.16</v>
      </c>
      <c r="D97" s="64">
        <v>99.17</v>
      </c>
      <c r="E97" s="64">
        <v>1.25</v>
      </c>
      <c r="F97" s="64">
        <v>3.72</v>
      </c>
      <c r="G97" s="64">
        <v>225.45</v>
      </c>
      <c r="H97" s="64">
        <v>64.09</v>
      </c>
      <c r="I97" s="64">
        <v>1.47</v>
      </c>
      <c r="J97" s="64">
        <v>0.12</v>
      </c>
      <c r="K97" s="64">
        <v>245.27</v>
      </c>
      <c r="L97" s="64">
        <v>14.63</v>
      </c>
      <c r="M97" s="64">
        <v>74.94</v>
      </c>
      <c r="N97" s="64">
        <v>22.8</v>
      </c>
      <c r="O97" s="64">
        <v>0</v>
      </c>
      <c r="P97" s="64">
        <v>2.71</v>
      </c>
      <c r="Q97" s="64">
        <v>0.28999999999999998</v>
      </c>
      <c r="R97" s="198"/>
      <c r="S97" s="198"/>
      <c r="T97" s="198"/>
      <c r="U97" s="198"/>
    </row>
    <row r="98" spans="1:33" s="12" customFormat="1" x14ac:dyDescent="0.25">
      <c r="A98" s="214" t="s">
        <v>1873</v>
      </c>
      <c r="B98" s="64">
        <v>78.430000000000007</v>
      </c>
      <c r="C98" s="64">
        <v>78.67</v>
      </c>
      <c r="D98" s="64">
        <v>106.96</v>
      </c>
      <c r="E98" s="64">
        <v>1.1399999999999999</v>
      </c>
      <c r="F98" s="64">
        <v>3.83</v>
      </c>
      <c r="G98" s="64">
        <v>225.45</v>
      </c>
      <c r="H98" s="64">
        <v>64.09</v>
      </c>
      <c r="I98" s="64">
        <v>1.45</v>
      </c>
      <c r="J98" s="64">
        <v>0.1</v>
      </c>
      <c r="K98" s="64">
        <v>317.62</v>
      </c>
      <c r="L98" s="64">
        <v>14.8</v>
      </c>
      <c r="M98" s="64">
        <v>77.959999999999994</v>
      </c>
      <c r="N98" s="64">
        <v>22.7</v>
      </c>
      <c r="O98" s="64">
        <v>0</v>
      </c>
      <c r="P98" s="64">
        <v>2.52</v>
      </c>
      <c r="Q98" s="64">
        <v>1.61</v>
      </c>
      <c r="R98" s="198"/>
      <c r="S98" s="198"/>
      <c r="T98" s="198"/>
      <c r="U98" s="198"/>
    </row>
    <row r="99" spans="1:33" s="12" customFormat="1" x14ac:dyDescent="0.25">
      <c r="A99" s="214" t="s">
        <v>1874</v>
      </c>
      <c r="B99" s="64">
        <v>92.9</v>
      </c>
      <c r="C99" s="64">
        <v>80.09</v>
      </c>
      <c r="D99" s="64">
        <v>119.35</v>
      </c>
      <c r="E99" s="64">
        <v>1.2</v>
      </c>
      <c r="F99" s="64">
        <v>3.99</v>
      </c>
      <c r="G99" s="64">
        <v>223.94</v>
      </c>
      <c r="H99" s="64">
        <v>65.09</v>
      </c>
      <c r="I99" s="64">
        <v>1.49</v>
      </c>
      <c r="J99" s="64">
        <v>0.13</v>
      </c>
      <c r="K99" s="64">
        <v>317.52</v>
      </c>
      <c r="L99" s="64">
        <v>14.51</v>
      </c>
      <c r="M99" s="64">
        <v>80.819999999999993</v>
      </c>
      <c r="N99" s="64">
        <v>23</v>
      </c>
      <c r="O99" s="64">
        <v>0</v>
      </c>
      <c r="P99" s="64">
        <v>2.9</v>
      </c>
      <c r="Q99" s="64">
        <v>0.77</v>
      </c>
      <c r="R99" s="198"/>
      <c r="S99" s="198"/>
      <c r="T99" s="198"/>
      <c r="U99" s="198"/>
    </row>
    <row r="100" spans="1:33" s="12" customFormat="1" x14ac:dyDescent="0.25">
      <c r="A100" s="214" t="s">
        <v>1875</v>
      </c>
      <c r="B100" s="64">
        <v>106.26</v>
      </c>
      <c r="C100" s="64">
        <v>81.05</v>
      </c>
      <c r="D100" s="64">
        <v>130.58000000000001</v>
      </c>
      <c r="E100" s="64">
        <v>1.1000000000000001</v>
      </c>
      <c r="F100" s="64">
        <v>3.77</v>
      </c>
      <c r="G100" s="64">
        <v>218.29</v>
      </c>
      <c r="H100" s="64">
        <v>67.84</v>
      </c>
      <c r="I100" s="64">
        <v>1.52</v>
      </c>
      <c r="J100" s="64">
        <v>0.11</v>
      </c>
      <c r="K100" s="64">
        <v>353.74</v>
      </c>
      <c r="L100" s="64">
        <v>14.21</v>
      </c>
      <c r="M100" s="64">
        <v>81.349999999999994</v>
      </c>
      <c r="N100" s="64">
        <v>22.7</v>
      </c>
      <c r="O100" s="64">
        <v>0</v>
      </c>
      <c r="P100" s="64">
        <v>2.88</v>
      </c>
      <c r="Q100" s="64">
        <v>2.61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1876</v>
      </c>
      <c r="B101" s="64">
        <v>111.98</v>
      </c>
      <c r="C101" s="64">
        <v>81.12</v>
      </c>
      <c r="D101" s="64">
        <v>135.21</v>
      </c>
      <c r="E101" s="64">
        <v>0.97</v>
      </c>
      <c r="F101" s="64">
        <v>3.49</v>
      </c>
      <c r="G101" s="64">
        <v>218.29</v>
      </c>
      <c r="H101" s="64">
        <v>67.84</v>
      </c>
      <c r="I101" s="64">
        <v>1.47</v>
      </c>
      <c r="J101" s="64">
        <v>0.06</v>
      </c>
      <c r="K101" s="64">
        <v>4.49</v>
      </c>
      <c r="L101" s="64">
        <v>15.02</v>
      </c>
      <c r="M101" s="64">
        <v>66.03</v>
      </c>
      <c r="N101" s="64">
        <v>22.1</v>
      </c>
      <c r="O101" s="64">
        <v>0</v>
      </c>
      <c r="P101" s="64">
        <v>2.0099999999999998</v>
      </c>
      <c r="Q101" s="64">
        <v>9.81</v>
      </c>
      <c r="R101" s="198"/>
      <c r="S101" s="198"/>
      <c r="T101" s="198"/>
      <c r="U101" s="198"/>
    </row>
    <row r="102" spans="1:33" s="12" customFormat="1" x14ac:dyDescent="0.25">
      <c r="A102" s="214" t="s">
        <v>1877</v>
      </c>
      <c r="B102" s="64">
        <v>109.14</v>
      </c>
      <c r="C102" s="64">
        <v>80.790000000000006</v>
      </c>
      <c r="D102" s="64">
        <v>132.75</v>
      </c>
      <c r="E102" s="64">
        <v>0.87</v>
      </c>
      <c r="F102" s="64">
        <v>3.55</v>
      </c>
      <c r="G102" s="64">
        <v>218.29</v>
      </c>
      <c r="H102" s="64">
        <v>67.84</v>
      </c>
      <c r="I102" s="64">
        <v>1.52</v>
      </c>
      <c r="J102" s="64">
        <v>0.14000000000000001</v>
      </c>
      <c r="K102" s="64">
        <v>64.430000000000007</v>
      </c>
      <c r="L102" s="64">
        <v>15.28</v>
      </c>
      <c r="M102" s="64">
        <v>61.93</v>
      </c>
      <c r="N102" s="64">
        <v>22.5</v>
      </c>
      <c r="O102" s="64">
        <v>0</v>
      </c>
      <c r="P102" s="64">
        <v>1.49</v>
      </c>
      <c r="Q102" s="64">
        <v>15.51</v>
      </c>
      <c r="R102" s="198"/>
      <c r="S102" s="198"/>
      <c r="T102" s="198"/>
      <c r="U102" s="198"/>
    </row>
    <row r="103" spans="1:33" s="12" customFormat="1" x14ac:dyDescent="0.25">
      <c r="A103" s="214" t="s">
        <v>1878</v>
      </c>
      <c r="B103" s="64">
        <v>103.17</v>
      </c>
      <c r="C103" s="64">
        <v>79.959999999999994</v>
      </c>
      <c r="D103" s="64">
        <v>127.5</v>
      </c>
      <c r="E103" s="64">
        <v>0.86</v>
      </c>
      <c r="F103" s="64">
        <v>3.78</v>
      </c>
      <c r="G103" s="64">
        <v>203.25</v>
      </c>
      <c r="H103" s="64">
        <v>67.59</v>
      </c>
      <c r="I103" s="64">
        <v>1.54</v>
      </c>
      <c r="J103" s="64">
        <v>0.11</v>
      </c>
      <c r="K103" s="64">
        <v>297.48</v>
      </c>
      <c r="L103" s="64">
        <v>15.04</v>
      </c>
      <c r="M103" s="64">
        <v>65.31</v>
      </c>
      <c r="N103" s="64">
        <v>23.2</v>
      </c>
      <c r="O103" s="64">
        <v>0</v>
      </c>
      <c r="P103" s="64">
        <v>1.1299999999999999</v>
      </c>
      <c r="Q103" s="64">
        <v>18.38</v>
      </c>
      <c r="R103" s="198"/>
      <c r="S103" s="198"/>
      <c r="T103" s="198"/>
      <c r="U103" s="198"/>
    </row>
    <row r="104" spans="1:33" s="12" customFormat="1" x14ac:dyDescent="0.25">
      <c r="A104" s="214" t="s">
        <v>1879</v>
      </c>
      <c r="B104" s="64">
        <v>96.64</v>
      </c>
      <c r="C104" s="64">
        <v>78.66</v>
      </c>
      <c r="D104" s="64">
        <v>121.55</v>
      </c>
      <c r="E104" s="64">
        <v>0.5</v>
      </c>
      <c r="F104" s="64">
        <v>4.7</v>
      </c>
      <c r="G104" s="64">
        <v>147.03</v>
      </c>
      <c r="H104" s="64">
        <v>66.930000000000007</v>
      </c>
      <c r="I104" s="64">
        <v>1.52</v>
      </c>
      <c r="J104" s="64">
        <v>0.04</v>
      </c>
      <c r="K104" s="64">
        <v>2.9</v>
      </c>
      <c r="L104" s="64">
        <v>14.43</v>
      </c>
      <c r="M104" s="64">
        <v>69.5</v>
      </c>
      <c r="N104" s="64">
        <v>23.3</v>
      </c>
      <c r="O104" s="64">
        <v>0</v>
      </c>
      <c r="P104" s="64">
        <v>1.1000000000000001</v>
      </c>
      <c r="Q104" s="64">
        <v>19.100000000000001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3.56</v>
      </c>
      <c r="C106" s="67">
        <f>MIN(C9:C104)</f>
        <v>54.4</v>
      </c>
      <c r="D106" s="67">
        <f t="shared" ref="D106:Q106" si="0">MIN(D9:D104)</f>
        <v>33.71</v>
      </c>
      <c r="E106" s="67">
        <f t="shared" si="0"/>
        <v>0.39</v>
      </c>
      <c r="F106" s="67">
        <f t="shared" si="0"/>
        <v>2.98</v>
      </c>
      <c r="G106" s="67">
        <f t="shared" si="0"/>
        <v>49.06</v>
      </c>
      <c r="H106" s="67">
        <f t="shared" si="0"/>
        <v>16.28</v>
      </c>
      <c r="I106" s="67">
        <f t="shared" si="0"/>
        <v>1.38</v>
      </c>
      <c r="J106" s="67">
        <f t="shared" si="0"/>
        <v>0.02</v>
      </c>
      <c r="K106" s="67">
        <f t="shared" si="0"/>
        <v>2.9</v>
      </c>
      <c r="L106" s="67">
        <f t="shared" si="0"/>
        <v>11.87</v>
      </c>
      <c r="M106" s="67">
        <f t="shared" si="0"/>
        <v>28.81</v>
      </c>
      <c r="N106" s="67">
        <f t="shared" si="0"/>
        <v>22.1</v>
      </c>
      <c r="O106" s="67">
        <f t="shared" si="0"/>
        <v>0</v>
      </c>
      <c r="P106" s="67">
        <f t="shared" si="0"/>
        <v>0.44</v>
      </c>
      <c r="Q106" s="67">
        <f t="shared" si="0"/>
        <v>0.28999999999999998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124.59</v>
      </c>
      <c r="C107" s="66">
        <f t="shared" ref="C107:Q107" si="1">MAX(C9:C104)</f>
        <v>81.12</v>
      </c>
      <c r="D107" s="66">
        <f t="shared" si="1"/>
        <v>145.16</v>
      </c>
      <c r="E107" s="66">
        <f t="shared" si="1"/>
        <v>4.25</v>
      </c>
      <c r="F107" s="66">
        <f t="shared" si="1"/>
        <v>42.13</v>
      </c>
      <c r="G107" s="66">
        <f t="shared" si="1"/>
        <v>225.45</v>
      </c>
      <c r="H107" s="66">
        <f t="shared" si="1"/>
        <v>86.29</v>
      </c>
      <c r="I107" s="66">
        <f t="shared" si="1"/>
        <v>1.64</v>
      </c>
      <c r="J107" s="66">
        <f t="shared" si="1"/>
        <v>1.4</v>
      </c>
      <c r="K107" s="66">
        <f t="shared" si="1"/>
        <v>353.74</v>
      </c>
      <c r="L107" s="66">
        <f t="shared" si="1"/>
        <v>25.54</v>
      </c>
      <c r="M107" s="66">
        <f t="shared" si="1"/>
        <v>88.84</v>
      </c>
      <c r="N107" s="66">
        <f t="shared" si="1"/>
        <v>694.8</v>
      </c>
      <c r="O107" s="66">
        <f t="shared" si="1"/>
        <v>0</v>
      </c>
      <c r="P107" s="66">
        <f t="shared" si="1"/>
        <v>3.27</v>
      </c>
      <c r="Q107" s="66">
        <f t="shared" si="1"/>
        <v>23.05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32.878958333333337</v>
      </c>
      <c r="C108" s="67">
        <f t="shared" ref="C108:Q108" si="2">AVERAGE(C9:C104)</f>
        <v>66.376979166666658</v>
      </c>
      <c r="D108" s="67">
        <f t="shared" si="2"/>
        <v>63.644583333333337</v>
      </c>
      <c r="E108" s="67">
        <f t="shared" si="2"/>
        <v>1.1546875000000003</v>
      </c>
      <c r="F108" s="67">
        <f t="shared" si="2"/>
        <v>10.793750000000003</v>
      </c>
      <c r="G108" s="67">
        <f t="shared" si="2"/>
        <v>112.76906250000012</v>
      </c>
      <c r="H108" s="67">
        <f t="shared" si="2"/>
        <v>54.423854166666722</v>
      </c>
      <c r="I108" s="67">
        <f t="shared" si="2"/>
        <v>1.5040625000000001</v>
      </c>
      <c r="J108" s="67">
        <f t="shared" si="2"/>
        <v>0.34812500000000002</v>
      </c>
      <c r="K108" s="67">
        <f t="shared" si="2"/>
        <v>188.3977083333333</v>
      </c>
      <c r="L108" s="67">
        <f t="shared" si="2"/>
        <v>17.496354166666666</v>
      </c>
      <c r="M108" s="67">
        <f t="shared" si="2"/>
        <v>57.681666666666651</v>
      </c>
      <c r="N108" s="67">
        <f t="shared" si="2"/>
        <v>178.08125000000004</v>
      </c>
      <c r="O108" s="67">
        <f t="shared" si="2"/>
        <v>0</v>
      </c>
      <c r="P108" s="67">
        <f t="shared" si="2"/>
        <v>1.0846874999999996</v>
      </c>
      <c r="Q108" s="67">
        <f t="shared" si="2"/>
        <v>7.7395555555555529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34.295822531527591</v>
      </c>
      <c r="C109" s="67">
        <f t="shared" ref="C109:Q109" si="3">STDEV(C9:C104)</f>
        <v>8.721567715158093</v>
      </c>
      <c r="D109" s="67">
        <f t="shared" si="3"/>
        <v>30.80063908826591</v>
      </c>
      <c r="E109" s="67">
        <f t="shared" si="3"/>
        <v>0.83967406348817064</v>
      </c>
      <c r="F109" s="67">
        <f t="shared" si="3"/>
        <v>11.144679188317912</v>
      </c>
      <c r="G109" s="67">
        <f t="shared" si="3"/>
        <v>47.551504156365716</v>
      </c>
      <c r="H109" s="67">
        <f t="shared" si="3"/>
        <v>18.421413247676135</v>
      </c>
      <c r="I109" s="67">
        <f t="shared" si="3"/>
        <v>4.3687361173636863E-2</v>
      </c>
      <c r="J109" s="67">
        <f t="shared" si="3"/>
        <v>0.32871460185651041</v>
      </c>
      <c r="K109" s="67">
        <f t="shared" si="3"/>
        <v>121.09528109784742</v>
      </c>
      <c r="L109" s="67">
        <f t="shared" si="3"/>
        <v>4.5062188887409418</v>
      </c>
      <c r="M109" s="67">
        <f t="shared" si="3"/>
        <v>19.024425334244608</v>
      </c>
      <c r="N109" s="67">
        <f t="shared" si="3"/>
        <v>218.63044537469352</v>
      </c>
      <c r="O109" s="67">
        <f t="shared" si="3"/>
        <v>0</v>
      </c>
      <c r="P109" s="67">
        <f t="shared" si="3"/>
        <v>0.6630328294245601</v>
      </c>
      <c r="Q109" s="67">
        <f t="shared" si="3"/>
        <v>5.8082492500590499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1880</v>
      </c>
      <c r="B9" s="64">
        <v>89.98</v>
      </c>
      <c r="C9" s="64">
        <v>77.47</v>
      </c>
      <c r="D9" s="64">
        <v>115.56</v>
      </c>
      <c r="E9" s="64">
        <v>0.75</v>
      </c>
      <c r="F9" s="64">
        <v>4.42</v>
      </c>
      <c r="G9" s="64">
        <v>147.03</v>
      </c>
      <c r="H9" s="64">
        <v>66.930000000000007</v>
      </c>
      <c r="I9" s="64">
        <v>1.52</v>
      </c>
      <c r="J9" s="64">
        <v>0.08</v>
      </c>
      <c r="K9" s="64">
        <v>241.48</v>
      </c>
      <c r="L9" s="64">
        <v>14.17</v>
      </c>
      <c r="M9" s="64">
        <v>72.73</v>
      </c>
      <c r="N9" s="64">
        <v>23.3</v>
      </c>
      <c r="O9" s="64">
        <v>0</v>
      </c>
      <c r="P9" s="64">
        <v>1.06</v>
      </c>
      <c r="Q9" s="64">
        <v>18.309999999999999</v>
      </c>
      <c r="R9" s="198"/>
      <c r="S9" s="198"/>
      <c r="T9" s="198"/>
      <c r="U9" s="198"/>
    </row>
    <row r="10" spans="1:21" s="12" customFormat="1" x14ac:dyDescent="0.25">
      <c r="A10" s="214" t="s">
        <v>1881</v>
      </c>
      <c r="B10" s="64">
        <v>83.68</v>
      </c>
      <c r="C10" s="64">
        <v>75.84</v>
      </c>
      <c r="D10" s="64">
        <v>109.61</v>
      </c>
      <c r="E10" s="64">
        <v>0.64</v>
      </c>
      <c r="F10" s="64">
        <v>4.07</v>
      </c>
      <c r="G10" s="64">
        <v>147.03</v>
      </c>
      <c r="H10" s="64">
        <v>66.930000000000007</v>
      </c>
      <c r="I10" s="64">
        <v>1.57</v>
      </c>
      <c r="J10" s="64">
        <v>0.02</v>
      </c>
      <c r="K10" s="64">
        <v>198.14</v>
      </c>
      <c r="L10" s="64">
        <v>13.84</v>
      </c>
      <c r="M10" s="64">
        <v>75.44</v>
      </c>
      <c r="N10" s="64">
        <v>23.3</v>
      </c>
      <c r="O10" s="64">
        <v>0</v>
      </c>
      <c r="P10" s="64">
        <v>1.05</v>
      </c>
      <c r="Q10" s="64">
        <v>17.77</v>
      </c>
      <c r="R10" s="198"/>
      <c r="S10" s="198"/>
      <c r="T10" s="198"/>
      <c r="U10" s="198"/>
    </row>
    <row r="11" spans="1:21" s="12" customFormat="1" x14ac:dyDescent="0.25">
      <c r="A11" s="214" t="s">
        <v>1882</v>
      </c>
      <c r="B11" s="64">
        <v>77.83</v>
      </c>
      <c r="C11" s="64">
        <v>74.34</v>
      </c>
      <c r="D11" s="64">
        <v>104.09</v>
      </c>
      <c r="E11" s="64">
        <v>0.67</v>
      </c>
      <c r="F11" s="64">
        <v>3.46</v>
      </c>
      <c r="G11" s="64">
        <v>138.28</v>
      </c>
      <c r="H11" s="64">
        <v>66</v>
      </c>
      <c r="I11" s="64">
        <v>1.42</v>
      </c>
      <c r="J11" s="64">
        <v>7.0000000000000007E-2</v>
      </c>
      <c r="K11" s="64">
        <v>336.16</v>
      </c>
      <c r="L11" s="64">
        <v>13.45</v>
      </c>
      <c r="M11" s="64">
        <v>82.35</v>
      </c>
      <c r="N11" s="64">
        <v>23.3</v>
      </c>
      <c r="O11" s="64">
        <v>0</v>
      </c>
      <c r="P11" s="64">
        <v>1.1000000000000001</v>
      </c>
      <c r="Q11" s="64">
        <v>16.899999999999999</v>
      </c>
      <c r="R11" s="198"/>
      <c r="S11" s="198"/>
      <c r="T11" s="198"/>
      <c r="U11" s="198"/>
    </row>
    <row r="12" spans="1:21" s="12" customFormat="1" x14ac:dyDescent="0.25">
      <c r="A12" s="214" t="s">
        <v>1883</v>
      </c>
      <c r="B12" s="64">
        <v>73.66</v>
      </c>
      <c r="C12" s="64">
        <v>72.930000000000007</v>
      </c>
      <c r="D12" s="64">
        <v>99.96</v>
      </c>
      <c r="E12" s="64">
        <v>0.62</v>
      </c>
      <c r="F12" s="64">
        <v>2.78</v>
      </c>
      <c r="G12" s="64">
        <v>105.56</v>
      </c>
      <c r="H12" s="64">
        <v>61.89</v>
      </c>
      <c r="I12" s="64">
        <v>1.49</v>
      </c>
      <c r="J12" s="64">
        <v>0.21</v>
      </c>
      <c r="K12" s="64">
        <v>79.709999999999994</v>
      </c>
      <c r="L12" s="64">
        <v>13.65</v>
      </c>
      <c r="M12" s="64">
        <v>75.260000000000005</v>
      </c>
      <c r="N12" s="64">
        <v>22.3</v>
      </c>
      <c r="O12" s="64">
        <v>0</v>
      </c>
      <c r="P12" s="64">
        <v>1</v>
      </c>
      <c r="Q12" s="64">
        <v>15.55</v>
      </c>
      <c r="R12" s="198"/>
      <c r="S12" s="198"/>
      <c r="T12" s="198"/>
      <c r="U12" s="198"/>
    </row>
    <row r="13" spans="1:21" s="12" customFormat="1" x14ac:dyDescent="0.25">
      <c r="A13" s="214" t="s">
        <v>1884</v>
      </c>
      <c r="B13" s="64">
        <v>68.75</v>
      </c>
      <c r="C13" s="64">
        <v>71.45</v>
      </c>
      <c r="D13" s="64">
        <v>95.21</v>
      </c>
      <c r="E13" s="64">
        <v>0.55000000000000004</v>
      </c>
      <c r="F13" s="64">
        <v>5.91</v>
      </c>
      <c r="G13" s="64">
        <v>105.56</v>
      </c>
      <c r="H13" s="64">
        <v>61.89</v>
      </c>
      <c r="I13" s="64">
        <v>1.51</v>
      </c>
      <c r="J13" s="64">
        <v>0.21</v>
      </c>
      <c r="K13" s="64">
        <v>83.34</v>
      </c>
      <c r="L13" s="64">
        <v>14.21</v>
      </c>
      <c r="M13" s="64">
        <v>68.040000000000006</v>
      </c>
      <c r="N13" s="64">
        <v>22.7</v>
      </c>
      <c r="O13" s="64">
        <v>0</v>
      </c>
      <c r="P13" s="64">
        <v>0.72</v>
      </c>
      <c r="Q13" s="64">
        <v>16.16</v>
      </c>
      <c r="R13" s="198"/>
      <c r="S13" s="198"/>
      <c r="T13" s="198"/>
      <c r="U13" s="198"/>
    </row>
    <row r="14" spans="1:21" s="12" customFormat="1" x14ac:dyDescent="0.25">
      <c r="A14" s="214" t="s">
        <v>1885</v>
      </c>
      <c r="B14" s="64">
        <v>63.05</v>
      </c>
      <c r="C14" s="64">
        <v>70.180000000000007</v>
      </c>
      <c r="D14" s="64">
        <v>89.94</v>
      </c>
      <c r="E14" s="64">
        <v>0.6</v>
      </c>
      <c r="F14" s="64">
        <v>7.04</v>
      </c>
      <c r="G14" s="64">
        <v>105.56</v>
      </c>
      <c r="H14" s="64">
        <v>61.89</v>
      </c>
      <c r="I14" s="64">
        <v>1.53</v>
      </c>
      <c r="J14" s="64">
        <v>0.16</v>
      </c>
      <c r="K14" s="64">
        <v>62.83</v>
      </c>
      <c r="L14" s="64">
        <v>14.13</v>
      </c>
      <c r="M14" s="64">
        <v>68.52</v>
      </c>
      <c r="N14" s="64">
        <v>22.9</v>
      </c>
      <c r="O14" s="64">
        <v>0</v>
      </c>
      <c r="P14" s="64">
        <v>0.56999999999999995</v>
      </c>
      <c r="Q14" s="64">
        <v>16.03</v>
      </c>
      <c r="R14" s="198"/>
      <c r="S14" s="198"/>
      <c r="T14" s="198"/>
      <c r="U14" s="198"/>
    </row>
    <row r="15" spans="1:21" s="12" customFormat="1" x14ac:dyDescent="0.25">
      <c r="A15" s="214" t="s">
        <v>1886</v>
      </c>
      <c r="B15" s="64">
        <v>57.62</v>
      </c>
      <c r="C15" s="64">
        <v>69.040000000000006</v>
      </c>
      <c r="D15" s="64">
        <v>84.96</v>
      </c>
      <c r="E15" s="64">
        <v>0.93</v>
      </c>
      <c r="F15" s="64">
        <v>14.49</v>
      </c>
      <c r="G15" s="64">
        <v>101.48</v>
      </c>
      <c r="H15" s="64">
        <v>59.14</v>
      </c>
      <c r="I15" s="64">
        <v>1.48</v>
      </c>
      <c r="J15" s="64">
        <v>0.66</v>
      </c>
      <c r="K15" s="64">
        <v>339.78</v>
      </c>
      <c r="L15" s="64">
        <v>14.32</v>
      </c>
      <c r="M15" s="64">
        <v>66.37</v>
      </c>
      <c r="N15" s="64">
        <v>21.9</v>
      </c>
      <c r="O15" s="64">
        <v>0</v>
      </c>
      <c r="P15" s="64">
        <v>0.43</v>
      </c>
      <c r="Q15" s="64">
        <v>15.79</v>
      </c>
      <c r="R15" s="198"/>
      <c r="S15" s="198"/>
      <c r="T15" s="198"/>
      <c r="U15" s="198"/>
    </row>
    <row r="16" spans="1:21" s="12" customFormat="1" x14ac:dyDescent="0.25">
      <c r="A16" s="214" t="s">
        <v>1887</v>
      </c>
      <c r="B16" s="64">
        <v>51.83</v>
      </c>
      <c r="C16" s="64">
        <v>68.45</v>
      </c>
      <c r="D16" s="64">
        <v>79.98</v>
      </c>
      <c r="E16" s="64">
        <v>0.97</v>
      </c>
      <c r="F16" s="64">
        <v>22.18</v>
      </c>
      <c r="G16" s="64">
        <v>85.15</v>
      </c>
      <c r="H16" s="64">
        <v>51.64</v>
      </c>
      <c r="I16" s="64">
        <v>1.47</v>
      </c>
      <c r="J16" s="64">
        <v>0.64</v>
      </c>
      <c r="K16" s="64">
        <v>341.98</v>
      </c>
      <c r="L16" s="64">
        <v>14.41</v>
      </c>
      <c r="M16" s="64">
        <v>65.819999999999993</v>
      </c>
      <c r="N16" s="64">
        <v>22.7</v>
      </c>
      <c r="O16" s="64">
        <v>0</v>
      </c>
      <c r="P16" s="64">
        <v>0.36</v>
      </c>
      <c r="Q16" s="64">
        <v>16.09</v>
      </c>
      <c r="R16" s="198"/>
      <c r="S16" s="198"/>
      <c r="T16" s="198"/>
      <c r="U16" s="198"/>
    </row>
    <row r="17" spans="1:21" s="12" customFormat="1" x14ac:dyDescent="0.25">
      <c r="A17" s="214" t="s">
        <v>1888</v>
      </c>
      <c r="B17" s="64">
        <v>46.57</v>
      </c>
      <c r="C17" s="64">
        <v>67.22</v>
      </c>
      <c r="D17" s="64">
        <v>75.09</v>
      </c>
      <c r="E17" s="64">
        <v>1.1599999999999999</v>
      </c>
      <c r="F17" s="64">
        <v>23.99</v>
      </c>
      <c r="G17" s="64">
        <v>85.15</v>
      </c>
      <c r="H17" s="64">
        <v>51.64</v>
      </c>
      <c r="I17" s="64">
        <v>1.44</v>
      </c>
      <c r="J17" s="64">
        <v>0.77</v>
      </c>
      <c r="K17" s="64">
        <v>344.49</v>
      </c>
      <c r="L17" s="64">
        <v>14.2</v>
      </c>
      <c r="M17" s="64">
        <v>66.959999999999994</v>
      </c>
      <c r="N17" s="64">
        <v>23</v>
      </c>
      <c r="O17" s="64">
        <v>0</v>
      </c>
      <c r="P17" s="64">
        <v>0.37</v>
      </c>
      <c r="Q17" s="64">
        <v>15.56</v>
      </c>
      <c r="R17" s="198"/>
      <c r="S17" s="198"/>
      <c r="T17" s="198"/>
      <c r="U17" s="198"/>
    </row>
    <row r="18" spans="1:21" s="12" customFormat="1" x14ac:dyDescent="0.25">
      <c r="A18" s="214" t="s">
        <v>1889</v>
      </c>
      <c r="B18" s="64">
        <v>41.77</v>
      </c>
      <c r="C18" s="64">
        <v>66.02</v>
      </c>
      <c r="D18" s="64">
        <v>70.58</v>
      </c>
      <c r="E18" s="64">
        <v>1.34</v>
      </c>
      <c r="F18" s="64">
        <v>25.11</v>
      </c>
      <c r="G18" s="64">
        <v>85.15</v>
      </c>
      <c r="H18" s="64">
        <v>51.64</v>
      </c>
      <c r="I18" s="64">
        <v>1.53</v>
      </c>
      <c r="J18" s="64">
        <v>0.5</v>
      </c>
      <c r="K18" s="64">
        <v>346.35</v>
      </c>
      <c r="L18" s="64">
        <v>13.96</v>
      </c>
      <c r="M18" s="64">
        <v>68.709999999999994</v>
      </c>
      <c r="N18" s="64">
        <v>23.4</v>
      </c>
      <c r="O18" s="64">
        <v>0</v>
      </c>
      <c r="P18" s="64">
        <v>0.36</v>
      </c>
      <c r="Q18" s="64">
        <v>14.8</v>
      </c>
      <c r="R18" s="198"/>
      <c r="S18" s="198"/>
      <c r="T18" s="198"/>
      <c r="U18" s="198"/>
    </row>
    <row r="19" spans="1:21" s="12" customFormat="1" x14ac:dyDescent="0.25">
      <c r="A19" s="214" t="s">
        <v>1890</v>
      </c>
      <c r="B19" s="64">
        <v>37.590000000000003</v>
      </c>
      <c r="C19" s="64">
        <v>65.2</v>
      </c>
      <c r="D19" s="64">
        <v>66.78</v>
      </c>
      <c r="E19" s="64">
        <v>1.26</v>
      </c>
      <c r="F19" s="64">
        <v>16.16</v>
      </c>
      <c r="G19" s="64">
        <v>80.650000000000006</v>
      </c>
      <c r="H19" s="64">
        <v>49.27</v>
      </c>
      <c r="I19" s="64">
        <v>1.55</v>
      </c>
      <c r="J19" s="64">
        <v>0.15</v>
      </c>
      <c r="K19" s="64">
        <v>17.309999999999999</v>
      </c>
      <c r="L19" s="64">
        <v>13.52</v>
      </c>
      <c r="M19" s="64">
        <v>71.67</v>
      </c>
      <c r="N19" s="64">
        <v>23.6</v>
      </c>
      <c r="O19" s="64">
        <v>0</v>
      </c>
      <c r="P19" s="64">
        <v>0.4</v>
      </c>
      <c r="Q19" s="64">
        <v>13.32</v>
      </c>
      <c r="R19" s="198"/>
      <c r="S19" s="198"/>
      <c r="T19" s="198"/>
      <c r="U19" s="198"/>
    </row>
    <row r="20" spans="1:21" s="12" customFormat="1" x14ac:dyDescent="0.25">
      <c r="A20" s="214" t="s">
        <v>1891</v>
      </c>
      <c r="B20" s="64">
        <v>34.229999999999997</v>
      </c>
      <c r="C20" s="64">
        <v>64.540000000000006</v>
      </c>
      <c r="D20" s="64">
        <v>63.71</v>
      </c>
      <c r="E20" s="64">
        <v>1.59</v>
      </c>
      <c r="F20" s="64">
        <v>13.6</v>
      </c>
      <c r="G20" s="64">
        <v>62.63</v>
      </c>
      <c r="H20" s="64">
        <v>42.82</v>
      </c>
      <c r="I20" s="64">
        <v>1.48</v>
      </c>
      <c r="J20" s="64">
        <v>0.33</v>
      </c>
      <c r="K20" s="64">
        <v>344.13</v>
      </c>
      <c r="L20" s="64">
        <v>13.38</v>
      </c>
      <c r="M20" s="64">
        <v>73.81</v>
      </c>
      <c r="N20" s="64">
        <v>23</v>
      </c>
      <c r="O20" s="64">
        <v>0</v>
      </c>
      <c r="P20" s="64">
        <v>0.62</v>
      </c>
      <c r="Q20" s="64">
        <v>12.03</v>
      </c>
      <c r="R20" s="198"/>
      <c r="S20" s="198"/>
      <c r="T20" s="198"/>
      <c r="U20" s="198"/>
    </row>
    <row r="21" spans="1:21" s="12" customFormat="1" x14ac:dyDescent="0.25">
      <c r="A21" s="214" t="s">
        <v>1892</v>
      </c>
      <c r="B21" s="64">
        <v>31.38</v>
      </c>
      <c r="C21" s="64">
        <v>63.61</v>
      </c>
      <c r="D21" s="64">
        <v>60.91</v>
      </c>
      <c r="E21" s="64">
        <v>2.12</v>
      </c>
      <c r="F21" s="64">
        <v>13.73</v>
      </c>
      <c r="G21" s="64">
        <v>62.63</v>
      </c>
      <c r="H21" s="64">
        <v>42.82</v>
      </c>
      <c r="I21" s="64">
        <v>1.52</v>
      </c>
      <c r="J21" s="64">
        <v>0.37</v>
      </c>
      <c r="K21" s="64">
        <v>337.98</v>
      </c>
      <c r="L21" s="64">
        <v>13.34</v>
      </c>
      <c r="M21" s="64">
        <v>73.959999999999994</v>
      </c>
      <c r="N21" s="64">
        <v>22.9</v>
      </c>
      <c r="O21" s="64">
        <v>0</v>
      </c>
      <c r="P21" s="64">
        <v>0.7</v>
      </c>
      <c r="Q21" s="64">
        <v>11.26</v>
      </c>
      <c r="R21" s="198"/>
      <c r="S21" s="198"/>
      <c r="T21" s="198"/>
      <c r="U21" s="198"/>
    </row>
    <row r="22" spans="1:21" s="12" customFormat="1" x14ac:dyDescent="0.25">
      <c r="A22" s="214" t="s">
        <v>1893</v>
      </c>
      <c r="B22" s="64">
        <v>28.91</v>
      </c>
      <c r="C22" s="64">
        <v>62.89</v>
      </c>
      <c r="D22" s="64">
        <v>58.54</v>
      </c>
      <c r="E22" s="64">
        <v>2.29</v>
      </c>
      <c r="F22" s="64">
        <v>12.77</v>
      </c>
      <c r="G22" s="64">
        <v>62.63</v>
      </c>
      <c r="H22" s="64">
        <v>42.82</v>
      </c>
      <c r="I22" s="64">
        <v>1.57</v>
      </c>
      <c r="J22" s="64">
        <v>0.15</v>
      </c>
      <c r="K22" s="64">
        <v>342.73</v>
      </c>
      <c r="L22" s="64">
        <v>13.26</v>
      </c>
      <c r="M22" s="64">
        <v>73.89</v>
      </c>
      <c r="N22" s="64">
        <v>23.1</v>
      </c>
      <c r="O22" s="64">
        <v>0</v>
      </c>
      <c r="P22" s="64">
        <v>0.68</v>
      </c>
      <c r="Q22" s="64">
        <v>10.41</v>
      </c>
      <c r="R22" s="198"/>
      <c r="S22" s="198"/>
      <c r="T22" s="198"/>
      <c r="U22" s="198"/>
    </row>
    <row r="23" spans="1:21" s="12" customFormat="1" x14ac:dyDescent="0.25">
      <c r="A23" s="214" t="s">
        <v>1894</v>
      </c>
      <c r="B23" s="64">
        <v>26.82</v>
      </c>
      <c r="C23" s="64">
        <v>62.57</v>
      </c>
      <c r="D23" s="64">
        <v>56.68</v>
      </c>
      <c r="E23" s="64">
        <v>2.44</v>
      </c>
      <c r="F23" s="64">
        <v>11.71</v>
      </c>
      <c r="G23" s="64">
        <v>65.11</v>
      </c>
      <c r="H23" s="64">
        <v>42.43</v>
      </c>
      <c r="I23" s="64">
        <v>1.55</v>
      </c>
      <c r="J23" s="64">
        <v>0.35</v>
      </c>
      <c r="K23" s="64">
        <v>339.68</v>
      </c>
      <c r="L23" s="64">
        <v>13.23</v>
      </c>
      <c r="M23" s="64">
        <v>74.260000000000005</v>
      </c>
      <c r="N23" s="64">
        <v>22.9</v>
      </c>
      <c r="O23" s="64">
        <v>0</v>
      </c>
      <c r="P23" s="64">
        <v>0.71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4" t="s">
        <v>1895</v>
      </c>
      <c r="B24" s="64">
        <v>25.16</v>
      </c>
      <c r="C24" s="64">
        <v>62.56</v>
      </c>
      <c r="D24" s="64">
        <v>55.35</v>
      </c>
      <c r="E24" s="64">
        <v>1.71</v>
      </c>
      <c r="F24" s="64">
        <v>8.86</v>
      </c>
      <c r="G24" s="64">
        <v>75.05</v>
      </c>
      <c r="H24" s="64">
        <v>41.37</v>
      </c>
      <c r="I24" s="64">
        <v>1.47</v>
      </c>
      <c r="J24" s="64">
        <v>7.0000000000000007E-2</v>
      </c>
      <c r="K24" s="64">
        <v>12.71</v>
      </c>
      <c r="L24" s="64">
        <v>13.04</v>
      </c>
      <c r="M24" s="64">
        <v>75.709999999999994</v>
      </c>
      <c r="N24" s="64">
        <v>23.3</v>
      </c>
      <c r="O24" s="64">
        <v>0</v>
      </c>
      <c r="P24" s="64">
        <v>0.78</v>
      </c>
      <c r="Q24" s="64">
        <v>8.4</v>
      </c>
      <c r="R24" s="198"/>
      <c r="S24" s="198"/>
      <c r="T24" s="198"/>
      <c r="U24" s="198"/>
    </row>
    <row r="25" spans="1:21" s="12" customFormat="1" x14ac:dyDescent="0.25">
      <c r="A25" s="214" t="s">
        <v>1896</v>
      </c>
      <c r="B25" s="64">
        <v>23.82</v>
      </c>
      <c r="C25" s="64">
        <v>62.36</v>
      </c>
      <c r="D25" s="64">
        <v>54.16</v>
      </c>
      <c r="E25" s="64">
        <v>2.34</v>
      </c>
      <c r="F25" s="64">
        <v>7.57</v>
      </c>
      <c r="G25" s="64">
        <v>75.05</v>
      </c>
      <c r="H25" s="64">
        <v>41.37</v>
      </c>
      <c r="I25" s="64">
        <v>1.47</v>
      </c>
      <c r="J25" s="64">
        <v>0.12</v>
      </c>
      <c r="K25" s="64">
        <v>73.47</v>
      </c>
      <c r="L25" s="64">
        <v>12.92</v>
      </c>
      <c r="M25" s="64">
        <v>75.739999999999995</v>
      </c>
      <c r="N25" s="64">
        <v>23.2</v>
      </c>
      <c r="O25" s="64">
        <v>0</v>
      </c>
      <c r="P25" s="64">
        <v>0.85</v>
      </c>
      <c r="Q25" s="64">
        <v>8.06</v>
      </c>
      <c r="R25" s="198"/>
      <c r="S25" s="198"/>
      <c r="T25" s="198"/>
      <c r="U25" s="198"/>
    </row>
    <row r="26" spans="1:21" s="12" customFormat="1" x14ac:dyDescent="0.25">
      <c r="A26" s="214" t="s">
        <v>1897</v>
      </c>
      <c r="B26" s="64">
        <v>22.57</v>
      </c>
      <c r="C26" s="64">
        <v>61.93</v>
      </c>
      <c r="D26" s="64">
        <v>52.92</v>
      </c>
      <c r="E26" s="64">
        <v>2.39</v>
      </c>
      <c r="F26" s="64">
        <v>7.59</v>
      </c>
      <c r="G26" s="64">
        <v>75.05</v>
      </c>
      <c r="H26" s="64">
        <v>41.37</v>
      </c>
      <c r="I26" s="64">
        <v>1.54</v>
      </c>
      <c r="J26" s="64">
        <v>0.13</v>
      </c>
      <c r="K26" s="64">
        <v>66.38</v>
      </c>
      <c r="L26" s="64">
        <v>12.85</v>
      </c>
      <c r="M26" s="64">
        <v>75.849999999999994</v>
      </c>
      <c r="N26" s="64">
        <v>23.1</v>
      </c>
      <c r="O26" s="64">
        <v>0</v>
      </c>
      <c r="P26" s="64">
        <v>0.88</v>
      </c>
      <c r="Q26" s="64">
        <v>7.93</v>
      </c>
      <c r="R26" s="198"/>
      <c r="S26" s="198"/>
      <c r="T26" s="198"/>
      <c r="U26" s="198"/>
    </row>
    <row r="27" spans="1:21" s="12" customFormat="1" x14ac:dyDescent="0.25">
      <c r="A27" s="214" t="s">
        <v>1898</v>
      </c>
      <c r="B27" s="64">
        <v>21.75</v>
      </c>
      <c r="C27" s="64">
        <v>61.7</v>
      </c>
      <c r="D27" s="64">
        <v>52.14</v>
      </c>
      <c r="E27" s="64">
        <v>2.63</v>
      </c>
      <c r="F27" s="64">
        <v>5.97</v>
      </c>
      <c r="G27" s="64">
        <v>76.739999999999995</v>
      </c>
      <c r="H27" s="64">
        <v>42.03</v>
      </c>
      <c r="I27" s="64">
        <v>1.48</v>
      </c>
      <c r="J27" s="64">
        <v>0.1</v>
      </c>
      <c r="K27" s="64">
        <v>47.55</v>
      </c>
      <c r="L27" s="64">
        <v>12.75</v>
      </c>
      <c r="M27" s="64">
        <v>77.41</v>
      </c>
      <c r="N27" s="64">
        <v>23.1</v>
      </c>
      <c r="O27" s="64">
        <v>0</v>
      </c>
      <c r="P27" s="64">
        <v>0.99</v>
      </c>
      <c r="Q27" s="64">
        <v>7.11</v>
      </c>
      <c r="R27" s="198"/>
      <c r="S27" s="198"/>
      <c r="T27" s="198"/>
      <c r="U27" s="198"/>
    </row>
    <row r="28" spans="1:21" s="12" customFormat="1" x14ac:dyDescent="0.25">
      <c r="A28" s="214" t="s">
        <v>1899</v>
      </c>
      <c r="B28" s="64">
        <v>21.37</v>
      </c>
      <c r="C28" s="64">
        <v>61.81</v>
      </c>
      <c r="D28" s="64">
        <v>51.89</v>
      </c>
      <c r="E28" s="64">
        <v>2.89</v>
      </c>
      <c r="F28" s="64">
        <v>5.23</v>
      </c>
      <c r="G28" s="64">
        <v>83.5</v>
      </c>
      <c r="H28" s="64">
        <v>44.96</v>
      </c>
      <c r="I28" s="64">
        <v>1.48</v>
      </c>
      <c r="J28" s="64">
        <v>0.18</v>
      </c>
      <c r="K28" s="64">
        <v>85.47</v>
      </c>
      <c r="L28" s="64">
        <v>12.67</v>
      </c>
      <c r="M28" s="64">
        <v>77.8</v>
      </c>
      <c r="N28" s="64">
        <v>23</v>
      </c>
      <c r="O28" s="64">
        <v>0</v>
      </c>
      <c r="P28" s="64">
        <v>1.03</v>
      </c>
      <c r="Q28" s="64">
        <v>6.55</v>
      </c>
      <c r="R28" s="198"/>
      <c r="S28" s="198"/>
      <c r="T28" s="198"/>
      <c r="U28" s="198"/>
    </row>
    <row r="29" spans="1:21" s="12" customFormat="1" x14ac:dyDescent="0.25">
      <c r="A29" s="214" t="s">
        <v>1900</v>
      </c>
      <c r="B29" s="64">
        <v>20.7</v>
      </c>
      <c r="C29" s="64">
        <v>61.51</v>
      </c>
      <c r="D29" s="64">
        <v>51.19</v>
      </c>
      <c r="E29" s="64">
        <v>3.11</v>
      </c>
      <c r="F29" s="64">
        <v>6.64</v>
      </c>
      <c r="G29" s="64">
        <v>83.5</v>
      </c>
      <c r="H29" s="64">
        <v>44.96</v>
      </c>
      <c r="I29" s="64">
        <v>1.53</v>
      </c>
      <c r="J29" s="64">
        <v>0.31</v>
      </c>
      <c r="K29" s="64">
        <v>329.41</v>
      </c>
      <c r="L29" s="64">
        <v>12.66</v>
      </c>
      <c r="M29" s="64">
        <v>78.16</v>
      </c>
      <c r="N29" s="64">
        <v>22.8</v>
      </c>
      <c r="O29" s="64">
        <v>0</v>
      </c>
      <c r="P29" s="64">
        <v>1.06</v>
      </c>
      <c r="Q29" s="64">
        <v>7.04</v>
      </c>
      <c r="R29" s="198"/>
      <c r="S29" s="198"/>
      <c r="T29" s="198"/>
      <c r="U29" s="198"/>
    </row>
    <row r="30" spans="1:21" s="12" customFormat="1" x14ac:dyDescent="0.25">
      <c r="A30" s="214" t="s">
        <v>1901</v>
      </c>
      <c r="B30" s="64">
        <v>19.95</v>
      </c>
      <c r="C30" s="64">
        <v>61.35</v>
      </c>
      <c r="D30" s="64">
        <v>50.5</v>
      </c>
      <c r="E30" s="64">
        <v>3.45</v>
      </c>
      <c r="F30" s="64">
        <v>8.2200000000000006</v>
      </c>
      <c r="G30" s="64">
        <v>83.5</v>
      </c>
      <c r="H30" s="64">
        <v>44.96</v>
      </c>
      <c r="I30" s="64">
        <v>1.5</v>
      </c>
      <c r="J30" s="64">
        <v>0.45</v>
      </c>
      <c r="K30" s="64">
        <v>336.69</v>
      </c>
      <c r="L30" s="64">
        <v>12.77</v>
      </c>
      <c r="M30" s="64">
        <v>77.239999999999995</v>
      </c>
      <c r="N30" s="64">
        <v>22.9</v>
      </c>
      <c r="O30" s="64">
        <v>0</v>
      </c>
      <c r="P30" s="64">
        <v>1.01</v>
      </c>
      <c r="Q30" s="64">
        <v>7</v>
      </c>
      <c r="R30" s="198"/>
      <c r="S30" s="198"/>
      <c r="T30" s="198"/>
      <c r="U30" s="198"/>
    </row>
    <row r="31" spans="1:21" s="12" customFormat="1" x14ac:dyDescent="0.25">
      <c r="A31" s="214" t="s">
        <v>1902</v>
      </c>
      <c r="B31" s="64">
        <v>19.75</v>
      </c>
      <c r="C31" s="64">
        <v>61.51</v>
      </c>
      <c r="D31" s="64">
        <v>50.43</v>
      </c>
      <c r="E31" s="64">
        <v>2.67</v>
      </c>
      <c r="F31" s="64">
        <v>6.92</v>
      </c>
      <c r="G31" s="64">
        <v>86.38</v>
      </c>
      <c r="H31" s="64">
        <v>44.97</v>
      </c>
      <c r="I31" s="64">
        <v>1.56</v>
      </c>
      <c r="J31" s="64">
        <v>0.31</v>
      </c>
      <c r="K31" s="64">
        <v>334.84</v>
      </c>
      <c r="L31" s="64">
        <v>12.78</v>
      </c>
      <c r="M31" s="64">
        <v>76.13</v>
      </c>
      <c r="N31" s="64">
        <v>23</v>
      </c>
      <c r="O31" s="64">
        <v>0</v>
      </c>
      <c r="P31" s="64">
        <v>0.99</v>
      </c>
      <c r="Q31" s="64">
        <v>5.83</v>
      </c>
      <c r="R31" s="198"/>
      <c r="S31" s="198"/>
      <c r="T31" s="198"/>
      <c r="U31" s="198"/>
    </row>
    <row r="32" spans="1:21" s="12" customFormat="1" x14ac:dyDescent="0.25">
      <c r="A32" s="214" t="s">
        <v>1903</v>
      </c>
      <c r="B32" s="64">
        <v>19.760000000000002</v>
      </c>
      <c r="C32" s="64">
        <v>61.54</v>
      </c>
      <c r="D32" s="64">
        <v>50.45</v>
      </c>
      <c r="E32" s="64">
        <v>2.59</v>
      </c>
      <c r="F32" s="64">
        <v>12.3</v>
      </c>
      <c r="G32" s="64">
        <v>97.91</v>
      </c>
      <c r="H32" s="64">
        <v>45.02</v>
      </c>
      <c r="I32" s="64">
        <v>1.38</v>
      </c>
      <c r="J32" s="64">
        <v>0.53</v>
      </c>
      <c r="K32" s="64">
        <v>342.07</v>
      </c>
      <c r="L32" s="64">
        <v>12.81</v>
      </c>
      <c r="M32" s="64">
        <v>74.77</v>
      </c>
      <c r="N32" s="64">
        <v>22.8</v>
      </c>
      <c r="O32" s="64">
        <v>0</v>
      </c>
      <c r="P32" s="64">
        <v>0.82</v>
      </c>
      <c r="Q32" s="64">
        <v>6.11</v>
      </c>
      <c r="R32" s="198"/>
      <c r="S32" s="198"/>
      <c r="T32" s="198"/>
      <c r="U32" s="198"/>
    </row>
    <row r="33" spans="1:21" s="12" customFormat="1" x14ac:dyDescent="0.25">
      <c r="A33" s="214" t="s">
        <v>1904</v>
      </c>
      <c r="B33" s="64">
        <v>19.190000000000001</v>
      </c>
      <c r="C33" s="64">
        <v>61.47</v>
      </c>
      <c r="D33" s="64">
        <v>49.96</v>
      </c>
      <c r="E33" s="64">
        <v>2.46</v>
      </c>
      <c r="F33" s="64">
        <v>12.44</v>
      </c>
      <c r="G33" s="64">
        <v>97.91</v>
      </c>
      <c r="H33" s="64">
        <v>45.02</v>
      </c>
      <c r="I33" s="64">
        <v>1.58</v>
      </c>
      <c r="J33" s="64">
        <v>0.68</v>
      </c>
      <c r="K33" s="64">
        <v>342.79</v>
      </c>
      <c r="L33" s="64">
        <v>12.82</v>
      </c>
      <c r="M33" s="64">
        <v>74.28</v>
      </c>
      <c r="N33" s="64">
        <v>23.3</v>
      </c>
      <c r="O33" s="64">
        <v>0</v>
      </c>
      <c r="P33" s="64">
        <v>0.69</v>
      </c>
      <c r="Q33" s="64">
        <v>6.39</v>
      </c>
      <c r="R33" s="198"/>
      <c r="S33" s="198"/>
      <c r="T33" s="198"/>
      <c r="U33" s="198"/>
    </row>
    <row r="34" spans="1:21" s="12" customFormat="1" x14ac:dyDescent="0.25">
      <c r="A34" s="214" t="s">
        <v>1905</v>
      </c>
      <c r="B34" s="64">
        <v>18.41</v>
      </c>
      <c r="C34" s="64">
        <v>61.35</v>
      </c>
      <c r="D34" s="64">
        <v>49.26</v>
      </c>
      <c r="E34" s="64">
        <v>2.5</v>
      </c>
      <c r="F34" s="64">
        <v>17.68</v>
      </c>
      <c r="G34" s="64">
        <v>97.91</v>
      </c>
      <c r="H34" s="64">
        <v>45.02</v>
      </c>
      <c r="I34" s="64">
        <v>1.5</v>
      </c>
      <c r="J34" s="64">
        <v>0.67</v>
      </c>
      <c r="K34" s="64">
        <v>344.48</v>
      </c>
      <c r="L34" s="64">
        <v>12.78</v>
      </c>
      <c r="M34" s="64">
        <v>74.44</v>
      </c>
      <c r="N34" s="64">
        <v>25.5</v>
      </c>
      <c r="O34" s="64">
        <v>0</v>
      </c>
      <c r="P34" s="64">
        <v>0.69</v>
      </c>
      <c r="Q34" s="64">
        <v>7.3</v>
      </c>
      <c r="R34" s="198"/>
      <c r="S34" s="198"/>
      <c r="T34" s="198"/>
      <c r="U34" s="198"/>
    </row>
    <row r="35" spans="1:21" s="12" customFormat="1" x14ac:dyDescent="0.25">
      <c r="A35" s="214" t="s">
        <v>1906</v>
      </c>
      <c r="B35" s="64">
        <v>18.05</v>
      </c>
      <c r="C35" s="64">
        <v>61.54</v>
      </c>
      <c r="D35" s="64">
        <v>49.08</v>
      </c>
      <c r="E35" s="64">
        <v>2.31</v>
      </c>
      <c r="F35" s="64">
        <v>14.83</v>
      </c>
      <c r="G35" s="64">
        <v>96.61</v>
      </c>
      <c r="H35" s="64">
        <v>44.26</v>
      </c>
      <c r="I35" s="64">
        <v>1.53</v>
      </c>
      <c r="J35" s="64">
        <v>0.76</v>
      </c>
      <c r="K35" s="64">
        <v>342.1</v>
      </c>
      <c r="L35" s="64">
        <v>12.8</v>
      </c>
      <c r="M35" s="64">
        <v>74.27</v>
      </c>
      <c r="N35" s="64">
        <v>31.9</v>
      </c>
      <c r="O35" s="64">
        <v>0</v>
      </c>
      <c r="P35" s="64">
        <v>0.67</v>
      </c>
      <c r="Q35" s="64">
        <v>6.15</v>
      </c>
      <c r="R35" s="198"/>
      <c r="S35" s="198"/>
      <c r="T35" s="198"/>
      <c r="U35" s="198"/>
    </row>
    <row r="36" spans="1:21" s="12" customFormat="1" x14ac:dyDescent="0.25">
      <c r="A36" s="214" t="s">
        <v>1907</v>
      </c>
      <c r="B36" s="64">
        <v>17.55</v>
      </c>
      <c r="C36" s="64">
        <v>61.59</v>
      </c>
      <c r="D36" s="64">
        <v>48.71</v>
      </c>
      <c r="E36" s="64">
        <v>2.2400000000000002</v>
      </c>
      <c r="F36" s="64">
        <v>16.420000000000002</v>
      </c>
      <c r="G36" s="64">
        <v>91.42</v>
      </c>
      <c r="H36" s="64">
        <v>42.19</v>
      </c>
      <c r="I36" s="64">
        <v>1.52</v>
      </c>
      <c r="J36" s="64">
        <v>0.56000000000000005</v>
      </c>
      <c r="K36" s="64">
        <v>339</v>
      </c>
      <c r="L36" s="64">
        <v>12.82</v>
      </c>
      <c r="M36" s="64">
        <v>74.97</v>
      </c>
      <c r="N36" s="64">
        <v>40.6</v>
      </c>
      <c r="O36" s="64">
        <v>0</v>
      </c>
      <c r="P36" s="64">
        <v>0.56000000000000005</v>
      </c>
      <c r="Q36" s="64">
        <v>6.8</v>
      </c>
      <c r="R36" s="198"/>
      <c r="S36" s="198"/>
      <c r="T36" s="198"/>
      <c r="U36" s="198"/>
    </row>
    <row r="37" spans="1:21" s="12" customFormat="1" x14ac:dyDescent="0.25">
      <c r="A37" s="214" t="s">
        <v>1908</v>
      </c>
      <c r="B37" s="64">
        <v>16.690000000000001</v>
      </c>
      <c r="C37" s="64">
        <v>61.54</v>
      </c>
      <c r="D37" s="64">
        <v>47.99</v>
      </c>
      <c r="E37" s="64">
        <v>2.11</v>
      </c>
      <c r="F37" s="64">
        <v>15.56</v>
      </c>
      <c r="G37" s="64">
        <v>91.42</v>
      </c>
      <c r="H37" s="64">
        <v>42.19</v>
      </c>
      <c r="I37" s="64">
        <v>1.56</v>
      </c>
      <c r="J37" s="64">
        <v>0.62</v>
      </c>
      <c r="K37" s="64">
        <v>339.96</v>
      </c>
      <c r="L37" s="64">
        <v>13</v>
      </c>
      <c r="M37" s="64">
        <v>73.709999999999994</v>
      </c>
      <c r="N37" s="64">
        <v>68.2</v>
      </c>
      <c r="O37" s="64">
        <v>0</v>
      </c>
      <c r="P37" s="64">
        <v>0.53</v>
      </c>
      <c r="Q37" s="64">
        <v>6.88</v>
      </c>
      <c r="R37" s="198"/>
      <c r="S37" s="198"/>
      <c r="T37" s="198"/>
      <c r="U37" s="198"/>
    </row>
    <row r="38" spans="1:21" s="12" customFormat="1" x14ac:dyDescent="0.25">
      <c r="A38" s="214" t="s">
        <v>1909</v>
      </c>
      <c r="B38" s="64">
        <v>16.16</v>
      </c>
      <c r="C38" s="64">
        <v>61.85</v>
      </c>
      <c r="D38" s="64">
        <v>47.74</v>
      </c>
      <c r="E38" s="64">
        <v>1.91</v>
      </c>
      <c r="F38" s="64">
        <v>11.25</v>
      </c>
      <c r="G38" s="64">
        <v>91.42</v>
      </c>
      <c r="H38" s="64">
        <v>42.19</v>
      </c>
      <c r="I38" s="64">
        <v>1.55</v>
      </c>
      <c r="J38" s="64">
        <v>0.31</v>
      </c>
      <c r="K38" s="64">
        <v>323.12</v>
      </c>
      <c r="L38" s="64">
        <v>13.55</v>
      </c>
      <c r="M38" s="64">
        <v>70.91</v>
      </c>
      <c r="N38" s="64">
        <v>84.7</v>
      </c>
      <c r="O38" s="64">
        <v>0</v>
      </c>
      <c r="P38" s="64">
        <v>0.6</v>
      </c>
      <c r="Q38" s="64">
        <v>5.78</v>
      </c>
      <c r="R38" s="198"/>
      <c r="S38" s="198"/>
      <c r="T38" s="198"/>
      <c r="U38" s="198"/>
    </row>
    <row r="39" spans="1:21" s="12" customFormat="1" x14ac:dyDescent="0.25">
      <c r="A39" s="214" t="s">
        <v>1910</v>
      </c>
      <c r="B39" s="64">
        <v>16.09</v>
      </c>
      <c r="C39" s="64">
        <v>62.33</v>
      </c>
      <c r="D39" s="64">
        <v>47.95</v>
      </c>
      <c r="E39" s="64">
        <v>2.46</v>
      </c>
      <c r="F39" s="64">
        <v>11.99</v>
      </c>
      <c r="G39" s="64">
        <v>90.67</v>
      </c>
      <c r="H39" s="64">
        <v>42.17</v>
      </c>
      <c r="I39" s="64">
        <v>1.46</v>
      </c>
      <c r="J39" s="64">
        <v>0.56000000000000005</v>
      </c>
      <c r="K39" s="64">
        <v>338.3</v>
      </c>
      <c r="L39" s="64">
        <v>14.28</v>
      </c>
      <c r="M39" s="64">
        <v>65.040000000000006</v>
      </c>
      <c r="N39" s="64">
        <v>146.4</v>
      </c>
      <c r="O39" s="64">
        <v>0</v>
      </c>
      <c r="P39" s="64">
        <v>0.54</v>
      </c>
      <c r="Q39" s="64">
        <v>5.33</v>
      </c>
      <c r="R39" s="198"/>
      <c r="S39" s="198"/>
      <c r="T39" s="198"/>
      <c r="U39" s="198"/>
    </row>
    <row r="40" spans="1:21" s="12" customFormat="1" x14ac:dyDescent="0.25">
      <c r="A40" s="214" t="s">
        <v>1911</v>
      </c>
      <c r="B40" s="64">
        <v>15.85</v>
      </c>
      <c r="C40" s="64">
        <v>62.96</v>
      </c>
      <c r="D40" s="64">
        <v>48.1</v>
      </c>
      <c r="E40" s="64">
        <v>1.1599999999999999</v>
      </c>
      <c r="F40" s="64">
        <v>15.55</v>
      </c>
      <c r="G40" s="64">
        <v>87.66</v>
      </c>
      <c r="H40" s="64">
        <v>42.13</v>
      </c>
      <c r="I40" s="64">
        <v>1.52</v>
      </c>
      <c r="J40" s="64">
        <v>0.33</v>
      </c>
      <c r="K40" s="64">
        <v>342.1</v>
      </c>
      <c r="L40" s="64">
        <v>15.67</v>
      </c>
      <c r="M40" s="64">
        <v>57.83</v>
      </c>
      <c r="N40" s="64">
        <v>221.8</v>
      </c>
      <c r="O40" s="64">
        <v>0</v>
      </c>
      <c r="P40" s="64">
        <v>0.46</v>
      </c>
      <c r="Q40" s="64">
        <v>5.31</v>
      </c>
      <c r="R40" s="198"/>
      <c r="S40" s="198"/>
      <c r="T40" s="198"/>
      <c r="U40" s="198"/>
    </row>
    <row r="41" spans="1:21" s="12" customFormat="1" x14ac:dyDescent="0.25">
      <c r="A41" s="214" t="s">
        <v>1912</v>
      </c>
      <c r="B41" s="64">
        <v>15.59</v>
      </c>
      <c r="C41" s="64">
        <v>63.55</v>
      </c>
      <c r="D41" s="64">
        <v>48.22</v>
      </c>
      <c r="E41" s="64">
        <v>2.79</v>
      </c>
      <c r="F41" s="64">
        <v>14.62</v>
      </c>
      <c r="G41" s="64">
        <v>87.66</v>
      </c>
      <c r="H41" s="64">
        <v>42.13</v>
      </c>
      <c r="I41" s="64">
        <v>1.51</v>
      </c>
      <c r="J41" s="64">
        <v>0.41</v>
      </c>
      <c r="K41" s="64">
        <v>332.56</v>
      </c>
      <c r="L41" s="64">
        <v>16.760000000000002</v>
      </c>
      <c r="M41" s="64">
        <v>53.09</v>
      </c>
      <c r="N41" s="64">
        <v>277</v>
      </c>
      <c r="O41" s="64">
        <v>0</v>
      </c>
      <c r="P41" s="64">
        <v>0.48</v>
      </c>
      <c r="Q41" s="64">
        <v>5.24</v>
      </c>
      <c r="R41" s="198"/>
      <c r="S41" s="198"/>
      <c r="T41" s="198"/>
      <c r="U41" s="198"/>
    </row>
    <row r="42" spans="1:21" s="12" customFormat="1" x14ac:dyDescent="0.25">
      <c r="A42" s="214" t="s">
        <v>1913</v>
      </c>
      <c r="B42" s="64">
        <v>15.32</v>
      </c>
      <c r="C42" s="64">
        <v>64.260000000000005</v>
      </c>
      <c r="D42" s="64">
        <v>48.39</v>
      </c>
      <c r="E42" s="64">
        <v>4.53</v>
      </c>
      <c r="F42" s="64">
        <v>12.85</v>
      </c>
      <c r="G42" s="64">
        <v>87.66</v>
      </c>
      <c r="H42" s="64">
        <v>42.13</v>
      </c>
      <c r="I42" s="64">
        <v>1.44</v>
      </c>
      <c r="J42" s="64">
        <v>0.56000000000000005</v>
      </c>
      <c r="K42" s="64">
        <v>334.43</v>
      </c>
      <c r="L42" s="64">
        <v>18.07</v>
      </c>
      <c r="M42" s="64">
        <v>48.88</v>
      </c>
      <c r="N42" s="64">
        <v>321.3</v>
      </c>
      <c r="O42" s="64">
        <v>0</v>
      </c>
      <c r="P42" s="64">
        <v>0.51</v>
      </c>
      <c r="Q42" s="64">
        <v>4.53</v>
      </c>
      <c r="R42" s="198"/>
      <c r="S42" s="198"/>
      <c r="T42" s="198"/>
      <c r="U42" s="198"/>
    </row>
    <row r="43" spans="1:21" s="12" customFormat="1" x14ac:dyDescent="0.25">
      <c r="A43" s="214" t="s">
        <v>1914</v>
      </c>
      <c r="B43" s="64">
        <v>15.14</v>
      </c>
      <c r="C43" s="64">
        <v>65</v>
      </c>
      <c r="D43" s="64">
        <v>48.66</v>
      </c>
      <c r="E43" s="64">
        <v>2.72</v>
      </c>
      <c r="F43" s="64">
        <v>16.54</v>
      </c>
      <c r="G43" s="64">
        <v>91.32</v>
      </c>
      <c r="H43" s="64">
        <v>41.78</v>
      </c>
      <c r="I43" s="64">
        <v>1.51</v>
      </c>
      <c r="J43" s="64">
        <v>0.63</v>
      </c>
      <c r="K43" s="64">
        <v>334.37</v>
      </c>
      <c r="L43" s="64">
        <v>18.899999999999999</v>
      </c>
      <c r="M43" s="64">
        <v>46.34</v>
      </c>
      <c r="N43" s="64">
        <v>365.1</v>
      </c>
      <c r="O43" s="64">
        <v>0</v>
      </c>
      <c r="P43" s="64">
        <v>0.5</v>
      </c>
      <c r="Q43" s="64">
        <v>4.97</v>
      </c>
      <c r="R43" s="198"/>
      <c r="S43" s="198"/>
      <c r="T43" s="198"/>
      <c r="U43" s="198"/>
    </row>
    <row r="44" spans="1:21" s="12" customFormat="1" x14ac:dyDescent="0.25">
      <c r="A44" s="214" t="s">
        <v>1915</v>
      </c>
      <c r="B44" s="64">
        <v>14.52</v>
      </c>
      <c r="C44" s="64">
        <v>65.23</v>
      </c>
      <c r="D44" s="64">
        <v>48.29</v>
      </c>
      <c r="E44" s="64">
        <v>2.36</v>
      </c>
      <c r="F44" s="64">
        <v>17.86</v>
      </c>
      <c r="G44" s="64">
        <v>105.95</v>
      </c>
      <c r="H44" s="64">
        <v>40.21</v>
      </c>
      <c r="I44" s="64">
        <v>1.52</v>
      </c>
      <c r="J44" s="64">
        <v>0.53</v>
      </c>
      <c r="K44" s="64">
        <v>345.03</v>
      </c>
      <c r="L44" s="64">
        <v>19.600000000000001</v>
      </c>
      <c r="M44" s="64">
        <v>44.68</v>
      </c>
      <c r="N44" s="64">
        <v>388.5</v>
      </c>
      <c r="O44" s="64">
        <v>0</v>
      </c>
      <c r="P44" s="64">
        <v>0.5</v>
      </c>
      <c r="Q44" s="64">
        <v>5.59</v>
      </c>
      <c r="R44" s="198"/>
      <c r="S44" s="198"/>
      <c r="T44" s="198"/>
      <c r="U44" s="198"/>
    </row>
    <row r="45" spans="1:21" s="12" customFormat="1" x14ac:dyDescent="0.25">
      <c r="A45" s="214" t="s">
        <v>1916</v>
      </c>
      <c r="B45" s="64">
        <v>14.07</v>
      </c>
      <c r="C45" s="64">
        <v>65</v>
      </c>
      <c r="D45" s="64">
        <v>47.8</v>
      </c>
      <c r="E45" s="64">
        <v>1.94</v>
      </c>
      <c r="F45" s="64">
        <v>14.74</v>
      </c>
      <c r="G45" s="64">
        <v>105.95</v>
      </c>
      <c r="H45" s="64">
        <v>40.21</v>
      </c>
      <c r="I45" s="64">
        <v>1.48</v>
      </c>
      <c r="J45" s="64">
        <v>0.66</v>
      </c>
      <c r="K45" s="64">
        <v>102.39</v>
      </c>
      <c r="L45" s="64">
        <v>18.77</v>
      </c>
      <c r="M45" s="64">
        <v>46.37</v>
      </c>
      <c r="N45" s="64">
        <v>437.1</v>
      </c>
      <c r="O45" s="64">
        <v>0</v>
      </c>
      <c r="P45" s="64">
        <v>0.5</v>
      </c>
      <c r="Q45" s="64">
        <v>5.32</v>
      </c>
      <c r="R45" s="198"/>
      <c r="S45" s="198"/>
      <c r="T45" s="198"/>
      <c r="U45" s="198"/>
    </row>
    <row r="46" spans="1:21" s="12" customFormat="1" x14ac:dyDescent="0.25">
      <c r="A46" s="214" t="s">
        <v>1917</v>
      </c>
      <c r="B46" s="64">
        <v>13.44</v>
      </c>
      <c r="C46" s="64">
        <v>64.25</v>
      </c>
      <c r="D46" s="64">
        <v>46.89</v>
      </c>
      <c r="E46" s="64">
        <v>1.81</v>
      </c>
      <c r="F46" s="64">
        <v>17.079999999999998</v>
      </c>
      <c r="G46" s="64">
        <v>105.95</v>
      </c>
      <c r="H46" s="64">
        <v>40.21</v>
      </c>
      <c r="I46" s="64">
        <v>1.5</v>
      </c>
      <c r="J46" s="64">
        <v>0.38</v>
      </c>
      <c r="K46" s="64">
        <v>65.89</v>
      </c>
      <c r="L46" s="64">
        <v>18.43</v>
      </c>
      <c r="M46" s="64">
        <v>45.91</v>
      </c>
      <c r="N46" s="64">
        <v>486.9</v>
      </c>
      <c r="O46" s="64">
        <v>0</v>
      </c>
      <c r="P46" s="64">
        <v>0.47</v>
      </c>
      <c r="Q46" s="64">
        <v>5.85</v>
      </c>
      <c r="R46" s="198"/>
      <c r="S46" s="198"/>
      <c r="T46" s="198"/>
      <c r="U46" s="198"/>
    </row>
    <row r="47" spans="1:21" s="12" customFormat="1" x14ac:dyDescent="0.25">
      <c r="A47" s="214" t="s">
        <v>1918</v>
      </c>
      <c r="B47" s="64">
        <v>13.04</v>
      </c>
      <c r="C47" s="64">
        <v>64.430000000000007</v>
      </c>
      <c r="D47" s="64">
        <v>46.66</v>
      </c>
      <c r="E47" s="64">
        <v>3.47</v>
      </c>
      <c r="F47" s="64">
        <v>21.97</v>
      </c>
      <c r="G47" s="64">
        <v>99.68</v>
      </c>
      <c r="H47" s="64">
        <v>38.29</v>
      </c>
      <c r="I47" s="64">
        <v>1.46</v>
      </c>
      <c r="J47" s="64">
        <v>1.05</v>
      </c>
      <c r="K47" s="64">
        <v>339.92</v>
      </c>
      <c r="L47" s="64">
        <v>21.48</v>
      </c>
      <c r="M47" s="64">
        <v>38.840000000000003</v>
      </c>
      <c r="N47" s="64">
        <v>523.6</v>
      </c>
      <c r="O47" s="64">
        <v>0</v>
      </c>
      <c r="P47" s="64">
        <v>0.54</v>
      </c>
      <c r="Q47" s="64">
        <v>2.95</v>
      </c>
      <c r="R47" s="198"/>
      <c r="S47" s="198"/>
      <c r="T47" s="198"/>
      <c r="U47" s="198"/>
    </row>
    <row r="48" spans="1:21" s="12" customFormat="1" x14ac:dyDescent="0.25">
      <c r="A48" s="214" t="s">
        <v>1919</v>
      </c>
      <c r="B48" s="64">
        <v>12.82</v>
      </c>
      <c r="C48" s="64">
        <v>65.17</v>
      </c>
      <c r="D48" s="64">
        <v>46.89</v>
      </c>
      <c r="E48" s="64">
        <v>3.27</v>
      </c>
      <c r="F48" s="64">
        <v>17.11</v>
      </c>
      <c r="G48" s="64">
        <v>74.62</v>
      </c>
      <c r="H48" s="64">
        <v>33.08</v>
      </c>
      <c r="I48" s="64">
        <v>1.53</v>
      </c>
      <c r="J48" s="64">
        <v>0.46</v>
      </c>
      <c r="K48" s="64">
        <v>51.27</v>
      </c>
      <c r="L48" s="64">
        <v>21.22</v>
      </c>
      <c r="M48" s="64">
        <v>39.619999999999997</v>
      </c>
      <c r="N48" s="64">
        <v>561.70000000000005</v>
      </c>
      <c r="O48" s="64">
        <v>0</v>
      </c>
      <c r="P48" s="64">
        <v>0.6</v>
      </c>
      <c r="Q48" s="64">
        <v>4.33</v>
      </c>
      <c r="R48" s="198"/>
      <c r="S48" s="198"/>
      <c r="T48" s="198"/>
      <c r="U48" s="198"/>
    </row>
    <row r="49" spans="1:21" s="12" customFormat="1" x14ac:dyDescent="0.25">
      <c r="A49" s="214" t="s">
        <v>1920</v>
      </c>
      <c r="B49" s="64">
        <v>12.47</v>
      </c>
      <c r="C49" s="64">
        <v>65.41</v>
      </c>
      <c r="D49" s="64">
        <v>46.75</v>
      </c>
      <c r="E49" s="64">
        <v>4.63</v>
      </c>
      <c r="F49" s="64">
        <v>18.920000000000002</v>
      </c>
      <c r="G49" s="64">
        <v>74.62</v>
      </c>
      <c r="H49" s="64">
        <v>33.08</v>
      </c>
      <c r="I49" s="64">
        <v>1.51</v>
      </c>
      <c r="J49" s="64">
        <v>0.5</v>
      </c>
      <c r="K49" s="64">
        <v>348.79</v>
      </c>
      <c r="L49" s="64">
        <v>21.83</v>
      </c>
      <c r="M49" s="64">
        <v>37.85</v>
      </c>
      <c r="N49" s="64">
        <v>594.6</v>
      </c>
      <c r="O49" s="64">
        <v>0</v>
      </c>
      <c r="P49" s="64">
        <v>0.53</v>
      </c>
      <c r="Q49" s="64">
        <v>4.42</v>
      </c>
      <c r="R49" s="198"/>
      <c r="S49" s="198"/>
      <c r="T49" s="198"/>
      <c r="U49" s="198"/>
    </row>
    <row r="50" spans="1:21" s="12" customFormat="1" x14ac:dyDescent="0.25">
      <c r="A50" s="214" t="s">
        <v>1921</v>
      </c>
      <c r="B50" s="64">
        <v>12.25</v>
      </c>
      <c r="C50" s="64">
        <v>66.13</v>
      </c>
      <c r="D50" s="64">
        <v>46.96</v>
      </c>
      <c r="E50" s="64">
        <v>6.53</v>
      </c>
      <c r="F50" s="64">
        <v>16.649999999999999</v>
      </c>
      <c r="G50" s="64">
        <v>74.62</v>
      </c>
      <c r="H50" s="64">
        <v>33.08</v>
      </c>
      <c r="I50" s="64">
        <v>1.48</v>
      </c>
      <c r="J50" s="64">
        <v>0.64</v>
      </c>
      <c r="K50" s="64">
        <v>343.01</v>
      </c>
      <c r="L50" s="64">
        <v>21.9</v>
      </c>
      <c r="M50" s="64">
        <v>36.99</v>
      </c>
      <c r="N50" s="64">
        <v>618.1</v>
      </c>
      <c r="O50" s="64">
        <v>0</v>
      </c>
      <c r="P50" s="64">
        <v>0.52</v>
      </c>
      <c r="Q50" s="64">
        <v>3.89</v>
      </c>
      <c r="R50" s="198"/>
      <c r="S50" s="198"/>
      <c r="T50" s="198"/>
      <c r="U50" s="198"/>
    </row>
    <row r="51" spans="1:21" s="12" customFormat="1" x14ac:dyDescent="0.25">
      <c r="A51" s="214" t="s">
        <v>1922</v>
      </c>
      <c r="B51" s="64">
        <v>12.15</v>
      </c>
      <c r="C51" s="64">
        <v>67.069999999999993</v>
      </c>
      <c r="D51" s="64">
        <v>47.4</v>
      </c>
      <c r="E51" s="64">
        <v>9.93</v>
      </c>
      <c r="F51" s="64">
        <v>23.44</v>
      </c>
      <c r="G51" s="64">
        <v>72.959999999999994</v>
      </c>
      <c r="H51" s="64">
        <v>33.93</v>
      </c>
      <c r="I51" s="64">
        <v>1.43</v>
      </c>
      <c r="J51" s="64">
        <v>1.1399999999999999</v>
      </c>
      <c r="K51" s="64">
        <v>343.89</v>
      </c>
      <c r="L51" s="64">
        <v>23.52</v>
      </c>
      <c r="M51" s="64">
        <v>33.01</v>
      </c>
      <c r="N51" s="64">
        <v>558.6</v>
      </c>
      <c r="O51" s="64">
        <v>0</v>
      </c>
      <c r="P51" s="64">
        <v>0.5</v>
      </c>
      <c r="Q51" s="64">
        <v>3.83</v>
      </c>
      <c r="R51" s="198"/>
      <c r="S51" s="198"/>
      <c r="T51" s="198"/>
      <c r="U51" s="198"/>
    </row>
    <row r="52" spans="1:21" s="12" customFormat="1" x14ac:dyDescent="0.25">
      <c r="A52" s="214" t="s">
        <v>1923</v>
      </c>
      <c r="B52" s="64">
        <v>12</v>
      </c>
      <c r="C52" s="64">
        <v>68.040000000000006</v>
      </c>
      <c r="D52" s="64">
        <v>47.82</v>
      </c>
      <c r="E52" s="64">
        <v>6.9</v>
      </c>
      <c r="F52" s="64">
        <v>18.260000000000002</v>
      </c>
      <c r="G52" s="64">
        <v>66.73</v>
      </c>
      <c r="H52" s="64">
        <v>36.24</v>
      </c>
      <c r="I52" s="64">
        <v>1.55</v>
      </c>
      <c r="J52" s="64">
        <v>0.32</v>
      </c>
      <c r="K52" s="64">
        <v>354.64</v>
      </c>
      <c r="L52" s="64">
        <v>22.49</v>
      </c>
      <c r="M52" s="64">
        <v>34.9</v>
      </c>
      <c r="N52" s="64">
        <v>633.29999999999995</v>
      </c>
      <c r="O52" s="64">
        <v>0</v>
      </c>
      <c r="P52" s="64">
        <v>0.51</v>
      </c>
      <c r="Q52" s="64">
        <v>3.84</v>
      </c>
      <c r="R52" s="198"/>
      <c r="S52" s="198"/>
      <c r="T52" s="198"/>
      <c r="U52" s="198"/>
    </row>
    <row r="53" spans="1:21" s="12" customFormat="1" x14ac:dyDescent="0.25">
      <c r="A53" s="214" t="s">
        <v>1924</v>
      </c>
      <c r="B53" s="64">
        <v>12.19</v>
      </c>
      <c r="C53" s="64">
        <v>69.06</v>
      </c>
      <c r="D53" s="64">
        <v>48.53</v>
      </c>
      <c r="E53" s="64">
        <v>6.12</v>
      </c>
      <c r="F53" s="64">
        <v>18.68</v>
      </c>
      <c r="G53" s="64">
        <v>66.73</v>
      </c>
      <c r="H53" s="64">
        <v>36.24</v>
      </c>
      <c r="I53" s="64">
        <v>1.48</v>
      </c>
      <c r="J53" s="64">
        <v>0.71</v>
      </c>
      <c r="K53" s="64">
        <v>337.56</v>
      </c>
      <c r="L53" s="64">
        <v>23.6</v>
      </c>
      <c r="M53" s="64">
        <v>32.39</v>
      </c>
      <c r="N53" s="64">
        <v>662.6</v>
      </c>
      <c r="O53" s="64">
        <v>0</v>
      </c>
      <c r="P53" s="64">
        <v>0.57999999999999996</v>
      </c>
      <c r="Q53" s="64">
        <v>2.52</v>
      </c>
      <c r="R53" s="198"/>
      <c r="S53" s="198"/>
      <c r="T53" s="198"/>
      <c r="U53" s="198"/>
    </row>
    <row r="54" spans="1:21" s="12" customFormat="1" x14ac:dyDescent="0.25">
      <c r="A54" s="214" t="s">
        <v>1925</v>
      </c>
      <c r="B54" s="64">
        <v>12.36</v>
      </c>
      <c r="C54" s="64">
        <v>69.98</v>
      </c>
      <c r="D54" s="64">
        <v>49.18</v>
      </c>
      <c r="E54" s="64">
        <v>5.89</v>
      </c>
      <c r="F54" s="64">
        <v>24.51</v>
      </c>
      <c r="G54" s="64">
        <v>66.73</v>
      </c>
      <c r="H54" s="64">
        <v>36.24</v>
      </c>
      <c r="I54" s="64">
        <v>1.51</v>
      </c>
      <c r="J54" s="64">
        <v>0.93</v>
      </c>
      <c r="K54" s="64">
        <v>342.49</v>
      </c>
      <c r="L54" s="64">
        <v>24.79</v>
      </c>
      <c r="M54" s="64">
        <v>29.99</v>
      </c>
      <c r="N54" s="64">
        <v>676</v>
      </c>
      <c r="O54" s="64">
        <v>0</v>
      </c>
      <c r="P54" s="64">
        <v>0.55000000000000004</v>
      </c>
      <c r="Q54" s="64">
        <v>3.16</v>
      </c>
      <c r="R54" s="198"/>
      <c r="S54" s="198"/>
      <c r="T54" s="198"/>
      <c r="U54" s="198"/>
    </row>
    <row r="55" spans="1:21" s="12" customFormat="1" x14ac:dyDescent="0.25">
      <c r="A55" s="214" t="s">
        <v>1926</v>
      </c>
      <c r="B55" s="64">
        <v>12</v>
      </c>
      <c r="C55" s="64">
        <v>70.59</v>
      </c>
      <c r="D55" s="64">
        <v>49.23</v>
      </c>
      <c r="E55" s="64">
        <v>5.58</v>
      </c>
      <c r="F55" s="64">
        <v>29.59</v>
      </c>
      <c r="G55" s="64">
        <v>66.489999999999995</v>
      </c>
      <c r="H55" s="64">
        <v>35.92</v>
      </c>
      <c r="I55" s="64">
        <v>1.52</v>
      </c>
      <c r="J55" s="64">
        <v>0.41</v>
      </c>
      <c r="K55" s="64">
        <v>58.24</v>
      </c>
      <c r="L55" s="64">
        <v>23.77</v>
      </c>
      <c r="M55" s="64">
        <v>32.299999999999997</v>
      </c>
      <c r="N55" s="64">
        <v>681.1</v>
      </c>
      <c r="O55" s="64">
        <v>0</v>
      </c>
      <c r="P55" s="64">
        <v>0.49</v>
      </c>
      <c r="Q55" s="64">
        <v>4.6399999999999997</v>
      </c>
      <c r="R55" s="198"/>
      <c r="S55" s="198"/>
      <c r="T55" s="198"/>
      <c r="U55" s="198"/>
    </row>
    <row r="56" spans="1:21" s="12" customFormat="1" x14ac:dyDescent="0.25">
      <c r="A56" s="214" t="s">
        <v>1927</v>
      </c>
      <c r="B56" s="64">
        <v>11.09</v>
      </c>
      <c r="C56" s="64">
        <v>70.52</v>
      </c>
      <c r="D56" s="64">
        <v>48.46</v>
      </c>
      <c r="E56" s="64">
        <v>2.81</v>
      </c>
      <c r="F56" s="64">
        <v>28.23</v>
      </c>
      <c r="G56" s="64">
        <v>65.5</v>
      </c>
      <c r="H56" s="64">
        <v>35.06</v>
      </c>
      <c r="I56" s="64">
        <v>1.52</v>
      </c>
      <c r="J56" s="64">
        <v>0.27</v>
      </c>
      <c r="K56" s="64">
        <v>32.15</v>
      </c>
      <c r="L56" s="64">
        <v>22.74</v>
      </c>
      <c r="M56" s="64">
        <v>34.159999999999997</v>
      </c>
      <c r="N56" s="64">
        <v>670.2</v>
      </c>
      <c r="O56" s="64">
        <v>0</v>
      </c>
      <c r="P56" s="64">
        <v>0.42</v>
      </c>
      <c r="Q56" s="64">
        <v>5.9</v>
      </c>
      <c r="R56" s="198"/>
      <c r="S56" s="198"/>
      <c r="T56" s="198"/>
      <c r="U56" s="198"/>
    </row>
    <row r="57" spans="1:21" s="12" customFormat="1" x14ac:dyDescent="0.25">
      <c r="A57" s="214" t="s">
        <v>1928</v>
      </c>
      <c r="B57" s="64">
        <v>10</v>
      </c>
      <c r="C57" s="64">
        <v>69.989999999999995</v>
      </c>
      <c r="D57" s="64">
        <v>47.29</v>
      </c>
      <c r="E57" s="64">
        <v>4.22</v>
      </c>
      <c r="F57" s="64">
        <v>32.42</v>
      </c>
      <c r="G57" s="64">
        <v>65.5</v>
      </c>
      <c r="H57" s="64">
        <v>35.06</v>
      </c>
      <c r="I57" s="64">
        <v>1.5</v>
      </c>
      <c r="J57" s="64">
        <v>0.41</v>
      </c>
      <c r="K57" s="64">
        <v>344.86</v>
      </c>
      <c r="L57" s="64">
        <v>24.28</v>
      </c>
      <c r="M57" s="64">
        <v>30.76</v>
      </c>
      <c r="N57" s="64">
        <v>660.5</v>
      </c>
      <c r="O57" s="64">
        <v>0</v>
      </c>
      <c r="P57" s="64">
        <v>0.5</v>
      </c>
      <c r="Q57" s="64">
        <v>5.96</v>
      </c>
      <c r="R57" s="198"/>
      <c r="S57" s="198"/>
      <c r="T57" s="198"/>
      <c r="U57" s="198"/>
    </row>
    <row r="58" spans="1:21" s="12" customFormat="1" x14ac:dyDescent="0.25">
      <c r="A58" s="214" t="s">
        <v>1929</v>
      </c>
      <c r="B58" s="64">
        <v>8.91</v>
      </c>
      <c r="C58" s="64">
        <v>70.53</v>
      </c>
      <c r="D58" s="64">
        <v>46.71</v>
      </c>
      <c r="E58" s="64">
        <v>4.34</v>
      </c>
      <c r="F58" s="64">
        <v>28.49</v>
      </c>
      <c r="G58" s="64">
        <v>65.5</v>
      </c>
      <c r="H58" s="64">
        <v>35.06</v>
      </c>
      <c r="I58" s="64">
        <v>1.55</v>
      </c>
      <c r="J58" s="64">
        <v>0.39</v>
      </c>
      <c r="K58" s="64">
        <v>6.31</v>
      </c>
      <c r="L58" s="64">
        <v>24.6</v>
      </c>
      <c r="M58" s="64">
        <v>30.52</v>
      </c>
      <c r="N58" s="64">
        <v>651</v>
      </c>
      <c r="O58" s="64">
        <v>0</v>
      </c>
      <c r="P58" s="64">
        <v>0.5</v>
      </c>
      <c r="Q58" s="64">
        <v>5.19</v>
      </c>
      <c r="R58" s="198"/>
      <c r="S58" s="198"/>
      <c r="T58" s="198"/>
      <c r="U58" s="198"/>
    </row>
    <row r="59" spans="1:21" s="12" customFormat="1" x14ac:dyDescent="0.25">
      <c r="A59" s="214" t="s">
        <v>1930</v>
      </c>
      <c r="B59" s="64">
        <v>7.53</v>
      </c>
      <c r="C59" s="64">
        <v>70.599999999999994</v>
      </c>
      <c r="D59" s="64">
        <v>45.65</v>
      </c>
      <c r="E59" s="64">
        <v>4.1100000000000003</v>
      </c>
      <c r="F59" s="64">
        <v>37.99</v>
      </c>
      <c r="G59" s="64">
        <v>65.52</v>
      </c>
      <c r="H59" s="64">
        <v>34.85</v>
      </c>
      <c r="I59" s="64">
        <v>1.51</v>
      </c>
      <c r="J59" s="64">
        <v>0.72</v>
      </c>
      <c r="K59" s="64">
        <v>347.93</v>
      </c>
      <c r="L59" s="64">
        <v>24.16</v>
      </c>
      <c r="M59" s="64">
        <v>31.7</v>
      </c>
      <c r="N59" s="64">
        <v>640.20000000000005</v>
      </c>
      <c r="O59" s="64">
        <v>0</v>
      </c>
      <c r="P59" s="64">
        <v>0.5</v>
      </c>
      <c r="Q59" s="64">
        <v>5.69</v>
      </c>
      <c r="R59" s="198"/>
      <c r="S59" s="198"/>
      <c r="T59" s="198"/>
      <c r="U59" s="198"/>
    </row>
    <row r="60" spans="1:21" s="12" customFormat="1" x14ac:dyDescent="0.25">
      <c r="A60" s="214" t="s">
        <v>1931</v>
      </c>
      <c r="B60" s="64">
        <v>6.15</v>
      </c>
      <c r="C60" s="64">
        <v>70.69</v>
      </c>
      <c r="D60" s="64">
        <v>44.59</v>
      </c>
      <c r="E60" s="64">
        <v>4.05</v>
      </c>
      <c r="F60" s="64">
        <v>29.42</v>
      </c>
      <c r="G60" s="64">
        <v>65.599999999999994</v>
      </c>
      <c r="H60" s="64">
        <v>33.85</v>
      </c>
      <c r="I60" s="64">
        <v>1.45</v>
      </c>
      <c r="J60" s="64">
        <v>0.26</v>
      </c>
      <c r="K60" s="64">
        <v>1.88</v>
      </c>
      <c r="L60" s="64">
        <v>25.54</v>
      </c>
      <c r="M60" s="64">
        <v>29.52</v>
      </c>
      <c r="N60" s="64">
        <v>591.9</v>
      </c>
      <c r="O60" s="64">
        <v>0</v>
      </c>
      <c r="P60" s="64">
        <v>0.57999999999999996</v>
      </c>
      <c r="Q60" s="64">
        <v>5.01</v>
      </c>
      <c r="R60" s="198"/>
      <c r="S60" s="198"/>
      <c r="T60" s="198"/>
      <c r="U60" s="198"/>
    </row>
    <row r="61" spans="1:21" s="12" customFormat="1" x14ac:dyDescent="0.25">
      <c r="A61" s="214" t="s">
        <v>1932</v>
      </c>
      <c r="B61" s="64">
        <v>5</v>
      </c>
      <c r="C61" s="64">
        <v>70.39</v>
      </c>
      <c r="D61" s="64">
        <v>43.5</v>
      </c>
      <c r="E61" s="64">
        <v>1.95</v>
      </c>
      <c r="F61" s="64">
        <v>13.71</v>
      </c>
      <c r="G61" s="64">
        <v>65.599999999999994</v>
      </c>
      <c r="H61" s="64">
        <v>33.85</v>
      </c>
      <c r="I61" s="64">
        <v>1.5</v>
      </c>
      <c r="J61" s="64">
        <v>0.44</v>
      </c>
      <c r="K61" s="64">
        <v>92.2</v>
      </c>
      <c r="L61" s="64">
        <v>22.73</v>
      </c>
      <c r="M61" s="64">
        <v>35.03</v>
      </c>
      <c r="N61" s="64">
        <v>561.20000000000005</v>
      </c>
      <c r="O61" s="64">
        <v>0</v>
      </c>
      <c r="P61" s="64">
        <v>0.51</v>
      </c>
      <c r="Q61" s="64">
        <v>5.6</v>
      </c>
      <c r="R61" s="198"/>
      <c r="S61" s="198"/>
      <c r="T61" s="198"/>
      <c r="U61" s="198"/>
    </row>
    <row r="62" spans="1:21" s="12" customFormat="1" x14ac:dyDescent="0.25">
      <c r="A62" s="214" t="s">
        <v>1933</v>
      </c>
      <c r="B62" s="64">
        <v>3.94</v>
      </c>
      <c r="C62" s="64">
        <v>69.36</v>
      </c>
      <c r="D62" s="64">
        <v>42.08</v>
      </c>
      <c r="E62" s="64">
        <v>2.62</v>
      </c>
      <c r="F62" s="64">
        <v>42.17</v>
      </c>
      <c r="G62" s="64">
        <v>65.599999999999994</v>
      </c>
      <c r="H62" s="64">
        <v>33.85</v>
      </c>
      <c r="I62" s="64">
        <v>1.48</v>
      </c>
      <c r="J62" s="64">
        <v>0.89</v>
      </c>
      <c r="K62" s="64">
        <v>340.98</v>
      </c>
      <c r="L62" s="64">
        <v>24.17</v>
      </c>
      <c r="M62" s="64">
        <v>32.270000000000003</v>
      </c>
      <c r="N62" s="64">
        <v>508.6</v>
      </c>
      <c r="O62" s="64">
        <v>0</v>
      </c>
      <c r="P62" s="64">
        <v>0.62</v>
      </c>
      <c r="Q62" s="64">
        <v>5.27</v>
      </c>
      <c r="R62" s="198"/>
      <c r="S62" s="198"/>
      <c r="T62" s="198"/>
      <c r="U62" s="198"/>
    </row>
    <row r="63" spans="1:21" s="12" customFormat="1" x14ac:dyDescent="0.25">
      <c r="A63" s="214" t="s">
        <v>1934</v>
      </c>
      <c r="B63" s="64">
        <v>3.53</v>
      </c>
      <c r="C63" s="64">
        <v>69.14</v>
      </c>
      <c r="D63" s="64">
        <v>41.64</v>
      </c>
      <c r="E63" s="64">
        <v>1.36</v>
      </c>
      <c r="F63" s="64">
        <v>20</v>
      </c>
      <c r="G63" s="64">
        <v>64.97</v>
      </c>
      <c r="H63" s="64">
        <v>33.409999999999997</v>
      </c>
      <c r="I63" s="64">
        <v>1.51</v>
      </c>
      <c r="J63" s="64">
        <v>0.66</v>
      </c>
      <c r="K63" s="64">
        <v>105.95</v>
      </c>
      <c r="L63" s="64">
        <v>23.49</v>
      </c>
      <c r="M63" s="64">
        <v>32.869999999999997</v>
      </c>
      <c r="N63" s="64">
        <v>471.2</v>
      </c>
      <c r="O63" s="64">
        <v>0</v>
      </c>
      <c r="P63" s="64">
        <v>0.61</v>
      </c>
      <c r="Q63" s="64">
        <v>4.7</v>
      </c>
      <c r="R63" s="198"/>
      <c r="S63" s="198"/>
      <c r="T63" s="198"/>
      <c r="U63" s="198"/>
    </row>
    <row r="64" spans="1:21" s="12" customFormat="1" x14ac:dyDescent="0.25">
      <c r="A64" s="214" t="s">
        <v>1935</v>
      </c>
      <c r="B64" s="64">
        <v>3.18</v>
      </c>
      <c r="C64" s="64">
        <v>68.48</v>
      </c>
      <c r="D64" s="64">
        <v>40.99</v>
      </c>
      <c r="E64" s="64">
        <v>5.24</v>
      </c>
      <c r="F64" s="64">
        <v>47.68</v>
      </c>
      <c r="G64" s="64">
        <v>62.65</v>
      </c>
      <c r="H64" s="64">
        <v>32.21</v>
      </c>
      <c r="I64" s="64">
        <v>1.43</v>
      </c>
      <c r="J64" s="64">
        <v>1.04</v>
      </c>
      <c r="K64" s="64">
        <v>344.82</v>
      </c>
      <c r="L64" s="64">
        <v>23.2</v>
      </c>
      <c r="M64" s="64">
        <v>33.65</v>
      </c>
      <c r="N64" s="64">
        <v>244.5</v>
      </c>
      <c r="O64" s="64">
        <v>0</v>
      </c>
      <c r="P64" s="64">
        <v>0.66</v>
      </c>
      <c r="Q64" s="64">
        <v>4.84</v>
      </c>
      <c r="R64" s="198"/>
      <c r="S64" s="198"/>
      <c r="T64" s="198"/>
      <c r="U64" s="198"/>
    </row>
    <row r="65" spans="1:21" s="12" customFormat="1" x14ac:dyDescent="0.25">
      <c r="A65" s="214" t="s">
        <v>1936</v>
      </c>
      <c r="B65" s="64">
        <v>3.01</v>
      </c>
      <c r="C65" s="64">
        <v>68.27</v>
      </c>
      <c r="D65" s="64">
        <v>40.74</v>
      </c>
      <c r="E65" s="64">
        <v>6.26</v>
      </c>
      <c r="F65" s="64">
        <v>32.11</v>
      </c>
      <c r="G65" s="64">
        <v>62.65</v>
      </c>
      <c r="H65" s="64">
        <v>32.21</v>
      </c>
      <c r="I65" s="64">
        <v>1.55</v>
      </c>
      <c r="J65" s="64">
        <v>0.44</v>
      </c>
      <c r="K65" s="64">
        <v>344.9</v>
      </c>
      <c r="L65" s="64">
        <v>23.96</v>
      </c>
      <c r="M65" s="64">
        <v>32.590000000000003</v>
      </c>
      <c r="N65" s="64">
        <v>220.2</v>
      </c>
      <c r="O65" s="64">
        <v>0</v>
      </c>
      <c r="P65" s="64">
        <v>0.69</v>
      </c>
      <c r="Q65" s="64">
        <v>4.34</v>
      </c>
      <c r="R65" s="198"/>
      <c r="S65" s="198"/>
      <c r="T65" s="198"/>
      <c r="U65" s="198"/>
    </row>
    <row r="66" spans="1:21" s="12" customFormat="1" x14ac:dyDescent="0.25">
      <c r="A66" s="214" t="s">
        <v>1937</v>
      </c>
      <c r="B66" s="64">
        <v>3.05</v>
      </c>
      <c r="C66" s="64">
        <v>68.7</v>
      </c>
      <c r="D66" s="64">
        <v>41.01</v>
      </c>
      <c r="E66" s="64">
        <v>6.46</v>
      </c>
      <c r="F66" s="64">
        <v>45.07</v>
      </c>
      <c r="G66" s="64">
        <v>62.65</v>
      </c>
      <c r="H66" s="64">
        <v>32.21</v>
      </c>
      <c r="I66" s="64">
        <v>1.47</v>
      </c>
      <c r="J66" s="64">
        <v>1.02</v>
      </c>
      <c r="K66" s="64">
        <v>340.22</v>
      </c>
      <c r="L66" s="64">
        <v>23.81</v>
      </c>
      <c r="M66" s="64">
        <v>32.92</v>
      </c>
      <c r="N66" s="64">
        <v>201.3</v>
      </c>
      <c r="O66" s="64">
        <v>0</v>
      </c>
      <c r="P66" s="64">
        <v>0.75</v>
      </c>
      <c r="Q66" s="64">
        <v>3.78</v>
      </c>
      <c r="R66" s="198"/>
      <c r="S66" s="198"/>
      <c r="T66" s="198"/>
      <c r="U66" s="198"/>
    </row>
    <row r="67" spans="1:21" s="12" customFormat="1" x14ac:dyDescent="0.25">
      <c r="A67" s="214" t="s">
        <v>1938</v>
      </c>
      <c r="B67" s="64">
        <v>3.11</v>
      </c>
      <c r="C67" s="64">
        <v>69.319999999999993</v>
      </c>
      <c r="D67" s="64">
        <v>41.4</v>
      </c>
      <c r="E67" s="64">
        <v>6.62</v>
      </c>
      <c r="F67" s="64">
        <v>53.5</v>
      </c>
      <c r="G67" s="64">
        <v>66.33</v>
      </c>
      <c r="H67" s="64">
        <v>33.57</v>
      </c>
      <c r="I67" s="64">
        <v>1.51</v>
      </c>
      <c r="J67" s="64">
        <v>1.19</v>
      </c>
      <c r="K67" s="64">
        <v>340.98</v>
      </c>
      <c r="L67" s="64">
        <v>23.61</v>
      </c>
      <c r="M67" s="64">
        <v>32.86</v>
      </c>
      <c r="N67" s="64">
        <v>215</v>
      </c>
      <c r="O67" s="64">
        <v>0</v>
      </c>
      <c r="P67" s="64">
        <v>0.79</v>
      </c>
      <c r="Q67" s="64">
        <v>3.9</v>
      </c>
      <c r="R67" s="198"/>
      <c r="S67" s="198"/>
      <c r="T67" s="198"/>
      <c r="U67" s="198"/>
    </row>
    <row r="68" spans="1:21" s="12" customFormat="1" x14ac:dyDescent="0.25">
      <c r="A68" s="214" t="s">
        <v>1939</v>
      </c>
      <c r="B68" s="64">
        <v>3.01</v>
      </c>
      <c r="C68" s="64">
        <v>69.52</v>
      </c>
      <c r="D68" s="64">
        <v>41.42</v>
      </c>
      <c r="E68" s="64">
        <v>4.8600000000000003</v>
      </c>
      <c r="F68" s="64">
        <v>27.17</v>
      </c>
      <c r="G68" s="64">
        <v>81.02</v>
      </c>
      <c r="H68" s="64">
        <v>37.28</v>
      </c>
      <c r="I68" s="64">
        <v>1.52</v>
      </c>
      <c r="J68" s="64">
        <v>0.37</v>
      </c>
      <c r="K68" s="64">
        <v>357.95</v>
      </c>
      <c r="L68" s="64">
        <v>22.22</v>
      </c>
      <c r="M68" s="64">
        <v>35.14</v>
      </c>
      <c r="N68" s="64">
        <v>181.2</v>
      </c>
      <c r="O68" s="64">
        <v>0</v>
      </c>
      <c r="P68" s="64">
        <v>0.65</v>
      </c>
      <c r="Q68" s="64">
        <v>4.51</v>
      </c>
      <c r="R68" s="198"/>
      <c r="S68" s="198"/>
      <c r="T68" s="198"/>
      <c r="U68" s="198"/>
    </row>
    <row r="69" spans="1:21" s="12" customFormat="1" x14ac:dyDescent="0.25">
      <c r="A69" s="214" t="s">
        <v>1940</v>
      </c>
      <c r="B69" s="64">
        <v>3.06</v>
      </c>
      <c r="C69" s="64">
        <v>69.47</v>
      </c>
      <c r="D69" s="64">
        <v>41.44</v>
      </c>
      <c r="E69" s="64">
        <v>5.27</v>
      </c>
      <c r="F69" s="64">
        <v>53.49</v>
      </c>
      <c r="G69" s="64">
        <v>81.02</v>
      </c>
      <c r="H69" s="64">
        <v>37.28</v>
      </c>
      <c r="I69" s="64">
        <v>1.55</v>
      </c>
      <c r="J69" s="64">
        <v>1.33</v>
      </c>
      <c r="K69" s="64">
        <v>338.51</v>
      </c>
      <c r="L69" s="64">
        <v>22.09</v>
      </c>
      <c r="M69" s="64">
        <v>35.24</v>
      </c>
      <c r="N69" s="64">
        <v>149</v>
      </c>
      <c r="O69" s="64">
        <v>0</v>
      </c>
      <c r="P69" s="64">
        <v>0.61</v>
      </c>
      <c r="Q69" s="64">
        <v>4.41</v>
      </c>
      <c r="R69" s="198"/>
      <c r="S69" s="198"/>
      <c r="T69" s="198"/>
      <c r="U69" s="198"/>
    </row>
    <row r="70" spans="1:21" s="12" customFormat="1" x14ac:dyDescent="0.25">
      <c r="A70" s="214" t="s">
        <v>1941</v>
      </c>
      <c r="B70" s="64">
        <v>2.96</v>
      </c>
      <c r="C70" s="64">
        <v>69.42</v>
      </c>
      <c r="D70" s="64">
        <v>41.34</v>
      </c>
      <c r="E70" s="64">
        <v>5.0599999999999996</v>
      </c>
      <c r="F70" s="64">
        <v>40.520000000000003</v>
      </c>
      <c r="G70" s="64">
        <v>81.02</v>
      </c>
      <c r="H70" s="64">
        <v>37.28</v>
      </c>
      <c r="I70" s="64">
        <v>1.48</v>
      </c>
      <c r="J70" s="64">
        <v>1.1399999999999999</v>
      </c>
      <c r="K70" s="64">
        <v>342.29</v>
      </c>
      <c r="L70" s="64">
        <v>21.76</v>
      </c>
      <c r="M70" s="64">
        <v>36.1</v>
      </c>
      <c r="N70" s="64">
        <v>142</v>
      </c>
      <c r="O70" s="64">
        <v>0</v>
      </c>
      <c r="P70" s="64">
        <v>0.71</v>
      </c>
      <c r="Q70" s="64">
        <v>4.3099999999999996</v>
      </c>
      <c r="R70" s="198"/>
      <c r="S70" s="198"/>
      <c r="T70" s="198"/>
      <c r="U70" s="198"/>
    </row>
    <row r="71" spans="1:21" s="12" customFormat="1" x14ac:dyDescent="0.25">
      <c r="A71" s="214" t="s">
        <v>1942</v>
      </c>
      <c r="B71" s="64">
        <v>2.99</v>
      </c>
      <c r="C71" s="64">
        <v>69.78</v>
      </c>
      <c r="D71" s="64">
        <v>41.56</v>
      </c>
      <c r="E71" s="64">
        <v>5</v>
      </c>
      <c r="F71" s="64">
        <v>49.18</v>
      </c>
      <c r="G71" s="64">
        <v>80.94</v>
      </c>
      <c r="H71" s="64">
        <v>37.96</v>
      </c>
      <c r="I71" s="64">
        <v>1.5</v>
      </c>
      <c r="J71" s="64">
        <v>1.1499999999999999</v>
      </c>
      <c r="K71" s="64">
        <v>335.99</v>
      </c>
      <c r="L71" s="64">
        <v>21.54</v>
      </c>
      <c r="M71" s="64">
        <v>36.15</v>
      </c>
      <c r="N71" s="64">
        <v>131.6</v>
      </c>
      <c r="O71" s="64">
        <v>0</v>
      </c>
      <c r="P71" s="64">
        <v>0.69</v>
      </c>
      <c r="Q71" s="64">
        <v>3.96</v>
      </c>
      <c r="R71" s="198"/>
      <c r="S71" s="198"/>
      <c r="T71" s="198"/>
      <c r="U71" s="198"/>
    </row>
    <row r="72" spans="1:21" s="12" customFormat="1" x14ac:dyDescent="0.25">
      <c r="A72" s="214" t="s">
        <v>1943</v>
      </c>
      <c r="B72" s="64">
        <v>2.96</v>
      </c>
      <c r="C72" s="64">
        <v>69.48</v>
      </c>
      <c r="D72" s="64">
        <v>41.37</v>
      </c>
      <c r="E72" s="64">
        <v>2.83</v>
      </c>
      <c r="F72" s="64">
        <v>49.34</v>
      </c>
      <c r="G72" s="64">
        <v>80.63</v>
      </c>
      <c r="H72" s="64">
        <v>39.83</v>
      </c>
      <c r="I72" s="64">
        <v>1.5</v>
      </c>
      <c r="J72" s="64">
        <v>1.08</v>
      </c>
      <c r="K72" s="64">
        <v>339.64</v>
      </c>
      <c r="L72" s="64">
        <v>21.18</v>
      </c>
      <c r="M72" s="64">
        <v>37.15</v>
      </c>
      <c r="N72" s="64">
        <v>131.69999999999999</v>
      </c>
      <c r="O72" s="64">
        <v>0</v>
      </c>
      <c r="P72" s="64">
        <v>0.64</v>
      </c>
      <c r="Q72" s="64">
        <v>4.3499999999999996</v>
      </c>
      <c r="R72" s="198"/>
      <c r="S72" s="198"/>
      <c r="T72" s="198"/>
      <c r="U72" s="198"/>
    </row>
    <row r="73" spans="1:21" s="12" customFormat="1" x14ac:dyDescent="0.25">
      <c r="A73" s="214" t="s">
        <v>1944</v>
      </c>
      <c r="B73" s="64">
        <v>3.1</v>
      </c>
      <c r="C73" s="64">
        <v>68.989999999999995</v>
      </c>
      <c r="D73" s="64">
        <v>41.21</v>
      </c>
      <c r="E73" s="64">
        <v>4.63</v>
      </c>
      <c r="F73" s="64">
        <v>48.97</v>
      </c>
      <c r="G73" s="64">
        <v>80.63</v>
      </c>
      <c r="H73" s="64">
        <v>39.83</v>
      </c>
      <c r="I73" s="64">
        <v>1.45</v>
      </c>
      <c r="J73" s="64">
        <v>1.21</v>
      </c>
      <c r="K73" s="64">
        <v>341.19</v>
      </c>
      <c r="L73" s="64">
        <v>20.73</v>
      </c>
      <c r="M73" s="64">
        <v>37.43</v>
      </c>
      <c r="N73" s="64">
        <v>119.2</v>
      </c>
      <c r="O73" s="64">
        <v>0</v>
      </c>
      <c r="P73" s="64">
        <v>0.71</v>
      </c>
      <c r="Q73" s="64">
        <v>3.91</v>
      </c>
      <c r="R73" s="198"/>
      <c r="S73" s="198"/>
      <c r="T73" s="198"/>
      <c r="U73" s="198"/>
    </row>
    <row r="74" spans="1:21" s="12" customFormat="1" x14ac:dyDescent="0.25">
      <c r="A74" s="214" t="s">
        <v>1945</v>
      </c>
      <c r="B74" s="64">
        <v>3.38</v>
      </c>
      <c r="C74" s="64">
        <v>69.040000000000006</v>
      </c>
      <c r="D74" s="64">
        <v>41.46</v>
      </c>
      <c r="E74" s="64">
        <v>4.08</v>
      </c>
      <c r="F74" s="64">
        <v>37.590000000000003</v>
      </c>
      <c r="G74" s="64">
        <v>80.63</v>
      </c>
      <c r="H74" s="64">
        <v>39.83</v>
      </c>
      <c r="I74" s="64">
        <v>1.47</v>
      </c>
      <c r="J74" s="64">
        <v>0.94</v>
      </c>
      <c r="K74" s="64">
        <v>343.31</v>
      </c>
      <c r="L74" s="64">
        <v>20.399999999999999</v>
      </c>
      <c r="M74" s="64">
        <v>38.9</v>
      </c>
      <c r="N74" s="64">
        <v>96.7</v>
      </c>
      <c r="O74" s="64">
        <v>0</v>
      </c>
      <c r="P74" s="64">
        <v>0.79</v>
      </c>
      <c r="Q74" s="64">
        <v>2.85</v>
      </c>
      <c r="R74" s="198"/>
      <c r="S74" s="198"/>
      <c r="T74" s="198"/>
      <c r="U74" s="198"/>
    </row>
    <row r="75" spans="1:21" s="12" customFormat="1" x14ac:dyDescent="0.25">
      <c r="A75" s="214" t="s">
        <v>1946</v>
      </c>
      <c r="B75" s="64">
        <v>3.77</v>
      </c>
      <c r="C75" s="64">
        <v>69.78</v>
      </c>
      <c r="D75" s="64">
        <v>42.18</v>
      </c>
      <c r="E75" s="64">
        <v>3.41</v>
      </c>
      <c r="F75" s="64">
        <v>29.62</v>
      </c>
      <c r="G75" s="64">
        <v>81.069999999999993</v>
      </c>
      <c r="H75" s="64">
        <v>39.69</v>
      </c>
      <c r="I75" s="64">
        <v>1.47</v>
      </c>
      <c r="J75" s="64">
        <v>0.81</v>
      </c>
      <c r="K75" s="64">
        <v>344.93</v>
      </c>
      <c r="L75" s="64">
        <v>20.12</v>
      </c>
      <c r="M75" s="64">
        <v>40.21</v>
      </c>
      <c r="N75" s="64">
        <v>95.6</v>
      </c>
      <c r="O75" s="64">
        <v>0</v>
      </c>
      <c r="P75" s="64">
        <v>0.93</v>
      </c>
      <c r="Q75" s="64">
        <v>1.34</v>
      </c>
      <c r="R75" s="198"/>
      <c r="S75" s="198"/>
      <c r="T75" s="198"/>
      <c r="U75" s="198"/>
    </row>
    <row r="76" spans="1:21" s="12" customFormat="1" x14ac:dyDescent="0.25">
      <c r="A76" s="214" t="s">
        <v>1947</v>
      </c>
      <c r="B76" s="64">
        <v>4.32</v>
      </c>
      <c r="C76" s="64">
        <v>70.34</v>
      </c>
      <c r="D76" s="64">
        <v>42.93</v>
      </c>
      <c r="E76" s="64">
        <v>3.1</v>
      </c>
      <c r="F76" s="64">
        <v>36.29</v>
      </c>
      <c r="G76" s="64">
        <v>82.75</v>
      </c>
      <c r="H76" s="64">
        <v>39.06</v>
      </c>
      <c r="I76" s="64">
        <v>1.51</v>
      </c>
      <c r="J76" s="64">
        <v>0.98</v>
      </c>
      <c r="K76" s="64">
        <v>346.04</v>
      </c>
      <c r="L76" s="64">
        <v>19.73</v>
      </c>
      <c r="M76" s="64">
        <v>44.13</v>
      </c>
      <c r="N76" s="64">
        <v>80.900000000000006</v>
      </c>
      <c r="O76" s="64">
        <v>0</v>
      </c>
      <c r="P76" s="64">
        <v>1.02</v>
      </c>
      <c r="Q76" s="64">
        <v>1.51</v>
      </c>
      <c r="R76" s="198"/>
      <c r="S76" s="198"/>
      <c r="T76" s="198"/>
      <c r="U76" s="198"/>
    </row>
    <row r="77" spans="1:21" s="12" customFormat="1" x14ac:dyDescent="0.25">
      <c r="A77" s="214" t="s">
        <v>1948</v>
      </c>
      <c r="B77" s="64">
        <v>4.67</v>
      </c>
      <c r="C77" s="64">
        <v>71.489999999999995</v>
      </c>
      <c r="D77" s="64">
        <v>43.85</v>
      </c>
      <c r="E77" s="64">
        <v>3.04</v>
      </c>
      <c r="F77" s="64">
        <v>34.15</v>
      </c>
      <c r="G77" s="64">
        <v>82.75</v>
      </c>
      <c r="H77" s="64">
        <v>39.06</v>
      </c>
      <c r="I77" s="64">
        <v>1.57</v>
      </c>
      <c r="J77" s="64">
        <v>0.92</v>
      </c>
      <c r="K77" s="64">
        <v>343.59</v>
      </c>
      <c r="L77" s="64">
        <v>19.13</v>
      </c>
      <c r="M77" s="64">
        <v>54.07</v>
      </c>
      <c r="N77" s="64">
        <v>75.099999999999994</v>
      </c>
      <c r="O77" s="64">
        <v>0</v>
      </c>
      <c r="P77" s="64">
        <v>1.01</v>
      </c>
      <c r="Q77" s="64">
        <v>1.76</v>
      </c>
      <c r="R77" s="198"/>
      <c r="S77" s="198"/>
      <c r="T77" s="198"/>
      <c r="U77" s="198"/>
    </row>
    <row r="78" spans="1:21" s="12" customFormat="1" x14ac:dyDescent="0.25">
      <c r="A78" s="214" t="s">
        <v>1949</v>
      </c>
      <c r="B78" s="64">
        <v>5.23</v>
      </c>
      <c r="C78" s="64">
        <v>72.69</v>
      </c>
      <c r="D78" s="64">
        <v>44.96</v>
      </c>
      <c r="E78" s="64">
        <v>2.4900000000000002</v>
      </c>
      <c r="F78" s="64">
        <v>12.06</v>
      </c>
      <c r="G78" s="64">
        <v>82.75</v>
      </c>
      <c r="H78" s="64">
        <v>39.06</v>
      </c>
      <c r="I78" s="64">
        <v>1.52</v>
      </c>
      <c r="J78" s="64">
        <v>0.42</v>
      </c>
      <c r="K78" s="64">
        <v>331.65</v>
      </c>
      <c r="L78" s="64">
        <v>18.59</v>
      </c>
      <c r="M78" s="64">
        <v>56.01</v>
      </c>
      <c r="N78" s="64">
        <v>74.7</v>
      </c>
      <c r="O78" s="64">
        <v>0</v>
      </c>
      <c r="P78" s="64">
        <v>1.26</v>
      </c>
      <c r="Q78" s="64">
        <v>0.1</v>
      </c>
      <c r="R78" s="198"/>
      <c r="S78" s="198"/>
      <c r="T78" s="198"/>
      <c r="U78" s="198"/>
    </row>
    <row r="79" spans="1:21" s="12" customFormat="1" x14ac:dyDescent="0.25">
      <c r="A79" s="214" t="s">
        <v>1950</v>
      </c>
      <c r="B79" s="64">
        <v>6.57</v>
      </c>
      <c r="C79" s="64">
        <v>74</v>
      </c>
      <c r="D79" s="64">
        <v>46.75</v>
      </c>
      <c r="E79" s="64">
        <v>2.2599999999999998</v>
      </c>
      <c r="F79" s="64">
        <v>10.74</v>
      </c>
      <c r="G79" s="64">
        <v>84.35</v>
      </c>
      <c r="H79" s="64">
        <v>38.51</v>
      </c>
      <c r="I79" s="64">
        <v>1.48</v>
      </c>
      <c r="J79" s="64">
        <v>0.6</v>
      </c>
      <c r="K79" s="64">
        <v>338.44</v>
      </c>
      <c r="L79" s="64">
        <v>18.28</v>
      </c>
      <c r="M79" s="64">
        <v>58.3</v>
      </c>
      <c r="N79" s="64">
        <v>74.900000000000006</v>
      </c>
      <c r="O79" s="64">
        <v>0</v>
      </c>
      <c r="P79" s="64">
        <v>1.47</v>
      </c>
      <c r="Q79" s="217" t="s">
        <v>34</v>
      </c>
      <c r="R79" s="198"/>
      <c r="S79" s="198"/>
      <c r="T79" s="198"/>
      <c r="U79" s="198"/>
    </row>
    <row r="80" spans="1:21" s="12" customFormat="1" x14ac:dyDescent="0.25">
      <c r="A80" s="214" t="s">
        <v>1951</v>
      </c>
      <c r="B80" s="64">
        <v>7.61</v>
      </c>
      <c r="C80" s="64">
        <v>75.2</v>
      </c>
      <c r="D80" s="64">
        <v>48.25</v>
      </c>
      <c r="E80" s="64">
        <v>2.5299999999999998</v>
      </c>
      <c r="F80" s="64">
        <v>12.52</v>
      </c>
      <c r="G80" s="64">
        <v>90.76</v>
      </c>
      <c r="H80" s="64">
        <v>37</v>
      </c>
      <c r="I80" s="64">
        <v>1.5</v>
      </c>
      <c r="J80" s="64">
        <v>0.54</v>
      </c>
      <c r="K80" s="64">
        <v>335.64</v>
      </c>
      <c r="L80" s="64">
        <v>18.149999999999999</v>
      </c>
      <c r="M80" s="64">
        <v>57.09</v>
      </c>
      <c r="N80" s="64">
        <v>77.3</v>
      </c>
      <c r="O80" s="64">
        <v>0</v>
      </c>
      <c r="P80" s="64">
        <v>1.53</v>
      </c>
      <c r="Q80" s="217" t="s">
        <v>34</v>
      </c>
      <c r="R80" s="198"/>
      <c r="S80" s="198"/>
      <c r="T80" s="198"/>
      <c r="U80" s="198"/>
    </row>
    <row r="81" spans="1:26" s="12" customFormat="1" x14ac:dyDescent="0.25">
      <c r="A81" s="214" t="s">
        <v>1952</v>
      </c>
      <c r="B81" s="64">
        <v>8.89</v>
      </c>
      <c r="C81" s="64">
        <v>76.290000000000006</v>
      </c>
      <c r="D81" s="64">
        <v>49.88</v>
      </c>
      <c r="E81" s="64">
        <v>2.37</v>
      </c>
      <c r="F81" s="64">
        <v>6.1</v>
      </c>
      <c r="G81" s="64">
        <v>90.76</v>
      </c>
      <c r="H81" s="64">
        <v>37</v>
      </c>
      <c r="I81" s="64">
        <v>1.44</v>
      </c>
      <c r="J81" s="64">
        <v>0.14000000000000001</v>
      </c>
      <c r="K81" s="64">
        <v>334.52</v>
      </c>
      <c r="L81" s="64">
        <v>17.59</v>
      </c>
      <c r="M81" s="64">
        <v>48.7</v>
      </c>
      <c r="N81" s="64">
        <v>74.3</v>
      </c>
      <c r="O81" s="64">
        <v>0</v>
      </c>
      <c r="P81" s="64">
        <v>1.46</v>
      </c>
      <c r="Q81" s="217" t="s">
        <v>34</v>
      </c>
      <c r="R81" s="198"/>
      <c r="S81" s="198"/>
      <c r="T81" s="198"/>
      <c r="U81" s="198"/>
    </row>
    <row r="82" spans="1:26" s="12" customFormat="1" x14ac:dyDescent="0.25">
      <c r="A82" s="214" t="s">
        <v>1953</v>
      </c>
      <c r="B82" s="64">
        <v>10.53</v>
      </c>
      <c r="C82" s="64">
        <v>77.400000000000006</v>
      </c>
      <c r="D82" s="64">
        <v>51.8</v>
      </c>
      <c r="E82" s="64">
        <v>2.4</v>
      </c>
      <c r="F82" s="64">
        <v>5.05</v>
      </c>
      <c r="G82" s="64">
        <v>90.76</v>
      </c>
      <c r="H82" s="64">
        <v>37</v>
      </c>
      <c r="I82" s="64">
        <v>1.52</v>
      </c>
      <c r="J82" s="64">
        <v>0.13</v>
      </c>
      <c r="K82" s="64">
        <v>349.62</v>
      </c>
      <c r="L82" s="64">
        <v>16.96</v>
      </c>
      <c r="M82" s="64">
        <v>46.66</v>
      </c>
      <c r="N82" s="64">
        <v>71.400000000000006</v>
      </c>
      <c r="O82" s="64">
        <v>0</v>
      </c>
      <c r="P82" s="64">
        <v>1.7</v>
      </c>
      <c r="Q82" s="217" t="s">
        <v>34</v>
      </c>
      <c r="R82" s="198"/>
      <c r="S82" s="198"/>
      <c r="T82" s="198"/>
      <c r="U82" s="198"/>
    </row>
    <row r="83" spans="1:26" s="12" customFormat="1" x14ac:dyDescent="0.25">
      <c r="A83" s="214" t="s">
        <v>1954</v>
      </c>
      <c r="B83" s="64">
        <v>12.74</v>
      </c>
      <c r="C83" s="64">
        <v>78.349999999999994</v>
      </c>
      <c r="D83" s="64">
        <v>54.1</v>
      </c>
      <c r="E83" s="64">
        <v>2.42</v>
      </c>
      <c r="F83" s="64">
        <v>4.6100000000000003</v>
      </c>
      <c r="G83" s="64">
        <v>95.47</v>
      </c>
      <c r="H83" s="64">
        <v>38.75</v>
      </c>
      <c r="I83" s="64">
        <v>1.45</v>
      </c>
      <c r="J83" s="64">
        <v>0.09</v>
      </c>
      <c r="K83" s="64">
        <v>343.32</v>
      </c>
      <c r="L83" s="64">
        <v>16.579999999999998</v>
      </c>
      <c r="M83" s="64">
        <v>47.43</v>
      </c>
      <c r="N83" s="64">
        <v>58.9</v>
      </c>
      <c r="O83" s="64">
        <v>0</v>
      </c>
      <c r="P83" s="64">
        <v>1.94</v>
      </c>
      <c r="Q83" s="217" t="s">
        <v>34</v>
      </c>
      <c r="R83" s="198"/>
      <c r="S83" s="198"/>
      <c r="T83" s="198"/>
      <c r="U83" s="198"/>
    </row>
    <row r="84" spans="1:26" s="12" customFormat="1" x14ac:dyDescent="0.25">
      <c r="A84" s="214" t="s">
        <v>1955</v>
      </c>
      <c r="B84" s="64">
        <v>14.47</v>
      </c>
      <c r="C84" s="64">
        <v>78.989999999999995</v>
      </c>
      <c r="D84" s="64">
        <v>55.84</v>
      </c>
      <c r="E84" s="64">
        <v>2.21</v>
      </c>
      <c r="F84" s="64">
        <v>4.5199999999999996</v>
      </c>
      <c r="G84" s="64">
        <v>113.09</v>
      </c>
      <c r="H84" s="64">
        <v>43.48</v>
      </c>
      <c r="I84" s="64">
        <v>1.46</v>
      </c>
      <c r="J84" s="64">
        <v>0.12</v>
      </c>
      <c r="K84" s="64">
        <v>83.21</v>
      </c>
      <c r="L84" s="64">
        <v>16.53</v>
      </c>
      <c r="M84" s="64">
        <v>46.67</v>
      </c>
      <c r="N84" s="64">
        <v>49.2</v>
      </c>
      <c r="O84" s="64">
        <v>0</v>
      </c>
      <c r="P84" s="64">
        <v>1.76</v>
      </c>
      <c r="Q84" s="64">
        <v>0.09</v>
      </c>
      <c r="R84" s="198"/>
      <c r="S84" s="198"/>
      <c r="T84" s="198"/>
      <c r="U84" s="198"/>
    </row>
    <row r="85" spans="1:26" s="12" customFormat="1" x14ac:dyDescent="0.25">
      <c r="A85" s="214" t="s">
        <v>1956</v>
      </c>
      <c r="B85" s="64">
        <v>16.21</v>
      </c>
      <c r="C85" s="64">
        <v>79.7</v>
      </c>
      <c r="D85" s="64">
        <v>57.63</v>
      </c>
      <c r="E85" s="64">
        <v>1.86</v>
      </c>
      <c r="F85" s="64">
        <v>4.47</v>
      </c>
      <c r="G85" s="64">
        <v>113.09</v>
      </c>
      <c r="H85" s="64">
        <v>43.48</v>
      </c>
      <c r="I85" s="64">
        <v>1.47</v>
      </c>
      <c r="J85" s="64">
        <v>0.05</v>
      </c>
      <c r="K85" s="64">
        <v>301.10000000000002</v>
      </c>
      <c r="L85" s="64">
        <v>16.04</v>
      </c>
      <c r="M85" s="64">
        <v>55.4</v>
      </c>
      <c r="N85" s="64">
        <v>63.3</v>
      </c>
      <c r="O85" s="64">
        <v>0</v>
      </c>
      <c r="P85" s="64">
        <v>1.97</v>
      </c>
      <c r="Q85" s="64">
        <v>0.43</v>
      </c>
      <c r="R85" s="198"/>
      <c r="S85" s="198"/>
      <c r="T85" s="198"/>
      <c r="U85" s="198"/>
    </row>
    <row r="86" spans="1:26" s="12" customFormat="1" x14ac:dyDescent="0.25">
      <c r="A86" s="214" t="s">
        <v>1957</v>
      </c>
      <c r="B86" s="64">
        <v>21.13</v>
      </c>
      <c r="C86" s="64">
        <v>81.45</v>
      </c>
      <c r="D86" s="64">
        <v>62.54</v>
      </c>
      <c r="E86" s="64">
        <v>1.76</v>
      </c>
      <c r="F86" s="64">
        <v>3.92</v>
      </c>
      <c r="G86" s="64">
        <v>113.09</v>
      </c>
      <c r="H86" s="64">
        <v>43.48</v>
      </c>
      <c r="I86" s="64">
        <v>1.55</v>
      </c>
      <c r="J86" s="64">
        <v>0.06</v>
      </c>
      <c r="K86" s="64">
        <v>0.34</v>
      </c>
      <c r="L86" s="64">
        <v>15.25</v>
      </c>
      <c r="M86" s="64">
        <v>57.75</v>
      </c>
      <c r="N86" s="64">
        <v>65.7</v>
      </c>
      <c r="O86" s="64">
        <v>0</v>
      </c>
      <c r="P86" s="64">
        <v>1.95</v>
      </c>
      <c r="Q86" s="64">
        <v>0.82</v>
      </c>
      <c r="R86" s="198"/>
      <c r="S86" s="198"/>
      <c r="T86" s="198"/>
      <c r="U86" s="198"/>
    </row>
    <row r="87" spans="1:26" s="12" customFormat="1" x14ac:dyDescent="0.25">
      <c r="A87" s="214" t="s">
        <v>1958</v>
      </c>
      <c r="B87" s="64">
        <v>26.31</v>
      </c>
      <c r="C87" s="64">
        <v>83.33</v>
      </c>
      <c r="D87" s="64">
        <v>67.73</v>
      </c>
      <c r="E87" s="64">
        <v>2</v>
      </c>
      <c r="F87" s="64">
        <v>4.01</v>
      </c>
      <c r="G87" s="64">
        <v>120.25</v>
      </c>
      <c r="H87" s="64">
        <v>48</v>
      </c>
      <c r="I87" s="64">
        <v>1.46</v>
      </c>
      <c r="J87" s="64">
        <v>0.14000000000000001</v>
      </c>
      <c r="K87" s="64">
        <v>347.16</v>
      </c>
      <c r="L87" s="64">
        <v>15.05</v>
      </c>
      <c r="M87" s="64">
        <v>60.81</v>
      </c>
      <c r="N87" s="64">
        <v>68.3</v>
      </c>
      <c r="O87" s="64">
        <v>0</v>
      </c>
      <c r="P87" s="64">
        <v>2.7</v>
      </c>
      <c r="Q87" s="64">
        <v>0.81</v>
      </c>
      <c r="R87" s="198"/>
      <c r="S87" s="198"/>
      <c r="T87" s="198"/>
      <c r="U87" s="198"/>
    </row>
    <row r="88" spans="1:26" s="12" customFormat="1" x14ac:dyDescent="0.25">
      <c r="A88" s="214" t="s">
        <v>1959</v>
      </c>
      <c r="B88" s="64">
        <v>32.17</v>
      </c>
      <c r="C88" s="64">
        <v>84.41</v>
      </c>
      <c r="D88" s="64">
        <v>73.03</v>
      </c>
      <c r="E88" s="64">
        <v>1.1200000000000001</v>
      </c>
      <c r="F88" s="64">
        <v>3.98</v>
      </c>
      <c r="G88" s="64">
        <v>147.02000000000001</v>
      </c>
      <c r="H88" s="64">
        <v>60.3</v>
      </c>
      <c r="I88" s="64">
        <v>1.56</v>
      </c>
      <c r="J88" s="64">
        <v>0.12</v>
      </c>
      <c r="K88" s="64">
        <v>264.35000000000002</v>
      </c>
      <c r="L88" s="64">
        <v>14.86</v>
      </c>
      <c r="M88" s="64">
        <v>60.18</v>
      </c>
      <c r="N88" s="64">
        <v>71.099999999999994</v>
      </c>
      <c r="O88" s="64">
        <v>0</v>
      </c>
      <c r="P88" s="64">
        <v>2.82</v>
      </c>
      <c r="Q88" s="64">
        <v>0.91</v>
      </c>
      <c r="R88" s="198"/>
      <c r="S88" s="198"/>
      <c r="T88" s="198"/>
      <c r="U88" s="198"/>
    </row>
    <row r="89" spans="1:26" s="12" customFormat="1" x14ac:dyDescent="0.25">
      <c r="A89" s="214" t="s">
        <v>1960</v>
      </c>
      <c r="B89" s="64">
        <v>38.83</v>
      </c>
      <c r="C89" s="64">
        <v>85.66</v>
      </c>
      <c r="D89" s="64">
        <v>79.06</v>
      </c>
      <c r="E89" s="64">
        <v>1.87</v>
      </c>
      <c r="F89" s="64">
        <v>3.92</v>
      </c>
      <c r="G89" s="64">
        <v>147.02000000000001</v>
      </c>
      <c r="H89" s="64">
        <v>60.3</v>
      </c>
      <c r="I89" s="64">
        <v>1.45</v>
      </c>
      <c r="J89" s="64">
        <v>0.18</v>
      </c>
      <c r="K89" s="64">
        <v>327.39</v>
      </c>
      <c r="L89" s="64">
        <v>14.85</v>
      </c>
      <c r="M89" s="64">
        <v>63.82</v>
      </c>
      <c r="N89" s="64">
        <v>72.599999999999994</v>
      </c>
      <c r="O89" s="64">
        <v>0</v>
      </c>
      <c r="P89" s="64">
        <v>2.83</v>
      </c>
      <c r="Q89" s="64">
        <v>1.07</v>
      </c>
      <c r="R89" s="198"/>
      <c r="S89" s="198"/>
      <c r="T89" s="198"/>
      <c r="U89" s="198"/>
    </row>
    <row r="90" spans="1:26" s="12" customFormat="1" x14ac:dyDescent="0.25">
      <c r="A90" s="214" t="s">
        <v>1961</v>
      </c>
      <c r="B90" s="64">
        <v>50.42</v>
      </c>
      <c r="C90" s="64">
        <v>86.93</v>
      </c>
      <c r="D90" s="64">
        <v>89.06</v>
      </c>
      <c r="E90" s="64">
        <v>1.88</v>
      </c>
      <c r="F90" s="64">
        <v>3.95</v>
      </c>
      <c r="G90" s="64">
        <v>147.02000000000001</v>
      </c>
      <c r="H90" s="64">
        <v>60.3</v>
      </c>
      <c r="I90" s="64">
        <v>1.45</v>
      </c>
      <c r="J90" s="64">
        <v>0.11</v>
      </c>
      <c r="K90" s="64">
        <v>296.8</v>
      </c>
      <c r="L90" s="64">
        <v>14.36</v>
      </c>
      <c r="M90" s="64">
        <v>68.44</v>
      </c>
      <c r="N90" s="64">
        <v>76.2</v>
      </c>
      <c r="O90" s="64">
        <v>0</v>
      </c>
      <c r="P90" s="64">
        <v>3.67</v>
      </c>
      <c r="Q90" s="64">
        <v>0.56999999999999995</v>
      </c>
      <c r="R90" s="198"/>
      <c r="S90" s="198"/>
      <c r="T90" s="198"/>
      <c r="U90" s="198"/>
    </row>
    <row r="91" spans="1:26" s="12" customFormat="1" x14ac:dyDescent="0.25">
      <c r="A91" s="214" t="s">
        <v>1962</v>
      </c>
      <c r="B91" s="64">
        <v>61.07</v>
      </c>
      <c r="C91" s="64">
        <v>88.11</v>
      </c>
      <c r="D91" s="64">
        <v>98.25</v>
      </c>
      <c r="E91" s="64">
        <v>1.86</v>
      </c>
      <c r="F91" s="64">
        <v>3.7</v>
      </c>
      <c r="G91" s="64">
        <v>166.43</v>
      </c>
      <c r="H91" s="64">
        <v>62.83</v>
      </c>
      <c r="I91" s="64">
        <v>1.51</v>
      </c>
      <c r="J91" s="64">
        <v>0.14000000000000001</v>
      </c>
      <c r="K91" s="64">
        <v>286.97000000000003</v>
      </c>
      <c r="L91" s="64">
        <v>14.17</v>
      </c>
      <c r="M91" s="64">
        <v>65.84</v>
      </c>
      <c r="N91" s="64">
        <v>74.599999999999994</v>
      </c>
      <c r="O91" s="64">
        <v>0</v>
      </c>
      <c r="P91" s="64">
        <v>3.5</v>
      </c>
      <c r="Q91" s="64">
        <v>0.77</v>
      </c>
      <c r="R91" s="198"/>
      <c r="S91" s="198"/>
      <c r="T91" s="198"/>
      <c r="U91" s="198"/>
    </row>
    <row r="92" spans="1:26" s="12" customFormat="1" x14ac:dyDescent="0.25">
      <c r="A92" s="214" t="s">
        <v>1963</v>
      </c>
      <c r="B92" s="64">
        <v>72.209999999999994</v>
      </c>
      <c r="C92" s="64">
        <v>88.97</v>
      </c>
      <c r="D92" s="64">
        <v>107.65</v>
      </c>
      <c r="E92" s="64">
        <v>1.86</v>
      </c>
      <c r="F92" s="64">
        <v>3.54</v>
      </c>
      <c r="G92" s="64">
        <v>239</v>
      </c>
      <c r="H92" s="64">
        <v>74.069999999999993</v>
      </c>
      <c r="I92" s="64">
        <v>1.5</v>
      </c>
      <c r="J92" s="64">
        <v>0.12</v>
      </c>
      <c r="K92" s="64">
        <v>338.96</v>
      </c>
      <c r="L92" s="64">
        <v>13.72</v>
      </c>
      <c r="M92" s="64">
        <v>71.86</v>
      </c>
      <c r="N92" s="64">
        <v>73.7</v>
      </c>
      <c r="O92" s="64">
        <v>0</v>
      </c>
      <c r="P92" s="64">
        <v>3.88</v>
      </c>
      <c r="Q92" s="64">
        <v>0.78</v>
      </c>
      <c r="R92" s="198"/>
      <c r="S92" s="198"/>
      <c r="T92" s="198"/>
      <c r="U92" s="198"/>
    </row>
    <row r="93" spans="1:26" s="12" customFormat="1" x14ac:dyDescent="0.25">
      <c r="A93" s="214" t="s">
        <v>1964</v>
      </c>
      <c r="B93" s="64">
        <v>89.3</v>
      </c>
      <c r="C93" s="64">
        <v>90.25</v>
      </c>
      <c r="D93" s="64">
        <v>122.06</v>
      </c>
      <c r="E93" s="64">
        <v>1.73</v>
      </c>
      <c r="F93" s="64">
        <v>3.81</v>
      </c>
      <c r="G93" s="64">
        <v>239</v>
      </c>
      <c r="H93" s="64">
        <v>74.069999999999993</v>
      </c>
      <c r="I93" s="64">
        <v>1.46</v>
      </c>
      <c r="J93" s="64">
        <v>0.1</v>
      </c>
      <c r="K93" s="64">
        <v>310.14999999999998</v>
      </c>
      <c r="L93" s="64">
        <v>13.59</v>
      </c>
      <c r="M93" s="64">
        <v>68.47</v>
      </c>
      <c r="N93" s="64">
        <v>73</v>
      </c>
      <c r="O93" s="64">
        <v>0</v>
      </c>
      <c r="P93" s="64">
        <v>4.13</v>
      </c>
      <c r="Q93" s="64">
        <v>1.67</v>
      </c>
      <c r="R93" s="198"/>
      <c r="S93" s="198"/>
      <c r="T93" s="198"/>
      <c r="U93" s="198"/>
    </row>
    <row r="94" spans="1:26" s="12" customFormat="1" x14ac:dyDescent="0.25">
      <c r="A94" s="214" t="s">
        <v>1965</v>
      </c>
      <c r="B94" s="64">
        <v>101.27</v>
      </c>
      <c r="C94" s="64">
        <v>91.64</v>
      </c>
      <c r="D94" s="64">
        <v>132.44</v>
      </c>
      <c r="E94" s="64">
        <v>1.58</v>
      </c>
      <c r="F94" s="64">
        <v>3.96</v>
      </c>
      <c r="G94" s="64">
        <v>239</v>
      </c>
      <c r="H94" s="64">
        <v>74.069999999999993</v>
      </c>
      <c r="I94" s="64">
        <v>1.52</v>
      </c>
      <c r="J94" s="64">
        <v>0.06</v>
      </c>
      <c r="K94" s="64">
        <v>304.37</v>
      </c>
      <c r="L94" s="64">
        <v>13.55</v>
      </c>
      <c r="M94" s="64">
        <v>63.71</v>
      </c>
      <c r="N94" s="64">
        <v>71.2</v>
      </c>
      <c r="O94" s="64">
        <v>0</v>
      </c>
      <c r="P94" s="64">
        <v>3.29</v>
      </c>
      <c r="Q94" s="64">
        <v>2.29</v>
      </c>
      <c r="R94" s="198"/>
      <c r="S94" s="198"/>
      <c r="T94" s="198"/>
      <c r="U94" s="198"/>
    </row>
    <row r="95" spans="1:26" s="12" customFormat="1" x14ac:dyDescent="0.25">
      <c r="A95" s="214" t="s">
        <v>1966</v>
      </c>
      <c r="B95" s="64">
        <v>106.43</v>
      </c>
      <c r="C95" s="64">
        <v>92.08</v>
      </c>
      <c r="D95" s="64">
        <v>136.81</v>
      </c>
      <c r="E95" s="64">
        <v>1.48</v>
      </c>
      <c r="F95" s="64">
        <v>3.87</v>
      </c>
      <c r="G95" s="64">
        <v>234.35</v>
      </c>
      <c r="H95" s="64">
        <v>75.72</v>
      </c>
      <c r="I95" s="64">
        <v>1.49</v>
      </c>
      <c r="J95" s="64">
        <v>0.13</v>
      </c>
      <c r="K95" s="64">
        <v>298.77</v>
      </c>
      <c r="L95" s="64">
        <v>13.49</v>
      </c>
      <c r="M95" s="64">
        <v>63.81</v>
      </c>
      <c r="N95" s="64">
        <v>68.2</v>
      </c>
      <c r="O95" s="64">
        <v>0</v>
      </c>
      <c r="P95" s="64">
        <v>2.59</v>
      </c>
      <c r="Q95" s="64">
        <v>8.18</v>
      </c>
      <c r="R95" s="198"/>
      <c r="S95" s="198"/>
      <c r="T95" s="198"/>
      <c r="U95" s="198"/>
    </row>
    <row r="96" spans="1:26" s="12" customFormat="1" x14ac:dyDescent="0.25">
      <c r="A96" s="214" t="s">
        <v>1967</v>
      </c>
      <c r="B96" s="64">
        <v>110.22</v>
      </c>
      <c r="C96" s="64">
        <v>92.45</v>
      </c>
      <c r="D96" s="64">
        <v>140.05000000000001</v>
      </c>
      <c r="E96" s="64">
        <v>1.37</v>
      </c>
      <c r="F96" s="64">
        <v>3.75</v>
      </c>
      <c r="G96" s="64">
        <v>217</v>
      </c>
      <c r="H96" s="64">
        <v>80.209999999999994</v>
      </c>
      <c r="I96" s="64">
        <v>1.52</v>
      </c>
      <c r="J96" s="64">
        <v>0.1</v>
      </c>
      <c r="K96" s="64">
        <v>332.2</v>
      </c>
      <c r="L96" s="64">
        <v>13.46</v>
      </c>
      <c r="M96" s="64">
        <v>63.35</v>
      </c>
      <c r="N96" s="64">
        <v>68.900000000000006</v>
      </c>
      <c r="O96" s="64">
        <v>0</v>
      </c>
      <c r="P96" s="64">
        <v>2.97</v>
      </c>
      <c r="Q96" s="64">
        <v>4.13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1968</v>
      </c>
      <c r="B97" s="64">
        <v>113.08</v>
      </c>
      <c r="C97" s="64">
        <v>92.47</v>
      </c>
      <c r="D97" s="64">
        <v>142.36000000000001</v>
      </c>
      <c r="E97" s="64">
        <v>1.3</v>
      </c>
      <c r="F97" s="64">
        <v>3.62</v>
      </c>
      <c r="G97" s="64">
        <v>217</v>
      </c>
      <c r="H97" s="64">
        <v>80.209999999999994</v>
      </c>
      <c r="I97" s="64">
        <v>1.47</v>
      </c>
      <c r="J97" s="64">
        <v>0.06</v>
      </c>
      <c r="K97" s="64">
        <v>24.02</v>
      </c>
      <c r="L97" s="64">
        <v>13.71</v>
      </c>
      <c r="M97" s="64">
        <v>55.6</v>
      </c>
      <c r="N97" s="64">
        <v>73.2</v>
      </c>
      <c r="O97" s="64">
        <v>0</v>
      </c>
      <c r="P97" s="64">
        <v>2.46</v>
      </c>
      <c r="Q97" s="64">
        <v>11.84</v>
      </c>
      <c r="R97" s="198"/>
      <c r="S97" s="198"/>
      <c r="T97" s="198"/>
      <c r="U97" s="198"/>
    </row>
    <row r="98" spans="1:33" s="12" customFormat="1" x14ac:dyDescent="0.25">
      <c r="A98" s="214" t="s">
        <v>1969</v>
      </c>
      <c r="B98" s="64">
        <v>111.72</v>
      </c>
      <c r="C98" s="64">
        <v>91.54</v>
      </c>
      <c r="D98" s="64">
        <v>140.75</v>
      </c>
      <c r="E98" s="64">
        <v>1.23</v>
      </c>
      <c r="F98" s="64">
        <v>3.49</v>
      </c>
      <c r="G98" s="64">
        <v>217</v>
      </c>
      <c r="H98" s="64">
        <v>80.209999999999994</v>
      </c>
      <c r="I98" s="64">
        <v>1.54</v>
      </c>
      <c r="J98" s="64">
        <v>0.09</v>
      </c>
      <c r="K98" s="64">
        <v>5.61</v>
      </c>
      <c r="L98" s="64">
        <v>14</v>
      </c>
      <c r="M98" s="64">
        <v>51.23</v>
      </c>
      <c r="N98" s="64">
        <v>69</v>
      </c>
      <c r="O98" s="64">
        <v>0</v>
      </c>
      <c r="P98" s="64">
        <v>2.2000000000000002</v>
      </c>
      <c r="Q98" s="64">
        <v>13.23</v>
      </c>
      <c r="R98" s="198"/>
      <c r="S98" s="198"/>
      <c r="T98" s="198"/>
      <c r="U98" s="198"/>
    </row>
    <row r="99" spans="1:33" s="12" customFormat="1" x14ac:dyDescent="0.25">
      <c r="A99" s="214" t="s">
        <v>1970</v>
      </c>
      <c r="B99" s="64">
        <v>107.84</v>
      </c>
      <c r="C99" s="64">
        <v>90.36</v>
      </c>
      <c r="D99" s="64">
        <v>136.99</v>
      </c>
      <c r="E99" s="64">
        <v>1.07</v>
      </c>
      <c r="F99" s="64">
        <v>3.43</v>
      </c>
      <c r="G99" s="64">
        <v>208.49</v>
      </c>
      <c r="H99" s="64">
        <v>79.87</v>
      </c>
      <c r="I99" s="64">
        <v>1.47</v>
      </c>
      <c r="J99" s="64">
        <v>0.12</v>
      </c>
      <c r="K99" s="64">
        <v>63.06</v>
      </c>
      <c r="L99" s="64">
        <v>14.27</v>
      </c>
      <c r="M99" s="64">
        <v>48.05</v>
      </c>
      <c r="N99" s="64">
        <v>64.7</v>
      </c>
      <c r="O99" s="64">
        <v>0</v>
      </c>
      <c r="P99" s="64">
        <v>1.68</v>
      </c>
      <c r="Q99" s="64">
        <v>15.83</v>
      </c>
      <c r="R99" s="198"/>
      <c r="S99" s="198"/>
      <c r="T99" s="198"/>
      <c r="U99" s="198"/>
    </row>
    <row r="100" spans="1:33" s="12" customFormat="1" x14ac:dyDescent="0.25">
      <c r="A100" s="214" t="s">
        <v>1971</v>
      </c>
      <c r="B100" s="64">
        <v>101.96</v>
      </c>
      <c r="C100" s="64">
        <v>88.17</v>
      </c>
      <c r="D100" s="64">
        <v>131.07</v>
      </c>
      <c r="E100" s="64">
        <v>1.17</v>
      </c>
      <c r="F100" s="64">
        <v>4.2</v>
      </c>
      <c r="G100" s="64">
        <v>176.67</v>
      </c>
      <c r="H100" s="64">
        <v>78.930000000000007</v>
      </c>
      <c r="I100" s="64">
        <v>1.57</v>
      </c>
      <c r="J100" s="64">
        <v>0.22</v>
      </c>
      <c r="K100" s="64">
        <v>74.94</v>
      </c>
      <c r="L100" s="64">
        <v>14.35</v>
      </c>
      <c r="M100" s="64">
        <v>47.82</v>
      </c>
      <c r="N100" s="64">
        <v>63.7</v>
      </c>
      <c r="O100" s="64">
        <v>0</v>
      </c>
      <c r="P100" s="64">
        <v>1.31</v>
      </c>
      <c r="Q100" s="64">
        <v>19.559999999999999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1972</v>
      </c>
      <c r="B101" s="64">
        <v>95.11</v>
      </c>
      <c r="C101" s="64">
        <v>85.39</v>
      </c>
      <c r="D101" s="64">
        <v>124.04</v>
      </c>
      <c r="E101" s="64">
        <v>1.18</v>
      </c>
      <c r="F101" s="64">
        <v>4.96</v>
      </c>
      <c r="G101" s="64">
        <v>176.67</v>
      </c>
      <c r="H101" s="64">
        <v>78.930000000000007</v>
      </c>
      <c r="I101" s="64">
        <v>1.55</v>
      </c>
      <c r="J101" s="64">
        <v>0.13</v>
      </c>
      <c r="K101" s="64">
        <v>74.86</v>
      </c>
      <c r="L101" s="64">
        <v>14.09</v>
      </c>
      <c r="M101" s="64">
        <v>50.27</v>
      </c>
      <c r="N101" s="64">
        <v>64.599999999999994</v>
      </c>
      <c r="O101" s="64">
        <v>0</v>
      </c>
      <c r="P101" s="64">
        <v>1.24</v>
      </c>
      <c r="Q101" s="64">
        <v>21.09</v>
      </c>
      <c r="R101" s="198"/>
      <c r="S101" s="198"/>
      <c r="T101" s="198"/>
      <c r="U101" s="198"/>
    </row>
    <row r="102" spans="1:33" s="12" customFormat="1" x14ac:dyDescent="0.25">
      <c r="A102" s="214" t="s">
        <v>1973</v>
      </c>
      <c r="B102" s="64">
        <v>88.32</v>
      </c>
      <c r="C102" s="64">
        <v>83.98</v>
      </c>
      <c r="D102" s="64">
        <v>117.81</v>
      </c>
      <c r="E102" s="64">
        <v>1.21</v>
      </c>
      <c r="F102" s="64">
        <v>4.72</v>
      </c>
      <c r="G102" s="64">
        <v>176.67</v>
      </c>
      <c r="H102" s="64">
        <v>78.930000000000007</v>
      </c>
      <c r="I102" s="64">
        <v>1.46</v>
      </c>
      <c r="J102" s="64">
        <v>0.23</v>
      </c>
      <c r="K102" s="64">
        <v>72.48</v>
      </c>
      <c r="L102" s="64">
        <v>14</v>
      </c>
      <c r="M102" s="64">
        <v>50.84</v>
      </c>
      <c r="N102" s="64">
        <v>64.2</v>
      </c>
      <c r="O102" s="64">
        <v>0</v>
      </c>
      <c r="P102" s="64">
        <v>1.28</v>
      </c>
      <c r="Q102" s="64">
        <v>19.600000000000001</v>
      </c>
      <c r="R102" s="198"/>
      <c r="S102" s="198"/>
      <c r="T102" s="198"/>
      <c r="U102" s="198"/>
    </row>
    <row r="103" spans="1:33" s="12" customFormat="1" x14ac:dyDescent="0.25">
      <c r="A103" s="214" t="s">
        <v>1974</v>
      </c>
      <c r="B103" s="64">
        <v>82.35</v>
      </c>
      <c r="C103" s="64">
        <v>82.52</v>
      </c>
      <c r="D103" s="64">
        <v>112.22</v>
      </c>
      <c r="E103" s="64">
        <v>1.0900000000000001</v>
      </c>
      <c r="F103" s="64">
        <v>4.93</v>
      </c>
      <c r="G103" s="64">
        <v>165.26</v>
      </c>
      <c r="H103" s="64">
        <v>77.83</v>
      </c>
      <c r="I103" s="64">
        <v>1.5</v>
      </c>
      <c r="J103" s="64">
        <v>0.22</v>
      </c>
      <c r="K103" s="64">
        <v>0.4</v>
      </c>
      <c r="L103" s="64">
        <v>13.6</v>
      </c>
      <c r="M103" s="64">
        <v>55.66</v>
      </c>
      <c r="N103" s="64">
        <v>64.5</v>
      </c>
      <c r="O103" s="64">
        <v>0</v>
      </c>
      <c r="P103" s="64">
        <v>1.28</v>
      </c>
      <c r="Q103" s="64">
        <v>18.41</v>
      </c>
      <c r="R103" s="198"/>
      <c r="S103" s="198"/>
      <c r="T103" s="198"/>
      <c r="U103" s="198"/>
    </row>
    <row r="104" spans="1:33" s="12" customFormat="1" x14ac:dyDescent="0.25">
      <c r="A104" s="214" t="s">
        <v>1975</v>
      </c>
      <c r="B104" s="64">
        <v>77.36</v>
      </c>
      <c r="C104" s="64">
        <v>81.239999999999995</v>
      </c>
      <c r="D104" s="64">
        <v>107.51</v>
      </c>
      <c r="E104" s="64">
        <v>0.81</v>
      </c>
      <c r="F104" s="64">
        <v>7.83</v>
      </c>
      <c r="G104" s="64">
        <v>122.59</v>
      </c>
      <c r="H104" s="64">
        <v>74.86</v>
      </c>
      <c r="I104" s="64">
        <v>1.43</v>
      </c>
      <c r="J104" s="64">
        <v>0.3</v>
      </c>
      <c r="K104" s="64">
        <v>346.61</v>
      </c>
      <c r="L104" s="64">
        <v>13.39</v>
      </c>
      <c r="M104" s="64">
        <v>53.79</v>
      </c>
      <c r="N104" s="64">
        <v>64.599999999999994</v>
      </c>
      <c r="O104" s="64">
        <v>0</v>
      </c>
      <c r="P104" s="64">
        <v>1.07</v>
      </c>
      <c r="Q104" s="64">
        <v>17.84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2.96</v>
      </c>
      <c r="C106" s="67">
        <f>MIN(C9:C104)</f>
        <v>61.35</v>
      </c>
      <c r="D106" s="67">
        <f t="shared" ref="D106:Q106" si="0">MIN(D9:D104)</f>
        <v>40.74</v>
      </c>
      <c r="E106" s="67">
        <f t="shared" si="0"/>
        <v>0.55000000000000004</v>
      </c>
      <c r="F106" s="67">
        <f t="shared" si="0"/>
        <v>2.78</v>
      </c>
      <c r="G106" s="67">
        <f t="shared" si="0"/>
        <v>62.63</v>
      </c>
      <c r="H106" s="67">
        <f t="shared" si="0"/>
        <v>32.21</v>
      </c>
      <c r="I106" s="67">
        <f t="shared" si="0"/>
        <v>1.38</v>
      </c>
      <c r="J106" s="67">
        <f t="shared" si="0"/>
        <v>0.02</v>
      </c>
      <c r="K106" s="67">
        <f t="shared" si="0"/>
        <v>0.34</v>
      </c>
      <c r="L106" s="67">
        <f t="shared" si="0"/>
        <v>12.66</v>
      </c>
      <c r="M106" s="67">
        <f t="shared" si="0"/>
        <v>29.52</v>
      </c>
      <c r="N106" s="67">
        <f t="shared" si="0"/>
        <v>21.9</v>
      </c>
      <c r="O106" s="67">
        <f t="shared" si="0"/>
        <v>0</v>
      </c>
      <c r="P106" s="67">
        <f t="shared" si="0"/>
        <v>0.36</v>
      </c>
      <c r="Q106" s="67">
        <f t="shared" si="0"/>
        <v>0.09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113.08</v>
      </c>
      <c r="C107" s="66">
        <f t="shared" ref="C107:Q107" si="1">MAX(C9:C104)</f>
        <v>92.47</v>
      </c>
      <c r="D107" s="66">
        <f t="shared" si="1"/>
        <v>142.36000000000001</v>
      </c>
      <c r="E107" s="66">
        <f t="shared" si="1"/>
        <v>9.93</v>
      </c>
      <c r="F107" s="66">
        <f t="shared" si="1"/>
        <v>53.5</v>
      </c>
      <c r="G107" s="66">
        <f t="shared" si="1"/>
        <v>239</v>
      </c>
      <c r="H107" s="66">
        <f t="shared" si="1"/>
        <v>80.209999999999994</v>
      </c>
      <c r="I107" s="66">
        <f t="shared" si="1"/>
        <v>1.58</v>
      </c>
      <c r="J107" s="66">
        <f t="shared" si="1"/>
        <v>1.33</v>
      </c>
      <c r="K107" s="66">
        <f t="shared" si="1"/>
        <v>357.95</v>
      </c>
      <c r="L107" s="66">
        <f t="shared" si="1"/>
        <v>25.54</v>
      </c>
      <c r="M107" s="66">
        <f t="shared" si="1"/>
        <v>82.35</v>
      </c>
      <c r="N107" s="66">
        <f t="shared" si="1"/>
        <v>681.1</v>
      </c>
      <c r="O107" s="66">
        <f t="shared" si="1"/>
        <v>0</v>
      </c>
      <c r="P107" s="66">
        <f t="shared" si="1"/>
        <v>4.13</v>
      </c>
      <c r="Q107" s="66">
        <f t="shared" si="1"/>
        <v>21.09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31.436666666666667</v>
      </c>
      <c r="C108" s="67">
        <f t="shared" ref="C108:Q108" si="2">AVERAGE(C9:C104)</f>
        <v>71.694687499999972</v>
      </c>
      <c r="D108" s="67">
        <f t="shared" si="2"/>
        <v>65.42239583333334</v>
      </c>
      <c r="E108" s="67">
        <f t="shared" si="2"/>
        <v>2.7579166666666679</v>
      </c>
      <c r="F108" s="67">
        <f t="shared" si="2"/>
        <v>16.729479166666664</v>
      </c>
      <c r="G108" s="67">
        <f t="shared" si="2"/>
        <v>104.06312500000003</v>
      </c>
      <c r="H108" s="67">
        <f t="shared" si="2"/>
        <v>47.587395833333346</v>
      </c>
      <c r="I108" s="67">
        <f t="shared" si="2"/>
        <v>1.4998958333333337</v>
      </c>
      <c r="J108" s="67">
        <f t="shared" si="2"/>
        <v>0.44864583333333347</v>
      </c>
      <c r="K108" s="67">
        <f t="shared" si="2"/>
        <v>254.11010416666667</v>
      </c>
      <c r="L108" s="67">
        <f t="shared" si="2"/>
        <v>17.154583333333324</v>
      </c>
      <c r="M108" s="67">
        <f t="shared" si="2"/>
        <v>54.730625000000011</v>
      </c>
      <c r="N108" s="67">
        <f t="shared" si="2"/>
        <v>184.10625000000007</v>
      </c>
      <c r="O108" s="67">
        <f t="shared" si="2"/>
        <v>0</v>
      </c>
      <c r="P108" s="67">
        <f t="shared" si="2"/>
        <v>1.1030208333333331</v>
      </c>
      <c r="Q108" s="67">
        <f t="shared" si="2"/>
        <v>7.1608791208791196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32.461570564419269</v>
      </c>
      <c r="C109" s="67">
        <f t="shared" ref="C109:Q109" si="3">STDEV(C9:C104)</f>
        <v>9.1398266657671208</v>
      </c>
      <c r="D109" s="67">
        <f t="shared" si="3"/>
        <v>29.793974019653231</v>
      </c>
      <c r="E109" s="67">
        <f t="shared" si="3"/>
        <v>1.7510489588073619</v>
      </c>
      <c r="F109" s="67">
        <f t="shared" si="3"/>
        <v>13.643584678660229</v>
      </c>
      <c r="G109" s="67">
        <f t="shared" si="3"/>
        <v>46.425079209466688</v>
      </c>
      <c r="H109" s="67">
        <f t="shared" si="3"/>
        <v>14.580276168403943</v>
      </c>
      <c r="I109" s="67">
        <f t="shared" si="3"/>
        <v>4.0196747489964067E-2</v>
      </c>
      <c r="J109" s="67">
        <f t="shared" si="3"/>
        <v>0.33999263085409287</v>
      </c>
      <c r="K109" s="67">
        <f t="shared" si="3"/>
        <v>129.19114804688925</v>
      </c>
      <c r="L109" s="67">
        <f t="shared" si="3"/>
        <v>4.1674889364085876</v>
      </c>
      <c r="M109" s="67">
        <f t="shared" si="3"/>
        <v>16.351881193080811</v>
      </c>
      <c r="N109" s="67">
        <f t="shared" si="3"/>
        <v>217.13624188392333</v>
      </c>
      <c r="O109" s="67">
        <f t="shared" si="3"/>
        <v>0</v>
      </c>
      <c r="P109" s="67">
        <f t="shared" si="3"/>
        <v>0.86458036038381292</v>
      </c>
      <c r="Q109" s="67">
        <f t="shared" si="3"/>
        <v>5.4600900782865915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1976</v>
      </c>
      <c r="B9" s="64">
        <v>71.58</v>
      </c>
      <c r="C9" s="64">
        <v>79.44</v>
      </c>
      <c r="D9" s="64">
        <v>101.89</v>
      </c>
      <c r="E9" s="64">
        <v>1.1100000000000001</v>
      </c>
      <c r="F9" s="64">
        <v>8.82</v>
      </c>
      <c r="G9" s="64">
        <v>122.59</v>
      </c>
      <c r="H9" s="64">
        <v>74.86</v>
      </c>
      <c r="I9" s="64">
        <v>1.49</v>
      </c>
      <c r="J9" s="64">
        <v>0.16</v>
      </c>
      <c r="K9" s="64">
        <v>55.93</v>
      </c>
      <c r="L9" s="64">
        <v>13.44</v>
      </c>
      <c r="M9" s="64">
        <v>51.46</v>
      </c>
      <c r="N9" s="64">
        <v>61.7</v>
      </c>
      <c r="O9" s="64">
        <v>0</v>
      </c>
      <c r="P9" s="64">
        <v>0.78</v>
      </c>
      <c r="Q9" s="64">
        <v>18.11</v>
      </c>
      <c r="R9" s="198"/>
      <c r="S9" s="198"/>
      <c r="T9" s="198"/>
      <c r="U9" s="198"/>
    </row>
    <row r="10" spans="1:21" s="12" customFormat="1" x14ac:dyDescent="0.25">
      <c r="A10" s="214" t="s">
        <v>1977</v>
      </c>
      <c r="B10" s="64">
        <v>65.849999999999994</v>
      </c>
      <c r="C10" s="64">
        <v>77.989999999999995</v>
      </c>
      <c r="D10" s="64">
        <v>96.5</v>
      </c>
      <c r="E10" s="64">
        <v>1.78</v>
      </c>
      <c r="F10" s="64">
        <v>8.5399999999999991</v>
      </c>
      <c r="G10" s="64">
        <v>122.59</v>
      </c>
      <c r="H10" s="64">
        <v>74.86</v>
      </c>
      <c r="I10" s="64">
        <v>1.51</v>
      </c>
      <c r="J10" s="64">
        <v>0.25</v>
      </c>
      <c r="K10" s="64">
        <v>328.54</v>
      </c>
      <c r="L10" s="64">
        <v>13.45</v>
      </c>
      <c r="M10" s="64">
        <v>52.77</v>
      </c>
      <c r="N10" s="64">
        <v>59.3</v>
      </c>
      <c r="O10" s="64">
        <v>0</v>
      </c>
      <c r="P10" s="64">
        <v>0.84</v>
      </c>
      <c r="Q10" s="64">
        <v>17.12</v>
      </c>
      <c r="R10" s="198"/>
      <c r="S10" s="198"/>
      <c r="T10" s="198"/>
      <c r="U10" s="198"/>
    </row>
    <row r="11" spans="1:21" s="12" customFormat="1" x14ac:dyDescent="0.25">
      <c r="A11" s="214" t="s">
        <v>1978</v>
      </c>
      <c r="B11" s="64">
        <v>60.53</v>
      </c>
      <c r="C11" s="64">
        <v>76.349999999999994</v>
      </c>
      <c r="D11" s="64">
        <v>91.32</v>
      </c>
      <c r="E11" s="64">
        <v>2.36</v>
      </c>
      <c r="F11" s="64">
        <v>13.77</v>
      </c>
      <c r="G11" s="64">
        <v>120.08</v>
      </c>
      <c r="H11" s="64">
        <v>73.7</v>
      </c>
      <c r="I11" s="64">
        <v>1.56</v>
      </c>
      <c r="J11" s="64">
        <v>0.44</v>
      </c>
      <c r="K11" s="64">
        <v>338.76</v>
      </c>
      <c r="L11" s="64">
        <v>13.52</v>
      </c>
      <c r="M11" s="64">
        <v>52.57</v>
      </c>
      <c r="N11" s="64">
        <v>57.7</v>
      </c>
      <c r="O11" s="64">
        <v>0</v>
      </c>
      <c r="P11" s="64">
        <v>0.79</v>
      </c>
      <c r="Q11" s="64">
        <v>16.899999999999999</v>
      </c>
      <c r="R11" s="198"/>
      <c r="S11" s="198"/>
      <c r="T11" s="198"/>
      <c r="U11" s="198"/>
    </row>
    <row r="12" spans="1:21" s="12" customFormat="1" x14ac:dyDescent="0.25">
      <c r="A12" s="214" t="s">
        <v>1979</v>
      </c>
      <c r="B12" s="64">
        <v>55.38</v>
      </c>
      <c r="C12" s="64">
        <v>75.05</v>
      </c>
      <c r="D12" s="64">
        <v>86.48</v>
      </c>
      <c r="E12" s="64">
        <v>3.67</v>
      </c>
      <c r="F12" s="64">
        <v>14.97</v>
      </c>
      <c r="G12" s="64">
        <v>110.01</v>
      </c>
      <c r="H12" s="64">
        <v>68.540000000000006</v>
      </c>
      <c r="I12" s="64">
        <v>1.52</v>
      </c>
      <c r="J12" s="64">
        <v>0.6</v>
      </c>
      <c r="K12" s="64">
        <v>344.58</v>
      </c>
      <c r="L12" s="64">
        <v>13.7</v>
      </c>
      <c r="M12" s="64">
        <v>53.03</v>
      </c>
      <c r="N12" s="64">
        <v>58.7</v>
      </c>
      <c r="O12" s="64">
        <v>0</v>
      </c>
      <c r="P12" s="64">
        <v>0.88</v>
      </c>
      <c r="Q12" s="64">
        <v>16.350000000000001</v>
      </c>
      <c r="R12" s="198"/>
      <c r="S12" s="198"/>
      <c r="T12" s="198"/>
      <c r="U12" s="198"/>
    </row>
    <row r="13" spans="1:21" s="12" customFormat="1" x14ac:dyDescent="0.25">
      <c r="A13" s="214" t="s">
        <v>1980</v>
      </c>
      <c r="B13" s="64">
        <v>50.52</v>
      </c>
      <c r="C13" s="64">
        <v>73.75</v>
      </c>
      <c r="D13" s="64">
        <v>81.86</v>
      </c>
      <c r="E13" s="64">
        <v>8.25</v>
      </c>
      <c r="F13" s="64">
        <v>10.36</v>
      </c>
      <c r="G13" s="64">
        <v>110.01</v>
      </c>
      <c r="H13" s="64">
        <v>68.540000000000006</v>
      </c>
      <c r="I13" s="64">
        <v>1.56</v>
      </c>
      <c r="J13" s="64">
        <v>0.99</v>
      </c>
      <c r="K13" s="64">
        <v>347.97</v>
      </c>
      <c r="L13" s="64">
        <v>13.78</v>
      </c>
      <c r="M13" s="64">
        <v>52.7</v>
      </c>
      <c r="N13" s="64">
        <v>62.2</v>
      </c>
      <c r="O13" s="64">
        <v>0</v>
      </c>
      <c r="P13" s="64">
        <v>1.02</v>
      </c>
      <c r="Q13" s="64">
        <v>14.7</v>
      </c>
      <c r="R13" s="198"/>
      <c r="S13" s="198"/>
      <c r="T13" s="198"/>
      <c r="U13" s="198"/>
    </row>
    <row r="14" spans="1:21" s="12" customFormat="1" x14ac:dyDescent="0.25">
      <c r="A14" s="214" t="s">
        <v>1981</v>
      </c>
      <c r="B14" s="64">
        <v>46.14</v>
      </c>
      <c r="C14" s="64">
        <v>72.709999999999994</v>
      </c>
      <c r="D14" s="64">
        <v>77.77</v>
      </c>
      <c r="E14" s="64">
        <v>9.1</v>
      </c>
      <c r="F14" s="64">
        <v>11.89</v>
      </c>
      <c r="G14" s="64">
        <v>110.01</v>
      </c>
      <c r="H14" s="64">
        <v>68.540000000000006</v>
      </c>
      <c r="I14" s="64">
        <v>1.49</v>
      </c>
      <c r="J14" s="64">
        <v>0.64</v>
      </c>
      <c r="K14" s="64">
        <v>338.01</v>
      </c>
      <c r="L14" s="64">
        <v>13.97</v>
      </c>
      <c r="M14" s="64">
        <v>50.33</v>
      </c>
      <c r="N14" s="64">
        <v>64.8</v>
      </c>
      <c r="O14" s="64">
        <v>0</v>
      </c>
      <c r="P14" s="64">
        <v>0.88</v>
      </c>
      <c r="Q14" s="64">
        <v>13.69</v>
      </c>
      <c r="R14" s="198"/>
      <c r="S14" s="198"/>
      <c r="T14" s="198"/>
      <c r="U14" s="198"/>
    </row>
    <row r="15" spans="1:21" s="12" customFormat="1" x14ac:dyDescent="0.25">
      <c r="A15" s="214" t="s">
        <v>1982</v>
      </c>
      <c r="B15" s="64">
        <v>42.05</v>
      </c>
      <c r="C15" s="64">
        <v>71.48</v>
      </c>
      <c r="D15" s="64">
        <v>73.819999999999993</v>
      </c>
      <c r="E15" s="64">
        <v>7.31</v>
      </c>
      <c r="F15" s="64">
        <v>16.29</v>
      </c>
      <c r="G15" s="64">
        <v>111.62</v>
      </c>
      <c r="H15" s="64">
        <v>66.75</v>
      </c>
      <c r="I15" s="64">
        <v>1.56</v>
      </c>
      <c r="J15" s="64">
        <v>0.66</v>
      </c>
      <c r="K15" s="64">
        <v>337.5</v>
      </c>
      <c r="L15" s="64">
        <v>13.96</v>
      </c>
      <c r="M15" s="64">
        <v>50.06</v>
      </c>
      <c r="N15" s="64">
        <v>62.9</v>
      </c>
      <c r="O15" s="64">
        <v>0</v>
      </c>
      <c r="P15" s="64">
        <v>0.66</v>
      </c>
      <c r="Q15" s="64">
        <v>13.61</v>
      </c>
      <c r="R15" s="198"/>
      <c r="S15" s="198"/>
      <c r="T15" s="198"/>
      <c r="U15" s="198"/>
    </row>
    <row r="16" spans="1:21" s="12" customFormat="1" x14ac:dyDescent="0.25">
      <c r="A16" s="214" t="s">
        <v>1983</v>
      </c>
      <c r="B16" s="64">
        <v>38.32</v>
      </c>
      <c r="C16" s="64">
        <v>70.13</v>
      </c>
      <c r="D16" s="64">
        <v>70.08</v>
      </c>
      <c r="E16" s="64">
        <v>6.69</v>
      </c>
      <c r="F16" s="64">
        <v>17.14</v>
      </c>
      <c r="G16" s="64">
        <v>118.05</v>
      </c>
      <c r="H16" s="64">
        <v>61.85</v>
      </c>
      <c r="I16" s="64">
        <v>1.48</v>
      </c>
      <c r="J16" s="64">
        <v>0.66</v>
      </c>
      <c r="K16" s="64">
        <v>343.31</v>
      </c>
      <c r="L16" s="64">
        <v>13.78</v>
      </c>
      <c r="M16" s="64">
        <v>50.95</v>
      </c>
      <c r="N16" s="64">
        <v>59.1</v>
      </c>
      <c r="O16" s="64">
        <v>0</v>
      </c>
      <c r="P16" s="64">
        <v>0.56000000000000005</v>
      </c>
      <c r="Q16" s="64">
        <v>13.1</v>
      </c>
      <c r="R16" s="198"/>
      <c r="S16" s="198"/>
      <c r="T16" s="198"/>
      <c r="U16" s="198"/>
    </row>
    <row r="17" spans="1:21" s="12" customFormat="1" x14ac:dyDescent="0.25">
      <c r="A17" s="214" t="s">
        <v>1984</v>
      </c>
      <c r="B17" s="64">
        <v>34.82</v>
      </c>
      <c r="C17" s="64">
        <v>69.08</v>
      </c>
      <c r="D17" s="64">
        <v>66.69</v>
      </c>
      <c r="E17" s="64">
        <v>6.08</v>
      </c>
      <c r="F17" s="64">
        <v>15.38</v>
      </c>
      <c r="G17" s="64">
        <v>118.05</v>
      </c>
      <c r="H17" s="64">
        <v>61.85</v>
      </c>
      <c r="I17" s="64">
        <v>1.57</v>
      </c>
      <c r="J17" s="64">
        <v>0.75</v>
      </c>
      <c r="K17" s="64">
        <v>342.39</v>
      </c>
      <c r="L17" s="64">
        <v>13.68</v>
      </c>
      <c r="M17" s="64">
        <v>51.67</v>
      </c>
      <c r="N17" s="64">
        <v>58.5</v>
      </c>
      <c r="O17" s="64">
        <v>0</v>
      </c>
      <c r="P17" s="64">
        <v>0.52</v>
      </c>
      <c r="Q17" s="64">
        <v>12.31</v>
      </c>
      <c r="R17" s="198"/>
      <c r="S17" s="198"/>
      <c r="T17" s="198"/>
      <c r="U17" s="198"/>
    </row>
    <row r="18" spans="1:21" s="12" customFormat="1" x14ac:dyDescent="0.25">
      <c r="A18" s="214" t="s">
        <v>1985</v>
      </c>
      <c r="B18" s="64">
        <v>31.51</v>
      </c>
      <c r="C18" s="64">
        <v>68.010000000000005</v>
      </c>
      <c r="D18" s="64">
        <v>63.45</v>
      </c>
      <c r="E18" s="64">
        <v>5.88</v>
      </c>
      <c r="F18" s="64">
        <v>16.37</v>
      </c>
      <c r="G18" s="64">
        <v>118.05</v>
      </c>
      <c r="H18" s="64">
        <v>61.85</v>
      </c>
      <c r="I18" s="64">
        <v>1.45</v>
      </c>
      <c r="J18" s="64">
        <v>0.68</v>
      </c>
      <c r="K18" s="64">
        <v>346.01</v>
      </c>
      <c r="L18" s="64">
        <v>13.44</v>
      </c>
      <c r="M18" s="64">
        <v>53.52</v>
      </c>
      <c r="N18" s="64">
        <v>57.8</v>
      </c>
      <c r="O18" s="64">
        <v>0</v>
      </c>
      <c r="P18" s="64">
        <v>0.56999999999999995</v>
      </c>
      <c r="Q18" s="64">
        <v>11.66</v>
      </c>
      <c r="R18" s="198"/>
      <c r="S18" s="198"/>
      <c r="T18" s="198"/>
      <c r="U18" s="198"/>
    </row>
    <row r="19" spans="1:21" s="12" customFormat="1" x14ac:dyDescent="0.25">
      <c r="A19" s="214" t="s">
        <v>1986</v>
      </c>
      <c r="B19" s="64">
        <v>28.65</v>
      </c>
      <c r="C19" s="64">
        <v>66.75</v>
      </c>
      <c r="D19" s="64">
        <v>60.46</v>
      </c>
      <c r="E19" s="64">
        <v>5.95</v>
      </c>
      <c r="F19" s="64">
        <v>13.33</v>
      </c>
      <c r="G19" s="64">
        <v>113.87</v>
      </c>
      <c r="H19" s="64">
        <v>59.48</v>
      </c>
      <c r="I19" s="64">
        <v>1.49</v>
      </c>
      <c r="J19" s="64">
        <v>0.36</v>
      </c>
      <c r="K19" s="64">
        <v>346.13</v>
      </c>
      <c r="L19" s="64">
        <v>13.11</v>
      </c>
      <c r="M19" s="64">
        <v>55.96</v>
      </c>
      <c r="N19" s="64">
        <v>57.3</v>
      </c>
      <c r="O19" s="64">
        <v>0</v>
      </c>
      <c r="P19" s="64">
        <v>0.72</v>
      </c>
      <c r="Q19" s="64">
        <v>10.91</v>
      </c>
      <c r="R19" s="198"/>
      <c r="S19" s="198"/>
      <c r="T19" s="198"/>
      <c r="U19" s="198"/>
    </row>
    <row r="20" spans="1:21" s="12" customFormat="1" x14ac:dyDescent="0.25">
      <c r="A20" s="214" t="s">
        <v>1987</v>
      </c>
      <c r="B20" s="64">
        <v>26.42</v>
      </c>
      <c r="C20" s="64">
        <v>65.64</v>
      </c>
      <c r="D20" s="64">
        <v>58.05</v>
      </c>
      <c r="E20" s="64">
        <v>4.72</v>
      </c>
      <c r="F20" s="64">
        <v>9.02</v>
      </c>
      <c r="G20" s="64">
        <v>97.12</v>
      </c>
      <c r="H20" s="64">
        <v>53.04</v>
      </c>
      <c r="I20" s="64">
        <v>1.54</v>
      </c>
      <c r="J20" s="64">
        <v>0.16</v>
      </c>
      <c r="K20" s="64">
        <v>338.29</v>
      </c>
      <c r="L20" s="64">
        <v>12.42</v>
      </c>
      <c r="M20" s="64">
        <v>59.53</v>
      </c>
      <c r="N20" s="64">
        <v>58.5</v>
      </c>
      <c r="O20" s="64">
        <v>0</v>
      </c>
      <c r="P20" s="64">
        <v>0.84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4" t="s">
        <v>1988</v>
      </c>
      <c r="B21" s="64">
        <v>24.65</v>
      </c>
      <c r="C21" s="64">
        <v>64.55</v>
      </c>
      <c r="D21" s="64">
        <v>56.04</v>
      </c>
      <c r="E21" s="64">
        <v>4.92</v>
      </c>
      <c r="F21" s="64">
        <v>8.9600000000000009</v>
      </c>
      <c r="G21" s="64">
        <v>97.12</v>
      </c>
      <c r="H21" s="64">
        <v>53.04</v>
      </c>
      <c r="I21" s="64">
        <v>1.46</v>
      </c>
      <c r="J21" s="64">
        <v>0.28999999999999998</v>
      </c>
      <c r="K21" s="64">
        <v>345.94</v>
      </c>
      <c r="L21" s="64">
        <v>12.3</v>
      </c>
      <c r="M21" s="64">
        <v>60.35</v>
      </c>
      <c r="N21" s="64">
        <v>64.8</v>
      </c>
      <c r="O21" s="64">
        <v>0</v>
      </c>
      <c r="P21" s="64">
        <v>0.87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14" t="s">
        <v>1989</v>
      </c>
      <c r="B22" s="64">
        <v>22.9</v>
      </c>
      <c r="C22" s="64">
        <v>63.46</v>
      </c>
      <c r="D22" s="64">
        <v>54.03</v>
      </c>
      <c r="E22" s="64">
        <v>6.27</v>
      </c>
      <c r="F22" s="64">
        <v>10.01</v>
      </c>
      <c r="G22" s="64">
        <v>97.12</v>
      </c>
      <c r="H22" s="64">
        <v>53.04</v>
      </c>
      <c r="I22" s="64">
        <v>1.44</v>
      </c>
      <c r="J22" s="64">
        <v>0.53</v>
      </c>
      <c r="K22" s="64">
        <v>342.44</v>
      </c>
      <c r="L22" s="64">
        <v>12.29</v>
      </c>
      <c r="M22" s="64">
        <v>60.95</v>
      </c>
      <c r="N22" s="64">
        <v>75.2</v>
      </c>
      <c r="O22" s="64">
        <v>0</v>
      </c>
      <c r="P22" s="64">
        <v>0.71</v>
      </c>
      <c r="Q22" s="64">
        <v>9.01</v>
      </c>
      <c r="R22" s="198"/>
      <c r="S22" s="198"/>
      <c r="T22" s="198"/>
      <c r="U22" s="198"/>
    </row>
    <row r="23" spans="1:21" s="12" customFormat="1" x14ac:dyDescent="0.25">
      <c r="A23" s="214" t="s">
        <v>1990</v>
      </c>
      <c r="B23" s="64">
        <v>21.51</v>
      </c>
      <c r="C23" s="64">
        <v>62.8</v>
      </c>
      <c r="D23" s="64">
        <v>52.56</v>
      </c>
      <c r="E23" s="64">
        <v>9.06</v>
      </c>
      <c r="F23" s="64">
        <v>9.18</v>
      </c>
      <c r="G23" s="64">
        <v>101.52</v>
      </c>
      <c r="H23" s="64">
        <v>54.13</v>
      </c>
      <c r="I23" s="64">
        <v>1.54</v>
      </c>
      <c r="J23" s="64">
        <v>0.53</v>
      </c>
      <c r="K23" s="64">
        <v>347.53</v>
      </c>
      <c r="L23" s="64">
        <v>12.36</v>
      </c>
      <c r="M23" s="64">
        <v>60.71</v>
      </c>
      <c r="N23" s="64">
        <v>78.400000000000006</v>
      </c>
      <c r="O23" s="64">
        <v>0</v>
      </c>
      <c r="P23" s="64">
        <v>0.76</v>
      </c>
      <c r="Q23" s="64">
        <v>7.9</v>
      </c>
      <c r="R23" s="198"/>
      <c r="S23" s="198"/>
      <c r="T23" s="198"/>
      <c r="U23" s="198"/>
    </row>
    <row r="24" spans="1:21" s="12" customFormat="1" x14ac:dyDescent="0.25">
      <c r="A24" s="214" t="s">
        <v>1991</v>
      </c>
      <c r="B24" s="64">
        <v>20.59</v>
      </c>
      <c r="C24" s="64">
        <v>62.42</v>
      </c>
      <c r="D24" s="64">
        <v>51.6</v>
      </c>
      <c r="E24" s="64">
        <v>7.44</v>
      </c>
      <c r="F24" s="64">
        <v>8.81</v>
      </c>
      <c r="G24" s="64">
        <v>119.15</v>
      </c>
      <c r="H24" s="64">
        <v>57.11</v>
      </c>
      <c r="I24" s="64">
        <v>1.47</v>
      </c>
      <c r="J24" s="64">
        <v>0.62</v>
      </c>
      <c r="K24" s="64">
        <v>347.28</v>
      </c>
      <c r="L24" s="64">
        <v>12.39</v>
      </c>
      <c r="M24" s="64">
        <v>59.96</v>
      </c>
      <c r="N24" s="64">
        <v>76.3</v>
      </c>
      <c r="O24" s="64">
        <v>0</v>
      </c>
      <c r="P24" s="64">
        <v>0.8</v>
      </c>
      <c r="Q24" s="64">
        <v>7.48</v>
      </c>
      <c r="R24" s="198"/>
      <c r="S24" s="198"/>
      <c r="T24" s="198"/>
      <c r="U24" s="198"/>
    </row>
    <row r="25" spans="1:21" s="12" customFormat="1" x14ac:dyDescent="0.25">
      <c r="A25" s="214" t="s">
        <v>1992</v>
      </c>
      <c r="B25" s="64">
        <v>19.690000000000001</v>
      </c>
      <c r="C25" s="64">
        <v>62.43</v>
      </c>
      <c r="D25" s="64">
        <v>50.89</v>
      </c>
      <c r="E25" s="64">
        <v>11.89</v>
      </c>
      <c r="F25" s="64">
        <v>8.57</v>
      </c>
      <c r="G25" s="64">
        <v>119.15</v>
      </c>
      <c r="H25" s="64">
        <v>57.11</v>
      </c>
      <c r="I25" s="64">
        <v>1.54</v>
      </c>
      <c r="J25" s="64">
        <v>0.91</v>
      </c>
      <c r="K25" s="64">
        <v>348.57</v>
      </c>
      <c r="L25" s="64">
        <v>12.41</v>
      </c>
      <c r="M25" s="64">
        <v>59.82</v>
      </c>
      <c r="N25" s="64">
        <v>83.6</v>
      </c>
      <c r="O25" s="64">
        <v>0</v>
      </c>
      <c r="P25" s="64">
        <v>0.79</v>
      </c>
      <c r="Q25" s="64">
        <v>6.97</v>
      </c>
      <c r="R25" s="198"/>
      <c r="S25" s="198"/>
      <c r="T25" s="198"/>
      <c r="U25" s="198"/>
    </row>
    <row r="26" spans="1:21" s="12" customFormat="1" x14ac:dyDescent="0.25">
      <c r="A26" s="214" t="s">
        <v>1993</v>
      </c>
      <c r="B26" s="64">
        <v>18.89</v>
      </c>
      <c r="C26" s="64">
        <v>62.71</v>
      </c>
      <c r="D26" s="64">
        <v>50.41</v>
      </c>
      <c r="E26" s="64">
        <v>14.33</v>
      </c>
      <c r="F26" s="64">
        <v>8.33</v>
      </c>
      <c r="G26" s="64">
        <v>119.15</v>
      </c>
      <c r="H26" s="64">
        <v>57.11</v>
      </c>
      <c r="I26" s="64">
        <v>1.51</v>
      </c>
      <c r="J26" s="64">
        <v>0.52</v>
      </c>
      <c r="K26" s="64">
        <v>347.21</v>
      </c>
      <c r="L26" s="64">
        <v>12.36</v>
      </c>
      <c r="M26" s="64">
        <v>59.49</v>
      </c>
      <c r="N26" s="64">
        <v>61.7</v>
      </c>
      <c r="O26" s="64">
        <v>0</v>
      </c>
      <c r="P26" s="64">
        <v>0.76</v>
      </c>
      <c r="Q26" s="64">
        <v>6.51</v>
      </c>
      <c r="R26" s="198"/>
      <c r="S26" s="198"/>
      <c r="T26" s="198"/>
      <c r="U26" s="198"/>
    </row>
    <row r="27" spans="1:21" s="12" customFormat="1" x14ac:dyDescent="0.25">
      <c r="A27" s="214" t="s">
        <v>1994</v>
      </c>
      <c r="B27" s="64">
        <v>18.55</v>
      </c>
      <c r="C27" s="64">
        <v>62.8</v>
      </c>
      <c r="D27" s="64">
        <v>50.18</v>
      </c>
      <c r="E27" s="64">
        <v>10.74</v>
      </c>
      <c r="F27" s="64">
        <v>6.48</v>
      </c>
      <c r="G27" s="64">
        <v>122.76</v>
      </c>
      <c r="H27" s="64">
        <v>57.49</v>
      </c>
      <c r="I27" s="64">
        <v>1.48</v>
      </c>
      <c r="J27" s="64">
        <v>0.22</v>
      </c>
      <c r="K27" s="64">
        <v>343.94</v>
      </c>
      <c r="L27" s="64">
        <v>12.12</v>
      </c>
      <c r="M27" s="64">
        <v>61.49</v>
      </c>
      <c r="N27" s="64">
        <v>83.7</v>
      </c>
      <c r="O27" s="64">
        <v>0</v>
      </c>
      <c r="P27" s="64">
        <v>0.84</v>
      </c>
      <c r="Q27" s="64">
        <v>5.61</v>
      </c>
      <c r="R27" s="198"/>
      <c r="S27" s="198"/>
      <c r="T27" s="198"/>
      <c r="U27" s="198"/>
    </row>
    <row r="28" spans="1:21" s="12" customFormat="1" x14ac:dyDescent="0.25">
      <c r="A28" s="214" t="s">
        <v>1995</v>
      </c>
      <c r="B28" s="64">
        <v>19.079999999999998</v>
      </c>
      <c r="C28" s="64">
        <v>62.85</v>
      </c>
      <c r="D28" s="64">
        <v>50.63</v>
      </c>
      <c r="E28" s="64">
        <v>9.23</v>
      </c>
      <c r="F28" s="64">
        <v>5.08</v>
      </c>
      <c r="G28" s="64">
        <v>137.24</v>
      </c>
      <c r="H28" s="64">
        <v>59.2</v>
      </c>
      <c r="I28" s="64">
        <v>1.52</v>
      </c>
      <c r="J28" s="64">
        <v>0.15</v>
      </c>
      <c r="K28" s="64">
        <v>354.5</v>
      </c>
      <c r="L28" s="64">
        <v>11.81</v>
      </c>
      <c r="M28" s="64">
        <v>62.65</v>
      </c>
      <c r="N28" s="64">
        <v>77.099999999999994</v>
      </c>
      <c r="O28" s="64">
        <v>0</v>
      </c>
      <c r="P28" s="64">
        <v>0.95</v>
      </c>
      <c r="Q28" s="64">
        <v>4.54</v>
      </c>
      <c r="R28" s="198"/>
      <c r="S28" s="198"/>
      <c r="T28" s="198"/>
      <c r="U28" s="198"/>
    </row>
    <row r="29" spans="1:21" s="12" customFormat="1" x14ac:dyDescent="0.25">
      <c r="A29" s="214" t="s">
        <v>1996</v>
      </c>
      <c r="B29" s="64">
        <v>19.41</v>
      </c>
      <c r="C29" s="64">
        <v>62.68</v>
      </c>
      <c r="D29" s="64">
        <v>50.8</v>
      </c>
      <c r="E29" s="64">
        <v>8.85</v>
      </c>
      <c r="F29" s="64">
        <v>5.0199999999999996</v>
      </c>
      <c r="G29" s="64">
        <v>137.24</v>
      </c>
      <c r="H29" s="64">
        <v>59.2</v>
      </c>
      <c r="I29" s="64">
        <v>1.47</v>
      </c>
      <c r="J29" s="64">
        <v>0.27</v>
      </c>
      <c r="K29" s="64">
        <v>350.8</v>
      </c>
      <c r="L29" s="64">
        <v>11.72</v>
      </c>
      <c r="M29" s="64">
        <v>63.71</v>
      </c>
      <c r="N29" s="64">
        <v>77.099999999999994</v>
      </c>
      <c r="O29" s="64">
        <v>0</v>
      </c>
      <c r="P29" s="64">
        <v>1.03</v>
      </c>
      <c r="Q29" s="64">
        <v>5.3</v>
      </c>
      <c r="R29" s="198"/>
      <c r="S29" s="198"/>
      <c r="T29" s="198"/>
      <c r="U29" s="198"/>
    </row>
    <row r="30" spans="1:21" s="12" customFormat="1" x14ac:dyDescent="0.25">
      <c r="A30" s="214" t="s">
        <v>1997</v>
      </c>
      <c r="B30" s="64">
        <v>19.73</v>
      </c>
      <c r="C30" s="64">
        <v>62.55</v>
      </c>
      <c r="D30" s="64">
        <v>50.99</v>
      </c>
      <c r="E30" s="64">
        <v>8.64</v>
      </c>
      <c r="F30" s="64">
        <v>4.91</v>
      </c>
      <c r="G30" s="64">
        <v>137.24</v>
      </c>
      <c r="H30" s="64">
        <v>59.2</v>
      </c>
      <c r="I30" s="64">
        <v>1.45</v>
      </c>
      <c r="J30" s="64">
        <v>0.45</v>
      </c>
      <c r="K30" s="64">
        <v>338.43</v>
      </c>
      <c r="L30" s="64">
        <v>11.56</v>
      </c>
      <c r="M30" s="64">
        <v>64.78</v>
      </c>
      <c r="N30" s="64">
        <v>53.1</v>
      </c>
      <c r="O30" s="64">
        <v>0</v>
      </c>
      <c r="P30" s="64">
        <v>1.05</v>
      </c>
      <c r="Q30" s="64">
        <v>5</v>
      </c>
      <c r="R30" s="198"/>
      <c r="S30" s="198"/>
      <c r="T30" s="198"/>
      <c r="U30" s="198"/>
    </row>
    <row r="31" spans="1:21" s="12" customFormat="1" x14ac:dyDescent="0.25">
      <c r="A31" s="214" t="s">
        <v>1998</v>
      </c>
      <c r="B31" s="64">
        <v>20.14</v>
      </c>
      <c r="C31" s="64">
        <v>62.64</v>
      </c>
      <c r="D31" s="64">
        <v>51.37</v>
      </c>
      <c r="E31" s="64">
        <v>10.41</v>
      </c>
      <c r="F31" s="64">
        <v>6.76</v>
      </c>
      <c r="G31" s="64">
        <v>140.63999999999999</v>
      </c>
      <c r="H31" s="64">
        <v>59.94</v>
      </c>
      <c r="I31" s="64">
        <v>1.48</v>
      </c>
      <c r="J31" s="64">
        <v>0.42</v>
      </c>
      <c r="K31" s="64">
        <v>346.01</v>
      </c>
      <c r="L31" s="64">
        <v>11.68</v>
      </c>
      <c r="M31" s="64">
        <v>64.459999999999994</v>
      </c>
      <c r="N31" s="64">
        <v>55.6</v>
      </c>
      <c r="O31" s="64">
        <v>0</v>
      </c>
      <c r="P31" s="64">
        <v>0.95</v>
      </c>
      <c r="Q31" s="64">
        <v>5.41</v>
      </c>
      <c r="R31" s="198"/>
      <c r="S31" s="198"/>
      <c r="T31" s="198"/>
      <c r="U31" s="198"/>
    </row>
    <row r="32" spans="1:21" s="12" customFormat="1" x14ac:dyDescent="0.25">
      <c r="A32" s="214" t="s">
        <v>1999</v>
      </c>
      <c r="B32" s="64">
        <v>20.309999999999999</v>
      </c>
      <c r="C32" s="64">
        <v>62.19</v>
      </c>
      <c r="D32" s="64">
        <v>51.26</v>
      </c>
      <c r="E32" s="64">
        <v>9.99</v>
      </c>
      <c r="F32" s="64">
        <v>7.49</v>
      </c>
      <c r="G32" s="64">
        <v>154.27000000000001</v>
      </c>
      <c r="H32" s="64">
        <v>61.95</v>
      </c>
      <c r="I32" s="64">
        <v>1.49</v>
      </c>
      <c r="J32" s="64">
        <v>0.5</v>
      </c>
      <c r="K32" s="64">
        <v>347.5</v>
      </c>
      <c r="L32" s="64">
        <v>11.51</v>
      </c>
      <c r="M32" s="64">
        <v>64.75</v>
      </c>
      <c r="N32" s="64">
        <v>69.099999999999994</v>
      </c>
      <c r="O32" s="64">
        <v>0</v>
      </c>
      <c r="P32" s="64">
        <v>0.92</v>
      </c>
      <c r="Q32" s="64">
        <v>5.82</v>
      </c>
      <c r="R32" s="198"/>
      <c r="S32" s="198"/>
      <c r="T32" s="198"/>
      <c r="U32" s="198"/>
    </row>
    <row r="33" spans="1:21" s="12" customFormat="1" x14ac:dyDescent="0.25">
      <c r="A33" s="214" t="s">
        <v>2000</v>
      </c>
      <c r="B33" s="64">
        <v>20.309999999999999</v>
      </c>
      <c r="C33" s="64">
        <v>61.88</v>
      </c>
      <c r="D33" s="64">
        <v>51.08</v>
      </c>
      <c r="E33" s="64">
        <v>10.31</v>
      </c>
      <c r="F33" s="64">
        <v>9.25</v>
      </c>
      <c r="G33" s="64">
        <v>154.27000000000001</v>
      </c>
      <c r="H33" s="64">
        <v>61.95</v>
      </c>
      <c r="I33" s="64">
        <v>1.63</v>
      </c>
      <c r="J33" s="64">
        <v>0.65</v>
      </c>
      <c r="K33" s="64">
        <v>345.62</v>
      </c>
      <c r="L33" s="64">
        <v>11.58</v>
      </c>
      <c r="M33" s="64">
        <v>63.25</v>
      </c>
      <c r="N33" s="64">
        <v>80.099999999999994</v>
      </c>
      <c r="O33" s="64">
        <v>0</v>
      </c>
      <c r="P33" s="64">
        <v>0.82</v>
      </c>
      <c r="Q33" s="64">
        <v>5.8</v>
      </c>
      <c r="R33" s="198"/>
      <c r="S33" s="198"/>
      <c r="T33" s="198"/>
      <c r="U33" s="198"/>
    </row>
    <row r="34" spans="1:21" s="12" customFormat="1" x14ac:dyDescent="0.25">
      <c r="A34" s="214" t="s">
        <v>2001</v>
      </c>
      <c r="B34" s="64">
        <v>20.32</v>
      </c>
      <c r="C34" s="64">
        <v>62.04</v>
      </c>
      <c r="D34" s="64">
        <v>51.18</v>
      </c>
      <c r="E34" s="64">
        <v>9.9</v>
      </c>
      <c r="F34" s="64">
        <v>8.2100000000000009</v>
      </c>
      <c r="G34" s="64">
        <v>154.27000000000001</v>
      </c>
      <c r="H34" s="64">
        <v>61.95</v>
      </c>
      <c r="I34" s="64">
        <v>1.51</v>
      </c>
      <c r="J34" s="64">
        <v>0.32</v>
      </c>
      <c r="K34" s="64">
        <v>347.14</v>
      </c>
      <c r="L34" s="64">
        <v>11.51</v>
      </c>
      <c r="M34" s="64">
        <v>65.95</v>
      </c>
      <c r="N34" s="64">
        <v>84.3</v>
      </c>
      <c r="O34" s="64">
        <v>0</v>
      </c>
      <c r="P34" s="64">
        <v>0.92</v>
      </c>
      <c r="Q34" s="64">
        <v>5.45</v>
      </c>
      <c r="R34" s="198"/>
      <c r="S34" s="198"/>
      <c r="T34" s="198"/>
      <c r="U34" s="198"/>
    </row>
    <row r="35" spans="1:21" s="12" customFormat="1" x14ac:dyDescent="0.25">
      <c r="A35" s="214" t="s">
        <v>2002</v>
      </c>
      <c r="B35" s="64">
        <v>21.7</v>
      </c>
      <c r="C35" s="64">
        <v>62.74</v>
      </c>
      <c r="D35" s="64">
        <v>52.67</v>
      </c>
      <c r="E35" s="64">
        <v>10.58</v>
      </c>
      <c r="F35" s="64">
        <v>5.79</v>
      </c>
      <c r="G35" s="64">
        <v>149.61000000000001</v>
      </c>
      <c r="H35" s="64">
        <v>61.99</v>
      </c>
      <c r="I35" s="64">
        <v>1.56</v>
      </c>
      <c r="J35" s="64">
        <v>0.63</v>
      </c>
      <c r="K35" s="64">
        <v>346.76</v>
      </c>
      <c r="L35" s="64">
        <v>11.32</v>
      </c>
      <c r="M35" s="64">
        <v>67.77</v>
      </c>
      <c r="N35" s="64">
        <v>95.7</v>
      </c>
      <c r="O35" s="64">
        <v>0</v>
      </c>
      <c r="P35" s="64">
        <v>1.17</v>
      </c>
      <c r="Q35" s="64">
        <v>2.71</v>
      </c>
      <c r="R35" s="198"/>
      <c r="S35" s="198"/>
      <c r="T35" s="198"/>
      <c r="U35" s="198"/>
    </row>
    <row r="36" spans="1:21" s="12" customFormat="1" x14ac:dyDescent="0.25">
      <c r="A36" s="214" t="s">
        <v>2003</v>
      </c>
      <c r="B36" s="64">
        <v>23.65</v>
      </c>
      <c r="C36" s="64">
        <v>63.4</v>
      </c>
      <c r="D36" s="64">
        <v>54.6</v>
      </c>
      <c r="E36" s="64">
        <v>13.16</v>
      </c>
      <c r="F36" s="64">
        <v>5.81</v>
      </c>
      <c r="G36" s="64">
        <v>131</v>
      </c>
      <c r="H36" s="64">
        <v>62.1</v>
      </c>
      <c r="I36" s="64">
        <v>1.46</v>
      </c>
      <c r="J36" s="64">
        <v>0.76</v>
      </c>
      <c r="K36" s="64">
        <v>351</v>
      </c>
      <c r="L36" s="64">
        <v>11.52</v>
      </c>
      <c r="M36" s="64">
        <v>67.260000000000005</v>
      </c>
      <c r="N36" s="64">
        <v>94.4</v>
      </c>
      <c r="O36" s="64">
        <v>0</v>
      </c>
      <c r="P36" s="64">
        <v>1.38</v>
      </c>
      <c r="Q36" s="64">
        <v>2.86</v>
      </c>
      <c r="R36" s="198"/>
      <c r="S36" s="198"/>
      <c r="T36" s="198"/>
      <c r="U36" s="198"/>
    </row>
    <row r="37" spans="1:21" s="12" customFormat="1" x14ac:dyDescent="0.25">
      <c r="A37" s="214" t="s">
        <v>2004</v>
      </c>
      <c r="B37" s="64">
        <v>25.78</v>
      </c>
      <c r="C37" s="64">
        <v>64.08</v>
      </c>
      <c r="D37" s="64">
        <v>56.68</v>
      </c>
      <c r="E37" s="64">
        <v>13.64</v>
      </c>
      <c r="F37" s="64">
        <v>5.32</v>
      </c>
      <c r="G37" s="64">
        <v>131</v>
      </c>
      <c r="H37" s="64">
        <v>62.1</v>
      </c>
      <c r="I37" s="64">
        <v>1.45</v>
      </c>
      <c r="J37" s="64">
        <v>0.22</v>
      </c>
      <c r="K37" s="64">
        <v>355.98</v>
      </c>
      <c r="L37" s="64">
        <v>11.6</v>
      </c>
      <c r="M37" s="64">
        <v>66.38</v>
      </c>
      <c r="N37" s="64">
        <v>85.1</v>
      </c>
      <c r="O37" s="64">
        <v>0</v>
      </c>
      <c r="P37" s="64">
        <v>1.49</v>
      </c>
      <c r="Q37" s="64">
        <v>2.72</v>
      </c>
      <c r="R37" s="198"/>
      <c r="S37" s="198"/>
      <c r="T37" s="198"/>
      <c r="U37" s="198"/>
    </row>
    <row r="38" spans="1:21" s="12" customFormat="1" x14ac:dyDescent="0.25">
      <c r="A38" s="214" t="s">
        <v>2005</v>
      </c>
      <c r="B38" s="64">
        <v>28.15</v>
      </c>
      <c r="C38" s="64">
        <v>64.59</v>
      </c>
      <c r="D38" s="64">
        <v>58.87</v>
      </c>
      <c r="E38" s="64">
        <v>12.05</v>
      </c>
      <c r="F38" s="64">
        <v>5.14</v>
      </c>
      <c r="G38" s="64">
        <v>131</v>
      </c>
      <c r="H38" s="64">
        <v>62.1</v>
      </c>
      <c r="I38" s="64">
        <v>1.52</v>
      </c>
      <c r="J38" s="64">
        <v>0.47</v>
      </c>
      <c r="K38" s="64">
        <v>335.11</v>
      </c>
      <c r="L38" s="64">
        <v>11.93</v>
      </c>
      <c r="M38" s="64">
        <v>64.05</v>
      </c>
      <c r="N38" s="64">
        <v>101.5</v>
      </c>
      <c r="O38" s="64">
        <v>0</v>
      </c>
      <c r="P38" s="64">
        <v>1.54</v>
      </c>
      <c r="Q38" s="64">
        <v>2.2999999999999998</v>
      </c>
      <c r="R38" s="198"/>
      <c r="S38" s="198"/>
      <c r="T38" s="198"/>
      <c r="U38" s="198"/>
    </row>
    <row r="39" spans="1:21" s="12" customFormat="1" x14ac:dyDescent="0.25">
      <c r="A39" s="214" t="s">
        <v>2006</v>
      </c>
      <c r="B39" s="64">
        <v>29.87</v>
      </c>
      <c r="C39" s="64">
        <v>65.239999999999995</v>
      </c>
      <c r="D39" s="64">
        <v>60.61</v>
      </c>
      <c r="E39" s="64">
        <v>12.29</v>
      </c>
      <c r="F39" s="64">
        <v>6.32</v>
      </c>
      <c r="G39" s="64">
        <v>136.80000000000001</v>
      </c>
      <c r="H39" s="64">
        <v>63.91</v>
      </c>
      <c r="I39" s="64">
        <v>1.5</v>
      </c>
      <c r="J39" s="64">
        <v>0.86</v>
      </c>
      <c r="K39" s="64">
        <v>341.51</v>
      </c>
      <c r="L39" s="64">
        <v>13.12</v>
      </c>
      <c r="M39" s="64">
        <v>56.64</v>
      </c>
      <c r="N39" s="64">
        <v>209.9</v>
      </c>
      <c r="O39" s="64">
        <v>0</v>
      </c>
      <c r="P39" s="64">
        <v>1.34</v>
      </c>
      <c r="Q39" s="64">
        <v>3.69</v>
      </c>
      <c r="R39" s="198"/>
      <c r="S39" s="198"/>
      <c r="T39" s="198"/>
      <c r="U39" s="198"/>
    </row>
    <row r="40" spans="1:21" s="12" customFormat="1" x14ac:dyDescent="0.25">
      <c r="A40" s="214" t="s">
        <v>2007</v>
      </c>
      <c r="B40" s="64">
        <v>30.83</v>
      </c>
      <c r="C40" s="64">
        <v>66.13</v>
      </c>
      <c r="D40" s="64">
        <v>61.86</v>
      </c>
      <c r="E40" s="64">
        <v>6.98</v>
      </c>
      <c r="F40" s="64">
        <v>8.9700000000000006</v>
      </c>
      <c r="G40" s="64">
        <v>160.02000000000001</v>
      </c>
      <c r="H40" s="64">
        <v>68.84</v>
      </c>
      <c r="I40" s="64">
        <v>1.56</v>
      </c>
      <c r="J40" s="64">
        <v>0.86</v>
      </c>
      <c r="K40" s="64">
        <v>341.74</v>
      </c>
      <c r="L40" s="64">
        <v>15.6</v>
      </c>
      <c r="M40" s="64">
        <v>46.35</v>
      </c>
      <c r="N40" s="64">
        <v>282.5</v>
      </c>
      <c r="O40" s="64">
        <v>0</v>
      </c>
      <c r="P40" s="64">
        <v>1.03</v>
      </c>
      <c r="Q40" s="64">
        <v>4.32</v>
      </c>
      <c r="R40" s="198"/>
      <c r="S40" s="198"/>
      <c r="T40" s="198"/>
      <c r="U40" s="198"/>
    </row>
    <row r="41" spans="1:21" s="12" customFormat="1" x14ac:dyDescent="0.25">
      <c r="A41" s="214" t="s">
        <v>2008</v>
      </c>
      <c r="B41" s="64">
        <v>30.92</v>
      </c>
      <c r="C41" s="64">
        <v>66.989999999999995</v>
      </c>
      <c r="D41" s="64">
        <v>62.41</v>
      </c>
      <c r="E41" s="64">
        <v>10.050000000000001</v>
      </c>
      <c r="F41" s="64">
        <v>11.37</v>
      </c>
      <c r="G41" s="64">
        <v>160.02000000000001</v>
      </c>
      <c r="H41" s="64">
        <v>68.84</v>
      </c>
      <c r="I41" s="64">
        <v>1.5</v>
      </c>
      <c r="J41" s="64">
        <v>0.9</v>
      </c>
      <c r="K41" s="64">
        <v>337.58</v>
      </c>
      <c r="L41" s="64">
        <v>17.16</v>
      </c>
      <c r="M41" s="64">
        <v>41.86</v>
      </c>
      <c r="N41" s="64">
        <v>350</v>
      </c>
      <c r="O41" s="64">
        <v>0</v>
      </c>
      <c r="P41" s="64">
        <v>0.96</v>
      </c>
      <c r="Q41" s="64">
        <v>5.66</v>
      </c>
      <c r="R41" s="198"/>
      <c r="S41" s="198"/>
      <c r="T41" s="198"/>
      <c r="U41" s="198"/>
    </row>
    <row r="42" spans="1:21" s="12" customFormat="1" x14ac:dyDescent="0.25">
      <c r="A42" s="214" t="s">
        <v>2009</v>
      </c>
      <c r="B42" s="64">
        <v>30.16</v>
      </c>
      <c r="C42" s="64">
        <v>68.03</v>
      </c>
      <c r="D42" s="64">
        <v>62.38</v>
      </c>
      <c r="E42" s="64">
        <v>10.95</v>
      </c>
      <c r="F42" s="64">
        <v>14.33</v>
      </c>
      <c r="G42" s="64">
        <v>160.02000000000001</v>
      </c>
      <c r="H42" s="64">
        <v>68.84</v>
      </c>
      <c r="I42" s="64">
        <v>1.47</v>
      </c>
      <c r="J42" s="64">
        <v>1.1299999999999999</v>
      </c>
      <c r="K42" s="64">
        <v>340.65</v>
      </c>
      <c r="L42" s="64">
        <v>18.12</v>
      </c>
      <c r="M42" s="64">
        <v>39.42</v>
      </c>
      <c r="N42" s="64">
        <v>399.1</v>
      </c>
      <c r="O42" s="64">
        <v>0</v>
      </c>
      <c r="P42" s="64">
        <v>0.78</v>
      </c>
      <c r="Q42" s="64">
        <v>6.16</v>
      </c>
      <c r="R42" s="198"/>
      <c r="S42" s="198"/>
      <c r="T42" s="198"/>
      <c r="U42" s="198"/>
    </row>
    <row r="43" spans="1:21" s="12" customFormat="1" x14ac:dyDescent="0.25">
      <c r="A43" s="214" t="s">
        <v>2010</v>
      </c>
      <c r="B43" s="64">
        <v>29.29</v>
      </c>
      <c r="C43" s="64">
        <v>69.22</v>
      </c>
      <c r="D43" s="64">
        <v>62.33</v>
      </c>
      <c r="E43" s="64">
        <v>10.07</v>
      </c>
      <c r="F43" s="64">
        <v>18.03</v>
      </c>
      <c r="G43" s="64">
        <v>152.52000000000001</v>
      </c>
      <c r="H43" s="64">
        <v>67.760000000000005</v>
      </c>
      <c r="I43" s="64">
        <v>1.51</v>
      </c>
      <c r="J43" s="64">
        <v>1.1100000000000001</v>
      </c>
      <c r="K43" s="64">
        <v>342.24</v>
      </c>
      <c r="L43" s="64">
        <v>19.09</v>
      </c>
      <c r="M43" s="64">
        <v>37.979999999999997</v>
      </c>
      <c r="N43" s="64">
        <v>441.8</v>
      </c>
      <c r="O43" s="64">
        <v>0</v>
      </c>
      <c r="P43" s="64">
        <v>0.74</v>
      </c>
      <c r="Q43" s="64">
        <v>6.64</v>
      </c>
      <c r="R43" s="198"/>
      <c r="S43" s="198"/>
      <c r="T43" s="198"/>
      <c r="U43" s="198"/>
    </row>
    <row r="44" spans="1:21" s="12" customFormat="1" x14ac:dyDescent="0.25">
      <c r="A44" s="214" t="s">
        <v>2011</v>
      </c>
      <c r="B44" s="64">
        <v>27.71</v>
      </c>
      <c r="C44" s="64">
        <v>69.819999999999993</v>
      </c>
      <c r="D44" s="64">
        <v>61.4</v>
      </c>
      <c r="E44" s="64">
        <v>7.84</v>
      </c>
      <c r="F44" s="64">
        <v>20.48</v>
      </c>
      <c r="G44" s="64">
        <v>122.48</v>
      </c>
      <c r="H44" s="64">
        <v>62.93</v>
      </c>
      <c r="I44" s="64">
        <v>1.51</v>
      </c>
      <c r="J44" s="64">
        <v>1.08</v>
      </c>
      <c r="K44" s="64">
        <v>340.65</v>
      </c>
      <c r="L44" s="64">
        <v>19.87</v>
      </c>
      <c r="M44" s="64">
        <v>36.58</v>
      </c>
      <c r="N44" s="64">
        <v>482.9</v>
      </c>
      <c r="O44" s="64">
        <v>0</v>
      </c>
      <c r="P44" s="64">
        <v>0.61</v>
      </c>
      <c r="Q44" s="64">
        <v>8.0399999999999991</v>
      </c>
      <c r="R44" s="198"/>
      <c r="S44" s="198"/>
      <c r="T44" s="198"/>
      <c r="U44" s="198"/>
    </row>
    <row r="45" spans="1:21" s="12" customFormat="1" x14ac:dyDescent="0.25">
      <c r="A45" s="214" t="s">
        <v>2012</v>
      </c>
      <c r="B45" s="64">
        <v>25.75</v>
      </c>
      <c r="C45" s="64">
        <v>70.400000000000006</v>
      </c>
      <c r="D45" s="64">
        <v>60.15</v>
      </c>
      <c r="E45" s="64">
        <v>5.47</v>
      </c>
      <c r="F45" s="64">
        <v>15.88</v>
      </c>
      <c r="G45" s="64">
        <v>122.48</v>
      </c>
      <c r="H45" s="64">
        <v>62.93</v>
      </c>
      <c r="I45" s="64">
        <v>1.51</v>
      </c>
      <c r="J45" s="64">
        <v>0.5</v>
      </c>
      <c r="K45" s="64">
        <v>338.9</v>
      </c>
      <c r="L45" s="64">
        <v>20.77</v>
      </c>
      <c r="M45" s="64">
        <v>34.83</v>
      </c>
      <c r="N45" s="64">
        <v>520.1</v>
      </c>
      <c r="O45" s="64">
        <v>0</v>
      </c>
      <c r="P45" s="64">
        <v>0.63</v>
      </c>
      <c r="Q45" s="64">
        <v>7.72</v>
      </c>
      <c r="R45" s="198"/>
      <c r="S45" s="198"/>
      <c r="T45" s="198"/>
      <c r="U45" s="198"/>
    </row>
    <row r="46" spans="1:21" s="12" customFormat="1" x14ac:dyDescent="0.25">
      <c r="A46" s="214" t="s">
        <v>2013</v>
      </c>
      <c r="B46" s="64">
        <v>24.21</v>
      </c>
      <c r="C46" s="64">
        <v>70.81</v>
      </c>
      <c r="D46" s="64">
        <v>59.14</v>
      </c>
      <c r="E46" s="64">
        <v>4.46</v>
      </c>
      <c r="F46" s="64">
        <v>15.18</v>
      </c>
      <c r="G46" s="64">
        <v>122.48</v>
      </c>
      <c r="H46" s="64">
        <v>62.93</v>
      </c>
      <c r="I46" s="64">
        <v>1.51</v>
      </c>
      <c r="J46" s="64">
        <v>0.38</v>
      </c>
      <c r="K46" s="64">
        <v>353.9</v>
      </c>
      <c r="L46" s="64">
        <v>20.23</v>
      </c>
      <c r="M46" s="64">
        <v>34.85</v>
      </c>
      <c r="N46" s="64">
        <v>548.4</v>
      </c>
      <c r="O46" s="64">
        <v>0</v>
      </c>
      <c r="P46" s="64">
        <v>0.56999999999999995</v>
      </c>
      <c r="Q46" s="64">
        <v>7.1</v>
      </c>
      <c r="R46" s="198"/>
      <c r="S46" s="198"/>
      <c r="T46" s="198"/>
      <c r="U46" s="198"/>
    </row>
    <row r="47" spans="1:21" s="12" customFormat="1" x14ac:dyDescent="0.25">
      <c r="A47" s="214" t="s">
        <v>2014</v>
      </c>
      <c r="B47" s="64">
        <v>22.71</v>
      </c>
      <c r="C47" s="64">
        <v>71.099999999999994</v>
      </c>
      <c r="D47" s="64">
        <v>58.1</v>
      </c>
      <c r="E47" s="64">
        <v>4.1399999999999997</v>
      </c>
      <c r="F47" s="64">
        <v>24.48</v>
      </c>
      <c r="G47" s="64">
        <v>113.7</v>
      </c>
      <c r="H47" s="64">
        <v>60.2</v>
      </c>
      <c r="I47" s="64">
        <v>1.54</v>
      </c>
      <c r="J47" s="64">
        <v>0.83</v>
      </c>
      <c r="K47" s="64">
        <v>342.75</v>
      </c>
      <c r="L47" s="64">
        <v>20.58</v>
      </c>
      <c r="M47" s="64">
        <v>33.159999999999997</v>
      </c>
      <c r="N47" s="64">
        <v>572.5</v>
      </c>
      <c r="O47" s="64">
        <v>0</v>
      </c>
      <c r="P47" s="64">
        <v>0.52</v>
      </c>
      <c r="Q47" s="64">
        <v>7.02</v>
      </c>
      <c r="R47" s="198"/>
      <c r="S47" s="198"/>
      <c r="T47" s="198"/>
      <c r="U47" s="198"/>
    </row>
    <row r="48" spans="1:21" s="12" customFormat="1" x14ac:dyDescent="0.25">
      <c r="A48" s="214" t="s">
        <v>2015</v>
      </c>
      <c r="B48" s="64">
        <v>20.57</v>
      </c>
      <c r="C48" s="64">
        <v>71.17</v>
      </c>
      <c r="D48" s="64">
        <v>56.42</v>
      </c>
      <c r="E48" s="64">
        <v>2.8</v>
      </c>
      <c r="F48" s="64">
        <v>29.12</v>
      </c>
      <c r="G48" s="64">
        <v>78.599999999999994</v>
      </c>
      <c r="H48" s="64">
        <v>52.78</v>
      </c>
      <c r="I48" s="64">
        <v>1.51</v>
      </c>
      <c r="J48" s="64">
        <v>0.91</v>
      </c>
      <c r="K48" s="64">
        <v>346.75</v>
      </c>
      <c r="L48" s="64">
        <v>21.51</v>
      </c>
      <c r="M48" s="64">
        <v>31.04</v>
      </c>
      <c r="N48" s="64">
        <v>627.70000000000005</v>
      </c>
      <c r="O48" s="64">
        <v>0</v>
      </c>
      <c r="P48" s="64">
        <v>0.5</v>
      </c>
      <c r="Q48" s="64">
        <v>8.2799999999999994</v>
      </c>
      <c r="R48" s="198"/>
      <c r="S48" s="198"/>
      <c r="T48" s="198"/>
      <c r="U48" s="198"/>
    </row>
    <row r="49" spans="1:21" s="12" customFormat="1" x14ac:dyDescent="0.25">
      <c r="A49" s="214" t="s">
        <v>2016</v>
      </c>
      <c r="B49" s="64">
        <v>17.87</v>
      </c>
      <c r="C49" s="64">
        <v>71.260000000000005</v>
      </c>
      <c r="D49" s="64">
        <v>54.31</v>
      </c>
      <c r="E49" s="64">
        <v>2.3199999999999998</v>
      </c>
      <c r="F49" s="64">
        <v>33.74</v>
      </c>
      <c r="G49" s="64">
        <v>78.599999999999994</v>
      </c>
      <c r="H49" s="64">
        <v>52.78</v>
      </c>
      <c r="I49" s="64">
        <v>1.49</v>
      </c>
      <c r="J49" s="64">
        <v>1.65</v>
      </c>
      <c r="K49" s="64">
        <v>341.56</v>
      </c>
      <c r="L49" s="64">
        <v>21.88</v>
      </c>
      <c r="M49" s="64">
        <v>31.07</v>
      </c>
      <c r="N49" s="64">
        <v>642</v>
      </c>
      <c r="O49" s="64">
        <v>0</v>
      </c>
      <c r="P49" s="64">
        <v>0.56000000000000005</v>
      </c>
      <c r="Q49" s="64">
        <v>7.88</v>
      </c>
      <c r="R49" s="198"/>
      <c r="S49" s="198"/>
      <c r="T49" s="198"/>
      <c r="U49" s="198"/>
    </row>
    <row r="50" spans="1:21" s="12" customFormat="1" x14ac:dyDescent="0.25">
      <c r="A50" s="214" t="s">
        <v>2017</v>
      </c>
      <c r="B50" s="64">
        <v>15.39</v>
      </c>
      <c r="C50" s="64">
        <v>71.64</v>
      </c>
      <c r="D50" s="64">
        <v>52.52</v>
      </c>
      <c r="E50" s="64">
        <v>2.0699999999999998</v>
      </c>
      <c r="F50" s="64">
        <v>29.84</v>
      </c>
      <c r="G50" s="64">
        <v>78.599999999999994</v>
      </c>
      <c r="H50" s="64">
        <v>52.78</v>
      </c>
      <c r="I50" s="64">
        <v>1.53</v>
      </c>
      <c r="J50" s="64">
        <v>0.75</v>
      </c>
      <c r="K50" s="64">
        <v>355.21</v>
      </c>
      <c r="L50" s="64">
        <v>22.09</v>
      </c>
      <c r="M50" s="64">
        <v>30.16</v>
      </c>
      <c r="N50" s="64">
        <v>663.2</v>
      </c>
      <c r="O50" s="64">
        <v>0</v>
      </c>
      <c r="P50" s="64">
        <v>0.53</v>
      </c>
      <c r="Q50" s="64">
        <v>7.61</v>
      </c>
      <c r="R50" s="198"/>
      <c r="S50" s="198"/>
      <c r="T50" s="198"/>
      <c r="U50" s="198"/>
    </row>
    <row r="51" spans="1:21" s="12" customFormat="1" x14ac:dyDescent="0.25">
      <c r="A51" s="214" t="s">
        <v>2018</v>
      </c>
      <c r="B51" s="64">
        <v>13.07</v>
      </c>
      <c r="C51" s="64">
        <v>71.14</v>
      </c>
      <c r="D51" s="64">
        <v>50.39</v>
      </c>
      <c r="E51" s="64">
        <v>1.61</v>
      </c>
      <c r="F51" s="64">
        <v>17.78</v>
      </c>
      <c r="G51" s="64">
        <v>76.12</v>
      </c>
      <c r="H51" s="64">
        <v>49.86</v>
      </c>
      <c r="I51" s="64">
        <v>1.44</v>
      </c>
      <c r="J51" s="64">
        <v>0.39</v>
      </c>
      <c r="K51" s="64">
        <v>41.24</v>
      </c>
      <c r="L51" s="64">
        <v>20.5</v>
      </c>
      <c r="M51" s="64">
        <v>32.75</v>
      </c>
      <c r="N51" s="64">
        <v>695.7</v>
      </c>
      <c r="O51" s="64">
        <v>0</v>
      </c>
      <c r="P51" s="64">
        <v>0.56999999999999995</v>
      </c>
      <c r="Q51" s="64">
        <v>7.43</v>
      </c>
      <c r="R51" s="198"/>
      <c r="S51" s="198"/>
      <c r="T51" s="198"/>
      <c r="U51" s="198"/>
    </row>
    <row r="52" spans="1:21" s="12" customFormat="1" x14ac:dyDescent="0.25">
      <c r="A52" s="214" t="s">
        <v>2019</v>
      </c>
      <c r="B52" s="64">
        <v>11.15</v>
      </c>
      <c r="C52" s="64">
        <v>70.12</v>
      </c>
      <c r="D52" s="64">
        <v>48.28</v>
      </c>
      <c r="E52" s="64">
        <v>1.87</v>
      </c>
      <c r="F52" s="64">
        <v>35.74</v>
      </c>
      <c r="G52" s="64">
        <v>66.19</v>
      </c>
      <c r="H52" s="64">
        <v>41.92</v>
      </c>
      <c r="I52" s="64">
        <v>1.58</v>
      </c>
      <c r="J52" s="64">
        <v>1.01</v>
      </c>
      <c r="K52" s="64">
        <v>339.88</v>
      </c>
      <c r="L52" s="64">
        <v>22.65</v>
      </c>
      <c r="M52" s="64">
        <v>27.95</v>
      </c>
      <c r="N52" s="64">
        <v>706.6</v>
      </c>
      <c r="O52" s="64">
        <v>0</v>
      </c>
      <c r="P52" s="64">
        <v>0.51</v>
      </c>
      <c r="Q52" s="64">
        <v>7.12</v>
      </c>
      <c r="R52" s="198"/>
      <c r="S52" s="198"/>
      <c r="T52" s="198"/>
      <c r="U52" s="198"/>
    </row>
    <row r="53" spans="1:21" s="12" customFormat="1" x14ac:dyDescent="0.25">
      <c r="A53" s="214" t="s">
        <v>2020</v>
      </c>
      <c r="B53" s="64">
        <v>9.4</v>
      </c>
      <c r="C53" s="64">
        <v>69.89</v>
      </c>
      <c r="D53" s="64">
        <v>46.76</v>
      </c>
      <c r="E53" s="64">
        <v>1.66</v>
      </c>
      <c r="F53" s="64">
        <v>33</v>
      </c>
      <c r="G53" s="64">
        <v>66.19</v>
      </c>
      <c r="H53" s="64">
        <v>41.92</v>
      </c>
      <c r="I53" s="64">
        <v>1.5</v>
      </c>
      <c r="J53" s="64">
        <v>0.96</v>
      </c>
      <c r="K53" s="64">
        <v>341.5</v>
      </c>
      <c r="L53" s="64">
        <v>23.1</v>
      </c>
      <c r="M53" s="64">
        <v>26.92</v>
      </c>
      <c r="N53" s="64">
        <v>713.1</v>
      </c>
      <c r="O53" s="64">
        <v>0</v>
      </c>
      <c r="P53" s="64">
        <v>0.54</v>
      </c>
      <c r="Q53" s="64">
        <v>6.24</v>
      </c>
      <c r="R53" s="198"/>
      <c r="S53" s="198"/>
      <c r="T53" s="198"/>
      <c r="U53" s="198"/>
    </row>
    <row r="54" spans="1:21" s="12" customFormat="1" x14ac:dyDescent="0.25">
      <c r="A54" s="214" t="s">
        <v>2021</v>
      </c>
      <c r="B54" s="64">
        <v>8.0399999999999991</v>
      </c>
      <c r="C54" s="64">
        <v>69.52</v>
      </c>
      <c r="D54" s="64">
        <v>45.46</v>
      </c>
      <c r="E54" s="64">
        <v>1.55</v>
      </c>
      <c r="F54" s="64">
        <v>36.659999999999997</v>
      </c>
      <c r="G54" s="64">
        <v>66.19</v>
      </c>
      <c r="H54" s="64">
        <v>41.92</v>
      </c>
      <c r="I54" s="64">
        <v>1.53</v>
      </c>
      <c r="J54" s="64">
        <v>0.87</v>
      </c>
      <c r="K54" s="64">
        <v>346.1</v>
      </c>
      <c r="L54" s="64">
        <v>23.52</v>
      </c>
      <c r="M54" s="64">
        <v>25.65</v>
      </c>
      <c r="N54" s="64">
        <v>717.1</v>
      </c>
      <c r="O54" s="64">
        <v>0</v>
      </c>
      <c r="P54" s="64">
        <v>0.52</v>
      </c>
      <c r="Q54" s="64">
        <v>6.17</v>
      </c>
      <c r="R54" s="198"/>
      <c r="S54" s="198"/>
      <c r="T54" s="198"/>
      <c r="U54" s="198"/>
    </row>
    <row r="55" spans="1:21" s="12" customFormat="1" x14ac:dyDescent="0.25">
      <c r="A55" s="214" t="s">
        <v>2022</v>
      </c>
      <c r="B55" s="64">
        <v>6.78</v>
      </c>
      <c r="C55" s="64">
        <v>68.56</v>
      </c>
      <c r="D55" s="64">
        <v>43.92</v>
      </c>
      <c r="E55" s="64">
        <v>1.61</v>
      </c>
      <c r="F55" s="64">
        <v>37.71</v>
      </c>
      <c r="G55" s="64">
        <v>64.33</v>
      </c>
      <c r="H55" s="64">
        <v>40.549999999999997</v>
      </c>
      <c r="I55" s="64">
        <v>1.46</v>
      </c>
      <c r="J55" s="64">
        <v>0.88</v>
      </c>
      <c r="K55" s="64">
        <v>340.08</v>
      </c>
      <c r="L55" s="64">
        <v>23.67</v>
      </c>
      <c r="M55" s="64">
        <v>24.75</v>
      </c>
      <c r="N55" s="64">
        <v>747.6</v>
      </c>
      <c r="O55" s="64">
        <v>0</v>
      </c>
      <c r="P55" s="64">
        <v>0.53</v>
      </c>
      <c r="Q55" s="64">
        <v>6.16</v>
      </c>
      <c r="R55" s="198"/>
      <c r="S55" s="198"/>
      <c r="T55" s="198"/>
      <c r="U55" s="198"/>
    </row>
    <row r="56" spans="1:21" s="12" customFormat="1" x14ac:dyDescent="0.25">
      <c r="A56" s="214" t="s">
        <v>2023</v>
      </c>
      <c r="B56" s="64">
        <v>5.9</v>
      </c>
      <c r="C56" s="64">
        <v>67.8</v>
      </c>
      <c r="D56" s="64">
        <v>42.8</v>
      </c>
      <c r="E56" s="64">
        <v>0.9</v>
      </c>
      <c r="F56" s="64">
        <v>26.4</v>
      </c>
      <c r="G56" s="64">
        <v>57.39</v>
      </c>
      <c r="H56" s="64">
        <v>36.81</v>
      </c>
      <c r="I56" s="64">
        <v>1.51</v>
      </c>
      <c r="J56" s="64">
        <v>0.21</v>
      </c>
      <c r="K56" s="64">
        <v>43.12</v>
      </c>
      <c r="L56" s="64">
        <v>23.69</v>
      </c>
      <c r="M56" s="64">
        <v>25.2</v>
      </c>
      <c r="N56" s="64">
        <v>733.3</v>
      </c>
      <c r="O56" s="64">
        <v>0</v>
      </c>
      <c r="P56" s="64">
        <v>0.56999999999999995</v>
      </c>
      <c r="Q56" s="64">
        <v>5.74</v>
      </c>
      <c r="R56" s="198"/>
      <c r="S56" s="198"/>
      <c r="T56" s="198"/>
      <c r="U56" s="198"/>
    </row>
    <row r="57" spans="1:21" s="12" customFormat="1" x14ac:dyDescent="0.25">
      <c r="A57" s="214" t="s">
        <v>2024</v>
      </c>
      <c r="B57" s="64">
        <v>5.32</v>
      </c>
      <c r="C57" s="64">
        <v>66.849999999999994</v>
      </c>
      <c r="D57" s="64">
        <v>41.8</v>
      </c>
      <c r="E57" s="64">
        <v>0.94</v>
      </c>
      <c r="F57" s="64">
        <v>12.41</v>
      </c>
      <c r="G57" s="64">
        <v>57.39</v>
      </c>
      <c r="H57" s="64">
        <v>36.81</v>
      </c>
      <c r="I57" s="64">
        <v>1.47</v>
      </c>
      <c r="J57" s="64">
        <v>1.18</v>
      </c>
      <c r="K57" s="64">
        <v>108.63</v>
      </c>
      <c r="L57" s="64">
        <v>20.82</v>
      </c>
      <c r="M57" s="64">
        <v>28.64</v>
      </c>
      <c r="N57" s="64">
        <v>697</v>
      </c>
      <c r="O57" s="64">
        <v>0</v>
      </c>
      <c r="P57" s="64">
        <v>0.55000000000000004</v>
      </c>
      <c r="Q57" s="64">
        <v>5.67</v>
      </c>
      <c r="R57" s="198"/>
      <c r="S57" s="198"/>
      <c r="T57" s="198"/>
      <c r="U57" s="198"/>
    </row>
    <row r="58" spans="1:21" s="12" customFormat="1" x14ac:dyDescent="0.25">
      <c r="A58" s="214" t="s">
        <v>2025</v>
      </c>
      <c r="B58" s="64">
        <v>4.55</v>
      </c>
      <c r="C58" s="64">
        <v>64.88</v>
      </c>
      <c r="D58" s="64">
        <v>40.1</v>
      </c>
      <c r="E58" s="64">
        <v>0.91</v>
      </c>
      <c r="F58" s="64">
        <v>12.55</v>
      </c>
      <c r="G58" s="64">
        <v>57.39</v>
      </c>
      <c r="H58" s="64">
        <v>36.81</v>
      </c>
      <c r="I58" s="64">
        <v>1.47</v>
      </c>
      <c r="J58" s="64">
        <v>0.8</v>
      </c>
      <c r="K58" s="64">
        <v>98.64</v>
      </c>
      <c r="L58" s="64">
        <v>20.66</v>
      </c>
      <c r="M58" s="64">
        <v>29.08</v>
      </c>
      <c r="N58" s="64">
        <v>674.5</v>
      </c>
      <c r="O58" s="64">
        <v>0</v>
      </c>
      <c r="P58" s="64">
        <v>0.53</v>
      </c>
      <c r="Q58" s="64">
        <v>5.83</v>
      </c>
      <c r="R58" s="198"/>
      <c r="S58" s="198"/>
      <c r="T58" s="198"/>
      <c r="U58" s="198"/>
    </row>
    <row r="59" spans="1:21" s="12" customFormat="1" x14ac:dyDescent="0.25">
      <c r="A59" s="214" t="s">
        <v>2026</v>
      </c>
      <c r="B59" s="64">
        <v>3.85</v>
      </c>
      <c r="C59" s="64">
        <v>62.92</v>
      </c>
      <c r="D59" s="64">
        <v>38.450000000000003</v>
      </c>
      <c r="E59" s="64">
        <v>1.6</v>
      </c>
      <c r="F59" s="64">
        <v>23.45</v>
      </c>
      <c r="G59" s="64">
        <v>55.43</v>
      </c>
      <c r="H59" s="64">
        <v>35.49</v>
      </c>
      <c r="I59" s="64">
        <v>1.52</v>
      </c>
      <c r="J59" s="64">
        <v>0.38</v>
      </c>
      <c r="K59" s="64">
        <v>76.61</v>
      </c>
      <c r="L59" s="64">
        <v>22.08</v>
      </c>
      <c r="M59" s="64">
        <v>28.29</v>
      </c>
      <c r="N59" s="64">
        <v>659.8</v>
      </c>
      <c r="O59" s="64">
        <v>0</v>
      </c>
      <c r="P59" s="64">
        <v>0.51</v>
      </c>
      <c r="Q59" s="64">
        <v>5.44</v>
      </c>
      <c r="R59" s="198"/>
      <c r="S59" s="198"/>
      <c r="T59" s="198"/>
      <c r="U59" s="198"/>
    </row>
    <row r="60" spans="1:21" s="12" customFormat="1" x14ac:dyDescent="0.25">
      <c r="A60" s="214" t="s">
        <v>2027</v>
      </c>
      <c r="B60" s="64">
        <v>3.57</v>
      </c>
      <c r="C60" s="64">
        <v>61.35</v>
      </c>
      <c r="D60" s="64">
        <v>37.369999999999997</v>
      </c>
      <c r="E60" s="64">
        <v>3.48</v>
      </c>
      <c r="F60" s="64">
        <v>37.85</v>
      </c>
      <c r="G60" s="64">
        <v>48.11</v>
      </c>
      <c r="H60" s="64">
        <v>29.61</v>
      </c>
      <c r="I60" s="64">
        <v>1.45</v>
      </c>
      <c r="J60" s="64">
        <v>0.5</v>
      </c>
      <c r="K60" s="64">
        <v>352.04</v>
      </c>
      <c r="L60" s="64">
        <v>22.23</v>
      </c>
      <c r="M60" s="64">
        <v>28.06</v>
      </c>
      <c r="N60" s="64">
        <v>615.79999999999995</v>
      </c>
      <c r="O60" s="64">
        <v>0</v>
      </c>
      <c r="P60" s="64">
        <v>0.5</v>
      </c>
      <c r="Q60" s="64">
        <v>4.87</v>
      </c>
      <c r="R60" s="198"/>
      <c r="S60" s="198"/>
      <c r="T60" s="198"/>
      <c r="U60" s="198"/>
    </row>
    <row r="61" spans="1:21" s="12" customFormat="1" x14ac:dyDescent="0.25">
      <c r="A61" s="214" t="s">
        <v>2028</v>
      </c>
      <c r="B61" s="64">
        <v>3.82</v>
      </c>
      <c r="C61" s="64">
        <v>61.05</v>
      </c>
      <c r="D61" s="64">
        <v>37.4</v>
      </c>
      <c r="E61" s="64">
        <v>6.41</v>
      </c>
      <c r="F61" s="64">
        <v>40.49</v>
      </c>
      <c r="G61" s="64">
        <v>48.11</v>
      </c>
      <c r="H61" s="64">
        <v>29.61</v>
      </c>
      <c r="I61" s="64">
        <v>1.5</v>
      </c>
      <c r="J61" s="64">
        <v>0.69</v>
      </c>
      <c r="K61" s="64">
        <v>340.37</v>
      </c>
      <c r="L61" s="64">
        <v>24.63</v>
      </c>
      <c r="M61" s="64">
        <v>24.26</v>
      </c>
      <c r="N61" s="64">
        <v>574.70000000000005</v>
      </c>
      <c r="O61" s="64">
        <v>0</v>
      </c>
      <c r="P61" s="64">
        <v>0.63</v>
      </c>
      <c r="Q61" s="64">
        <v>3.39</v>
      </c>
      <c r="R61" s="198"/>
      <c r="S61" s="198"/>
      <c r="T61" s="198"/>
      <c r="U61" s="198"/>
    </row>
    <row r="62" spans="1:21" s="12" customFormat="1" x14ac:dyDescent="0.25">
      <c r="A62" s="214" t="s">
        <v>2029</v>
      </c>
      <c r="B62" s="64">
        <v>3.95</v>
      </c>
      <c r="C62" s="64">
        <v>61.41</v>
      </c>
      <c r="D62" s="64">
        <v>37.71</v>
      </c>
      <c r="E62" s="64">
        <v>5.09</v>
      </c>
      <c r="F62" s="64">
        <v>32.29</v>
      </c>
      <c r="G62" s="64">
        <v>48.11</v>
      </c>
      <c r="H62" s="64">
        <v>29.61</v>
      </c>
      <c r="I62" s="64">
        <v>1.56</v>
      </c>
      <c r="J62" s="64">
        <v>0.36</v>
      </c>
      <c r="K62" s="64">
        <v>67.400000000000006</v>
      </c>
      <c r="L62" s="64">
        <v>22.92</v>
      </c>
      <c r="M62" s="64">
        <v>26.37</v>
      </c>
      <c r="N62" s="64">
        <v>541.5</v>
      </c>
      <c r="O62" s="64">
        <v>0</v>
      </c>
      <c r="P62" s="64">
        <v>0.67</v>
      </c>
      <c r="Q62" s="64">
        <v>3.26</v>
      </c>
      <c r="R62" s="198"/>
      <c r="S62" s="198"/>
      <c r="T62" s="198"/>
      <c r="U62" s="198"/>
    </row>
    <row r="63" spans="1:21" s="12" customFormat="1" x14ac:dyDescent="0.25">
      <c r="A63" s="214" t="s">
        <v>2030</v>
      </c>
      <c r="B63" s="64">
        <v>4.12</v>
      </c>
      <c r="C63" s="64">
        <v>61.55</v>
      </c>
      <c r="D63" s="64">
        <v>37.92</v>
      </c>
      <c r="E63" s="64">
        <v>4.84</v>
      </c>
      <c r="F63" s="64">
        <v>40.18</v>
      </c>
      <c r="G63" s="64">
        <v>49.65</v>
      </c>
      <c r="H63" s="64">
        <v>29.96</v>
      </c>
      <c r="I63" s="64">
        <v>1.54</v>
      </c>
      <c r="J63" s="64">
        <v>0.82</v>
      </c>
      <c r="K63" s="64">
        <v>332.66</v>
      </c>
      <c r="L63" s="64">
        <v>23.27</v>
      </c>
      <c r="M63" s="64">
        <v>25.68</v>
      </c>
      <c r="N63" s="64">
        <v>461</v>
      </c>
      <c r="O63" s="64">
        <v>0</v>
      </c>
      <c r="P63" s="64">
        <v>0.76</v>
      </c>
      <c r="Q63" s="64">
        <v>3.2</v>
      </c>
      <c r="R63" s="198"/>
      <c r="S63" s="198"/>
      <c r="T63" s="198"/>
      <c r="U63" s="198"/>
    </row>
    <row r="64" spans="1:21" s="12" customFormat="1" x14ac:dyDescent="0.25">
      <c r="A64" s="214" t="s">
        <v>2031</v>
      </c>
      <c r="B64" s="64">
        <v>4.34</v>
      </c>
      <c r="C64" s="64">
        <v>62.36</v>
      </c>
      <c r="D64" s="64">
        <v>38.54</v>
      </c>
      <c r="E64" s="64">
        <v>6.4</v>
      </c>
      <c r="F64" s="64">
        <v>35.39</v>
      </c>
      <c r="G64" s="64">
        <v>55.4</v>
      </c>
      <c r="H64" s="64">
        <v>30.9</v>
      </c>
      <c r="I64" s="64">
        <v>1.49</v>
      </c>
      <c r="J64" s="64">
        <v>0.49</v>
      </c>
      <c r="K64" s="64">
        <v>357.35</v>
      </c>
      <c r="L64" s="64">
        <v>23.36</v>
      </c>
      <c r="M64" s="64">
        <v>24.86</v>
      </c>
      <c r="N64" s="64">
        <v>252.5</v>
      </c>
      <c r="O64" s="64">
        <v>0</v>
      </c>
      <c r="P64" s="64">
        <v>0.75</v>
      </c>
      <c r="Q64" s="64">
        <v>2.5099999999999998</v>
      </c>
      <c r="R64" s="198"/>
      <c r="S64" s="198"/>
      <c r="T64" s="198"/>
      <c r="U64" s="198"/>
    </row>
    <row r="65" spans="1:21" s="12" customFormat="1" x14ac:dyDescent="0.25">
      <c r="A65" s="214" t="s">
        <v>2032</v>
      </c>
      <c r="B65" s="64">
        <v>4.41</v>
      </c>
      <c r="C65" s="64">
        <v>62.88</v>
      </c>
      <c r="D65" s="64">
        <v>38.89</v>
      </c>
      <c r="E65" s="64">
        <v>7.7</v>
      </c>
      <c r="F65" s="64">
        <v>45.26</v>
      </c>
      <c r="G65" s="64">
        <v>55.4</v>
      </c>
      <c r="H65" s="64">
        <v>30.9</v>
      </c>
      <c r="I65" s="64">
        <v>1.48</v>
      </c>
      <c r="J65" s="64">
        <v>1.06</v>
      </c>
      <c r="K65" s="64">
        <v>343.16</v>
      </c>
      <c r="L65" s="64">
        <v>23.64</v>
      </c>
      <c r="M65" s="64">
        <v>23.12</v>
      </c>
      <c r="N65" s="64">
        <v>214.3</v>
      </c>
      <c r="O65" s="64">
        <v>0</v>
      </c>
      <c r="P65" s="64">
        <v>0.75</v>
      </c>
      <c r="Q65" s="64">
        <v>3.26</v>
      </c>
      <c r="R65" s="198"/>
      <c r="S65" s="198"/>
      <c r="T65" s="198"/>
      <c r="U65" s="198"/>
    </row>
    <row r="66" spans="1:21" s="12" customFormat="1" x14ac:dyDescent="0.25">
      <c r="A66" s="214" t="s">
        <v>2033</v>
      </c>
      <c r="B66" s="64">
        <v>4.38</v>
      </c>
      <c r="C66" s="64">
        <v>63.81</v>
      </c>
      <c r="D66" s="64">
        <v>39.369999999999997</v>
      </c>
      <c r="E66" s="64">
        <v>6.76</v>
      </c>
      <c r="F66" s="64">
        <v>31.99</v>
      </c>
      <c r="G66" s="64">
        <v>55.4</v>
      </c>
      <c r="H66" s="64">
        <v>30.9</v>
      </c>
      <c r="I66" s="64">
        <v>1.44</v>
      </c>
      <c r="J66" s="64">
        <v>0.45</v>
      </c>
      <c r="K66" s="64">
        <v>339.06</v>
      </c>
      <c r="L66" s="64">
        <v>23.38</v>
      </c>
      <c r="M66" s="64">
        <v>24.85</v>
      </c>
      <c r="N66" s="64">
        <v>198.6</v>
      </c>
      <c r="O66" s="64">
        <v>0</v>
      </c>
      <c r="P66" s="64">
        <v>0.77</v>
      </c>
      <c r="Q66" s="64">
        <v>2.5499999999999998</v>
      </c>
      <c r="R66" s="198"/>
      <c r="S66" s="198"/>
      <c r="T66" s="198"/>
      <c r="U66" s="198"/>
    </row>
    <row r="67" spans="1:21" s="12" customFormat="1" x14ac:dyDescent="0.25">
      <c r="A67" s="214" t="s">
        <v>2034</v>
      </c>
      <c r="B67" s="64">
        <v>4.6100000000000003</v>
      </c>
      <c r="C67" s="64">
        <v>64.78</v>
      </c>
      <c r="D67" s="64">
        <v>40.090000000000003</v>
      </c>
      <c r="E67" s="64">
        <v>7.08</v>
      </c>
      <c r="F67" s="64">
        <v>38.69</v>
      </c>
      <c r="G67" s="64">
        <v>57.89</v>
      </c>
      <c r="H67" s="64">
        <v>31.24</v>
      </c>
      <c r="I67" s="64">
        <v>1.5</v>
      </c>
      <c r="J67" s="64">
        <v>1.1200000000000001</v>
      </c>
      <c r="K67" s="64">
        <v>334.96</v>
      </c>
      <c r="L67" s="64">
        <v>23.22</v>
      </c>
      <c r="M67" s="64">
        <v>25.68</v>
      </c>
      <c r="N67" s="64">
        <v>220.5</v>
      </c>
      <c r="O67" s="64">
        <v>0</v>
      </c>
      <c r="P67" s="64">
        <v>0.78</v>
      </c>
      <c r="Q67" s="64">
        <v>1.31</v>
      </c>
      <c r="R67" s="198"/>
      <c r="S67" s="198"/>
      <c r="T67" s="198"/>
      <c r="U67" s="198"/>
    </row>
    <row r="68" spans="1:21" s="12" customFormat="1" x14ac:dyDescent="0.25">
      <c r="A68" s="214" t="s">
        <v>2035</v>
      </c>
      <c r="B68" s="64">
        <v>4.74</v>
      </c>
      <c r="C68" s="64">
        <v>66.239999999999995</v>
      </c>
      <c r="D68" s="64">
        <v>41</v>
      </c>
      <c r="E68" s="64">
        <v>5.79</v>
      </c>
      <c r="F68" s="64">
        <v>31.33</v>
      </c>
      <c r="G68" s="64">
        <v>67.83</v>
      </c>
      <c r="H68" s="64">
        <v>32.15</v>
      </c>
      <c r="I68" s="64">
        <v>1.44</v>
      </c>
      <c r="J68" s="64">
        <v>0.45</v>
      </c>
      <c r="K68" s="64">
        <v>326.47000000000003</v>
      </c>
      <c r="L68" s="64">
        <v>22.35</v>
      </c>
      <c r="M68" s="64">
        <v>26.37</v>
      </c>
      <c r="N68" s="64">
        <v>177</v>
      </c>
      <c r="O68" s="64">
        <v>0</v>
      </c>
      <c r="P68" s="64">
        <v>0.72</v>
      </c>
      <c r="Q68" s="64">
        <v>2.25</v>
      </c>
      <c r="R68" s="198"/>
      <c r="S68" s="198"/>
      <c r="T68" s="198"/>
      <c r="U68" s="198"/>
    </row>
    <row r="69" spans="1:21" s="12" customFormat="1" x14ac:dyDescent="0.25">
      <c r="A69" s="214" t="s">
        <v>2036</v>
      </c>
      <c r="B69" s="64">
        <v>4.93</v>
      </c>
      <c r="C69" s="64">
        <v>67.36</v>
      </c>
      <c r="D69" s="64">
        <v>41.77</v>
      </c>
      <c r="E69" s="64">
        <v>5.9</v>
      </c>
      <c r="F69" s="64">
        <v>36.880000000000003</v>
      </c>
      <c r="G69" s="64">
        <v>67.83</v>
      </c>
      <c r="H69" s="64">
        <v>32.15</v>
      </c>
      <c r="I69" s="64">
        <v>1.53</v>
      </c>
      <c r="J69" s="64">
        <v>0.83</v>
      </c>
      <c r="K69" s="64">
        <v>341.27</v>
      </c>
      <c r="L69" s="64">
        <v>22.11</v>
      </c>
      <c r="M69" s="64">
        <v>25.22</v>
      </c>
      <c r="N69" s="64">
        <v>148.19999999999999</v>
      </c>
      <c r="O69" s="64">
        <v>0</v>
      </c>
      <c r="P69" s="64">
        <v>0.72</v>
      </c>
      <c r="Q69" s="64">
        <v>2.23</v>
      </c>
      <c r="R69" s="198"/>
      <c r="S69" s="198"/>
      <c r="T69" s="198"/>
      <c r="U69" s="198"/>
    </row>
    <row r="70" spans="1:21" s="12" customFormat="1" x14ac:dyDescent="0.25">
      <c r="A70" s="214" t="s">
        <v>2037</v>
      </c>
      <c r="B70" s="64">
        <v>5.09</v>
      </c>
      <c r="C70" s="64">
        <v>68.19</v>
      </c>
      <c r="D70" s="64">
        <v>42.36</v>
      </c>
      <c r="E70" s="64">
        <v>6.84</v>
      </c>
      <c r="F70" s="64">
        <v>31.14</v>
      </c>
      <c r="G70" s="64">
        <v>67.83</v>
      </c>
      <c r="H70" s="64">
        <v>32.15</v>
      </c>
      <c r="I70" s="64">
        <v>1.44</v>
      </c>
      <c r="J70" s="64">
        <v>0.76</v>
      </c>
      <c r="K70" s="64">
        <v>337.68</v>
      </c>
      <c r="L70" s="64">
        <v>21.56</v>
      </c>
      <c r="M70" s="64">
        <v>25.95</v>
      </c>
      <c r="N70" s="64">
        <v>141</v>
      </c>
      <c r="O70" s="64">
        <v>0</v>
      </c>
      <c r="P70" s="64">
        <v>0.95</v>
      </c>
      <c r="Q70" s="64">
        <v>1.85</v>
      </c>
      <c r="R70" s="198"/>
      <c r="S70" s="198"/>
      <c r="T70" s="198"/>
      <c r="U70" s="198"/>
    </row>
    <row r="71" spans="1:21" s="12" customFormat="1" x14ac:dyDescent="0.25">
      <c r="A71" s="214" t="s">
        <v>2038</v>
      </c>
      <c r="B71" s="64">
        <v>5.33</v>
      </c>
      <c r="C71" s="64">
        <v>69.069999999999993</v>
      </c>
      <c r="D71" s="64">
        <v>43.04</v>
      </c>
      <c r="E71" s="64">
        <v>5.82</v>
      </c>
      <c r="F71" s="64">
        <v>36.47</v>
      </c>
      <c r="G71" s="64">
        <v>71.33</v>
      </c>
      <c r="H71" s="64">
        <v>32.67</v>
      </c>
      <c r="I71" s="64">
        <v>1.52</v>
      </c>
      <c r="J71" s="64">
        <v>0.59</v>
      </c>
      <c r="K71" s="64">
        <v>334.71</v>
      </c>
      <c r="L71" s="64">
        <v>21.3</v>
      </c>
      <c r="M71" s="64">
        <v>26.19</v>
      </c>
      <c r="N71" s="64">
        <v>155.30000000000001</v>
      </c>
      <c r="O71" s="64">
        <v>0</v>
      </c>
      <c r="P71" s="64">
        <v>0.8</v>
      </c>
      <c r="Q71" s="64">
        <v>2.15</v>
      </c>
      <c r="R71" s="198"/>
      <c r="S71" s="198"/>
      <c r="T71" s="198"/>
      <c r="U71" s="198"/>
    </row>
    <row r="72" spans="1:21" s="12" customFormat="1" x14ac:dyDescent="0.25">
      <c r="A72" s="214" t="s">
        <v>2039</v>
      </c>
      <c r="B72" s="64">
        <v>5.39</v>
      </c>
      <c r="C72" s="64">
        <v>69.39</v>
      </c>
      <c r="D72" s="64">
        <v>43.26</v>
      </c>
      <c r="E72" s="64">
        <v>3.79</v>
      </c>
      <c r="F72" s="64">
        <v>33.58</v>
      </c>
      <c r="G72" s="64">
        <v>84.4</v>
      </c>
      <c r="H72" s="64">
        <v>34.06</v>
      </c>
      <c r="I72" s="64">
        <v>1.52</v>
      </c>
      <c r="J72" s="64">
        <v>0.72</v>
      </c>
      <c r="K72" s="64">
        <v>341.33</v>
      </c>
      <c r="L72" s="64">
        <v>21.06</v>
      </c>
      <c r="M72" s="64">
        <v>25.11</v>
      </c>
      <c r="N72" s="64">
        <v>138.5</v>
      </c>
      <c r="O72" s="64">
        <v>0</v>
      </c>
      <c r="P72" s="64">
        <v>0.78</v>
      </c>
      <c r="Q72" s="64">
        <v>2.62</v>
      </c>
      <c r="R72" s="198"/>
      <c r="S72" s="198"/>
      <c r="T72" s="198"/>
      <c r="U72" s="198"/>
    </row>
    <row r="73" spans="1:21" s="12" customFormat="1" x14ac:dyDescent="0.25">
      <c r="A73" s="214" t="s">
        <v>2040</v>
      </c>
      <c r="B73" s="64">
        <v>5.7</v>
      </c>
      <c r="C73" s="64">
        <v>71.14</v>
      </c>
      <c r="D73" s="64">
        <v>44.48</v>
      </c>
      <c r="E73" s="64">
        <v>5.29</v>
      </c>
      <c r="F73" s="64">
        <v>18.170000000000002</v>
      </c>
      <c r="G73" s="64">
        <v>84.4</v>
      </c>
      <c r="H73" s="64">
        <v>34.06</v>
      </c>
      <c r="I73" s="64">
        <v>1.43</v>
      </c>
      <c r="J73" s="64">
        <v>0.76</v>
      </c>
      <c r="K73" s="64">
        <v>344.91</v>
      </c>
      <c r="L73" s="64">
        <v>20.71</v>
      </c>
      <c r="M73" s="64">
        <v>25</v>
      </c>
      <c r="N73" s="64">
        <v>108.5</v>
      </c>
      <c r="O73" s="64">
        <v>0</v>
      </c>
      <c r="P73" s="64">
        <v>0.91</v>
      </c>
      <c r="Q73" s="64">
        <v>1.46</v>
      </c>
      <c r="R73" s="198"/>
      <c r="S73" s="198"/>
      <c r="T73" s="198"/>
      <c r="U73" s="198"/>
    </row>
    <row r="74" spans="1:21" s="12" customFormat="1" x14ac:dyDescent="0.25">
      <c r="A74" s="214" t="s">
        <v>2041</v>
      </c>
      <c r="B74" s="64">
        <v>6.45</v>
      </c>
      <c r="C74" s="64">
        <v>73.23</v>
      </c>
      <c r="D74" s="64">
        <v>46.23</v>
      </c>
      <c r="E74" s="64">
        <v>5.45</v>
      </c>
      <c r="F74" s="64">
        <v>19.36</v>
      </c>
      <c r="G74" s="64">
        <v>84.4</v>
      </c>
      <c r="H74" s="64">
        <v>34.06</v>
      </c>
      <c r="I74" s="64">
        <v>1.47</v>
      </c>
      <c r="J74" s="64">
        <v>0.68</v>
      </c>
      <c r="K74" s="64">
        <v>350.13</v>
      </c>
      <c r="L74" s="64">
        <v>20.25</v>
      </c>
      <c r="M74" s="64">
        <v>25.87</v>
      </c>
      <c r="N74" s="64">
        <v>99.1</v>
      </c>
      <c r="O74" s="64">
        <v>0</v>
      </c>
      <c r="P74" s="64">
        <v>0.96</v>
      </c>
      <c r="Q74" s="64">
        <v>1.1499999999999999</v>
      </c>
      <c r="R74" s="198"/>
      <c r="S74" s="198"/>
      <c r="T74" s="198"/>
      <c r="U74" s="198"/>
    </row>
    <row r="75" spans="1:21" s="12" customFormat="1" x14ac:dyDescent="0.25">
      <c r="A75" s="214" t="s">
        <v>2042</v>
      </c>
      <c r="B75" s="64">
        <v>7.52</v>
      </c>
      <c r="C75" s="64">
        <v>75.44</v>
      </c>
      <c r="D75" s="64">
        <v>48.31</v>
      </c>
      <c r="E75" s="64">
        <v>4.04</v>
      </c>
      <c r="F75" s="64">
        <v>13.68</v>
      </c>
      <c r="G75" s="64">
        <v>84.59</v>
      </c>
      <c r="H75" s="64">
        <v>34.619999999999997</v>
      </c>
      <c r="I75" s="64">
        <v>1.5</v>
      </c>
      <c r="J75" s="64">
        <v>0.5</v>
      </c>
      <c r="K75" s="64">
        <v>335.9</v>
      </c>
      <c r="L75" s="64">
        <v>19.760000000000002</v>
      </c>
      <c r="M75" s="64">
        <v>27.29</v>
      </c>
      <c r="N75" s="64">
        <v>90.1</v>
      </c>
      <c r="O75" s="64">
        <v>0</v>
      </c>
      <c r="P75" s="64">
        <v>0.98</v>
      </c>
      <c r="Q75" s="64">
        <v>1.36</v>
      </c>
      <c r="R75" s="198"/>
      <c r="S75" s="198"/>
      <c r="T75" s="198"/>
      <c r="U75" s="198"/>
    </row>
    <row r="76" spans="1:21" s="12" customFormat="1" x14ac:dyDescent="0.25">
      <c r="A76" s="214" t="s">
        <v>2043</v>
      </c>
      <c r="B76" s="64">
        <v>8.14</v>
      </c>
      <c r="C76" s="64">
        <v>76.680000000000007</v>
      </c>
      <c r="D76" s="64">
        <v>49.49</v>
      </c>
      <c r="E76" s="64">
        <v>3.31</v>
      </c>
      <c r="F76" s="64">
        <v>15.87</v>
      </c>
      <c r="G76" s="64">
        <v>85.33</v>
      </c>
      <c r="H76" s="64">
        <v>37.07</v>
      </c>
      <c r="I76" s="64">
        <v>1.46</v>
      </c>
      <c r="J76" s="64">
        <v>0.48</v>
      </c>
      <c r="K76" s="64">
        <v>347.43</v>
      </c>
      <c r="L76" s="64">
        <v>19.03</v>
      </c>
      <c r="M76" s="64">
        <v>28.92</v>
      </c>
      <c r="N76" s="64">
        <v>79.099999999999994</v>
      </c>
      <c r="O76" s="64">
        <v>0</v>
      </c>
      <c r="P76" s="64">
        <v>1.08</v>
      </c>
      <c r="Q76" s="64">
        <v>2.5299999999999998</v>
      </c>
      <c r="R76" s="198"/>
      <c r="S76" s="198"/>
      <c r="T76" s="198"/>
      <c r="U76" s="198"/>
    </row>
    <row r="77" spans="1:21" s="12" customFormat="1" x14ac:dyDescent="0.25">
      <c r="A77" s="214" t="s">
        <v>2044</v>
      </c>
      <c r="B77" s="64">
        <v>10.050000000000001</v>
      </c>
      <c r="C77" s="64">
        <v>78.489999999999995</v>
      </c>
      <c r="D77" s="64">
        <v>52.02</v>
      </c>
      <c r="E77" s="64">
        <v>2.23</v>
      </c>
      <c r="F77" s="64">
        <v>6.86</v>
      </c>
      <c r="G77" s="64">
        <v>85.33</v>
      </c>
      <c r="H77" s="64">
        <v>37.07</v>
      </c>
      <c r="I77" s="64">
        <v>1.52</v>
      </c>
      <c r="J77" s="64">
        <v>0.36</v>
      </c>
      <c r="K77" s="64">
        <v>340.05</v>
      </c>
      <c r="L77" s="64">
        <v>18.100000000000001</v>
      </c>
      <c r="M77" s="64">
        <v>31.12</v>
      </c>
      <c r="N77" s="64">
        <v>76.3</v>
      </c>
      <c r="O77" s="64">
        <v>0</v>
      </c>
      <c r="P77" s="64">
        <v>1.26</v>
      </c>
      <c r="Q77" s="64">
        <v>0.59</v>
      </c>
      <c r="R77" s="198"/>
      <c r="S77" s="198"/>
      <c r="T77" s="198"/>
      <c r="U77" s="198"/>
    </row>
    <row r="78" spans="1:21" s="12" customFormat="1" x14ac:dyDescent="0.25">
      <c r="A78" s="214" t="s">
        <v>2045</v>
      </c>
      <c r="B78" s="64">
        <v>13.13</v>
      </c>
      <c r="C78" s="64">
        <v>80.38</v>
      </c>
      <c r="D78" s="64">
        <v>55.53</v>
      </c>
      <c r="E78" s="64">
        <v>1.73</v>
      </c>
      <c r="F78" s="64">
        <v>4.2</v>
      </c>
      <c r="G78" s="64">
        <v>85.33</v>
      </c>
      <c r="H78" s="64">
        <v>37.07</v>
      </c>
      <c r="I78" s="64">
        <v>1.46</v>
      </c>
      <c r="J78" s="64">
        <v>7.0000000000000007E-2</v>
      </c>
      <c r="K78" s="64">
        <v>14.99</v>
      </c>
      <c r="L78" s="64">
        <v>17.21</v>
      </c>
      <c r="M78" s="64">
        <v>44.71</v>
      </c>
      <c r="N78" s="64">
        <v>64.8</v>
      </c>
      <c r="O78" s="64">
        <v>0</v>
      </c>
      <c r="P78" s="64">
        <v>1.38</v>
      </c>
      <c r="Q78" s="64">
        <v>1.45</v>
      </c>
      <c r="R78" s="198"/>
      <c r="S78" s="198"/>
      <c r="T78" s="198"/>
      <c r="U78" s="198"/>
    </row>
    <row r="79" spans="1:21" s="12" customFormat="1" x14ac:dyDescent="0.25">
      <c r="A79" s="214" t="s">
        <v>2046</v>
      </c>
      <c r="B79" s="64">
        <v>16.13</v>
      </c>
      <c r="C79" s="64">
        <v>82.03</v>
      </c>
      <c r="D79" s="64">
        <v>58.85</v>
      </c>
      <c r="E79" s="64">
        <v>1.81</v>
      </c>
      <c r="F79" s="64">
        <v>3.86</v>
      </c>
      <c r="G79" s="64">
        <v>88.36</v>
      </c>
      <c r="H79" s="64">
        <v>37.47</v>
      </c>
      <c r="I79" s="64">
        <v>1.47</v>
      </c>
      <c r="J79" s="64">
        <v>0.1</v>
      </c>
      <c r="K79" s="64">
        <v>0.85</v>
      </c>
      <c r="L79" s="64">
        <v>16.850000000000001</v>
      </c>
      <c r="M79" s="64">
        <v>49.21</v>
      </c>
      <c r="N79" s="64">
        <v>64</v>
      </c>
      <c r="O79" s="64">
        <v>0</v>
      </c>
      <c r="P79" s="64">
        <v>1.54</v>
      </c>
      <c r="Q79" s="64">
        <v>1.27</v>
      </c>
      <c r="R79" s="198"/>
      <c r="S79" s="198"/>
      <c r="T79" s="198"/>
      <c r="U79" s="198"/>
    </row>
    <row r="80" spans="1:21" s="12" customFormat="1" x14ac:dyDescent="0.25">
      <c r="A80" s="214" t="s">
        <v>2047</v>
      </c>
      <c r="B80" s="64">
        <v>19.739999999999998</v>
      </c>
      <c r="C80" s="64">
        <v>83.22</v>
      </c>
      <c r="D80" s="64">
        <v>62.41</v>
      </c>
      <c r="E80" s="64">
        <v>2.0099999999999998</v>
      </c>
      <c r="F80" s="64">
        <v>3.7</v>
      </c>
      <c r="G80" s="64">
        <v>99.7</v>
      </c>
      <c r="H80" s="64">
        <v>38.56</v>
      </c>
      <c r="I80" s="64">
        <v>1.51</v>
      </c>
      <c r="J80" s="64">
        <v>0.09</v>
      </c>
      <c r="K80" s="64">
        <v>14.24</v>
      </c>
      <c r="L80" s="64">
        <v>16.71</v>
      </c>
      <c r="M80" s="64">
        <v>50.2</v>
      </c>
      <c r="N80" s="64">
        <v>65.400000000000006</v>
      </c>
      <c r="O80" s="64">
        <v>0</v>
      </c>
      <c r="P80" s="64">
        <v>1.87</v>
      </c>
      <c r="Q80" s="64">
        <v>0.66</v>
      </c>
      <c r="R80" s="198"/>
      <c r="S80" s="198"/>
      <c r="T80" s="198"/>
      <c r="U80" s="198"/>
    </row>
    <row r="81" spans="1:26" s="12" customFormat="1" x14ac:dyDescent="0.25">
      <c r="A81" s="214" t="s">
        <v>2048</v>
      </c>
      <c r="B81" s="64">
        <v>24.09</v>
      </c>
      <c r="C81" s="64">
        <v>84.64</v>
      </c>
      <c r="D81" s="64">
        <v>66.680000000000007</v>
      </c>
      <c r="E81" s="64">
        <v>1.91</v>
      </c>
      <c r="F81" s="64">
        <v>3.82</v>
      </c>
      <c r="G81" s="64">
        <v>99.7</v>
      </c>
      <c r="H81" s="64">
        <v>38.56</v>
      </c>
      <c r="I81" s="64">
        <v>1.5</v>
      </c>
      <c r="J81" s="64">
        <v>0.19</v>
      </c>
      <c r="K81" s="64">
        <v>74.459999999999994</v>
      </c>
      <c r="L81" s="64">
        <v>16.5</v>
      </c>
      <c r="M81" s="64">
        <v>39.57</v>
      </c>
      <c r="N81" s="64">
        <v>68.8</v>
      </c>
      <c r="O81" s="64">
        <v>0</v>
      </c>
      <c r="P81" s="64">
        <v>2.0499999999999998</v>
      </c>
      <c r="Q81" s="64">
        <v>0.97</v>
      </c>
      <c r="R81" s="198"/>
      <c r="S81" s="198"/>
      <c r="T81" s="198"/>
      <c r="U81" s="198"/>
    </row>
    <row r="82" spans="1:26" s="12" customFormat="1" x14ac:dyDescent="0.25">
      <c r="A82" s="214" t="s">
        <v>2049</v>
      </c>
      <c r="B82" s="64">
        <v>27.73</v>
      </c>
      <c r="C82" s="64">
        <v>86.59</v>
      </c>
      <c r="D82" s="64">
        <v>70.67</v>
      </c>
      <c r="E82" s="64">
        <v>1.86</v>
      </c>
      <c r="F82" s="64">
        <v>3.92</v>
      </c>
      <c r="G82" s="64">
        <v>99.7</v>
      </c>
      <c r="H82" s="64">
        <v>38.56</v>
      </c>
      <c r="I82" s="64">
        <v>1.57</v>
      </c>
      <c r="J82" s="64">
        <v>0.22</v>
      </c>
      <c r="K82" s="64">
        <v>83.28</v>
      </c>
      <c r="L82" s="64">
        <v>16.62</v>
      </c>
      <c r="M82" s="64">
        <v>37.14</v>
      </c>
      <c r="N82" s="64">
        <v>89.6</v>
      </c>
      <c r="O82" s="64">
        <v>0</v>
      </c>
      <c r="P82" s="64">
        <v>2.11</v>
      </c>
      <c r="Q82" s="64">
        <v>2.34</v>
      </c>
      <c r="R82" s="198"/>
      <c r="S82" s="198"/>
      <c r="T82" s="198"/>
      <c r="U82" s="198"/>
    </row>
    <row r="83" spans="1:26" s="12" customFormat="1" x14ac:dyDescent="0.25">
      <c r="A83" s="214" t="s">
        <v>2050</v>
      </c>
      <c r="B83" s="64">
        <v>29.94</v>
      </c>
      <c r="C83" s="64">
        <v>88</v>
      </c>
      <c r="D83" s="64">
        <v>73.22</v>
      </c>
      <c r="E83" s="64">
        <v>2.16</v>
      </c>
      <c r="F83" s="64">
        <v>4.18</v>
      </c>
      <c r="G83" s="64">
        <v>117.51</v>
      </c>
      <c r="H83" s="64">
        <v>42.63</v>
      </c>
      <c r="I83" s="64">
        <v>1.49</v>
      </c>
      <c r="J83" s="64">
        <v>0.08</v>
      </c>
      <c r="K83" s="64">
        <v>35.85</v>
      </c>
      <c r="L83" s="64">
        <v>16.45</v>
      </c>
      <c r="M83" s="64">
        <v>41.04</v>
      </c>
      <c r="N83" s="64">
        <v>80.3</v>
      </c>
      <c r="O83" s="64">
        <v>0</v>
      </c>
      <c r="P83" s="64">
        <v>2.74</v>
      </c>
      <c r="Q83" s="64">
        <v>1.41</v>
      </c>
      <c r="R83" s="198"/>
      <c r="S83" s="198"/>
      <c r="T83" s="198"/>
      <c r="U83" s="198"/>
    </row>
    <row r="84" spans="1:26" s="12" customFormat="1" x14ac:dyDescent="0.25">
      <c r="A84" s="214" t="s">
        <v>2051</v>
      </c>
      <c r="B84" s="64">
        <v>33.78</v>
      </c>
      <c r="C84" s="64">
        <v>88.9</v>
      </c>
      <c r="D84" s="64">
        <v>76.8</v>
      </c>
      <c r="E84" s="64">
        <v>2.2799999999999998</v>
      </c>
      <c r="F84" s="64">
        <v>3.93</v>
      </c>
      <c r="G84" s="64">
        <v>184.03</v>
      </c>
      <c r="H84" s="64">
        <v>53.72</v>
      </c>
      <c r="I84" s="64">
        <v>1.5</v>
      </c>
      <c r="J84" s="64">
        <v>0.15</v>
      </c>
      <c r="K84" s="64">
        <v>71.849999999999994</v>
      </c>
      <c r="L84" s="64">
        <v>15.93</v>
      </c>
      <c r="M84" s="64">
        <v>42.78</v>
      </c>
      <c r="N84" s="64">
        <v>73.400000000000006</v>
      </c>
      <c r="O84" s="64">
        <v>0</v>
      </c>
      <c r="P84" s="64">
        <v>2.91</v>
      </c>
      <c r="Q84" s="64">
        <v>0.48</v>
      </c>
      <c r="R84" s="198"/>
      <c r="S84" s="198"/>
      <c r="T84" s="198"/>
      <c r="U84" s="198"/>
    </row>
    <row r="85" spans="1:26" s="12" customFormat="1" x14ac:dyDescent="0.25">
      <c r="A85" s="214" t="s">
        <v>2052</v>
      </c>
      <c r="B85" s="64">
        <v>38.82</v>
      </c>
      <c r="C85" s="64">
        <v>90.04</v>
      </c>
      <c r="D85" s="64">
        <v>81.47</v>
      </c>
      <c r="E85" s="64">
        <v>2</v>
      </c>
      <c r="F85" s="64">
        <v>3.96</v>
      </c>
      <c r="G85" s="64">
        <v>184.03</v>
      </c>
      <c r="H85" s="64">
        <v>53.72</v>
      </c>
      <c r="I85" s="64">
        <v>1.53</v>
      </c>
      <c r="J85" s="64">
        <v>0.1</v>
      </c>
      <c r="K85" s="64">
        <v>35.33</v>
      </c>
      <c r="L85" s="64">
        <v>15.79</v>
      </c>
      <c r="M85" s="64">
        <v>41.95</v>
      </c>
      <c r="N85" s="64">
        <v>80.099999999999994</v>
      </c>
      <c r="O85" s="64">
        <v>0</v>
      </c>
      <c r="P85" s="64">
        <v>2.2999999999999998</v>
      </c>
      <c r="Q85" s="64">
        <v>2.21</v>
      </c>
      <c r="R85" s="198"/>
      <c r="S85" s="198"/>
      <c r="T85" s="198"/>
      <c r="U85" s="198"/>
    </row>
    <row r="86" spans="1:26" s="12" customFormat="1" x14ac:dyDescent="0.25">
      <c r="A86" s="214" t="s">
        <v>2053</v>
      </c>
      <c r="B86" s="64">
        <v>44.05</v>
      </c>
      <c r="C86" s="64">
        <v>90.97</v>
      </c>
      <c r="D86" s="64">
        <v>86.17</v>
      </c>
      <c r="E86" s="64">
        <v>1.9</v>
      </c>
      <c r="F86" s="64">
        <v>3.99</v>
      </c>
      <c r="G86" s="64">
        <v>184.03</v>
      </c>
      <c r="H86" s="64">
        <v>53.72</v>
      </c>
      <c r="I86" s="64">
        <v>1.44</v>
      </c>
      <c r="J86" s="64">
        <v>0.1</v>
      </c>
      <c r="K86" s="64">
        <v>339.88</v>
      </c>
      <c r="L86" s="64">
        <v>15.29</v>
      </c>
      <c r="M86" s="64">
        <v>49.94</v>
      </c>
      <c r="N86" s="64">
        <v>73.5</v>
      </c>
      <c r="O86" s="64">
        <v>0</v>
      </c>
      <c r="P86" s="64">
        <v>3.47</v>
      </c>
      <c r="Q86" s="64">
        <v>0.39</v>
      </c>
      <c r="R86" s="198"/>
      <c r="S86" s="198"/>
      <c r="T86" s="198"/>
      <c r="U86" s="198"/>
    </row>
    <row r="87" spans="1:26" s="12" customFormat="1" x14ac:dyDescent="0.25">
      <c r="A87" s="214" t="s">
        <v>2054</v>
      </c>
      <c r="B87" s="64">
        <v>51.77</v>
      </c>
      <c r="C87" s="64">
        <v>91.68</v>
      </c>
      <c r="D87" s="64">
        <v>92.76</v>
      </c>
      <c r="E87" s="64">
        <v>1.83</v>
      </c>
      <c r="F87" s="64">
        <v>3.86</v>
      </c>
      <c r="G87" s="64">
        <v>184.65</v>
      </c>
      <c r="H87" s="64">
        <v>57.49</v>
      </c>
      <c r="I87" s="64">
        <v>1.47</v>
      </c>
      <c r="J87" s="64">
        <v>0.08</v>
      </c>
      <c r="K87" s="64">
        <v>347.33</v>
      </c>
      <c r="L87" s="64">
        <v>14.84</v>
      </c>
      <c r="M87" s="64">
        <v>48.43</v>
      </c>
      <c r="N87" s="64">
        <v>71.8</v>
      </c>
      <c r="O87" s="64">
        <v>0</v>
      </c>
      <c r="P87" s="64">
        <v>2.78</v>
      </c>
      <c r="Q87" s="64">
        <v>0.73</v>
      </c>
      <c r="R87" s="198"/>
      <c r="S87" s="198"/>
      <c r="T87" s="198"/>
      <c r="U87" s="198"/>
    </row>
    <row r="88" spans="1:26" s="12" customFormat="1" x14ac:dyDescent="0.25">
      <c r="A88" s="214" t="s">
        <v>2055</v>
      </c>
      <c r="B88" s="64">
        <v>57.27</v>
      </c>
      <c r="C88" s="64">
        <v>91.16</v>
      </c>
      <c r="D88" s="64">
        <v>96.88</v>
      </c>
      <c r="E88" s="64">
        <v>1.23</v>
      </c>
      <c r="F88" s="64">
        <v>4.25</v>
      </c>
      <c r="G88" s="64">
        <v>186.95</v>
      </c>
      <c r="H88" s="64">
        <v>67.75</v>
      </c>
      <c r="I88" s="64">
        <v>1.5</v>
      </c>
      <c r="J88" s="64">
        <v>0.09</v>
      </c>
      <c r="K88" s="64">
        <v>346.16</v>
      </c>
      <c r="L88" s="64">
        <v>14.86</v>
      </c>
      <c r="M88" s="64">
        <v>45.62</v>
      </c>
      <c r="N88" s="64">
        <v>73.2</v>
      </c>
      <c r="O88" s="64">
        <v>0</v>
      </c>
      <c r="P88" s="64">
        <v>2.66</v>
      </c>
      <c r="Q88" s="64">
        <v>0.46</v>
      </c>
      <c r="R88" s="198"/>
      <c r="S88" s="198"/>
      <c r="T88" s="198"/>
      <c r="U88" s="198"/>
    </row>
    <row r="89" spans="1:26" s="12" customFormat="1" x14ac:dyDescent="0.25">
      <c r="A89" s="214" t="s">
        <v>2056</v>
      </c>
      <c r="B89" s="64">
        <v>59.7</v>
      </c>
      <c r="C89" s="64">
        <v>90.44</v>
      </c>
      <c r="D89" s="64">
        <v>98.43</v>
      </c>
      <c r="E89" s="64">
        <v>1.83</v>
      </c>
      <c r="F89" s="64">
        <v>4.07</v>
      </c>
      <c r="G89" s="64">
        <v>186.95</v>
      </c>
      <c r="H89" s="64">
        <v>67.75</v>
      </c>
      <c r="I89" s="64">
        <v>1.49</v>
      </c>
      <c r="J89" s="64">
        <v>0.15</v>
      </c>
      <c r="K89" s="64">
        <v>338.36</v>
      </c>
      <c r="L89" s="64">
        <v>14.54</v>
      </c>
      <c r="M89" s="64">
        <v>53.65</v>
      </c>
      <c r="N89" s="64">
        <v>71.5</v>
      </c>
      <c r="O89" s="64">
        <v>0</v>
      </c>
      <c r="P89" s="64">
        <v>3.02</v>
      </c>
      <c r="Q89" s="64">
        <v>1.24</v>
      </c>
      <c r="R89" s="198"/>
      <c r="S89" s="198"/>
      <c r="T89" s="198"/>
      <c r="U89" s="198"/>
    </row>
    <row r="90" spans="1:26" s="12" customFormat="1" x14ac:dyDescent="0.25">
      <c r="A90" s="214" t="s">
        <v>2057</v>
      </c>
      <c r="B90" s="64">
        <v>65.650000000000006</v>
      </c>
      <c r="C90" s="64">
        <v>90.01</v>
      </c>
      <c r="D90" s="64">
        <v>102.97</v>
      </c>
      <c r="E90" s="64">
        <v>2.04</v>
      </c>
      <c r="F90" s="64">
        <v>3.66</v>
      </c>
      <c r="G90" s="64">
        <v>186.95</v>
      </c>
      <c r="H90" s="64">
        <v>67.75</v>
      </c>
      <c r="I90" s="64">
        <v>1.53</v>
      </c>
      <c r="J90" s="64">
        <v>0.1</v>
      </c>
      <c r="K90" s="64">
        <v>344.33</v>
      </c>
      <c r="L90" s="64">
        <v>14.06</v>
      </c>
      <c r="M90" s="64">
        <v>54.93</v>
      </c>
      <c r="N90" s="64">
        <v>71.7</v>
      </c>
      <c r="O90" s="64">
        <v>0</v>
      </c>
      <c r="P90" s="64">
        <v>3.45</v>
      </c>
      <c r="Q90" s="6" t="s">
        <v>42</v>
      </c>
      <c r="R90" s="198"/>
      <c r="S90" s="198"/>
      <c r="T90" s="198"/>
      <c r="U90" s="198"/>
    </row>
    <row r="91" spans="1:26" s="12" customFormat="1" x14ac:dyDescent="0.25">
      <c r="A91" s="214" t="s">
        <v>2058</v>
      </c>
      <c r="B91" s="64">
        <v>71.98</v>
      </c>
      <c r="C91" s="64">
        <v>90.15</v>
      </c>
      <c r="D91" s="64">
        <v>108.12</v>
      </c>
      <c r="E91" s="64">
        <v>1.95</v>
      </c>
      <c r="F91" s="64">
        <v>3.72</v>
      </c>
      <c r="G91" s="64">
        <v>184.1</v>
      </c>
      <c r="H91" s="64">
        <v>68.45</v>
      </c>
      <c r="I91" s="64">
        <v>1.49</v>
      </c>
      <c r="J91" s="64">
        <v>0.11</v>
      </c>
      <c r="K91" s="64">
        <v>41.69</v>
      </c>
      <c r="L91" s="64">
        <v>14.03</v>
      </c>
      <c r="M91" s="64">
        <v>54.25</v>
      </c>
      <c r="N91" s="64">
        <v>73.099999999999994</v>
      </c>
      <c r="O91" s="64">
        <v>0</v>
      </c>
      <c r="P91" s="64">
        <v>3.17</v>
      </c>
      <c r="Q91" s="64">
        <v>0.41</v>
      </c>
      <c r="R91" s="198"/>
      <c r="S91" s="198"/>
      <c r="T91" s="198"/>
      <c r="U91" s="198"/>
    </row>
    <row r="92" spans="1:26" s="12" customFormat="1" x14ac:dyDescent="0.25">
      <c r="A92" s="214" t="s">
        <v>2059</v>
      </c>
      <c r="B92" s="64">
        <v>74.53</v>
      </c>
      <c r="C92" s="64">
        <v>89.32</v>
      </c>
      <c r="D92" s="64">
        <v>109.71</v>
      </c>
      <c r="E92" s="64">
        <v>1.69</v>
      </c>
      <c r="F92" s="64">
        <v>4.12</v>
      </c>
      <c r="G92" s="64">
        <v>173.44</v>
      </c>
      <c r="H92" s="64">
        <v>71.88</v>
      </c>
      <c r="I92" s="64">
        <v>1.48</v>
      </c>
      <c r="J92" s="64">
        <v>0.17</v>
      </c>
      <c r="K92" s="64">
        <v>82.89</v>
      </c>
      <c r="L92" s="64">
        <v>14.64</v>
      </c>
      <c r="M92" s="64">
        <v>45.06</v>
      </c>
      <c r="N92" s="64">
        <v>79.900000000000006</v>
      </c>
      <c r="O92" s="64">
        <v>0</v>
      </c>
      <c r="P92" s="64">
        <v>2.48</v>
      </c>
      <c r="Q92" s="64">
        <v>5.23</v>
      </c>
      <c r="R92" s="198"/>
      <c r="S92" s="198"/>
      <c r="T92" s="198"/>
      <c r="U92" s="198"/>
    </row>
    <row r="93" spans="1:26" s="12" customFormat="1" x14ac:dyDescent="0.25">
      <c r="A93" s="214" t="s">
        <v>2060</v>
      </c>
      <c r="B93" s="64">
        <v>74.8</v>
      </c>
      <c r="C93" s="64">
        <v>88.71</v>
      </c>
      <c r="D93" s="64">
        <v>109.58</v>
      </c>
      <c r="E93" s="64">
        <v>1.61</v>
      </c>
      <c r="F93" s="64">
        <v>4.03</v>
      </c>
      <c r="G93" s="64">
        <v>173.44</v>
      </c>
      <c r="H93" s="64">
        <v>71.88</v>
      </c>
      <c r="I93" s="64">
        <v>1.47</v>
      </c>
      <c r="J93" s="64">
        <v>0.14000000000000001</v>
      </c>
      <c r="K93" s="64">
        <v>87.43</v>
      </c>
      <c r="L93" s="64">
        <v>14.72</v>
      </c>
      <c r="M93" s="64">
        <v>45.88</v>
      </c>
      <c r="N93" s="64">
        <v>79.599999999999994</v>
      </c>
      <c r="O93" s="64">
        <v>0</v>
      </c>
      <c r="P93" s="64">
        <v>2.52</v>
      </c>
      <c r="Q93" s="64">
        <v>6.42</v>
      </c>
      <c r="R93" s="198"/>
      <c r="S93" s="198"/>
      <c r="T93" s="198"/>
      <c r="U93" s="198"/>
    </row>
    <row r="94" spans="1:26" s="12" customFormat="1" x14ac:dyDescent="0.25">
      <c r="A94" s="214" t="s">
        <v>2061</v>
      </c>
      <c r="B94" s="64">
        <v>75.94</v>
      </c>
      <c r="C94" s="64">
        <v>88.58</v>
      </c>
      <c r="D94" s="64">
        <v>110.43</v>
      </c>
      <c r="E94" s="64">
        <v>1.66</v>
      </c>
      <c r="F94" s="64">
        <v>4.0599999999999996</v>
      </c>
      <c r="G94" s="64">
        <v>173.44</v>
      </c>
      <c r="H94" s="64">
        <v>71.88</v>
      </c>
      <c r="I94" s="64">
        <v>1.44</v>
      </c>
      <c r="J94" s="64">
        <v>0.11</v>
      </c>
      <c r="K94" s="64">
        <v>96.31</v>
      </c>
      <c r="L94" s="64">
        <v>14.75</v>
      </c>
      <c r="M94" s="64">
        <v>46.13</v>
      </c>
      <c r="N94" s="64">
        <v>75.900000000000006</v>
      </c>
      <c r="O94" s="64">
        <v>0</v>
      </c>
      <c r="P94" s="64">
        <v>2.5299999999999998</v>
      </c>
      <c r="Q94" s="64">
        <v>5.56</v>
      </c>
      <c r="R94" s="198"/>
      <c r="S94" s="198"/>
      <c r="T94" s="198"/>
      <c r="U94" s="198"/>
    </row>
    <row r="95" spans="1:26" s="12" customFormat="1" x14ac:dyDescent="0.25">
      <c r="A95" s="214" t="s">
        <v>2062</v>
      </c>
      <c r="B95" s="64">
        <v>76.06</v>
      </c>
      <c r="C95" s="64">
        <v>88.1</v>
      </c>
      <c r="D95" s="64">
        <v>110.26</v>
      </c>
      <c r="E95" s="64">
        <v>1.64</v>
      </c>
      <c r="F95" s="64">
        <v>4.54</v>
      </c>
      <c r="G95" s="64">
        <v>164.11</v>
      </c>
      <c r="H95" s="64">
        <v>72.81</v>
      </c>
      <c r="I95" s="64">
        <v>1.5</v>
      </c>
      <c r="J95" s="64">
        <v>0.14000000000000001</v>
      </c>
      <c r="K95" s="64">
        <v>73.41</v>
      </c>
      <c r="L95" s="64">
        <v>14.38</v>
      </c>
      <c r="M95" s="64">
        <v>48.03</v>
      </c>
      <c r="N95" s="64">
        <v>66</v>
      </c>
      <c r="O95" s="64">
        <v>0</v>
      </c>
      <c r="P95" s="64">
        <v>2.4500000000000002</v>
      </c>
      <c r="Q95" s="64">
        <v>7.3</v>
      </c>
      <c r="R95" s="198"/>
      <c r="S95" s="198"/>
      <c r="T95" s="198"/>
      <c r="U95" s="198"/>
    </row>
    <row r="96" spans="1:26" s="12" customFormat="1" x14ac:dyDescent="0.25">
      <c r="A96" s="214" t="s">
        <v>2063</v>
      </c>
      <c r="B96" s="64">
        <v>75.62</v>
      </c>
      <c r="C96" s="64">
        <v>87.61</v>
      </c>
      <c r="D96" s="64">
        <v>109.64</v>
      </c>
      <c r="E96" s="64">
        <v>1.54</v>
      </c>
      <c r="F96" s="64">
        <v>3.8</v>
      </c>
      <c r="G96" s="64">
        <v>129.25</v>
      </c>
      <c r="H96" s="64">
        <v>75.349999999999994</v>
      </c>
      <c r="I96" s="64">
        <v>1.52</v>
      </c>
      <c r="J96" s="64">
        <v>0.23</v>
      </c>
      <c r="K96" s="64">
        <v>78.16</v>
      </c>
      <c r="L96" s="64">
        <v>14.62</v>
      </c>
      <c r="M96" s="64">
        <v>45.42</v>
      </c>
      <c r="N96" s="64">
        <v>81.099999999999994</v>
      </c>
      <c r="O96" s="64">
        <v>0</v>
      </c>
      <c r="P96" s="64">
        <v>2.2200000000000002</v>
      </c>
      <c r="Q96" s="64">
        <v>8.61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2064</v>
      </c>
      <c r="B97" s="64">
        <v>75.62</v>
      </c>
      <c r="C97" s="64">
        <v>87.61</v>
      </c>
      <c r="D97" s="64">
        <v>109.64</v>
      </c>
      <c r="E97" s="64">
        <v>1.54</v>
      </c>
      <c r="F97" s="64">
        <v>3.8</v>
      </c>
      <c r="G97" s="64">
        <v>129.25</v>
      </c>
      <c r="H97" s="64">
        <v>75.349999999999994</v>
      </c>
      <c r="I97" s="64">
        <v>1.52</v>
      </c>
      <c r="J97" s="64">
        <v>0.23</v>
      </c>
      <c r="K97" s="64">
        <v>78.16</v>
      </c>
      <c r="L97" s="64">
        <v>14.62</v>
      </c>
      <c r="M97" s="64">
        <v>45.42</v>
      </c>
      <c r="N97" s="64">
        <v>81.099999999999994</v>
      </c>
      <c r="O97" s="64">
        <v>0</v>
      </c>
      <c r="P97" s="64">
        <v>2.2200000000000002</v>
      </c>
      <c r="Q97" s="64">
        <v>8.61</v>
      </c>
      <c r="R97" s="198"/>
      <c r="S97" s="198"/>
      <c r="T97" s="198"/>
      <c r="U97" s="198"/>
    </row>
    <row r="98" spans="1:33" s="12" customFormat="1" x14ac:dyDescent="0.25">
      <c r="A98" s="214" t="s">
        <v>2065</v>
      </c>
      <c r="B98" s="64">
        <v>72.459999999999994</v>
      </c>
      <c r="C98" s="64">
        <v>86.53</v>
      </c>
      <c r="D98" s="64">
        <v>106.5</v>
      </c>
      <c r="E98" s="64">
        <v>1.52</v>
      </c>
      <c r="F98" s="64">
        <v>4.22</v>
      </c>
      <c r="G98" s="64">
        <v>129.25</v>
      </c>
      <c r="H98" s="64">
        <v>75.349999999999994</v>
      </c>
      <c r="I98" s="64">
        <v>1.46</v>
      </c>
      <c r="J98" s="64">
        <v>0.13</v>
      </c>
      <c r="K98" s="64">
        <v>61.76</v>
      </c>
      <c r="L98" s="64">
        <v>14.25</v>
      </c>
      <c r="M98" s="64">
        <v>46.48</v>
      </c>
      <c r="N98" s="64">
        <v>81.3</v>
      </c>
      <c r="O98" s="64">
        <v>0</v>
      </c>
      <c r="P98" s="64">
        <v>1.83</v>
      </c>
      <c r="Q98" s="64">
        <v>10.65</v>
      </c>
      <c r="R98" s="198"/>
      <c r="S98" s="198"/>
      <c r="T98" s="198"/>
      <c r="U98" s="198"/>
    </row>
    <row r="99" spans="1:33" s="12" customFormat="1" x14ac:dyDescent="0.25">
      <c r="A99" s="214" t="s">
        <v>2066</v>
      </c>
      <c r="B99" s="64">
        <v>68.319999999999993</v>
      </c>
      <c r="C99" s="64">
        <v>85.14</v>
      </c>
      <c r="D99" s="64">
        <v>102.42</v>
      </c>
      <c r="E99" s="64">
        <v>1.47</v>
      </c>
      <c r="F99" s="64">
        <v>4.5199999999999996</v>
      </c>
      <c r="G99" s="64">
        <v>126.75</v>
      </c>
      <c r="H99" s="64">
        <v>73.64</v>
      </c>
      <c r="I99" s="64">
        <v>1.51</v>
      </c>
      <c r="J99" s="64">
        <v>0.14000000000000001</v>
      </c>
      <c r="K99" s="64">
        <v>75.72</v>
      </c>
      <c r="L99" s="64">
        <v>13.88</v>
      </c>
      <c r="M99" s="64">
        <v>47.39</v>
      </c>
      <c r="N99" s="64">
        <v>75</v>
      </c>
      <c r="O99" s="64">
        <v>0</v>
      </c>
      <c r="P99" s="64">
        <v>1.42</v>
      </c>
      <c r="Q99" s="64">
        <v>12.72</v>
      </c>
      <c r="R99" s="198"/>
      <c r="S99" s="198"/>
      <c r="T99" s="198"/>
      <c r="U99" s="198"/>
    </row>
    <row r="100" spans="1:33" s="12" customFormat="1" x14ac:dyDescent="0.25">
      <c r="A100" s="214" t="s">
        <v>2067</v>
      </c>
      <c r="B100" s="64">
        <v>64.290000000000006</v>
      </c>
      <c r="C100" s="64">
        <v>83.52</v>
      </c>
      <c r="D100" s="64">
        <v>98.29</v>
      </c>
      <c r="E100" s="64">
        <v>1.25</v>
      </c>
      <c r="F100" s="64">
        <v>5.12</v>
      </c>
      <c r="G100" s="64">
        <v>117.67</v>
      </c>
      <c r="H100" s="64">
        <v>69.17</v>
      </c>
      <c r="I100" s="64">
        <v>1.47</v>
      </c>
      <c r="J100" s="64">
        <v>0.15</v>
      </c>
      <c r="K100" s="64">
        <v>67.650000000000006</v>
      </c>
      <c r="L100" s="64">
        <v>13.63</v>
      </c>
      <c r="M100" s="64">
        <v>48.56</v>
      </c>
      <c r="N100" s="64">
        <v>75.7</v>
      </c>
      <c r="O100" s="64">
        <v>0</v>
      </c>
      <c r="P100" s="64">
        <v>1.21</v>
      </c>
      <c r="Q100" s="64">
        <v>14.56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2068</v>
      </c>
      <c r="B101" s="64">
        <v>60.01</v>
      </c>
      <c r="C101" s="64">
        <v>82.56</v>
      </c>
      <c r="D101" s="64">
        <v>94.33</v>
      </c>
      <c r="E101" s="64">
        <v>1.1499999999999999</v>
      </c>
      <c r="F101" s="64">
        <v>4.66</v>
      </c>
      <c r="G101" s="64">
        <v>117.67</v>
      </c>
      <c r="H101" s="64">
        <v>69.17</v>
      </c>
      <c r="I101" s="64">
        <v>1.54</v>
      </c>
      <c r="J101" s="64">
        <v>0.1</v>
      </c>
      <c r="K101" s="64">
        <v>328</v>
      </c>
      <c r="L101" s="64">
        <v>13.47</v>
      </c>
      <c r="M101" s="64">
        <v>49.16</v>
      </c>
      <c r="N101" s="64">
        <v>65.599999999999994</v>
      </c>
      <c r="O101" s="64">
        <v>0</v>
      </c>
      <c r="P101" s="64">
        <v>1.1599999999999999</v>
      </c>
      <c r="Q101" s="64">
        <v>12.97</v>
      </c>
      <c r="R101" s="198"/>
      <c r="S101" s="198"/>
      <c r="T101" s="198"/>
      <c r="U101" s="198"/>
    </row>
    <row r="102" spans="1:33" s="12" customFormat="1" x14ac:dyDescent="0.25">
      <c r="A102" s="214" t="s">
        <v>2069</v>
      </c>
      <c r="B102" s="64">
        <v>57.06</v>
      </c>
      <c r="C102" s="64">
        <v>81.760000000000005</v>
      </c>
      <c r="D102" s="64">
        <v>91.52</v>
      </c>
      <c r="E102" s="64">
        <v>1.21</v>
      </c>
      <c r="F102" s="64">
        <v>3.96</v>
      </c>
      <c r="G102" s="64">
        <v>117.67</v>
      </c>
      <c r="H102" s="64">
        <v>69.17</v>
      </c>
      <c r="I102" s="64">
        <v>1.5</v>
      </c>
      <c r="J102" s="64">
        <v>0.16</v>
      </c>
      <c r="K102" s="64">
        <v>58.36</v>
      </c>
      <c r="L102" s="64">
        <v>13.3</v>
      </c>
      <c r="M102" s="64">
        <v>49.34</v>
      </c>
      <c r="N102" s="64">
        <v>64.400000000000006</v>
      </c>
      <c r="O102" s="64">
        <v>0</v>
      </c>
      <c r="P102" s="64">
        <v>1.06</v>
      </c>
      <c r="Q102" s="64">
        <v>11.01</v>
      </c>
      <c r="R102" s="198"/>
      <c r="S102" s="198"/>
      <c r="T102" s="198"/>
      <c r="U102" s="198"/>
    </row>
    <row r="103" spans="1:33" s="12" customFormat="1" x14ac:dyDescent="0.25">
      <c r="A103" s="214" t="s">
        <v>2070</v>
      </c>
      <c r="B103" s="64">
        <v>54.09</v>
      </c>
      <c r="C103" s="64">
        <v>80.38</v>
      </c>
      <c r="D103" s="64">
        <v>88.38</v>
      </c>
      <c r="E103" s="64">
        <v>1.2</v>
      </c>
      <c r="F103" s="64">
        <v>3.86</v>
      </c>
      <c r="G103" s="64">
        <v>113.38</v>
      </c>
      <c r="H103" s="64">
        <v>66.989999999999995</v>
      </c>
      <c r="I103" s="64">
        <v>1.49</v>
      </c>
      <c r="J103" s="64">
        <v>0.14000000000000001</v>
      </c>
      <c r="K103" s="64">
        <v>46.33</v>
      </c>
      <c r="L103" s="64">
        <v>13.05</v>
      </c>
      <c r="M103" s="64">
        <v>51.56</v>
      </c>
      <c r="N103" s="64">
        <v>61.9</v>
      </c>
      <c r="O103" s="64">
        <v>0</v>
      </c>
      <c r="P103" s="64">
        <v>0.96</v>
      </c>
      <c r="Q103" s="64">
        <v>11.56</v>
      </c>
      <c r="R103" s="198"/>
      <c r="S103" s="198"/>
      <c r="T103" s="198"/>
      <c r="U103" s="198"/>
    </row>
    <row r="104" spans="1:33" s="12" customFormat="1" x14ac:dyDescent="0.25">
      <c r="A104" s="214" t="s">
        <v>2071</v>
      </c>
      <c r="B104" s="64">
        <v>51.32</v>
      </c>
      <c r="C104" s="64">
        <v>79.12</v>
      </c>
      <c r="D104" s="64">
        <v>85.47</v>
      </c>
      <c r="E104" s="64">
        <v>0.84</v>
      </c>
      <c r="F104" s="64">
        <v>3.68</v>
      </c>
      <c r="G104" s="64">
        <v>97.33</v>
      </c>
      <c r="H104" s="64">
        <v>61.06</v>
      </c>
      <c r="I104" s="64">
        <v>1.5</v>
      </c>
      <c r="J104" s="64">
        <v>0.12</v>
      </c>
      <c r="K104" s="64">
        <v>55.53</v>
      </c>
      <c r="L104" s="64">
        <v>12.9</v>
      </c>
      <c r="M104" s="64">
        <v>54.12</v>
      </c>
      <c r="N104" s="64">
        <v>59.5</v>
      </c>
      <c r="O104" s="64">
        <v>0</v>
      </c>
      <c r="P104" s="64">
        <v>1.0900000000000001</v>
      </c>
      <c r="Q104" s="64">
        <v>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3.57</v>
      </c>
      <c r="C106" s="67">
        <f>MIN(C9:C104)</f>
        <v>61.05</v>
      </c>
      <c r="D106" s="67">
        <f t="shared" ref="D106:Q106" si="0">MIN(D9:D104)</f>
        <v>37.369999999999997</v>
      </c>
      <c r="E106" s="67">
        <f t="shared" si="0"/>
        <v>0.84</v>
      </c>
      <c r="F106" s="67">
        <f t="shared" si="0"/>
        <v>3.66</v>
      </c>
      <c r="G106" s="67">
        <f t="shared" si="0"/>
        <v>48.11</v>
      </c>
      <c r="H106" s="67">
        <f t="shared" si="0"/>
        <v>29.61</v>
      </c>
      <c r="I106" s="67">
        <f t="shared" si="0"/>
        <v>1.43</v>
      </c>
      <c r="J106" s="67">
        <f t="shared" si="0"/>
        <v>7.0000000000000007E-2</v>
      </c>
      <c r="K106" s="67">
        <f t="shared" si="0"/>
        <v>0.85</v>
      </c>
      <c r="L106" s="67">
        <f t="shared" si="0"/>
        <v>11.32</v>
      </c>
      <c r="M106" s="67">
        <f t="shared" si="0"/>
        <v>23.12</v>
      </c>
      <c r="N106" s="67">
        <f t="shared" si="0"/>
        <v>53.1</v>
      </c>
      <c r="O106" s="67">
        <f t="shared" si="0"/>
        <v>0</v>
      </c>
      <c r="P106" s="67">
        <f t="shared" si="0"/>
        <v>0.5</v>
      </c>
      <c r="Q106" s="67">
        <f t="shared" si="0"/>
        <v>0.39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76.06</v>
      </c>
      <c r="C107" s="66">
        <f t="shared" ref="C107:Q107" si="1">MAX(C9:C104)</f>
        <v>91.68</v>
      </c>
      <c r="D107" s="66">
        <f t="shared" si="1"/>
        <v>110.43</v>
      </c>
      <c r="E107" s="66">
        <f t="shared" si="1"/>
        <v>14.33</v>
      </c>
      <c r="F107" s="66">
        <f t="shared" si="1"/>
        <v>45.26</v>
      </c>
      <c r="G107" s="66">
        <f t="shared" si="1"/>
        <v>186.95</v>
      </c>
      <c r="H107" s="66">
        <f t="shared" si="1"/>
        <v>75.349999999999994</v>
      </c>
      <c r="I107" s="66">
        <f t="shared" si="1"/>
        <v>1.63</v>
      </c>
      <c r="J107" s="66">
        <f t="shared" si="1"/>
        <v>1.65</v>
      </c>
      <c r="K107" s="66">
        <f t="shared" si="1"/>
        <v>357.35</v>
      </c>
      <c r="L107" s="66">
        <f t="shared" si="1"/>
        <v>24.63</v>
      </c>
      <c r="M107" s="66">
        <f t="shared" si="1"/>
        <v>67.77</v>
      </c>
      <c r="N107" s="66">
        <f t="shared" si="1"/>
        <v>747.6</v>
      </c>
      <c r="O107" s="66">
        <f t="shared" si="1"/>
        <v>0</v>
      </c>
      <c r="P107" s="66">
        <f t="shared" si="1"/>
        <v>3.47</v>
      </c>
      <c r="Q107" s="66">
        <f t="shared" si="1"/>
        <v>18.11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29.592812500000008</v>
      </c>
      <c r="C108" s="67">
        <f t="shared" ref="C108:Q108" si="2">AVERAGE(C9:C104)</f>
        <v>72.856770833333343</v>
      </c>
      <c r="D108" s="67">
        <f t="shared" si="2"/>
        <v>64.58520833333337</v>
      </c>
      <c r="E108" s="67">
        <f t="shared" si="2"/>
        <v>4.9737500000000008</v>
      </c>
      <c r="F108" s="67">
        <f t="shared" si="2"/>
        <v>14.618854166666663</v>
      </c>
      <c r="G108" s="67">
        <f t="shared" si="2"/>
        <v>112.44499999999999</v>
      </c>
      <c r="H108" s="67">
        <f t="shared" si="2"/>
        <v>54.081979166666692</v>
      </c>
      <c r="I108" s="67">
        <f t="shared" si="2"/>
        <v>1.499583333333333</v>
      </c>
      <c r="J108" s="67">
        <f t="shared" si="2"/>
        <v>0.49645833333333328</v>
      </c>
      <c r="K108" s="67">
        <f t="shared" si="2"/>
        <v>260.97510416666671</v>
      </c>
      <c r="L108" s="67">
        <f t="shared" si="2"/>
        <v>16.684374999999996</v>
      </c>
      <c r="M108" s="67">
        <f t="shared" si="2"/>
        <v>43.972812499999982</v>
      </c>
      <c r="N108" s="67">
        <f t="shared" si="2"/>
        <v>213.12812499999987</v>
      </c>
      <c r="O108" s="67">
        <f t="shared" si="2"/>
        <v>0</v>
      </c>
      <c r="P108" s="67">
        <f t="shared" si="2"/>
        <v>1.1852083333333332</v>
      </c>
      <c r="Q108" s="67">
        <f t="shared" si="2"/>
        <v>6.1835789473684217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22.628801754593269</v>
      </c>
      <c r="C109" s="67">
        <f t="shared" ref="C109:Q109" si="3">STDEV(C9:C104)</f>
        <v>9.7249291697911051</v>
      </c>
      <c r="D109" s="67">
        <f t="shared" si="3"/>
        <v>22.333490074404082</v>
      </c>
      <c r="E109" s="67">
        <f t="shared" si="3"/>
        <v>3.6611557709208951</v>
      </c>
      <c r="F109" s="67">
        <f t="shared" si="3"/>
        <v>12.01802215707653</v>
      </c>
      <c r="G109" s="67">
        <f t="shared" si="3"/>
        <v>39.421429571664312</v>
      </c>
      <c r="H109" s="67">
        <f t="shared" si="3"/>
        <v>14.744645102529907</v>
      </c>
      <c r="I109" s="67">
        <f t="shared" si="3"/>
        <v>3.7722439689664197E-2</v>
      </c>
      <c r="J109" s="67">
        <f t="shared" si="3"/>
        <v>0.33970569047390226</v>
      </c>
      <c r="K109" s="67">
        <f t="shared" si="3"/>
        <v>129.45926151329604</v>
      </c>
      <c r="L109" s="67">
        <f t="shared" si="3"/>
        <v>4.1650765615001673</v>
      </c>
      <c r="M109" s="67">
        <f t="shared" si="3"/>
        <v>13.744560853632651</v>
      </c>
      <c r="N109" s="67">
        <f t="shared" si="3"/>
        <v>228.67257801822254</v>
      </c>
      <c r="O109" s="67">
        <f t="shared" si="3"/>
        <v>0</v>
      </c>
      <c r="P109" s="67">
        <f t="shared" si="3"/>
        <v>0.7608665131790161</v>
      </c>
      <c r="Q109" s="67">
        <f t="shared" si="3"/>
        <v>4.3964126855516765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2072</v>
      </c>
      <c r="B9" s="64">
        <v>48.65</v>
      </c>
      <c r="C9" s="64">
        <v>77.8</v>
      </c>
      <c r="D9" s="64">
        <v>82.59</v>
      </c>
      <c r="E9" s="64">
        <v>1.38</v>
      </c>
      <c r="F9" s="64">
        <v>3.82</v>
      </c>
      <c r="G9" s="64">
        <v>97.33</v>
      </c>
      <c r="H9" s="64">
        <v>61.06</v>
      </c>
      <c r="I9" s="64">
        <v>1.44</v>
      </c>
      <c r="J9" s="64">
        <v>0.18</v>
      </c>
      <c r="K9" s="64">
        <v>77.86</v>
      </c>
      <c r="L9" s="64">
        <v>12.71</v>
      </c>
      <c r="M9" s="64">
        <v>54.19</v>
      </c>
      <c r="N9" s="64">
        <v>58.4</v>
      </c>
      <c r="O9" s="64">
        <v>0</v>
      </c>
      <c r="P9" s="64">
        <v>1.01</v>
      </c>
      <c r="Q9" s="64">
        <v>10.97</v>
      </c>
      <c r="R9" s="198"/>
      <c r="S9" s="198"/>
      <c r="T9" s="198"/>
      <c r="U9" s="198"/>
    </row>
    <row r="10" spans="1:21" s="12" customFormat="1" x14ac:dyDescent="0.25">
      <c r="A10" s="214" t="s">
        <v>2073</v>
      </c>
      <c r="B10" s="64">
        <v>45.52</v>
      </c>
      <c r="C10" s="64">
        <v>76.22</v>
      </c>
      <c r="D10" s="64">
        <v>79.209999999999994</v>
      </c>
      <c r="E10" s="64">
        <v>1.18</v>
      </c>
      <c r="F10" s="64">
        <v>5.39</v>
      </c>
      <c r="G10" s="64">
        <v>97.33</v>
      </c>
      <c r="H10" s="64">
        <v>61.06</v>
      </c>
      <c r="I10" s="64">
        <v>1.52</v>
      </c>
      <c r="J10" s="64">
        <v>0.16</v>
      </c>
      <c r="K10" s="64">
        <v>91.4</v>
      </c>
      <c r="L10" s="64">
        <v>12.95</v>
      </c>
      <c r="M10" s="64">
        <v>51.49</v>
      </c>
      <c r="N10" s="64">
        <v>55.1</v>
      </c>
      <c r="O10" s="64">
        <v>0</v>
      </c>
      <c r="P10" s="64">
        <v>0.8</v>
      </c>
      <c r="Q10" s="64">
        <v>11.77</v>
      </c>
      <c r="R10" s="198"/>
      <c r="S10" s="198"/>
      <c r="T10" s="198"/>
      <c r="U10" s="198"/>
    </row>
    <row r="11" spans="1:21" s="12" customFormat="1" x14ac:dyDescent="0.25">
      <c r="A11" s="214" t="s">
        <v>2074</v>
      </c>
      <c r="B11" s="64">
        <v>41.99</v>
      </c>
      <c r="C11" s="64">
        <v>74.11</v>
      </c>
      <c r="D11" s="64">
        <v>75.22</v>
      </c>
      <c r="E11" s="64">
        <v>1.08</v>
      </c>
      <c r="F11" s="64">
        <v>8.94</v>
      </c>
      <c r="G11" s="64">
        <v>96.43</v>
      </c>
      <c r="H11" s="64">
        <v>60.69</v>
      </c>
      <c r="I11" s="64">
        <v>1.48</v>
      </c>
      <c r="J11" s="64">
        <v>0.06</v>
      </c>
      <c r="K11" s="64">
        <v>342.83</v>
      </c>
      <c r="L11" s="64">
        <v>13.27</v>
      </c>
      <c r="M11" s="64">
        <v>50.45</v>
      </c>
      <c r="N11" s="64">
        <v>55.3</v>
      </c>
      <c r="O11" s="64">
        <v>0</v>
      </c>
      <c r="P11" s="64">
        <v>0.56999999999999995</v>
      </c>
      <c r="Q11" s="64">
        <v>12.5</v>
      </c>
      <c r="R11" s="198"/>
      <c r="S11" s="198"/>
      <c r="T11" s="198"/>
      <c r="U11" s="198"/>
    </row>
    <row r="12" spans="1:21" s="12" customFormat="1" x14ac:dyDescent="0.25">
      <c r="A12" s="214" t="s">
        <v>2075</v>
      </c>
      <c r="B12" s="64">
        <v>38.42</v>
      </c>
      <c r="C12" s="64">
        <v>72.48</v>
      </c>
      <c r="D12" s="64">
        <v>71.45</v>
      </c>
      <c r="E12" s="64">
        <v>1.06</v>
      </c>
      <c r="F12" s="64">
        <v>12.91</v>
      </c>
      <c r="G12" s="64">
        <v>93.09</v>
      </c>
      <c r="H12" s="64">
        <v>58.87</v>
      </c>
      <c r="I12" s="64">
        <v>1.53</v>
      </c>
      <c r="J12" s="64">
        <v>0.19</v>
      </c>
      <c r="K12" s="64">
        <v>339.1</v>
      </c>
      <c r="L12" s="64">
        <v>13.2</v>
      </c>
      <c r="M12" s="64">
        <v>50.11</v>
      </c>
      <c r="N12" s="64">
        <v>61.1</v>
      </c>
      <c r="O12" s="64">
        <v>0</v>
      </c>
      <c r="P12" s="64">
        <v>0.49</v>
      </c>
      <c r="Q12" s="64">
        <v>12.9</v>
      </c>
      <c r="R12" s="198"/>
      <c r="S12" s="198"/>
      <c r="T12" s="198"/>
      <c r="U12" s="198"/>
    </row>
    <row r="13" spans="1:21" s="12" customFormat="1" x14ac:dyDescent="0.25">
      <c r="A13" s="214" t="s">
        <v>2076</v>
      </c>
      <c r="B13" s="64">
        <v>34.520000000000003</v>
      </c>
      <c r="C13" s="64">
        <v>70.95</v>
      </c>
      <c r="D13" s="64">
        <v>67.48</v>
      </c>
      <c r="E13" s="64">
        <v>1.63</v>
      </c>
      <c r="F13" s="64">
        <v>18.149999999999999</v>
      </c>
      <c r="G13" s="64">
        <v>93.09</v>
      </c>
      <c r="H13" s="64">
        <v>58.87</v>
      </c>
      <c r="I13" s="64">
        <v>1.5</v>
      </c>
      <c r="J13" s="64">
        <v>0.57999999999999996</v>
      </c>
      <c r="K13" s="64">
        <v>341.98</v>
      </c>
      <c r="L13" s="64">
        <v>13.04</v>
      </c>
      <c r="M13" s="64">
        <v>50.82</v>
      </c>
      <c r="N13" s="64">
        <v>73.7</v>
      </c>
      <c r="O13" s="64">
        <v>0</v>
      </c>
      <c r="P13" s="64">
        <v>0.43</v>
      </c>
      <c r="Q13" s="64">
        <v>13.04</v>
      </c>
      <c r="R13" s="198"/>
      <c r="S13" s="198"/>
      <c r="T13" s="198"/>
      <c r="U13" s="198"/>
    </row>
    <row r="14" spans="1:21" s="12" customFormat="1" x14ac:dyDescent="0.25">
      <c r="A14" s="214" t="s">
        <v>2077</v>
      </c>
      <c r="B14" s="64">
        <v>30.69</v>
      </c>
      <c r="C14" s="64">
        <v>69.400000000000006</v>
      </c>
      <c r="D14" s="64">
        <v>63.55</v>
      </c>
      <c r="E14" s="64">
        <v>3.04</v>
      </c>
      <c r="F14" s="64">
        <v>18.420000000000002</v>
      </c>
      <c r="G14" s="64">
        <v>93.09</v>
      </c>
      <c r="H14" s="64">
        <v>58.87</v>
      </c>
      <c r="I14" s="64">
        <v>1.51</v>
      </c>
      <c r="J14" s="64">
        <v>0.56999999999999995</v>
      </c>
      <c r="K14" s="64">
        <v>342.2</v>
      </c>
      <c r="L14" s="64">
        <v>12.91</v>
      </c>
      <c r="M14" s="64">
        <v>51.57</v>
      </c>
      <c r="N14" s="64">
        <v>67.5</v>
      </c>
      <c r="O14" s="64">
        <v>0</v>
      </c>
      <c r="P14" s="64">
        <v>0.42</v>
      </c>
      <c r="Q14" s="64">
        <v>12.51</v>
      </c>
      <c r="R14" s="198"/>
      <c r="S14" s="198"/>
      <c r="T14" s="198"/>
      <c r="U14" s="198"/>
    </row>
    <row r="15" spans="1:21" s="12" customFormat="1" x14ac:dyDescent="0.25">
      <c r="A15" s="214" t="s">
        <v>2078</v>
      </c>
      <c r="B15" s="64">
        <v>27.38</v>
      </c>
      <c r="C15" s="64">
        <v>68.12</v>
      </c>
      <c r="D15" s="64">
        <v>60.2</v>
      </c>
      <c r="E15" s="64">
        <v>3.83</v>
      </c>
      <c r="F15" s="64">
        <v>16.28</v>
      </c>
      <c r="G15" s="64">
        <v>86.98</v>
      </c>
      <c r="H15" s="64">
        <v>57.13</v>
      </c>
      <c r="I15" s="64">
        <v>1.43</v>
      </c>
      <c r="J15" s="64">
        <v>0.15</v>
      </c>
      <c r="K15" s="64">
        <v>348.24</v>
      </c>
      <c r="L15" s="64">
        <v>12.65</v>
      </c>
      <c r="M15" s="64">
        <v>52.95</v>
      </c>
      <c r="N15" s="64">
        <v>60.3</v>
      </c>
      <c r="O15" s="64">
        <v>0</v>
      </c>
      <c r="P15" s="64">
        <v>0.42</v>
      </c>
      <c r="Q15" s="64">
        <v>11.24</v>
      </c>
      <c r="R15" s="198"/>
      <c r="S15" s="198"/>
      <c r="T15" s="198"/>
      <c r="U15" s="198"/>
    </row>
    <row r="16" spans="1:21" s="12" customFormat="1" x14ac:dyDescent="0.25">
      <c r="A16" s="214" t="s">
        <v>2079</v>
      </c>
      <c r="B16" s="64">
        <v>24.96</v>
      </c>
      <c r="C16" s="64">
        <v>67.19</v>
      </c>
      <c r="D16" s="64">
        <v>57.75</v>
      </c>
      <c r="E16" s="64">
        <v>3.62</v>
      </c>
      <c r="F16" s="64">
        <v>9.8800000000000008</v>
      </c>
      <c r="G16" s="64">
        <v>62.54</v>
      </c>
      <c r="H16" s="64">
        <v>52.4</v>
      </c>
      <c r="I16" s="64">
        <v>1.49</v>
      </c>
      <c r="J16" s="64">
        <v>0.18</v>
      </c>
      <c r="K16" s="64">
        <v>4.3899999999999997</v>
      </c>
      <c r="L16" s="64">
        <v>12.13</v>
      </c>
      <c r="M16" s="64">
        <v>55.21</v>
      </c>
      <c r="N16" s="64">
        <v>61.6</v>
      </c>
      <c r="O16" s="64">
        <v>0</v>
      </c>
      <c r="P16" s="64">
        <v>0.49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4" t="s">
        <v>2080</v>
      </c>
      <c r="B17" s="64">
        <v>22.96</v>
      </c>
      <c r="C17" s="64">
        <v>66.2</v>
      </c>
      <c r="D17" s="64">
        <v>55.59</v>
      </c>
      <c r="E17" s="64">
        <v>2.75</v>
      </c>
      <c r="F17" s="64">
        <v>9.3699999999999992</v>
      </c>
      <c r="G17" s="64">
        <v>62.54</v>
      </c>
      <c r="H17" s="64">
        <v>52.4</v>
      </c>
      <c r="I17" s="64">
        <v>1.54</v>
      </c>
      <c r="J17" s="64">
        <v>0.06</v>
      </c>
      <c r="K17" s="64">
        <v>335.45</v>
      </c>
      <c r="L17" s="64">
        <v>11.9</v>
      </c>
      <c r="M17" s="64">
        <v>55.56</v>
      </c>
      <c r="N17" s="64">
        <v>68</v>
      </c>
      <c r="O17" s="64">
        <v>0</v>
      </c>
      <c r="P17" s="64">
        <v>0.43</v>
      </c>
      <c r="Q17" s="64">
        <v>9.0399999999999991</v>
      </c>
      <c r="R17" s="198"/>
      <c r="S17" s="198"/>
      <c r="T17" s="198"/>
      <c r="U17" s="198"/>
    </row>
    <row r="18" spans="1:21" s="12" customFormat="1" x14ac:dyDescent="0.25">
      <c r="A18" s="214" t="s">
        <v>2081</v>
      </c>
      <c r="B18" s="64">
        <v>21.02</v>
      </c>
      <c r="C18" s="64">
        <v>64.89</v>
      </c>
      <c r="D18" s="64">
        <v>53.31</v>
      </c>
      <c r="E18" s="64">
        <v>2.4300000000000002</v>
      </c>
      <c r="F18" s="64">
        <v>15.61</v>
      </c>
      <c r="G18" s="64">
        <v>62.54</v>
      </c>
      <c r="H18" s="64">
        <v>52.4</v>
      </c>
      <c r="I18" s="64">
        <v>1.49</v>
      </c>
      <c r="J18" s="64">
        <v>0.43</v>
      </c>
      <c r="K18" s="64">
        <v>345.22</v>
      </c>
      <c r="L18" s="64">
        <v>11.95</v>
      </c>
      <c r="M18" s="64">
        <v>54.77</v>
      </c>
      <c r="N18" s="64">
        <v>71.400000000000006</v>
      </c>
      <c r="O18" s="64">
        <v>0</v>
      </c>
      <c r="P18" s="64">
        <v>0.34</v>
      </c>
      <c r="Q18" s="64">
        <v>9.1999999999999993</v>
      </c>
      <c r="R18" s="198"/>
      <c r="S18" s="198"/>
      <c r="T18" s="198"/>
      <c r="U18" s="198"/>
    </row>
    <row r="19" spans="1:21" s="12" customFormat="1" x14ac:dyDescent="0.25">
      <c r="A19" s="214" t="s">
        <v>2082</v>
      </c>
      <c r="B19" s="64">
        <v>18.78</v>
      </c>
      <c r="C19" s="64">
        <v>63.55</v>
      </c>
      <c r="D19" s="64">
        <v>50.78</v>
      </c>
      <c r="E19" s="64">
        <v>3.54</v>
      </c>
      <c r="F19" s="64">
        <v>24.92</v>
      </c>
      <c r="G19" s="64">
        <v>63.34</v>
      </c>
      <c r="H19" s="64">
        <v>50.26</v>
      </c>
      <c r="I19" s="64">
        <v>1.46</v>
      </c>
      <c r="J19" s="64">
        <v>0.75</v>
      </c>
      <c r="K19" s="64">
        <v>343.24</v>
      </c>
      <c r="L19" s="64">
        <v>12.19</v>
      </c>
      <c r="M19" s="64">
        <v>52.86</v>
      </c>
      <c r="N19" s="64">
        <v>67.8</v>
      </c>
      <c r="O19" s="64">
        <v>0</v>
      </c>
      <c r="P19" s="64">
        <v>0.38</v>
      </c>
      <c r="Q19" s="64">
        <v>10.01</v>
      </c>
      <c r="R19" s="198"/>
      <c r="S19" s="198"/>
      <c r="T19" s="198"/>
      <c r="U19" s="198"/>
    </row>
    <row r="20" spans="1:21" s="12" customFormat="1" x14ac:dyDescent="0.25">
      <c r="A20" s="214" t="s">
        <v>2083</v>
      </c>
      <c r="B20" s="64">
        <v>16.78</v>
      </c>
      <c r="C20" s="64">
        <v>62.2</v>
      </c>
      <c r="D20" s="64">
        <v>48.43</v>
      </c>
      <c r="E20" s="64">
        <v>5.38</v>
      </c>
      <c r="F20" s="64">
        <v>24.8</v>
      </c>
      <c r="G20" s="64">
        <v>66.569999999999993</v>
      </c>
      <c r="H20" s="64">
        <v>44.44</v>
      </c>
      <c r="I20" s="64">
        <v>1.56</v>
      </c>
      <c r="J20" s="64">
        <v>0.76</v>
      </c>
      <c r="K20" s="64">
        <v>341.46</v>
      </c>
      <c r="L20" s="64">
        <v>12.24</v>
      </c>
      <c r="M20" s="64">
        <v>52.98</v>
      </c>
      <c r="N20" s="64">
        <v>76.2</v>
      </c>
      <c r="O20" s="64">
        <v>0</v>
      </c>
      <c r="P20" s="64">
        <v>0.43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4" t="s">
        <v>2084</v>
      </c>
      <c r="B21" s="64">
        <v>15.02</v>
      </c>
      <c r="C21" s="64">
        <v>61.43</v>
      </c>
      <c r="D21" s="64">
        <v>46.59</v>
      </c>
      <c r="E21" s="64">
        <v>7.03</v>
      </c>
      <c r="F21" s="64">
        <v>20.11</v>
      </c>
      <c r="G21" s="64">
        <v>66.569999999999993</v>
      </c>
      <c r="H21" s="64">
        <v>44.44</v>
      </c>
      <c r="I21" s="64">
        <v>1.51</v>
      </c>
      <c r="J21" s="64">
        <v>0.36</v>
      </c>
      <c r="K21" s="64">
        <v>339.79</v>
      </c>
      <c r="L21" s="64">
        <v>11.96</v>
      </c>
      <c r="M21" s="64">
        <v>55.65</v>
      </c>
      <c r="N21" s="64">
        <v>87.6</v>
      </c>
      <c r="O21" s="64">
        <v>0</v>
      </c>
      <c r="P21" s="64">
        <v>0.47</v>
      </c>
      <c r="Q21" s="64">
        <v>8.6</v>
      </c>
      <c r="R21" s="198"/>
      <c r="S21" s="198"/>
      <c r="T21" s="198"/>
      <c r="U21" s="198"/>
    </row>
    <row r="22" spans="1:21" s="12" customFormat="1" x14ac:dyDescent="0.25">
      <c r="A22" s="214" t="s">
        <v>2085</v>
      </c>
      <c r="B22" s="64">
        <v>13.71</v>
      </c>
      <c r="C22" s="64">
        <v>61.1</v>
      </c>
      <c r="D22" s="64">
        <v>45.36</v>
      </c>
      <c r="E22" s="64">
        <v>6.19</v>
      </c>
      <c r="F22" s="64">
        <v>14.15</v>
      </c>
      <c r="G22" s="64">
        <v>66.569999999999993</v>
      </c>
      <c r="H22" s="64">
        <v>44.44</v>
      </c>
      <c r="I22" s="64">
        <v>1.49</v>
      </c>
      <c r="J22" s="64">
        <v>0.15</v>
      </c>
      <c r="K22" s="64">
        <v>359.78</v>
      </c>
      <c r="L22" s="64">
        <v>11.65</v>
      </c>
      <c r="M22" s="64">
        <v>57.17</v>
      </c>
      <c r="N22" s="64">
        <v>92.3</v>
      </c>
      <c r="O22" s="64">
        <v>0</v>
      </c>
      <c r="P22" s="64">
        <v>0.5</v>
      </c>
      <c r="Q22" s="64">
        <v>7.47</v>
      </c>
      <c r="R22" s="198"/>
      <c r="S22" s="198"/>
      <c r="T22" s="198"/>
      <c r="U22" s="198"/>
    </row>
    <row r="23" spans="1:21" s="12" customFormat="1" x14ac:dyDescent="0.25">
      <c r="A23" s="214" t="s">
        <v>2086</v>
      </c>
      <c r="B23" s="64">
        <v>12.85</v>
      </c>
      <c r="C23" s="64">
        <v>60.59</v>
      </c>
      <c r="D23" s="64">
        <v>44.38</v>
      </c>
      <c r="E23" s="64">
        <v>5.45</v>
      </c>
      <c r="F23" s="64">
        <v>13.78</v>
      </c>
      <c r="G23" s="64">
        <v>65.400000000000006</v>
      </c>
      <c r="H23" s="64">
        <v>39.11</v>
      </c>
      <c r="I23" s="64">
        <v>1.46</v>
      </c>
      <c r="J23" s="64">
        <v>0.2</v>
      </c>
      <c r="K23" s="64">
        <v>329.72</v>
      </c>
      <c r="L23" s="64">
        <v>11.39</v>
      </c>
      <c r="M23" s="64">
        <v>58.04</v>
      </c>
      <c r="N23" s="64">
        <v>86</v>
      </c>
      <c r="O23" s="64">
        <v>0</v>
      </c>
      <c r="P23" s="64">
        <v>0.43</v>
      </c>
      <c r="Q23" s="64">
        <v>6.93</v>
      </c>
      <c r="R23" s="198"/>
      <c r="S23" s="198"/>
      <c r="T23" s="198"/>
      <c r="U23" s="198"/>
    </row>
    <row r="24" spans="1:21" s="12" customFormat="1" x14ac:dyDescent="0.25">
      <c r="A24" s="214" t="s">
        <v>2087</v>
      </c>
      <c r="B24" s="64">
        <v>12.15</v>
      </c>
      <c r="C24" s="64">
        <v>60.09</v>
      </c>
      <c r="D24" s="64">
        <v>43.55</v>
      </c>
      <c r="E24" s="64">
        <v>2.4300000000000002</v>
      </c>
      <c r="F24" s="64">
        <v>18.170000000000002</v>
      </c>
      <c r="G24" s="64">
        <v>60.73</v>
      </c>
      <c r="H24" s="64">
        <v>24.6</v>
      </c>
      <c r="I24" s="64">
        <v>1.52</v>
      </c>
      <c r="J24" s="64">
        <v>0.45</v>
      </c>
      <c r="K24" s="64">
        <v>337.82</v>
      </c>
      <c r="L24" s="64">
        <v>11.41</v>
      </c>
      <c r="M24" s="64">
        <v>57.92</v>
      </c>
      <c r="N24" s="64">
        <v>115.9</v>
      </c>
      <c r="O24" s="64">
        <v>0</v>
      </c>
      <c r="P24" s="64">
        <v>0.3</v>
      </c>
      <c r="Q24" s="64">
        <v>6.82</v>
      </c>
      <c r="R24" s="198"/>
      <c r="S24" s="198"/>
      <c r="T24" s="198"/>
      <c r="U24" s="198"/>
    </row>
    <row r="25" spans="1:21" s="12" customFormat="1" x14ac:dyDescent="0.25">
      <c r="A25" s="214" t="s">
        <v>2088</v>
      </c>
      <c r="B25" s="64">
        <v>11.47</v>
      </c>
      <c r="C25" s="64">
        <v>59.45</v>
      </c>
      <c r="D25" s="64">
        <v>42.65</v>
      </c>
      <c r="E25" s="64">
        <v>3.82</v>
      </c>
      <c r="F25" s="64">
        <v>24.48</v>
      </c>
      <c r="G25" s="64">
        <v>60.73</v>
      </c>
      <c r="H25" s="64">
        <v>24.6</v>
      </c>
      <c r="I25" s="64">
        <v>1.52</v>
      </c>
      <c r="J25" s="64">
        <v>0.77</v>
      </c>
      <c r="K25" s="64">
        <v>345.68</v>
      </c>
      <c r="L25" s="64">
        <v>11.41</v>
      </c>
      <c r="M25" s="64">
        <v>58</v>
      </c>
      <c r="N25" s="64">
        <v>107.4</v>
      </c>
      <c r="O25" s="64">
        <v>0</v>
      </c>
      <c r="P25" s="64">
        <v>0.26</v>
      </c>
      <c r="Q25" s="64">
        <v>7.38</v>
      </c>
      <c r="R25" s="198"/>
      <c r="S25" s="198"/>
      <c r="T25" s="198"/>
      <c r="U25" s="198"/>
    </row>
    <row r="26" spans="1:21" s="12" customFormat="1" x14ac:dyDescent="0.25">
      <c r="A26" s="214" t="s">
        <v>2089</v>
      </c>
      <c r="B26" s="64">
        <v>10.73</v>
      </c>
      <c r="C26" s="64">
        <v>58.76</v>
      </c>
      <c r="D26" s="64">
        <v>41.68</v>
      </c>
      <c r="E26" s="64">
        <v>4.6399999999999997</v>
      </c>
      <c r="F26" s="64">
        <v>22.32</v>
      </c>
      <c r="G26" s="64">
        <v>60.73</v>
      </c>
      <c r="H26" s="64">
        <v>24.6</v>
      </c>
      <c r="I26" s="64">
        <v>1.52</v>
      </c>
      <c r="J26" s="64">
        <v>0.6</v>
      </c>
      <c r="K26" s="64">
        <v>346.49</v>
      </c>
      <c r="L26" s="64">
        <v>11.33</v>
      </c>
      <c r="M26" s="64">
        <v>59.05</v>
      </c>
      <c r="N26" s="64">
        <v>79.599999999999994</v>
      </c>
      <c r="O26" s="64">
        <v>0</v>
      </c>
      <c r="P26" s="64">
        <v>0.33</v>
      </c>
      <c r="Q26" s="64">
        <v>7.34</v>
      </c>
      <c r="R26" s="198"/>
      <c r="S26" s="198"/>
      <c r="T26" s="198"/>
      <c r="U26" s="198"/>
    </row>
    <row r="27" spans="1:21" s="12" customFormat="1" x14ac:dyDescent="0.25">
      <c r="A27" s="214" t="s">
        <v>2090</v>
      </c>
      <c r="B27" s="64">
        <v>10.28</v>
      </c>
      <c r="C27" s="64">
        <v>58.52</v>
      </c>
      <c r="D27" s="64">
        <v>41.19</v>
      </c>
      <c r="E27" s="64">
        <v>4.12</v>
      </c>
      <c r="F27" s="64">
        <v>11.29</v>
      </c>
      <c r="G27" s="64">
        <v>60.22</v>
      </c>
      <c r="H27" s="64">
        <v>27.44</v>
      </c>
      <c r="I27" s="64">
        <v>1.54</v>
      </c>
      <c r="J27" s="64">
        <v>0.09</v>
      </c>
      <c r="K27" s="64">
        <v>60.05</v>
      </c>
      <c r="L27" s="64">
        <v>11.01</v>
      </c>
      <c r="M27" s="64">
        <v>61.59</v>
      </c>
      <c r="N27" s="64">
        <v>71.400000000000006</v>
      </c>
      <c r="O27" s="64">
        <v>0</v>
      </c>
      <c r="P27" s="64">
        <v>0.39</v>
      </c>
      <c r="Q27" s="64">
        <v>5.86</v>
      </c>
      <c r="R27" s="198"/>
      <c r="S27" s="198"/>
      <c r="T27" s="198"/>
      <c r="U27" s="198"/>
    </row>
    <row r="28" spans="1:21" s="12" customFormat="1" x14ac:dyDescent="0.25">
      <c r="A28" s="214" t="s">
        <v>2091</v>
      </c>
      <c r="B28" s="64">
        <v>10.199999999999999</v>
      </c>
      <c r="C28" s="64">
        <v>58.68</v>
      </c>
      <c r="D28" s="64">
        <v>41.21</v>
      </c>
      <c r="E28" s="64">
        <v>4.41</v>
      </c>
      <c r="F28" s="64">
        <v>9.65</v>
      </c>
      <c r="G28" s="64">
        <v>58.2</v>
      </c>
      <c r="H28" s="64">
        <v>40.1</v>
      </c>
      <c r="I28" s="64">
        <v>1.53</v>
      </c>
      <c r="J28" s="64">
        <v>0.25</v>
      </c>
      <c r="K28" s="64">
        <v>90.48</v>
      </c>
      <c r="L28" s="64">
        <v>10.78</v>
      </c>
      <c r="M28" s="64">
        <v>62.52</v>
      </c>
      <c r="N28" s="64">
        <v>78.2</v>
      </c>
      <c r="O28" s="64">
        <v>0</v>
      </c>
      <c r="P28" s="64">
        <v>0.49</v>
      </c>
      <c r="Q28" s="64">
        <v>5.33</v>
      </c>
      <c r="R28" s="198"/>
      <c r="S28" s="198"/>
      <c r="T28" s="198"/>
      <c r="U28" s="198"/>
    </row>
    <row r="29" spans="1:21" s="12" customFormat="1" x14ac:dyDescent="0.25">
      <c r="A29" s="214" t="s">
        <v>2092</v>
      </c>
      <c r="B29" s="64">
        <v>10.08</v>
      </c>
      <c r="C29" s="64">
        <v>58.39</v>
      </c>
      <c r="D29" s="64">
        <v>40.950000000000003</v>
      </c>
      <c r="E29" s="64">
        <v>4.51</v>
      </c>
      <c r="F29" s="64">
        <v>8.84</v>
      </c>
      <c r="G29" s="64">
        <v>58.2</v>
      </c>
      <c r="H29" s="64">
        <v>40.1</v>
      </c>
      <c r="I29" s="64">
        <v>1.48</v>
      </c>
      <c r="J29" s="64">
        <v>0.16</v>
      </c>
      <c r="K29" s="64">
        <v>94.07</v>
      </c>
      <c r="L29" s="64">
        <v>10.55</v>
      </c>
      <c r="M29" s="64">
        <v>63.54</v>
      </c>
      <c r="N29" s="64">
        <v>84.4</v>
      </c>
      <c r="O29" s="64">
        <v>0</v>
      </c>
      <c r="P29" s="64">
        <v>0.56999999999999995</v>
      </c>
      <c r="Q29" s="64">
        <v>5.25</v>
      </c>
      <c r="R29" s="198"/>
      <c r="S29" s="198"/>
      <c r="T29" s="198"/>
      <c r="U29" s="198"/>
    </row>
    <row r="30" spans="1:21" s="12" customFormat="1" x14ac:dyDescent="0.25">
      <c r="A30" s="214" t="s">
        <v>2093</v>
      </c>
      <c r="B30" s="64">
        <v>10.19</v>
      </c>
      <c r="C30" s="64">
        <v>58.25</v>
      </c>
      <c r="D30" s="64">
        <v>40.97</v>
      </c>
      <c r="E30" s="64">
        <v>3.89</v>
      </c>
      <c r="F30" s="64">
        <v>7.6</v>
      </c>
      <c r="G30" s="64">
        <v>58.2</v>
      </c>
      <c r="H30" s="64">
        <v>40.1</v>
      </c>
      <c r="I30" s="64">
        <v>1.45</v>
      </c>
      <c r="J30" s="64">
        <v>0.1</v>
      </c>
      <c r="K30" s="64">
        <v>19.57</v>
      </c>
      <c r="L30" s="64">
        <v>10.6</v>
      </c>
      <c r="M30" s="64">
        <v>62.69</v>
      </c>
      <c r="N30" s="64">
        <v>89.2</v>
      </c>
      <c r="O30" s="64">
        <v>0</v>
      </c>
      <c r="P30" s="64">
        <v>0.51</v>
      </c>
      <c r="Q30" s="64">
        <v>4.43</v>
      </c>
      <c r="R30" s="198"/>
      <c r="S30" s="198"/>
      <c r="T30" s="198"/>
      <c r="U30" s="198"/>
    </row>
    <row r="31" spans="1:21" s="12" customFormat="1" x14ac:dyDescent="0.25">
      <c r="A31" s="214" t="s">
        <v>2094</v>
      </c>
      <c r="B31" s="64">
        <v>10.53</v>
      </c>
      <c r="C31" s="64">
        <v>58.44</v>
      </c>
      <c r="D31" s="64">
        <v>41.34</v>
      </c>
      <c r="E31" s="64">
        <v>3.02</v>
      </c>
      <c r="F31" s="64">
        <v>8.3800000000000008</v>
      </c>
      <c r="G31" s="64">
        <v>62.39</v>
      </c>
      <c r="H31" s="64">
        <v>41.02</v>
      </c>
      <c r="I31" s="64">
        <v>1.49</v>
      </c>
      <c r="J31" s="64">
        <v>0.16</v>
      </c>
      <c r="K31" s="64">
        <v>16.61</v>
      </c>
      <c r="L31" s="64">
        <v>10.54</v>
      </c>
      <c r="M31" s="64">
        <v>62.3</v>
      </c>
      <c r="N31" s="64">
        <v>76.900000000000006</v>
      </c>
      <c r="O31" s="64">
        <v>0</v>
      </c>
      <c r="P31" s="64">
        <v>0.49</v>
      </c>
      <c r="Q31" s="64">
        <v>4.1500000000000004</v>
      </c>
      <c r="R31" s="198"/>
      <c r="S31" s="198"/>
      <c r="T31" s="198"/>
      <c r="U31" s="198"/>
    </row>
    <row r="32" spans="1:21" s="12" customFormat="1" x14ac:dyDescent="0.25">
      <c r="A32" s="214" t="s">
        <v>2095</v>
      </c>
      <c r="B32" s="64">
        <v>10.44</v>
      </c>
      <c r="C32" s="64">
        <v>58.66</v>
      </c>
      <c r="D32" s="64">
        <v>41.39</v>
      </c>
      <c r="E32" s="64">
        <v>3.15</v>
      </c>
      <c r="F32" s="64">
        <v>13.48</v>
      </c>
      <c r="G32" s="64">
        <v>79.150000000000006</v>
      </c>
      <c r="H32" s="64">
        <v>43.5</v>
      </c>
      <c r="I32" s="64">
        <v>1.48</v>
      </c>
      <c r="J32" s="64">
        <v>0.28000000000000003</v>
      </c>
      <c r="K32" s="64">
        <v>331.62</v>
      </c>
      <c r="L32" s="64">
        <v>10.64</v>
      </c>
      <c r="M32" s="64">
        <v>62.52</v>
      </c>
      <c r="N32" s="64">
        <v>84.2</v>
      </c>
      <c r="O32" s="64">
        <v>0</v>
      </c>
      <c r="P32" s="64">
        <v>0.43</v>
      </c>
      <c r="Q32" s="64">
        <v>5.25</v>
      </c>
      <c r="R32" s="198"/>
      <c r="S32" s="198"/>
      <c r="T32" s="198"/>
      <c r="U32" s="198"/>
    </row>
    <row r="33" spans="1:21" s="12" customFormat="1" x14ac:dyDescent="0.25">
      <c r="A33" s="214" t="s">
        <v>2096</v>
      </c>
      <c r="B33" s="64">
        <v>10.41</v>
      </c>
      <c r="C33" s="64">
        <v>59.03</v>
      </c>
      <c r="D33" s="64">
        <v>41.57</v>
      </c>
      <c r="E33" s="64">
        <v>3.03</v>
      </c>
      <c r="F33" s="64">
        <v>11.58</v>
      </c>
      <c r="G33" s="64">
        <v>79.150000000000006</v>
      </c>
      <c r="H33" s="64">
        <v>43.5</v>
      </c>
      <c r="I33" s="64">
        <v>1.51</v>
      </c>
      <c r="J33" s="64">
        <v>0.32</v>
      </c>
      <c r="K33" s="64">
        <v>337.24</v>
      </c>
      <c r="L33" s="64">
        <v>10.59</v>
      </c>
      <c r="M33" s="64">
        <v>63.06</v>
      </c>
      <c r="N33" s="64">
        <v>81.8</v>
      </c>
      <c r="O33" s="64">
        <v>0</v>
      </c>
      <c r="P33" s="64">
        <v>0.42</v>
      </c>
      <c r="Q33" s="64">
        <v>4.8499999999999996</v>
      </c>
      <c r="R33" s="198"/>
      <c r="S33" s="198"/>
      <c r="T33" s="198"/>
      <c r="U33" s="198"/>
    </row>
    <row r="34" spans="1:21" s="12" customFormat="1" x14ac:dyDescent="0.25">
      <c r="A34" s="214" t="s">
        <v>2097</v>
      </c>
      <c r="B34" s="64">
        <v>10.64</v>
      </c>
      <c r="C34" s="64">
        <v>59.44</v>
      </c>
      <c r="D34" s="64">
        <v>41.99</v>
      </c>
      <c r="E34" s="64">
        <v>2.91</v>
      </c>
      <c r="F34" s="64">
        <v>9.7899999999999991</v>
      </c>
      <c r="G34" s="64">
        <v>79.150000000000006</v>
      </c>
      <c r="H34" s="64">
        <v>43.5</v>
      </c>
      <c r="I34" s="64">
        <v>1.46</v>
      </c>
      <c r="J34" s="64">
        <v>0.1</v>
      </c>
      <c r="K34" s="64">
        <v>19.09</v>
      </c>
      <c r="L34" s="64">
        <v>10.5</v>
      </c>
      <c r="M34" s="64">
        <v>63.8</v>
      </c>
      <c r="N34" s="64">
        <v>80.599999999999994</v>
      </c>
      <c r="O34" s="64">
        <v>0</v>
      </c>
      <c r="P34" s="64">
        <v>0.47</v>
      </c>
      <c r="Q34" s="64">
        <v>4.6399999999999997</v>
      </c>
      <c r="R34" s="198"/>
      <c r="S34" s="198"/>
      <c r="T34" s="198"/>
      <c r="U34" s="198"/>
    </row>
    <row r="35" spans="1:21" s="12" customFormat="1" x14ac:dyDescent="0.25">
      <c r="A35" s="214" t="s">
        <v>2098</v>
      </c>
      <c r="B35" s="64">
        <v>11.03</v>
      </c>
      <c r="C35" s="64">
        <v>59.54</v>
      </c>
      <c r="D35" s="64">
        <v>42.35</v>
      </c>
      <c r="E35" s="64">
        <v>3.09</v>
      </c>
      <c r="F35" s="64">
        <v>7.78</v>
      </c>
      <c r="G35" s="64">
        <v>77.53</v>
      </c>
      <c r="H35" s="64">
        <v>42.47</v>
      </c>
      <c r="I35" s="64">
        <v>1.47</v>
      </c>
      <c r="J35" s="64">
        <v>0.11</v>
      </c>
      <c r="K35" s="64">
        <v>102.66</v>
      </c>
      <c r="L35" s="64">
        <v>10.37</v>
      </c>
      <c r="M35" s="64">
        <v>64.73</v>
      </c>
      <c r="N35" s="64">
        <v>100.4</v>
      </c>
      <c r="O35" s="64">
        <v>0</v>
      </c>
      <c r="P35" s="64">
        <v>0.49</v>
      </c>
      <c r="Q35" s="64">
        <v>4.42</v>
      </c>
      <c r="R35" s="198"/>
      <c r="S35" s="198"/>
      <c r="T35" s="198"/>
      <c r="U35" s="198"/>
    </row>
    <row r="36" spans="1:21" s="12" customFormat="1" x14ac:dyDescent="0.25">
      <c r="A36" s="214" t="s">
        <v>2099</v>
      </c>
      <c r="B36" s="64">
        <v>11.17</v>
      </c>
      <c r="C36" s="64">
        <v>59.53</v>
      </c>
      <c r="D36" s="64">
        <v>42.45</v>
      </c>
      <c r="E36" s="64">
        <v>2.85</v>
      </c>
      <c r="F36" s="64">
        <v>7.35</v>
      </c>
      <c r="G36" s="64">
        <v>71.069999999999993</v>
      </c>
      <c r="H36" s="64">
        <v>39.67</v>
      </c>
      <c r="I36" s="64">
        <v>1.57</v>
      </c>
      <c r="J36" s="64">
        <v>0.13</v>
      </c>
      <c r="K36" s="64">
        <v>70.5</v>
      </c>
      <c r="L36" s="64">
        <v>10.46</v>
      </c>
      <c r="M36" s="64">
        <v>64.88</v>
      </c>
      <c r="N36" s="64">
        <v>120.9</v>
      </c>
      <c r="O36" s="64">
        <v>0</v>
      </c>
      <c r="P36" s="64">
        <v>0.53</v>
      </c>
      <c r="Q36" s="64">
        <v>4.5599999999999996</v>
      </c>
      <c r="R36" s="198"/>
      <c r="S36" s="198"/>
      <c r="T36" s="198"/>
      <c r="U36" s="198"/>
    </row>
    <row r="37" spans="1:21" s="12" customFormat="1" x14ac:dyDescent="0.25">
      <c r="A37" s="214" t="s">
        <v>2100</v>
      </c>
      <c r="B37" s="64">
        <v>11.79</v>
      </c>
      <c r="C37" s="64">
        <v>59.88</v>
      </c>
      <c r="D37" s="64">
        <v>43.15</v>
      </c>
      <c r="E37" s="64">
        <v>2.4500000000000002</v>
      </c>
      <c r="F37" s="64">
        <v>6.11</v>
      </c>
      <c r="G37" s="64">
        <v>71.069999999999993</v>
      </c>
      <c r="H37" s="64">
        <v>39.67</v>
      </c>
      <c r="I37" s="64">
        <v>1.47</v>
      </c>
      <c r="J37" s="64">
        <v>0.21</v>
      </c>
      <c r="K37" s="64">
        <v>339.24</v>
      </c>
      <c r="L37" s="64">
        <v>10.89</v>
      </c>
      <c r="M37" s="64">
        <v>63.8</v>
      </c>
      <c r="N37" s="64">
        <v>131.5</v>
      </c>
      <c r="O37" s="64">
        <v>0</v>
      </c>
      <c r="P37" s="64">
        <v>0.67</v>
      </c>
      <c r="Q37" s="64">
        <v>2.9</v>
      </c>
      <c r="R37" s="198"/>
      <c r="S37" s="198"/>
      <c r="T37" s="198"/>
      <c r="U37" s="198"/>
    </row>
    <row r="38" spans="1:21" s="12" customFormat="1" x14ac:dyDescent="0.25">
      <c r="A38" s="214" t="s">
        <v>2101</v>
      </c>
      <c r="B38" s="64">
        <v>13.16</v>
      </c>
      <c r="C38" s="64">
        <v>60.54</v>
      </c>
      <c r="D38" s="64">
        <v>44.61</v>
      </c>
      <c r="E38" s="64">
        <v>2.11</v>
      </c>
      <c r="F38" s="64">
        <v>8.25</v>
      </c>
      <c r="G38" s="64">
        <v>71.069999999999993</v>
      </c>
      <c r="H38" s="64">
        <v>39.67</v>
      </c>
      <c r="I38" s="64">
        <v>1.47</v>
      </c>
      <c r="J38" s="64">
        <v>0.56000000000000005</v>
      </c>
      <c r="K38" s="64">
        <v>341.08</v>
      </c>
      <c r="L38" s="64">
        <v>11.52</v>
      </c>
      <c r="M38" s="64">
        <v>60.65</v>
      </c>
      <c r="N38" s="64">
        <v>143.6</v>
      </c>
      <c r="O38" s="64">
        <v>0</v>
      </c>
      <c r="P38" s="64">
        <v>0.67</v>
      </c>
      <c r="Q38" s="64">
        <v>2.5</v>
      </c>
      <c r="R38" s="198"/>
      <c r="S38" s="198"/>
      <c r="T38" s="198"/>
      <c r="U38" s="198"/>
    </row>
    <row r="39" spans="1:21" s="12" customFormat="1" x14ac:dyDescent="0.25">
      <c r="A39" s="214" t="s">
        <v>2102</v>
      </c>
      <c r="B39" s="64">
        <v>14.64</v>
      </c>
      <c r="C39" s="64">
        <v>61.57</v>
      </c>
      <c r="D39" s="64">
        <v>46.37</v>
      </c>
      <c r="E39" s="64">
        <v>1.87</v>
      </c>
      <c r="F39" s="64">
        <v>13.73</v>
      </c>
      <c r="G39" s="64">
        <v>72.98</v>
      </c>
      <c r="H39" s="64">
        <v>38.409999999999997</v>
      </c>
      <c r="I39" s="64">
        <v>1.52</v>
      </c>
      <c r="J39" s="64">
        <v>0.96</v>
      </c>
      <c r="K39" s="64">
        <v>342.61</v>
      </c>
      <c r="L39" s="64">
        <v>12.66</v>
      </c>
      <c r="M39" s="64">
        <v>55.16</v>
      </c>
      <c r="N39" s="64">
        <v>242.6</v>
      </c>
      <c r="O39" s="64">
        <v>0</v>
      </c>
      <c r="P39" s="64">
        <v>0.66</v>
      </c>
      <c r="Q39" s="64">
        <v>3.32</v>
      </c>
      <c r="R39" s="198"/>
      <c r="S39" s="198"/>
      <c r="T39" s="198"/>
      <c r="U39" s="198"/>
    </row>
    <row r="40" spans="1:21" s="12" customFormat="1" x14ac:dyDescent="0.25">
      <c r="A40" s="214" t="s">
        <v>2103</v>
      </c>
      <c r="B40" s="64">
        <v>14.87</v>
      </c>
      <c r="C40" s="64">
        <v>62.11</v>
      </c>
      <c r="D40" s="64">
        <v>46.85</v>
      </c>
      <c r="E40" s="64">
        <v>1.28</v>
      </c>
      <c r="F40" s="64">
        <v>19.190000000000001</v>
      </c>
      <c r="G40" s="64">
        <v>80.650000000000006</v>
      </c>
      <c r="H40" s="64">
        <v>34.97</v>
      </c>
      <c r="I40" s="64">
        <v>1.36</v>
      </c>
      <c r="J40" s="64">
        <v>0.89</v>
      </c>
      <c r="K40" s="64">
        <v>340.66</v>
      </c>
      <c r="L40" s="64">
        <v>15.15</v>
      </c>
      <c r="M40" s="64">
        <v>46.71</v>
      </c>
      <c r="N40" s="64">
        <v>350.5</v>
      </c>
      <c r="O40" s="64">
        <v>0</v>
      </c>
      <c r="P40" s="64">
        <v>0.59</v>
      </c>
      <c r="Q40" s="64">
        <v>5.76</v>
      </c>
      <c r="R40" s="198"/>
      <c r="S40" s="198"/>
      <c r="T40" s="198"/>
      <c r="U40" s="198"/>
    </row>
    <row r="41" spans="1:21" s="12" customFormat="1" x14ac:dyDescent="0.25">
      <c r="A41" s="214" t="s">
        <v>2104</v>
      </c>
      <c r="B41" s="64">
        <v>14.43</v>
      </c>
      <c r="C41" s="64">
        <v>62.71</v>
      </c>
      <c r="D41" s="64">
        <v>46.82</v>
      </c>
      <c r="E41" s="64">
        <v>2.2400000000000002</v>
      </c>
      <c r="F41" s="64">
        <v>16.059999999999999</v>
      </c>
      <c r="G41" s="64">
        <v>80.650000000000006</v>
      </c>
      <c r="H41" s="64">
        <v>34.97</v>
      </c>
      <c r="I41" s="64">
        <v>1.47</v>
      </c>
      <c r="J41" s="64">
        <v>0.69</v>
      </c>
      <c r="K41" s="64">
        <v>335.74</v>
      </c>
      <c r="L41" s="64">
        <v>16.91</v>
      </c>
      <c r="M41" s="64">
        <v>41.76</v>
      </c>
      <c r="N41" s="64">
        <v>396.8</v>
      </c>
      <c r="O41" s="64">
        <v>0</v>
      </c>
      <c r="P41" s="64">
        <v>0.57999999999999996</v>
      </c>
      <c r="Q41" s="64">
        <v>5.33</v>
      </c>
      <c r="R41" s="198"/>
      <c r="S41" s="198"/>
      <c r="T41" s="198"/>
      <c r="U41" s="198"/>
    </row>
    <row r="42" spans="1:21" s="12" customFormat="1" x14ac:dyDescent="0.25">
      <c r="A42" s="214" t="s">
        <v>2105</v>
      </c>
      <c r="B42" s="64">
        <v>14.13</v>
      </c>
      <c r="C42" s="64">
        <v>63.24</v>
      </c>
      <c r="D42" s="64">
        <v>46.88</v>
      </c>
      <c r="E42" s="64">
        <v>3.52</v>
      </c>
      <c r="F42" s="64">
        <v>17.510000000000002</v>
      </c>
      <c r="G42" s="64">
        <v>80.650000000000006</v>
      </c>
      <c r="H42" s="64">
        <v>34.97</v>
      </c>
      <c r="I42" s="64">
        <v>1.55</v>
      </c>
      <c r="J42" s="64">
        <v>1</v>
      </c>
      <c r="K42" s="64">
        <v>344.57</v>
      </c>
      <c r="L42" s="64">
        <v>17.79</v>
      </c>
      <c r="M42" s="64">
        <v>41.15</v>
      </c>
      <c r="N42" s="64">
        <v>421.7</v>
      </c>
      <c r="O42" s="64">
        <v>0</v>
      </c>
      <c r="P42" s="64">
        <v>0.63</v>
      </c>
      <c r="Q42" s="64">
        <v>5.42</v>
      </c>
      <c r="R42" s="198"/>
      <c r="S42" s="198"/>
      <c r="T42" s="198"/>
      <c r="U42" s="198"/>
    </row>
    <row r="43" spans="1:21" s="12" customFormat="1" x14ac:dyDescent="0.25">
      <c r="A43" s="214" t="s">
        <v>2106</v>
      </c>
      <c r="B43" s="64">
        <v>13.88</v>
      </c>
      <c r="C43" s="64">
        <v>63.86</v>
      </c>
      <c r="D43" s="64">
        <v>47.02</v>
      </c>
      <c r="E43" s="64">
        <v>4.79</v>
      </c>
      <c r="F43" s="64">
        <v>22.07</v>
      </c>
      <c r="G43" s="64">
        <v>80.53</v>
      </c>
      <c r="H43" s="64">
        <v>35.380000000000003</v>
      </c>
      <c r="I43" s="64">
        <v>1.52</v>
      </c>
      <c r="J43" s="64">
        <v>1.23</v>
      </c>
      <c r="K43" s="64">
        <v>343.6</v>
      </c>
      <c r="L43" s="64">
        <v>19.190000000000001</v>
      </c>
      <c r="M43" s="64">
        <v>37.770000000000003</v>
      </c>
      <c r="N43" s="64">
        <v>443</v>
      </c>
      <c r="O43" s="64">
        <v>0</v>
      </c>
      <c r="P43" s="64">
        <v>0.59</v>
      </c>
      <c r="Q43" s="64">
        <v>5.6</v>
      </c>
      <c r="R43" s="198"/>
      <c r="S43" s="198"/>
      <c r="T43" s="198"/>
      <c r="U43" s="198"/>
    </row>
    <row r="44" spans="1:21" s="12" customFormat="1" x14ac:dyDescent="0.25">
      <c r="A44" s="214" t="s">
        <v>2107</v>
      </c>
      <c r="B44" s="64">
        <v>13.15</v>
      </c>
      <c r="C44" s="64">
        <v>64.56</v>
      </c>
      <c r="D44" s="64">
        <v>46.82</v>
      </c>
      <c r="E44" s="64">
        <v>4.58</v>
      </c>
      <c r="F44" s="64">
        <v>21.6</v>
      </c>
      <c r="G44" s="64">
        <v>80.069999999999993</v>
      </c>
      <c r="H44" s="64">
        <v>37.22</v>
      </c>
      <c r="I44" s="64">
        <v>1.55</v>
      </c>
      <c r="J44" s="64">
        <v>1.49</v>
      </c>
      <c r="K44" s="64">
        <v>344.92</v>
      </c>
      <c r="L44" s="64">
        <v>19.88</v>
      </c>
      <c r="M44" s="64">
        <v>37.28</v>
      </c>
      <c r="N44" s="64">
        <v>485</v>
      </c>
      <c r="O44" s="64">
        <v>0</v>
      </c>
      <c r="P44" s="64">
        <v>0.6</v>
      </c>
      <c r="Q44" s="64">
        <v>5.6</v>
      </c>
      <c r="R44" s="198"/>
      <c r="S44" s="198"/>
      <c r="T44" s="198"/>
      <c r="U44" s="198"/>
    </row>
    <row r="45" spans="1:21" s="12" customFormat="1" x14ac:dyDescent="0.25">
      <c r="A45" s="214" t="s">
        <v>2108</v>
      </c>
      <c r="B45" s="64">
        <v>13.18</v>
      </c>
      <c r="C45" s="64">
        <v>65.88</v>
      </c>
      <c r="D45" s="64">
        <v>47.58</v>
      </c>
      <c r="E45" s="64">
        <v>3.41</v>
      </c>
      <c r="F45" s="64">
        <v>10.61</v>
      </c>
      <c r="G45" s="64">
        <v>80.069999999999993</v>
      </c>
      <c r="H45" s="64">
        <v>37.22</v>
      </c>
      <c r="I45" s="64">
        <v>1.45</v>
      </c>
      <c r="J45" s="64">
        <v>0.28000000000000003</v>
      </c>
      <c r="K45" s="64">
        <v>10.98</v>
      </c>
      <c r="L45" s="64">
        <v>19.89</v>
      </c>
      <c r="M45" s="64">
        <v>37.39</v>
      </c>
      <c r="N45" s="64">
        <v>502.8</v>
      </c>
      <c r="O45" s="64">
        <v>0</v>
      </c>
      <c r="P45" s="64">
        <v>0.56999999999999995</v>
      </c>
      <c r="Q45" s="64">
        <v>3.53</v>
      </c>
      <c r="R45" s="198"/>
      <c r="S45" s="198"/>
      <c r="T45" s="198"/>
      <c r="U45" s="198"/>
    </row>
    <row r="46" spans="1:21" s="12" customFormat="1" x14ac:dyDescent="0.25">
      <c r="A46" s="214" t="s">
        <v>2109</v>
      </c>
      <c r="B46" s="64">
        <v>14.2</v>
      </c>
      <c r="C46" s="64">
        <v>67.099999999999994</v>
      </c>
      <c r="D46" s="64">
        <v>49.07</v>
      </c>
      <c r="E46" s="64">
        <v>3.02</v>
      </c>
      <c r="F46" s="64">
        <v>13.06</v>
      </c>
      <c r="G46" s="64">
        <v>80.069999999999993</v>
      </c>
      <c r="H46" s="64">
        <v>37.22</v>
      </c>
      <c r="I46" s="64">
        <v>1.5</v>
      </c>
      <c r="J46" s="64">
        <v>0.74</v>
      </c>
      <c r="K46" s="64">
        <v>334.71</v>
      </c>
      <c r="L46" s="64">
        <v>19.48</v>
      </c>
      <c r="M46" s="64">
        <v>37.53</v>
      </c>
      <c r="N46" s="64">
        <v>428.1</v>
      </c>
      <c r="O46" s="64">
        <v>0</v>
      </c>
      <c r="P46" s="64">
        <v>0.61</v>
      </c>
      <c r="Q46" s="64">
        <v>3.28</v>
      </c>
      <c r="R46" s="198"/>
      <c r="S46" s="198"/>
      <c r="T46" s="198"/>
      <c r="U46" s="198"/>
    </row>
    <row r="47" spans="1:21" s="12" customFormat="1" x14ac:dyDescent="0.25">
      <c r="A47" s="214" t="s">
        <v>2110</v>
      </c>
      <c r="B47" s="64">
        <v>14.68</v>
      </c>
      <c r="C47" s="64">
        <v>68.28</v>
      </c>
      <c r="D47" s="64">
        <v>50.1</v>
      </c>
      <c r="E47" s="64">
        <v>2.98</v>
      </c>
      <c r="F47" s="64">
        <v>12.41</v>
      </c>
      <c r="G47" s="64">
        <v>77.97</v>
      </c>
      <c r="H47" s="64">
        <v>35.200000000000003</v>
      </c>
      <c r="I47" s="64">
        <v>1.5</v>
      </c>
      <c r="J47" s="64">
        <v>0.35</v>
      </c>
      <c r="K47" s="64">
        <v>8.25</v>
      </c>
      <c r="L47" s="64">
        <v>19.32</v>
      </c>
      <c r="M47" s="64">
        <v>38.47</v>
      </c>
      <c r="N47" s="64">
        <v>497.6</v>
      </c>
      <c r="O47" s="64">
        <v>0</v>
      </c>
      <c r="P47" s="64">
        <v>0.68</v>
      </c>
      <c r="Q47" s="64">
        <v>3.85</v>
      </c>
      <c r="R47" s="198"/>
      <c r="S47" s="198"/>
      <c r="T47" s="198"/>
      <c r="U47" s="198"/>
    </row>
    <row r="48" spans="1:21" s="12" customFormat="1" x14ac:dyDescent="0.25">
      <c r="A48" s="214" t="s">
        <v>2111</v>
      </c>
      <c r="B48" s="64">
        <v>14.78</v>
      </c>
      <c r="C48" s="64">
        <v>68.989999999999995</v>
      </c>
      <c r="D48" s="64">
        <v>50.58</v>
      </c>
      <c r="E48" s="64">
        <v>3.5</v>
      </c>
      <c r="F48" s="64">
        <v>15.11</v>
      </c>
      <c r="G48" s="64">
        <v>69.56</v>
      </c>
      <c r="H48" s="64">
        <v>29.38</v>
      </c>
      <c r="I48" s="64">
        <v>1.47</v>
      </c>
      <c r="J48" s="64">
        <v>0.47</v>
      </c>
      <c r="K48" s="64">
        <v>21.9</v>
      </c>
      <c r="L48" s="64">
        <v>19.28</v>
      </c>
      <c r="M48" s="64">
        <v>38.26</v>
      </c>
      <c r="N48" s="64">
        <v>582</v>
      </c>
      <c r="O48" s="64">
        <v>0</v>
      </c>
      <c r="P48" s="64">
        <v>0.56999999999999995</v>
      </c>
      <c r="Q48" s="64">
        <v>4.4400000000000004</v>
      </c>
      <c r="R48" s="198"/>
      <c r="S48" s="198"/>
      <c r="T48" s="198"/>
      <c r="U48" s="198"/>
    </row>
    <row r="49" spans="1:21" s="12" customFormat="1" x14ac:dyDescent="0.25">
      <c r="A49" s="214" t="s">
        <v>2112</v>
      </c>
      <c r="B49" s="64">
        <v>14.56</v>
      </c>
      <c r="C49" s="64">
        <v>69.13</v>
      </c>
      <c r="D49" s="64">
        <v>50.48</v>
      </c>
      <c r="E49" s="64">
        <v>3.22</v>
      </c>
      <c r="F49" s="64">
        <v>15.47</v>
      </c>
      <c r="G49" s="64">
        <v>69.56</v>
      </c>
      <c r="H49" s="64">
        <v>29.38</v>
      </c>
      <c r="I49" s="64">
        <v>1.53</v>
      </c>
      <c r="J49" s="64">
        <v>0.41</v>
      </c>
      <c r="K49" s="64">
        <v>22.72</v>
      </c>
      <c r="L49" s="64">
        <v>19.14</v>
      </c>
      <c r="M49" s="64">
        <v>40.08</v>
      </c>
      <c r="N49" s="64">
        <v>611.79999999999995</v>
      </c>
      <c r="O49" s="64">
        <v>0</v>
      </c>
      <c r="P49" s="64">
        <v>0.56999999999999995</v>
      </c>
      <c r="Q49" s="64">
        <v>4.88</v>
      </c>
      <c r="R49" s="198"/>
      <c r="S49" s="198"/>
      <c r="T49" s="198"/>
      <c r="U49" s="198"/>
    </row>
    <row r="50" spans="1:21" s="12" customFormat="1" x14ac:dyDescent="0.25">
      <c r="A50" s="214" t="s">
        <v>2113</v>
      </c>
      <c r="B50" s="64">
        <v>14.38</v>
      </c>
      <c r="C50" s="64">
        <v>69.55</v>
      </c>
      <c r="D50" s="64">
        <v>50.56</v>
      </c>
      <c r="E50" s="64">
        <v>4.01</v>
      </c>
      <c r="F50" s="64">
        <v>15.38</v>
      </c>
      <c r="G50" s="64">
        <v>69.56</v>
      </c>
      <c r="H50" s="64">
        <v>29.38</v>
      </c>
      <c r="I50" s="64">
        <v>1.48</v>
      </c>
      <c r="J50" s="64">
        <v>0.48</v>
      </c>
      <c r="K50" s="64">
        <v>355.89</v>
      </c>
      <c r="L50" s="64">
        <v>20.7</v>
      </c>
      <c r="M50" s="64">
        <v>35.729999999999997</v>
      </c>
      <c r="N50" s="64">
        <v>639.79999999999995</v>
      </c>
      <c r="O50" s="64">
        <v>0</v>
      </c>
      <c r="P50" s="64">
        <v>0.6</v>
      </c>
      <c r="Q50" s="64">
        <v>3.84</v>
      </c>
      <c r="R50" s="198"/>
      <c r="S50" s="198"/>
      <c r="T50" s="198"/>
      <c r="U50" s="198"/>
    </row>
    <row r="51" spans="1:21" s="12" customFormat="1" x14ac:dyDescent="0.25">
      <c r="A51" s="214" t="s">
        <v>2114</v>
      </c>
      <c r="B51" s="64">
        <v>14.16</v>
      </c>
      <c r="C51" s="64">
        <v>70.56</v>
      </c>
      <c r="D51" s="64">
        <v>50.94</v>
      </c>
      <c r="E51" s="64">
        <v>5.1100000000000003</v>
      </c>
      <c r="F51" s="64">
        <v>25.94</v>
      </c>
      <c r="G51" s="64">
        <v>70.7</v>
      </c>
      <c r="H51" s="64">
        <v>26.31</v>
      </c>
      <c r="I51" s="64">
        <v>1.45</v>
      </c>
      <c r="J51" s="64">
        <v>1.08</v>
      </c>
      <c r="K51" s="64">
        <v>340.57</v>
      </c>
      <c r="L51" s="64">
        <v>22.04</v>
      </c>
      <c r="M51" s="64">
        <v>31.54</v>
      </c>
      <c r="N51" s="64">
        <v>645.5</v>
      </c>
      <c r="O51" s="64">
        <v>0</v>
      </c>
      <c r="P51" s="64">
        <v>0.56999999999999995</v>
      </c>
      <c r="Q51" s="64">
        <v>4.6900000000000004</v>
      </c>
      <c r="R51" s="198"/>
      <c r="S51" s="198"/>
      <c r="T51" s="198"/>
      <c r="U51" s="198"/>
    </row>
    <row r="52" spans="1:21" s="12" customFormat="1" x14ac:dyDescent="0.25">
      <c r="A52" s="214" t="s">
        <v>2115</v>
      </c>
      <c r="B52" s="64">
        <v>13.51</v>
      </c>
      <c r="C52" s="64">
        <v>71.7</v>
      </c>
      <c r="D52" s="64">
        <v>51.05</v>
      </c>
      <c r="E52" s="64">
        <v>5.37</v>
      </c>
      <c r="F52" s="64">
        <v>26.52</v>
      </c>
      <c r="G52" s="64">
        <v>75.25</v>
      </c>
      <c r="H52" s="64">
        <v>17.95</v>
      </c>
      <c r="I52" s="64">
        <v>1.5</v>
      </c>
      <c r="J52" s="64">
        <v>0.95</v>
      </c>
      <c r="K52" s="64">
        <v>346.46</v>
      </c>
      <c r="L52" s="64">
        <v>22.67</v>
      </c>
      <c r="M52" s="64">
        <v>30.76</v>
      </c>
      <c r="N52" s="64">
        <v>689.4</v>
      </c>
      <c r="O52" s="64">
        <v>0</v>
      </c>
      <c r="P52" s="64">
        <v>0.62</v>
      </c>
      <c r="Q52" s="64">
        <v>5.36</v>
      </c>
      <c r="R52" s="198"/>
      <c r="S52" s="198"/>
      <c r="T52" s="198"/>
      <c r="U52" s="198"/>
    </row>
    <row r="53" spans="1:21" s="12" customFormat="1" x14ac:dyDescent="0.25">
      <c r="A53" s="214" t="s">
        <v>2116</v>
      </c>
      <c r="B53" s="64">
        <v>12.71</v>
      </c>
      <c r="C53" s="64">
        <v>72.319999999999993</v>
      </c>
      <c r="D53" s="64">
        <v>50.75</v>
      </c>
      <c r="E53" s="64">
        <v>5.86</v>
      </c>
      <c r="F53" s="64">
        <v>20.96</v>
      </c>
      <c r="G53" s="64">
        <v>75.25</v>
      </c>
      <c r="H53" s="64">
        <v>17.95</v>
      </c>
      <c r="I53" s="64">
        <v>1.51</v>
      </c>
      <c r="J53" s="64">
        <v>0.69</v>
      </c>
      <c r="K53" s="64">
        <v>346.22</v>
      </c>
      <c r="L53" s="64">
        <v>22.62</v>
      </c>
      <c r="M53" s="64">
        <v>30.02</v>
      </c>
      <c r="N53" s="64">
        <v>691.7</v>
      </c>
      <c r="O53" s="64">
        <v>0</v>
      </c>
      <c r="P53" s="64">
        <v>0.66</v>
      </c>
      <c r="Q53" s="64">
        <v>5.03</v>
      </c>
      <c r="R53" s="198"/>
      <c r="S53" s="198"/>
      <c r="T53" s="198"/>
      <c r="U53" s="198"/>
    </row>
    <row r="54" spans="1:21" s="12" customFormat="1" x14ac:dyDescent="0.25">
      <c r="A54" s="214" t="s">
        <v>2117</v>
      </c>
      <c r="B54" s="64">
        <v>12.3</v>
      </c>
      <c r="C54" s="64">
        <v>73.459999999999994</v>
      </c>
      <c r="D54" s="64">
        <v>51.05</v>
      </c>
      <c r="E54" s="64">
        <v>10.51</v>
      </c>
      <c r="F54" s="64">
        <v>21.9</v>
      </c>
      <c r="G54" s="64">
        <v>75.25</v>
      </c>
      <c r="H54" s="64">
        <v>17.95</v>
      </c>
      <c r="I54" s="64">
        <v>1.51</v>
      </c>
      <c r="J54" s="64">
        <v>1.01</v>
      </c>
      <c r="K54" s="64">
        <v>338.01</v>
      </c>
      <c r="L54" s="64">
        <v>23.5</v>
      </c>
      <c r="M54" s="64">
        <v>26.95</v>
      </c>
      <c r="N54" s="64">
        <v>710.5</v>
      </c>
      <c r="O54" s="64">
        <v>0</v>
      </c>
      <c r="P54" s="64">
        <v>0.59</v>
      </c>
      <c r="Q54" s="64">
        <v>4.32</v>
      </c>
      <c r="R54" s="198"/>
      <c r="S54" s="198"/>
      <c r="T54" s="198"/>
      <c r="U54" s="198"/>
    </row>
    <row r="55" spans="1:21" s="12" customFormat="1" x14ac:dyDescent="0.25">
      <c r="A55" s="214" t="s">
        <v>2118</v>
      </c>
      <c r="B55" s="64">
        <v>12.43</v>
      </c>
      <c r="C55" s="64">
        <v>74.900000000000006</v>
      </c>
      <c r="D55" s="64">
        <v>51.95</v>
      </c>
      <c r="E55" s="64">
        <v>15.84</v>
      </c>
      <c r="F55" s="64">
        <v>15.8</v>
      </c>
      <c r="G55" s="64">
        <v>75.760000000000005</v>
      </c>
      <c r="H55" s="64">
        <v>25.88</v>
      </c>
      <c r="I55" s="64">
        <v>1.45</v>
      </c>
      <c r="J55" s="64">
        <v>0.67</v>
      </c>
      <c r="K55" s="64">
        <v>12.45</v>
      </c>
      <c r="L55" s="64">
        <v>22.9</v>
      </c>
      <c r="M55" s="64">
        <v>28.09</v>
      </c>
      <c r="N55" s="64">
        <v>674.7</v>
      </c>
      <c r="O55" s="64">
        <v>0</v>
      </c>
      <c r="P55" s="64">
        <v>0.56999999999999995</v>
      </c>
      <c r="Q55" s="64">
        <v>3.26</v>
      </c>
      <c r="R55" s="198"/>
      <c r="S55" s="198"/>
      <c r="T55" s="198"/>
      <c r="U55" s="198"/>
    </row>
    <row r="56" spans="1:21" s="12" customFormat="1" x14ac:dyDescent="0.25">
      <c r="A56" s="214" t="s">
        <v>2119</v>
      </c>
      <c r="B56" s="64">
        <v>12.83</v>
      </c>
      <c r="C56" s="64">
        <v>75.75</v>
      </c>
      <c r="D56" s="64">
        <v>52.74</v>
      </c>
      <c r="E56" s="64">
        <v>11.13</v>
      </c>
      <c r="F56" s="64">
        <v>12.81</v>
      </c>
      <c r="G56" s="64">
        <v>77.819999999999993</v>
      </c>
      <c r="H56" s="64">
        <v>47.46</v>
      </c>
      <c r="I56" s="64">
        <v>1.49</v>
      </c>
      <c r="J56" s="64">
        <v>0.43</v>
      </c>
      <c r="K56" s="64">
        <v>34.43</v>
      </c>
      <c r="L56" s="64">
        <v>22.5</v>
      </c>
      <c r="M56" s="64">
        <v>28.66</v>
      </c>
      <c r="N56" s="64">
        <v>682.3</v>
      </c>
      <c r="O56" s="64">
        <v>0</v>
      </c>
      <c r="P56" s="64">
        <v>0.56999999999999995</v>
      </c>
      <c r="Q56" s="64">
        <v>3.21</v>
      </c>
      <c r="R56" s="198"/>
      <c r="S56" s="198"/>
      <c r="T56" s="198"/>
      <c r="U56" s="198"/>
    </row>
    <row r="57" spans="1:21" s="12" customFormat="1" x14ac:dyDescent="0.25">
      <c r="A57" s="214" t="s">
        <v>2120</v>
      </c>
      <c r="B57" s="64">
        <v>13.36</v>
      </c>
      <c r="C57" s="64">
        <v>76.05</v>
      </c>
      <c r="D57" s="64">
        <v>53.33</v>
      </c>
      <c r="E57" s="64">
        <v>13.48</v>
      </c>
      <c r="F57" s="64">
        <v>9.94</v>
      </c>
      <c r="G57" s="64">
        <v>77.819999999999993</v>
      </c>
      <c r="H57" s="64">
        <v>47.46</v>
      </c>
      <c r="I57" s="64">
        <v>1.53</v>
      </c>
      <c r="J57" s="64">
        <v>0.44</v>
      </c>
      <c r="K57" s="64">
        <v>90.02</v>
      </c>
      <c r="L57" s="64">
        <v>22</v>
      </c>
      <c r="M57" s="64">
        <v>28.98</v>
      </c>
      <c r="N57" s="64">
        <v>675.1</v>
      </c>
      <c r="O57" s="64">
        <v>0</v>
      </c>
      <c r="P57" s="64">
        <v>0.53</v>
      </c>
      <c r="Q57" s="64">
        <v>2.97</v>
      </c>
      <c r="R57" s="198"/>
      <c r="S57" s="198"/>
      <c r="T57" s="198"/>
      <c r="U57" s="198"/>
    </row>
    <row r="58" spans="1:21" s="12" customFormat="1" x14ac:dyDescent="0.25">
      <c r="A58" s="214" t="s">
        <v>2121</v>
      </c>
      <c r="B58" s="64">
        <v>13.62</v>
      </c>
      <c r="C58" s="64">
        <v>75.98</v>
      </c>
      <c r="D58" s="64">
        <v>53.5</v>
      </c>
      <c r="E58" s="64">
        <v>15.96</v>
      </c>
      <c r="F58" s="64">
        <v>13.35</v>
      </c>
      <c r="G58" s="64">
        <v>77.819999999999993</v>
      </c>
      <c r="H58" s="64">
        <v>47.46</v>
      </c>
      <c r="I58" s="64">
        <v>1.57</v>
      </c>
      <c r="J58" s="64">
        <v>0.3</v>
      </c>
      <c r="K58" s="64">
        <v>13.17</v>
      </c>
      <c r="L58" s="64">
        <v>22.47</v>
      </c>
      <c r="M58" s="64">
        <v>26.78</v>
      </c>
      <c r="N58" s="64">
        <v>673.8</v>
      </c>
      <c r="O58" s="64">
        <v>0</v>
      </c>
      <c r="P58" s="64">
        <v>0.53</v>
      </c>
      <c r="Q58" s="64">
        <v>3.3</v>
      </c>
      <c r="R58" s="198"/>
      <c r="S58" s="198"/>
      <c r="T58" s="198"/>
      <c r="U58" s="198"/>
    </row>
    <row r="59" spans="1:21" s="12" customFormat="1" x14ac:dyDescent="0.25">
      <c r="A59" s="214" t="s">
        <v>2122</v>
      </c>
      <c r="B59" s="64">
        <v>13.98</v>
      </c>
      <c r="C59" s="64">
        <v>75.95</v>
      </c>
      <c r="D59" s="64">
        <v>53.78</v>
      </c>
      <c r="E59" s="64">
        <v>15.53</v>
      </c>
      <c r="F59" s="64">
        <v>11.82</v>
      </c>
      <c r="G59" s="64">
        <v>76.47</v>
      </c>
      <c r="H59" s="64">
        <v>46.73</v>
      </c>
      <c r="I59" s="64">
        <v>1.55</v>
      </c>
      <c r="J59" s="64">
        <v>0.3</v>
      </c>
      <c r="K59" s="64">
        <v>110.05</v>
      </c>
      <c r="L59" s="64">
        <v>22.38</v>
      </c>
      <c r="M59" s="64">
        <v>27.47</v>
      </c>
      <c r="N59" s="64">
        <v>672.1</v>
      </c>
      <c r="O59" s="64">
        <v>0</v>
      </c>
      <c r="P59" s="64">
        <v>0.53</v>
      </c>
      <c r="Q59" s="64">
        <v>3.07</v>
      </c>
      <c r="R59" s="198"/>
      <c r="S59" s="198"/>
      <c r="T59" s="198"/>
      <c r="U59" s="198"/>
    </row>
    <row r="60" spans="1:21" s="12" customFormat="1" x14ac:dyDescent="0.25">
      <c r="A60" s="214" t="s">
        <v>2123</v>
      </c>
      <c r="B60" s="64">
        <v>14.02</v>
      </c>
      <c r="C60" s="64">
        <v>75.94</v>
      </c>
      <c r="D60" s="64">
        <v>53.8</v>
      </c>
      <c r="E60" s="64">
        <v>11.48</v>
      </c>
      <c r="F60" s="64">
        <v>11.35</v>
      </c>
      <c r="G60" s="64">
        <v>71.08</v>
      </c>
      <c r="H60" s="64">
        <v>43.47</v>
      </c>
      <c r="I60" s="64">
        <v>1.52</v>
      </c>
      <c r="J60" s="64">
        <v>0.34</v>
      </c>
      <c r="K60" s="64">
        <v>95.88</v>
      </c>
      <c r="L60" s="64">
        <v>22.54</v>
      </c>
      <c r="M60" s="64">
        <v>27.73</v>
      </c>
      <c r="N60" s="64">
        <v>662</v>
      </c>
      <c r="O60" s="64">
        <v>0</v>
      </c>
      <c r="P60" s="64">
        <v>0.6</v>
      </c>
      <c r="Q60" s="64">
        <v>4.04</v>
      </c>
      <c r="R60" s="198"/>
      <c r="S60" s="198"/>
      <c r="T60" s="198"/>
      <c r="U60" s="198"/>
    </row>
    <row r="61" spans="1:21" s="12" customFormat="1" x14ac:dyDescent="0.25">
      <c r="A61" s="214" t="s">
        <v>2124</v>
      </c>
      <c r="B61" s="64">
        <v>13.92</v>
      </c>
      <c r="C61" s="64">
        <v>76.900000000000006</v>
      </c>
      <c r="D61" s="64">
        <v>54.25</v>
      </c>
      <c r="E61" s="64">
        <v>17.59</v>
      </c>
      <c r="F61" s="64">
        <v>17.170000000000002</v>
      </c>
      <c r="G61" s="64">
        <v>71.08</v>
      </c>
      <c r="H61" s="64">
        <v>43.47</v>
      </c>
      <c r="I61" s="64">
        <v>1.48</v>
      </c>
      <c r="J61" s="64">
        <v>0.79</v>
      </c>
      <c r="K61" s="64">
        <v>337.36</v>
      </c>
      <c r="L61" s="64">
        <v>23.68</v>
      </c>
      <c r="M61" s="64">
        <v>24.82</v>
      </c>
      <c r="N61" s="64">
        <v>625.6</v>
      </c>
      <c r="O61" s="64">
        <v>0</v>
      </c>
      <c r="P61" s="64">
        <v>0.54</v>
      </c>
      <c r="Q61" s="64">
        <v>4.43</v>
      </c>
      <c r="R61" s="198"/>
      <c r="S61" s="198"/>
      <c r="T61" s="198"/>
      <c r="U61" s="198"/>
    </row>
    <row r="62" spans="1:21" s="12" customFormat="1" x14ac:dyDescent="0.25">
      <c r="A62" s="214" t="s">
        <v>2125</v>
      </c>
      <c r="B62" s="64">
        <v>13.95</v>
      </c>
      <c r="C62" s="64">
        <v>78.319999999999993</v>
      </c>
      <c r="D62" s="64">
        <v>55.06</v>
      </c>
      <c r="E62" s="64">
        <v>18.3</v>
      </c>
      <c r="F62" s="64">
        <v>18.190000000000001</v>
      </c>
      <c r="G62" s="64">
        <v>71.08</v>
      </c>
      <c r="H62" s="64">
        <v>43.47</v>
      </c>
      <c r="I62" s="64">
        <v>1.5</v>
      </c>
      <c r="J62" s="64">
        <v>0.86</v>
      </c>
      <c r="K62" s="64">
        <v>336.49</v>
      </c>
      <c r="L62" s="64">
        <v>25.17</v>
      </c>
      <c r="M62" s="64">
        <v>22.17</v>
      </c>
      <c r="N62" s="64">
        <v>614.4</v>
      </c>
      <c r="O62" s="64">
        <v>0</v>
      </c>
      <c r="P62" s="64">
        <v>0.67</v>
      </c>
      <c r="Q62" s="64">
        <v>3.87</v>
      </c>
      <c r="R62" s="198"/>
      <c r="S62" s="198"/>
      <c r="T62" s="198"/>
      <c r="U62" s="198"/>
    </row>
    <row r="63" spans="1:21" s="12" customFormat="1" x14ac:dyDescent="0.25">
      <c r="A63" s="214" t="s">
        <v>2126</v>
      </c>
      <c r="B63" s="64">
        <v>13.92</v>
      </c>
      <c r="C63" s="64">
        <v>79.73</v>
      </c>
      <c r="D63" s="64">
        <v>55.8</v>
      </c>
      <c r="E63" s="64">
        <v>9.48</v>
      </c>
      <c r="F63" s="64">
        <v>17.010000000000002</v>
      </c>
      <c r="G63" s="64">
        <v>71.58</v>
      </c>
      <c r="H63" s="64">
        <v>41.56</v>
      </c>
      <c r="I63" s="64">
        <v>1.53</v>
      </c>
      <c r="J63" s="64">
        <v>0.4</v>
      </c>
      <c r="K63" s="64">
        <v>32.32</v>
      </c>
      <c r="L63" s="64">
        <v>24.83</v>
      </c>
      <c r="M63" s="64">
        <v>22.32</v>
      </c>
      <c r="N63" s="64">
        <v>492.6</v>
      </c>
      <c r="O63" s="64">
        <v>0</v>
      </c>
      <c r="P63" s="64">
        <v>0.7</v>
      </c>
      <c r="Q63" s="64">
        <v>3.69</v>
      </c>
      <c r="R63" s="198"/>
      <c r="S63" s="198"/>
      <c r="T63" s="198"/>
      <c r="U63" s="198"/>
    </row>
    <row r="64" spans="1:21" s="12" customFormat="1" x14ac:dyDescent="0.25">
      <c r="A64" s="214" t="s">
        <v>2127</v>
      </c>
      <c r="B64" s="64">
        <v>13.73</v>
      </c>
      <c r="C64" s="64">
        <v>80.63</v>
      </c>
      <c r="D64" s="64">
        <v>56.16</v>
      </c>
      <c r="E64" s="64">
        <v>13.94</v>
      </c>
      <c r="F64" s="64">
        <v>15.35</v>
      </c>
      <c r="G64" s="64">
        <v>73.569999999999993</v>
      </c>
      <c r="H64" s="64">
        <v>36.369999999999997</v>
      </c>
      <c r="I64" s="64">
        <v>1.56</v>
      </c>
      <c r="J64" s="64">
        <v>0.47</v>
      </c>
      <c r="K64" s="64">
        <v>347.19</v>
      </c>
      <c r="L64" s="64">
        <v>23.05</v>
      </c>
      <c r="M64" s="64">
        <v>25.55</v>
      </c>
      <c r="N64" s="64">
        <v>263.7</v>
      </c>
      <c r="O64" s="64">
        <v>0</v>
      </c>
      <c r="P64" s="64">
        <v>0.67</v>
      </c>
      <c r="Q64" s="64">
        <v>4.3899999999999997</v>
      </c>
      <c r="R64" s="198"/>
      <c r="S64" s="198"/>
      <c r="T64" s="198"/>
      <c r="U64" s="198"/>
    </row>
    <row r="65" spans="1:21" s="12" customFormat="1" x14ac:dyDescent="0.25">
      <c r="A65" s="214" t="s">
        <v>2128</v>
      </c>
      <c r="B65" s="64">
        <v>13.32</v>
      </c>
      <c r="C65" s="64">
        <v>81.650000000000006</v>
      </c>
      <c r="D65" s="64">
        <v>56.39</v>
      </c>
      <c r="E65" s="64">
        <v>14.51</v>
      </c>
      <c r="F65" s="64">
        <v>17.25</v>
      </c>
      <c r="G65" s="64">
        <v>73.569999999999993</v>
      </c>
      <c r="H65" s="64">
        <v>36.369999999999997</v>
      </c>
      <c r="I65" s="64">
        <v>1.53</v>
      </c>
      <c r="J65" s="64">
        <v>0.54</v>
      </c>
      <c r="K65" s="64">
        <v>21.41</v>
      </c>
      <c r="L65" s="64">
        <v>24.12</v>
      </c>
      <c r="M65" s="64">
        <v>23.33</v>
      </c>
      <c r="N65" s="64">
        <v>191.4</v>
      </c>
      <c r="O65" s="64">
        <v>0</v>
      </c>
      <c r="P65" s="64">
        <v>0.67</v>
      </c>
      <c r="Q65" s="64">
        <v>4.75</v>
      </c>
      <c r="R65" s="198"/>
      <c r="S65" s="198"/>
      <c r="T65" s="198"/>
      <c r="U65" s="198"/>
    </row>
    <row r="66" spans="1:21" s="12" customFormat="1" x14ac:dyDescent="0.25">
      <c r="A66" s="214" t="s">
        <v>2129</v>
      </c>
      <c r="B66" s="64">
        <v>12.91</v>
      </c>
      <c r="C66" s="64">
        <v>82.5</v>
      </c>
      <c r="D66" s="64">
        <v>56.53</v>
      </c>
      <c r="E66" s="64">
        <v>18.420000000000002</v>
      </c>
      <c r="F66" s="64">
        <v>13.16</v>
      </c>
      <c r="G66" s="64">
        <v>73.569999999999993</v>
      </c>
      <c r="H66" s="64">
        <v>36.369999999999997</v>
      </c>
      <c r="I66" s="64">
        <v>1.5</v>
      </c>
      <c r="J66" s="64">
        <v>0.75</v>
      </c>
      <c r="K66" s="64">
        <v>342.07</v>
      </c>
      <c r="L66" s="64">
        <v>22.99</v>
      </c>
      <c r="M66" s="64">
        <v>25.47</v>
      </c>
      <c r="N66" s="64">
        <v>170.5</v>
      </c>
      <c r="O66" s="64">
        <v>0</v>
      </c>
      <c r="P66" s="64">
        <v>0.72</v>
      </c>
      <c r="Q66" s="64">
        <v>2.74</v>
      </c>
      <c r="R66" s="198"/>
      <c r="S66" s="198"/>
      <c r="T66" s="198"/>
      <c r="U66" s="198"/>
    </row>
    <row r="67" spans="1:21" s="12" customFormat="1" x14ac:dyDescent="0.25">
      <c r="A67" s="214" t="s">
        <v>2130</v>
      </c>
      <c r="B67" s="64">
        <v>14.11</v>
      </c>
      <c r="C67" s="64">
        <v>84.46</v>
      </c>
      <c r="D67" s="64">
        <v>58.57</v>
      </c>
      <c r="E67" s="64">
        <v>20.55</v>
      </c>
      <c r="F67" s="64">
        <v>9.8800000000000008</v>
      </c>
      <c r="G67" s="64">
        <v>74.3</v>
      </c>
      <c r="H67" s="64">
        <v>37.64</v>
      </c>
      <c r="I67" s="64">
        <v>1.49</v>
      </c>
      <c r="J67" s="64">
        <v>0.9</v>
      </c>
      <c r="K67" s="64">
        <v>338.57</v>
      </c>
      <c r="L67" s="64">
        <v>23.07</v>
      </c>
      <c r="M67" s="64">
        <v>25.73</v>
      </c>
      <c r="N67" s="64">
        <v>198.9</v>
      </c>
      <c r="O67" s="64">
        <v>0</v>
      </c>
      <c r="P67" s="64">
        <v>0.79</v>
      </c>
      <c r="Q67" s="64">
        <v>1.1000000000000001</v>
      </c>
      <c r="R67" s="198"/>
      <c r="S67" s="198"/>
      <c r="T67" s="198"/>
      <c r="U67" s="198"/>
    </row>
    <row r="68" spans="1:21" s="12" customFormat="1" x14ac:dyDescent="0.25">
      <c r="A68" s="214" t="s">
        <v>2131</v>
      </c>
      <c r="B68" s="64">
        <v>15.8</v>
      </c>
      <c r="C68" s="64">
        <v>86.41</v>
      </c>
      <c r="D68" s="64">
        <v>61</v>
      </c>
      <c r="E68" s="64">
        <v>12.2</v>
      </c>
      <c r="F68" s="64">
        <v>8.0399999999999991</v>
      </c>
      <c r="G68" s="64">
        <v>77.239999999999995</v>
      </c>
      <c r="H68" s="64">
        <v>41.11</v>
      </c>
      <c r="I68" s="64">
        <v>1.48</v>
      </c>
      <c r="J68" s="64">
        <v>0.16</v>
      </c>
      <c r="K68" s="64">
        <v>12.53</v>
      </c>
      <c r="L68" s="64">
        <v>22.39</v>
      </c>
      <c r="M68" s="64">
        <v>26.43</v>
      </c>
      <c r="N68" s="64">
        <v>187.3</v>
      </c>
      <c r="O68" s="64">
        <v>0</v>
      </c>
      <c r="P68" s="64">
        <v>0.72</v>
      </c>
      <c r="Q68" s="64">
        <v>2.96</v>
      </c>
      <c r="R68" s="198"/>
      <c r="S68" s="198"/>
      <c r="T68" s="198"/>
      <c r="U68" s="198"/>
    </row>
    <row r="69" spans="1:21" s="12" customFormat="1" x14ac:dyDescent="0.25">
      <c r="A69" s="214" t="s">
        <v>2132</v>
      </c>
      <c r="B69" s="64">
        <v>16.59</v>
      </c>
      <c r="C69" s="64">
        <v>87.49</v>
      </c>
      <c r="D69" s="64">
        <v>62.23</v>
      </c>
      <c r="E69" s="64">
        <v>7.99</v>
      </c>
      <c r="F69" s="64">
        <v>6.77</v>
      </c>
      <c r="G69" s="64">
        <v>77.239999999999995</v>
      </c>
      <c r="H69" s="64">
        <v>41.11</v>
      </c>
      <c r="I69" s="64">
        <v>1.53</v>
      </c>
      <c r="J69" s="64">
        <v>0.67</v>
      </c>
      <c r="K69" s="64">
        <v>92.35</v>
      </c>
      <c r="L69" s="64">
        <v>21.27</v>
      </c>
      <c r="M69" s="64">
        <v>27.87</v>
      </c>
      <c r="N69" s="64">
        <v>141.1</v>
      </c>
      <c r="O69" s="64">
        <v>0</v>
      </c>
      <c r="P69" s="64">
        <v>0.7</v>
      </c>
      <c r="Q69" s="64">
        <v>4.58</v>
      </c>
      <c r="R69" s="198"/>
      <c r="S69" s="198"/>
      <c r="T69" s="198"/>
      <c r="U69" s="198"/>
    </row>
    <row r="70" spans="1:21" s="12" customFormat="1" x14ac:dyDescent="0.25">
      <c r="A70" s="214" t="s">
        <v>2133</v>
      </c>
      <c r="B70" s="64">
        <v>15.66</v>
      </c>
      <c r="C70" s="64">
        <v>87.27</v>
      </c>
      <c r="D70" s="64">
        <v>61.36</v>
      </c>
      <c r="E70" s="64">
        <v>18.649999999999999</v>
      </c>
      <c r="F70" s="64">
        <v>26.29</v>
      </c>
      <c r="G70" s="64">
        <v>77.239999999999995</v>
      </c>
      <c r="H70" s="64">
        <v>41.11</v>
      </c>
      <c r="I70" s="64">
        <v>1.5</v>
      </c>
      <c r="J70" s="64">
        <v>0.92</v>
      </c>
      <c r="K70" s="64">
        <v>342.33</v>
      </c>
      <c r="L70" s="64">
        <v>21.08</v>
      </c>
      <c r="M70" s="64">
        <v>27.88</v>
      </c>
      <c r="N70" s="64">
        <v>133.9</v>
      </c>
      <c r="O70" s="64">
        <v>0</v>
      </c>
      <c r="P70" s="64">
        <v>0.77</v>
      </c>
      <c r="Q70" s="64">
        <v>5.93</v>
      </c>
      <c r="R70" s="198"/>
      <c r="S70" s="198"/>
      <c r="T70" s="198"/>
      <c r="U70" s="198"/>
    </row>
    <row r="71" spans="1:21" s="12" customFormat="1" x14ac:dyDescent="0.25">
      <c r="A71" s="214" t="s">
        <v>2134</v>
      </c>
      <c r="B71" s="64">
        <v>14.35</v>
      </c>
      <c r="C71" s="64">
        <v>87.53</v>
      </c>
      <c r="D71" s="64">
        <v>60.46</v>
      </c>
      <c r="E71" s="64">
        <v>19.87</v>
      </c>
      <c r="F71" s="64">
        <v>23.63</v>
      </c>
      <c r="G71" s="64">
        <v>79.27</v>
      </c>
      <c r="H71" s="64">
        <v>40.94</v>
      </c>
      <c r="I71" s="64">
        <v>1.53</v>
      </c>
      <c r="J71" s="64">
        <v>0.69</v>
      </c>
      <c r="K71" s="64">
        <v>346.19</v>
      </c>
      <c r="L71" s="64">
        <v>21.05</v>
      </c>
      <c r="M71" s="64">
        <v>28.12</v>
      </c>
      <c r="N71" s="64">
        <v>122.2</v>
      </c>
      <c r="O71" s="64">
        <v>0</v>
      </c>
      <c r="P71" s="64">
        <v>0.9</v>
      </c>
      <c r="Q71" s="64">
        <v>5.01</v>
      </c>
      <c r="R71" s="198"/>
      <c r="S71" s="198"/>
      <c r="T71" s="198"/>
      <c r="U71" s="198"/>
    </row>
    <row r="72" spans="1:21" s="12" customFormat="1" x14ac:dyDescent="0.25">
      <c r="A72" s="214" t="s">
        <v>2135</v>
      </c>
      <c r="B72" s="64">
        <v>13.52</v>
      </c>
      <c r="C72" s="64">
        <v>88.11</v>
      </c>
      <c r="D72" s="64">
        <v>60.11</v>
      </c>
      <c r="E72" s="64">
        <v>7.81</v>
      </c>
      <c r="F72" s="64">
        <v>13.77</v>
      </c>
      <c r="G72" s="64">
        <v>86.87</v>
      </c>
      <c r="H72" s="64">
        <v>40.479999999999997</v>
      </c>
      <c r="I72" s="64">
        <v>1.52</v>
      </c>
      <c r="J72" s="64">
        <v>0.31</v>
      </c>
      <c r="K72" s="64">
        <v>353.58</v>
      </c>
      <c r="L72" s="64">
        <v>20.94</v>
      </c>
      <c r="M72" s="64">
        <v>28.98</v>
      </c>
      <c r="N72" s="64">
        <v>111.1</v>
      </c>
      <c r="O72" s="64">
        <v>0</v>
      </c>
      <c r="P72" s="64">
        <v>0.88</v>
      </c>
      <c r="Q72" s="64">
        <v>4.5199999999999996</v>
      </c>
      <c r="R72" s="198"/>
      <c r="S72" s="198"/>
      <c r="T72" s="198"/>
      <c r="U72" s="198"/>
    </row>
    <row r="73" spans="1:21" s="12" customFormat="1" x14ac:dyDescent="0.25">
      <c r="A73" s="214" t="s">
        <v>2136</v>
      </c>
      <c r="B73" s="64">
        <v>12.92</v>
      </c>
      <c r="C73" s="64">
        <v>88.98</v>
      </c>
      <c r="D73" s="64">
        <v>60.11</v>
      </c>
      <c r="E73" s="64">
        <v>9.1300000000000008</v>
      </c>
      <c r="F73" s="64">
        <v>9.44</v>
      </c>
      <c r="G73" s="64">
        <v>86.87</v>
      </c>
      <c r="H73" s="64">
        <v>40.479999999999997</v>
      </c>
      <c r="I73" s="64">
        <v>1.49</v>
      </c>
      <c r="J73" s="64">
        <v>0.32</v>
      </c>
      <c r="K73" s="64">
        <v>342.43</v>
      </c>
      <c r="L73" s="64">
        <v>20.51</v>
      </c>
      <c r="M73" s="64">
        <v>29.65</v>
      </c>
      <c r="N73" s="64">
        <v>98.3</v>
      </c>
      <c r="O73" s="64">
        <v>0</v>
      </c>
      <c r="P73" s="64">
        <v>0.93</v>
      </c>
      <c r="Q73" s="64">
        <v>4.63</v>
      </c>
      <c r="R73" s="198"/>
      <c r="S73" s="198"/>
      <c r="T73" s="198"/>
      <c r="U73" s="198"/>
    </row>
    <row r="74" spans="1:21" s="12" customFormat="1" x14ac:dyDescent="0.25">
      <c r="A74" s="214" t="s">
        <v>2137</v>
      </c>
      <c r="B74" s="64">
        <v>12.92</v>
      </c>
      <c r="C74" s="64">
        <v>90.12</v>
      </c>
      <c r="D74" s="64">
        <v>60.74</v>
      </c>
      <c r="E74" s="64">
        <v>13.12</v>
      </c>
      <c r="F74" s="64">
        <v>14.49</v>
      </c>
      <c r="G74" s="64">
        <v>86.87</v>
      </c>
      <c r="H74" s="64">
        <v>40.479999999999997</v>
      </c>
      <c r="I74" s="64">
        <v>1.48</v>
      </c>
      <c r="J74" s="64">
        <v>0.56999999999999995</v>
      </c>
      <c r="K74" s="64">
        <v>347.73</v>
      </c>
      <c r="L74" s="64">
        <v>20.25</v>
      </c>
      <c r="M74" s="64">
        <v>30.56</v>
      </c>
      <c r="N74" s="64">
        <v>92.6</v>
      </c>
      <c r="O74" s="64">
        <v>0</v>
      </c>
      <c r="P74" s="64">
        <v>1.1100000000000001</v>
      </c>
      <c r="Q74" s="64">
        <v>2.87</v>
      </c>
      <c r="R74" s="198"/>
      <c r="S74" s="198"/>
      <c r="T74" s="198"/>
      <c r="U74" s="198"/>
    </row>
    <row r="75" spans="1:21" s="12" customFormat="1" x14ac:dyDescent="0.25">
      <c r="A75" s="214" t="s">
        <v>2138</v>
      </c>
      <c r="B75" s="64">
        <v>13.26</v>
      </c>
      <c r="C75" s="64">
        <v>90.78</v>
      </c>
      <c r="D75" s="64">
        <v>61.38</v>
      </c>
      <c r="E75" s="64">
        <v>10.59</v>
      </c>
      <c r="F75" s="64">
        <v>9.65</v>
      </c>
      <c r="G75" s="64">
        <v>91.02</v>
      </c>
      <c r="H75" s="64">
        <v>41.41</v>
      </c>
      <c r="I75" s="64">
        <v>1.59</v>
      </c>
      <c r="J75" s="64">
        <v>0.15</v>
      </c>
      <c r="K75" s="64">
        <v>352.98</v>
      </c>
      <c r="L75" s="64">
        <v>19.72</v>
      </c>
      <c r="M75" s="64">
        <v>32.020000000000003</v>
      </c>
      <c r="N75" s="64">
        <v>81.3</v>
      </c>
      <c r="O75" s="64">
        <v>0</v>
      </c>
      <c r="P75" s="64">
        <v>1.1299999999999999</v>
      </c>
      <c r="Q75" s="64">
        <v>2.36</v>
      </c>
      <c r="R75" s="198"/>
      <c r="S75" s="198"/>
      <c r="T75" s="198"/>
      <c r="U75" s="198"/>
    </row>
    <row r="76" spans="1:21" s="12" customFormat="1" x14ac:dyDescent="0.25">
      <c r="A76" s="214" t="s">
        <v>2139</v>
      </c>
      <c r="B76" s="64">
        <v>13.46</v>
      </c>
      <c r="C76" s="64">
        <v>90.12</v>
      </c>
      <c r="D76" s="64">
        <v>61.17</v>
      </c>
      <c r="E76" s="64">
        <v>11.89</v>
      </c>
      <c r="F76" s="64">
        <v>11.86</v>
      </c>
      <c r="G76" s="64">
        <v>107.6</v>
      </c>
      <c r="H76" s="64">
        <v>45.56</v>
      </c>
      <c r="I76" s="64">
        <v>1.46</v>
      </c>
      <c r="J76" s="64">
        <v>0.32</v>
      </c>
      <c r="K76" s="64">
        <v>338.72</v>
      </c>
      <c r="L76" s="64">
        <v>19.04</v>
      </c>
      <c r="M76" s="64">
        <v>37.11</v>
      </c>
      <c r="N76" s="64">
        <v>70.099999999999994</v>
      </c>
      <c r="O76" s="64">
        <v>0</v>
      </c>
      <c r="P76" s="64">
        <v>1.47</v>
      </c>
      <c r="Q76" s="64">
        <v>0.73</v>
      </c>
      <c r="R76" s="198"/>
      <c r="S76" s="198"/>
      <c r="T76" s="198"/>
      <c r="U76" s="198"/>
    </row>
    <row r="77" spans="1:21" s="12" customFormat="1" x14ac:dyDescent="0.25">
      <c r="A77" s="214" t="s">
        <v>2140</v>
      </c>
      <c r="B77" s="64">
        <v>14.15</v>
      </c>
      <c r="C77" s="64">
        <v>89.6</v>
      </c>
      <c r="D77" s="64">
        <v>61.44</v>
      </c>
      <c r="E77" s="64">
        <v>8.31</v>
      </c>
      <c r="F77" s="64">
        <v>7.11</v>
      </c>
      <c r="G77" s="64">
        <v>107.6</v>
      </c>
      <c r="H77" s="64">
        <v>45.56</v>
      </c>
      <c r="I77" s="64">
        <v>1.46</v>
      </c>
      <c r="J77" s="64">
        <v>0.13</v>
      </c>
      <c r="K77" s="64">
        <v>335.34</v>
      </c>
      <c r="L77" s="64">
        <v>18.25</v>
      </c>
      <c r="M77" s="64">
        <v>46.58</v>
      </c>
      <c r="N77" s="64">
        <v>58.4</v>
      </c>
      <c r="O77" s="64">
        <v>0</v>
      </c>
      <c r="P77" s="64">
        <v>1.68</v>
      </c>
      <c r="Q77" s="64">
        <v>0.97</v>
      </c>
      <c r="R77" s="198"/>
      <c r="S77" s="198"/>
      <c r="T77" s="198"/>
      <c r="U77" s="198"/>
    </row>
    <row r="78" spans="1:21" s="12" customFormat="1" x14ac:dyDescent="0.25">
      <c r="A78" s="214" t="s">
        <v>2141</v>
      </c>
      <c r="B78" s="64">
        <v>15.51</v>
      </c>
      <c r="C78" s="64">
        <v>89.61</v>
      </c>
      <c r="D78" s="64">
        <v>62.54</v>
      </c>
      <c r="E78" s="64">
        <v>5.86</v>
      </c>
      <c r="F78" s="64">
        <v>4.53</v>
      </c>
      <c r="G78" s="64">
        <v>107.6</v>
      </c>
      <c r="H78" s="64">
        <v>45.56</v>
      </c>
      <c r="I78" s="64">
        <v>1.47</v>
      </c>
      <c r="J78" s="64">
        <v>0.23</v>
      </c>
      <c r="K78" s="64">
        <v>326.64</v>
      </c>
      <c r="L78" s="64">
        <v>17.77</v>
      </c>
      <c r="M78" s="64">
        <v>52.38</v>
      </c>
      <c r="N78" s="64">
        <v>54.1</v>
      </c>
      <c r="O78" s="64">
        <v>0</v>
      </c>
      <c r="P78" s="64">
        <v>1.7</v>
      </c>
      <c r="Q78" s="64">
        <v>0.35</v>
      </c>
      <c r="R78" s="198"/>
      <c r="S78" s="198"/>
      <c r="T78" s="198"/>
      <c r="U78" s="198"/>
    </row>
    <row r="79" spans="1:21" s="12" customFormat="1" x14ac:dyDescent="0.25">
      <c r="A79" s="214" t="s">
        <v>2142</v>
      </c>
      <c r="B79" s="64">
        <v>17.98</v>
      </c>
      <c r="C79" s="64">
        <v>90.11</v>
      </c>
      <c r="D79" s="64">
        <v>64.790000000000006</v>
      </c>
      <c r="E79" s="64">
        <v>5.07</v>
      </c>
      <c r="F79" s="64">
        <v>4.4000000000000004</v>
      </c>
      <c r="G79" s="64">
        <v>111.16</v>
      </c>
      <c r="H79" s="64">
        <v>46.33</v>
      </c>
      <c r="I79" s="64">
        <v>1.44</v>
      </c>
      <c r="J79" s="64">
        <v>0.23</v>
      </c>
      <c r="K79" s="64">
        <v>327.27999999999997</v>
      </c>
      <c r="L79" s="64">
        <v>17.53</v>
      </c>
      <c r="M79" s="64">
        <v>51.6</v>
      </c>
      <c r="N79" s="64">
        <v>52.8</v>
      </c>
      <c r="O79" s="64">
        <v>0</v>
      </c>
      <c r="P79" s="64">
        <v>1.74</v>
      </c>
      <c r="Q79" s="64">
        <v>0.1</v>
      </c>
      <c r="R79" s="198"/>
      <c r="S79" s="198"/>
      <c r="T79" s="198"/>
      <c r="U79" s="198"/>
    </row>
    <row r="80" spans="1:21" s="12" customFormat="1" x14ac:dyDescent="0.25">
      <c r="A80" s="214" t="s">
        <v>2143</v>
      </c>
      <c r="B80" s="64">
        <v>20.11</v>
      </c>
      <c r="C80" s="64">
        <v>90.16</v>
      </c>
      <c r="D80" s="64">
        <v>66.53</v>
      </c>
      <c r="E80" s="64">
        <v>4.33</v>
      </c>
      <c r="F80" s="64">
        <v>4.6100000000000003</v>
      </c>
      <c r="G80" s="64">
        <v>125.4</v>
      </c>
      <c r="H80" s="64">
        <v>48.43</v>
      </c>
      <c r="I80" s="64">
        <v>1.51</v>
      </c>
      <c r="J80" s="64">
        <v>0.09</v>
      </c>
      <c r="K80" s="64">
        <v>26.97</v>
      </c>
      <c r="L80" s="64">
        <v>17.23</v>
      </c>
      <c r="M80" s="64">
        <v>44.74</v>
      </c>
      <c r="N80" s="64">
        <v>52.8</v>
      </c>
      <c r="O80" s="64">
        <v>0</v>
      </c>
      <c r="P80" s="64">
        <v>1.68</v>
      </c>
      <c r="Q80" s="64">
        <v>0.8</v>
      </c>
      <c r="R80" s="198"/>
      <c r="S80" s="198"/>
      <c r="T80" s="198"/>
      <c r="U80" s="198"/>
    </row>
    <row r="81" spans="1:26" s="12" customFormat="1" x14ac:dyDescent="0.25">
      <c r="A81" s="214" t="s">
        <v>2144</v>
      </c>
      <c r="B81" s="64">
        <v>21.91</v>
      </c>
      <c r="C81" s="64">
        <v>90.83</v>
      </c>
      <c r="D81" s="64">
        <v>68.34</v>
      </c>
      <c r="E81" s="64">
        <v>3.76</v>
      </c>
      <c r="F81" s="64">
        <v>4.45</v>
      </c>
      <c r="G81" s="64">
        <v>125.4</v>
      </c>
      <c r="H81" s="64">
        <v>48.43</v>
      </c>
      <c r="I81" s="64">
        <v>1.46</v>
      </c>
      <c r="J81" s="64">
        <v>0.11</v>
      </c>
      <c r="K81" s="64">
        <v>78.89</v>
      </c>
      <c r="L81" s="64">
        <v>16.75</v>
      </c>
      <c r="M81" s="64">
        <v>39.51</v>
      </c>
      <c r="N81" s="64">
        <v>52</v>
      </c>
      <c r="O81" s="64">
        <v>0</v>
      </c>
      <c r="P81" s="64">
        <v>1.83</v>
      </c>
      <c r="Q81" s="64">
        <v>0.1</v>
      </c>
      <c r="R81" s="198"/>
      <c r="S81" s="198"/>
      <c r="T81" s="198"/>
      <c r="U81" s="198"/>
    </row>
    <row r="82" spans="1:26" s="12" customFormat="1" x14ac:dyDescent="0.25">
      <c r="A82" s="214" t="s">
        <v>2145</v>
      </c>
      <c r="B82" s="64">
        <v>23.16</v>
      </c>
      <c r="C82" s="64">
        <v>91.32</v>
      </c>
      <c r="D82" s="64">
        <v>69.62</v>
      </c>
      <c r="E82" s="64">
        <v>3.43</v>
      </c>
      <c r="F82" s="64">
        <v>4.63</v>
      </c>
      <c r="G82" s="64">
        <v>125.4</v>
      </c>
      <c r="H82" s="64">
        <v>48.43</v>
      </c>
      <c r="I82" s="64">
        <v>1.48</v>
      </c>
      <c r="J82" s="64">
        <v>0.13</v>
      </c>
      <c r="K82" s="64">
        <v>89.69</v>
      </c>
      <c r="L82" s="64">
        <v>16.690000000000001</v>
      </c>
      <c r="M82" s="64">
        <v>38.700000000000003</v>
      </c>
      <c r="N82" s="64">
        <v>51.8</v>
      </c>
      <c r="O82" s="64">
        <v>0</v>
      </c>
      <c r="P82" s="64">
        <v>1.83</v>
      </c>
      <c r="Q82" s="64">
        <v>0.86</v>
      </c>
      <c r="R82" s="198"/>
      <c r="S82" s="198"/>
      <c r="T82" s="198"/>
      <c r="U82" s="198"/>
    </row>
    <row r="83" spans="1:26" s="12" customFormat="1" x14ac:dyDescent="0.25">
      <c r="A83" s="214" t="s">
        <v>2146</v>
      </c>
      <c r="B83" s="64">
        <v>23.78</v>
      </c>
      <c r="C83" s="64">
        <v>92.14</v>
      </c>
      <c r="D83" s="64">
        <v>70.56</v>
      </c>
      <c r="E83" s="64">
        <v>3.16</v>
      </c>
      <c r="F83" s="64">
        <v>4.25</v>
      </c>
      <c r="G83" s="64">
        <v>130.66999999999999</v>
      </c>
      <c r="H83" s="64">
        <v>51.8</v>
      </c>
      <c r="I83" s="64">
        <v>1.47</v>
      </c>
      <c r="J83" s="64">
        <v>0.1</v>
      </c>
      <c r="K83" s="64">
        <v>96.64</v>
      </c>
      <c r="L83" s="64">
        <v>16.32</v>
      </c>
      <c r="M83" s="64">
        <v>41.04</v>
      </c>
      <c r="N83" s="64">
        <v>52.6</v>
      </c>
      <c r="O83" s="64">
        <v>0</v>
      </c>
      <c r="P83" s="64">
        <v>2.11</v>
      </c>
      <c r="Q83" s="64">
        <v>1.21</v>
      </c>
      <c r="R83" s="198"/>
      <c r="S83" s="198"/>
      <c r="T83" s="198"/>
      <c r="U83" s="198"/>
    </row>
    <row r="84" spans="1:26" s="12" customFormat="1" x14ac:dyDescent="0.25">
      <c r="A84" s="214" t="s">
        <v>2147</v>
      </c>
      <c r="B84" s="64">
        <v>24.52</v>
      </c>
      <c r="C84" s="64">
        <v>92.72</v>
      </c>
      <c r="D84" s="64">
        <v>71.48</v>
      </c>
      <c r="E84" s="64">
        <v>2.82</v>
      </c>
      <c r="F84" s="64">
        <v>4.68</v>
      </c>
      <c r="G84" s="64">
        <v>150.38999999999999</v>
      </c>
      <c r="H84" s="64">
        <v>60.95</v>
      </c>
      <c r="I84" s="64">
        <v>1.52</v>
      </c>
      <c r="J84" s="64">
        <v>0.06</v>
      </c>
      <c r="K84" s="64">
        <v>269.39999999999998</v>
      </c>
      <c r="L84" s="64">
        <v>15.81</v>
      </c>
      <c r="M84" s="64">
        <v>44.17</v>
      </c>
      <c r="N84" s="64">
        <v>55.8</v>
      </c>
      <c r="O84" s="64">
        <v>0</v>
      </c>
      <c r="P84" s="64">
        <v>2.1</v>
      </c>
      <c r="Q84" s="64">
        <v>1.69</v>
      </c>
      <c r="R84" s="198"/>
      <c r="S84" s="198"/>
      <c r="T84" s="198"/>
      <c r="U84" s="198"/>
    </row>
    <row r="85" spans="1:26" s="12" customFormat="1" x14ac:dyDescent="0.25">
      <c r="A85" s="214" t="s">
        <v>2148</v>
      </c>
      <c r="B85" s="64">
        <v>25.7</v>
      </c>
      <c r="C85" s="64">
        <v>93.41</v>
      </c>
      <c r="D85" s="64">
        <v>72.81</v>
      </c>
      <c r="E85" s="64">
        <v>2.65</v>
      </c>
      <c r="F85" s="64">
        <v>4.4800000000000004</v>
      </c>
      <c r="G85" s="64">
        <v>150.38999999999999</v>
      </c>
      <c r="H85" s="64">
        <v>60.95</v>
      </c>
      <c r="I85" s="64">
        <v>1.5</v>
      </c>
      <c r="J85" s="64">
        <v>0.09</v>
      </c>
      <c r="K85" s="64">
        <v>270.10000000000002</v>
      </c>
      <c r="L85" s="64">
        <v>14.98</v>
      </c>
      <c r="M85" s="64">
        <v>51.02</v>
      </c>
      <c r="N85" s="64">
        <v>59.4</v>
      </c>
      <c r="O85" s="64">
        <v>0</v>
      </c>
      <c r="P85" s="64">
        <v>2.2200000000000002</v>
      </c>
      <c r="Q85" s="64">
        <v>0.67</v>
      </c>
      <c r="R85" s="198"/>
      <c r="S85" s="198"/>
      <c r="T85" s="198"/>
      <c r="U85" s="198"/>
    </row>
    <row r="86" spans="1:26" s="12" customFormat="1" x14ac:dyDescent="0.25">
      <c r="A86" s="214" t="s">
        <v>2149</v>
      </c>
      <c r="B86" s="64">
        <v>29.57</v>
      </c>
      <c r="C86" s="64">
        <v>94.76</v>
      </c>
      <c r="D86" s="64">
        <v>76.650000000000006</v>
      </c>
      <c r="E86" s="64">
        <v>2.61</v>
      </c>
      <c r="F86" s="64">
        <v>4.42</v>
      </c>
      <c r="G86" s="64">
        <v>150.38999999999999</v>
      </c>
      <c r="H86" s="64">
        <v>60.95</v>
      </c>
      <c r="I86" s="64">
        <v>1.54</v>
      </c>
      <c r="J86" s="64">
        <v>0.09</v>
      </c>
      <c r="K86" s="64">
        <v>336.91</v>
      </c>
      <c r="L86" s="64">
        <v>14.36</v>
      </c>
      <c r="M86" s="64">
        <v>59.74</v>
      </c>
      <c r="N86" s="64">
        <v>48.5</v>
      </c>
      <c r="O86" s="64">
        <v>0</v>
      </c>
      <c r="P86" s="64">
        <v>2.74</v>
      </c>
      <c r="Q86" s="217" t="s">
        <v>34</v>
      </c>
      <c r="R86" s="198"/>
      <c r="S86" s="198"/>
      <c r="T86" s="198"/>
      <c r="U86" s="198"/>
    </row>
    <row r="87" spans="1:26" s="12" customFormat="1" x14ac:dyDescent="0.25">
      <c r="A87" s="214" t="s">
        <v>2150</v>
      </c>
      <c r="B87" s="64">
        <v>36.21</v>
      </c>
      <c r="C87" s="64">
        <v>96.18</v>
      </c>
      <c r="D87" s="64">
        <v>82.76</v>
      </c>
      <c r="E87" s="64">
        <v>2.67</v>
      </c>
      <c r="F87" s="64">
        <v>4.5</v>
      </c>
      <c r="G87" s="64">
        <v>168.55</v>
      </c>
      <c r="H87" s="64">
        <v>66.260000000000005</v>
      </c>
      <c r="I87" s="64">
        <v>1.46</v>
      </c>
      <c r="J87" s="64">
        <v>0.14000000000000001</v>
      </c>
      <c r="K87" s="64">
        <v>286.48</v>
      </c>
      <c r="L87" s="64">
        <v>13.98</v>
      </c>
      <c r="M87" s="64">
        <v>64.88</v>
      </c>
      <c r="N87" s="64">
        <v>47.4</v>
      </c>
      <c r="O87" s="64">
        <v>0</v>
      </c>
      <c r="P87" s="64">
        <v>3.87</v>
      </c>
      <c r="Q87" s="217" t="s">
        <v>34</v>
      </c>
      <c r="R87" s="198"/>
      <c r="S87" s="198"/>
      <c r="T87" s="198"/>
      <c r="U87" s="198"/>
    </row>
    <row r="88" spans="1:26" s="12" customFormat="1" x14ac:dyDescent="0.25">
      <c r="A88" s="214" t="s">
        <v>2151</v>
      </c>
      <c r="B88" s="64">
        <v>44.55</v>
      </c>
      <c r="C88" s="64">
        <v>97.54</v>
      </c>
      <c r="D88" s="64">
        <v>90.21</v>
      </c>
      <c r="E88" s="64">
        <v>1.57</v>
      </c>
      <c r="F88" s="64">
        <v>4.3</v>
      </c>
      <c r="G88" s="64">
        <v>236.41</v>
      </c>
      <c r="H88" s="64">
        <v>80.709999999999994</v>
      </c>
      <c r="I88" s="64">
        <v>1.53</v>
      </c>
      <c r="J88" s="64">
        <v>0.05</v>
      </c>
      <c r="K88" s="64">
        <v>250.03</v>
      </c>
      <c r="L88" s="64">
        <v>13.83</v>
      </c>
      <c r="M88" s="64">
        <v>62.74</v>
      </c>
      <c r="N88" s="64">
        <v>47</v>
      </c>
      <c r="O88" s="64">
        <v>0</v>
      </c>
      <c r="P88" s="64">
        <v>4.0199999999999996</v>
      </c>
      <c r="Q88" s="64">
        <v>0.47</v>
      </c>
      <c r="R88" s="198"/>
      <c r="S88" s="198"/>
      <c r="T88" s="198"/>
      <c r="U88" s="198"/>
    </row>
    <row r="89" spans="1:26" s="12" customFormat="1" x14ac:dyDescent="0.25">
      <c r="A89" s="214" t="s">
        <v>2152</v>
      </c>
      <c r="B89" s="64">
        <v>53.59</v>
      </c>
      <c r="C89" s="64">
        <v>99.97</v>
      </c>
      <c r="D89" s="64">
        <v>98.79</v>
      </c>
      <c r="E89" s="64">
        <v>2.33</v>
      </c>
      <c r="F89" s="64">
        <v>4.12</v>
      </c>
      <c r="G89" s="64">
        <v>236.41</v>
      </c>
      <c r="H89" s="64">
        <v>80.709999999999994</v>
      </c>
      <c r="I89" s="64">
        <v>1.43</v>
      </c>
      <c r="J89" s="64">
        <v>0.08</v>
      </c>
      <c r="K89" s="64">
        <v>123.19</v>
      </c>
      <c r="L89" s="64">
        <v>13.68</v>
      </c>
      <c r="M89" s="64">
        <v>64.099999999999994</v>
      </c>
      <c r="N89" s="64">
        <v>47</v>
      </c>
      <c r="O89" s="64">
        <v>0</v>
      </c>
      <c r="P89" s="64">
        <v>3.64</v>
      </c>
      <c r="Q89" s="64">
        <v>1.08</v>
      </c>
      <c r="R89" s="198"/>
      <c r="S89" s="198"/>
      <c r="T89" s="198"/>
      <c r="U89" s="198"/>
    </row>
    <row r="90" spans="1:26" s="12" customFormat="1" x14ac:dyDescent="0.25">
      <c r="A90" s="214" t="s">
        <v>2153</v>
      </c>
      <c r="B90" s="64">
        <v>67.67</v>
      </c>
      <c r="C90" s="64">
        <v>102.89</v>
      </c>
      <c r="D90" s="64">
        <v>111.69</v>
      </c>
      <c r="E90" s="64">
        <v>2.48</v>
      </c>
      <c r="F90" s="64">
        <v>4.62</v>
      </c>
      <c r="G90" s="64">
        <v>236.41</v>
      </c>
      <c r="H90" s="64">
        <v>80.709999999999994</v>
      </c>
      <c r="I90" s="64">
        <v>1.52</v>
      </c>
      <c r="J90" s="64">
        <v>0.13</v>
      </c>
      <c r="K90" s="64">
        <v>335.91</v>
      </c>
      <c r="L90" s="64">
        <v>13.46</v>
      </c>
      <c r="M90" s="64">
        <v>70.09</v>
      </c>
      <c r="N90" s="64">
        <v>47.3</v>
      </c>
      <c r="O90" s="64">
        <v>0</v>
      </c>
      <c r="P90" s="64">
        <v>4.34</v>
      </c>
      <c r="Q90" s="64">
        <v>0.46</v>
      </c>
      <c r="R90" s="198"/>
      <c r="S90" s="198"/>
      <c r="T90" s="198"/>
      <c r="U90" s="198"/>
    </row>
    <row r="91" spans="1:26" s="12" customFormat="1" x14ac:dyDescent="0.25">
      <c r="A91" s="214" t="s">
        <v>2154</v>
      </c>
      <c r="B91" s="64">
        <v>83.86</v>
      </c>
      <c r="C91" s="64">
        <v>105.29</v>
      </c>
      <c r="D91" s="64">
        <v>126</v>
      </c>
      <c r="E91" s="64">
        <v>2.5499999999999998</v>
      </c>
      <c r="F91" s="64">
        <v>3.87</v>
      </c>
      <c r="G91" s="64">
        <v>236.41</v>
      </c>
      <c r="H91" s="64">
        <v>85.12</v>
      </c>
      <c r="I91" s="64">
        <v>1.47</v>
      </c>
      <c r="J91" s="64">
        <v>0.09</v>
      </c>
      <c r="K91" s="64">
        <v>302.2</v>
      </c>
      <c r="L91" s="64">
        <v>13.15</v>
      </c>
      <c r="M91" s="64">
        <v>71.81</v>
      </c>
      <c r="N91" s="64">
        <v>47.9</v>
      </c>
      <c r="O91" s="64">
        <v>0</v>
      </c>
      <c r="P91" s="64">
        <v>4.78</v>
      </c>
      <c r="Q91" s="64">
        <v>0.84</v>
      </c>
      <c r="R91" s="198"/>
      <c r="S91" s="198"/>
      <c r="T91" s="198"/>
      <c r="U91" s="198"/>
    </row>
    <row r="92" spans="1:26" s="12" customFormat="1" x14ac:dyDescent="0.25">
      <c r="A92" s="214" t="s">
        <v>2155</v>
      </c>
      <c r="B92" s="64">
        <v>100.54</v>
      </c>
      <c r="C92" s="64">
        <v>107.17</v>
      </c>
      <c r="D92" s="64">
        <v>140.41999999999999</v>
      </c>
      <c r="E92" s="64">
        <v>2.48</v>
      </c>
      <c r="F92" s="64">
        <v>4.1500000000000004</v>
      </c>
      <c r="G92" s="64">
        <v>302.99</v>
      </c>
      <c r="H92" s="64">
        <v>107.58</v>
      </c>
      <c r="I92" s="64">
        <v>1.37</v>
      </c>
      <c r="J92" s="64">
        <v>0.06</v>
      </c>
      <c r="K92" s="64">
        <v>318.63</v>
      </c>
      <c r="L92" s="64">
        <v>13.05</v>
      </c>
      <c r="M92" s="64">
        <v>73.12</v>
      </c>
      <c r="N92" s="64">
        <v>48.6</v>
      </c>
      <c r="O92" s="64">
        <v>0</v>
      </c>
      <c r="P92" s="64">
        <v>4.8099999999999996</v>
      </c>
      <c r="Q92" s="64">
        <v>1.08</v>
      </c>
      <c r="R92" s="198"/>
      <c r="S92" s="198"/>
      <c r="T92" s="198"/>
      <c r="U92" s="198"/>
    </row>
    <row r="93" spans="1:26" s="12" customFormat="1" x14ac:dyDescent="0.25">
      <c r="A93" s="214" t="s">
        <v>2156</v>
      </c>
      <c r="B93" s="64">
        <v>123.92</v>
      </c>
      <c r="C93" s="64">
        <v>109.7</v>
      </c>
      <c r="D93" s="64">
        <v>160.56</v>
      </c>
      <c r="E93" s="64">
        <v>2.46</v>
      </c>
      <c r="F93" s="64">
        <v>4.04</v>
      </c>
      <c r="G93" s="64">
        <v>302.99</v>
      </c>
      <c r="H93" s="64">
        <v>107.58</v>
      </c>
      <c r="I93" s="64">
        <v>1.57</v>
      </c>
      <c r="J93" s="64">
        <v>0.09</v>
      </c>
      <c r="K93" s="64">
        <v>114.76</v>
      </c>
      <c r="L93" s="64">
        <v>13.02</v>
      </c>
      <c r="M93" s="64">
        <v>73.180000000000007</v>
      </c>
      <c r="N93" s="64">
        <v>50.4</v>
      </c>
      <c r="O93" s="64">
        <v>0</v>
      </c>
      <c r="P93" s="64">
        <v>5.65</v>
      </c>
      <c r="Q93" s="64">
        <v>1.27</v>
      </c>
      <c r="R93" s="198"/>
      <c r="S93" s="198"/>
      <c r="T93" s="198"/>
      <c r="U93" s="198"/>
    </row>
    <row r="94" spans="1:26" s="12" customFormat="1" x14ac:dyDescent="0.25">
      <c r="A94" s="214" t="s">
        <v>2157</v>
      </c>
      <c r="B94" s="64">
        <v>147.59</v>
      </c>
      <c r="C94" s="64">
        <v>112.42</v>
      </c>
      <c r="D94" s="64">
        <v>181.05</v>
      </c>
      <c r="E94" s="64">
        <v>2.44</v>
      </c>
      <c r="F94" s="64">
        <v>4.05</v>
      </c>
      <c r="G94" s="64">
        <v>302.99</v>
      </c>
      <c r="H94" s="64">
        <v>107.58</v>
      </c>
      <c r="I94" s="64">
        <v>1.57</v>
      </c>
      <c r="J94" s="64">
        <v>0.16</v>
      </c>
      <c r="K94" s="64">
        <v>276.81</v>
      </c>
      <c r="L94" s="64">
        <v>13</v>
      </c>
      <c r="M94" s="64">
        <v>74.11</v>
      </c>
      <c r="N94" s="64">
        <v>51.4</v>
      </c>
      <c r="O94" s="64">
        <v>0</v>
      </c>
      <c r="P94" s="64">
        <v>5.12</v>
      </c>
      <c r="Q94" s="64">
        <v>1.06</v>
      </c>
      <c r="R94" s="198"/>
      <c r="S94" s="198"/>
      <c r="T94" s="198"/>
      <c r="U94" s="198"/>
    </row>
    <row r="95" spans="1:26" s="12" customFormat="1" x14ac:dyDescent="0.25">
      <c r="A95" s="214" t="s">
        <v>2158</v>
      </c>
      <c r="B95" s="64">
        <v>160.32</v>
      </c>
      <c r="C95" s="64">
        <v>113.89</v>
      </c>
      <c r="D95" s="64">
        <v>192.07</v>
      </c>
      <c r="E95" s="64">
        <v>2.33</v>
      </c>
      <c r="F95" s="64">
        <v>3.7</v>
      </c>
      <c r="G95" s="64">
        <v>309.45</v>
      </c>
      <c r="H95" s="64">
        <v>114.58</v>
      </c>
      <c r="I95" s="64">
        <v>1.49</v>
      </c>
      <c r="J95" s="64">
        <v>0.06</v>
      </c>
      <c r="K95" s="64">
        <v>324.95</v>
      </c>
      <c r="L95" s="64">
        <v>12.75</v>
      </c>
      <c r="M95" s="64">
        <v>78.180000000000007</v>
      </c>
      <c r="N95" s="64">
        <v>53</v>
      </c>
      <c r="O95" s="64">
        <v>0</v>
      </c>
      <c r="P95" s="64">
        <v>5.1100000000000003</v>
      </c>
      <c r="Q95" s="64">
        <v>1.21</v>
      </c>
      <c r="R95" s="198"/>
      <c r="S95" s="198"/>
      <c r="T95" s="198"/>
      <c r="U95" s="198"/>
    </row>
    <row r="96" spans="1:26" s="12" customFormat="1" x14ac:dyDescent="0.25">
      <c r="A96" s="214" t="s">
        <v>2159</v>
      </c>
      <c r="B96" s="64">
        <v>175.27</v>
      </c>
      <c r="C96" s="64">
        <v>114.14</v>
      </c>
      <c r="D96" s="64">
        <v>204.2</v>
      </c>
      <c r="E96" s="64">
        <v>2.35</v>
      </c>
      <c r="F96" s="64">
        <v>3.98</v>
      </c>
      <c r="G96" s="64">
        <v>333.58</v>
      </c>
      <c r="H96" s="64">
        <v>133.62</v>
      </c>
      <c r="I96" s="64">
        <v>1.43</v>
      </c>
      <c r="J96" s="64">
        <v>0.08</v>
      </c>
      <c r="K96" s="64">
        <v>334.21</v>
      </c>
      <c r="L96" s="64">
        <v>12.43</v>
      </c>
      <c r="M96" s="64">
        <v>81.36</v>
      </c>
      <c r="N96" s="64">
        <v>53.9</v>
      </c>
      <c r="O96" s="64">
        <v>0</v>
      </c>
      <c r="P96" s="64">
        <v>5.93</v>
      </c>
      <c r="Q96" s="64">
        <v>1.1499999999999999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2160</v>
      </c>
      <c r="B97" s="64">
        <v>193.65</v>
      </c>
      <c r="C97" s="64">
        <v>115.09</v>
      </c>
      <c r="D97" s="64">
        <v>219.46</v>
      </c>
      <c r="E97" s="64">
        <v>2.29</v>
      </c>
      <c r="F97" s="64">
        <v>3.8</v>
      </c>
      <c r="G97" s="64">
        <v>333.58</v>
      </c>
      <c r="H97" s="64">
        <v>133.62</v>
      </c>
      <c r="I97" s="64">
        <v>1.56</v>
      </c>
      <c r="J97" s="64">
        <v>0.05</v>
      </c>
      <c r="K97" s="64">
        <v>182.53</v>
      </c>
      <c r="L97" s="64">
        <v>12.34</v>
      </c>
      <c r="M97" s="64">
        <v>82.63</v>
      </c>
      <c r="N97" s="64">
        <v>54.9</v>
      </c>
      <c r="O97" s="64">
        <v>0</v>
      </c>
      <c r="P97" s="64">
        <v>5.78</v>
      </c>
      <c r="Q97" s="64">
        <v>2.5099999999999998</v>
      </c>
      <c r="R97" s="198"/>
      <c r="S97" s="198"/>
      <c r="T97" s="198"/>
      <c r="U97" s="198"/>
    </row>
    <row r="98" spans="1:33" s="12" customFormat="1" x14ac:dyDescent="0.25">
      <c r="A98" s="214" t="s">
        <v>2161</v>
      </c>
      <c r="B98" s="64">
        <v>216.69</v>
      </c>
      <c r="C98" s="64">
        <v>117.34</v>
      </c>
      <c r="D98" s="64">
        <v>239.17</v>
      </c>
      <c r="E98" s="64">
        <v>2.29</v>
      </c>
      <c r="F98" s="64">
        <v>4.1399999999999997</v>
      </c>
      <c r="G98" s="64">
        <v>333.58</v>
      </c>
      <c r="H98" s="64">
        <v>133.62</v>
      </c>
      <c r="I98" s="64">
        <v>1.44</v>
      </c>
      <c r="J98" s="64">
        <v>0.1</v>
      </c>
      <c r="K98" s="64">
        <v>308.18</v>
      </c>
      <c r="L98" s="64">
        <v>12.22</v>
      </c>
      <c r="M98" s="64">
        <v>83.46</v>
      </c>
      <c r="N98" s="64">
        <v>61.1</v>
      </c>
      <c r="O98" s="64">
        <v>0</v>
      </c>
      <c r="P98" s="64">
        <v>6.06</v>
      </c>
      <c r="Q98" s="64">
        <v>1.34</v>
      </c>
      <c r="R98" s="198"/>
      <c r="S98" s="198"/>
      <c r="T98" s="198"/>
      <c r="U98" s="198"/>
    </row>
    <row r="99" spans="1:33" s="12" customFormat="1" x14ac:dyDescent="0.25">
      <c r="A99" s="214" t="s">
        <v>2162</v>
      </c>
      <c r="B99" s="64">
        <v>235.66</v>
      </c>
      <c r="C99" s="64">
        <v>119.09</v>
      </c>
      <c r="D99" s="64">
        <v>255.35</v>
      </c>
      <c r="E99" s="64">
        <v>2.2200000000000002</v>
      </c>
      <c r="F99" s="64">
        <v>3.9</v>
      </c>
      <c r="G99" s="64">
        <v>340.57</v>
      </c>
      <c r="H99" s="64">
        <v>133.62</v>
      </c>
      <c r="I99" s="64">
        <v>1.54</v>
      </c>
      <c r="J99" s="64">
        <v>0.02</v>
      </c>
      <c r="K99" s="64">
        <v>137.58000000000001</v>
      </c>
      <c r="L99" s="64">
        <v>11.96</v>
      </c>
      <c r="M99" s="64">
        <v>83.96</v>
      </c>
      <c r="N99" s="64">
        <v>63.3</v>
      </c>
      <c r="O99" s="64">
        <v>0</v>
      </c>
      <c r="P99" s="64">
        <v>5.53</v>
      </c>
      <c r="Q99" s="64">
        <v>1.7</v>
      </c>
      <c r="R99" s="198"/>
      <c r="S99" s="198"/>
      <c r="T99" s="198"/>
      <c r="U99" s="198"/>
    </row>
    <row r="100" spans="1:33" s="12" customFormat="1" x14ac:dyDescent="0.25">
      <c r="A100" s="214" t="s">
        <v>2163</v>
      </c>
      <c r="B100" s="64">
        <v>246.56</v>
      </c>
      <c r="C100" s="64">
        <v>118.88</v>
      </c>
      <c r="D100" s="64">
        <v>263.98</v>
      </c>
      <c r="E100" s="64">
        <v>2.12</v>
      </c>
      <c r="F100" s="64">
        <v>3.72</v>
      </c>
      <c r="G100" s="64">
        <v>366.7</v>
      </c>
      <c r="H100" s="64">
        <v>154.51</v>
      </c>
      <c r="I100" s="64">
        <v>1.41</v>
      </c>
      <c r="J100" s="64">
        <v>0.08</v>
      </c>
      <c r="K100" s="64">
        <v>284.38</v>
      </c>
      <c r="L100" s="64">
        <v>11.91</v>
      </c>
      <c r="M100" s="64">
        <v>86.17</v>
      </c>
      <c r="N100" s="64">
        <v>60.3</v>
      </c>
      <c r="O100" s="64">
        <v>0</v>
      </c>
      <c r="P100" s="64">
        <v>5.23</v>
      </c>
      <c r="Q100" s="64">
        <v>5.12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2164</v>
      </c>
      <c r="B101" s="64">
        <v>258.92</v>
      </c>
      <c r="C101" s="64">
        <v>118.06</v>
      </c>
      <c r="D101" s="64">
        <v>273.43</v>
      </c>
      <c r="E101" s="64">
        <v>2.11</v>
      </c>
      <c r="F101" s="64">
        <v>3.64</v>
      </c>
      <c r="G101" s="64">
        <v>366.7</v>
      </c>
      <c r="H101" s="64">
        <v>154.51</v>
      </c>
      <c r="I101" s="64">
        <v>1.42</v>
      </c>
      <c r="J101" s="64">
        <v>0.14000000000000001</v>
      </c>
      <c r="K101" s="64">
        <v>311.07</v>
      </c>
      <c r="L101" s="64">
        <v>11.71</v>
      </c>
      <c r="M101" s="64">
        <v>90.35</v>
      </c>
      <c r="N101" s="64">
        <v>60.8</v>
      </c>
      <c r="O101" s="64">
        <v>0</v>
      </c>
      <c r="P101" s="64">
        <v>5.56</v>
      </c>
      <c r="Q101" s="64">
        <v>4.1100000000000003</v>
      </c>
      <c r="R101" s="198"/>
      <c r="S101" s="198"/>
      <c r="T101" s="198"/>
      <c r="U101" s="198"/>
    </row>
    <row r="102" spans="1:33" s="12" customFormat="1" x14ac:dyDescent="0.25">
      <c r="A102" s="214" t="s">
        <v>2165</v>
      </c>
      <c r="B102" s="64">
        <v>268.56</v>
      </c>
      <c r="C102" s="64">
        <v>117.09</v>
      </c>
      <c r="D102" s="64">
        <v>280.63</v>
      </c>
      <c r="E102" s="64">
        <v>1.93</v>
      </c>
      <c r="F102" s="64">
        <v>3.81</v>
      </c>
      <c r="G102" s="64">
        <v>366.7</v>
      </c>
      <c r="H102" s="64">
        <v>154.51</v>
      </c>
      <c r="I102" s="64">
        <v>1.56</v>
      </c>
      <c r="J102" s="64">
        <v>0.1</v>
      </c>
      <c r="K102" s="64">
        <v>270.86</v>
      </c>
      <c r="L102" s="64">
        <v>11.59</v>
      </c>
      <c r="M102" s="64">
        <v>90.33</v>
      </c>
      <c r="N102" s="64">
        <v>59</v>
      </c>
      <c r="O102" s="64">
        <v>0</v>
      </c>
      <c r="P102" s="64">
        <v>5.31</v>
      </c>
      <c r="Q102" s="64">
        <v>14.64</v>
      </c>
      <c r="R102" s="198"/>
      <c r="S102" s="198"/>
      <c r="T102" s="198"/>
      <c r="U102" s="198"/>
    </row>
    <row r="103" spans="1:33" s="12" customFormat="1" x14ac:dyDescent="0.25">
      <c r="A103" s="214" t="s">
        <v>2166</v>
      </c>
      <c r="B103" s="64">
        <v>272.08999999999997</v>
      </c>
      <c r="C103" s="64">
        <v>115.08</v>
      </c>
      <c r="D103" s="64">
        <v>282.35000000000002</v>
      </c>
      <c r="E103" s="64">
        <v>1.81</v>
      </c>
      <c r="F103" s="64">
        <v>3.69</v>
      </c>
      <c r="G103" s="64">
        <v>360.63</v>
      </c>
      <c r="H103" s="64">
        <v>154.6</v>
      </c>
      <c r="I103" s="64">
        <v>1.46</v>
      </c>
      <c r="J103" s="64">
        <v>0.09</v>
      </c>
      <c r="K103" s="64">
        <v>289.58</v>
      </c>
      <c r="L103" s="64">
        <v>11.52</v>
      </c>
      <c r="M103" s="64">
        <v>84.76</v>
      </c>
      <c r="N103" s="64">
        <v>58.7</v>
      </c>
      <c r="O103" s="64">
        <v>0</v>
      </c>
      <c r="P103" s="64">
        <v>4.46</v>
      </c>
      <c r="Q103" s="64">
        <v>23.08</v>
      </c>
      <c r="R103" s="198"/>
      <c r="S103" s="198"/>
      <c r="T103" s="198"/>
      <c r="U103" s="198"/>
    </row>
    <row r="104" spans="1:33" s="12" customFormat="1" x14ac:dyDescent="0.25">
      <c r="A104" s="214" t="s">
        <v>2167</v>
      </c>
      <c r="B104" s="64">
        <v>268.69</v>
      </c>
      <c r="C104" s="64">
        <v>111.04</v>
      </c>
      <c r="D104" s="64">
        <v>277.39999999999998</v>
      </c>
      <c r="E104" s="64">
        <v>0.85</v>
      </c>
      <c r="F104" s="64">
        <v>3.52</v>
      </c>
      <c r="G104" s="64">
        <v>337.95</v>
      </c>
      <c r="H104" s="64">
        <v>154.87</v>
      </c>
      <c r="I104" s="64">
        <v>1.48</v>
      </c>
      <c r="J104" s="64">
        <v>0.11</v>
      </c>
      <c r="K104" s="64">
        <v>280.05</v>
      </c>
      <c r="L104" s="64">
        <v>11.31</v>
      </c>
      <c r="M104" s="64">
        <v>83.02</v>
      </c>
      <c r="N104" s="64">
        <v>59.2</v>
      </c>
      <c r="O104" s="64">
        <v>0</v>
      </c>
      <c r="P104" s="64">
        <v>2.98</v>
      </c>
      <c r="Q104" s="64">
        <v>35.26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10.08</v>
      </c>
      <c r="C106" s="67">
        <f>MIN(C9:C104)</f>
        <v>58.25</v>
      </c>
      <c r="D106" s="67">
        <f t="shared" ref="D106:Q106" si="0">MIN(D9:D104)</f>
        <v>40.950000000000003</v>
      </c>
      <c r="E106" s="67">
        <f t="shared" si="0"/>
        <v>0.85</v>
      </c>
      <c r="F106" s="67">
        <f t="shared" si="0"/>
        <v>3.52</v>
      </c>
      <c r="G106" s="67">
        <f t="shared" si="0"/>
        <v>58.2</v>
      </c>
      <c r="H106" s="67">
        <f t="shared" si="0"/>
        <v>17.95</v>
      </c>
      <c r="I106" s="67">
        <f t="shared" si="0"/>
        <v>1.36</v>
      </c>
      <c r="J106" s="67">
        <f t="shared" si="0"/>
        <v>0.02</v>
      </c>
      <c r="K106" s="67">
        <f t="shared" si="0"/>
        <v>4.3899999999999997</v>
      </c>
      <c r="L106" s="67">
        <f t="shared" si="0"/>
        <v>10.37</v>
      </c>
      <c r="M106" s="67">
        <f t="shared" si="0"/>
        <v>22.17</v>
      </c>
      <c r="N106" s="67">
        <f t="shared" si="0"/>
        <v>47</v>
      </c>
      <c r="O106" s="67">
        <f t="shared" si="0"/>
        <v>0</v>
      </c>
      <c r="P106" s="67">
        <f t="shared" si="0"/>
        <v>0.26</v>
      </c>
      <c r="Q106" s="67">
        <f t="shared" si="0"/>
        <v>0.1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272.08999999999997</v>
      </c>
      <c r="C107" s="66">
        <f t="shared" ref="C107:Q107" si="1">MAX(C9:C104)</f>
        <v>119.09</v>
      </c>
      <c r="D107" s="66">
        <f t="shared" si="1"/>
        <v>282.35000000000002</v>
      </c>
      <c r="E107" s="66">
        <f t="shared" si="1"/>
        <v>20.55</v>
      </c>
      <c r="F107" s="66">
        <f t="shared" si="1"/>
        <v>26.52</v>
      </c>
      <c r="G107" s="66">
        <f t="shared" si="1"/>
        <v>366.7</v>
      </c>
      <c r="H107" s="66">
        <f t="shared" si="1"/>
        <v>154.87</v>
      </c>
      <c r="I107" s="66">
        <f t="shared" si="1"/>
        <v>1.59</v>
      </c>
      <c r="J107" s="66">
        <f t="shared" si="1"/>
        <v>1.49</v>
      </c>
      <c r="K107" s="66">
        <f t="shared" si="1"/>
        <v>359.78</v>
      </c>
      <c r="L107" s="66">
        <f t="shared" si="1"/>
        <v>25.17</v>
      </c>
      <c r="M107" s="66">
        <f t="shared" si="1"/>
        <v>90.35</v>
      </c>
      <c r="N107" s="66">
        <f t="shared" si="1"/>
        <v>710.5</v>
      </c>
      <c r="O107" s="66">
        <f t="shared" si="1"/>
        <v>0</v>
      </c>
      <c r="P107" s="66">
        <f t="shared" si="1"/>
        <v>6.06</v>
      </c>
      <c r="Q107" s="66">
        <f t="shared" si="1"/>
        <v>35.26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44.545729166666661</v>
      </c>
      <c r="C108" s="67">
        <f t="shared" ref="C108:Q108" si="2">AVERAGE(C9:C104)</f>
        <v>80.20354166666668</v>
      </c>
      <c r="D108" s="67">
        <f t="shared" si="2"/>
        <v>80.630833333333342</v>
      </c>
      <c r="E108" s="67">
        <f t="shared" si="2"/>
        <v>5.7711458333333345</v>
      </c>
      <c r="F108" s="67">
        <f t="shared" si="2"/>
        <v>11.513020833333336</v>
      </c>
      <c r="G108" s="67">
        <f t="shared" si="2"/>
        <v>123.88031250000004</v>
      </c>
      <c r="H108" s="67">
        <f t="shared" si="2"/>
        <v>56.322187500000005</v>
      </c>
      <c r="I108" s="67">
        <f t="shared" si="2"/>
        <v>1.4958333333333329</v>
      </c>
      <c r="J108" s="67">
        <f t="shared" si="2"/>
        <v>0.37479166666666702</v>
      </c>
      <c r="K108" s="67">
        <f t="shared" si="2"/>
        <v>237.93937499999993</v>
      </c>
      <c r="L108" s="67">
        <f t="shared" si="2"/>
        <v>16.036562499999999</v>
      </c>
      <c r="M108" s="67">
        <f t="shared" si="2"/>
        <v>50.155000000000001</v>
      </c>
      <c r="N108" s="67">
        <f t="shared" si="2"/>
        <v>208.03645833333334</v>
      </c>
      <c r="O108" s="67">
        <f t="shared" si="2"/>
        <v>0</v>
      </c>
      <c r="P108" s="67">
        <f t="shared" si="2"/>
        <v>1.5503125000000004</v>
      </c>
      <c r="Q108" s="67">
        <f t="shared" si="2"/>
        <v>5.180212765957446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68.407552610801403</v>
      </c>
      <c r="C109" s="67">
        <f t="shared" ref="C109:Q109" si="3">STDEV(C9:C104)</f>
        <v>18.364207806959445</v>
      </c>
      <c r="D109" s="67">
        <f t="shared" si="3"/>
        <v>63.014069100173209</v>
      </c>
      <c r="E109" s="67">
        <f t="shared" si="3"/>
        <v>5.0659544473592808</v>
      </c>
      <c r="F109" s="67">
        <f t="shared" si="3"/>
        <v>6.6770460092834245</v>
      </c>
      <c r="G109" s="67">
        <f t="shared" si="3"/>
        <v>92.362697362689815</v>
      </c>
      <c r="H109" s="67">
        <f t="shared" si="3"/>
        <v>34.145396459478945</v>
      </c>
      <c r="I109" s="67">
        <f t="shared" si="3"/>
        <v>4.3277967329119711E-2</v>
      </c>
      <c r="J109" s="67">
        <f t="shared" si="3"/>
        <v>0.32292407178832383</v>
      </c>
      <c r="K109" s="67">
        <f t="shared" si="3"/>
        <v>131.68544766192321</v>
      </c>
      <c r="L109" s="67">
        <f t="shared" si="3"/>
        <v>4.6245017548124272</v>
      </c>
      <c r="M109" s="67">
        <f t="shared" si="3"/>
        <v>18.488348535738567</v>
      </c>
      <c r="N109" s="67">
        <f t="shared" si="3"/>
        <v>225.11926949709036</v>
      </c>
      <c r="O109" s="67">
        <f t="shared" si="3"/>
        <v>0</v>
      </c>
      <c r="P109" s="67">
        <f t="shared" si="3"/>
        <v>1.7195412197964157</v>
      </c>
      <c r="Q109" s="67">
        <f t="shared" si="3"/>
        <v>4.9510053239402572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2168</v>
      </c>
      <c r="B9" s="64">
        <v>258.2</v>
      </c>
      <c r="C9" s="64">
        <v>107.13</v>
      </c>
      <c r="D9" s="64">
        <v>266.83</v>
      </c>
      <c r="E9" s="64">
        <v>1.19</v>
      </c>
      <c r="F9" s="64">
        <v>3.61</v>
      </c>
      <c r="G9" s="64">
        <v>337.95</v>
      </c>
      <c r="H9" s="64">
        <v>154.87</v>
      </c>
      <c r="I9" s="64">
        <v>1.48</v>
      </c>
      <c r="J9" s="64">
        <v>0.15</v>
      </c>
      <c r="K9" s="64">
        <v>246.33</v>
      </c>
      <c r="L9" s="64">
        <v>11.61</v>
      </c>
      <c r="M9" s="64">
        <v>81.290000000000006</v>
      </c>
      <c r="N9" s="64">
        <v>59.2</v>
      </c>
      <c r="O9" s="64">
        <v>0</v>
      </c>
      <c r="P9" s="64">
        <v>2.37</v>
      </c>
      <c r="Q9" s="64">
        <v>38.18</v>
      </c>
      <c r="R9" s="198"/>
      <c r="S9" s="198"/>
      <c r="T9" s="198"/>
      <c r="U9" s="198"/>
    </row>
    <row r="10" spans="1:21" s="12" customFormat="1" x14ac:dyDescent="0.25">
      <c r="A10" s="214" t="s">
        <v>2169</v>
      </c>
      <c r="B10" s="64">
        <v>246.34</v>
      </c>
      <c r="C10" s="64">
        <v>103.44</v>
      </c>
      <c r="D10" s="64">
        <v>255.28</v>
      </c>
      <c r="E10" s="64">
        <v>1.1399999999999999</v>
      </c>
      <c r="F10" s="64">
        <v>3.72</v>
      </c>
      <c r="G10" s="64">
        <v>337.95</v>
      </c>
      <c r="H10" s="64">
        <v>154.87</v>
      </c>
      <c r="I10" s="64">
        <v>1.5</v>
      </c>
      <c r="J10" s="64">
        <v>0.14000000000000001</v>
      </c>
      <c r="K10" s="64">
        <v>292.27</v>
      </c>
      <c r="L10" s="64">
        <v>11.27</v>
      </c>
      <c r="M10" s="64">
        <v>84.5</v>
      </c>
      <c r="N10" s="64">
        <v>60.8</v>
      </c>
      <c r="O10" s="64">
        <v>0</v>
      </c>
      <c r="P10" s="64">
        <v>2.4900000000000002</v>
      </c>
      <c r="Q10" s="64">
        <v>37.520000000000003</v>
      </c>
      <c r="R10" s="198"/>
      <c r="S10" s="198"/>
      <c r="T10" s="198"/>
      <c r="U10" s="198"/>
    </row>
    <row r="11" spans="1:21" s="12" customFormat="1" x14ac:dyDescent="0.25">
      <c r="A11" s="214" t="s">
        <v>2170</v>
      </c>
      <c r="B11" s="64">
        <v>236.61</v>
      </c>
      <c r="C11" s="64">
        <v>100.29</v>
      </c>
      <c r="D11" s="64">
        <v>245.74</v>
      </c>
      <c r="E11" s="64">
        <v>1.08</v>
      </c>
      <c r="F11" s="64">
        <v>3.84</v>
      </c>
      <c r="G11" s="64">
        <v>212.82</v>
      </c>
      <c r="H11" s="64">
        <v>136.02000000000001</v>
      </c>
      <c r="I11" s="64">
        <v>1.42</v>
      </c>
      <c r="J11" s="64">
        <v>0.11</v>
      </c>
      <c r="K11" s="64">
        <v>291.02999999999997</v>
      </c>
      <c r="L11" s="64">
        <v>10.82</v>
      </c>
      <c r="M11" s="64">
        <v>87.09</v>
      </c>
      <c r="N11" s="64">
        <v>63.2</v>
      </c>
      <c r="O11" s="64">
        <v>0</v>
      </c>
      <c r="P11" s="64">
        <v>2.64</v>
      </c>
      <c r="Q11" s="64">
        <v>34.340000000000003</v>
      </c>
      <c r="R11" s="198"/>
      <c r="S11" s="198"/>
      <c r="T11" s="198"/>
      <c r="U11" s="198"/>
    </row>
    <row r="12" spans="1:21" s="12" customFormat="1" x14ac:dyDescent="0.25">
      <c r="A12" s="214" t="s">
        <v>2171</v>
      </c>
      <c r="B12" s="64">
        <v>226.45</v>
      </c>
      <c r="C12" s="64">
        <v>97.87</v>
      </c>
      <c r="D12" s="64">
        <v>236.26</v>
      </c>
      <c r="E12" s="64">
        <v>1</v>
      </c>
      <c r="F12" s="64">
        <v>3.54</v>
      </c>
      <c r="G12" s="64">
        <v>212.82</v>
      </c>
      <c r="H12" s="64">
        <v>136.02000000000001</v>
      </c>
      <c r="I12" s="64">
        <v>1.57</v>
      </c>
      <c r="J12" s="64">
        <v>0.09</v>
      </c>
      <c r="K12" s="64">
        <v>339.12</v>
      </c>
      <c r="L12" s="64">
        <v>10.66</v>
      </c>
      <c r="M12" s="64">
        <v>88.07</v>
      </c>
      <c r="N12" s="64">
        <v>60.6</v>
      </c>
      <c r="O12" s="64">
        <v>0</v>
      </c>
      <c r="P12" s="64">
        <v>2.25</v>
      </c>
      <c r="Q12" s="64">
        <v>34.700000000000003</v>
      </c>
      <c r="R12" s="198"/>
      <c r="S12" s="198"/>
      <c r="T12" s="198"/>
      <c r="U12" s="198"/>
    </row>
    <row r="13" spans="1:21" s="12" customFormat="1" x14ac:dyDescent="0.25">
      <c r="A13" s="214" t="s">
        <v>2172</v>
      </c>
      <c r="B13" s="64">
        <v>217.46</v>
      </c>
      <c r="C13" s="64">
        <v>95.39</v>
      </c>
      <c r="D13" s="64">
        <v>227.68</v>
      </c>
      <c r="E13" s="64">
        <v>0.99</v>
      </c>
      <c r="F13" s="64">
        <v>3.7</v>
      </c>
      <c r="G13" s="64">
        <v>212.82</v>
      </c>
      <c r="H13" s="64">
        <v>136.02000000000001</v>
      </c>
      <c r="I13" s="64">
        <v>1.52</v>
      </c>
      <c r="J13" s="64">
        <v>0.06</v>
      </c>
      <c r="K13" s="64">
        <v>287.51</v>
      </c>
      <c r="L13" s="64">
        <v>10.58</v>
      </c>
      <c r="M13" s="64">
        <v>92.24</v>
      </c>
      <c r="N13" s="64">
        <v>59.3</v>
      </c>
      <c r="O13" s="64">
        <v>0</v>
      </c>
      <c r="P13" s="64">
        <v>2.15</v>
      </c>
      <c r="Q13" s="64">
        <v>31.56</v>
      </c>
      <c r="R13" s="198"/>
      <c r="S13" s="198"/>
      <c r="T13" s="198"/>
      <c r="U13" s="198"/>
    </row>
    <row r="14" spans="1:21" s="12" customFormat="1" x14ac:dyDescent="0.25">
      <c r="A14" s="214" t="s">
        <v>2173</v>
      </c>
      <c r="B14" s="64">
        <v>209.77</v>
      </c>
      <c r="C14" s="64">
        <v>92.58</v>
      </c>
      <c r="D14" s="64">
        <v>219.96</v>
      </c>
      <c r="E14" s="64">
        <v>0.99</v>
      </c>
      <c r="F14" s="64">
        <v>3.45</v>
      </c>
      <c r="G14" s="64">
        <v>212.82</v>
      </c>
      <c r="H14" s="64">
        <v>136.02000000000001</v>
      </c>
      <c r="I14" s="64">
        <v>1.53</v>
      </c>
      <c r="J14" s="64">
        <v>0.1</v>
      </c>
      <c r="K14" s="64">
        <v>128.88</v>
      </c>
      <c r="L14" s="64">
        <v>10.65</v>
      </c>
      <c r="M14" s="64">
        <v>94.22</v>
      </c>
      <c r="N14" s="64">
        <v>58.4</v>
      </c>
      <c r="O14" s="64">
        <v>0</v>
      </c>
      <c r="P14" s="64">
        <v>2.2400000000000002</v>
      </c>
      <c r="Q14" s="64">
        <v>30.59</v>
      </c>
      <c r="R14" s="198"/>
      <c r="S14" s="198"/>
      <c r="T14" s="198"/>
      <c r="U14" s="198"/>
    </row>
    <row r="15" spans="1:21" s="12" customFormat="1" x14ac:dyDescent="0.25">
      <c r="A15" s="214" t="s">
        <v>2174</v>
      </c>
      <c r="B15" s="64">
        <v>202.07</v>
      </c>
      <c r="C15" s="64">
        <v>90.57</v>
      </c>
      <c r="D15" s="64">
        <v>212.67</v>
      </c>
      <c r="E15" s="64">
        <v>1.17</v>
      </c>
      <c r="F15" s="64">
        <v>3.5</v>
      </c>
      <c r="G15" s="64">
        <v>217.96</v>
      </c>
      <c r="H15" s="64">
        <v>132</v>
      </c>
      <c r="I15" s="64">
        <v>1.61</v>
      </c>
      <c r="J15" s="64">
        <v>0.16</v>
      </c>
      <c r="K15" s="64">
        <v>81.45</v>
      </c>
      <c r="L15" s="64">
        <v>11.51</v>
      </c>
      <c r="M15" s="64">
        <v>78.73</v>
      </c>
      <c r="N15" s="64">
        <v>55.8</v>
      </c>
      <c r="O15" s="64">
        <v>0</v>
      </c>
      <c r="P15" s="64">
        <v>2.56</v>
      </c>
      <c r="Q15" s="64">
        <v>30.1</v>
      </c>
      <c r="R15" s="198"/>
      <c r="S15" s="198"/>
      <c r="T15" s="198"/>
      <c r="U15" s="198"/>
    </row>
    <row r="16" spans="1:21" s="12" customFormat="1" x14ac:dyDescent="0.25">
      <c r="A16" s="214" t="s">
        <v>2175</v>
      </c>
      <c r="B16" s="64">
        <v>193.49</v>
      </c>
      <c r="C16" s="64">
        <v>89.24</v>
      </c>
      <c r="D16" s="64">
        <v>205.06</v>
      </c>
      <c r="E16" s="64">
        <v>1.46</v>
      </c>
      <c r="F16" s="64">
        <v>3.59</v>
      </c>
      <c r="G16" s="64">
        <v>238.55</v>
      </c>
      <c r="H16" s="64">
        <v>121.07</v>
      </c>
      <c r="I16" s="64">
        <v>1.57</v>
      </c>
      <c r="J16" s="64">
        <v>0.06</v>
      </c>
      <c r="K16" s="64">
        <v>257.52999999999997</v>
      </c>
      <c r="L16" s="64">
        <v>11.64</v>
      </c>
      <c r="M16" s="64">
        <v>75.28</v>
      </c>
      <c r="N16" s="64">
        <v>57.7</v>
      </c>
      <c r="O16" s="64">
        <v>0</v>
      </c>
      <c r="P16" s="64">
        <v>2.64</v>
      </c>
      <c r="Q16" s="64">
        <v>30.35</v>
      </c>
      <c r="R16" s="198"/>
      <c r="S16" s="198"/>
      <c r="T16" s="198"/>
      <c r="U16" s="198"/>
    </row>
    <row r="17" spans="1:21" s="12" customFormat="1" x14ac:dyDescent="0.25">
      <c r="A17" s="214" t="s">
        <v>2176</v>
      </c>
      <c r="B17" s="64">
        <v>183.43</v>
      </c>
      <c r="C17" s="64">
        <v>88.39</v>
      </c>
      <c r="D17" s="64">
        <v>196.52</v>
      </c>
      <c r="E17" s="64">
        <v>1.53</v>
      </c>
      <c r="F17" s="64">
        <v>3.82</v>
      </c>
      <c r="G17" s="64">
        <v>238.55</v>
      </c>
      <c r="H17" s="64">
        <v>121.07</v>
      </c>
      <c r="I17" s="64">
        <v>1.51</v>
      </c>
      <c r="J17" s="64">
        <v>7.0000000000000007E-2</v>
      </c>
      <c r="K17" s="64">
        <v>282.82</v>
      </c>
      <c r="L17" s="64">
        <v>11.11</v>
      </c>
      <c r="M17" s="64">
        <v>77.34</v>
      </c>
      <c r="N17" s="64">
        <v>59.9</v>
      </c>
      <c r="O17" s="64">
        <v>0</v>
      </c>
      <c r="P17" s="64">
        <v>2.4300000000000002</v>
      </c>
      <c r="Q17" s="64">
        <v>30.32</v>
      </c>
      <c r="R17" s="198"/>
      <c r="S17" s="198"/>
      <c r="T17" s="198"/>
      <c r="U17" s="198"/>
    </row>
    <row r="18" spans="1:21" s="12" customFormat="1" x14ac:dyDescent="0.25">
      <c r="A18" s="214" t="s">
        <v>2177</v>
      </c>
      <c r="B18" s="64">
        <v>172.09</v>
      </c>
      <c r="C18" s="64">
        <v>87.3</v>
      </c>
      <c r="D18" s="64">
        <v>186.82</v>
      </c>
      <c r="E18" s="64">
        <v>1.66</v>
      </c>
      <c r="F18" s="64">
        <v>3.72</v>
      </c>
      <c r="G18" s="64">
        <v>238.55</v>
      </c>
      <c r="H18" s="64">
        <v>121.07</v>
      </c>
      <c r="I18" s="64">
        <v>1.43</v>
      </c>
      <c r="J18" s="64">
        <v>0.08</v>
      </c>
      <c r="K18" s="64">
        <v>69.319999999999993</v>
      </c>
      <c r="L18" s="64">
        <v>11.1</v>
      </c>
      <c r="M18" s="64">
        <v>70.44</v>
      </c>
      <c r="N18" s="64">
        <v>60.6</v>
      </c>
      <c r="O18" s="64">
        <v>0</v>
      </c>
      <c r="P18" s="64">
        <v>2.0699999999999998</v>
      </c>
      <c r="Q18" s="64">
        <v>30.4</v>
      </c>
      <c r="R18" s="198"/>
      <c r="S18" s="198"/>
      <c r="T18" s="198"/>
      <c r="U18" s="198"/>
    </row>
    <row r="19" spans="1:21" s="12" customFormat="1" x14ac:dyDescent="0.25">
      <c r="A19" s="214" t="s">
        <v>2178</v>
      </c>
      <c r="B19" s="64">
        <v>159.69</v>
      </c>
      <c r="C19" s="64">
        <v>86.29</v>
      </c>
      <c r="D19" s="64">
        <v>176.33</v>
      </c>
      <c r="E19" s="64">
        <v>1.94</v>
      </c>
      <c r="F19" s="64">
        <v>3.71</v>
      </c>
      <c r="G19" s="64">
        <v>238.55</v>
      </c>
      <c r="H19" s="64">
        <v>125.47</v>
      </c>
      <c r="I19" s="64">
        <v>1.59</v>
      </c>
      <c r="J19" s="64">
        <v>7.0000000000000007E-2</v>
      </c>
      <c r="K19" s="64">
        <v>60.38</v>
      </c>
      <c r="L19" s="64">
        <v>11.66</v>
      </c>
      <c r="M19" s="64">
        <v>65.84</v>
      </c>
      <c r="N19" s="64">
        <v>61.9</v>
      </c>
      <c r="O19" s="64">
        <v>0</v>
      </c>
      <c r="P19" s="64">
        <v>1.69</v>
      </c>
      <c r="Q19" s="64">
        <v>31.57</v>
      </c>
      <c r="R19" s="198"/>
      <c r="S19" s="198"/>
      <c r="T19" s="198"/>
      <c r="U19" s="198"/>
    </row>
    <row r="20" spans="1:21" s="12" customFormat="1" x14ac:dyDescent="0.25">
      <c r="A20" s="214" t="s">
        <v>2179</v>
      </c>
      <c r="B20" s="64">
        <v>147.59</v>
      </c>
      <c r="C20" s="64">
        <v>85.74</v>
      </c>
      <c r="D20" s="64">
        <v>166.32</v>
      </c>
      <c r="E20" s="64">
        <v>1.56</v>
      </c>
      <c r="F20" s="64">
        <v>3.47</v>
      </c>
      <c r="G20" s="64">
        <v>256.82</v>
      </c>
      <c r="H20" s="64">
        <v>138.18</v>
      </c>
      <c r="I20" s="64">
        <v>1.47</v>
      </c>
      <c r="J20" s="64">
        <v>0.02</v>
      </c>
      <c r="K20" s="64">
        <v>353.62</v>
      </c>
      <c r="L20" s="64">
        <v>11.23</v>
      </c>
      <c r="M20" s="64">
        <v>70.069999999999993</v>
      </c>
      <c r="N20" s="64">
        <v>63</v>
      </c>
      <c r="O20" s="64">
        <v>0</v>
      </c>
      <c r="P20" s="64">
        <v>1.64</v>
      </c>
      <c r="Q20" s="64">
        <v>29.07</v>
      </c>
      <c r="R20" s="198"/>
      <c r="S20" s="198"/>
      <c r="T20" s="198"/>
      <c r="U20" s="198"/>
    </row>
    <row r="21" spans="1:21" s="12" customFormat="1" x14ac:dyDescent="0.25">
      <c r="A21" s="214" t="s">
        <v>2180</v>
      </c>
      <c r="B21" s="64">
        <v>136.37</v>
      </c>
      <c r="C21" s="64">
        <v>84.68</v>
      </c>
      <c r="D21" s="64">
        <v>156.74</v>
      </c>
      <c r="E21" s="64">
        <v>1.36</v>
      </c>
      <c r="F21" s="64">
        <v>3.45</v>
      </c>
      <c r="G21" s="64">
        <v>256.82</v>
      </c>
      <c r="H21" s="64">
        <v>138.18</v>
      </c>
      <c r="I21" s="64">
        <v>1.5</v>
      </c>
      <c r="J21" s="64">
        <v>0.06</v>
      </c>
      <c r="K21" s="64">
        <v>15.22</v>
      </c>
      <c r="L21" s="64">
        <v>11.02</v>
      </c>
      <c r="M21" s="64">
        <v>69.64</v>
      </c>
      <c r="N21" s="64">
        <v>61</v>
      </c>
      <c r="O21" s="64">
        <v>0</v>
      </c>
      <c r="P21" s="64">
        <v>1.47</v>
      </c>
      <c r="Q21" s="64">
        <v>27.03</v>
      </c>
      <c r="R21" s="198"/>
      <c r="S21" s="198"/>
      <c r="T21" s="198"/>
      <c r="U21" s="198"/>
    </row>
    <row r="22" spans="1:21" s="12" customFormat="1" x14ac:dyDescent="0.25">
      <c r="A22" s="214" t="s">
        <v>2181</v>
      </c>
      <c r="B22" s="64">
        <v>126.14</v>
      </c>
      <c r="C22" s="64">
        <v>82.76</v>
      </c>
      <c r="D22" s="64">
        <v>147.47999999999999</v>
      </c>
      <c r="E22" s="64">
        <v>1.17</v>
      </c>
      <c r="F22" s="64">
        <v>4.26</v>
      </c>
      <c r="G22" s="64">
        <v>256.82</v>
      </c>
      <c r="H22" s="64">
        <v>138.18</v>
      </c>
      <c r="I22" s="64">
        <v>1.51</v>
      </c>
      <c r="J22" s="64">
        <v>0.1</v>
      </c>
      <c r="K22" s="64">
        <v>76.459999999999994</v>
      </c>
      <c r="L22" s="64">
        <v>11.35</v>
      </c>
      <c r="M22" s="64">
        <v>65.430000000000007</v>
      </c>
      <c r="N22" s="64">
        <v>55</v>
      </c>
      <c r="O22" s="64">
        <v>0</v>
      </c>
      <c r="P22" s="64">
        <v>1.1399999999999999</v>
      </c>
      <c r="Q22" s="64">
        <v>26.69</v>
      </c>
      <c r="R22" s="198"/>
      <c r="S22" s="198"/>
      <c r="T22" s="198"/>
      <c r="U22" s="198"/>
    </row>
    <row r="23" spans="1:21" s="12" customFormat="1" x14ac:dyDescent="0.25">
      <c r="A23" s="214" t="s">
        <v>2182</v>
      </c>
      <c r="B23" s="64">
        <v>116.25</v>
      </c>
      <c r="C23" s="64">
        <v>81.010000000000005</v>
      </c>
      <c r="D23" s="64">
        <v>138.58000000000001</v>
      </c>
      <c r="E23" s="64">
        <v>1.03</v>
      </c>
      <c r="F23" s="64">
        <v>4.3899999999999997</v>
      </c>
      <c r="G23" s="64">
        <v>144.72999999999999</v>
      </c>
      <c r="H23" s="64">
        <v>127.58</v>
      </c>
      <c r="I23" s="64">
        <v>1.48</v>
      </c>
      <c r="J23" s="64">
        <v>7.0000000000000007E-2</v>
      </c>
      <c r="K23" s="64">
        <v>36.700000000000003</v>
      </c>
      <c r="L23" s="64">
        <v>11.44</v>
      </c>
      <c r="M23" s="64">
        <v>64.16</v>
      </c>
      <c r="N23" s="64">
        <v>53.8</v>
      </c>
      <c r="O23" s="64">
        <v>0</v>
      </c>
      <c r="P23" s="64">
        <v>0.81</v>
      </c>
      <c r="Q23" s="64">
        <v>25.3</v>
      </c>
      <c r="R23" s="198"/>
      <c r="S23" s="198"/>
      <c r="T23" s="198"/>
      <c r="U23" s="198"/>
    </row>
    <row r="24" spans="1:21" s="12" customFormat="1" x14ac:dyDescent="0.25">
      <c r="A24" s="214" t="s">
        <v>2183</v>
      </c>
      <c r="B24" s="64">
        <v>107.38</v>
      </c>
      <c r="C24" s="64">
        <v>79.67</v>
      </c>
      <c r="D24" s="64">
        <v>130.72</v>
      </c>
      <c r="E24" s="64">
        <v>0.64</v>
      </c>
      <c r="F24" s="64">
        <v>4.6399999999999997</v>
      </c>
      <c r="G24" s="64">
        <v>144.72999999999999</v>
      </c>
      <c r="H24" s="64">
        <v>98.74</v>
      </c>
      <c r="I24" s="64">
        <v>1.44</v>
      </c>
      <c r="J24" s="64">
        <v>0.12</v>
      </c>
      <c r="K24" s="64">
        <v>94.33</v>
      </c>
      <c r="L24" s="64">
        <v>11.39</v>
      </c>
      <c r="M24" s="64">
        <v>64.319999999999993</v>
      </c>
      <c r="N24" s="64">
        <v>53.7</v>
      </c>
      <c r="O24" s="64">
        <v>0</v>
      </c>
      <c r="P24" s="64">
        <v>0.67</v>
      </c>
      <c r="Q24" s="64">
        <v>23.08</v>
      </c>
      <c r="R24" s="198"/>
      <c r="S24" s="198"/>
      <c r="T24" s="198"/>
      <c r="U24" s="198"/>
    </row>
    <row r="25" spans="1:21" s="12" customFormat="1" x14ac:dyDescent="0.25">
      <c r="A25" s="214" t="s">
        <v>2184</v>
      </c>
      <c r="B25" s="64">
        <v>98.67</v>
      </c>
      <c r="C25" s="64">
        <v>78.489999999999995</v>
      </c>
      <c r="D25" s="64">
        <v>123.09</v>
      </c>
      <c r="E25" s="64">
        <v>0.93</v>
      </c>
      <c r="F25" s="64">
        <v>5.94</v>
      </c>
      <c r="G25" s="64">
        <v>144.72999999999999</v>
      </c>
      <c r="H25" s="64">
        <v>98.74</v>
      </c>
      <c r="I25" s="64">
        <v>1.45</v>
      </c>
      <c r="J25" s="64">
        <v>0.05</v>
      </c>
      <c r="K25" s="64">
        <v>98.96</v>
      </c>
      <c r="L25" s="64">
        <v>11.28</v>
      </c>
      <c r="M25" s="64">
        <v>64.790000000000006</v>
      </c>
      <c r="N25" s="64">
        <v>53.7</v>
      </c>
      <c r="O25" s="64">
        <v>0</v>
      </c>
      <c r="P25" s="64">
        <v>0.52</v>
      </c>
      <c r="Q25" s="64">
        <v>22.76</v>
      </c>
      <c r="R25" s="198"/>
      <c r="S25" s="198"/>
      <c r="T25" s="198"/>
      <c r="U25" s="198"/>
    </row>
    <row r="26" spans="1:21" s="12" customFormat="1" x14ac:dyDescent="0.25">
      <c r="A26" s="214" t="s">
        <v>2185</v>
      </c>
      <c r="B26" s="64">
        <v>90.62</v>
      </c>
      <c r="C26" s="64">
        <v>76.97</v>
      </c>
      <c r="D26" s="64">
        <v>115.79</v>
      </c>
      <c r="E26" s="64">
        <v>0.88</v>
      </c>
      <c r="F26" s="64">
        <v>6.39</v>
      </c>
      <c r="G26" s="64">
        <v>144.72999999999999</v>
      </c>
      <c r="H26" s="64">
        <v>98.74</v>
      </c>
      <c r="I26" s="64">
        <v>1.5</v>
      </c>
      <c r="J26" s="64">
        <v>7.0000000000000007E-2</v>
      </c>
      <c r="K26" s="64">
        <v>27.91</v>
      </c>
      <c r="L26" s="64">
        <v>11.29</v>
      </c>
      <c r="M26" s="64">
        <v>64.75</v>
      </c>
      <c r="N26" s="64">
        <v>53.5</v>
      </c>
      <c r="O26" s="64">
        <v>0</v>
      </c>
      <c r="P26" s="64">
        <v>0.4</v>
      </c>
      <c r="Q26" s="64">
        <v>21.06</v>
      </c>
      <c r="R26" s="198"/>
      <c r="S26" s="198"/>
      <c r="T26" s="198"/>
      <c r="U26" s="198"/>
    </row>
    <row r="27" spans="1:21" s="12" customFormat="1" x14ac:dyDescent="0.25">
      <c r="A27" s="214" t="s">
        <v>2186</v>
      </c>
      <c r="B27" s="64">
        <v>82.97</v>
      </c>
      <c r="C27" s="64">
        <v>75.67</v>
      </c>
      <c r="D27" s="64">
        <v>108.94</v>
      </c>
      <c r="E27" s="64">
        <v>0.88</v>
      </c>
      <c r="F27" s="64">
        <v>7.16</v>
      </c>
      <c r="G27" s="64">
        <v>128.30000000000001</v>
      </c>
      <c r="H27" s="64">
        <v>91.51</v>
      </c>
      <c r="I27" s="64">
        <v>1.55</v>
      </c>
      <c r="J27" s="64">
        <v>0.03</v>
      </c>
      <c r="K27" s="64">
        <v>74</v>
      </c>
      <c r="L27" s="64">
        <v>11.34</v>
      </c>
      <c r="M27" s="64">
        <v>63.53</v>
      </c>
      <c r="N27" s="64">
        <v>53.6</v>
      </c>
      <c r="O27" s="64">
        <v>0</v>
      </c>
      <c r="P27" s="64">
        <v>0.39</v>
      </c>
      <c r="Q27" s="64">
        <v>19.68</v>
      </c>
      <c r="R27" s="198"/>
      <c r="S27" s="198"/>
      <c r="T27" s="198"/>
      <c r="U27" s="198"/>
    </row>
    <row r="28" spans="1:21" s="12" customFormat="1" x14ac:dyDescent="0.25">
      <c r="A28" s="214" t="s">
        <v>2187</v>
      </c>
      <c r="B28" s="64">
        <v>76.33</v>
      </c>
      <c r="C28" s="64">
        <v>74.38</v>
      </c>
      <c r="D28" s="64">
        <v>102.91</v>
      </c>
      <c r="E28" s="64">
        <v>0.84</v>
      </c>
      <c r="F28" s="64">
        <v>8.08</v>
      </c>
      <c r="G28" s="64">
        <v>62.59</v>
      </c>
      <c r="H28" s="64">
        <v>56.1</v>
      </c>
      <c r="I28" s="64">
        <v>1.51</v>
      </c>
      <c r="J28" s="64">
        <v>0.09</v>
      </c>
      <c r="K28" s="64">
        <v>86.74</v>
      </c>
      <c r="L28" s="64">
        <v>11.27</v>
      </c>
      <c r="M28" s="64">
        <v>64.16</v>
      </c>
      <c r="N28" s="64">
        <v>53.5</v>
      </c>
      <c r="O28" s="64">
        <v>0</v>
      </c>
      <c r="P28" s="64">
        <v>0.33</v>
      </c>
      <c r="Q28" s="64">
        <v>19.2</v>
      </c>
      <c r="R28" s="198"/>
      <c r="S28" s="198"/>
      <c r="T28" s="198"/>
      <c r="U28" s="198"/>
    </row>
    <row r="29" spans="1:21" s="12" customFormat="1" x14ac:dyDescent="0.25">
      <c r="A29" s="214" t="s">
        <v>2188</v>
      </c>
      <c r="B29" s="64">
        <v>69.98</v>
      </c>
      <c r="C29" s="64">
        <v>73.11</v>
      </c>
      <c r="D29" s="64">
        <v>97.12</v>
      </c>
      <c r="E29" s="64">
        <v>0.84</v>
      </c>
      <c r="F29" s="64">
        <v>7.79</v>
      </c>
      <c r="G29" s="64">
        <v>62.59</v>
      </c>
      <c r="H29" s="64">
        <v>56.1</v>
      </c>
      <c r="I29" s="64">
        <v>1.49</v>
      </c>
      <c r="J29" s="64">
        <v>0.03</v>
      </c>
      <c r="K29" s="64">
        <v>298.3</v>
      </c>
      <c r="L29" s="64">
        <v>11.19</v>
      </c>
      <c r="M29" s="64">
        <v>65.19</v>
      </c>
      <c r="N29" s="64">
        <v>53.6</v>
      </c>
      <c r="O29" s="64">
        <v>0</v>
      </c>
      <c r="P29" s="64">
        <v>0.36</v>
      </c>
      <c r="Q29" s="64">
        <v>17.86</v>
      </c>
      <c r="R29" s="198"/>
      <c r="S29" s="198"/>
      <c r="T29" s="198"/>
      <c r="U29" s="198"/>
    </row>
    <row r="30" spans="1:21" s="12" customFormat="1" x14ac:dyDescent="0.25">
      <c r="A30" s="214" t="s">
        <v>2189</v>
      </c>
      <c r="B30" s="64">
        <v>64.22</v>
      </c>
      <c r="C30" s="64">
        <v>72.14</v>
      </c>
      <c r="D30" s="64">
        <v>91.96</v>
      </c>
      <c r="E30" s="64">
        <v>0.78</v>
      </c>
      <c r="F30" s="64">
        <v>8.39</v>
      </c>
      <c r="G30" s="64">
        <v>62.59</v>
      </c>
      <c r="H30" s="64">
        <v>56.1</v>
      </c>
      <c r="I30" s="64">
        <v>1.54</v>
      </c>
      <c r="J30" s="64">
        <v>0.08</v>
      </c>
      <c r="K30" s="64">
        <v>71.709999999999994</v>
      </c>
      <c r="L30" s="64">
        <v>11.29</v>
      </c>
      <c r="M30" s="64">
        <v>63.81</v>
      </c>
      <c r="N30" s="64">
        <v>53.6</v>
      </c>
      <c r="O30" s="64">
        <v>0</v>
      </c>
      <c r="P30" s="64">
        <v>0.32</v>
      </c>
      <c r="Q30" s="64">
        <v>16.78</v>
      </c>
      <c r="R30" s="198"/>
      <c r="S30" s="198"/>
      <c r="T30" s="198"/>
      <c r="U30" s="198"/>
    </row>
    <row r="31" spans="1:21" s="12" customFormat="1" x14ac:dyDescent="0.25">
      <c r="A31" s="214" t="s">
        <v>2190</v>
      </c>
      <c r="B31" s="64">
        <v>58.73</v>
      </c>
      <c r="C31" s="64">
        <v>71.38</v>
      </c>
      <c r="D31" s="64">
        <v>87.14</v>
      </c>
      <c r="E31" s="64">
        <v>0.8</v>
      </c>
      <c r="F31" s="64">
        <v>9.98</v>
      </c>
      <c r="G31" s="64">
        <v>58.76</v>
      </c>
      <c r="H31" s="64">
        <v>51.83</v>
      </c>
      <c r="I31" s="64">
        <v>1.46</v>
      </c>
      <c r="J31" s="64">
        <v>0.11</v>
      </c>
      <c r="K31" s="64">
        <v>84.88</v>
      </c>
      <c r="L31" s="64">
        <v>11.33</v>
      </c>
      <c r="M31" s="64">
        <v>64.11</v>
      </c>
      <c r="N31" s="64">
        <v>54</v>
      </c>
      <c r="O31" s="64">
        <v>0</v>
      </c>
      <c r="P31" s="64">
        <v>0.26</v>
      </c>
      <c r="Q31" s="64">
        <v>16.13</v>
      </c>
      <c r="R31" s="198"/>
      <c r="S31" s="198"/>
      <c r="T31" s="198"/>
      <c r="U31" s="198"/>
    </row>
    <row r="32" spans="1:21" s="12" customFormat="1" x14ac:dyDescent="0.25">
      <c r="A32" s="214" t="s">
        <v>2191</v>
      </c>
      <c r="B32" s="64">
        <v>54.27</v>
      </c>
      <c r="C32" s="64">
        <v>70.66</v>
      </c>
      <c r="D32" s="64">
        <v>83.16</v>
      </c>
      <c r="E32" s="64">
        <v>0.83</v>
      </c>
      <c r="F32" s="64">
        <v>8.42</v>
      </c>
      <c r="G32" s="64">
        <v>43.46</v>
      </c>
      <c r="H32" s="64">
        <v>40.21</v>
      </c>
      <c r="I32" s="64">
        <v>1.56</v>
      </c>
      <c r="J32" s="64">
        <v>0.09</v>
      </c>
      <c r="K32" s="64">
        <v>95.05</v>
      </c>
      <c r="L32" s="64">
        <v>11.22</v>
      </c>
      <c r="M32" s="64">
        <v>64.53</v>
      </c>
      <c r="N32" s="64">
        <v>54.3</v>
      </c>
      <c r="O32" s="64">
        <v>0</v>
      </c>
      <c r="P32" s="64">
        <v>0.28000000000000003</v>
      </c>
      <c r="Q32" s="64">
        <v>14.73</v>
      </c>
      <c r="R32" s="198"/>
      <c r="S32" s="198"/>
      <c r="T32" s="198"/>
      <c r="U32" s="198"/>
    </row>
    <row r="33" spans="1:21" s="12" customFormat="1" x14ac:dyDescent="0.25">
      <c r="A33" s="214" t="s">
        <v>2192</v>
      </c>
      <c r="B33" s="64">
        <v>49.77</v>
      </c>
      <c r="C33" s="64">
        <v>70</v>
      </c>
      <c r="D33" s="64">
        <v>79.19</v>
      </c>
      <c r="E33" s="64">
        <v>0.79</v>
      </c>
      <c r="F33" s="64">
        <v>9.07</v>
      </c>
      <c r="G33" s="64">
        <v>43.46</v>
      </c>
      <c r="H33" s="64">
        <v>40.21</v>
      </c>
      <c r="I33" s="64">
        <v>1.53</v>
      </c>
      <c r="J33" s="64">
        <v>0.02</v>
      </c>
      <c r="K33" s="64">
        <v>131.96</v>
      </c>
      <c r="L33" s="64">
        <v>11.11</v>
      </c>
      <c r="M33" s="64">
        <v>65.760000000000005</v>
      </c>
      <c r="N33" s="64">
        <v>55.3</v>
      </c>
      <c r="O33" s="64">
        <v>0</v>
      </c>
      <c r="P33" s="64">
        <v>0.26</v>
      </c>
      <c r="Q33" s="64">
        <v>14.49</v>
      </c>
      <c r="R33" s="198"/>
      <c r="S33" s="198"/>
      <c r="T33" s="198"/>
      <c r="U33" s="198"/>
    </row>
    <row r="34" spans="1:21" s="12" customFormat="1" x14ac:dyDescent="0.25">
      <c r="A34" s="214" t="s">
        <v>2193</v>
      </c>
      <c r="B34" s="64">
        <v>45.77</v>
      </c>
      <c r="C34" s="64">
        <v>69.36</v>
      </c>
      <c r="D34" s="64">
        <v>75.63</v>
      </c>
      <c r="E34" s="64">
        <v>0.74</v>
      </c>
      <c r="F34" s="64">
        <v>6.8</v>
      </c>
      <c r="G34" s="64">
        <v>43.46</v>
      </c>
      <c r="H34" s="64">
        <v>40.21</v>
      </c>
      <c r="I34" s="64">
        <v>1.54</v>
      </c>
      <c r="J34" s="64">
        <v>0.05</v>
      </c>
      <c r="K34" s="64">
        <v>184.8</v>
      </c>
      <c r="L34" s="64">
        <v>11.04</v>
      </c>
      <c r="M34" s="64">
        <v>67.489999999999995</v>
      </c>
      <c r="N34" s="64">
        <v>58.4</v>
      </c>
      <c r="O34" s="64">
        <v>0</v>
      </c>
      <c r="P34" s="64">
        <v>0.32</v>
      </c>
      <c r="Q34" s="64">
        <v>13.05</v>
      </c>
      <c r="R34" s="198"/>
      <c r="S34" s="198"/>
      <c r="T34" s="198"/>
      <c r="U34" s="198"/>
    </row>
    <row r="35" spans="1:21" s="12" customFormat="1" x14ac:dyDescent="0.25">
      <c r="A35" s="214" t="s">
        <v>2194</v>
      </c>
      <c r="B35" s="64">
        <v>43.07</v>
      </c>
      <c r="C35" s="64">
        <v>69.02</v>
      </c>
      <c r="D35" s="64">
        <v>73.28</v>
      </c>
      <c r="E35" s="64">
        <v>0.88</v>
      </c>
      <c r="F35" s="64">
        <v>5.19</v>
      </c>
      <c r="G35" s="64">
        <v>47.05</v>
      </c>
      <c r="H35" s="64">
        <v>35.11</v>
      </c>
      <c r="I35" s="64">
        <v>1.59</v>
      </c>
      <c r="J35" s="64">
        <v>0.12</v>
      </c>
      <c r="K35" s="64">
        <v>103.11</v>
      </c>
      <c r="L35" s="64">
        <v>11.13</v>
      </c>
      <c r="M35" s="64">
        <v>66.22</v>
      </c>
      <c r="N35" s="64">
        <v>69.5</v>
      </c>
      <c r="O35" s="64">
        <v>0</v>
      </c>
      <c r="P35" s="64">
        <v>0.35</v>
      </c>
      <c r="Q35" s="64">
        <v>10.44</v>
      </c>
      <c r="R35" s="198"/>
      <c r="S35" s="198"/>
      <c r="T35" s="198"/>
      <c r="U35" s="198"/>
    </row>
    <row r="36" spans="1:21" s="12" customFormat="1" x14ac:dyDescent="0.25">
      <c r="A36" s="214" t="s">
        <v>2195</v>
      </c>
      <c r="B36" s="64">
        <v>40.5</v>
      </c>
      <c r="C36" s="64">
        <v>69.069999999999993</v>
      </c>
      <c r="D36" s="64">
        <v>71.25</v>
      </c>
      <c r="E36" s="64">
        <v>0.87</v>
      </c>
      <c r="F36" s="64">
        <v>5.07</v>
      </c>
      <c r="G36" s="64">
        <v>61.42</v>
      </c>
      <c r="H36" s="64">
        <v>21.22</v>
      </c>
      <c r="I36" s="64">
        <v>1.56</v>
      </c>
      <c r="J36" s="64">
        <v>0.15</v>
      </c>
      <c r="K36" s="64">
        <v>74.42</v>
      </c>
      <c r="L36" s="64">
        <v>11.46</v>
      </c>
      <c r="M36" s="64">
        <v>64.709999999999994</v>
      </c>
      <c r="N36" s="64">
        <v>91</v>
      </c>
      <c r="O36" s="64">
        <v>0</v>
      </c>
      <c r="P36" s="64">
        <v>0.4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4" t="s">
        <v>2196</v>
      </c>
      <c r="B37" s="64">
        <v>38.29</v>
      </c>
      <c r="C37" s="64">
        <v>69.069999999999993</v>
      </c>
      <c r="D37" s="64">
        <v>69.47</v>
      </c>
      <c r="E37" s="64">
        <v>0.92</v>
      </c>
      <c r="F37" s="64">
        <v>4.78</v>
      </c>
      <c r="G37" s="64">
        <v>61.42</v>
      </c>
      <c r="H37" s="64">
        <v>21.22</v>
      </c>
      <c r="I37" s="64">
        <v>1.46</v>
      </c>
      <c r="J37" s="64">
        <v>0.33</v>
      </c>
      <c r="K37" s="64">
        <v>116.05</v>
      </c>
      <c r="L37" s="64">
        <v>11.95</v>
      </c>
      <c r="M37" s="64">
        <v>63.28</v>
      </c>
      <c r="N37" s="64">
        <v>133</v>
      </c>
      <c r="O37" s="64">
        <v>0</v>
      </c>
      <c r="P37" s="64">
        <v>0.59</v>
      </c>
      <c r="Q37" s="64">
        <v>8.7200000000000006</v>
      </c>
      <c r="R37" s="198"/>
      <c r="S37" s="198"/>
      <c r="T37" s="198"/>
      <c r="U37" s="198"/>
    </row>
    <row r="38" spans="1:21" s="12" customFormat="1" x14ac:dyDescent="0.25">
      <c r="A38" s="214" t="s">
        <v>2197</v>
      </c>
      <c r="B38" s="64">
        <v>36.18</v>
      </c>
      <c r="C38" s="64">
        <v>69.06</v>
      </c>
      <c r="D38" s="64">
        <v>67.78</v>
      </c>
      <c r="E38" s="64">
        <v>0.91</v>
      </c>
      <c r="F38" s="64">
        <v>6.19</v>
      </c>
      <c r="G38" s="64">
        <v>61.42</v>
      </c>
      <c r="H38" s="64">
        <v>21.22</v>
      </c>
      <c r="I38" s="64">
        <v>1.5</v>
      </c>
      <c r="J38" s="64">
        <v>0.65</v>
      </c>
      <c r="K38" s="64">
        <v>112.92</v>
      </c>
      <c r="L38" s="64">
        <v>12.53</v>
      </c>
      <c r="M38" s="64">
        <v>61.5</v>
      </c>
      <c r="N38" s="64">
        <v>166.6</v>
      </c>
      <c r="O38" s="64">
        <v>0</v>
      </c>
      <c r="P38" s="64">
        <v>0.56999999999999995</v>
      </c>
      <c r="Q38" s="64">
        <v>9.3699999999999992</v>
      </c>
      <c r="R38" s="198"/>
      <c r="S38" s="198"/>
      <c r="T38" s="198"/>
      <c r="U38" s="198"/>
    </row>
    <row r="39" spans="1:21" s="12" customFormat="1" x14ac:dyDescent="0.25">
      <c r="A39" s="214" t="s">
        <v>2198</v>
      </c>
      <c r="B39" s="64">
        <v>33.770000000000003</v>
      </c>
      <c r="C39" s="64">
        <v>68.83</v>
      </c>
      <c r="D39" s="64">
        <v>65.72</v>
      </c>
      <c r="E39" s="64">
        <v>1</v>
      </c>
      <c r="F39" s="64">
        <v>7.98</v>
      </c>
      <c r="G39" s="64">
        <v>64.81</v>
      </c>
      <c r="H39" s="64">
        <v>23.91</v>
      </c>
      <c r="I39" s="64">
        <v>1.53</v>
      </c>
      <c r="J39" s="64">
        <v>0.64</v>
      </c>
      <c r="K39" s="64">
        <v>105.19</v>
      </c>
      <c r="L39" s="64">
        <v>13.19</v>
      </c>
      <c r="M39" s="64">
        <v>58.38</v>
      </c>
      <c r="N39" s="64">
        <v>214.3</v>
      </c>
      <c r="O39" s="64">
        <v>0</v>
      </c>
      <c r="P39" s="64">
        <v>0.5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4" t="s">
        <v>2199</v>
      </c>
      <c r="B40" s="64">
        <v>32.04</v>
      </c>
      <c r="C40" s="64">
        <v>68.66</v>
      </c>
      <c r="D40" s="64">
        <v>64.23</v>
      </c>
      <c r="E40" s="64">
        <v>0.87</v>
      </c>
      <c r="F40" s="64">
        <v>7.82</v>
      </c>
      <c r="G40" s="64">
        <v>78.349999999999994</v>
      </c>
      <c r="H40" s="64">
        <v>31.23</v>
      </c>
      <c r="I40" s="64">
        <v>1.45</v>
      </c>
      <c r="J40" s="64">
        <v>0.94</v>
      </c>
      <c r="K40" s="64">
        <v>108.71</v>
      </c>
      <c r="L40" s="64">
        <v>13.41</v>
      </c>
      <c r="M40" s="64">
        <v>56.81</v>
      </c>
      <c r="N40" s="64">
        <v>164.9</v>
      </c>
      <c r="O40" s="64">
        <v>0</v>
      </c>
      <c r="P40" s="64">
        <v>0.47</v>
      </c>
      <c r="Q40" s="64">
        <v>8.74</v>
      </c>
      <c r="R40" s="198"/>
      <c r="S40" s="198"/>
      <c r="T40" s="198"/>
      <c r="U40" s="198"/>
    </row>
    <row r="41" spans="1:21" s="12" customFormat="1" x14ac:dyDescent="0.25">
      <c r="A41" s="214" t="s">
        <v>2200</v>
      </c>
      <c r="B41" s="64">
        <v>30.09</v>
      </c>
      <c r="C41" s="64">
        <v>68.72</v>
      </c>
      <c r="D41" s="64">
        <v>62.7</v>
      </c>
      <c r="E41" s="64">
        <v>1.45</v>
      </c>
      <c r="F41" s="64">
        <v>6.53</v>
      </c>
      <c r="G41" s="64">
        <v>78.349999999999994</v>
      </c>
      <c r="H41" s="64">
        <v>31.23</v>
      </c>
      <c r="I41" s="64">
        <v>1.54</v>
      </c>
      <c r="J41" s="64">
        <v>0.36</v>
      </c>
      <c r="K41" s="64">
        <v>103.63</v>
      </c>
      <c r="L41" s="64">
        <v>13.63</v>
      </c>
      <c r="M41" s="64">
        <v>56.66</v>
      </c>
      <c r="N41" s="64">
        <v>195.8</v>
      </c>
      <c r="O41" s="64">
        <v>0</v>
      </c>
      <c r="P41" s="64">
        <v>0.56999999999999995</v>
      </c>
      <c r="Q41" s="64">
        <v>7.57</v>
      </c>
      <c r="R41" s="198"/>
      <c r="S41" s="198"/>
      <c r="T41" s="198"/>
      <c r="U41" s="198"/>
    </row>
    <row r="42" spans="1:21" s="12" customFormat="1" x14ac:dyDescent="0.25">
      <c r="A42" s="214" t="s">
        <v>2201</v>
      </c>
      <c r="B42" s="64">
        <v>28.79</v>
      </c>
      <c r="C42" s="64">
        <v>69</v>
      </c>
      <c r="D42" s="64">
        <v>61.81</v>
      </c>
      <c r="E42" s="64">
        <v>1.47</v>
      </c>
      <c r="F42" s="64">
        <v>6.81</v>
      </c>
      <c r="G42" s="64">
        <v>78.349999999999994</v>
      </c>
      <c r="H42" s="64">
        <v>31.23</v>
      </c>
      <c r="I42" s="64">
        <v>1.49</v>
      </c>
      <c r="J42" s="64">
        <v>0.96</v>
      </c>
      <c r="K42" s="64">
        <v>109.78</v>
      </c>
      <c r="L42" s="64">
        <v>14.33</v>
      </c>
      <c r="M42" s="64">
        <v>53.67</v>
      </c>
      <c r="N42" s="64">
        <v>319.89999999999998</v>
      </c>
      <c r="O42" s="64">
        <v>0</v>
      </c>
      <c r="P42" s="64">
        <v>0.54</v>
      </c>
      <c r="Q42" s="64">
        <v>7.16</v>
      </c>
      <c r="R42" s="198"/>
      <c r="S42" s="198"/>
      <c r="T42" s="198"/>
      <c r="U42" s="198"/>
    </row>
    <row r="43" spans="1:21" s="12" customFormat="1" x14ac:dyDescent="0.25">
      <c r="A43" s="214" t="s">
        <v>2202</v>
      </c>
      <c r="B43" s="64">
        <v>27.09</v>
      </c>
      <c r="C43" s="64">
        <v>68.84</v>
      </c>
      <c r="D43" s="64">
        <v>60.36</v>
      </c>
      <c r="E43" s="64">
        <v>1.47</v>
      </c>
      <c r="F43" s="64">
        <v>12.73</v>
      </c>
      <c r="G43" s="64">
        <v>75.22</v>
      </c>
      <c r="H43" s="64">
        <v>32.450000000000003</v>
      </c>
      <c r="I43" s="64">
        <v>1.43</v>
      </c>
      <c r="J43" s="64">
        <v>1.1499999999999999</v>
      </c>
      <c r="K43" s="64">
        <v>108.13</v>
      </c>
      <c r="L43" s="64">
        <v>14.96</v>
      </c>
      <c r="M43" s="64">
        <v>51.92</v>
      </c>
      <c r="N43" s="64">
        <v>466.7</v>
      </c>
      <c r="O43" s="64">
        <v>0</v>
      </c>
      <c r="P43" s="64">
        <v>0.47</v>
      </c>
      <c r="Q43" s="64">
        <v>9.1199999999999992</v>
      </c>
      <c r="R43" s="198"/>
      <c r="S43" s="198"/>
      <c r="T43" s="198"/>
      <c r="U43" s="198"/>
    </row>
    <row r="44" spans="1:21" s="12" customFormat="1" x14ac:dyDescent="0.25">
      <c r="A44" s="214" t="s">
        <v>2203</v>
      </c>
      <c r="B44" s="64">
        <v>24.92</v>
      </c>
      <c r="C44" s="64">
        <v>68.209999999999994</v>
      </c>
      <c r="D44" s="64">
        <v>58.27</v>
      </c>
      <c r="E44" s="64">
        <v>1.33</v>
      </c>
      <c r="F44" s="64">
        <v>15.4</v>
      </c>
      <c r="G44" s="64">
        <v>62.7</v>
      </c>
      <c r="H44" s="64">
        <v>37.9</v>
      </c>
      <c r="I44" s="64">
        <v>1.53</v>
      </c>
      <c r="J44" s="64">
        <v>1.05</v>
      </c>
      <c r="K44" s="64">
        <v>109.87</v>
      </c>
      <c r="L44" s="64">
        <v>15.75</v>
      </c>
      <c r="M44" s="64">
        <v>49.2</v>
      </c>
      <c r="N44" s="64">
        <v>487.9</v>
      </c>
      <c r="O44" s="64">
        <v>0</v>
      </c>
      <c r="P44" s="64">
        <v>0.41</v>
      </c>
      <c r="Q44" s="64">
        <v>10.14</v>
      </c>
      <c r="R44" s="198"/>
      <c r="S44" s="198"/>
      <c r="T44" s="198"/>
      <c r="U44" s="198"/>
    </row>
    <row r="45" spans="1:21" s="12" customFormat="1" x14ac:dyDescent="0.25">
      <c r="A45" s="214" t="s">
        <v>2204</v>
      </c>
      <c r="B45" s="64">
        <v>22.61</v>
      </c>
      <c r="C45" s="64">
        <v>67.38</v>
      </c>
      <c r="D45" s="64">
        <v>55.96</v>
      </c>
      <c r="E45" s="64">
        <v>1.32</v>
      </c>
      <c r="F45" s="64">
        <v>15.33</v>
      </c>
      <c r="G45" s="64">
        <v>62.7</v>
      </c>
      <c r="H45" s="64">
        <v>37.9</v>
      </c>
      <c r="I45" s="64">
        <v>1.49</v>
      </c>
      <c r="J45" s="64">
        <v>0.88</v>
      </c>
      <c r="K45" s="64">
        <v>112.92</v>
      </c>
      <c r="L45" s="64">
        <v>16.690000000000001</v>
      </c>
      <c r="M45" s="64">
        <v>45.09</v>
      </c>
      <c r="N45" s="64">
        <v>536.5</v>
      </c>
      <c r="O45" s="64">
        <v>0</v>
      </c>
      <c r="P45" s="64">
        <v>0.42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2205</v>
      </c>
      <c r="B46" s="64">
        <v>20.440000000000001</v>
      </c>
      <c r="C46" s="64">
        <v>67</v>
      </c>
      <c r="D46" s="64">
        <v>54.01</v>
      </c>
      <c r="E46" s="64">
        <v>1.45</v>
      </c>
      <c r="F46" s="64">
        <v>14.8</v>
      </c>
      <c r="G46" s="64">
        <v>62.7</v>
      </c>
      <c r="H46" s="64">
        <v>37.9</v>
      </c>
      <c r="I46" s="64">
        <v>1.53</v>
      </c>
      <c r="J46" s="64">
        <v>0.93</v>
      </c>
      <c r="K46" s="64">
        <v>110.84</v>
      </c>
      <c r="L46" s="64">
        <v>17.100000000000001</v>
      </c>
      <c r="M46" s="64">
        <v>44.3</v>
      </c>
      <c r="N46" s="64">
        <v>482.8</v>
      </c>
      <c r="O46" s="64">
        <v>0</v>
      </c>
      <c r="P46" s="64">
        <v>0.41</v>
      </c>
      <c r="Q46" s="64">
        <v>8.9600000000000009</v>
      </c>
      <c r="R46" s="198"/>
      <c r="S46" s="198"/>
      <c r="T46" s="198"/>
      <c r="U46" s="198"/>
    </row>
    <row r="47" spans="1:21" s="12" customFormat="1" x14ac:dyDescent="0.25">
      <c r="A47" s="214" t="s">
        <v>2206</v>
      </c>
      <c r="B47" s="64">
        <v>18.87</v>
      </c>
      <c r="C47" s="64">
        <v>66.709999999999994</v>
      </c>
      <c r="D47" s="64">
        <v>52.6</v>
      </c>
      <c r="E47" s="64">
        <v>1.79</v>
      </c>
      <c r="F47" s="64">
        <v>10.52</v>
      </c>
      <c r="G47" s="64">
        <v>60.82</v>
      </c>
      <c r="H47" s="64">
        <v>36.049999999999997</v>
      </c>
      <c r="I47" s="64">
        <v>1.51</v>
      </c>
      <c r="J47" s="64">
        <v>0.42</v>
      </c>
      <c r="K47" s="64">
        <v>87.38</v>
      </c>
      <c r="L47" s="64">
        <v>18.46</v>
      </c>
      <c r="M47" s="64">
        <v>41.77</v>
      </c>
      <c r="N47" s="64">
        <v>596.70000000000005</v>
      </c>
      <c r="O47" s="64">
        <v>0</v>
      </c>
      <c r="P47" s="64">
        <v>0.59</v>
      </c>
      <c r="Q47" s="64">
        <v>4.09</v>
      </c>
      <c r="R47" s="198"/>
      <c r="S47" s="198"/>
      <c r="T47" s="198"/>
      <c r="U47" s="198"/>
    </row>
    <row r="48" spans="1:21" s="12" customFormat="1" x14ac:dyDescent="0.25">
      <c r="A48" s="214" t="s">
        <v>2207</v>
      </c>
      <c r="B48" s="64">
        <v>18.09</v>
      </c>
      <c r="C48" s="64">
        <v>67.63</v>
      </c>
      <c r="D48" s="64">
        <v>52.48</v>
      </c>
      <c r="E48" s="64">
        <v>1.51</v>
      </c>
      <c r="F48" s="64">
        <v>7.76</v>
      </c>
      <c r="G48" s="64">
        <v>53.3</v>
      </c>
      <c r="H48" s="64">
        <v>31.01</v>
      </c>
      <c r="I48" s="64">
        <v>1.47</v>
      </c>
      <c r="J48" s="64">
        <v>1.1200000000000001</v>
      </c>
      <c r="K48" s="64">
        <v>112.57</v>
      </c>
      <c r="L48" s="64">
        <v>18.22</v>
      </c>
      <c r="M48" s="64">
        <v>41.4</v>
      </c>
      <c r="N48" s="64">
        <v>516.29999999999995</v>
      </c>
      <c r="O48" s="64">
        <v>0</v>
      </c>
      <c r="P48" s="64">
        <v>0.61</v>
      </c>
      <c r="Q48" s="64">
        <v>5.37</v>
      </c>
      <c r="R48" s="198"/>
      <c r="S48" s="198"/>
      <c r="T48" s="198"/>
      <c r="U48" s="198"/>
    </row>
    <row r="49" spans="1:21" s="12" customFormat="1" x14ac:dyDescent="0.25">
      <c r="A49" s="214" t="s">
        <v>2208</v>
      </c>
      <c r="B49" s="64">
        <v>16.23</v>
      </c>
      <c r="C49" s="64">
        <v>68.12</v>
      </c>
      <c r="D49" s="64">
        <v>51.26</v>
      </c>
      <c r="E49" s="64">
        <v>1.2</v>
      </c>
      <c r="F49" s="64">
        <v>8.33</v>
      </c>
      <c r="G49" s="64">
        <v>53.3</v>
      </c>
      <c r="H49" s="64">
        <v>31.01</v>
      </c>
      <c r="I49" s="64">
        <v>1.49</v>
      </c>
      <c r="J49" s="64">
        <v>0.84</v>
      </c>
      <c r="K49" s="64">
        <v>107.22</v>
      </c>
      <c r="L49" s="64">
        <v>18.170000000000002</v>
      </c>
      <c r="M49" s="64">
        <v>42.33</v>
      </c>
      <c r="N49" s="64">
        <v>622.6</v>
      </c>
      <c r="O49" s="64">
        <v>0</v>
      </c>
      <c r="P49" s="64">
        <v>0.57999999999999996</v>
      </c>
      <c r="Q49" s="64">
        <v>7.01</v>
      </c>
      <c r="R49" s="198"/>
      <c r="S49" s="198"/>
      <c r="T49" s="198"/>
      <c r="U49" s="198"/>
    </row>
    <row r="50" spans="1:21" s="12" customFormat="1" x14ac:dyDescent="0.25">
      <c r="A50" s="214" t="s">
        <v>2209</v>
      </c>
      <c r="B50" s="64">
        <v>14.66</v>
      </c>
      <c r="C50" s="64">
        <v>69.03</v>
      </c>
      <c r="D50" s="64">
        <v>50.5</v>
      </c>
      <c r="E50" s="64">
        <v>4.58</v>
      </c>
      <c r="F50" s="64">
        <v>10.82</v>
      </c>
      <c r="G50" s="64">
        <v>53.3</v>
      </c>
      <c r="H50" s="64">
        <v>31.01</v>
      </c>
      <c r="I50" s="64">
        <v>1.54</v>
      </c>
      <c r="J50" s="64">
        <v>0.45</v>
      </c>
      <c r="K50" s="64">
        <v>349.08</v>
      </c>
      <c r="L50" s="64">
        <v>21.67</v>
      </c>
      <c r="M50" s="64">
        <v>34.159999999999997</v>
      </c>
      <c r="N50" s="64">
        <v>532</v>
      </c>
      <c r="O50" s="64">
        <v>0</v>
      </c>
      <c r="P50" s="64">
        <v>0.74</v>
      </c>
      <c r="Q50" s="64">
        <v>5.25</v>
      </c>
      <c r="R50" s="198"/>
      <c r="S50" s="198"/>
      <c r="T50" s="198"/>
      <c r="U50" s="198"/>
    </row>
    <row r="51" spans="1:21" s="12" customFormat="1" x14ac:dyDescent="0.25">
      <c r="A51" s="214" t="s">
        <v>2210</v>
      </c>
      <c r="B51" s="64">
        <v>14.52</v>
      </c>
      <c r="C51" s="64">
        <v>71.05</v>
      </c>
      <c r="D51" s="64">
        <v>51.5</v>
      </c>
      <c r="E51" s="64">
        <v>8.11</v>
      </c>
      <c r="F51" s="64">
        <v>7</v>
      </c>
      <c r="G51" s="64">
        <v>57.16</v>
      </c>
      <c r="H51" s="64">
        <v>30.82</v>
      </c>
      <c r="I51" s="64">
        <v>1.44</v>
      </c>
      <c r="J51" s="64">
        <v>0.25</v>
      </c>
      <c r="K51" s="64">
        <v>39.619999999999997</v>
      </c>
      <c r="L51" s="64">
        <v>21.33</v>
      </c>
      <c r="M51" s="64">
        <v>33.700000000000003</v>
      </c>
      <c r="N51" s="64">
        <v>635.20000000000005</v>
      </c>
      <c r="O51" s="64">
        <v>0</v>
      </c>
      <c r="P51" s="64">
        <v>0.69</v>
      </c>
      <c r="Q51" s="64">
        <v>3.85</v>
      </c>
      <c r="R51" s="198"/>
      <c r="S51" s="198"/>
      <c r="T51" s="198"/>
      <c r="U51" s="198"/>
    </row>
    <row r="52" spans="1:21" s="12" customFormat="1" x14ac:dyDescent="0.25">
      <c r="A52" s="214" t="s">
        <v>2211</v>
      </c>
      <c r="B52" s="64">
        <v>15.02</v>
      </c>
      <c r="C52" s="64">
        <v>72.61</v>
      </c>
      <c r="D52" s="64">
        <v>52.76</v>
      </c>
      <c r="E52" s="64">
        <v>4.28</v>
      </c>
      <c r="F52" s="64">
        <v>5.37</v>
      </c>
      <c r="G52" s="64">
        <v>72.599999999999994</v>
      </c>
      <c r="H52" s="64">
        <v>30.33</v>
      </c>
      <c r="I52" s="64">
        <v>1.47</v>
      </c>
      <c r="J52" s="64">
        <v>0.43</v>
      </c>
      <c r="K52" s="64">
        <v>110.6</v>
      </c>
      <c r="L52" s="64">
        <v>21.31</v>
      </c>
      <c r="M52" s="64">
        <v>34.090000000000003</v>
      </c>
      <c r="N52" s="64">
        <v>723.3</v>
      </c>
      <c r="O52" s="64">
        <v>0</v>
      </c>
      <c r="P52" s="64">
        <v>0.6</v>
      </c>
      <c r="Q52" s="64">
        <v>4.5199999999999996</v>
      </c>
      <c r="R52" s="198"/>
      <c r="S52" s="198"/>
      <c r="T52" s="198"/>
      <c r="U52" s="198"/>
    </row>
    <row r="53" spans="1:21" s="12" customFormat="1" x14ac:dyDescent="0.25">
      <c r="A53" s="214" t="s">
        <v>2212</v>
      </c>
      <c r="B53" s="64">
        <v>15.23</v>
      </c>
      <c r="C53" s="64">
        <v>73.7</v>
      </c>
      <c r="D53" s="64">
        <v>53.53</v>
      </c>
      <c r="E53" s="64">
        <v>6.42</v>
      </c>
      <c r="F53" s="64">
        <v>7.14</v>
      </c>
      <c r="G53" s="64">
        <v>72.599999999999994</v>
      </c>
      <c r="H53" s="64">
        <v>30.33</v>
      </c>
      <c r="I53" s="64">
        <v>1.53</v>
      </c>
      <c r="J53" s="64">
        <v>0.5</v>
      </c>
      <c r="K53" s="64">
        <v>343.82</v>
      </c>
      <c r="L53" s="64">
        <v>23.51</v>
      </c>
      <c r="M53" s="64">
        <v>29.47</v>
      </c>
      <c r="N53" s="64">
        <v>683.7</v>
      </c>
      <c r="O53" s="64">
        <v>0</v>
      </c>
      <c r="P53" s="64">
        <v>0.68</v>
      </c>
      <c r="Q53" s="64">
        <v>4.57</v>
      </c>
      <c r="R53" s="198"/>
      <c r="S53" s="198"/>
      <c r="T53" s="198"/>
      <c r="U53" s="198"/>
    </row>
    <row r="54" spans="1:21" s="12" customFormat="1" x14ac:dyDescent="0.25">
      <c r="A54" s="214" t="s">
        <v>2213</v>
      </c>
      <c r="B54" s="64">
        <v>15.87</v>
      </c>
      <c r="C54" s="64">
        <v>75.19</v>
      </c>
      <c r="D54" s="64">
        <v>54.87</v>
      </c>
      <c r="E54" s="64">
        <v>11.19</v>
      </c>
      <c r="F54" s="64">
        <v>13.91</v>
      </c>
      <c r="G54" s="64">
        <v>72.599999999999994</v>
      </c>
      <c r="H54" s="64">
        <v>30.33</v>
      </c>
      <c r="I54" s="64">
        <v>1.52</v>
      </c>
      <c r="J54" s="64">
        <v>1.07</v>
      </c>
      <c r="K54" s="64">
        <v>338.35</v>
      </c>
      <c r="L54" s="64">
        <v>25.9</v>
      </c>
      <c r="M54" s="64">
        <v>25.26</v>
      </c>
      <c r="N54" s="64">
        <v>683.8</v>
      </c>
      <c r="O54" s="64">
        <v>0</v>
      </c>
      <c r="P54" s="64">
        <v>0.71</v>
      </c>
      <c r="Q54" s="64">
        <v>3.67</v>
      </c>
      <c r="R54" s="198"/>
      <c r="S54" s="198"/>
      <c r="T54" s="198"/>
      <c r="U54" s="198"/>
    </row>
    <row r="55" spans="1:21" s="12" customFormat="1" x14ac:dyDescent="0.25">
      <c r="A55" s="214" t="s">
        <v>2214</v>
      </c>
      <c r="B55" s="64">
        <v>16.05</v>
      </c>
      <c r="C55" s="64">
        <v>77.099999999999994</v>
      </c>
      <c r="D55" s="64">
        <v>56.07</v>
      </c>
      <c r="E55" s="64">
        <v>10.98</v>
      </c>
      <c r="F55" s="64">
        <v>17.7</v>
      </c>
      <c r="G55" s="64">
        <v>67.64</v>
      </c>
      <c r="H55" s="64">
        <v>30.15</v>
      </c>
      <c r="I55" s="64">
        <v>1.55</v>
      </c>
      <c r="J55" s="64">
        <v>0.82</v>
      </c>
      <c r="K55" s="64">
        <v>337.01</v>
      </c>
      <c r="L55" s="64">
        <v>26.08</v>
      </c>
      <c r="M55" s="64">
        <v>25.21</v>
      </c>
      <c r="N55" s="64">
        <v>695.5</v>
      </c>
      <c r="O55" s="64">
        <v>0</v>
      </c>
      <c r="P55" s="64">
        <v>0.71</v>
      </c>
      <c r="Q55" s="64">
        <v>4.3600000000000003</v>
      </c>
      <c r="R55" s="198"/>
      <c r="S55" s="198"/>
      <c r="T55" s="198"/>
      <c r="U55" s="198"/>
    </row>
    <row r="56" spans="1:21" s="12" customFormat="1" x14ac:dyDescent="0.25">
      <c r="A56" s="214" t="s">
        <v>2215</v>
      </c>
      <c r="B56" s="64">
        <v>15.32</v>
      </c>
      <c r="C56" s="64">
        <v>78.239999999999995</v>
      </c>
      <c r="D56" s="64">
        <v>56.11</v>
      </c>
      <c r="E56" s="64">
        <v>2.1</v>
      </c>
      <c r="F56" s="64">
        <v>13.73</v>
      </c>
      <c r="G56" s="64">
        <v>47.82</v>
      </c>
      <c r="H56" s="64">
        <v>29.66</v>
      </c>
      <c r="I56" s="64">
        <v>1.47</v>
      </c>
      <c r="J56" s="64">
        <v>0.28000000000000003</v>
      </c>
      <c r="K56" s="64">
        <v>74.989999999999995</v>
      </c>
      <c r="L56" s="64">
        <v>25.21</v>
      </c>
      <c r="M56" s="64">
        <v>26.32</v>
      </c>
      <c r="N56" s="64">
        <v>704.5</v>
      </c>
      <c r="O56" s="64">
        <v>0</v>
      </c>
      <c r="P56" s="64">
        <v>0.68</v>
      </c>
      <c r="Q56" s="64">
        <v>5.81</v>
      </c>
      <c r="R56" s="198"/>
      <c r="S56" s="198"/>
      <c r="T56" s="198"/>
      <c r="U56" s="198"/>
    </row>
    <row r="57" spans="1:21" s="12" customFormat="1" x14ac:dyDescent="0.25">
      <c r="A57" s="214" t="s">
        <v>2216</v>
      </c>
      <c r="B57" s="64">
        <v>13.89</v>
      </c>
      <c r="C57" s="64">
        <v>78.41</v>
      </c>
      <c r="D57" s="64">
        <v>55.06</v>
      </c>
      <c r="E57" s="64">
        <v>2.4</v>
      </c>
      <c r="F57" s="64">
        <v>11.73</v>
      </c>
      <c r="G57" s="64">
        <v>47.82</v>
      </c>
      <c r="H57" s="64">
        <v>29.66</v>
      </c>
      <c r="I57" s="64">
        <v>1.58</v>
      </c>
      <c r="J57" s="64">
        <v>0.49</v>
      </c>
      <c r="K57" s="64">
        <v>104.21</v>
      </c>
      <c r="L57" s="64">
        <v>22.44</v>
      </c>
      <c r="M57" s="64">
        <v>31.99</v>
      </c>
      <c r="N57" s="64">
        <v>690.6</v>
      </c>
      <c r="O57" s="64">
        <v>0</v>
      </c>
      <c r="P57" s="64">
        <v>0.59</v>
      </c>
      <c r="Q57" s="64">
        <v>6.52</v>
      </c>
      <c r="R57" s="198"/>
      <c r="S57" s="198"/>
      <c r="T57" s="198"/>
      <c r="U57" s="198"/>
    </row>
    <row r="58" spans="1:21" s="12" customFormat="1" x14ac:dyDescent="0.25">
      <c r="A58" s="214" t="s">
        <v>2217</v>
      </c>
      <c r="B58" s="64">
        <v>12.27</v>
      </c>
      <c r="C58" s="64">
        <v>78.59</v>
      </c>
      <c r="D58" s="64">
        <v>53.86</v>
      </c>
      <c r="E58" s="64">
        <v>3.22</v>
      </c>
      <c r="F58" s="64">
        <v>12.44</v>
      </c>
      <c r="G58" s="64">
        <v>47.82</v>
      </c>
      <c r="H58" s="64">
        <v>29.66</v>
      </c>
      <c r="I58" s="64">
        <v>1.51</v>
      </c>
      <c r="J58" s="64">
        <v>0.26</v>
      </c>
      <c r="K58" s="64">
        <v>328.54</v>
      </c>
      <c r="L58" s="64">
        <v>24.61</v>
      </c>
      <c r="M58" s="64">
        <v>27.91</v>
      </c>
      <c r="N58" s="64">
        <v>679.5</v>
      </c>
      <c r="O58" s="64">
        <v>0</v>
      </c>
      <c r="P58" s="64">
        <v>0.63</v>
      </c>
      <c r="Q58" s="64">
        <v>6.48</v>
      </c>
      <c r="R58" s="198"/>
      <c r="S58" s="198"/>
      <c r="T58" s="198"/>
      <c r="U58" s="198"/>
    </row>
    <row r="59" spans="1:21" s="12" customFormat="1" x14ac:dyDescent="0.25">
      <c r="A59" s="214" t="s">
        <v>2218</v>
      </c>
      <c r="B59" s="64">
        <v>10.39</v>
      </c>
      <c r="C59" s="64">
        <v>78.78</v>
      </c>
      <c r="D59" s="64">
        <v>52.46</v>
      </c>
      <c r="E59" s="64">
        <v>1.72</v>
      </c>
      <c r="F59" s="64">
        <v>10.23</v>
      </c>
      <c r="G59" s="64">
        <v>51.57</v>
      </c>
      <c r="H59" s="64">
        <v>30.45</v>
      </c>
      <c r="I59" s="64">
        <v>1.49</v>
      </c>
      <c r="J59" s="64">
        <v>0.86</v>
      </c>
      <c r="K59" s="64">
        <v>123.72</v>
      </c>
      <c r="L59" s="64">
        <v>22.66</v>
      </c>
      <c r="M59" s="64">
        <v>30.41</v>
      </c>
      <c r="N59" s="64">
        <v>661.5</v>
      </c>
      <c r="O59" s="64">
        <v>0</v>
      </c>
      <c r="P59" s="64">
        <v>0.6</v>
      </c>
      <c r="Q59" s="64">
        <v>6.63</v>
      </c>
      <c r="R59" s="198"/>
      <c r="S59" s="198"/>
      <c r="T59" s="198"/>
      <c r="U59" s="198"/>
    </row>
    <row r="60" spans="1:21" s="12" customFormat="1" x14ac:dyDescent="0.25">
      <c r="A60" s="214" t="s">
        <v>2219</v>
      </c>
      <c r="B60" s="64">
        <v>8.5299999999999994</v>
      </c>
      <c r="C60" s="64">
        <v>78.42</v>
      </c>
      <c r="D60" s="64">
        <v>50.77</v>
      </c>
      <c r="E60" s="64">
        <v>2.69</v>
      </c>
      <c r="F60" s="64">
        <v>11.95</v>
      </c>
      <c r="G60" s="64">
        <v>66.55</v>
      </c>
      <c r="H60" s="64">
        <v>33.97</v>
      </c>
      <c r="I60" s="64">
        <v>1.55</v>
      </c>
      <c r="J60" s="64">
        <v>0.42</v>
      </c>
      <c r="K60" s="64">
        <v>126.71</v>
      </c>
      <c r="L60" s="64">
        <v>22.7</v>
      </c>
      <c r="M60" s="64">
        <v>29.44</v>
      </c>
      <c r="N60" s="64">
        <v>626.29999999999995</v>
      </c>
      <c r="O60" s="64">
        <v>0</v>
      </c>
      <c r="P60" s="64">
        <v>0.56999999999999995</v>
      </c>
      <c r="Q60" s="64">
        <v>6.59</v>
      </c>
      <c r="R60" s="198"/>
      <c r="S60" s="198"/>
      <c r="T60" s="198"/>
      <c r="U60" s="198"/>
    </row>
    <row r="61" spans="1:21" s="12" customFormat="1" x14ac:dyDescent="0.25">
      <c r="A61" s="214" t="s">
        <v>2220</v>
      </c>
      <c r="B61" s="64">
        <v>7.06</v>
      </c>
      <c r="C61" s="64">
        <v>77.45</v>
      </c>
      <c r="D61" s="64">
        <v>49.05</v>
      </c>
      <c r="E61" s="64">
        <v>1.43</v>
      </c>
      <c r="F61" s="64">
        <v>7.53</v>
      </c>
      <c r="G61" s="64">
        <v>66.55</v>
      </c>
      <c r="H61" s="64">
        <v>33.97</v>
      </c>
      <c r="I61" s="64">
        <v>1.56</v>
      </c>
      <c r="J61" s="64">
        <v>0.96</v>
      </c>
      <c r="K61" s="64">
        <v>119.67</v>
      </c>
      <c r="L61" s="64">
        <v>22.54</v>
      </c>
      <c r="M61" s="64">
        <v>29.07</v>
      </c>
      <c r="N61" s="64">
        <v>600.6</v>
      </c>
      <c r="O61" s="64">
        <v>0</v>
      </c>
      <c r="P61" s="64">
        <v>0.57999999999999996</v>
      </c>
      <c r="Q61" s="64">
        <v>6.53</v>
      </c>
      <c r="R61" s="198"/>
      <c r="S61" s="198"/>
      <c r="T61" s="198"/>
      <c r="U61" s="198"/>
    </row>
    <row r="62" spans="1:21" s="12" customFormat="1" x14ac:dyDescent="0.25">
      <c r="A62" s="214" t="s">
        <v>2221</v>
      </c>
      <c r="B62" s="64">
        <v>5.98</v>
      </c>
      <c r="C62" s="64">
        <v>76.56</v>
      </c>
      <c r="D62" s="64">
        <v>47.7</v>
      </c>
      <c r="E62" s="64">
        <v>1.29</v>
      </c>
      <c r="F62" s="64">
        <v>17.510000000000002</v>
      </c>
      <c r="G62" s="64">
        <v>66.55</v>
      </c>
      <c r="H62" s="64">
        <v>33.97</v>
      </c>
      <c r="I62" s="64">
        <v>1.54</v>
      </c>
      <c r="J62" s="64">
        <v>0.47</v>
      </c>
      <c r="K62" s="64">
        <v>350.96</v>
      </c>
      <c r="L62" s="64">
        <v>23.33</v>
      </c>
      <c r="M62" s="64">
        <v>28.01</v>
      </c>
      <c r="N62" s="64">
        <v>567.20000000000005</v>
      </c>
      <c r="O62" s="64">
        <v>0</v>
      </c>
      <c r="P62" s="64">
        <v>0.62</v>
      </c>
      <c r="Q62" s="64">
        <v>4.6100000000000003</v>
      </c>
      <c r="R62" s="198"/>
      <c r="S62" s="198"/>
      <c r="T62" s="198"/>
      <c r="U62" s="198"/>
    </row>
    <row r="63" spans="1:21" s="12" customFormat="1" x14ac:dyDescent="0.25">
      <c r="A63" s="214" t="s">
        <v>2222</v>
      </c>
      <c r="B63" s="64">
        <v>5.63</v>
      </c>
      <c r="C63" s="64">
        <v>75.89</v>
      </c>
      <c r="D63" s="64">
        <v>47.04</v>
      </c>
      <c r="E63" s="64">
        <v>3.48</v>
      </c>
      <c r="F63" s="64">
        <v>23.8</v>
      </c>
      <c r="G63" s="64">
        <v>64.180000000000007</v>
      </c>
      <c r="H63" s="64">
        <v>32.520000000000003</v>
      </c>
      <c r="I63" s="64">
        <v>1.49</v>
      </c>
      <c r="J63" s="64">
        <v>0.74</v>
      </c>
      <c r="K63" s="64">
        <v>124.87</v>
      </c>
      <c r="L63" s="64">
        <v>23.45</v>
      </c>
      <c r="M63" s="64">
        <v>25.53</v>
      </c>
      <c r="N63" s="64">
        <v>536.9</v>
      </c>
      <c r="O63" s="64">
        <v>0</v>
      </c>
      <c r="P63" s="64">
        <v>0.6</v>
      </c>
      <c r="Q63" s="64">
        <v>4.09</v>
      </c>
      <c r="R63" s="198"/>
      <c r="S63" s="198"/>
      <c r="T63" s="198"/>
      <c r="U63" s="198"/>
    </row>
    <row r="64" spans="1:21" s="12" customFormat="1" x14ac:dyDescent="0.25">
      <c r="A64" s="214" t="s">
        <v>2223</v>
      </c>
      <c r="B64" s="64">
        <v>5.4</v>
      </c>
      <c r="C64" s="64">
        <v>74.36</v>
      </c>
      <c r="D64" s="64">
        <v>46.01</v>
      </c>
      <c r="E64" s="64">
        <v>6.03</v>
      </c>
      <c r="F64" s="64">
        <v>27.11</v>
      </c>
      <c r="G64" s="64">
        <v>54.69</v>
      </c>
      <c r="H64" s="64">
        <v>28.58</v>
      </c>
      <c r="I64" s="64">
        <v>1.48</v>
      </c>
      <c r="J64" s="64">
        <v>0.96</v>
      </c>
      <c r="K64" s="64">
        <v>130.13999999999999</v>
      </c>
      <c r="L64" s="64">
        <v>22.34</v>
      </c>
      <c r="M64" s="64">
        <v>27.43</v>
      </c>
      <c r="N64" s="64">
        <v>285.8</v>
      </c>
      <c r="O64" s="64">
        <v>0</v>
      </c>
      <c r="P64" s="64">
        <v>0.47</v>
      </c>
      <c r="Q64" s="64">
        <v>5.74</v>
      </c>
      <c r="R64" s="198"/>
      <c r="S64" s="198"/>
      <c r="T64" s="198"/>
      <c r="U64" s="198"/>
    </row>
    <row r="65" spans="1:21" s="12" customFormat="1" x14ac:dyDescent="0.25">
      <c r="A65" s="214" t="s">
        <v>2224</v>
      </c>
      <c r="B65" s="64">
        <v>5.13</v>
      </c>
      <c r="C65" s="64">
        <v>72.58</v>
      </c>
      <c r="D65" s="64">
        <v>44.82</v>
      </c>
      <c r="E65" s="64">
        <v>6.96</v>
      </c>
      <c r="F65" s="64">
        <v>26.35</v>
      </c>
      <c r="G65" s="64">
        <v>54.69</v>
      </c>
      <c r="H65" s="64">
        <v>28.58</v>
      </c>
      <c r="I65" s="64">
        <v>1.51</v>
      </c>
      <c r="J65" s="64">
        <v>0.68</v>
      </c>
      <c r="K65" s="64">
        <v>111.18</v>
      </c>
      <c r="L65" s="64">
        <v>22.57</v>
      </c>
      <c r="M65" s="64">
        <v>27.34</v>
      </c>
      <c r="N65" s="64">
        <v>231.2</v>
      </c>
      <c r="O65" s="64">
        <v>0</v>
      </c>
      <c r="P65" s="64">
        <v>0.49</v>
      </c>
      <c r="Q65" s="64">
        <v>5.7</v>
      </c>
      <c r="R65" s="198"/>
      <c r="S65" s="198"/>
      <c r="T65" s="198"/>
      <c r="U65" s="198"/>
    </row>
    <row r="66" spans="1:21" s="12" customFormat="1" x14ac:dyDescent="0.25">
      <c r="A66" s="214" t="s">
        <v>2225</v>
      </c>
      <c r="B66" s="64">
        <v>4.87</v>
      </c>
      <c r="C66" s="64">
        <v>71.05</v>
      </c>
      <c r="D66" s="64">
        <v>43.76</v>
      </c>
      <c r="E66" s="64">
        <v>6.43</v>
      </c>
      <c r="F66" s="64">
        <v>26.82</v>
      </c>
      <c r="G66" s="64">
        <v>54.69</v>
      </c>
      <c r="H66" s="64">
        <v>28.58</v>
      </c>
      <c r="I66" s="64">
        <v>1.51</v>
      </c>
      <c r="J66" s="64">
        <v>0.77</v>
      </c>
      <c r="K66" s="64">
        <v>124.55</v>
      </c>
      <c r="L66" s="64">
        <v>22.27</v>
      </c>
      <c r="M66" s="64">
        <v>27.22</v>
      </c>
      <c r="N66" s="64">
        <v>205.4</v>
      </c>
      <c r="O66" s="64">
        <v>0</v>
      </c>
      <c r="P66" s="64">
        <v>0.53</v>
      </c>
      <c r="Q66" s="64">
        <v>5.09</v>
      </c>
      <c r="R66" s="198"/>
      <c r="S66" s="198"/>
      <c r="T66" s="198"/>
      <c r="U66" s="198"/>
    </row>
    <row r="67" spans="1:21" s="12" customFormat="1" x14ac:dyDescent="0.25">
      <c r="A67" s="214" t="s">
        <v>2226</v>
      </c>
      <c r="B67" s="64">
        <v>4.6100000000000003</v>
      </c>
      <c r="C67" s="64">
        <v>69.790000000000006</v>
      </c>
      <c r="D67" s="64">
        <v>42.86</v>
      </c>
      <c r="E67" s="64">
        <v>7.16</v>
      </c>
      <c r="F67" s="64">
        <v>33.090000000000003</v>
      </c>
      <c r="G67" s="64">
        <v>55.88</v>
      </c>
      <c r="H67" s="64">
        <v>29.41</v>
      </c>
      <c r="I67" s="64">
        <v>1.45</v>
      </c>
      <c r="J67" s="64">
        <v>0.1</v>
      </c>
      <c r="K67" s="64">
        <v>352.51</v>
      </c>
      <c r="L67" s="64">
        <v>22.62</v>
      </c>
      <c r="M67" s="64">
        <v>29.98</v>
      </c>
      <c r="N67" s="64">
        <v>260.2</v>
      </c>
      <c r="O67" s="64">
        <v>0</v>
      </c>
      <c r="P67" s="64">
        <v>0.55000000000000004</v>
      </c>
      <c r="Q67" s="64">
        <v>4.84</v>
      </c>
      <c r="R67" s="198"/>
      <c r="S67" s="198"/>
      <c r="T67" s="198"/>
      <c r="U67" s="198"/>
    </row>
    <row r="68" spans="1:21" s="12" customFormat="1" x14ac:dyDescent="0.25">
      <c r="A68" s="214" t="s">
        <v>2227</v>
      </c>
      <c r="B68" s="64">
        <v>4.33</v>
      </c>
      <c r="C68" s="64">
        <v>69.41</v>
      </c>
      <c r="D68" s="64">
        <v>42.43</v>
      </c>
      <c r="E68" s="64">
        <v>7.96</v>
      </c>
      <c r="F68" s="64">
        <v>28.02</v>
      </c>
      <c r="G68" s="64">
        <v>60.63</v>
      </c>
      <c r="H68" s="64">
        <v>31.81</v>
      </c>
      <c r="I68" s="64">
        <v>1.52</v>
      </c>
      <c r="J68" s="64">
        <v>0.36</v>
      </c>
      <c r="K68" s="64">
        <v>103.37</v>
      </c>
      <c r="L68" s="64">
        <v>22.54</v>
      </c>
      <c r="M68" s="64">
        <v>28.56</v>
      </c>
      <c r="N68" s="64">
        <v>245.8</v>
      </c>
      <c r="O68" s="64">
        <v>0</v>
      </c>
      <c r="P68" s="64">
        <v>0.69</v>
      </c>
      <c r="Q68" s="64">
        <v>3.86</v>
      </c>
      <c r="R68" s="198"/>
      <c r="S68" s="198"/>
      <c r="T68" s="198"/>
      <c r="U68" s="198"/>
    </row>
    <row r="69" spans="1:21" s="12" customFormat="1" x14ac:dyDescent="0.25">
      <c r="A69" s="214" t="s">
        <v>2228</v>
      </c>
      <c r="B69" s="64">
        <v>4.2699999999999996</v>
      </c>
      <c r="C69" s="64">
        <v>68.92</v>
      </c>
      <c r="D69" s="64">
        <v>42.11</v>
      </c>
      <c r="E69" s="64">
        <v>6.42</v>
      </c>
      <c r="F69" s="64">
        <v>26.58</v>
      </c>
      <c r="G69" s="64">
        <v>60.63</v>
      </c>
      <c r="H69" s="64">
        <v>31.81</v>
      </c>
      <c r="I69" s="64">
        <v>1.55</v>
      </c>
      <c r="J69" s="64">
        <v>0.67</v>
      </c>
      <c r="K69" s="64">
        <v>109.63</v>
      </c>
      <c r="L69" s="64">
        <v>21.85</v>
      </c>
      <c r="M69" s="64">
        <v>27.59</v>
      </c>
      <c r="N69" s="64">
        <v>179.3</v>
      </c>
      <c r="O69" s="64">
        <v>0</v>
      </c>
      <c r="P69" s="64">
        <v>0.57999999999999996</v>
      </c>
      <c r="Q69" s="64">
        <v>3.75</v>
      </c>
      <c r="R69" s="198"/>
      <c r="S69" s="198"/>
      <c r="T69" s="198"/>
      <c r="U69" s="198"/>
    </row>
    <row r="70" spans="1:21" s="12" customFormat="1" x14ac:dyDescent="0.25">
      <c r="A70" s="214" t="s">
        <v>2229</v>
      </c>
      <c r="B70" s="64">
        <v>4.1100000000000003</v>
      </c>
      <c r="C70" s="64">
        <v>68.05</v>
      </c>
      <c r="D70" s="64">
        <v>41.5</v>
      </c>
      <c r="E70" s="64">
        <v>6.84</v>
      </c>
      <c r="F70" s="64">
        <v>29.47</v>
      </c>
      <c r="G70" s="64">
        <v>60.63</v>
      </c>
      <c r="H70" s="64">
        <v>31.81</v>
      </c>
      <c r="I70" s="64">
        <v>1.43</v>
      </c>
      <c r="J70" s="64">
        <v>0.44</v>
      </c>
      <c r="K70" s="64">
        <v>109.28</v>
      </c>
      <c r="L70" s="64">
        <v>21.71</v>
      </c>
      <c r="M70" s="64">
        <v>27.45</v>
      </c>
      <c r="N70" s="64">
        <v>156.1</v>
      </c>
      <c r="O70" s="64">
        <v>0</v>
      </c>
      <c r="P70" s="64">
        <v>0.55000000000000004</v>
      </c>
      <c r="Q70" s="64">
        <v>3.94</v>
      </c>
      <c r="R70" s="198"/>
      <c r="S70" s="198"/>
      <c r="T70" s="198"/>
      <c r="U70" s="198"/>
    </row>
    <row r="71" spans="1:21" s="12" customFormat="1" x14ac:dyDescent="0.25">
      <c r="A71" s="214" t="s">
        <v>2230</v>
      </c>
      <c r="B71" s="64">
        <v>4.03</v>
      </c>
      <c r="C71" s="64">
        <v>67.37</v>
      </c>
      <c r="D71" s="64">
        <v>41.06</v>
      </c>
      <c r="E71" s="64">
        <v>7.21</v>
      </c>
      <c r="F71" s="64">
        <v>30.18</v>
      </c>
      <c r="G71" s="64">
        <v>62.43</v>
      </c>
      <c r="H71" s="64">
        <v>32.92</v>
      </c>
      <c r="I71" s="64">
        <v>1.49</v>
      </c>
      <c r="J71" s="64">
        <v>0.22</v>
      </c>
      <c r="K71" s="64">
        <v>97.87</v>
      </c>
      <c r="L71" s="64">
        <v>21.66</v>
      </c>
      <c r="M71" s="64">
        <v>27.4</v>
      </c>
      <c r="N71" s="64">
        <v>129.5</v>
      </c>
      <c r="O71" s="64">
        <v>0</v>
      </c>
      <c r="P71" s="64">
        <v>0.61</v>
      </c>
      <c r="Q71" s="64">
        <v>3.23</v>
      </c>
      <c r="R71" s="198"/>
      <c r="S71" s="198"/>
      <c r="T71" s="198"/>
      <c r="U71" s="198"/>
    </row>
    <row r="72" spans="1:21" s="12" customFormat="1" x14ac:dyDescent="0.25">
      <c r="A72" s="214" t="s">
        <v>2231</v>
      </c>
      <c r="B72" s="64">
        <v>4.08</v>
      </c>
      <c r="C72" s="64">
        <v>67.66</v>
      </c>
      <c r="D72" s="64">
        <v>41.26</v>
      </c>
      <c r="E72" s="64">
        <v>4.68</v>
      </c>
      <c r="F72" s="64">
        <v>25.7</v>
      </c>
      <c r="G72" s="64">
        <v>69.63</v>
      </c>
      <c r="H72" s="64">
        <v>35.950000000000003</v>
      </c>
      <c r="I72" s="64">
        <v>1.5</v>
      </c>
      <c r="J72" s="64">
        <v>0.05</v>
      </c>
      <c r="K72" s="64">
        <v>18.05</v>
      </c>
      <c r="L72" s="64">
        <v>21.64</v>
      </c>
      <c r="M72" s="64">
        <v>29.88</v>
      </c>
      <c r="N72" s="64">
        <v>112.3</v>
      </c>
      <c r="O72" s="64">
        <v>0</v>
      </c>
      <c r="P72" s="64">
        <v>0.7</v>
      </c>
      <c r="Q72" s="64">
        <v>2.56</v>
      </c>
      <c r="R72" s="198"/>
      <c r="S72" s="198"/>
      <c r="T72" s="198"/>
      <c r="U72" s="198"/>
    </row>
    <row r="73" spans="1:21" s="12" customFormat="1" x14ac:dyDescent="0.25">
      <c r="A73" s="214" t="s">
        <v>2232</v>
      </c>
      <c r="B73" s="64">
        <v>4.1399999999999997</v>
      </c>
      <c r="C73" s="64">
        <v>67.790000000000006</v>
      </c>
      <c r="D73" s="64">
        <v>41.38</v>
      </c>
      <c r="E73" s="64">
        <v>6.57</v>
      </c>
      <c r="F73" s="64">
        <v>22.34</v>
      </c>
      <c r="G73" s="64">
        <v>69.63</v>
      </c>
      <c r="H73" s="64">
        <v>35.950000000000003</v>
      </c>
      <c r="I73" s="64">
        <v>1.39</v>
      </c>
      <c r="J73" s="64">
        <v>0.43</v>
      </c>
      <c r="K73" s="64">
        <v>109.23</v>
      </c>
      <c r="L73" s="64">
        <v>21.35</v>
      </c>
      <c r="M73" s="64">
        <v>29.58</v>
      </c>
      <c r="N73" s="64">
        <v>104.8</v>
      </c>
      <c r="O73" s="64">
        <v>0</v>
      </c>
      <c r="P73" s="64">
        <v>0.73</v>
      </c>
      <c r="Q73" s="64">
        <v>2.58</v>
      </c>
      <c r="R73" s="198"/>
      <c r="S73" s="198"/>
      <c r="T73" s="198"/>
      <c r="U73" s="198"/>
    </row>
    <row r="74" spans="1:21" s="12" customFormat="1" x14ac:dyDescent="0.25">
      <c r="A74" s="214" t="s">
        <v>2233</v>
      </c>
      <c r="B74" s="64">
        <v>4.13</v>
      </c>
      <c r="C74" s="64">
        <v>67.930000000000007</v>
      </c>
      <c r="D74" s="64">
        <v>41.45</v>
      </c>
      <c r="E74" s="64">
        <v>6.33</v>
      </c>
      <c r="F74" s="64">
        <v>24.1</v>
      </c>
      <c r="G74" s="64">
        <v>69.63</v>
      </c>
      <c r="H74" s="64">
        <v>35.950000000000003</v>
      </c>
      <c r="I74" s="64">
        <v>1.52</v>
      </c>
      <c r="J74" s="64">
        <v>0.03</v>
      </c>
      <c r="K74" s="64">
        <v>51.71</v>
      </c>
      <c r="L74" s="64">
        <v>21.05</v>
      </c>
      <c r="M74" s="64">
        <v>30.45</v>
      </c>
      <c r="N74" s="64">
        <v>96.1</v>
      </c>
      <c r="O74" s="64">
        <v>0</v>
      </c>
      <c r="P74" s="64">
        <v>0.7</v>
      </c>
      <c r="Q74" s="64">
        <v>3.16</v>
      </c>
      <c r="R74" s="198"/>
      <c r="S74" s="198"/>
      <c r="T74" s="198"/>
      <c r="U74" s="198"/>
    </row>
    <row r="75" spans="1:21" s="12" customFormat="1" x14ac:dyDescent="0.25">
      <c r="A75" s="214" t="s">
        <v>2234</v>
      </c>
      <c r="B75" s="64">
        <v>4.1399999999999997</v>
      </c>
      <c r="C75" s="64">
        <v>67.98</v>
      </c>
      <c r="D75" s="64">
        <v>41.48</v>
      </c>
      <c r="E75" s="64">
        <v>7.02</v>
      </c>
      <c r="F75" s="64">
        <v>31.72</v>
      </c>
      <c r="G75" s="64">
        <v>70.02</v>
      </c>
      <c r="H75" s="64">
        <v>36.44</v>
      </c>
      <c r="I75" s="64">
        <v>1.53</v>
      </c>
      <c r="J75" s="64">
        <v>7.0000000000000007E-2</v>
      </c>
      <c r="K75" s="64">
        <v>276.36</v>
      </c>
      <c r="L75" s="64">
        <v>20.63</v>
      </c>
      <c r="M75" s="64">
        <v>31.58</v>
      </c>
      <c r="N75" s="64">
        <v>87</v>
      </c>
      <c r="O75" s="64">
        <v>0</v>
      </c>
      <c r="P75" s="64">
        <v>0.66</v>
      </c>
      <c r="Q75" s="64">
        <v>3.67</v>
      </c>
      <c r="R75" s="198"/>
      <c r="S75" s="198"/>
      <c r="T75" s="198"/>
      <c r="U75" s="198"/>
    </row>
    <row r="76" spans="1:21" s="12" customFormat="1" x14ac:dyDescent="0.25">
      <c r="A76" s="214" t="s">
        <v>2235</v>
      </c>
      <c r="B76" s="64">
        <v>4.82</v>
      </c>
      <c r="C76" s="64">
        <v>69.14</v>
      </c>
      <c r="D76" s="64">
        <v>42.67</v>
      </c>
      <c r="E76" s="64">
        <v>4.3899999999999997</v>
      </c>
      <c r="F76" s="64">
        <v>7.24</v>
      </c>
      <c r="G76" s="64">
        <v>71.599999999999994</v>
      </c>
      <c r="H76" s="64">
        <v>38.630000000000003</v>
      </c>
      <c r="I76" s="64">
        <v>1.49</v>
      </c>
      <c r="J76" s="64">
        <v>0.04</v>
      </c>
      <c r="K76" s="64">
        <v>341.05</v>
      </c>
      <c r="L76" s="64">
        <v>19.75</v>
      </c>
      <c r="M76" s="64">
        <v>47.3</v>
      </c>
      <c r="N76" s="64">
        <v>76.5</v>
      </c>
      <c r="O76" s="64">
        <v>0</v>
      </c>
      <c r="P76" s="64">
        <v>0.97</v>
      </c>
      <c r="Q76" s="64">
        <v>2.42</v>
      </c>
      <c r="R76" s="198"/>
      <c r="S76" s="198"/>
      <c r="T76" s="198"/>
      <c r="U76" s="198"/>
    </row>
    <row r="77" spans="1:21" s="12" customFormat="1" x14ac:dyDescent="0.25">
      <c r="A77" s="214" t="s">
        <v>2236</v>
      </c>
      <c r="B77" s="64">
        <v>6.67</v>
      </c>
      <c r="C77" s="64">
        <v>73.05</v>
      </c>
      <c r="D77" s="64">
        <v>46.31</v>
      </c>
      <c r="E77" s="64">
        <v>2.54</v>
      </c>
      <c r="F77" s="64">
        <v>4.88</v>
      </c>
      <c r="G77" s="64">
        <v>71.599999999999994</v>
      </c>
      <c r="H77" s="64">
        <v>38.630000000000003</v>
      </c>
      <c r="I77" s="64">
        <v>1.47</v>
      </c>
      <c r="J77" s="64">
        <v>0.09</v>
      </c>
      <c r="K77" s="64">
        <v>134.44999999999999</v>
      </c>
      <c r="L77" s="64">
        <v>18.82</v>
      </c>
      <c r="M77" s="64">
        <v>43.31</v>
      </c>
      <c r="N77" s="64">
        <v>73.900000000000006</v>
      </c>
      <c r="O77" s="64">
        <v>0</v>
      </c>
      <c r="P77" s="64">
        <v>0.93</v>
      </c>
      <c r="Q77" s="64">
        <v>2.4700000000000002</v>
      </c>
      <c r="R77" s="198"/>
      <c r="S77" s="198"/>
      <c r="T77" s="198"/>
      <c r="U77" s="198"/>
    </row>
    <row r="78" spans="1:21" s="12" customFormat="1" x14ac:dyDescent="0.25">
      <c r="A78" s="214" t="s">
        <v>2237</v>
      </c>
      <c r="B78" s="64">
        <v>8.2100000000000009</v>
      </c>
      <c r="C78" s="64">
        <v>77.02</v>
      </c>
      <c r="D78" s="64">
        <v>49.73</v>
      </c>
      <c r="E78" s="64">
        <v>2.69</v>
      </c>
      <c r="F78" s="64">
        <v>4.6100000000000003</v>
      </c>
      <c r="G78" s="64">
        <v>71.599999999999994</v>
      </c>
      <c r="H78" s="64">
        <v>38.630000000000003</v>
      </c>
      <c r="I78" s="64">
        <v>1.46</v>
      </c>
      <c r="J78" s="64">
        <v>0.1</v>
      </c>
      <c r="K78" s="64">
        <v>308.58</v>
      </c>
      <c r="L78" s="64">
        <v>18.05</v>
      </c>
      <c r="M78" s="64">
        <v>50.21</v>
      </c>
      <c r="N78" s="64">
        <v>74.7</v>
      </c>
      <c r="O78" s="64">
        <v>0</v>
      </c>
      <c r="P78" s="64">
        <v>1.29</v>
      </c>
      <c r="Q78" s="64">
        <v>1.44</v>
      </c>
      <c r="R78" s="198"/>
      <c r="S78" s="198"/>
      <c r="T78" s="198"/>
      <c r="U78" s="198"/>
    </row>
    <row r="79" spans="1:21" s="12" customFormat="1" x14ac:dyDescent="0.25">
      <c r="A79" s="214" t="s">
        <v>2238</v>
      </c>
      <c r="B79" s="64">
        <v>14.23</v>
      </c>
      <c r="C79" s="64">
        <v>81.599999999999994</v>
      </c>
      <c r="D79" s="64">
        <v>57.09</v>
      </c>
      <c r="E79" s="64">
        <v>2.68</v>
      </c>
      <c r="F79" s="64">
        <v>4.0199999999999996</v>
      </c>
      <c r="G79" s="64">
        <v>88.26</v>
      </c>
      <c r="H79" s="64">
        <v>40.42</v>
      </c>
      <c r="I79" s="64">
        <v>1.54</v>
      </c>
      <c r="J79" s="64">
        <v>0.06</v>
      </c>
      <c r="K79" s="64">
        <v>65.13</v>
      </c>
      <c r="L79" s="64">
        <v>17.18</v>
      </c>
      <c r="M79" s="64">
        <v>51.35</v>
      </c>
      <c r="N79" s="64">
        <v>82.8</v>
      </c>
      <c r="O79" s="64">
        <v>0</v>
      </c>
      <c r="P79" s="64">
        <v>1.63</v>
      </c>
      <c r="Q79" s="64">
        <v>0.99</v>
      </c>
      <c r="R79" s="198"/>
      <c r="S79" s="198"/>
      <c r="T79" s="198"/>
      <c r="U79" s="198"/>
    </row>
    <row r="80" spans="1:21" s="12" customFormat="1" x14ac:dyDescent="0.25">
      <c r="A80" s="214" t="s">
        <v>2239</v>
      </c>
      <c r="B80" s="64">
        <v>22.73</v>
      </c>
      <c r="C80" s="64">
        <v>86.63</v>
      </c>
      <c r="D80" s="64">
        <v>66.69</v>
      </c>
      <c r="E80" s="64">
        <v>2.68</v>
      </c>
      <c r="F80" s="64">
        <v>3.93</v>
      </c>
      <c r="G80" s="64">
        <v>154.93</v>
      </c>
      <c r="H80" s="64">
        <v>45.3</v>
      </c>
      <c r="I80" s="64">
        <v>1.43</v>
      </c>
      <c r="J80" s="64">
        <v>0.06</v>
      </c>
      <c r="K80" s="64">
        <v>130.31</v>
      </c>
      <c r="L80" s="64">
        <v>16.62</v>
      </c>
      <c r="M80" s="64">
        <v>54.87</v>
      </c>
      <c r="N80" s="64">
        <v>90.2</v>
      </c>
      <c r="O80" s="64">
        <v>0</v>
      </c>
      <c r="P80" s="64">
        <v>1.48</v>
      </c>
      <c r="Q80" s="64">
        <v>1.28</v>
      </c>
      <c r="R80" s="198"/>
      <c r="S80" s="198"/>
      <c r="T80" s="198"/>
      <c r="U80" s="198"/>
    </row>
    <row r="81" spans="1:26" s="12" customFormat="1" x14ac:dyDescent="0.25">
      <c r="A81" s="214" t="s">
        <v>2240</v>
      </c>
      <c r="B81" s="64">
        <v>35.1</v>
      </c>
      <c r="C81" s="64">
        <v>92.21</v>
      </c>
      <c r="D81" s="64">
        <v>79.680000000000007</v>
      </c>
      <c r="E81" s="64">
        <v>2.4700000000000002</v>
      </c>
      <c r="F81" s="64">
        <v>3.94</v>
      </c>
      <c r="G81" s="64">
        <v>154.93</v>
      </c>
      <c r="H81" s="64">
        <v>45.3</v>
      </c>
      <c r="I81" s="64">
        <v>1.52</v>
      </c>
      <c r="J81" s="64">
        <v>0.09</v>
      </c>
      <c r="K81" s="64">
        <v>327.05</v>
      </c>
      <c r="L81" s="64">
        <v>16.149999999999999</v>
      </c>
      <c r="M81" s="64">
        <v>61.81</v>
      </c>
      <c r="N81" s="64">
        <v>86</v>
      </c>
      <c r="O81" s="64">
        <v>0</v>
      </c>
      <c r="P81" s="64">
        <v>2.3199999999999998</v>
      </c>
      <c r="Q81" s="64">
        <v>0.7</v>
      </c>
      <c r="R81" s="198"/>
      <c r="S81" s="198"/>
      <c r="T81" s="198"/>
      <c r="U81" s="198"/>
    </row>
    <row r="82" spans="1:26" s="12" customFormat="1" x14ac:dyDescent="0.25">
      <c r="A82" s="214" t="s">
        <v>2241</v>
      </c>
      <c r="B82" s="64">
        <v>53.91</v>
      </c>
      <c r="C82" s="64">
        <v>98.18</v>
      </c>
      <c r="D82" s="64">
        <v>98.06</v>
      </c>
      <c r="E82" s="64">
        <v>2.48</v>
      </c>
      <c r="F82" s="64">
        <v>4.21</v>
      </c>
      <c r="G82" s="64">
        <v>154.93</v>
      </c>
      <c r="H82" s="64">
        <v>45.3</v>
      </c>
      <c r="I82" s="64">
        <v>1.54</v>
      </c>
      <c r="J82" s="64">
        <v>0.11</v>
      </c>
      <c r="K82" s="64">
        <v>334.06</v>
      </c>
      <c r="L82" s="64">
        <v>15.8</v>
      </c>
      <c r="M82" s="64">
        <v>67.78</v>
      </c>
      <c r="N82" s="64">
        <v>93</v>
      </c>
      <c r="O82" s="64">
        <v>0</v>
      </c>
      <c r="P82" s="64">
        <v>2.84</v>
      </c>
      <c r="Q82" s="64">
        <v>1.65</v>
      </c>
      <c r="R82" s="198"/>
      <c r="S82" s="198"/>
      <c r="T82" s="198"/>
      <c r="U82" s="198"/>
    </row>
    <row r="83" spans="1:26" s="12" customFormat="1" x14ac:dyDescent="0.25">
      <c r="A83" s="214" t="s">
        <v>2242</v>
      </c>
      <c r="B83" s="64">
        <v>70.959999999999994</v>
      </c>
      <c r="C83" s="64">
        <v>101.81</v>
      </c>
      <c r="D83" s="64">
        <v>113.73</v>
      </c>
      <c r="E83" s="64">
        <v>2.4700000000000002</v>
      </c>
      <c r="F83" s="64">
        <v>4</v>
      </c>
      <c r="G83" s="64">
        <v>174.36</v>
      </c>
      <c r="H83" s="64">
        <v>53.82</v>
      </c>
      <c r="I83" s="64">
        <v>1.48</v>
      </c>
      <c r="J83" s="64">
        <v>0.05</v>
      </c>
      <c r="K83" s="64">
        <v>305.37</v>
      </c>
      <c r="L83" s="64">
        <v>15.36</v>
      </c>
      <c r="M83" s="64">
        <v>67.510000000000005</v>
      </c>
      <c r="N83" s="64">
        <v>80.7</v>
      </c>
      <c r="O83" s="64">
        <v>0</v>
      </c>
      <c r="P83" s="64">
        <v>3.33</v>
      </c>
      <c r="Q83" s="64">
        <v>0.97</v>
      </c>
      <c r="R83" s="198"/>
      <c r="S83" s="198"/>
      <c r="T83" s="198"/>
      <c r="U83" s="198"/>
    </row>
    <row r="84" spans="1:26" s="12" customFormat="1" x14ac:dyDescent="0.25">
      <c r="A84" s="214" t="s">
        <v>2243</v>
      </c>
      <c r="B84" s="64">
        <v>83.82</v>
      </c>
      <c r="C84" s="64">
        <v>104.39</v>
      </c>
      <c r="D84" s="64">
        <v>125.47</v>
      </c>
      <c r="E84" s="64">
        <v>2.29</v>
      </c>
      <c r="F84" s="64">
        <v>4.22</v>
      </c>
      <c r="G84" s="64">
        <v>246.97</v>
      </c>
      <c r="H84" s="64">
        <v>78.36</v>
      </c>
      <c r="I84" s="64">
        <v>1.41</v>
      </c>
      <c r="J84" s="64">
        <v>0.04</v>
      </c>
      <c r="K84" s="64">
        <v>85.18</v>
      </c>
      <c r="L84" s="64">
        <v>15.2</v>
      </c>
      <c r="M84" s="64">
        <v>66.209999999999994</v>
      </c>
      <c r="N84" s="64">
        <v>77.599999999999994</v>
      </c>
      <c r="O84" s="64">
        <v>0</v>
      </c>
      <c r="P84" s="64">
        <v>2.81</v>
      </c>
      <c r="Q84" s="64">
        <v>2.31</v>
      </c>
      <c r="R84" s="198"/>
      <c r="S84" s="198"/>
      <c r="T84" s="198"/>
      <c r="U84" s="198"/>
    </row>
    <row r="85" spans="1:26" s="12" customFormat="1" x14ac:dyDescent="0.25">
      <c r="A85" s="214" t="s">
        <v>2244</v>
      </c>
      <c r="B85" s="64">
        <v>94.21</v>
      </c>
      <c r="C85" s="64">
        <v>106.35</v>
      </c>
      <c r="D85" s="64">
        <v>134.88999999999999</v>
      </c>
      <c r="E85" s="64">
        <v>2.29</v>
      </c>
      <c r="F85" s="64">
        <v>3.75</v>
      </c>
      <c r="G85" s="64">
        <v>246.97</v>
      </c>
      <c r="H85" s="64">
        <v>78.36</v>
      </c>
      <c r="I85" s="64">
        <v>1.48</v>
      </c>
      <c r="J85" s="64">
        <v>0.05</v>
      </c>
      <c r="K85" s="64">
        <v>20.88</v>
      </c>
      <c r="L85" s="64">
        <v>14.89</v>
      </c>
      <c r="M85" s="64">
        <v>71.89</v>
      </c>
      <c r="N85" s="64">
        <v>76.5</v>
      </c>
      <c r="O85" s="64">
        <v>0</v>
      </c>
      <c r="P85" s="64">
        <v>3.12</v>
      </c>
      <c r="Q85" s="64">
        <v>1.1499999999999999</v>
      </c>
      <c r="R85" s="198"/>
      <c r="S85" s="198"/>
      <c r="T85" s="198"/>
      <c r="U85" s="198"/>
    </row>
    <row r="86" spans="1:26" s="12" customFormat="1" x14ac:dyDescent="0.25">
      <c r="A86" s="214" t="s">
        <v>2245</v>
      </c>
      <c r="B86" s="64">
        <v>99.89</v>
      </c>
      <c r="C86" s="64">
        <v>106.75</v>
      </c>
      <c r="D86" s="64">
        <v>139.66</v>
      </c>
      <c r="E86" s="64">
        <v>2.04</v>
      </c>
      <c r="F86" s="64">
        <v>4.46</v>
      </c>
      <c r="G86" s="64">
        <v>246.97</v>
      </c>
      <c r="H86" s="64">
        <v>78.36</v>
      </c>
      <c r="I86" s="64">
        <v>1.52</v>
      </c>
      <c r="J86" s="64">
        <v>0.03</v>
      </c>
      <c r="K86" s="64">
        <v>328.77</v>
      </c>
      <c r="L86" s="64">
        <v>14.73</v>
      </c>
      <c r="M86" s="64">
        <v>78.27</v>
      </c>
      <c r="N86" s="64">
        <v>75.599999999999994</v>
      </c>
      <c r="O86" s="64">
        <v>0</v>
      </c>
      <c r="P86" s="64">
        <v>3.36</v>
      </c>
      <c r="Q86" s="64">
        <v>7.57</v>
      </c>
      <c r="R86" s="198"/>
      <c r="S86" s="198"/>
      <c r="T86" s="198"/>
      <c r="U86" s="198"/>
    </row>
    <row r="87" spans="1:26" s="12" customFormat="1" x14ac:dyDescent="0.25">
      <c r="A87" s="214" t="s">
        <v>2246</v>
      </c>
      <c r="B87" s="64">
        <v>103.13</v>
      </c>
      <c r="C87" s="64">
        <v>106.21</v>
      </c>
      <c r="D87" s="64">
        <v>141.96</v>
      </c>
      <c r="E87" s="64">
        <v>2.0099999999999998</v>
      </c>
      <c r="F87" s="64">
        <v>4.0999999999999996</v>
      </c>
      <c r="G87" s="64">
        <v>246.97</v>
      </c>
      <c r="H87" s="64">
        <v>82.07</v>
      </c>
      <c r="I87" s="64">
        <v>1.39</v>
      </c>
      <c r="J87" s="64">
        <v>0.11</v>
      </c>
      <c r="K87" s="64">
        <v>305.72000000000003</v>
      </c>
      <c r="L87" s="64">
        <v>14.52</v>
      </c>
      <c r="M87" s="64">
        <v>77.31</v>
      </c>
      <c r="N87" s="64">
        <v>75.2</v>
      </c>
      <c r="O87" s="64">
        <v>0</v>
      </c>
      <c r="P87" s="64">
        <v>3.79</v>
      </c>
      <c r="Q87" s="64">
        <v>5.31</v>
      </c>
      <c r="R87" s="198"/>
      <c r="S87" s="198"/>
      <c r="T87" s="198"/>
      <c r="U87" s="198"/>
    </row>
    <row r="88" spans="1:26" s="12" customFormat="1" x14ac:dyDescent="0.25">
      <c r="A88" s="214" t="s">
        <v>2247</v>
      </c>
      <c r="B88" s="64">
        <v>112.05</v>
      </c>
      <c r="C88" s="64">
        <v>106.18</v>
      </c>
      <c r="D88" s="64">
        <v>149.1</v>
      </c>
      <c r="E88" s="64">
        <v>1.39</v>
      </c>
      <c r="F88" s="64">
        <v>5.61</v>
      </c>
      <c r="G88" s="64">
        <v>259.5</v>
      </c>
      <c r="H88" s="64">
        <v>92.16</v>
      </c>
      <c r="I88" s="64">
        <v>1.51</v>
      </c>
      <c r="J88" s="64">
        <v>0.14000000000000001</v>
      </c>
      <c r="K88" s="64">
        <v>312.87</v>
      </c>
      <c r="L88" s="64">
        <v>14.42</v>
      </c>
      <c r="M88" s="64">
        <v>82.64</v>
      </c>
      <c r="N88" s="64">
        <v>74.2</v>
      </c>
      <c r="O88" s="64">
        <v>0</v>
      </c>
      <c r="P88" s="64">
        <v>5.84</v>
      </c>
      <c r="Q88" s="64">
        <v>0.82</v>
      </c>
      <c r="R88" s="198"/>
      <c r="S88" s="198"/>
      <c r="T88" s="198"/>
      <c r="U88" s="198"/>
    </row>
    <row r="89" spans="1:26" s="12" customFormat="1" x14ac:dyDescent="0.25">
      <c r="A89" s="214" t="s">
        <v>2248</v>
      </c>
      <c r="B89" s="64">
        <v>126.59</v>
      </c>
      <c r="C89" s="64">
        <v>106.62</v>
      </c>
      <c r="D89" s="64">
        <v>161.01</v>
      </c>
      <c r="E89" s="64">
        <v>1.91</v>
      </c>
      <c r="F89" s="64">
        <v>5.38</v>
      </c>
      <c r="G89" s="64">
        <v>259.5</v>
      </c>
      <c r="H89" s="64">
        <v>92.16</v>
      </c>
      <c r="I89" s="64">
        <v>1.48</v>
      </c>
      <c r="J89" s="64">
        <v>0.1</v>
      </c>
      <c r="K89" s="64">
        <v>308.55</v>
      </c>
      <c r="L89" s="64">
        <v>14.26</v>
      </c>
      <c r="M89" s="64">
        <v>81.540000000000006</v>
      </c>
      <c r="N89" s="64">
        <v>66.7</v>
      </c>
      <c r="O89" s="64">
        <v>0</v>
      </c>
      <c r="P89" s="64">
        <v>5.74</v>
      </c>
      <c r="Q89" s="64">
        <v>2.2799999999999998</v>
      </c>
      <c r="R89" s="198"/>
      <c r="S89" s="198"/>
      <c r="T89" s="198"/>
      <c r="U89" s="198"/>
    </row>
    <row r="90" spans="1:26" s="12" customFormat="1" x14ac:dyDescent="0.25">
      <c r="A90" s="214" t="s">
        <v>2249</v>
      </c>
      <c r="B90" s="64">
        <v>139.79</v>
      </c>
      <c r="C90" s="64">
        <v>107.04</v>
      </c>
      <c r="D90" s="64">
        <v>171.82</v>
      </c>
      <c r="E90" s="64">
        <v>2.02</v>
      </c>
      <c r="F90" s="64">
        <v>4.83</v>
      </c>
      <c r="G90" s="64">
        <v>259.5</v>
      </c>
      <c r="H90" s="64">
        <v>92.16</v>
      </c>
      <c r="I90" s="64">
        <v>1.55</v>
      </c>
      <c r="J90" s="64">
        <v>0.06</v>
      </c>
      <c r="K90" s="64">
        <v>257.8</v>
      </c>
      <c r="L90" s="64">
        <v>13.97</v>
      </c>
      <c r="M90" s="64">
        <v>76.39</v>
      </c>
      <c r="N90" s="64">
        <v>64.400000000000006</v>
      </c>
      <c r="O90" s="64">
        <v>0</v>
      </c>
      <c r="P90" s="64">
        <v>5.75</v>
      </c>
      <c r="Q90" s="64">
        <v>1.58</v>
      </c>
      <c r="R90" s="198"/>
      <c r="S90" s="198"/>
      <c r="T90" s="198"/>
      <c r="U90" s="198"/>
    </row>
    <row r="91" spans="1:26" s="12" customFormat="1" x14ac:dyDescent="0.25">
      <c r="A91" s="214" t="s">
        <v>2250</v>
      </c>
      <c r="B91" s="64">
        <v>151.63999999999999</v>
      </c>
      <c r="C91" s="64">
        <v>107.21</v>
      </c>
      <c r="D91" s="64">
        <v>181.42</v>
      </c>
      <c r="E91" s="64">
        <v>2.17</v>
      </c>
      <c r="F91" s="64">
        <v>3.94</v>
      </c>
      <c r="G91" s="64">
        <v>272.27999999999997</v>
      </c>
      <c r="H91" s="64">
        <v>92.16</v>
      </c>
      <c r="I91" s="64">
        <v>1.47</v>
      </c>
      <c r="J91" s="64">
        <v>0.04</v>
      </c>
      <c r="K91" s="64">
        <v>114.02</v>
      </c>
      <c r="L91" s="64">
        <v>13.9</v>
      </c>
      <c r="M91" s="64">
        <v>79.650000000000006</v>
      </c>
      <c r="N91" s="64">
        <v>62.7</v>
      </c>
      <c r="O91" s="64">
        <v>0</v>
      </c>
      <c r="P91" s="64">
        <v>5.28</v>
      </c>
      <c r="Q91" s="217" t="s">
        <v>34</v>
      </c>
      <c r="R91" s="198"/>
      <c r="S91" s="198"/>
      <c r="T91" s="198"/>
      <c r="U91" s="198"/>
    </row>
    <row r="92" spans="1:26" s="12" customFormat="1" x14ac:dyDescent="0.25">
      <c r="A92" s="214" t="s">
        <v>2251</v>
      </c>
      <c r="B92" s="64">
        <v>165.99</v>
      </c>
      <c r="C92" s="64">
        <v>107.5</v>
      </c>
      <c r="D92" s="64">
        <v>193.08</v>
      </c>
      <c r="E92" s="64">
        <v>2.17</v>
      </c>
      <c r="F92" s="64">
        <v>4.3899999999999997</v>
      </c>
      <c r="G92" s="64">
        <v>323.41000000000003</v>
      </c>
      <c r="H92" s="64">
        <v>167.03</v>
      </c>
      <c r="I92" s="64">
        <v>1.52</v>
      </c>
      <c r="J92" s="64">
        <v>0.08</v>
      </c>
      <c r="K92" s="64">
        <v>308.48</v>
      </c>
      <c r="L92" s="64">
        <v>13.8</v>
      </c>
      <c r="M92" s="64">
        <v>80.72</v>
      </c>
      <c r="N92" s="64">
        <v>62.3</v>
      </c>
      <c r="O92" s="64">
        <v>0</v>
      </c>
      <c r="P92" s="64">
        <v>5.48</v>
      </c>
      <c r="Q92" s="217" t="s">
        <v>34</v>
      </c>
      <c r="R92" s="198"/>
      <c r="S92" s="198"/>
      <c r="T92" s="198"/>
      <c r="U92" s="198"/>
    </row>
    <row r="93" spans="1:26" s="12" customFormat="1" x14ac:dyDescent="0.25">
      <c r="A93" s="214" t="s">
        <v>2252</v>
      </c>
      <c r="B93" s="64">
        <v>184.39</v>
      </c>
      <c r="C93" s="64">
        <v>108.24</v>
      </c>
      <c r="D93" s="64">
        <v>208.25</v>
      </c>
      <c r="E93" s="64">
        <v>2.19</v>
      </c>
      <c r="F93" s="64">
        <v>4.67</v>
      </c>
      <c r="G93" s="64">
        <v>323.41000000000003</v>
      </c>
      <c r="H93" s="64">
        <v>167.03</v>
      </c>
      <c r="I93" s="64">
        <v>1.53</v>
      </c>
      <c r="J93" s="64">
        <v>0.12</v>
      </c>
      <c r="K93" s="64">
        <v>323.92</v>
      </c>
      <c r="L93" s="64">
        <v>13.6</v>
      </c>
      <c r="M93" s="64">
        <v>85.99</v>
      </c>
      <c r="N93" s="64">
        <v>60</v>
      </c>
      <c r="O93" s="64">
        <v>0</v>
      </c>
      <c r="P93" s="64">
        <v>6.98</v>
      </c>
      <c r="Q93" s="217" t="s">
        <v>34</v>
      </c>
      <c r="R93" s="198"/>
      <c r="S93" s="198"/>
      <c r="T93" s="198"/>
      <c r="U93" s="198"/>
    </row>
    <row r="94" spans="1:26" s="12" customFormat="1" x14ac:dyDescent="0.25">
      <c r="A94" s="214" t="s">
        <v>2253</v>
      </c>
      <c r="B94" s="64">
        <v>202.94</v>
      </c>
      <c r="C94" s="64">
        <v>109.47</v>
      </c>
      <c r="D94" s="64">
        <v>223.8</v>
      </c>
      <c r="E94" s="64">
        <v>2.31</v>
      </c>
      <c r="F94" s="64">
        <v>4.2699999999999996</v>
      </c>
      <c r="G94" s="64">
        <v>323.41000000000003</v>
      </c>
      <c r="H94" s="64">
        <v>167.03</v>
      </c>
      <c r="I94" s="64">
        <v>1.5</v>
      </c>
      <c r="J94" s="64">
        <v>0.05</v>
      </c>
      <c r="K94" s="64">
        <v>298.18</v>
      </c>
      <c r="L94" s="64">
        <v>13.37</v>
      </c>
      <c r="M94" s="64">
        <v>84.36</v>
      </c>
      <c r="N94" s="64">
        <v>59.8</v>
      </c>
      <c r="O94" s="64">
        <v>0</v>
      </c>
      <c r="P94" s="64">
        <v>6.63</v>
      </c>
      <c r="Q94" s="217" t="s">
        <v>34</v>
      </c>
      <c r="R94" s="198"/>
      <c r="S94" s="198"/>
      <c r="T94" s="198"/>
      <c r="U94" s="198"/>
    </row>
    <row r="95" spans="1:26" s="12" customFormat="1" x14ac:dyDescent="0.25">
      <c r="A95" s="214" t="s">
        <v>2254</v>
      </c>
      <c r="B95" s="64">
        <v>223.45</v>
      </c>
      <c r="C95" s="64">
        <v>111.03</v>
      </c>
      <c r="D95" s="64">
        <v>241.11</v>
      </c>
      <c r="E95" s="64">
        <v>2.21</v>
      </c>
      <c r="F95" s="64">
        <v>4.46</v>
      </c>
      <c r="G95" s="64">
        <v>327.52</v>
      </c>
      <c r="H95" s="64">
        <v>165.32</v>
      </c>
      <c r="I95" s="64">
        <v>1.54</v>
      </c>
      <c r="J95" s="64">
        <v>0.09</v>
      </c>
      <c r="K95" s="64">
        <v>281.86</v>
      </c>
      <c r="L95" s="64">
        <v>13.26</v>
      </c>
      <c r="M95" s="64">
        <v>84.05</v>
      </c>
      <c r="N95" s="64">
        <v>59.9</v>
      </c>
      <c r="O95" s="64">
        <v>0</v>
      </c>
      <c r="P95" s="64">
        <v>5.82</v>
      </c>
      <c r="Q95" s="217" t="s">
        <v>34</v>
      </c>
      <c r="R95" s="198"/>
      <c r="S95" s="198"/>
      <c r="T95" s="198"/>
      <c r="U95" s="198"/>
    </row>
    <row r="96" spans="1:26" s="12" customFormat="1" x14ac:dyDescent="0.25">
      <c r="A96" s="214" t="s">
        <v>2255</v>
      </c>
      <c r="B96" s="64">
        <v>245.25</v>
      </c>
      <c r="C96" s="64">
        <v>113.76</v>
      </c>
      <c r="D96" s="64">
        <v>260.10000000000002</v>
      </c>
      <c r="E96" s="64">
        <v>2.19</v>
      </c>
      <c r="F96" s="64">
        <v>4.45</v>
      </c>
      <c r="G96" s="64">
        <v>342.87</v>
      </c>
      <c r="H96" s="64">
        <v>160.66</v>
      </c>
      <c r="I96" s="64">
        <v>1.46</v>
      </c>
      <c r="J96" s="64">
        <v>0.12</v>
      </c>
      <c r="K96" s="64">
        <v>281.39</v>
      </c>
      <c r="L96" s="64">
        <v>13.29</v>
      </c>
      <c r="M96" s="64">
        <v>85.82</v>
      </c>
      <c r="N96" s="64">
        <v>60</v>
      </c>
      <c r="O96" s="64">
        <v>0</v>
      </c>
      <c r="P96" s="64">
        <v>5.67</v>
      </c>
      <c r="Q96" s="217" t="s">
        <v>34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2256</v>
      </c>
      <c r="B97" s="64">
        <v>261.88</v>
      </c>
      <c r="C97" s="64">
        <v>115.01</v>
      </c>
      <c r="D97" s="64">
        <v>274.12</v>
      </c>
      <c r="E97" s="64">
        <v>2.06</v>
      </c>
      <c r="F97" s="64">
        <v>4.3099999999999996</v>
      </c>
      <c r="G97" s="64">
        <v>342.87</v>
      </c>
      <c r="H97" s="64">
        <v>160.66</v>
      </c>
      <c r="I97" s="64">
        <v>1.48</v>
      </c>
      <c r="J97" s="64">
        <v>0.15</v>
      </c>
      <c r="K97" s="64">
        <v>288.07</v>
      </c>
      <c r="L97" s="64">
        <v>13.11</v>
      </c>
      <c r="M97" s="64">
        <v>86.47</v>
      </c>
      <c r="N97" s="64">
        <v>59.9</v>
      </c>
      <c r="O97" s="64">
        <v>0</v>
      </c>
      <c r="P97" s="64">
        <v>5.95</v>
      </c>
      <c r="Q97" s="64">
        <v>0.15</v>
      </c>
      <c r="R97" s="198"/>
      <c r="S97" s="198"/>
      <c r="T97" s="198"/>
      <c r="U97" s="198"/>
    </row>
    <row r="98" spans="1:33" s="12" customFormat="1" x14ac:dyDescent="0.25">
      <c r="A98" s="214" t="s">
        <v>2257</v>
      </c>
      <c r="B98" s="64">
        <v>272.20999999999998</v>
      </c>
      <c r="C98" s="64">
        <v>114.95</v>
      </c>
      <c r="D98" s="64">
        <v>282.38</v>
      </c>
      <c r="E98" s="64">
        <v>1.94</v>
      </c>
      <c r="F98" s="64">
        <v>4.37</v>
      </c>
      <c r="G98" s="64">
        <v>342.87</v>
      </c>
      <c r="H98" s="64">
        <v>160.66</v>
      </c>
      <c r="I98" s="64">
        <v>1.48</v>
      </c>
      <c r="J98" s="64">
        <v>0.12</v>
      </c>
      <c r="K98" s="64">
        <v>258.33</v>
      </c>
      <c r="L98" s="64">
        <v>13.12</v>
      </c>
      <c r="M98" s="64">
        <v>81.430000000000007</v>
      </c>
      <c r="N98" s="64">
        <v>60.8</v>
      </c>
      <c r="O98" s="64">
        <v>0</v>
      </c>
      <c r="P98" s="64">
        <v>5.67</v>
      </c>
      <c r="Q98" s="64">
        <v>12.4</v>
      </c>
      <c r="R98" s="198"/>
      <c r="S98" s="198"/>
      <c r="T98" s="198"/>
      <c r="U98" s="198"/>
    </row>
    <row r="99" spans="1:33" s="12" customFormat="1" x14ac:dyDescent="0.25">
      <c r="A99" s="214" t="s">
        <v>2258</v>
      </c>
      <c r="B99" s="64">
        <v>270.08</v>
      </c>
      <c r="C99" s="64">
        <v>112.31</v>
      </c>
      <c r="D99" s="64">
        <v>279.20999999999998</v>
      </c>
      <c r="E99" s="64">
        <v>1.58</v>
      </c>
      <c r="F99" s="64">
        <v>4</v>
      </c>
      <c r="G99" s="64">
        <v>333.7</v>
      </c>
      <c r="H99" s="64">
        <v>149.63999999999999</v>
      </c>
      <c r="I99" s="64">
        <v>1.52</v>
      </c>
      <c r="J99" s="64">
        <v>0.11</v>
      </c>
      <c r="K99" s="64">
        <v>240</v>
      </c>
      <c r="L99" s="64">
        <v>13.14</v>
      </c>
      <c r="M99" s="64">
        <v>72.16</v>
      </c>
      <c r="N99" s="64">
        <v>62</v>
      </c>
      <c r="O99" s="64">
        <v>0</v>
      </c>
      <c r="P99" s="64">
        <v>2.57</v>
      </c>
      <c r="Q99" s="64">
        <v>41.8</v>
      </c>
      <c r="R99" s="198"/>
      <c r="S99" s="198"/>
      <c r="T99" s="198"/>
      <c r="U99" s="198"/>
    </row>
    <row r="100" spans="1:33" s="12" customFormat="1" x14ac:dyDescent="0.25">
      <c r="A100" s="214" t="s">
        <v>2259</v>
      </c>
      <c r="B100" s="64">
        <v>254.54</v>
      </c>
      <c r="C100" s="64">
        <v>108.76</v>
      </c>
      <c r="D100" s="64">
        <v>264.8</v>
      </c>
      <c r="E100" s="64">
        <v>1.35</v>
      </c>
      <c r="F100" s="64">
        <v>3.92</v>
      </c>
      <c r="G100" s="64">
        <v>297.02999999999997</v>
      </c>
      <c r="H100" s="64">
        <v>149.63999999999999</v>
      </c>
      <c r="I100" s="64">
        <v>1.56</v>
      </c>
      <c r="J100" s="64">
        <v>0.03</v>
      </c>
      <c r="K100" s="64">
        <v>202.95</v>
      </c>
      <c r="L100" s="64">
        <v>12.79</v>
      </c>
      <c r="M100" s="64">
        <v>75.260000000000005</v>
      </c>
      <c r="N100" s="64">
        <v>71.2</v>
      </c>
      <c r="O100" s="64">
        <v>0</v>
      </c>
      <c r="P100" s="64">
        <v>1.9</v>
      </c>
      <c r="Q100" s="64">
        <v>47.25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2260</v>
      </c>
      <c r="B101" s="64">
        <v>239.73</v>
      </c>
      <c r="C101" s="64">
        <v>106.08</v>
      </c>
      <c r="D101" s="64">
        <v>251.44</v>
      </c>
      <c r="E101" s="64">
        <v>1.24</v>
      </c>
      <c r="F101" s="64">
        <v>3.76</v>
      </c>
      <c r="G101" s="64">
        <v>297.02999999999997</v>
      </c>
      <c r="H101" s="64">
        <v>149.63999999999999</v>
      </c>
      <c r="I101" s="64">
        <v>1.42</v>
      </c>
      <c r="J101" s="64">
        <v>0.13</v>
      </c>
      <c r="K101" s="64">
        <v>287.7</v>
      </c>
      <c r="L101" s="64">
        <v>12.39</v>
      </c>
      <c r="M101" s="64">
        <v>80.760000000000005</v>
      </c>
      <c r="N101" s="64">
        <v>65.7</v>
      </c>
      <c r="O101" s="64">
        <v>0</v>
      </c>
      <c r="P101" s="64">
        <v>1.92</v>
      </c>
      <c r="Q101" s="64">
        <v>41.24</v>
      </c>
      <c r="R101" s="198"/>
      <c r="S101" s="198"/>
      <c r="T101" s="198"/>
      <c r="U101" s="198"/>
    </row>
    <row r="102" spans="1:33" s="12" customFormat="1" x14ac:dyDescent="0.25">
      <c r="A102" s="214" t="s">
        <v>2261</v>
      </c>
      <c r="B102" s="64">
        <v>230.68</v>
      </c>
      <c r="C102" s="64">
        <v>103.21</v>
      </c>
      <c r="D102" s="64">
        <v>242.59</v>
      </c>
      <c r="E102" s="64">
        <v>1.31</v>
      </c>
      <c r="F102" s="64">
        <v>3.76</v>
      </c>
      <c r="G102" s="64">
        <v>297.02999999999997</v>
      </c>
      <c r="H102" s="64">
        <v>149.63999999999999</v>
      </c>
      <c r="I102" s="64">
        <v>1.56</v>
      </c>
      <c r="J102" s="64">
        <v>0.06</v>
      </c>
      <c r="K102" s="64">
        <v>225.05</v>
      </c>
      <c r="L102" s="64">
        <v>12.16</v>
      </c>
      <c r="M102" s="64">
        <v>82.88</v>
      </c>
      <c r="N102" s="64">
        <v>64.900000000000006</v>
      </c>
      <c r="O102" s="64">
        <v>0</v>
      </c>
      <c r="P102" s="64">
        <v>2.4300000000000002</v>
      </c>
      <c r="Q102" s="64">
        <v>27.42</v>
      </c>
      <c r="R102" s="198"/>
      <c r="S102" s="198"/>
      <c r="T102" s="198"/>
      <c r="U102" s="198"/>
    </row>
    <row r="103" spans="1:33" s="12" customFormat="1" x14ac:dyDescent="0.25">
      <c r="A103" s="214" t="s">
        <v>2262</v>
      </c>
      <c r="B103" s="64">
        <v>222.21</v>
      </c>
      <c r="C103" s="64">
        <v>101.23</v>
      </c>
      <c r="D103" s="64">
        <v>234.71</v>
      </c>
      <c r="E103" s="64">
        <v>1.2</v>
      </c>
      <c r="F103" s="64">
        <v>3.7</v>
      </c>
      <c r="G103" s="64">
        <v>183.37</v>
      </c>
      <c r="H103" s="64">
        <v>137.33000000000001</v>
      </c>
      <c r="I103" s="64">
        <v>1.47</v>
      </c>
      <c r="J103" s="64">
        <v>0.1</v>
      </c>
      <c r="K103" s="64">
        <v>271.87</v>
      </c>
      <c r="L103" s="64">
        <v>11.92</v>
      </c>
      <c r="M103" s="64">
        <v>81.48</v>
      </c>
      <c r="N103" s="64">
        <v>72</v>
      </c>
      <c r="O103" s="64">
        <v>0</v>
      </c>
      <c r="P103" s="64">
        <v>1.75</v>
      </c>
      <c r="Q103" s="64">
        <v>32.1</v>
      </c>
      <c r="R103" s="198"/>
      <c r="S103" s="198"/>
      <c r="T103" s="198"/>
      <c r="U103" s="198"/>
    </row>
    <row r="104" spans="1:33" s="12" customFormat="1" x14ac:dyDescent="0.25">
      <c r="A104" s="214" t="s">
        <v>2263</v>
      </c>
      <c r="B104" s="64">
        <v>212.15</v>
      </c>
      <c r="C104" s="64">
        <v>99.77</v>
      </c>
      <c r="D104" s="64">
        <v>225.83</v>
      </c>
      <c r="E104" s="64">
        <v>0.79</v>
      </c>
      <c r="F104" s="64">
        <v>3.92</v>
      </c>
      <c r="G104" s="64">
        <v>183.37</v>
      </c>
      <c r="H104" s="64">
        <v>103.83</v>
      </c>
      <c r="I104" s="64">
        <v>1.51</v>
      </c>
      <c r="J104" s="64">
        <v>0.09</v>
      </c>
      <c r="K104" s="64">
        <v>296</v>
      </c>
      <c r="L104" s="64">
        <v>11.88</v>
      </c>
      <c r="M104" s="64">
        <v>82.27</v>
      </c>
      <c r="N104" s="64">
        <v>71.7</v>
      </c>
      <c r="O104" s="64">
        <v>0</v>
      </c>
      <c r="P104" s="64">
        <v>1.92</v>
      </c>
      <c r="Q104" s="64">
        <v>32.18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4.03</v>
      </c>
      <c r="C106" s="67">
        <f>MIN(C9:C104)</f>
        <v>66.709999999999994</v>
      </c>
      <c r="D106" s="67">
        <f t="shared" ref="D106:Q106" si="0">MIN(D9:D104)</f>
        <v>41.06</v>
      </c>
      <c r="E106" s="67">
        <f t="shared" si="0"/>
        <v>0.64</v>
      </c>
      <c r="F106" s="67">
        <f t="shared" si="0"/>
        <v>3.45</v>
      </c>
      <c r="G106" s="67">
        <f t="shared" si="0"/>
        <v>43.46</v>
      </c>
      <c r="H106" s="67">
        <f t="shared" si="0"/>
        <v>21.22</v>
      </c>
      <c r="I106" s="67">
        <f t="shared" si="0"/>
        <v>1.39</v>
      </c>
      <c r="J106" s="67">
        <f t="shared" si="0"/>
        <v>0.02</v>
      </c>
      <c r="K106" s="67">
        <f t="shared" si="0"/>
        <v>15.22</v>
      </c>
      <c r="L106" s="67">
        <f t="shared" si="0"/>
        <v>10.58</v>
      </c>
      <c r="M106" s="67">
        <f t="shared" si="0"/>
        <v>25.21</v>
      </c>
      <c r="N106" s="67">
        <f t="shared" si="0"/>
        <v>53.5</v>
      </c>
      <c r="O106" s="67">
        <f t="shared" si="0"/>
        <v>0</v>
      </c>
      <c r="P106" s="67">
        <f t="shared" si="0"/>
        <v>0.26</v>
      </c>
      <c r="Q106" s="67">
        <f t="shared" si="0"/>
        <v>0.15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272.20999999999998</v>
      </c>
      <c r="C107" s="66">
        <f t="shared" ref="C107:Q107" si="1">MAX(C9:C104)</f>
        <v>115.01</v>
      </c>
      <c r="D107" s="66">
        <f t="shared" si="1"/>
        <v>282.38</v>
      </c>
      <c r="E107" s="66">
        <f t="shared" si="1"/>
        <v>11.19</v>
      </c>
      <c r="F107" s="66">
        <f t="shared" si="1"/>
        <v>33.090000000000003</v>
      </c>
      <c r="G107" s="66">
        <f t="shared" si="1"/>
        <v>342.87</v>
      </c>
      <c r="H107" s="66">
        <f t="shared" si="1"/>
        <v>167.03</v>
      </c>
      <c r="I107" s="66">
        <f t="shared" si="1"/>
        <v>1.61</v>
      </c>
      <c r="J107" s="66">
        <f t="shared" si="1"/>
        <v>1.1499999999999999</v>
      </c>
      <c r="K107" s="66">
        <f t="shared" si="1"/>
        <v>353.62</v>
      </c>
      <c r="L107" s="66">
        <f t="shared" si="1"/>
        <v>26.08</v>
      </c>
      <c r="M107" s="66">
        <f t="shared" si="1"/>
        <v>94.22</v>
      </c>
      <c r="N107" s="66">
        <f t="shared" si="1"/>
        <v>723.3</v>
      </c>
      <c r="O107" s="66">
        <f t="shared" si="1"/>
        <v>0</v>
      </c>
      <c r="P107" s="66">
        <f t="shared" si="1"/>
        <v>6.98</v>
      </c>
      <c r="Q107" s="66">
        <f t="shared" si="1"/>
        <v>47.25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87.484895833333326</v>
      </c>
      <c r="C108" s="67">
        <f t="shared" ref="C108:Q108" si="2">AVERAGE(C9:C104)</f>
        <v>83.806770833333388</v>
      </c>
      <c r="D108" s="67">
        <f t="shared" si="2"/>
        <v>117.05427083333332</v>
      </c>
      <c r="E108" s="67">
        <f t="shared" si="2"/>
        <v>2.6168749999999994</v>
      </c>
      <c r="F108" s="67">
        <f t="shared" si="2"/>
        <v>9.4073958333333376</v>
      </c>
      <c r="G108" s="67">
        <f t="shared" si="2"/>
        <v>145.96395833333347</v>
      </c>
      <c r="H108" s="67">
        <f t="shared" si="2"/>
        <v>73.440104166666615</v>
      </c>
      <c r="I108" s="67">
        <f t="shared" si="2"/>
        <v>1.5024999999999997</v>
      </c>
      <c r="J108" s="67">
        <f t="shared" si="2"/>
        <v>0.28979166666666673</v>
      </c>
      <c r="K108" s="67">
        <f t="shared" si="2"/>
        <v>180.82958333333329</v>
      </c>
      <c r="L108" s="67">
        <f t="shared" si="2"/>
        <v>15.862500000000002</v>
      </c>
      <c r="M108" s="67">
        <f t="shared" si="2"/>
        <v>57.820208333333348</v>
      </c>
      <c r="N108" s="67">
        <f t="shared" si="2"/>
        <v>205.48854166666669</v>
      </c>
      <c r="O108" s="67">
        <f t="shared" si="2"/>
        <v>0</v>
      </c>
      <c r="P108" s="67">
        <f t="shared" si="2"/>
        <v>1.704270833333333</v>
      </c>
      <c r="Q108" s="67">
        <f t="shared" si="2"/>
        <v>13.127777777777784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87.18040528267916</v>
      </c>
      <c r="C109" s="67">
        <f t="shared" ref="C109:Q109" si="3">STDEV(C9:C104)</f>
        <v>15.709316008748077</v>
      </c>
      <c r="D109" s="67">
        <f t="shared" si="3"/>
        <v>77.268565757360633</v>
      </c>
      <c r="E109" s="67">
        <f t="shared" si="3"/>
        <v>2.3271031517634473</v>
      </c>
      <c r="F109" s="67">
        <f t="shared" si="3"/>
        <v>7.9612693043511298</v>
      </c>
      <c r="G109" s="67">
        <f t="shared" si="3"/>
        <v>101.77297725799379</v>
      </c>
      <c r="H109" s="67">
        <f t="shared" si="3"/>
        <v>49.464608772754644</v>
      </c>
      <c r="I109" s="67">
        <f t="shared" si="3"/>
        <v>4.5259485775156379E-2</v>
      </c>
      <c r="J109" s="67">
        <f t="shared" si="3"/>
        <v>0.32442006287062836</v>
      </c>
      <c r="K109" s="67">
        <f t="shared" si="3"/>
        <v>107.3012312669502</v>
      </c>
      <c r="L109" s="67">
        <f t="shared" si="3"/>
        <v>4.691217774792185</v>
      </c>
      <c r="M109" s="67">
        <f t="shared" si="3"/>
        <v>21.106661905622222</v>
      </c>
      <c r="N109" s="67">
        <f t="shared" si="3"/>
        <v>222.97440536140439</v>
      </c>
      <c r="O109" s="67">
        <f t="shared" si="3"/>
        <v>0</v>
      </c>
      <c r="P109" s="67">
        <f t="shared" si="3"/>
        <v>1.749662671122437</v>
      </c>
      <c r="Q109" s="67">
        <f t="shared" si="3"/>
        <v>12.297232152063636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I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ref="J110:P110" si="5"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COUNT(Q9:Q104)+6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2264</v>
      </c>
      <c r="B9" s="64">
        <v>202.33</v>
      </c>
      <c r="C9" s="64">
        <v>97.77</v>
      </c>
      <c r="D9" s="64">
        <v>216.86</v>
      </c>
      <c r="E9" s="64">
        <v>1.18</v>
      </c>
      <c r="F9" s="64">
        <v>3.52</v>
      </c>
      <c r="G9" s="64">
        <v>183.37</v>
      </c>
      <c r="H9" s="64">
        <v>103.83</v>
      </c>
      <c r="I9" s="64">
        <v>1.47</v>
      </c>
      <c r="J9" s="64">
        <v>0.09</v>
      </c>
      <c r="K9" s="64">
        <v>258.23</v>
      </c>
      <c r="L9" s="64">
        <v>11.89</v>
      </c>
      <c r="M9" s="64">
        <v>75.86</v>
      </c>
      <c r="N9" s="64">
        <v>69.5</v>
      </c>
      <c r="O9" s="64">
        <v>0</v>
      </c>
      <c r="P9" s="64">
        <v>1.48</v>
      </c>
      <c r="Q9" s="64">
        <v>29.71</v>
      </c>
      <c r="R9" s="198"/>
      <c r="S9" s="198"/>
      <c r="T9" s="198"/>
      <c r="U9" s="198"/>
    </row>
    <row r="10" spans="1:21" s="12" customFormat="1" x14ac:dyDescent="0.25">
      <c r="A10" s="214" t="s">
        <v>2265</v>
      </c>
      <c r="B10" s="64">
        <v>192.82</v>
      </c>
      <c r="C10" s="64">
        <v>96.11</v>
      </c>
      <c r="D10" s="64">
        <v>208.31</v>
      </c>
      <c r="E10" s="64">
        <v>1.1499999999999999</v>
      </c>
      <c r="F10" s="64">
        <v>3.41</v>
      </c>
      <c r="G10" s="64">
        <v>183.37</v>
      </c>
      <c r="H10" s="64">
        <v>103.83</v>
      </c>
      <c r="I10" s="64">
        <v>1.44</v>
      </c>
      <c r="J10" s="64">
        <v>0.14000000000000001</v>
      </c>
      <c r="K10" s="64">
        <v>274.10000000000002</v>
      </c>
      <c r="L10" s="64">
        <v>11.76</v>
      </c>
      <c r="M10" s="64">
        <v>74.7</v>
      </c>
      <c r="N10" s="64">
        <v>67.400000000000006</v>
      </c>
      <c r="O10" s="64">
        <v>0</v>
      </c>
      <c r="P10" s="64">
        <v>1.19</v>
      </c>
      <c r="Q10" s="64">
        <v>28.19</v>
      </c>
      <c r="R10" s="198"/>
      <c r="S10" s="198"/>
      <c r="T10" s="198"/>
      <c r="U10" s="198"/>
    </row>
    <row r="11" spans="1:21" s="12" customFormat="1" x14ac:dyDescent="0.25">
      <c r="A11" s="214" t="s">
        <v>2266</v>
      </c>
      <c r="B11" s="64">
        <v>182.25</v>
      </c>
      <c r="C11" s="64">
        <v>94.61</v>
      </c>
      <c r="D11" s="64">
        <v>199.01</v>
      </c>
      <c r="E11" s="64">
        <v>1.1000000000000001</v>
      </c>
      <c r="F11" s="64">
        <v>3.36</v>
      </c>
      <c r="G11" s="64">
        <v>173.68</v>
      </c>
      <c r="H11" s="64">
        <v>100.15</v>
      </c>
      <c r="I11" s="64">
        <v>1.54</v>
      </c>
      <c r="J11" s="64">
        <v>0.13</v>
      </c>
      <c r="K11" s="64">
        <v>283.02</v>
      </c>
      <c r="L11" s="64">
        <v>11.62</v>
      </c>
      <c r="M11" s="64">
        <v>75.44</v>
      </c>
      <c r="N11" s="64">
        <v>65.400000000000006</v>
      </c>
      <c r="O11" s="64">
        <v>0</v>
      </c>
      <c r="P11" s="64">
        <v>1.1399999999999999</v>
      </c>
      <c r="Q11" s="64">
        <v>30.05</v>
      </c>
      <c r="R11" s="198"/>
      <c r="S11" s="198"/>
      <c r="T11" s="198"/>
      <c r="U11" s="198"/>
    </row>
    <row r="12" spans="1:21" s="12" customFormat="1" x14ac:dyDescent="0.25">
      <c r="A12" s="214" t="s">
        <v>2267</v>
      </c>
      <c r="B12" s="64">
        <v>171.04</v>
      </c>
      <c r="C12" s="64">
        <v>92.98</v>
      </c>
      <c r="D12" s="64">
        <v>189.12</v>
      </c>
      <c r="E12" s="64">
        <v>1.0900000000000001</v>
      </c>
      <c r="F12" s="64">
        <v>3.34</v>
      </c>
      <c r="G12" s="64">
        <v>134.91999999999999</v>
      </c>
      <c r="H12" s="64">
        <v>83.74</v>
      </c>
      <c r="I12" s="64">
        <v>1.47</v>
      </c>
      <c r="J12" s="64">
        <v>0.11</v>
      </c>
      <c r="K12" s="64">
        <v>299.72000000000003</v>
      </c>
      <c r="L12" s="64">
        <v>11.46</v>
      </c>
      <c r="M12" s="64">
        <v>76.02</v>
      </c>
      <c r="N12" s="64">
        <v>63.7</v>
      </c>
      <c r="O12" s="64">
        <v>0</v>
      </c>
      <c r="P12" s="64">
        <v>0.97</v>
      </c>
      <c r="Q12" s="64">
        <v>31.11</v>
      </c>
      <c r="R12" s="198"/>
      <c r="S12" s="198"/>
      <c r="T12" s="198"/>
      <c r="U12" s="198"/>
    </row>
    <row r="13" spans="1:21" s="12" customFormat="1" x14ac:dyDescent="0.25">
      <c r="A13" s="214" t="s">
        <v>2268</v>
      </c>
      <c r="B13" s="64">
        <v>159.19</v>
      </c>
      <c r="C13" s="64">
        <v>91.19</v>
      </c>
      <c r="D13" s="64">
        <v>178.63</v>
      </c>
      <c r="E13" s="64">
        <v>1.01</v>
      </c>
      <c r="F13" s="64">
        <v>3.17</v>
      </c>
      <c r="G13" s="64">
        <v>134.91999999999999</v>
      </c>
      <c r="H13" s="64">
        <v>83.74</v>
      </c>
      <c r="I13" s="64">
        <v>1.44</v>
      </c>
      <c r="J13" s="64">
        <v>0.04</v>
      </c>
      <c r="K13" s="64">
        <v>218.43</v>
      </c>
      <c r="L13" s="64">
        <v>11.46</v>
      </c>
      <c r="M13" s="64">
        <v>81.5</v>
      </c>
      <c r="N13" s="64">
        <v>63.6</v>
      </c>
      <c r="O13" s="64">
        <v>0</v>
      </c>
      <c r="P13" s="64">
        <v>0.93</v>
      </c>
      <c r="Q13" s="64">
        <v>30.25</v>
      </c>
      <c r="R13" s="198"/>
      <c r="S13" s="198"/>
      <c r="T13" s="198"/>
      <c r="U13" s="198"/>
    </row>
    <row r="14" spans="1:21" s="12" customFormat="1" x14ac:dyDescent="0.25">
      <c r="A14" s="214" t="s">
        <v>2269</v>
      </c>
      <c r="B14" s="64">
        <v>147.55000000000001</v>
      </c>
      <c r="C14" s="64">
        <v>89.56</v>
      </c>
      <c r="D14" s="64">
        <v>168.4</v>
      </c>
      <c r="E14" s="64">
        <v>0.88</v>
      </c>
      <c r="F14" s="64">
        <v>3.36</v>
      </c>
      <c r="G14" s="64">
        <v>134.91999999999999</v>
      </c>
      <c r="H14" s="64">
        <v>83.74</v>
      </c>
      <c r="I14" s="64">
        <v>1.5</v>
      </c>
      <c r="J14" s="64">
        <v>0.08</v>
      </c>
      <c r="K14" s="64">
        <v>251.51</v>
      </c>
      <c r="L14" s="64">
        <v>11.84</v>
      </c>
      <c r="M14" s="64">
        <v>81.599999999999994</v>
      </c>
      <c r="N14" s="64">
        <v>64</v>
      </c>
      <c r="O14" s="64">
        <v>0</v>
      </c>
      <c r="P14" s="64">
        <v>0.88</v>
      </c>
      <c r="Q14" s="64">
        <v>30.66</v>
      </c>
      <c r="R14" s="198"/>
      <c r="S14" s="198"/>
      <c r="T14" s="198"/>
      <c r="U14" s="198"/>
    </row>
    <row r="15" spans="1:21" s="12" customFormat="1" x14ac:dyDescent="0.25">
      <c r="A15" s="214" t="s">
        <v>2270</v>
      </c>
      <c r="B15" s="64">
        <v>136.03</v>
      </c>
      <c r="C15" s="64">
        <v>87.65</v>
      </c>
      <c r="D15" s="64">
        <v>158.11000000000001</v>
      </c>
      <c r="E15" s="64">
        <v>0.84</v>
      </c>
      <c r="F15" s="64">
        <v>3.36</v>
      </c>
      <c r="G15" s="64">
        <v>129.81</v>
      </c>
      <c r="H15" s="64">
        <v>79.209999999999994</v>
      </c>
      <c r="I15" s="64">
        <v>1.48</v>
      </c>
      <c r="J15" s="64">
        <v>0.1</v>
      </c>
      <c r="K15" s="64">
        <v>306.33</v>
      </c>
      <c r="L15" s="64">
        <v>11.34</v>
      </c>
      <c r="M15" s="64">
        <v>87.3</v>
      </c>
      <c r="N15" s="64">
        <v>65.099999999999994</v>
      </c>
      <c r="O15" s="64">
        <v>0</v>
      </c>
      <c r="P15" s="64">
        <v>0.85</v>
      </c>
      <c r="Q15" s="64">
        <v>29.29</v>
      </c>
      <c r="R15" s="198"/>
      <c r="S15" s="198"/>
      <c r="T15" s="198"/>
      <c r="U15" s="198"/>
    </row>
    <row r="16" spans="1:21" s="12" customFormat="1" x14ac:dyDescent="0.25">
      <c r="A16" s="214" t="s">
        <v>2271</v>
      </c>
      <c r="B16" s="64">
        <v>126.23</v>
      </c>
      <c r="C16" s="64">
        <v>85.31</v>
      </c>
      <c r="D16" s="64">
        <v>148.96</v>
      </c>
      <c r="E16" s="64">
        <v>0.82</v>
      </c>
      <c r="F16" s="64">
        <v>3.34</v>
      </c>
      <c r="G16" s="64">
        <v>109.34</v>
      </c>
      <c r="H16" s="64">
        <v>66.16</v>
      </c>
      <c r="I16" s="64">
        <v>1.44</v>
      </c>
      <c r="J16" s="64">
        <v>0.09</v>
      </c>
      <c r="K16" s="64">
        <v>274.97000000000003</v>
      </c>
      <c r="L16" s="64">
        <v>10.81</v>
      </c>
      <c r="M16" s="64">
        <v>90.55</v>
      </c>
      <c r="N16" s="64">
        <v>65.900000000000006</v>
      </c>
      <c r="O16" s="64">
        <v>0</v>
      </c>
      <c r="P16" s="64">
        <v>0.84</v>
      </c>
      <c r="Q16" s="64">
        <v>26.95</v>
      </c>
      <c r="R16" s="198"/>
      <c r="S16" s="198"/>
      <c r="T16" s="198"/>
      <c r="U16" s="198"/>
    </row>
    <row r="17" spans="1:21" s="12" customFormat="1" x14ac:dyDescent="0.25">
      <c r="A17" s="214" t="s">
        <v>2272</v>
      </c>
      <c r="B17" s="64">
        <v>117.3</v>
      </c>
      <c r="C17" s="64">
        <v>83.4</v>
      </c>
      <c r="D17" s="64">
        <v>140.74</v>
      </c>
      <c r="E17" s="64">
        <v>0.73</v>
      </c>
      <c r="F17" s="64">
        <v>3.4</v>
      </c>
      <c r="G17" s="64">
        <v>109.34</v>
      </c>
      <c r="H17" s="64">
        <v>66.16</v>
      </c>
      <c r="I17" s="64">
        <v>1.55</v>
      </c>
      <c r="J17" s="64">
        <v>0.09</v>
      </c>
      <c r="K17" s="64">
        <v>296.77</v>
      </c>
      <c r="L17" s="64">
        <v>10.55</v>
      </c>
      <c r="M17" s="64">
        <v>92.81</v>
      </c>
      <c r="N17" s="64">
        <v>67</v>
      </c>
      <c r="O17" s="64">
        <v>0</v>
      </c>
      <c r="P17" s="64">
        <v>0.88</v>
      </c>
      <c r="Q17" s="64">
        <v>22.91</v>
      </c>
      <c r="R17" s="198"/>
      <c r="S17" s="198"/>
      <c r="T17" s="198"/>
      <c r="U17" s="198"/>
    </row>
    <row r="18" spans="1:21" s="12" customFormat="1" x14ac:dyDescent="0.25">
      <c r="A18" s="214" t="s">
        <v>2273</v>
      </c>
      <c r="B18" s="64">
        <v>109.59</v>
      </c>
      <c r="C18" s="64">
        <v>81.680000000000007</v>
      </c>
      <c r="D18" s="64">
        <v>133.61000000000001</v>
      </c>
      <c r="E18" s="64">
        <v>0.71</v>
      </c>
      <c r="F18" s="64">
        <v>3.31</v>
      </c>
      <c r="G18" s="64">
        <v>109.34</v>
      </c>
      <c r="H18" s="64">
        <v>66.16</v>
      </c>
      <c r="I18" s="64">
        <v>1.45</v>
      </c>
      <c r="J18" s="64">
        <v>0.05</v>
      </c>
      <c r="K18" s="64">
        <v>298.36</v>
      </c>
      <c r="L18" s="64">
        <v>10.38</v>
      </c>
      <c r="M18" s="64">
        <v>91.07</v>
      </c>
      <c r="N18" s="64">
        <v>69.8</v>
      </c>
      <c r="O18" s="64">
        <v>0</v>
      </c>
      <c r="P18" s="64">
        <v>0.84</v>
      </c>
      <c r="Q18" s="64">
        <v>21.12</v>
      </c>
      <c r="R18" s="198"/>
      <c r="S18" s="198"/>
      <c r="T18" s="198"/>
      <c r="U18" s="198"/>
    </row>
    <row r="19" spans="1:21" s="12" customFormat="1" x14ac:dyDescent="0.25">
      <c r="A19" s="214" t="s">
        <v>2274</v>
      </c>
      <c r="B19" s="64">
        <v>102.79</v>
      </c>
      <c r="C19" s="64">
        <v>80.87</v>
      </c>
      <c r="D19" s="64">
        <v>127.7</v>
      </c>
      <c r="E19" s="64">
        <v>0.68</v>
      </c>
      <c r="F19" s="64">
        <v>3.11</v>
      </c>
      <c r="G19" s="64">
        <v>111.15</v>
      </c>
      <c r="H19" s="64">
        <v>64.52</v>
      </c>
      <c r="I19" s="64">
        <v>1.51</v>
      </c>
      <c r="J19" s="64">
        <v>0.04</v>
      </c>
      <c r="K19" s="64">
        <v>263.32</v>
      </c>
      <c r="L19" s="64">
        <v>10.49</v>
      </c>
      <c r="M19" s="64">
        <v>90.75</v>
      </c>
      <c r="N19" s="64">
        <v>78.2</v>
      </c>
      <c r="O19" s="64">
        <v>0</v>
      </c>
      <c r="P19" s="64">
        <v>0.78</v>
      </c>
      <c r="Q19" s="64">
        <v>19.04</v>
      </c>
      <c r="R19" s="198"/>
      <c r="S19" s="198"/>
      <c r="T19" s="198"/>
      <c r="U19" s="198"/>
    </row>
    <row r="20" spans="1:21" s="12" customFormat="1" x14ac:dyDescent="0.25">
      <c r="A20" s="214" t="s">
        <v>2275</v>
      </c>
      <c r="B20" s="64">
        <v>98.26</v>
      </c>
      <c r="C20" s="64">
        <v>80.069999999999993</v>
      </c>
      <c r="D20" s="64">
        <v>123.63</v>
      </c>
      <c r="E20" s="64">
        <v>0.69</v>
      </c>
      <c r="F20" s="64">
        <v>3.34</v>
      </c>
      <c r="G20" s="64">
        <v>118.38</v>
      </c>
      <c r="H20" s="64">
        <v>60.04</v>
      </c>
      <c r="I20" s="64">
        <v>1.54</v>
      </c>
      <c r="J20" s="64">
        <v>0.09</v>
      </c>
      <c r="K20" s="64">
        <v>349.15</v>
      </c>
      <c r="L20" s="64">
        <v>10.55</v>
      </c>
      <c r="M20" s="64">
        <v>92.72</v>
      </c>
      <c r="N20" s="64">
        <v>88.8</v>
      </c>
      <c r="O20" s="64">
        <v>0</v>
      </c>
      <c r="P20" s="64">
        <v>0.8</v>
      </c>
      <c r="Q20" s="64">
        <v>17.78</v>
      </c>
      <c r="R20" s="198"/>
      <c r="S20" s="198"/>
      <c r="T20" s="198"/>
      <c r="U20" s="198"/>
    </row>
    <row r="21" spans="1:21" s="12" customFormat="1" x14ac:dyDescent="0.25">
      <c r="A21" s="214" t="s">
        <v>2276</v>
      </c>
      <c r="B21" s="64">
        <v>94.17</v>
      </c>
      <c r="C21" s="64">
        <v>79.3</v>
      </c>
      <c r="D21" s="64">
        <v>119.93</v>
      </c>
      <c r="E21" s="64">
        <v>0.67</v>
      </c>
      <c r="F21" s="64">
        <v>3.41</v>
      </c>
      <c r="G21" s="64">
        <v>118.38</v>
      </c>
      <c r="H21" s="64">
        <v>60.04</v>
      </c>
      <c r="I21" s="64">
        <v>1.5</v>
      </c>
      <c r="J21" s="64">
        <v>0.04</v>
      </c>
      <c r="K21" s="64">
        <v>245.58</v>
      </c>
      <c r="L21" s="64">
        <v>10.55</v>
      </c>
      <c r="M21" s="64">
        <v>91.19</v>
      </c>
      <c r="N21" s="64">
        <v>75</v>
      </c>
      <c r="O21" s="64">
        <v>0</v>
      </c>
      <c r="P21" s="64">
        <v>0.8</v>
      </c>
      <c r="Q21" s="64">
        <v>17.309999999999999</v>
      </c>
      <c r="R21" s="198"/>
      <c r="S21" s="198"/>
      <c r="T21" s="198"/>
      <c r="U21" s="198"/>
    </row>
    <row r="22" spans="1:21" s="12" customFormat="1" x14ac:dyDescent="0.25">
      <c r="A22" s="214" t="s">
        <v>2277</v>
      </c>
      <c r="B22" s="64">
        <v>90.63</v>
      </c>
      <c r="C22" s="64">
        <v>78.540000000000006</v>
      </c>
      <c r="D22" s="64">
        <v>116.67</v>
      </c>
      <c r="E22" s="64">
        <v>0.65</v>
      </c>
      <c r="F22" s="64">
        <v>3.17</v>
      </c>
      <c r="G22" s="64">
        <v>118.38</v>
      </c>
      <c r="H22" s="64">
        <v>60.04</v>
      </c>
      <c r="I22" s="64">
        <v>1.55</v>
      </c>
      <c r="J22" s="64">
        <v>0.13</v>
      </c>
      <c r="K22" s="64">
        <v>303.55</v>
      </c>
      <c r="L22" s="64">
        <v>10.47</v>
      </c>
      <c r="M22" s="64">
        <v>93.15</v>
      </c>
      <c r="N22" s="64">
        <v>74.8</v>
      </c>
      <c r="O22" s="64">
        <v>0</v>
      </c>
      <c r="P22" s="64">
        <v>0.83</v>
      </c>
      <c r="Q22" s="64">
        <v>15.44</v>
      </c>
      <c r="R22" s="198"/>
      <c r="S22" s="198"/>
      <c r="T22" s="198"/>
      <c r="U22" s="198"/>
    </row>
    <row r="23" spans="1:21" s="12" customFormat="1" x14ac:dyDescent="0.25">
      <c r="A23" s="214" t="s">
        <v>2278</v>
      </c>
      <c r="B23" s="64">
        <v>87.62</v>
      </c>
      <c r="C23" s="64">
        <v>77.3</v>
      </c>
      <c r="D23" s="64">
        <v>113.57</v>
      </c>
      <c r="E23" s="64">
        <v>0.6</v>
      </c>
      <c r="F23" s="64">
        <v>3.16</v>
      </c>
      <c r="G23" s="64">
        <v>122.88</v>
      </c>
      <c r="H23" s="64">
        <v>65.069999999999993</v>
      </c>
      <c r="I23" s="64">
        <v>1.52</v>
      </c>
      <c r="J23" s="64">
        <v>0.1</v>
      </c>
      <c r="K23" s="64">
        <v>204.71</v>
      </c>
      <c r="L23" s="64">
        <v>10.46</v>
      </c>
      <c r="M23" s="64">
        <v>93.16</v>
      </c>
      <c r="N23" s="64">
        <v>74.400000000000006</v>
      </c>
      <c r="O23" s="64">
        <v>0</v>
      </c>
      <c r="P23" s="64">
        <v>0.81</v>
      </c>
      <c r="Q23" s="64">
        <v>15.38</v>
      </c>
      <c r="R23" s="198"/>
      <c r="S23" s="198"/>
      <c r="T23" s="198"/>
      <c r="U23" s="198"/>
    </row>
    <row r="24" spans="1:21" s="12" customFormat="1" x14ac:dyDescent="0.25">
      <c r="A24" s="214" t="s">
        <v>2279</v>
      </c>
      <c r="B24" s="64">
        <v>83.79</v>
      </c>
      <c r="C24" s="64">
        <v>76.53</v>
      </c>
      <c r="D24" s="64">
        <v>110.07</v>
      </c>
      <c r="E24" s="64">
        <v>0.43</v>
      </c>
      <c r="F24" s="64">
        <v>3.11</v>
      </c>
      <c r="G24" s="64">
        <v>140.88999999999999</v>
      </c>
      <c r="H24" s="64">
        <v>79.56</v>
      </c>
      <c r="I24" s="64">
        <v>1.48</v>
      </c>
      <c r="J24" s="64">
        <v>0.13</v>
      </c>
      <c r="K24" s="64">
        <v>307.64</v>
      </c>
      <c r="L24" s="64">
        <v>11.07</v>
      </c>
      <c r="M24" s="64">
        <v>83.75</v>
      </c>
      <c r="N24" s="64">
        <v>79.400000000000006</v>
      </c>
      <c r="O24" s="64">
        <v>0</v>
      </c>
      <c r="P24" s="64">
        <v>0.91</v>
      </c>
      <c r="Q24" s="64">
        <v>15.95</v>
      </c>
      <c r="R24" s="198"/>
      <c r="S24" s="198"/>
      <c r="T24" s="198"/>
      <c r="U24" s="198"/>
    </row>
    <row r="25" spans="1:21" s="12" customFormat="1" x14ac:dyDescent="0.25">
      <c r="A25" s="214" t="s">
        <v>2280</v>
      </c>
      <c r="B25" s="64">
        <v>80.430000000000007</v>
      </c>
      <c r="C25" s="64">
        <v>76.37</v>
      </c>
      <c r="D25" s="64">
        <v>107.29</v>
      </c>
      <c r="E25" s="64">
        <v>0.75</v>
      </c>
      <c r="F25" s="64">
        <v>3.32</v>
      </c>
      <c r="G25" s="64">
        <v>140.88999999999999</v>
      </c>
      <c r="H25" s="64">
        <v>79.56</v>
      </c>
      <c r="I25" s="64">
        <v>1.49</v>
      </c>
      <c r="J25" s="64">
        <v>0.1</v>
      </c>
      <c r="K25" s="64">
        <v>316.45999999999998</v>
      </c>
      <c r="L25" s="64">
        <v>11.1</v>
      </c>
      <c r="M25" s="64">
        <v>84.16</v>
      </c>
      <c r="N25" s="64">
        <v>88.3</v>
      </c>
      <c r="O25" s="64">
        <v>0</v>
      </c>
      <c r="P25" s="64">
        <v>1.0900000000000001</v>
      </c>
      <c r="Q25" s="64">
        <v>13.01</v>
      </c>
      <c r="R25" s="198"/>
      <c r="S25" s="198"/>
      <c r="T25" s="198"/>
      <c r="U25" s="198"/>
    </row>
    <row r="26" spans="1:21" s="12" customFormat="1" x14ac:dyDescent="0.25">
      <c r="A26" s="214" t="s">
        <v>2281</v>
      </c>
      <c r="B26" s="64">
        <v>79.069999999999993</v>
      </c>
      <c r="C26" s="64">
        <v>76.349999999999994</v>
      </c>
      <c r="D26" s="64">
        <v>106.19</v>
      </c>
      <c r="E26" s="64">
        <v>0.73</v>
      </c>
      <c r="F26" s="64">
        <v>3.29</v>
      </c>
      <c r="G26" s="64">
        <v>140.88999999999999</v>
      </c>
      <c r="H26" s="64">
        <v>79.56</v>
      </c>
      <c r="I26" s="64">
        <v>1.56</v>
      </c>
      <c r="J26" s="64">
        <v>0.13</v>
      </c>
      <c r="K26" s="64">
        <v>261.86</v>
      </c>
      <c r="L26" s="64">
        <v>10.87</v>
      </c>
      <c r="M26" s="64">
        <v>88.1</v>
      </c>
      <c r="N26" s="64">
        <v>74.900000000000006</v>
      </c>
      <c r="O26" s="64">
        <v>0</v>
      </c>
      <c r="P26" s="64">
        <v>1.28</v>
      </c>
      <c r="Q26" s="64">
        <v>10.95</v>
      </c>
      <c r="R26" s="198"/>
      <c r="S26" s="198"/>
      <c r="T26" s="198"/>
      <c r="U26" s="198"/>
    </row>
    <row r="27" spans="1:21" s="12" customFormat="1" x14ac:dyDescent="0.25">
      <c r="A27" s="214" t="s">
        <v>2282</v>
      </c>
      <c r="B27" s="64">
        <v>77.650000000000006</v>
      </c>
      <c r="C27" s="64">
        <v>76.34</v>
      </c>
      <c r="D27" s="64">
        <v>105.05</v>
      </c>
      <c r="E27" s="64">
        <v>0.77</v>
      </c>
      <c r="F27" s="64">
        <v>3.5</v>
      </c>
      <c r="G27" s="64">
        <v>143.94999999999999</v>
      </c>
      <c r="H27" s="64">
        <v>81.650000000000006</v>
      </c>
      <c r="I27" s="64">
        <v>1.4</v>
      </c>
      <c r="J27" s="64">
        <v>0.18</v>
      </c>
      <c r="K27" s="64">
        <v>336.9</v>
      </c>
      <c r="L27" s="64">
        <v>10.53</v>
      </c>
      <c r="M27" s="64">
        <v>90.7</v>
      </c>
      <c r="N27" s="64">
        <v>69.8</v>
      </c>
      <c r="O27" s="64">
        <v>0</v>
      </c>
      <c r="P27" s="64">
        <v>1.43</v>
      </c>
      <c r="Q27" s="64">
        <v>11.62</v>
      </c>
      <c r="R27" s="198"/>
      <c r="S27" s="198"/>
      <c r="T27" s="198"/>
      <c r="U27" s="198"/>
    </row>
    <row r="28" spans="1:21" s="12" customFormat="1" x14ac:dyDescent="0.25">
      <c r="A28" s="214" t="s">
        <v>2283</v>
      </c>
      <c r="B28" s="64">
        <v>77.39</v>
      </c>
      <c r="C28" s="64">
        <v>76.06</v>
      </c>
      <c r="D28" s="64">
        <v>104.68</v>
      </c>
      <c r="E28" s="64">
        <v>0.84</v>
      </c>
      <c r="F28" s="64">
        <v>3.18</v>
      </c>
      <c r="G28" s="64">
        <v>156.22</v>
      </c>
      <c r="H28" s="64">
        <v>91</v>
      </c>
      <c r="I28" s="64">
        <v>1.46</v>
      </c>
      <c r="J28" s="64">
        <v>0.11</v>
      </c>
      <c r="K28" s="64">
        <v>300.14</v>
      </c>
      <c r="L28" s="64">
        <v>10.11</v>
      </c>
      <c r="M28" s="64">
        <v>94.19</v>
      </c>
      <c r="N28" s="64">
        <v>76.099999999999994</v>
      </c>
      <c r="O28" s="64">
        <v>0</v>
      </c>
      <c r="P28" s="64">
        <v>1.38</v>
      </c>
      <c r="Q28" s="64">
        <v>10.23</v>
      </c>
      <c r="R28" s="198"/>
      <c r="S28" s="198"/>
      <c r="T28" s="198"/>
      <c r="U28" s="198"/>
    </row>
    <row r="29" spans="1:21" s="12" customFormat="1" x14ac:dyDescent="0.25">
      <c r="A29" s="214" t="s">
        <v>2284</v>
      </c>
      <c r="B29" s="64">
        <v>76.16</v>
      </c>
      <c r="C29" s="64">
        <v>75.81</v>
      </c>
      <c r="D29" s="64">
        <v>103.55</v>
      </c>
      <c r="E29" s="64">
        <v>0.74</v>
      </c>
      <c r="F29" s="64">
        <v>3.05</v>
      </c>
      <c r="G29" s="64">
        <v>156.22</v>
      </c>
      <c r="H29" s="64">
        <v>91</v>
      </c>
      <c r="I29" s="64">
        <v>1.56</v>
      </c>
      <c r="J29" s="64">
        <v>0.11</v>
      </c>
      <c r="K29" s="64">
        <v>254.37</v>
      </c>
      <c r="L29" s="64">
        <v>10.3</v>
      </c>
      <c r="M29" s="64">
        <v>91.38</v>
      </c>
      <c r="N29" s="64">
        <v>84.1</v>
      </c>
      <c r="O29" s="64">
        <v>0</v>
      </c>
      <c r="P29" s="64">
        <v>1.35</v>
      </c>
      <c r="Q29" s="64">
        <v>11.15</v>
      </c>
      <c r="R29" s="198"/>
      <c r="S29" s="198"/>
      <c r="T29" s="198"/>
      <c r="U29" s="198"/>
    </row>
    <row r="30" spans="1:21" s="12" customFormat="1" x14ac:dyDescent="0.25">
      <c r="A30" s="214" t="s">
        <v>2285</v>
      </c>
      <c r="B30" s="64">
        <v>75.34</v>
      </c>
      <c r="C30" s="64">
        <v>75.94</v>
      </c>
      <c r="D30" s="64">
        <v>102.97</v>
      </c>
      <c r="E30" s="64">
        <v>0.81</v>
      </c>
      <c r="F30" s="64">
        <v>3.51</v>
      </c>
      <c r="G30" s="64">
        <v>156.22</v>
      </c>
      <c r="H30" s="64">
        <v>91</v>
      </c>
      <c r="I30" s="64">
        <v>1.44</v>
      </c>
      <c r="J30" s="64">
        <v>0.14000000000000001</v>
      </c>
      <c r="K30" s="64">
        <v>264.42</v>
      </c>
      <c r="L30" s="64">
        <v>10.94</v>
      </c>
      <c r="M30" s="64">
        <v>85.97</v>
      </c>
      <c r="N30" s="64">
        <v>72.3</v>
      </c>
      <c r="O30" s="64">
        <v>0</v>
      </c>
      <c r="P30" s="64">
        <v>1.49</v>
      </c>
      <c r="Q30" s="64">
        <v>8.52</v>
      </c>
      <c r="R30" s="198"/>
      <c r="S30" s="198"/>
      <c r="T30" s="198"/>
      <c r="U30" s="198"/>
    </row>
    <row r="31" spans="1:21" s="12" customFormat="1" x14ac:dyDescent="0.25">
      <c r="A31" s="214" t="s">
        <v>2286</v>
      </c>
      <c r="B31" s="64">
        <v>78.92</v>
      </c>
      <c r="C31" s="64">
        <v>76.709999999999994</v>
      </c>
      <c r="D31" s="64">
        <v>106.27</v>
      </c>
      <c r="E31" s="64">
        <v>0.78</v>
      </c>
      <c r="F31" s="64">
        <v>3.38</v>
      </c>
      <c r="G31" s="64">
        <v>161.69999999999999</v>
      </c>
      <c r="H31" s="64">
        <v>91.18</v>
      </c>
      <c r="I31" s="64">
        <v>1.53</v>
      </c>
      <c r="J31" s="64">
        <v>0.12</v>
      </c>
      <c r="K31" s="64">
        <v>295.37</v>
      </c>
      <c r="L31" s="64">
        <v>10.46</v>
      </c>
      <c r="M31" s="64">
        <v>90.09</v>
      </c>
      <c r="N31" s="64">
        <v>73.2</v>
      </c>
      <c r="O31" s="64">
        <v>0</v>
      </c>
      <c r="P31" s="64">
        <v>1.59</v>
      </c>
      <c r="Q31" s="64">
        <v>4.5599999999999996</v>
      </c>
      <c r="R31" s="198"/>
      <c r="S31" s="198"/>
      <c r="T31" s="198"/>
      <c r="U31" s="198"/>
    </row>
    <row r="32" spans="1:21" s="12" customFormat="1" x14ac:dyDescent="0.25">
      <c r="A32" s="214" t="s">
        <v>2287</v>
      </c>
      <c r="B32" s="64">
        <v>82.59</v>
      </c>
      <c r="C32" s="64">
        <v>77.13</v>
      </c>
      <c r="D32" s="64">
        <v>109.45</v>
      </c>
      <c r="E32" s="64">
        <v>0.79</v>
      </c>
      <c r="F32" s="64">
        <v>3.39</v>
      </c>
      <c r="G32" s="64">
        <v>183.65</v>
      </c>
      <c r="H32" s="64">
        <v>91.67</v>
      </c>
      <c r="I32" s="64">
        <v>1.38</v>
      </c>
      <c r="J32" s="64">
        <v>0.03</v>
      </c>
      <c r="K32" s="64">
        <v>291.87</v>
      </c>
      <c r="L32" s="64">
        <v>10.25</v>
      </c>
      <c r="M32" s="64">
        <v>90.73</v>
      </c>
      <c r="N32" s="64">
        <v>68.900000000000006</v>
      </c>
      <c r="O32" s="64">
        <v>0</v>
      </c>
      <c r="P32" s="64">
        <v>1.42</v>
      </c>
      <c r="Q32" s="64">
        <v>6.44</v>
      </c>
      <c r="R32" s="198"/>
      <c r="S32" s="198"/>
      <c r="T32" s="198"/>
      <c r="U32" s="198"/>
    </row>
    <row r="33" spans="1:21" s="12" customFormat="1" x14ac:dyDescent="0.25">
      <c r="A33" s="214" t="s">
        <v>2288</v>
      </c>
      <c r="B33" s="64">
        <v>83.25</v>
      </c>
      <c r="C33" s="64">
        <v>76.63</v>
      </c>
      <c r="D33" s="64">
        <v>109.7</v>
      </c>
      <c r="E33" s="64">
        <v>0.63</v>
      </c>
      <c r="F33" s="64">
        <v>3.38</v>
      </c>
      <c r="G33" s="64">
        <v>183.65</v>
      </c>
      <c r="H33" s="64">
        <v>91.67</v>
      </c>
      <c r="I33" s="64">
        <v>1.49</v>
      </c>
      <c r="J33" s="64">
        <v>7.0000000000000007E-2</v>
      </c>
      <c r="K33" s="64">
        <v>181.81</v>
      </c>
      <c r="L33" s="64">
        <v>10.16</v>
      </c>
      <c r="M33" s="64">
        <v>90.13</v>
      </c>
      <c r="N33" s="64">
        <v>52.7</v>
      </c>
      <c r="O33" s="64">
        <v>0</v>
      </c>
      <c r="P33" s="64">
        <v>1.25</v>
      </c>
      <c r="Q33" s="64">
        <v>10.75</v>
      </c>
      <c r="R33" s="198"/>
      <c r="S33" s="198"/>
      <c r="T33" s="198"/>
      <c r="U33" s="198"/>
    </row>
    <row r="34" spans="1:21" s="12" customFormat="1" x14ac:dyDescent="0.25">
      <c r="A34" s="214" t="s">
        <v>2289</v>
      </c>
      <c r="B34" s="64">
        <v>81.56</v>
      </c>
      <c r="C34" s="64">
        <v>75.760000000000005</v>
      </c>
      <c r="D34" s="64">
        <v>107.86</v>
      </c>
      <c r="E34" s="64">
        <v>0.56999999999999995</v>
      </c>
      <c r="F34" s="64">
        <v>3.68</v>
      </c>
      <c r="G34" s="64">
        <v>183.65</v>
      </c>
      <c r="H34" s="64">
        <v>91.67</v>
      </c>
      <c r="I34" s="64">
        <v>1.48</v>
      </c>
      <c r="J34" s="64">
        <v>0.09</v>
      </c>
      <c r="K34" s="64">
        <v>207.1</v>
      </c>
      <c r="L34" s="64">
        <v>9.77</v>
      </c>
      <c r="M34" s="64">
        <v>90.34</v>
      </c>
      <c r="N34" s="64">
        <v>54.3</v>
      </c>
      <c r="O34" s="64">
        <v>0</v>
      </c>
      <c r="P34" s="64">
        <v>1.17</v>
      </c>
      <c r="Q34" s="64">
        <v>13.16</v>
      </c>
      <c r="R34" s="198"/>
      <c r="S34" s="198"/>
      <c r="T34" s="198"/>
      <c r="U34" s="198"/>
    </row>
    <row r="35" spans="1:21" s="12" customFormat="1" x14ac:dyDescent="0.25">
      <c r="A35" s="214" t="s">
        <v>2290</v>
      </c>
      <c r="B35" s="64">
        <v>79.44</v>
      </c>
      <c r="C35" s="64">
        <v>74.84</v>
      </c>
      <c r="D35" s="64">
        <v>105.65</v>
      </c>
      <c r="E35" s="64">
        <v>0.68</v>
      </c>
      <c r="F35" s="64">
        <v>3.74</v>
      </c>
      <c r="G35" s="64">
        <v>179.76</v>
      </c>
      <c r="H35" s="64">
        <v>93.44</v>
      </c>
      <c r="I35" s="64">
        <v>1.48</v>
      </c>
      <c r="J35" s="64">
        <v>0.2</v>
      </c>
      <c r="K35" s="64">
        <v>213.08</v>
      </c>
      <c r="L35" s="64">
        <v>9.9499999999999993</v>
      </c>
      <c r="M35" s="64">
        <v>89.19</v>
      </c>
      <c r="N35" s="64">
        <v>59.6</v>
      </c>
      <c r="O35" s="64">
        <v>0</v>
      </c>
      <c r="P35" s="64">
        <v>1.17</v>
      </c>
      <c r="Q35" s="64">
        <v>12.17</v>
      </c>
      <c r="R35" s="198"/>
      <c r="S35" s="198"/>
      <c r="T35" s="198"/>
      <c r="U35" s="198"/>
    </row>
    <row r="36" spans="1:21" s="12" customFormat="1" x14ac:dyDescent="0.25">
      <c r="A36" s="214" t="s">
        <v>2291</v>
      </c>
      <c r="B36" s="64">
        <v>78.66</v>
      </c>
      <c r="C36" s="64">
        <v>74.52</v>
      </c>
      <c r="D36" s="64">
        <v>104.85</v>
      </c>
      <c r="E36" s="64">
        <v>0.62</v>
      </c>
      <c r="F36" s="64">
        <v>3.41</v>
      </c>
      <c r="G36" s="64">
        <v>164.17</v>
      </c>
      <c r="H36" s="64">
        <v>98.27</v>
      </c>
      <c r="I36" s="64">
        <v>1.5</v>
      </c>
      <c r="J36" s="64">
        <v>0.1</v>
      </c>
      <c r="K36" s="64">
        <v>239.32</v>
      </c>
      <c r="L36" s="64">
        <v>10.26</v>
      </c>
      <c r="M36" s="64">
        <v>87.56</v>
      </c>
      <c r="N36" s="64">
        <v>73.099999999999994</v>
      </c>
      <c r="O36" s="64">
        <v>0</v>
      </c>
      <c r="P36" s="64">
        <v>1.1200000000000001</v>
      </c>
      <c r="Q36" s="64">
        <v>11.52</v>
      </c>
      <c r="R36" s="198"/>
      <c r="S36" s="198"/>
      <c r="T36" s="198"/>
      <c r="U36" s="198"/>
    </row>
    <row r="37" spans="1:21" s="12" customFormat="1" x14ac:dyDescent="0.25">
      <c r="A37" s="214" t="s">
        <v>2292</v>
      </c>
      <c r="B37" s="64">
        <v>78.53</v>
      </c>
      <c r="C37" s="64">
        <v>74.22</v>
      </c>
      <c r="D37" s="64">
        <v>104.58</v>
      </c>
      <c r="E37" s="64">
        <v>0.69</v>
      </c>
      <c r="F37" s="64">
        <v>3.61</v>
      </c>
      <c r="G37" s="64">
        <v>164.17</v>
      </c>
      <c r="H37" s="64">
        <v>98.27</v>
      </c>
      <c r="I37" s="64">
        <v>1.47</v>
      </c>
      <c r="J37" s="64">
        <v>0.01</v>
      </c>
      <c r="K37" s="64">
        <v>274.16000000000003</v>
      </c>
      <c r="L37" s="64">
        <v>10.54</v>
      </c>
      <c r="M37" s="64">
        <v>88.41</v>
      </c>
      <c r="N37" s="64">
        <v>90.2</v>
      </c>
      <c r="O37" s="64">
        <v>0</v>
      </c>
      <c r="P37" s="64">
        <v>1.46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4" t="s">
        <v>2293</v>
      </c>
      <c r="B38" s="64">
        <v>80.83</v>
      </c>
      <c r="C38" s="64">
        <v>74.28</v>
      </c>
      <c r="D38" s="64">
        <v>106.45</v>
      </c>
      <c r="E38" s="64">
        <v>0.75</v>
      </c>
      <c r="F38" s="64">
        <v>3.56</v>
      </c>
      <c r="G38" s="64">
        <v>164.17</v>
      </c>
      <c r="H38" s="64">
        <v>98.27</v>
      </c>
      <c r="I38" s="64">
        <v>1.48</v>
      </c>
      <c r="J38" s="64">
        <v>0.11</v>
      </c>
      <c r="K38" s="64">
        <v>216.54</v>
      </c>
      <c r="L38" s="64">
        <v>11.1</v>
      </c>
      <c r="M38" s="64">
        <v>85.1</v>
      </c>
      <c r="N38" s="64">
        <v>109.2</v>
      </c>
      <c r="O38" s="64">
        <v>0</v>
      </c>
      <c r="P38" s="64">
        <v>1.44</v>
      </c>
      <c r="Q38" s="64">
        <v>7.22</v>
      </c>
      <c r="R38" s="198"/>
      <c r="S38" s="198"/>
      <c r="T38" s="198"/>
      <c r="U38" s="198"/>
    </row>
    <row r="39" spans="1:21" s="12" customFormat="1" x14ac:dyDescent="0.25">
      <c r="A39" s="214" t="s">
        <v>2294</v>
      </c>
      <c r="B39" s="64">
        <v>81.23</v>
      </c>
      <c r="C39" s="64">
        <v>74.239999999999995</v>
      </c>
      <c r="D39" s="64">
        <v>106.75</v>
      </c>
      <c r="E39" s="64">
        <v>0.71</v>
      </c>
      <c r="F39" s="64">
        <v>3.15</v>
      </c>
      <c r="G39" s="64">
        <v>172.63</v>
      </c>
      <c r="H39" s="64">
        <v>97.43</v>
      </c>
      <c r="I39" s="64">
        <v>1.43</v>
      </c>
      <c r="J39" s="64">
        <v>0.28000000000000003</v>
      </c>
      <c r="K39" s="64">
        <v>162.46</v>
      </c>
      <c r="L39" s="64">
        <v>12.05</v>
      </c>
      <c r="M39" s="64">
        <v>80.67</v>
      </c>
      <c r="N39" s="64">
        <v>190.7</v>
      </c>
      <c r="O39" s="64">
        <v>0</v>
      </c>
      <c r="P39" s="64">
        <v>1.31</v>
      </c>
      <c r="Q39" s="64">
        <v>9.99</v>
      </c>
      <c r="R39" s="198"/>
      <c r="S39" s="198"/>
      <c r="T39" s="198"/>
      <c r="U39" s="198"/>
    </row>
    <row r="40" spans="1:21" s="12" customFormat="1" x14ac:dyDescent="0.25">
      <c r="A40" s="214" t="s">
        <v>2295</v>
      </c>
      <c r="B40" s="64">
        <v>80.2</v>
      </c>
      <c r="C40" s="64">
        <v>74.63</v>
      </c>
      <c r="D40" s="64">
        <v>106.15</v>
      </c>
      <c r="E40" s="64">
        <v>0.35</v>
      </c>
      <c r="F40" s="64">
        <v>3.41</v>
      </c>
      <c r="G40" s="64">
        <v>206.47</v>
      </c>
      <c r="H40" s="64">
        <v>95.17</v>
      </c>
      <c r="I40" s="64">
        <v>1.48</v>
      </c>
      <c r="J40" s="64">
        <v>0.67</v>
      </c>
      <c r="K40" s="64">
        <v>155.59</v>
      </c>
      <c r="L40" s="64">
        <v>13.42</v>
      </c>
      <c r="M40" s="64">
        <v>73.09</v>
      </c>
      <c r="N40" s="64">
        <v>270</v>
      </c>
      <c r="O40" s="64">
        <v>0</v>
      </c>
      <c r="P40" s="64">
        <v>1.42</v>
      </c>
      <c r="Q40" s="64">
        <v>11.56</v>
      </c>
      <c r="R40" s="198"/>
      <c r="S40" s="198"/>
      <c r="T40" s="198"/>
      <c r="U40" s="198"/>
    </row>
    <row r="41" spans="1:21" s="12" customFormat="1" x14ac:dyDescent="0.25">
      <c r="A41" s="214" t="s">
        <v>2296</v>
      </c>
      <c r="B41" s="64">
        <v>76.959999999999994</v>
      </c>
      <c r="C41" s="64">
        <v>75.56</v>
      </c>
      <c r="D41" s="64">
        <v>104.06</v>
      </c>
      <c r="E41" s="64">
        <v>0.56000000000000005</v>
      </c>
      <c r="F41" s="64">
        <v>3.66</v>
      </c>
      <c r="G41" s="64">
        <v>206.47</v>
      </c>
      <c r="H41" s="64">
        <v>95.17</v>
      </c>
      <c r="I41" s="64">
        <v>1.49</v>
      </c>
      <c r="J41" s="64">
        <v>0.4</v>
      </c>
      <c r="K41" s="64">
        <v>152.08000000000001</v>
      </c>
      <c r="L41" s="64">
        <v>14.64</v>
      </c>
      <c r="M41" s="64">
        <v>65.569999999999993</v>
      </c>
      <c r="N41" s="64">
        <v>299.89999999999998</v>
      </c>
      <c r="O41" s="64">
        <v>0</v>
      </c>
      <c r="P41" s="64">
        <v>1.45</v>
      </c>
      <c r="Q41" s="64">
        <v>14.36</v>
      </c>
      <c r="R41" s="198"/>
      <c r="S41" s="198"/>
      <c r="T41" s="198"/>
      <c r="U41" s="198"/>
    </row>
    <row r="42" spans="1:21" s="12" customFormat="1" x14ac:dyDescent="0.25">
      <c r="A42" s="214" t="s">
        <v>2297</v>
      </c>
      <c r="B42" s="64">
        <v>72.510000000000005</v>
      </c>
      <c r="C42" s="64">
        <v>76.67</v>
      </c>
      <c r="D42" s="64">
        <v>101.11</v>
      </c>
      <c r="E42" s="64">
        <v>0.56999999999999995</v>
      </c>
      <c r="F42" s="64">
        <v>3.76</v>
      </c>
      <c r="G42" s="64">
        <v>206.47</v>
      </c>
      <c r="H42" s="64">
        <v>95.17</v>
      </c>
      <c r="I42" s="64">
        <v>1.54</v>
      </c>
      <c r="J42" s="64">
        <v>0.09</v>
      </c>
      <c r="K42" s="64">
        <v>158.52000000000001</v>
      </c>
      <c r="L42" s="64">
        <v>15.66</v>
      </c>
      <c r="M42" s="64">
        <v>60.63</v>
      </c>
      <c r="N42" s="64">
        <v>334</v>
      </c>
      <c r="O42" s="64">
        <v>0</v>
      </c>
      <c r="P42" s="64">
        <v>1.36</v>
      </c>
      <c r="Q42" s="64">
        <v>14.72</v>
      </c>
      <c r="R42" s="198"/>
      <c r="S42" s="198"/>
      <c r="T42" s="198"/>
      <c r="U42" s="198"/>
    </row>
    <row r="43" spans="1:21" s="12" customFormat="1" x14ac:dyDescent="0.25">
      <c r="A43" s="214" t="s">
        <v>2298</v>
      </c>
      <c r="B43" s="64">
        <v>67.34</v>
      </c>
      <c r="C43" s="64">
        <v>77.77</v>
      </c>
      <c r="D43" s="64">
        <v>97.57</v>
      </c>
      <c r="E43" s="64">
        <v>0.49</v>
      </c>
      <c r="F43" s="64">
        <v>3.85</v>
      </c>
      <c r="G43" s="64">
        <v>202.75</v>
      </c>
      <c r="H43" s="64">
        <v>94.86</v>
      </c>
      <c r="I43" s="64">
        <v>1.48</v>
      </c>
      <c r="J43" s="64">
        <v>0.27</v>
      </c>
      <c r="K43" s="64">
        <v>143.66999999999999</v>
      </c>
      <c r="L43" s="64">
        <v>16.82</v>
      </c>
      <c r="M43" s="64">
        <v>54.71</v>
      </c>
      <c r="N43" s="64">
        <v>378.8</v>
      </c>
      <c r="O43" s="64">
        <v>0</v>
      </c>
      <c r="P43" s="64">
        <v>1.34</v>
      </c>
      <c r="Q43" s="64">
        <v>15.03</v>
      </c>
      <c r="R43" s="198"/>
      <c r="S43" s="198"/>
      <c r="T43" s="198"/>
      <c r="U43" s="198"/>
    </row>
    <row r="44" spans="1:21" s="12" customFormat="1" x14ac:dyDescent="0.25">
      <c r="A44" s="214" t="s">
        <v>2299</v>
      </c>
      <c r="B44" s="64">
        <v>62.55</v>
      </c>
      <c r="C44" s="64">
        <v>79.23</v>
      </c>
      <c r="D44" s="64">
        <v>94.54</v>
      </c>
      <c r="E44" s="64">
        <v>0.47</v>
      </c>
      <c r="F44" s="64">
        <v>3.88</v>
      </c>
      <c r="G44" s="64">
        <v>187.88</v>
      </c>
      <c r="H44" s="64">
        <v>93.52</v>
      </c>
      <c r="I44" s="64">
        <v>1.58</v>
      </c>
      <c r="J44" s="64">
        <v>0.5</v>
      </c>
      <c r="K44" s="64">
        <v>106.61</v>
      </c>
      <c r="L44" s="64">
        <v>17.7</v>
      </c>
      <c r="M44" s="64">
        <v>48.45</v>
      </c>
      <c r="N44" s="64">
        <v>420.2</v>
      </c>
      <c r="O44" s="64">
        <v>0</v>
      </c>
      <c r="P44" s="64">
        <v>1.27</v>
      </c>
      <c r="Q44" s="64">
        <v>13.8</v>
      </c>
      <c r="R44" s="198"/>
      <c r="S44" s="198"/>
      <c r="T44" s="198"/>
      <c r="U44" s="198"/>
    </row>
    <row r="45" spans="1:21" s="12" customFormat="1" x14ac:dyDescent="0.25">
      <c r="A45" s="214" t="s">
        <v>2300</v>
      </c>
      <c r="B45" s="64">
        <v>57.33</v>
      </c>
      <c r="C45" s="64">
        <v>80.540000000000006</v>
      </c>
      <c r="D45" s="64">
        <v>91.07</v>
      </c>
      <c r="E45" s="64">
        <v>0.48</v>
      </c>
      <c r="F45" s="64">
        <v>4.04</v>
      </c>
      <c r="G45" s="64">
        <v>187.88</v>
      </c>
      <c r="H45" s="64">
        <v>93.52</v>
      </c>
      <c r="I45" s="64">
        <v>1.51</v>
      </c>
      <c r="J45" s="64">
        <v>0.62</v>
      </c>
      <c r="K45" s="64">
        <v>106.69</v>
      </c>
      <c r="L45" s="64">
        <v>17.600000000000001</v>
      </c>
      <c r="M45" s="64">
        <v>47.02</v>
      </c>
      <c r="N45" s="64">
        <v>460.2</v>
      </c>
      <c r="O45" s="64">
        <v>0</v>
      </c>
      <c r="P45" s="64">
        <v>1.1599999999999999</v>
      </c>
      <c r="Q45" s="64">
        <v>12.8</v>
      </c>
      <c r="R45" s="198"/>
      <c r="S45" s="198"/>
      <c r="T45" s="198"/>
      <c r="U45" s="198"/>
    </row>
    <row r="46" spans="1:21" s="12" customFormat="1" x14ac:dyDescent="0.25">
      <c r="A46" s="214" t="s">
        <v>2301</v>
      </c>
      <c r="B46" s="64">
        <v>51.67</v>
      </c>
      <c r="C46" s="64">
        <v>82.32</v>
      </c>
      <c r="D46" s="64">
        <v>87.51</v>
      </c>
      <c r="E46" s="64">
        <v>0.46</v>
      </c>
      <c r="F46" s="64">
        <v>4.82</v>
      </c>
      <c r="G46" s="64">
        <v>187.88</v>
      </c>
      <c r="H46" s="64">
        <v>93.52</v>
      </c>
      <c r="I46" s="64">
        <v>1.42</v>
      </c>
      <c r="J46" s="64">
        <v>0.55000000000000004</v>
      </c>
      <c r="K46" s="64">
        <v>116.3</v>
      </c>
      <c r="L46" s="64">
        <v>18.96</v>
      </c>
      <c r="M46" s="64">
        <v>41.86</v>
      </c>
      <c r="N46" s="64">
        <v>495</v>
      </c>
      <c r="O46" s="64">
        <v>0</v>
      </c>
      <c r="P46" s="64">
        <v>1.1100000000000001</v>
      </c>
      <c r="Q46" s="64">
        <v>12.25</v>
      </c>
      <c r="R46" s="198"/>
      <c r="S46" s="198"/>
      <c r="T46" s="198"/>
      <c r="U46" s="198"/>
    </row>
    <row r="47" spans="1:21" s="12" customFormat="1" x14ac:dyDescent="0.25">
      <c r="A47" s="214" t="s">
        <v>2302</v>
      </c>
      <c r="B47" s="64">
        <v>45.81</v>
      </c>
      <c r="C47" s="64">
        <v>83.77</v>
      </c>
      <c r="D47" s="64">
        <v>83.61</v>
      </c>
      <c r="E47" s="64">
        <v>0.43</v>
      </c>
      <c r="F47" s="64">
        <v>4.87</v>
      </c>
      <c r="G47" s="64">
        <v>177.17</v>
      </c>
      <c r="H47" s="64">
        <v>88.27</v>
      </c>
      <c r="I47" s="64">
        <v>1.46</v>
      </c>
      <c r="J47" s="64">
        <v>1</v>
      </c>
      <c r="K47" s="64">
        <v>102.38</v>
      </c>
      <c r="L47" s="64">
        <v>18.79</v>
      </c>
      <c r="M47" s="64">
        <v>42.1</v>
      </c>
      <c r="N47" s="64">
        <v>490.7</v>
      </c>
      <c r="O47" s="64">
        <v>0</v>
      </c>
      <c r="P47" s="64">
        <v>1.1200000000000001</v>
      </c>
      <c r="Q47" s="64">
        <v>11.52</v>
      </c>
      <c r="R47" s="198"/>
      <c r="S47" s="198"/>
      <c r="T47" s="198"/>
      <c r="U47" s="198"/>
    </row>
    <row r="48" spans="1:21" s="12" customFormat="1" x14ac:dyDescent="0.25">
      <c r="A48" s="214" t="s">
        <v>2303</v>
      </c>
      <c r="B48" s="64">
        <v>39.56</v>
      </c>
      <c r="C48" s="64">
        <v>84.99</v>
      </c>
      <c r="D48" s="64">
        <v>79.28</v>
      </c>
      <c r="E48" s="64">
        <v>0.37</v>
      </c>
      <c r="F48" s="64">
        <v>6.06</v>
      </c>
      <c r="G48" s="64">
        <v>134.32</v>
      </c>
      <c r="H48" s="64">
        <v>74</v>
      </c>
      <c r="I48" s="64">
        <v>1.5</v>
      </c>
      <c r="J48" s="64">
        <v>0.66</v>
      </c>
      <c r="K48" s="64">
        <v>104.56</v>
      </c>
      <c r="L48" s="64">
        <v>19.489999999999998</v>
      </c>
      <c r="M48" s="64">
        <v>40.479999999999997</v>
      </c>
      <c r="N48" s="64">
        <v>530.1</v>
      </c>
      <c r="O48" s="64">
        <v>0</v>
      </c>
      <c r="P48" s="64">
        <v>1.03</v>
      </c>
      <c r="Q48" s="64">
        <v>11.2</v>
      </c>
      <c r="R48" s="198"/>
      <c r="S48" s="198"/>
      <c r="T48" s="198"/>
      <c r="U48" s="198"/>
    </row>
    <row r="49" spans="1:21" s="12" customFormat="1" x14ac:dyDescent="0.25">
      <c r="A49" s="214" t="s">
        <v>2304</v>
      </c>
      <c r="B49" s="64">
        <v>33.51</v>
      </c>
      <c r="C49" s="64">
        <v>86.14</v>
      </c>
      <c r="D49" s="64">
        <v>75.06</v>
      </c>
      <c r="E49" s="64">
        <v>0.55000000000000004</v>
      </c>
      <c r="F49" s="64">
        <v>7.58</v>
      </c>
      <c r="G49" s="64">
        <v>134.32</v>
      </c>
      <c r="H49" s="64">
        <v>74</v>
      </c>
      <c r="I49" s="64">
        <v>1.55</v>
      </c>
      <c r="J49" s="64">
        <v>0.7</v>
      </c>
      <c r="K49" s="64">
        <v>110.54</v>
      </c>
      <c r="L49" s="64">
        <v>21.01</v>
      </c>
      <c r="M49" s="64">
        <v>37.01</v>
      </c>
      <c r="N49" s="64">
        <v>557</v>
      </c>
      <c r="O49" s="64">
        <v>0</v>
      </c>
      <c r="P49" s="64">
        <v>1.01</v>
      </c>
      <c r="Q49" s="64">
        <v>10.58</v>
      </c>
      <c r="R49" s="198"/>
      <c r="S49" s="198"/>
      <c r="T49" s="198"/>
      <c r="U49" s="198"/>
    </row>
    <row r="50" spans="1:21" s="12" customFormat="1" x14ac:dyDescent="0.25">
      <c r="A50" s="214" t="s">
        <v>2305</v>
      </c>
      <c r="B50" s="64">
        <v>13.49</v>
      </c>
      <c r="C50" s="64">
        <v>80.430000000000007</v>
      </c>
      <c r="D50" s="64">
        <v>55.85</v>
      </c>
      <c r="E50" s="64">
        <v>0.76</v>
      </c>
      <c r="F50" s="64">
        <v>13.62</v>
      </c>
      <c r="G50" s="64">
        <v>134.32</v>
      </c>
      <c r="H50" s="64">
        <v>74</v>
      </c>
      <c r="I50" s="64">
        <v>1.5</v>
      </c>
      <c r="J50" s="64">
        <v>0.92</v>
      </c>
      <c r="K50" s="64">
        <v>120.68</v>
      </c>
      <c r="L50" s="64">
        <v>20.61</v>
      </c>
      <c r="M50" s="64">
        <v>37.07</v>
      </c>
      <c r="N50" s="64">
        <v>601.20000000000005</v>
      </c>
      <c r="O50" s="64">
        <v>0</v>
      </c>
      <c r="P50" s="64">
        <v>0.62</v>
      </c>
      <c r="Q50" s="64">
        <v>10.029999999999999</v>
      </c>
      <c r="R50" s="198"/>
      <c r="S50" s="198"/>
      <c r="T50" s="198"/>
      <c r="U50" s="198"/>
    </row>
    <row r="51" spans="1:21" s="12" customFormat="1" x14ac:dyDescent="0.25">
      <c r="A51" s="214" t="s">
        <v>2306</v>
      </c>
      <c r="B51" s="64">
        <v>2.11</v>
      </c>
      <c r="C51" s="64">
        <v>59.12</v>
      </c>
      <c r="D51" s="64">
        <v>34.97</v>
      </c>
      <c r="E51" s="64">
        <v>1.21</v>
      </c>
      <c r="F51" s="64">
        <v>20.05</v>
      </c>
      <c r="G51" s="64">
        <v>119.51</v>
      </c>
      <c r="H51" s="64">
        <v>67.900000000000006</v>
      </c>
      <c r="I51" s="64">
        <v>1.52</v>
      </c>
      <c r="J51" s="64">
        <v>0.93</v>
      </c>
      <c r="K51" s="64">
        <v>124.27</v>
      </c>
      <c r="L51" s="64">
        <v>21.47</v>
      </c>
      <c r="M51" s="64">
        <v>33.93</v>
      </c>
      <c r="N51" s="64">
        <v>592</v>
      </c>
      <c r="O51" s="64">
        <v>0</v>
      </c>
      <c r="P51" s="64">
        <v>0.48</v>
      </c>
      <c r="Q51" s="64">
        <v>6.96</v>
      </c>
      <c r="R51" s="198"/>
      <c r="S51" s="198"/>
      <c r="T51" s="198"/>
      <c r="U51" s="198"/>
    </row>
    <row r="52" spans="1:21" s="12" customFormat="1" x14ac:dyDescent="0.25">
      <c r="A52" s="214" t="s">
        <v>2307</v>
      </c>
      <c r="B52" s="64">
        <v>3</v>
      </c>
      <c r="C52" s="64">
        <v>63.16</v>
      </c>
      <c r="D52" s="64">
        <v>37.909999999999997</v>
      </c>
      <c r="E52" s="64">
        <v>1.59</v>
      </c>
      <c r="F52" s="64">
        <v>17.79</v>
      </c>
      <c r="G52" s="64">
        <v>60.29</v>
      </c>
      <c r="H52" s="64">
        <v>51.32</v>
      </c>
      <c r="I52" s="64">
        <v>1.46</v>
      </c>
      <c r="J52" s="64">
        <v>0.57999999999999996</v>
      </c>
      <c r="K52" s="64">
        <v>99.41</v>
      </c>
      <c r="L52" s="64">
        <v>22.08</v>
      </c>
      <c r="M52" s="64">
        <v>33.119999999999997</v>
      </c>
      <c r="N52" s="64">
        <v>605.9</v>
      </c>
      <c r="O52" s="64">
        <v>0</v>
      </c>
      <c r="P52" s="64">
        <v>0.67</v>
      </c>
      <c r="Q52" s="64">
        <v>3.86</v>
      </c>
      <c r="R52" s="198"/>
      <c r="S52" s="198"/>
      <c r="T52" s="198"/>
      <c r="U52" s="198"/>
    </row>
    <row r="53" spans="1:21" s="12" customFormat="1" x14ac:dyDescent="0.25">
      <c r="A53" s="214" t="s">
        <v>2308</v>
      </c>
      <c r="B53" s="64">
        <v>1.97</v>
      </c>
      <c r="C53" s="64">
        <v>59.94</v>
      </c>
      <c r="D53" s="64">
        <v>35.31</v>
      </c>
      <c r="E53" s="64">
        <v>1.43</v>
      </c>
      <c r="F53" s="64">
        <v>22.98</v>
      </c>
      <c r="G53" s="64">
        <v>60.29</v>
      </c>
      <c r="H53" s="64">
        <v>51.32</v>
      </c>
      <c r="I53" s="64">
        <v>1.52</v>
      </c>
      <c r="J53" s="64">
        <v>0.9</v>
      </c>
      <c r="K53" s="64">
        <v>112.06</v>
      </c>
      <c r="L53" s="64">
        <v>21.72</v>
      </c>
      <c r="M53" s="64">
        <v>32.79</v>
      </c>
      <c r="N53" s="64">
        <v>625.9</v>
      </c>
      <c r="O53" s="64">
        <v>0</v>
      </c>
      <c r="P53" s="64">
        <v>0.46</v>
      </c>
      <c r="Q53" s="64">
        <v>3.61</v>
      </c>
      <c r="R53" s="198"/>
      <c r="S53" s="198"/>
      <c r="T53" s="198"/>
      <c r="U53" s="198"/>
    </row>
    <row r="54" spans="1:21" s="12" customFormat="1" x14ac:dyDescent="0.25">
      <c r="A54" s="214" t="s">
        <v>2309</v>
      </c>
      <c r="B54" s="64">
        <v>1.35</v>
      </c>
      <c r="C54" s="64">
        <v>49.82</v>
      </c>
      <c r="D54" s="64">
        <v>29.22</v>
      </c>
      <c r="E54" s="64">
        <v>2.42</v>
      </c>
      <c r="F54" s="64">
        <v>26.41</v>
      </c>
      <c r="G54" s="64">
        <v>60.29</v>
      </c>
      <c r="H54" s="64">
        <v>51.32</v>
      </c>
      <c r="I54" s="64">
        <v>1.52</v>
      </c>
      <c r="J54" s="64">
        <v>0.28000000000000003</v>
      </c>
      <c r="K54" s="64">
        <v>51.72</v>
      </c>
      <c r="L54" s="64">
        <v>23.05</v>
      </c>
      <c r="M54" s="64">
        <v>31.2</v>
      </c>
      <c r="N54" s="64">
        <v>626.9</v>
      </c>
      <c r="O54" s="64">
        <v>0</v>
      </c>
      <c r="P54" s="64">
        <v>0.6</v>
      </c>
      <c r="Q54" s="64">
        <v>3.11</v>
      </c>
      <c r="R54" s="198"/>
      <c r="S54" s="198"/>
      <c r="T54" s="198"/>
      <c r="U54" s="198"/>
    </row>
    <row r="55" spans="1:21" s="12" customFormat="1" x14ac:dyDescent="0.25">
      <c r="A55" s="214" t="s">
        <v>2310</v>
      </c>
      <c r="B55" s="64">
        <v>1.4</v>
      </c>
      <c r="C55" s="64">
        <v>51.77</v>
      </c>
      <c r="D55" s="64">
        <v>30.34</v>
      </c>
      <c r="E55" s="64">
        <v>1.7</v>
      </c>
      <c r="F55" s="64">
        <v>23.65</v>
      </c>
      <c r="G55" s="64">
        <v>69.13</v>
      </c>
      <c r="H55" s="64">
        <v>51.62</v>
      </c>
      <c r="I55" s="64">
        <v>1.47</v>
      </c>
      <c r="J55" s="64">
        <v>0.68</v>
      </c>
      <c r="K55" s="64">
        <v>123.45</v>
      </c>
      <c r="L55" s="64">
        <v>23.36</v>
      </c>
      <c r="M55" s="64">
        <v>30.72</v>
      </c>
      <c r="N55" s="64">
        <v>657</v>
      </c>
      <c r="O55" s="64">
        <v>0</v>
      </c>
      <c r="P55" s="64">
        <v>0.54</v>
      </c>
      <c r="Q55" s="64">
        <v>3</v>
      </c>
      <c r="R55" s="198"/>
      <c r="S55" s="198"/>
      <c r="T55" s="198"/>
      <c r="U55" s="198"/>
    </row>
    <row r="56" spans="1:21" s="12" customFormat="1" x14ac:dyDescent="0.25">
      <c r="A56" s="214" t="s">
        <v>2311</v>
      </c>
      <c r="B56" s="64">
        <v>1.56</v>
      </c>
      <c r="C56" s="64">
        <v>53.06</v>
      </c>
      <c r="D56" s="64">
        <v>31.18</v>
      </c>
      <c r="E56" s="64">
        <v>1.31</v>
      </c>
      <c r="F56" s="64">
        <v>20.5</v>
      </c>
      <c r="G56" s="64">
        <v>102.14</v>
      </c>
      <c r="H56" s="64">
        <v>52.44</v>
      </c>
      <c r="I56" s="64">
        <v>1.48</v>
      </c>
      <c r="J56" s="64">
        <v>0.68</v>
      </c>
      <c r="K56" s="64">
        <v>118.06</v>
      </c>
      <c r="L56" s="64">
        <v>22.8</v>
      </c>
      <c r="M56" s="64">
        <v>31.92</v>
      </c>
      <c r="N56" s="64">
        <v>670</v>
      </c>
      <c r="O56" s="64">
        <v>0</v>
      </c>
      <c r="P56" s="64">
        <v>0.51</v>
      </c>
      <c r="Q56" s="64">
        <v>3.52</v>
      </c>
      <c r="R56" s="198"/>
      <c r="S56" s="198"/>
      <c r="T56" s="198"/>
      <c r="U56" s="198"/>
    </row>
    <row r="57" spans="1:21" s="12" customFormat="1" x14ac:dyDescent="0.25">
      <c r="A57" s="214" t="s">
        <v>2312</v>
      </c>
      <c r="B57" s="64">
        <v>2</v>
      </c>
      <c r="C57" s="64">
        <v>55.32</v>
      </c>
      <c r="D57" s="64">
        <v>32.78</v>
      </c>
      <c r="E57" s="64">
        <v>3.08</v>
      </c>
      <c r="F57" s="64">
        <v>33.07</v>
      </c>
      <c r="G57" s="64">
        <v>102.14</v>
      </c>
      <c r="H57" s="64">
        <v>52.44</v>
      </c>
      <c r="I57" s="64">
        <v>1.49</v>
      </c>
      <c r="J57" s="64">
        <v>0.48</v>
      </c>
      <c r="K57" s="64">
        <v>342.5</v>
      </c>
      <c r="L57" s="64">
        <v>25.42</v>
      </c>
      <c r="M57" s="64">
        <v>26.87</v>
      </c>
      <c r="N57" s="64">
        <v>649.1</v>
      </c>
      <c r="O57" s="64">
        <v>0</v>
      </c>
      <c r="P57" s="64">
        <v>0.72</v>
      </c>
      <c r="Q57" s="64">
        <v>1.83</v>
      </c>
      <c r="R57" s="198"/>
      <c r="S57" s="198"/>
      <c r="T57" s="198"/>
      <c r="U57" s="198"/>
    </row>
    <row r="58" spans="1:21" s="12" customFormat="1" x14ac:dyDescent="0.25">
      <c r="A58" s="214" t="s">
        <v>2313</v>
      </c>
      <c r="B58" s="64">
        <v>2.46</v>
      </c>
      <c r="C58" s="64">
        <v>58.27</v>
      </c>
      <c r="D58" s="64">
        <v>34.78</v>
      </c>
      <c r="E58" s="64">
        <v>3.04</v>
      </c>
      <c r="F58" s="64">
        <v>32.36</v>
      </c>
      <c r="G58" s="64">
        <v>102.14</v>
      </c>
      <c r="H58" s="64">
        <v>52.44</v>
      </c>
      <c r="I58" s="64">
        <v>1.56</v>
      </c>
      <c r="J58" s="64">
        <v>0.38</v>
      </c>
      <c r="K58" s="64">
        <v>58.42</v>
      </c>
      <c r="L58" s="64">
        <v>25.01</v>
      </c>
      <c r="M58" s="64">
        <v>27.78</v>
      </c>
      <c r="N58" s="64">
        <v>648.79999999999995</v>
      </c>
      <c r="O58" s="64">
        <v>0</v>
      </c>
      <c r="P58" s="64">
        <v>0.6</v>
      </c>
      <c r="Q58" s="64">
        <v>2.21</v>
      </c>
      <c r="R58" s="198"/>
      <c r="S58" s="198"/>
      <c r="T58" s="198"/>
      <c r="U58" s="198"/>
    </row>
    <row r="59" spans="1:21" s="12" customFormat="1" x14ac:dyDescent="0.25">
      <c r="A59" s="214" t="s">
        <v>2314</v>
      </c>
      <c r="B59" s="64">
        <v>2.7</v>
      </c>
      <c r="C59" s="64">
        <v>60.84</v>
      </c>
      <c r="D59" s="64">
        <v>36.39</v>
      </c>
      <c r="E59" s="64">
        <v>3.21</v>
      </c>
      <c r="F59" s="64">
        <v>28.68</v>
      </c>
      <c r="G59" s="64">
        <v>98.43</v>
      </c>
      <c r="H59" s="64">
        <v>50.15</v>
      </c>
      <c r="I59" s="64">
        <v>1.46</v>
      </c>
      <c r="J59" s="64">
        <v>0.14000000000000001</v>
      </c>
      <c r="K59" s="64">
        <v>41.18</v>
      </c>
      <c r="L59" s="64">
        <v>25.31</v>
      </c>
      <c r="M59" s="64">
        <v>26.16</v>
      </c>
      <c r="N59" s="64">
        <v>636.70000000000005</v>
      </c>
      <c r="O59" s="64">
        <v>0</v>
      </c>
      <c r="P59" s="64">
        <v>0.69</v>
      </c>
      <c r="Q59" s="64">
        <v>2.73</v>
      </c>
      <c r="R59" s="198"/>
      <c r="S59" s="198"/>
      <c r="T59" s="198"/>
      <c r="U59" s="198"/>
    </row>
    <row r="60" spans="1:21" s="12" customFormat="1" x14ac:dyDescent="0.25">
      <c r="A60" s="214" t="s">
        <v>2315</v>
      </c>
      <c r="B60" s="64">
        <v>2.8</v>
      </c>
      <c r="C60" s="64">
        <v>62.35</v>
      </c>
      <c r="D60" s="64">
        <v>37.299999999999997</v>
      </c>
      <c r="E60" s="64">
        <v>1.9</v>
      </c>
      <c r="F60" s="64">
        <v>29.38</v>
      </c>
      <c r="G60" s="64">
        <v>83.62</v>
      </c>
      <c r="H60" s="64">
        <v>39.96</v>
      </c>
      <c r="I60" s="64">
        <v>1.54</v>
      </c>
      <c r="J60" s="64">
        <v>0.48</v>
      </c>
      <c r="K60" s="64">
        <v>123.18</v>
      </c>
      <c r="L60" s="64">
        <v>24.37</v>
      </c>
      <c r="M60" s="64">
        <v>27.16</v>
      </c>
      <c r="N60" s="64">
        <v>615.70000000000005</v>
      </c>
      <c r="O60" s="64">
        <v>0</v>
      </c>
      <c r="P60" s="64">
        <v>0.55000000000000004</v>
      </c>
      <c r="Q60" s="64">
        <v>3.76</v>
      </c>
      <c r="R60" s="198"/>
      <c r="S60" s="198"/>
      <c r="T60" s="198"/>
      <c r="U60" s="198"/>
    </row>
    <row r="61" spans="1:21" s="12" customFormat="1" x14ac:dyDescent="0.25">
      <c r="A61" s="214" t="s">
        <v>2316</v>
      </c>
      <c r="B61" s="64">
        <v>2.76</v>
      </c>
      <c r="C61" s="64">
        <v>63.58</v>
      </c>
      <c r="D61" s="64">
        <v>37.950000000000003</v>
      </c>
      <c r="E61" s="64">
        <v>1.91</v>
      </c>
      <c r="F61" s="64">
        <v>33.81</v>
      </c>
      <c r="G61" s="64">
        <v>83.62</v>
      </c>
      <c r="H61" s="64">
        <v>39.96</v>
      </c>
      <c r="I61" s="64">
        <v>1.52</v>
      </c>
      <c r="J61" s="64">
        <v>0.71</v>
      </c>
      <c r="K61" s="64">
        <v>126.61</v>
      </c>
      <c r="L61" s="64">
        <v>23.65</v>
      </c>
      <c r="M61" s="64">
        <v>28.05</v>
      </c>
      <c r="N61" s="64">
        <v>590.70000000000005</v>
      </c>
      <c r="O61" s="64">
        <v>0</v>
      </c>
      <c r="P61" s="64">
        <v>0.55000000000000004</v>
      </c>
      <c r="Q61" s="64">
        <v>4.51</v>
      </c>
      <c r="R61" s="198"/>
      <c r="S61" s="198"/>
      <c r="T61" s="198"/>
      <c r="U61" s="198"/>
    </row>
    <row r="62" spans="1:21" s="12" customFormat="1" x14ac:dyDescent="0.25">
      <c r="A62" s="214" t="s">
        <v>2317</v>
      </c>
      <c r="B62" s="64">
        <v>2.77</v>
      </c>
      <c r="C62" s="64">
        <v>64.31</v>
      </c>
      <c r="D62" s="64">
        <v>38.36</v>
      </c>
      <c r="E62" s="64">
        <v>1.85</v>
      </c>
      <c r="F62" s="64">
        <v>43.06</v>
      </c>
      <c r="G62" s="64">
        <v>83.62</v>
      </c>
      <c r="H62" s="64">
        <v>39.96</v>
      </c>
      <c r="I62" s="64">
        <v>1.51</v>
      </c>
      <c r="J62" s="64">
        <v>0.08</v>
      </c>
      <c r="K62" s="64">
        <v>350.24</v>
      </c>
      <c r="L62" s="64">
        <v>24.82</v>
      </c>
      <c r="M62" s="64">
        <v>27.77</v>
      </c>
      <c r="N62" s="64">
        <v>501.6</v>
      </c>
      <c r="O62" s="64">
        <v>0</v>
      </c>
      <c r="P62" s="64">
        <v>0.67</v>
      </c>
      <c r="Q62" s="64">
        <v>4.38</v>
      </c>
      <c r="R62" s="198"/>
      <c r="S62" s="198"/>
      <c r="T62" s="198"/>
      <c r="U62" s="198"/>
    </row>
    <row r="63" spans="1:21" s="12" customFormat="1" x14ac:dyDescent="0.25">
      <c r="A63" s="214" t="s">
        <v>2318</v>
      </c>
      <c r="B63" s="64">
        <v>2.89</v>
      </c>
      <c r="C63" s="64">
        <v>66.16</v>
      </c>
      <c r="D63" s="64">
        <v>39.47</v>
      </c>
      <c r="E63" s="64">
        <v>1.97</v>
      </c>
      <c r="F63" s="64">
        <v>43.14</v>
      </c>
      <c r="G63" s="64">
        <v>82.38</v>
      </c>
      <c r="H63" s="64">
        <v>39.96</v>
      </c>
      <c r="I63" s="64">
        <v>1.44</v>
      </c>
      <c r="J63" s="64">
        <v>0.4</v>
      </c>
      <c r="K63" s="64">
        <v>342.44</v>
      </c>
      <c r="L63" s="64">
        <v>26.04</v>
      </c>
      <c r="M63" s="64">
        <v>26.36</v>
      </c>
      <c r="N63" s="64">
        <v>346.3</v>
      </c>
      <c r="O63" s="64">
        <v>0</v>
      </c>
      <c r="P63" s="64">
        <v>0.89</v>
      </c>
      <c r="Q63" s="64">
        <v>3.4</v>
      </c>
      <c r="R63" s="198"/>
      <c r="S63" s="198"/>
      <c r="T63" s="198"/>
      <c r="U63" s="198"/>
    </row>
    <row r="64" spans="1:21" s="12" customFormat="1" x14ac:dyDescent="0.25">
      <c r="A64" s="214" t="s">
        <v>2319</v>
      </c>
      <c r="B64" s="64">
        <v>2.94</v>
      </c>
      <c r="C64" s="64">
        <v>70.05</v>
      </c>
      <c r="D64" s="64">
        <v>41.66</v>
      </c>
      <c r="E64" s="64">
        <v>2.31</v>
      </c>
      <c r="F64" s="64">
        <v>41.27</v>
      </c>
      <c r="G64" s="64">
        <v>77.42</v>
      </c>
      <c r="H64" s="64">
        <v>39.94</v>
      </c>
      <c r="I64" s="64">
        <v>1.48</v>
      </c>
      <c r="J64" s="64">
        <v>0.33</v>
      </c>
      <c r="K64" s="64">
        <v>339.75</v>
      </c>
      <c r="L64" s="64">
        <v>26.1</v>
      </c>
      <c r="M64" s="64">
        <v>25.48</v>
      </c>
      <c r="N64" s="64">
        <v>301.2</v>
      </c>
      <c r="O64" s="64">
        <v>0</v>
      </c>
      <c r="P64" s="64">
        <v>0.83</v>
      </c>
      <c r="Q64" s="64">
        <v>3.87</v>
      </c>
      <c r="R64" s="198"/>
      <c r="S64" s="198"/>
      <c r="T64" s="198"/>
      <c r="U64" s="198"/>
    </row>
    <row r="65" spans="1:21" s="12" customFormat="1" x14ac:dyDescent="0.25">
      <c r="A65" s="214" t="s">
        <v>2320</v>
      </c>
      <c r="B65" s="64">
        <v>2.77</v>
      </c>
      <c r="C65" s="64">
        <v>73</v>
      </c>
      <c r="D65" s="64">
        <v>43.16</v>
      </c>
      <c r="E65" s="64">
        <v>1.06</v>
      </c>
      <c r="F65" s="64">
        <v>10.42</v>
      </c>
      <c r="G65" s="64">
        <v>77.42</v>
      </c>
      <c r="H65" s="64">
        <v>39.94</v>
      </c>
      <c r="I65" s="64">
        <v>1.54</v>
      </c>
      <c r="J65" s="64">
        <v>0.03</v>
      </c>
      <c r="K65" s="64">
        <v>293.07</v>
      </c>
      <c r="L65" s="64">
        <v>25.02</v>
      </c>
      <c r="M65" s="64">
        <v>26.99</v>
      </c>
      <c r="N65" s="64">
        <v>272</v>
      </c>
      <c r="O65" s="64">
        <v>0</v>
      </c>
      <c r="P65" s="64">
        <v>0.64</v>
      </c>
      <c r="Q65" s="64">
        <v>5.18</v>
      </c>
      <c r="R65" s="198"/>
      <c r="S65" s="198"/>
      <c r="T65" s="198"/>
      <c r="U65" s="198"/>
    </row>
    <row r="66" spans="1:21" s="12" customFormat="1" x14ac:dyDescent="0.25">
      <c r="A66" s="214" t="s">
        <v>2321</v>
      </c>
      <c r="B66" s="64">
        <v>2.56</v>
      </c>
      <c r="C66" s="64">
        <v>74.62</v>
      </c>
      <c r="D66" s="64">
        <v>43.88</v>
      </c>
      <c r="E66" s="64">
        <v>1.47</v>
      </c>
      <c r="F66" s="64">
        <v>28.47</v>
      </c>
      <c r="G66" s="64">
        <v>77.42</v>
      </c>
      <c r="H66" s="64">
        <v>39.94</v>
      </c>
      <c r="I66" s="64">
        <v>1.49</v>
      </c>
      <c r="J66" s="64">
        <v>0.25</v>
      </c>
      <c r="K66" s="64">
        <v>326.18</v>
      </c>
      <c r="L66" s="64">
        <v>24.49</v>
      </c>
      <c r="M66" s="64">
        <v>27.59</v>
      </c>
      <c r="N66" s="64">
        <v>220.7</v>
      </c>
      <c r="O66" s="64">
        <v>0</v>
      </c>
      <c r="P66" s="64">
        <v>0.78</v>
      </c>
      <c r="Q66" s="64">
        <v>5.54</v>
      </c>
      <c r="R66" s="198"/>
      <c r="S66" s="198"/>
      <c r="T66" s="198"/>
      <c r="U66" s="198"/>
    </row>
    <row r="67" spans="1:21" s="12" customFormat="1" x14ac:dyDescent="0.25">
      <c r="A67" s="214" t="s">
        <v>2322</v>
      </c>
      <c r="B67" s="64">
        <v>2.58</v>
      </c>
      <c r="C67" s="64">
        <v>76.61</v>
      </c>
      <c r="D67" s="64">
        <v>45</v>
      </c>
      <c r="E67" s="64">
        <v>1.36</v>
      </c>
      <c r="F67" s="64">
        <v>12.97</v>
      </c>
      <c r="G67" s="64">
        <v>80.69</v>
      </c>
      <c r="H67" s="64">
        <v>33.08</v>
      </c>
      <c r="I67" s="64">
        <v>1.47</v>
      </c>
      <c r="J67" s="64">
        <v>0.08</v>
      </c>
      <c r="K67" s="64">
        <v>238.67</v>
      </c>
      <c r="L67" s="64">
        <v>24.65</v>
      </c>
      <c r="M67" s="64">
        <v>26.95</v>
      </c>
      <c r="N67" s="64">
        <v>222.6</v>
      </c>
      <c r="O67" s="64">
        <v>0</v>
      </c>
      <c r="P67" s="64">
        <v>0.74</v>
      </c>
      <c r="Q67" s="64">
        <v>5.19</v>
      </c>
      <c r="R67" s="198"/>
      <c r="S67" s="198"/>
      <c r="T67" s="198"/>
      <c r="U67" s="198"/>
    </row>
    <row r="68" spans="1:21" s="12" customFormat="1" x14ac:dyDescent="0.25">
      <c r="A68" s="214" t="s">
        <v>2323</v>
      </c>
      <c r="B68" s="64">
        <v>2.14</v>
      </c>
      <c r="C68" s="64">
        <v>76.88</v>
      </c>
      <c r="D68" s="64">
        <v>44.8</v>
      </c>
      <c r="E68" s="64">
        <v>0.85</v>
      </c>
      <c r="F68" s="64">
        <v>19.12</v>
      </c>
      <c r="G68" s="64">
        <v>93.75</v>
      </c>
      <c r="H68" s="64">
        <v>14.38</v>
      </c>
      <c r="I68" s="64">
        <v>1.48</v>
      </c>
      <c r="J68" s="64">
        <v>0.47</v>
      </c>
      <c r="K68" s="64">
        <v>135.66</v>
      </c>
      <c r="L68" s="64">
        <v>23.27</v>
      </c>
      <c r="M68" s="64">
        <v>29.34</v>
      </c>
      <c r="N68" s="64">
        <v>233.7</v>
      </c>
      <c r="O68" s="64">
        <v>0</v>
      </c>
      <c r="P68" s="64">
        <v>0.66</v>
      </c>
      <c r="Q68" s="64">
        <v>6.05</v>
      </c>
      <c r="R68" s="198"/>
      <c r="S68" s="198"/>
      <c r="T68" s="198"/>
      <c r="U68" s="198"/>
    </row>
    <row r="69" spans="1:21" s="12" customFormat="1" x14ac:dyDescent="0.25">
      <c r="A69" s="214" t="s">
        <v>2324</v>
      </c>
      <c r="B69" s="64">
        <v>1.6</v>
      </c>
      <c r="C69" s="64">
        <v>75.959999999999994</v>
      </c>
      <c r="D69" s="64">
        <v>43.85</v>
      </c>
      <c r="E69" s="64">
        <v>1.1000000000000001</v>
      </c>
      <c r="F69" s="64">
        <v>20.78</v>
      </c>
      <c r="G69" s="64">
        <v>93.75</v>
      </c>
      <c r="H69" s="64">
        <v>14.38</v>
      </c>
      <c r="I69" s="64">
        <v>1.48</v>
      </c>
      <c r="J69" s="64">
        <v>0.25</v>
      </c>
      <c r="K69" s="64">
        <v>3.82</v>
      </c>
      <c r="L69" s="64">
        <v>23.22</v>
      </c>
      <c r="M69" s="64">
        <v>30.48</v>
      </c>
      <c r="N69" s="64">
        <v>182.8</v>
      </c>
      <c r="O69" s="64">
        <v>0</v>
      </c>
      <c r="P69" s="64">
        <v>0.75</v>
      </c>
      <c r="Q69" s="64">
        <v>5.81</v>
      </c>
      <c r="R69" s="198"/>
      <c r="S69" s="198"/>
      <c r="T69" s="198"/>
      <c r="U69" s="198"/>
    </row>
    <row r="70" spans="1:21" s="12" customFormat="1" x14ac:dyDescent="0.25">
      <c r="A70" s="214" t="s">
        <v>2325</v>
      </c>
      <c r="B70" s="64">
        <v>1.79</v>
      </c>
      <c r="C70" s="64">
        <v>77.319999999999993</v>
      </c>
      <c r="D70" s="64">
        <v>44.75</v>
      </c>
      <c r="E70" s="64">
        <v>1.95</v>
      </c>
      <c r="F70" s="64">
        <v>14.49</v>
      </c>
      <c r="G70" s="64">
        <v>93.75</v>
      </c>
      <c r="H70" s="64">
        <v>14.38</v>
      </c>
      <c r="I70" s="64">
        <v>1.44</v>
      </c>
      <c r="J70" s="64">
        <v>0.11</v>
      </c>
      <c r="K70" s="64">
        <v>328.81</v>
      </c>
      <c r="L70" s="64">
        <v>23.63</v>
      </c>
      <c r="M70" s="64">
        <v>29.45</v>
      </c>
      <c r="N70" s="64">
        <v>159.19999999999999</v>
      </c>
      <c r="O70" s="64">
        <v>0</v>
      </c>
      <c r="P70" s="64">
        <v>0.9</v>
      </c>
      <c r="Q70" s="64">
        <v>3.17</v>
      </c>
      <c r="R70" s="198"/>
      <c r="S70" s="198"/>
      <c r="T70" s="198"/>
      <c r="U70" s="198"/>
    </row>
    <row r="71" spans="1:21" s="12" customFormat="1" x14ac:dyDescent="0.25">
      <c r="A71" s="214" t="s">
        <v>2326</v>
      </c>
      <c r="B71" s="64">
        <v>2.0299999999999998</v>
      </c>
      <c r="C71" s="64">
        <v>79.459999999999994</v>
      </c>
      <c r="D71" s="64">
        <v>46.12</v>
      </c>
      <c r="E71" s="64">
        <v>1.69</v>
      </c>
      <c r="F71" s="64">
        <v>22.82</v>
      </c>
      <c r="G71" s="64">
        <v>90.54</v>
      </c>
      <c r="H71" s="64">
        <v>11.98</v>
      </c>
      <c r="I71" s="64">
        <v>1.47</v>
      </c>
      <c r="J71" s="64">
        <v>0.38</v>
      </c>
      <c r="K71" s="64">
        <v>339.99</v>
      </c>
      <c r="L71" s="64">
        <v>23.66</v>
      </c>
      <c r="M71" s="64">
        <v>30</v>
      </c>
      <c r="N71" s="64">
        <v>144.30000000000001</v>
      </c>
      <c r="O71" s="64">
        <v>0</v>
      </c>
      <c r="P71" s="64">
        <v>0.93</v>
      </c>
      <c r="Q71" s="64">
        <v>4.4800000000000004</v>
      </c>
      <c r="R71" s="198"/>
      <c r="S71" s="198"/>
      <c r="T71" s="198"/>
      <c r="U71" s="198"/>
    </row>
    <row r="72" spans="1:21" s="12" customFormat="1" x14ac:dyDescent="0.25">
      <c r="A72" s="214" t="s">
        <v>2327</v>
      </c>
      <c r="B72" s="64">
        <v>2.31</v>
      </c>
      <c r="C72" s="64">
        <v>81.489999999999995</v>
      </c>
      <c r="D72" s="64">
        <v>47.47</v>
      </c>
      <c r="E72" s="64">
        <v>2.85</v>
      </c>
      <c r="F72" s="64">
        <v>35.909999999999997</v>
      </c>
      <c r="G72" s="64">
        <v>78.53</v>
      </c>
      <c r="H72" s="64">
        <v>5.46</v>
      </c>
      <c r="I72" s="64">
        <v>1.47</v>
      </c>
      <c r="J72" s="64">
        <v>0.55000000000000004</v>
      </c>
      <c r="K72" s="64">
        <v>335.89</v>
      </c>
      <c r="L72" s="64">
        <v>23.37</v>
      </c>
      <c r="M72" s="64">
        <v>31.86</v>
      </c>
      <c r="N72" s="64">
        <v>123.9</v>
      </c>
      <c r="O72" s="64">
        <v>0</v>
      </c>
      <c r="P72" s="64">
        <v>1.18</v>
      </c>
      <c r="Q72" s="64">
        <v>2.33</v>
      </c>
      <c r="R72" s="198"/>
      <c r="S72" s="198"/>
      <c r="T72" s="198"/>
      <c r="U72" s="198"/>
    </row>
    <row r="73" spans="1:21" s="12" customFormat="1" x14ac:dyDescent="0.25">
      <c r="A73" s="214" t="s">
        <v>2328</v>
      </c>
      <c r="B73" s="64">
        <v>2.4900000000000002</v>
      </c>
      <c r="C73" s="64">
        <v>83.6</v>
      </c>
      <c r="D73" s="64">
        <v>48.78</v>
      </c>
      <c r="E73" s="64">
        <v>5.37</v>
      </c>
      <c r="F73" s="64">
        <v>36.04</v>
      </c>
      <c r="G73" s="64">
        <v>78.53</v>
      </c>
      <c r="H73" s="64">
        <v>5.46</v>
      </c>
      <c r="I73" s="64">
        <v>1.5</v>
      </c>
      <c r="J73" s="64">
        <v>0.69</v>
      </c>
      <c r="K73" s="64">
        <v>343.47</v>
      </c>
      <c r="L73" s="64">
        <v>22.92</v>
      </c>
      <c r="M73" s="64">
        <v>33.58</v>
      </c>
      <c r="N73" s="64">
        <v>112.4</v>
      </c>
      <c r="O73" s="64">
        <v>0</v>
      </c>
      <c r="P73" s="64">
        <v>1.1499999999999999</v>
      </c>
      <c r="Q73" s="64">
        <v>3.44</v>
      </c>
      <c r="R73" s="198"/>
      <c r="S73" s="198"/>
      <c r="T73" s="198"/>
      <c r="U73" s="198"/>
    </row>
    <row r="74" spans="1:21" s="12" customFormat="1" x14ac:dyDescent="0.25">
      <c r="A74" s="214" t="s">
        <v>2329</v>
      </c>
      <c r="B74" s="64">
        <v>2.77</v>
      </c>
      <c r="C74" s="64">
        <v>85.78</v>
      </c>
      <c r="D74" s="64">
        <v>50.2</v>
      </c>
      <c r="E74" s="64">
        <v>6.55</v>
      </c>
      <c r="F74" s="64">
        <v>27.22</v>
      </c>
      <c r="G74" s="64">
        <v>78.53</v>
      </c>
      <c r="H74" s="64">
        <v>5.46</v>
      </c>
      <c r="I74" s="64">
        <v>1.53</v>
      </c>
      <c r="J74" s="64">
        <v>0.66</v>
      </c>
      <c r="K74" s="64">
        <v>343.82</v>
      </c>
      <c r="L74" s="64">
        <v>22.4</v>
      </c>
      <c r="M74" s="64">
        <v>35.130000000000003</v>
      </c>
      <c r="N74" s="64">
        <v>92.9</v>
      </c>
      <c r="O74" s="64">
        <v>0</v>
      </c>
      <c r="P74" s="64">
        <v>1.29</v>
      </c>
      <c r="Q74" s="64">
        <v>3.02</v>
      </c>
      <c r="R74" s="198"/>
      <c r="S74" s="198"/>
      <c r="T74" s="198"/>
      <c r="U74" s="198"/>
    </row>
    <row r="75" spans="1:21" s="12" customFormat="1" x14ac:dyDescent="0.25">
      <c r="A75" s="214" t="s">
        <v>2330</v>
      </c>
      <c r="B75" s="64">
        <v>3.32</v>
      </c>
      <c r="C75" s="64">
        <v>88.61</v>
      </c>
      <c r="D75" s="64">
        <v>52.21</v>
      </c>
      <c r="E75" s="64">
        <v>7.34</v>
      </c>
      <c r="F75" s="64">
        <v>21.08</v>
      </c>
      <c r="G75" s="64">
        <v>101.31</v>
      </c>
      <c r="H75" s="64">
        <v>5.46</v>
      </c>
      <c r="I75" s="64">
        <v>1.49</v>
      </c>
      <c r="J75" s="64">
        <v>0.59</v>
      </c>
      <c r="K75" s="64">
        <v>346.4</v>
      </c>
      <c r="L75" s="64">
        <v>21.57</v>
      </c>
      <c r="M75" s="64">
        <v>36.47</v>
      </c>
      <c r="N75" s="64">
        <v>74.099999999999994</v>
      </c>
      <c r="O75" s="64">
        <v>0</v>
      </c>
      <c r="P75" s="64">
        <v>1.46</v>
      </c>
      <c r="Q75" s="64">
        <v>1.38</v>
      </c>
      <c r="R75" s="198"/>
      <c r="S75" s="198"/>
      <c r="T75" s="198"/>
      <c r="U75" s="198"/>
    </row>
    <row r="76" spans="1:21" s="12" customFormat="1" x14ac:dyDescent="0.25">
      <c r="A76" s="214" t="s">
        <v>2331</v>
      </c>
      <c r="B76" s="64">
        <v>3.95</v>
      </c>
      <c r="C76" s="64">
        <v>91.63</v>
      </c>
      <c r="D76" s="64">
        <v>54.39</v>
      </c>
      <c r="E76" s="64">
        <v>4.49</v>
      </c>
      <c r="F76" s="64">
        <v>9.9</v>
      </c>
      <c r="G76" s="64">
        <v>192.46</v>
      </c>
      <c r="H76" s="64">
        <v>151.26</v>
      </c>
      <c r="I76" s="64">
        <v>1.5</v>
      </c>
      <c r="J76" s="64">
        <v>0.04</v>
      </c>
      <c r="K76" s="64">
        <v>7.04</v>
      </c>
      <c r="L76" s="64">
        <v>20.59</v>
      </c>
      <c r="M76" s="64">
        <v>40</v>
      </c>
      <c r="N76" s="64">
        <v>75</v>
      </c>
      <c r="O76" s="64">
        <v>0</v>
      </c>
      <c r="P76" s="64">
        <v>1.52</v>
      </c>
      <c r="Q76" s="64">
        <v>0.89</v>
      </c>
      <c r="R76" s="198"/>
      <c r="S76" s="198"/>
      <c r="T76" s="198"/>
      <c r="U76" s="198"/>
    </row>
    <row r="77" spans="1:21" s="12" customFormat="1" x14ac:dyDescent="0.25">
      <c r="A77" s="214" t="s">
        <v>2332</v>
      </c>
      <c r="B77" s="64">
        <v>5.36</v>
      </c>
      <c r="C77" s="64">
        <v>95.48</v>
      </c>
      <c r="D77" s="64">
        <v>57.63</v>
      </c>
      <c r="E77" s="64">
        <v>2.46</v>
      </c>
      <c r="F77" s="64">
        <v>5.61</v>
      </c>
      <c r="G77" s="64">
        <v>192.46</v>
      </c>
      <c r="H77" s="64">
        <v>151.26</v>
      </c>
      <c r="I77" s="64">
        <v>1.54</v>
      </c>
      <c r="J77" s="64">
        <v>0.06</v>
      </c>
      <c r="K77" s="64">
        <v>308.2</v>
      </c>
      <c r="L77" s="64">
        <v>19.72</v>
      </c>
      <c r="M77" s="64">
        <v>45.77</v>
      </c>
      <c r="N77" s="64">
        <v>69.900000000000006</v>
      </c>
      <c r="O77" s="64">
        <v>0</v>
      </c>
      <c r="P77" s="64">
        <v>1.65</v>
      </c>
      <c r="Q77" s="64">
        <v>0.86</v>
      </c>
      <c r="R77" s="198"/>
      <c r="S77" s="198"/>
      <c r="T77" s="198"/>
      <c r="U77" s="198"/>
    </row>
    <row r="78" spans="1:21" s="12" customFormat="1" x14ac:dyDescent="0.25">
      <c r="A78" s="214" t="s">
        <v>2333</v>
      </c>
      <c r="B78" s="64">
        <v>7.74</v>
      </c>
      <c r="C78" s="64">
        <v>98.64</v>
      </c>
      <c r="D78" s="64">
        <v>61.29</v>
      </c>
      <c r="E78" s="64">
        <v>2.0099999999999998</v>
      </c>
      <c r="F78" s="64">
        <v>4.68</v>
      </c>
      <c r="G78" s="64">
        <v>192.46</v>
      </c>
      <c r="H78" s="64">
        <v>151.26</v>
      </c>
      <c r="I78" s="64">
        <v>1.53</v>
      </c>
      <c r="J78" s="64">
        <v>0</v>
      </c>
      <c r="K78" s="64">
        <v>23.67</v>
      </c>
      <c r="L78" s="64">
        <v>18.84</v>
      </c>
      <c r="M78" s="64">
        <v>52.86</v>
      </c>
      <c r="N78" s="64">
        <v>67</v>
      </c>
      <c r="O78" s="64">
        <v>0</v>
      </c>
      <c r="P78" s="64">
        <v>1.8</v>
      </c>
      <c r="Q78" s="64">
        <v>1.47</v>
      </c>
      <c r="R78" s="198"/>
      <c r="S78" s="198"/>
      <c r="T78" s="198"/>
      <c r="U78" s="198"/>
    </row>
    <row r="79" spans="1:21" s="12" customFormat="1" x14ac:dyDescent="0.25">
      <c r="A79" s="214" t="s">
        <v>2334</v>
      </c>
      <c r="B79" s="64">
        <v>10.58</v>
      </c>
      <c r="C79" s="64">
        <v>100.26</v>
      </c>
      <c r="D79" s="64">
        <v>64.459999999999994</v>
      </c>
      <c r="E79" s="64">
        <v>2.82</v>
      </c>
      <c r="F79" s="64">
        <v>3.93</v>
      </c>
      <c r="G79" s="64">
        <v>190.6</v>
      </c>
      <c r="H79" s="64">
        <v>232.37</v>
      </c>
      <c r="I79" s="64">
        <v>1.57</v>
      </c>
      <c r="J79" s="64">
        <v>0.08</v>
      </c>
      <c r="K79" s="64">
        <v>3.69</v>
      </c>
      <c r="L79" s="64">
        <v>18.079999999999998</v>
      </c>
      <c r="M79" s="64">
        <v>56.91</v>
      </c>
      <c r="N79" s="64">
        <v>66.5</v>
      </c>
      <c r="O79" s="64">
        <v>0</v>
      </c>
      <c r="P79" s="64">
        <v>2.4900000000000002</v>
      </c>
      <c r="Q79" s="8" t="s">
        <v>34</v>
      </c>
      <c r="R79" s="198"/>
      <c r="S79" s="198"/>
      <c r="T79" s="198"/>
      <c r="U79" s="198"/>
    </row>
    <row r="80" spans="1:21" s="12" customFormat="1" x14ac:dyDescent="0.25">
      <c r="A80" s="214" t="s">
        <v>2335</v>
      </c>
      <c r="B80" s="64">
        <v>13.88</v>
      </c>
      <c r="C80" s="64">
        <v>101.15</v>
      </c>
      <c r="D80" s="64">
        <v>67.599999999999994</v>
      </c>
      <c r="E80" s="64">
        <v>2.48</v>
      </c>
      <c r="F80" s="64">
        <v>3.51</v>
      </c>
      <c r="G80" s="64">
        <v>183.65</v>
      </c>
      <c r="H80" s="64">
        <v>453.18</v>
      </c>
      <c r="I80" s="64">
        <v>1.48</v>
      </c>
      <c r="J80" s="64">
        <v>0.08</v>
      </c>
      <c r="K80" s="64">
        <v>356.92</v>
      </c>
      <c r="L80" s="64">
        <v>17.489999999999998</v>
      </c>
      <c r="M80" s="64">
        <v>57.17</v>
      </c>
      <c r="N80" s="64">
        <v>67.2</v>
      </c>
      <c r="O80" s="64">
        <v>0</v>
      </c>
      <c r="P80" s="64">
        <v>2.94</v>
      </c>
      <c r="Q80" s="64">
        <v>0.08</v>
      </c>
      <c r="R80" s="198"/>
      <c r="S80" s="198"/>
      <c r="T80" s="198"/>
      <c r="U80" s="198"/>
    </row>
    <row r="81" spans="1:26" s="12" customFormat="1" x14ac:dyDescent="0.25">
      <c r="A81" s="214" t="s">
        <v>2336</v>
      </c>
      <c r="B81" s="64">
        <v>18.05</v>
      </c>
      <c r="C81" s="64">
        <v>102.95</v>
      </c>
      <c r="D81" s="64">
        <v>71.94</v>
      </c>
      <c r="E81" s="64">
        <v>2.35</v>
      </c>
      <c r="F81" s="64">
        <v>3.98</v>
      </c>
      <c r="G81" s="64">
        <v>183.65</v>
      </c>
      <c r="H81" s="64">
        <v>453.18</v>
      </c>
      <c r="I81" s="64">
        <v>1.51</v>
      </c>
      <c r="J81" s="64">
        <v>0.19</v>
      </c>
      <c r="K81" s="64">
        <v>79.81</v>
      </c>
      <c r="L81" s="64">
        <v>17.350000000000001</v>
      </c>
      <c r="M81" s="64">
        <v>57.83</v>
      </c>
      <c r="N81" s="64">
        <v>66.5</v>
      </c>
      <c r="O81" s="64">
        <v>0</v>
      </c>
      <c r="P81" s="64">
        <v>3.06</v>
      </c>
      <c r="Q81" s="217" t="s">
        <v>34</v>
      </c>
      <c r="R81" s="198"/>
      <c r="S81" s="198"/>
      <c r="T81" s="198"/>
      <c r="U81" s="198"/>
    </row>
    <row r="82" spans="1:26" s="12" customFormat="1" x14ac:dyDescent="0.25">
      <c r="A82" s="214" t="s">
        <v>2337</v>
      </c>
      <c r="B82" s="64">
        <v>22.76</v>
      </c>
      <c r="C82" s="64">
        <v>104.7</v>
      </c>
      <c r="D82" s="64">
        <v>76.67</v>
      </c>
      <c r="E82" s="64">
        <v>2.31</v>
      </c>
      <c r="F82" s="64">
        <v>4.13</v>
      </c>
      <c r="G82" s="64">
        <v>183.65</v>
      </c>
      <c r="H82" s="64">
        <v>453.18</v>
      </c>
      <c r="I82" s="64">
        <v>1.51</v>
      </c>
      <c r="J82" s="64">
        <v>0.02</v>
      </c>
      <c r="K82" s="64">
        <v>52.24</v>
      </c>
      <c r="L82" s="64">
        <v>17.350000000000001</v>
      </c>
      <c r="M82" s="64">
        <v>58.95</v>
      </c>
      <c r="N82" s="64">
        <v>69.3</v>
      </c>
      <c r="O82" s="64">
        <v>0</v>
      </c>
      <c r="P82" s="64">
        <v>3.02</v>
      </c>
      <c r="Q82" s="217" t="s">
        <v>34</v>
      </c>
      <c r="R82" s="198"/>
      <c r="S82" s="198"/>
      <c r="T82" s="198"/>
      <c r="U82" s="198"/>
    </row>
    <row r="83" spans="1:26" s="12" customFormat="1" x14ac:dyDescent="0.25">
      <c r="A83" s="214" t="s">
        <v>2338</v>
      </c>
      <c r="B83" s="64">
        <v>26.95</v>
      </c>
      <c r="C83" s="64">
        <v>106.52</v>
      </c>
      <c r="D83" s="64">
        <v>81.040000000000006</v>
      </c>
      <c r="E83" s="64">
        <v>2.27</v>
      </c>
      <c r="F83" s="64">
        <v>4.38</v>
      </c>
      <c r="G83" s="64">
        <v>192.66</v>
      </c>
      <c r="H83" s="64">
        <v>112.93</v>
      </c>
      <c r="I83" s="64">
        <v>1.52</v>
      </c>
      <c r="J83" s="64">
        <v>0.01</v>
      </c>
      <c r="K83" s="64">
        <v>311.43</v>
      </c>
      <c r="L83" s="64">
        <v>16.760000000000002</v>
      </c>
      <c r="M83" s="64">
        <v>62.16</v>
      </c>
      <c r="N83" s="64">
        <v>69</v>
      </c>
      <c r="O83" s="64">
        <v>0</v>
      </c>
      <c r="P83" s="64">
        <v>3.25</v>
      </c>
      <c r="Q83" s="217" t="s">
        <v>34</v>
      </c>
      <c r="R83" s="198"/>
      <c r="S83" s="198"/>
      <c r="T83" s="198"/>
      <c r="U83" s="198"/>
    </row>
    <row r="84" spans="1:26" s="12" customFormat="1" x14ac:dyDescent="0.25">
      <c r="A84" s="214" t="s">
        <v>2339</v>
      </c>
      <c r="B84" s="64">
        <v>31.33</v>
      </c>
      <c r="C84" s="64">
        <v>108.19</v>
      </c>
      <c r="D84" s="64">
        <v>85.48</v>
      </c>
      <c r="E84" s="64">
        <v>2.17</v>
      </c>
      <c r="F84" s="64">
        <v>4.17</v>
      </c>
      <c r="G84" s="64">
        <v>226.34</v>
      </c>
      <c r="H84" s="64">
        <v>112.93</v>
      </c>
      <c r="I84" s="64">
        <v>1.5</v>
      </c>
      <c r="J84" s="64">
        <v>0.03</v>
      </c>
      <c r="K84" s="64">
        <v>323.99</v>
      </c>
      <c r="L84" s="64">
        <v>16.38</v>
      </c>
      <c r="M84" s="64">
        <v>63.73</v>
      </c>
      <c r="N84" s="64">
        <v>66.3</v>
      </c>
      <c r="O84" s="64">
        <v>0</v>
      </c>
      <c r="P84" s="64">
        <v>3.27</v>
      </c>
      <c r="Q84" s="217" t="s">
        <v>34</v>
      </c>
      <c r="R84" s="198"/>
      <c r="S84" s="198"/>
      <c r="T84" s="198"/>
      <c r="U84" s="198"/>
    </row>
    <row r="85" spans="1:26" s="12" customFormat="1" x14ac:dyDescent="0.25">
      <c r="A85" s="214" t="s">
        <v>2340</v>
      </c>
      <c r="B85" s="64">
        <v>36.36</v>
      </c>
      <c r="C85" s="64">
        <v>108.66</v>
      </c>
      <c r="D85" s="64">
        <v>89.77</v>
      </c>
      <c r="E85" s="64">
        <v>2.06</v>
      </c>
      <c r="F85" s="64">
        <v>4.53</v>
      </c>
      <c r="G85" s="64">
        <v>226.34</v>
      </c>
      <c r="H85" s="64">
        <v>112.93</v>
      </c>
      <c r="I85" s="64">
        <v>1.5</v>
      </c>
      <c r="J85" s="64">
        <v>0.13</v>
      </c>
      <c r="K85" s="64">
        <v>330.32</v>
      </c>
      <c r="L85" s="64">
        <v>16.2</v>
      </c>
      <c r="M85" s="64">
        <v>72.98</v>
      </c>
      <c r="N85" s="64">
        <v>66.400000000000006</v>
      </c>
      <c r="O85" s="64">
        <v>0</v>
      </c>
      <c r="P85" s="64">
        <v>4.5999999999999996</v>
      </c>
      <c r="Q85" s="217" t="s">
        <v>34</v>
      </c>
      <c r="R85" s="198"/>
      <c r="S85" s="198"/>
      <c r="T85" s="198"/>
      <c r="U85" s="198"/>
    </row>
    <row r="86" spans="1:26" s="12" customFormat="1" x14ac:dyDescent="0.25">
      <c r="A86" s="214" t="s">
        <v>2341</v>
      </c>
      <c r="B86" s="64">
        <v>43.64</v>
      </c>
      <c r="C86" s="64">
        <v>109.37</v>
      </c>
      <c r="D86" s="64">
        <v>96</v>
      </c>
      <c r="E86" s="64">
        <v>2.0099999999999998</v>
      </c>
      <c r="F86" s="64">
        <v>4.42</v>
      </c>
      <c r="G86" s="64">
        <v>226.34</v>
      </c>
      <c r="H86" s="64">
        <v>112.93</v>
      </c>
      <c r="I86" s="64">
        <v>1.5</v>
      </c>
      <c r="J86" s="64">
        <v>0.16</v>
      </c>
      <c r="K86" s="64">
        <v>322.68</v>
      </c>
      <c r="L86" s="64">
        <v>16.03</v>
      </c>
      <c r="M86" s="64">
        <v>68.86</v>
      </c>
      <c r="N86" s="64">
        <v>65.599999999999994</v>
      </c>
      <c r="O86" s="64">
        <v>0</v>
      </c>
      <c r="P86" s="64">
        <v>4.5999999999999996</v>
      </c>
      <c r="Q86" s="217" t="s">
        <v>34</v>
      </c>
      <c r="R86" s="198"/>
      <c r="S86" s="198"/>
      <c r="T86" s="198"/>
      <c r="U86" s="198"/>
    </row>
    <row r="87" spans="1:26" s="12" customFormat="1" x14ac:dyDescent="0.25">
      <c r="A87" s="214" t="s">
        <v>2342</v>
      </c>
      <c r="B87" s="64">
        <v>51.87</v>
      </c>
      <c r="C87" s="64">
        <v>110.29</v>
      </c>
      <c r="D87" s="64">
        <v>103.1</v>
      </c>
      <c r="E87" s="64">
        <v>2.06</v>
      </c>
      <c r="F87" s="64">
        <v>4.2300000000000004</v>
      </c>
      <c r="G87" s="64">
        <v>226.34</v>
      </c>
      <c r="H87" s="64">
        <v>116.5</v>
      </c>
      <c r="I87" s="64">
        <v>1.48</v>
      </c>
      <c r="J87" s="64">
        <v>0.12</v>
      </c>
      <c r="K87" s="64">
        <v>1.2</v>
      </c>
      <c r="L87" s="64">
        <v>15.82</v>
      </c>
      <c r="M87" s="64">
        <v>72.31</v>
      </c>
      <c r="N87" s="64">
        <v>66</v>
      </c>
      <c r="O87" s="64">
        <v>0</v>
      </c>
      <c r="P87" s="64">
        <v>5.29</v>
      </c>
      <c r="Q87" s="217" t="s">
        <v>34</v>
      </c>
      <c r="R87" s="198"/>
      <c r="S87" s="198"/>
      <c r="T87" s="198"/>
      <c r="U87" s="198"/>
    </row>
    <row r="88" spans="1:26" s="12" customFormat="1" x14ac:dyDescent="0.25">
      <c r="A88" s="214" t="s">
        <v>2343</v>
      </c>
      <c r="B88" s="64">
        <v>59.16</v>
      </c>
      <c r="C88" s="64">
        <v>110.61</v>
      </c>
      <c r="D88" s="64">
        <v>109.13</v>
      </c>
      <c r="E88" s="64">
        <v>1.2</v>
      </c>
      <c r="F88" s="64">
        <v>3.87</v>
      </c>
      <c r="G88" s="64">
        <v>277.37</v>
      </c>
      <c r="H88" s="64">
        <v>126.2</v>
      </c>
      <c r="I88" s="64">
        <v>1.5</v>
      </c>
      <c r="J88" s="64">
        <v>0.04</v>
      </c>
      <c r="K88" s="64">
        <v>312.06</v>
      </c>
      <c r="L88" s="64">
        <v>15.69</v>
      </c>
      <c r="M88" s="64">
        <v>64.61</v>
      </c>
      <c r="N88" s="64">
        <v>65.7</v>
      </c>
      <c r="O88" s="64">
        <v>0</v>
      </c>
      <c r="P88" s="64">
        <v>4.24</v>
      </c>
      <c r="Q88" s="217" t="s">
        <v>34</v>
      </c>
      <c r="R88" s="198"/>
      <c r="S88" s="198"/>
      <c r="T88" s="198"/>
      <c r="U88" s="198"/>
    </row>
    <row r="89" spans="1:26" s="12" customFormat="1" x14ac:dyDescent="0.25">
      <c r="A89" s="214" t="s">
        <v>2344</v>
      </c>
      <c r="B89" s="64">
        <v>62.55</v>
      </c>
      <c r="C89" s="64">
        <v>111.26</v>
      </c>
      <c r="D89" s="64">
        <v>112.21</v>
      </c>
      <c r="E89" s="64">
        <v>1.76</v>
      </c>
      <c r="F89" s="64">
        <v>4.12</v>
      </c>
      <c r="G89" s="64">
        <v>277.37</v>
      </c>
      <c r="H89" s="64">
        <v>126.2</v>
      </c>
      <c r="I89" s="64">
        <v>1.48</v>
      </c>
      <c r="J89" s="64">
        <v>0.1</v>
      </c>
      <c r="K89" s="64">
        <v>186.89</v>
      </c>
      <c r="L89" s="64">
        <v>15.84</v>
      </c>
      <c r="M89" s="64">
        <v>61.71</v>
      </c>
      <c r="N89" s="64">
        <v>65.2</v>
      </c>
      <c r="O89" s="64">
        <v>0</v>
      </c>
      <c r="P89" s="64">
        <v>3.66</v>
      </c>
      <c r="Q89" s="64">
        <v>0.86</v>
      </c>
      <c r="R89" s="198"/>
      <c r="S89" s="198"/>
      <c r="T89" s="198"/>
      <c r="U89" s="198"/>
    </row>
    <row r="90" spans="1:26" s="12" customFormat="1" x14ac:dyDescent="0.25">
      <c r="A90" s="214" t="s">
        <v>2345</v>
      </c>
      <c r="B90" s="64">
        <v>62.38</v>
      </c>
      <c r="C90" s="64">
        <v>110.75</v>
      </c>
      <c r="D90" s="64">
        <v>111.79</v>
      </c>
      <c r="E90" s="64">
        <v>1.69</v>
      </c>
      <c r="F90" s="64">
        <v>4.13</v>
      </c>
      <c r="G90" s="64">
        <v>277.37</v>
      </c>
      <c r="H90" s="64">
        <v>126.2</v>
      </c>
      <c r="I90" s="64">
        <v>1.47</v>
      </c>
      <c r="J90" s="64">
        <v>0.24</v>
      </c>
      <c r="K90" s="64">
        <v>118.26</v>
      </c>
      <c r="L90" s="64">
        <v>16.55</v>
      </c>
      <c r="M90" s="64">
        <v>57.53</v>
      </c>
      <c r="N90" s="64">
        <v>65.3</v>
      </c>
      <c r="O90" s="64">
        <v>0</v>
      </c>
      <c r="P90" s="64">
        <v>2.88</v>
      </c>
      <c r="Q90" s="64">
        <v>6.95</v>
      </c>
      <c r="R90" s="198"/>
      <c r="S90" s="198"/>
      <c r="T90" s="198"/>
      <c r="U90" s="198"/>
    </row>
    <row r="91" spans="1:26" s="12" customFormat="1" x14ac:dyDescent="0.25">
      <c r="A91" s="214" t="s">
        <v>2346</v>
      </c>
      <c r="B91" s="64">
        <v>59.34</v>
      </c>
      <c r="C91" s="64">
        <v>110.21</v>
      </c>
      <c r="D91" s="64">
        <v>109.06</v>
      </c>
      <c r="E91" s="64">
        <v>1.63</v>
      </c>
      <c r="F91" s="64">
        <v>4.55</v>
      </c>
      <c r="G91" s="64">
        <v>177.26</v>
      </c>
      <c r="H91" s="64">
        <v>122.72</v>
      </c>
      <c r="I91" s="64">
        <v>1.49</v>
      </c>
      <c r="J91" s="64">
        <v>0.05</v>
      </c>
      <c r="K91" s="64">
        <v>198.09</v>
      </c>
      <c r="L91" s="64">
        <v>16.8</v>
      </c>
      <c r="M91" s="64">
        <v>55.9</v>
      </c>
      <c r="N91" s="64">
        <v>66.099999999999994</v>
      </c>
      <c r="O91" s="64">
        <v>0</v>
      </c>
      <c r="P91" s="64">
        <v>2.54</v>
      </c>
      <c r="Q91" s="64">
        <v>11.66</v>
      </c>
      <c r="R91" s="198"/>
      <c r="S91" s="198"/>
      <c r="T91" s="198"/>
      <c r="U91" s="198"/>
    </row>
    <row r="92" spans="1:26" s="12" customFormat="1" x14ac:dyDescent="0.25">
      <c r="A92" s="214" t="s">
        <v>2347</v>
      </c>
      <c r="B92" s="64">
        <v>57.12</v>
      </c>
      <c r="C92" s="64">
        <v>110.39</v>
      </c>
      <c r="D92" s="64">
        <v>107.38</v>
      </c>
      <c r="E92" s="64">
        <v>1.64</v>
      </c>
      <c r="F92" s="64">
        <v>4.21</v>
      </c>
      <c r="G92" s="64">
        <v>177.26</v>
      </c>
      <c r="H92" s="64">
        <v>107.24</v>
      </c>
      <c r="I92" s="64">
        <v>1.49</v>
      </c>
      <c r="J92" s="64">
        <v>0.09</v>
      </c>
      <c r="K92" s="64">
        <v>145.63</v>
      </c>
      <c r="L92" s="64">
        <v>16.54</v>
      </c>
      <c r="M92" s="64">
        <v>57.02</v>
      </c>
      <c r="N92" s="64">
        <v>66</v>
      </c>
      <c r="O92" s="64">
        <v>0</v>
      </c>
      <c r="P92" s="64">
        <v>3.33</v>
      </c>
      <c r="Q92" s="64">
        <v>6.08</v>
      </c>
      <c r="R92" s="198"/>
      <c r="S92" s="198"/>
      <c r="T92" s="198"/>
      <c r="U92" s="198"/>
    </row>
    <row r="93" spans="1:26" s="12" customFormat="1" x14ac:dyDescent="0.25">
      <c r="A93" s="214" t="s">
        <v>2348</v>
      </c>
      <c r="B93" s="64">
        <v>55.59</v>
      </c>
      <c r="C93" s="64">
        <v>110.84</v>
      </c>
      <c r="D93" s="64">
        <v>106.39</v>
      </c>
      <c r="E93" s="64">
        <v>1.63</v>
      </c>
      <c r="F93" s="64">
        <v>4.01</v>
      </c>
      <c r="G93" s="64">
        <v>177.26</v>
      </c>
      <c r="H93" s="64">
        <v>107.24</v>
      </c>
      <c r="I93" s="64">
        <v>1.5</v>
      </c>
      <c r="J93" s="64">
        <v>0.12</v>
      </c>
      <c r="K93" s="64">
        <v>354.73</v>
      </c>
      <c r="L93" s="64">
        <v>16.36</v>
      </c>
      <c r="M93" s="64">
        <v>59.8</v>
      </c>
      <c r="N93" s="64">
        <v>66.900000000000006</v>
      </c>
      <c r="O93" s="64">
        <v>0</v>
      </c>
      <c r="P93" s="64">
        <v>2.96</v>
      </c>
      <c r="Q93" s="64">
        <v>6.39</v>
      </c>
      <c r="R93" s="198"/>
      <c r="S93" s="198"/>
      <c r="T93" s="198"/>
      <c r="U93" s="198"/>
    </row>
    <row r="94" spans="1:26" s="12" customFormat="1" x14ac:dyDescent="0.25">
      <c r="A94" s="214" t="s">
        <v>2349</v>
      </c>
      <c r="B94" s="64">
        <v>58.01</v>
      </c>
      <c r="C94" s="64">
        <v>111.63</v>
      </c>
      <c r="D94" s="64">
        <v>108.77</v>
      </c>
      <c r="E94" s="64">
        <v>1.58</v>
      </c>
      <c r="F94" s="64">
        <v>3.83</v>
      </c>
      <c r="G94" s="64">
        <v>177.26</v>
      </c>
      <c r="H94" s="64">
        <v>107.24</v>
      </c>
      <c r="I94" s="64">
        <v>1.46</v>
      </c>
      <c r="J94" s="64">
        <v>0.17</v>
      </c>
      <c r="K94" s="64">
        <v>318.62</v>
      </c>
      <c r="L94" s="64">
        <v>15.5</v>
      </c>
      <c r="M94" s="64">
        <v>66.66</v>
      </c>
      <c r="N94" s="64">
        <v>68.5</v>
      </c>
      <c r="O94" s="64">
        <v>0</v>
      </c>
      <c r="P94" s="64">
        <v>3.82</v>
      </c>
      <c r="Q94" s="64">
        <v>0.99</v>
      </c>
      <c r="R94" s="198"/>
      <c r="S94" s="198"/>
      <c r="T94" s="198"/>
      <c r="U94" s="198"/>
    </row>
    <row r="95" spans="1:26" s="12" customFormat="1" x14ac:dyDescent="0.25">
      <c r="A95" s="214" t="s">
        <v>2350</v>
      </c>
      <c r="B95" s="64">
        <v>63.58</v>
      </c>
      <c r="C95" s="64">
        <v>112.83</v>
      </c>
      <c r="D95" s="64">
        <v>113.9</v>
      </c>
      <c r="E95" s="64">
        <v>1.56</v>
      </c>
      <c r="F95" s="64">
        <v>3.78</v>
      </c>
      <c r="G95" s="64">
        <v>182.83</v>
      </c>
      <c r="H95" s="64">
        <v>103.87</v>
      </c>
      <c r="I95" s="64">
        <v>1.52</v>
      </c>
      <c r="J95" s="64">
        <v>0.08</v>
      </c>
      <c r="K95" s="64">
        <v>295.43</v>
      </c>
      <c r="L95" s="64">
        <v>15.09</v>
      </c>
      <c r="M95" s="64">
        <v>67.31</v>
      </c>
      <c r="N95" s="64">
        <v>69.2</v>
      </c>
      <c r="O95" s="64">
        <v>0</v>
      </c>
      <c r="P95" s="64">
        <v>3.46</v>
      </c>
      <c r="Q95" s="64">
        <v>2.89</v>
      </c>
      <c r="R95" s="198"/>
      <c r="S95" s="198"/>
      <c r="T95" s="198"/>
      <c r="U95" s="198"/>
    </row>
    <row r="96" spans="1:26" s="12" customFormat="1" x14ac:dyDescent="0.25">
      <c r="A96" s="214" t="s">
        <v>2351</v>
      </c>
      <c r="B96" s="64">
        <v>69.31</v>
      </c>
      <c r="C96" s="64">
        <v>113.17</v>
      </c>
      <c r="D96" s="64">
        <v>118.68</v>
      </c>
      <c r="E96" s="64">
        <v>1.5</v>
      </c>
      <c r="F96" s="64">
        <v>3.49</v>
      </c>
      <c r="G96" s="64">
        <v>203.67</v>
      </c>
      <c r="H96" s="64">
        <v>94.68</v>
      </c>
      <c r="I96" s="64">
        <v>1.59</v>
      </c>
      <c r="J96" s="64">
        <v>0.08</v>
      </c>
      <c r="K96" s="64">
        <v>250.1</v>
      </c>
      <c r="L96" s="64">
        <v>14.67</v>
      </c>
      <c r="M96" s="64">
        <v>72.61</v>
      </c>
      <c r="N96" s="64">
        <v>69.2</v>
      </c>
      <c r="O96" s="64">
        <v>0</v>
      </c>
      <c r="P96" s="64">
        <v>3.58</v>
      </c>
      <c r="Q96" s="64">
        <v>0.96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2352</v>
      </c>
      <c r="B97" s="64">
        <v>74.06</v>
      </c>
      <c r="C97" s="64">
        <v>113.29</v>
      </c>
      <c r="D97" s="64">
        <v>122.55</v>
      </c>
      <c r="E97" s="64">
        <v>1.4</v>
      </c>
      <c r="F97" s="64">
        <v>3.78</v>
      </c>
      <c r="G97" s="64">
        <v>203.67</v>
      </c>
      <c r="H97" s="64">
        <v>94.68</v>
      </c>
      <c r="I97" s="64">
        <v>1.51</v>
      </c>
      <c r="J97" s="64">
        <v>0.06</v>
      </c>
      <c r="K97" s="64">
        <v>294.77999999999997</v>
      </c>
      <c r="L97" s="64">
        <v>14.32</v>
      </c>
      <c r="M97" s="64">
        <v>74.36</v>
      </c>
      <c r="N97" s="64">
        <v>68.599999999999994</v>
      </c>
      <c r="O97" s="64">
        <v>0</v>
      </c>
      <c r="P97" s="64">
        <v>3.02</v>
      </c>
      <c r="Q97" s="64">
        <v>3.9</v>
      </c>
      <c r="R97" s="198"/>
      <c r="S97" s="198"/>
      <c r="T97" s="198"/>
      <c r="U97" s="198"/>
    </row>
    <row r="98" spans="1:33" s="12" customFormat="1" x14ac:dyDescent="0.25">
      <c r="A98" s="214" t="s">
        <v>2353</v>
      </c>
      <c r="B98" s="64">
        <v>78.989999999999995</v>
      </c>
      <c r="C98" s="64">
        <v>113.14</v>
      </c>
      <c r="D98" s="64">
        <v>126.43</v>
      </c>
      <c r="E98" s="64">
        <v>1.46</v>
      </c>
      <c r="F98" s="64">
        <v>3.78</v>
      </c>
      <c r="G98" s="64">
        <v>203.67</v>
      </c>
      <c r="H98" s="64">
        <v>94.68</v>
      </c>
      <c r="I98" s="64">
        <v>1.49</v>
      </c>
      <c r="J98" s="64">
        <v>0.11</v>
      </c>
      <c r="K98" s="64">
        <v>318.94</v>
      </c>
      <c r="L98" s="64">
        <v>14.05</v>
      </c>
      <c r="M98" s="64">
        <v>78.239999999999995</v>
      </c>
      <c r="N98" s="64">
        <v>68.900000000000006</v>
      </c>
      <c r="O98" s="64">
        <v>0</v>
      </c>
      <c r="P98" s="64">
        <v>4</v>
      </c>
      <c r="Q98" s="64">
        <v>1.1399999999999999</v>
      </c>
      <c r="R98" s="198"/>
      <c r="S98" s="198"/>
      <c r="T98" s="198"/>
      <c r="U98" s="198"/>
    </row>
    <row r="99" spans="1:33" s="12" customFormat="1" x14ac:dyDescent="0.25">
      <c r="A99" s="214" t="s">
        <v>2354</v>
      </c>
      <c r="B99" s="64">
        <v>89.58</v>
      </c>
      <c r="C99" s="64">
        <v>114.09</v>
      </c>
      <c r="D99" s="64">
        <v>135.44</v>
      </c>
      <c r="E99" s="64">
        <v>1.5</v>
      </c>
      <c r="F99" s="64">
        <v>3.55</v>
      </c>
      <c r="G99" s="64">
        <v>212.83</v>
      </c>
      <c r="H99" s="64">
        <v>102.52</v>
      </c>
      <c r="I99" s="64">
        <v>1.47</v>
      </c>
      <c r="J99" s="64">
        <v>0.13</v>
      </c>
      <c r="K99" s="64">
        <v>283.74</v>
      </c>
      <c r="L99" s="64">
        <v>13.85</v>
      </c>
      <c r="M99" s="64">
        <v>78.38</v>
      </c>
      <c r="N99" s="64">
        <v>69</v>
      </c>
      <c r="O99" s="64">
        <v>0</v>
      </c>
      <c r="P99" s="64">
        <v>3.86</v>
      </c>
      <c r="Q99" s="8" t="s">
        <v>34</v>
      </c>
      <c r="R99" s="198"/>
      <c r="S99" s="198"/>
      <c r="T99" s="198"/>
      <c r="U99" s="198"/>
    </row>
    <row r="100" spans="1:33" s="12" customFormat="1" x14ac:dyDescent="0.25">
      <c r="A100" s="214" t="s">
        <v>2355</v>
      </c>
      <c r="B100" s="64">
        <v>99.23</v>
      </c>
      <c r="C100" s="64">
        <v>114.26</v>
      </c>
      <c r="D100" s="64">
        <v>143.28</v>
      </c>
      <c r="E100" s="64">
        <v>1.36</v>
      </c>
      <c r="F100" s="64">
        <v>3.72</v>
      </c>
      <c r="G100" s="64">
        <v>249.47</v>
      </c>
      <c r="H100" s="64">
        <v>123.85</v>
      </c>
      <c r="I100" s="64">
        <v>1.45</v>
      </c>
      <c r="J100" s="64">
        <v>0.11</v>
      </c>
      <c r="K100" s="64">
        <v>312.42</v>
      </c>
      <c r="L100" s="64">
        <v>13.7</v>
      </c>
      <c r="M100" s="64">
        <v>80.739999999999995</v>
      </c>
      <c r="N100" s="64">
        <v>69.900000000000006</v>
      </c>
      <c r="O100" s="64">
        <v>0</v>
      </c>
      <c r="P100" s="64">
        <v>3.98</v>
      </c>
      <c r="Q100" s="64">
        <v>0.48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2356</v>
      </c>
      <c r="B101" s="64">
        <v>107.31</v>
      </c>
      <c r="C101" s="64">
        <v>114.08</v>
      </c>
      <c r="D101" s="64">
        <v>149.66</v>
      </c>
      <c r="E101" s="64">
        <v>1.31</v>
      </c>
      <c r="F101" s="64">
        <v>3.73</v>
      </c>
      <c r="G101" s="64">
        <v>249.47</v>
      </c>
      <c r="H101" s="64">
        <v>123.85</v>
      </c>
      <c r="I101" s="64">
        <v>1.51</v>
      </c>
      <c r="J101" s="64">
        <v>0.04</v>
      </c>
      <c r="K101" s="64">
        <v>158.54</v>
      </c>
      <c r="L101" s="64">
        <v>13.39</v>
      </c>
      <c r="M101" s="64">
        <v>80.84</v>
      </c>
      <c r="N101" s="64">
        <v>71</v>
      </c>
      <c r="O101" s="64">
        <v>0</v>
      </c>
      <c r="P101" s="64">
        <v>3.43</v>
      </c>
      <c r="Q101" s="64">
        <v>4.28</v>
      </c>
      <c r="R101" s="198"/>
      <c r="S101" s="198"/>
      <c r="T101" s="198"/>
      <c r="U101" s="198"/>
    </row>
    <row r="102" spans="1:33" s="12" customFormat="1" x14ac:dyDescent="0.25">
      <c r="A102" s="214" t="s">
        <v>2357</v>
      </c>
      <c r="B102" s="64">
        <v>111.43</v>
      </c>
      <c r="C102" s="64">
        <v>113.51</v>
      </c>
      <c r="D102" s="64">
        <v>152.65</v>
      </c>
      <c r="E102" s="64">
        <v>1.29</v>
      </c>
      <c r="F102" s="64">
        <v>3.7</v>
      </c>
      <c r="G102" s="64">
        <v>249.47</v>
      </c>
      <c r="H102" s="64">
        <v>123.85</v>
      </c>
      <c r="I102" s="64">
        <v>1.55</v>
      </c>
      <c r="J102" s="64">
        <v>7.0000000000000007E-2</v>
      </c>
      <c r="K102" s="64">
        <v>282.56</v>
      </c>
      <c r="L102" s="64">
        <v>13.26</v>
      </c>
      <c r="M102" s="64">
        <v>82.88</v>
      </c>
      <c r="N102" s="64">
        <v>74.2</v>
      </c>
      <c r="O102" s="64">
        <v>0</v>
      </c>
      <c r="P102" s="64">
        <v>2.99</v>
      </c>
      <c r="Q102" s="64">
        <v>6.53</v>
      </c>
      <c r="R102" s="198"/>
      <c r="S102" s="198"/>
      <c r="T102" s="198"/>
      <c r="U102" s="198"/>
    </row>
    <row r="103" spans="1:33" s="12" customFormat="1" x14ac:dyDescent="0.25">
      <c r="A103" s="214" t="s">
        <v>2358</v>
      </c>
      <c r="B103" s="64">
        <v>114.72</v>
      </c>
      <c r="C103" s="64">
        <v>112.57</v>
      </c>
      <c r="D103" s="64">
        <v>154.77000000000001</v>
      </c>
      <c r="E103" s="64">
        <v>1.1100000000000001</v>
      </c>
      <c r="F103" s="64">
        <v>3.36</v>
      </c>
      <c r="G103" s="64">
        <v>244.18</v>
      </c>
      <c r="H103" s="64">
        <v>120.02</v>
      </c>
      <c r="I103" s="64">
        <v>1.44</v>
      </c>
      <c r="J103" s="64">
        <v>0.2</v>
      </c>
      <c r="K103" s="64">
        <v>259.02999999999997</v>
      </c>
      <c r="L103" s="64">
        <v>13.78</v>
      </c>
      <c r="M103" s="64">
        <v>76.22</v>
      </c>
      <c r="N103" s="64">
        <v>73.2</v>
      </c>
      <c r="O103" s="64">
        <v>0</v>
      </c>
      <c r="P103" s="64">
        <v>2.5</v>
      </c>
      <c r="Q103" s="64">
        <v>10.46</v>
      </c>
      <c r="R103" s="198"/>
      <c r="S103" s="198"/>
      <c r="T103" s="198"/>
      <c r="U103" s="198"/>
    </row>
    <row r="104" spans="1:33" s="12" customFormat="1" x14ac:dyDescent="0.25">
      <c r="A104" s="214" t="s">
        <v>2359</v>
      </c>
      <c r="B104" s="64">
        <v>113.32</v>
      </c>
      <c r="C104" s="64">
        <v>110.2</v>
      </c>
      <c r="D104" s="64">
        <v>152.34</v>
      </c>
      <c r="E104" s="64">
        <v>0.75</v>
      </c>
      <c r="F104" s="64">
        <v>3.26</v>
      </c>
      <c r="G104" s="64">
        <v>224.4</v>
      </c>
      <c r="H104" s="64">
        <v>109.61</v>
      </c>
      <c r="I104" s="64">
        <v>1.44</v>
      </c>
      <c r="J104" s="64">
        <v>0.17</v>
      </c>
      <c r="K104" s="64">
        <v>318.73</v>
      </c>
      <c r="L104" s="64">
        <v>13.5</v>
      </c>
      <c r="M104" s="64">
        <v>82.84</v>
      </c>
      <c r="N104" s="64">
        <v>77.3</v>
      </c>
      <c r="O104" s="64">
        <v>0</v>
      </c>
      <c r="P104" s="64">
        <v>2.66</v>
      </c>
      <c r="Q104" s="64">
        <v>14.72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1.35</v>
      </c>
      <c r="C106" s="67">
        <f>MIN(C9:C104)</f>
        <v>49.82</v>
      </c>
      <c r="D106" s="67">
        <f t="shared" ref="D106:Q106" si="0">MIN(D9:D104)</f>
        <v>29.22</v>
      </c>
      <c r="E106" s="67">
        <f t="shared" si="0"/>
        <v>0.35</v>
      </c>
      <c r="F106" s="67">
        <f t="shared" si="0"/>
        <v>3.05</v>
      </c>
      <c r="G106" s="67">
        <f t="shared" si="0"/>
        <v>60.29</v>
      </c>
      <c r="H106" s="67">
        <f t="shared" si="0"/>
        <v>5.46</v>
      </c>
      <c r="I106" s="67">
        <f t="shared" si="0"/>
        <v>1.38</v>
      </c>
      <c r="J106" s="67">
        <f t="shared" si="0"/>
        <v>0</v>
      </c>
      <c r="K106" s="67">
        <f t="shared" si="0"/>
        <v>1.2</v>
      </c>
      <c r="L106" s="67">
        <f t="shared" si="0"/>
        <v>9.77</v>
      </c>
      <c r="M106" s="67">
        <f t="shared" si="0"/>
        <v>25.48</v>
      </c>
      <c r="N106" s="67">
        <f t="shared" si="0"/>
        <v>52.7</v>
      </c>
      <c r="O106" s="67">
        <f t="shared" si="0"/>
        <v>0</v>
      </c>
      <c r="P106" s="67">
        <f t="shared" si="0"/>
        <v>0.46</v>
      </c>
      <c r="Q106" s="67">
        <f t="shared" si="0"/>
        <v>0.08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202.33</v>
      </c>
      <c r="C107" s="66">
        <f t="shared" ref="C107:Q107" si="1">MAX(C9:C104)</f>
        <v>114.26</v>
      </c>
      <c r="D107" s="66">
        <f t="shared" si="1"/>
        <v>216.86</v>
      </c>
      <c r="E107" s="66">
        <f t="shared" si="1"/>
        <v>7.34</v>
      </c>
      <c r="F107" s="66">
        <f t="shared" si="1"/>
        <v>43.14</v>
      </c>
      <c r="G107" s="66">
        <f t="shared" si="1"/>
        <v>277.37</v>
      </c>
      <c r="H107" s="66">
        <f t="shared" si="1"/>
        <v>453.18</v>
      </c>
      <c r="I107" s="66">
        <f t="shared" si="1"/>
        <v>1.59</v>
      </c>
      <c r="J107" s="66">
        <f t="shared" si="1"/>
        <v>1</v>
      </c>
      <c r="K107" s="66">
        <f t="shared" si="1"/>
        <v>356.92</v>
      </c>
      <c r="L107" s="66">
        <f t="shared" si="1"/>
        <v>26.1</v>
      </c>
      <c r="M107" s="66">
        <f t="shared" si="1"/>
        <v>94.19</v>
      </c>
      <c r="N107" s="66">
        <f t="shared" si="1"/>
        <v>670</v>
      </c>
      <c r="O107" s="66">
        <f t="shared" si="1"/>
        <v>0</v>
      </c>
      <c r="P107" s="66">
        <f t="shared" si="1"/>
        <v>5.29</v>
      </c>
      <c r="Q107" s="66">
        <f t="shared" si="1"/>
        <v>31.11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57.924895833333345</v>
      </c>
      <c r="C108" s="67">
        <f t="shared" ref="C108:Q108" si="2">AVERAGE(C9:C104)</f>
        <v>85.894479166666656</v>
      </c>
      <c r="D108" s="67">
        <f t="shared" si="2"/>
        <v>94.500625000000028</v>
      </c>
      <c r="E108" s="67">
        <f t="shared" si="2"/>
        <v>1.4995833333333339</v>
      </c>
      <c r="F108" s="67">
        <f t="shared" si="2"/>
        <v>9.9102083333333315</v>
      </c>
      <c r="G108" s="67">
        <f t="shared" si="2"/>
        <v>154.81187500000001</v>
      </c>
      <c r="H108" s="67">
        <f t="shared" si="2"/>
        <v>93.35458333333338</v>
      </c>
      <c r="I108" s="67">
        <f t="shared" si="2"/>
        <v>1.4934374999999998</v>
      </c>
      <c r="J108" s="67">
        <f t="shared" si="2"/>
        <v>0.2447916666666666</v>
      </c>
      <c r="K108" s="67">
        <f t="shared" si="2"/>
        <v>224.45499999999996</v>
      </c>
      <c r="L108" s="67">
        <f t="shared" si="2"/>
        <v>16.528020833333326</v>
      </c>
      <c r="M108" s="67">
        <f t="shared" si="2"/>
        <v>61.464687499999989</v>
      </c>
      <c r="N108" s="67">
        <f t="shared" si="2"/>
        <v>198.97708333333344</v>
      </c>
      <c r="O108" s="67">
        <f t="shared" si="2"/>
        <v>0</v>
      </c>
      <c r="P108" s="67">
        <f t="shared" si="2"/>
        <v>1.6813541666666667</v>
      </c>
      <c r="Q108" s="67">
        <f t="shared" si="2"/>
        <v>9.8531395348837219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49.350736996465386</v>
      </c>
      <c r="C109" s="67">
        <f t="shared" ref="C109:Q109" si="3">STDEV(C9:C104)</f>
        <v>17.535762007952904</v>
      </c>
      <c r="D109" s="67">
        <f t="shared" si="3"/>
        <v>43.816228375784988</v>
      </c>
      <c r="E109" s="67">
        <f t="shared" si="3"/>
        <v>1.1834026913204814</v>
      </c>
      <c r="F109" s="67">
        <f t="shared" si="3"/>
        <v>11.045410380898312</v>
      </c>
      <c r="G109" s="67">
        <f t="shared" si="3"/>
        <v>55.362095418065181</v>
      </c>
      <c r="H109" s="67">
        <f t="shared" si="3"/>
        <v>74.892172648649193</v>
      </c>
      <c r="I109" s="67">
        <f t="shared" si="3"/>
        <v>3.8928493826231578E-2</v>
      </c>
      <c r="J109" s="67">
        <f t="shared" si="3"/>
        <v>0.24975347494201963</v>
      </c>
      <c r="K109" s="67">
        <f t="shared" si="3"/>
        <v>102.99294056543791</v>
      </c>
      <c r="L109" s="67">
        <f t="shared" si="3"/>
        <v>5.1806792116766411</v>
      </c>
      <c r="M109" s="67">
        <f t="shared" si="3"/>
        <v>23.715044567714511</v>
      </c>
      <c r="N109" s="67">
        <f t="shared" si="3"/>
        <v>203.86581937981529</v>
      </c>
      <c r="O109" s="67">
        <f t="shared" si="3"/>
        <v>0</v>
      </c>
      <c r="P109" s="67">
        <f t="shared" si="3"/>
        <v>1.1717028721540441</v>
      </c>
      <c r="Q109" s="67">
        <f t="shared" si="3"/>
        <v>8.2353272389894823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COUNT(I9:I104)+45</f>
        <v>141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COUNT(Q9:Q104)+10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2360</v>
      </c>
      <c r="B9" s="64">
        <v>112.41</v>
      </c>
      <c r="C9" s="64">
        <v>108.45</v>
      </c>
      <c r="D9" s="64">
        <v>150.63999999999999</v>
      </c>
      <c r="E9" s="64">
        <v>1.1299999999999999</v>
      </c>
      <c r="F9" s="64">
        <v>3.17</v>
      </c>
      <c r="G9" s="64">
        <v>224.4</v>
      </c>
      <c r="H9" s="64">
        <v>109.61</v>
      </c>
      <c r="I9" s="64">
        <v>1.56</v>
      </c>
      <c r="J9" s="64">
        <v>0.14000000000000001</v>
      </c>
      <c r="K9" s="64">
        <v>273.3</v>
      </c>
      <c r="L9" s="64">
        <v>12.93</v>
      </c>
      <c r="M9" s="64">
        <v>86.73</v>
      </c>
      <c r="N9" s="64">
        <v>80.400000000000006</v>
      </c>
      <c r="O9" s="64">
        <v>0</v>
      </c>
      <c r="P9" s="64">
        <v>2.71</v>
      </c>
      <c r="Q9" s="64">
        <v>14.06</v>
      </c>
      <c r="S9" s="198"/>
      <c r="T9" s="198"/>
      <c r="U9" s="198"/>
    </row>
    <row r="10" spans="1:21" s="12" customFormat="1" x14ac:dyDescent="0.25">
      <c r="A10" s="214" t="s">
        <v>2361</v>
      </c>
      <c r="B10" s="64">
        <v>112.41</v>
      </c>
      <c r="C10" s="64">
        <v>108.45</v>
      </c>
      <c r="D10" s="64">
        <v>150.63999999999999</v>
      </c>
      <c r="E10" s="64">
        <v>1.1299999999999999</v>
      </c>
      <c r="F10" s="64">
        <v>3.17</v>
      </c>
      <c r="G10" s="64">
        <v>224.4</v>
      </c>
      <c r="H10" s="64">
        <v>109.61</v>
      </c>
      <c r="I10" s="64">
        <v>1.56</v>
      </c>
      <c r="J10" s="64">
        <v>0.14000000000000001</v>
      </c>
      <c r="K10" s="64">
        <v>273.3</v>
      </c>
      <c r="L10" s="64">
        <v>12.93</v>
      </c>
      <c r="M10" s="64">
        <v>86.73</v>
      </c>
      <c r="N10" s="64">
        <v>80.400000000000006</v>
      </c>
      <c r="O10" s="64">
        <v>0</v>
      </c>
      <c r="P10" s="64">
        <v>2.71</v>
      </c>
      <c r="Q10" s="64">
        <v>14.06</v>
      </c>
      <c r="S10" s="198"/>
      <c r="T10" s="198"/>
      <c r="U10" s="198"/>
    </row>
    <row r="11" spans="1:21" s="12" customFormat="1" x14ac:dyDescent="0.25">
      <c r="A11" s="214" t="s">
        <v>2362</v>
      </c>
      <c r="B11" s="64">
        <v>107.18</v>
      </c>
      <c r="C11" s="64">
        <v>104.43</v>
      </c>
      <c r="D11" s="64">
        <v>144.22999999999999</v>
      </c>
      <c r="E11" s="64">
        <v>1.06</v>
      </c>
      <c r="F11" s="64">
        <v>3.27</v>
      </c>
      <c r="G11" s="64">
        <v>221.64</v>
      </c>
      <c r="H11" s="64">
        <v>108.78</v>
      </c>
      <c r="I11" s="64">
        <v>1.43</v>
      </c>
      <c r="J11" s="64">
        <v>0.11</v>
      </c>
      <c r="K11" s="64">
        <v>296.39</v>
      </c>
      <c r="L11" s="64">
        <v>12.73</v>
      </c>
      <c r="M11" s="64">
        <v>84.98</v>
      </c>
      <c r="N11" s="64">
        <v>86.4</v>
      </c>
      <c r="O11" s="64">
        <v>0</v>
      </c>
      <c r="P11" s="64">
        <v>2.06</v>
      </c>
      <c r="Q11" s="64">
        <v>17</v>
      </c>
      <c r="S11" s="198"/>
      <c r="T11" s="198"/>
      <c r="U11" s="198"/>
    </row>
    <row r="12" spans="1:21" s="12" customFormat="1" x14ac:dyDescent="0.25">
      <c r="A12" s="214" t="s">
        <v>2363</v>
      </c>
      <c r="B12" s="64">
        <v>104.1</v>
      </c>
      <c r="C12" s="64">
        <v>101.33</v>
      </c>
      <c r="D12" s="64">
        <v>140.05000000000001</v>
      </c>
      <c r="E12" s="64">
        <v>1.02</v>
      </c>
      <c r="F12" s="64">
        <v>3.11</v>
      </c>
      <c r="G12" s="64">
        <v>202.91</v>
      </c>
      <c r="H12" s="64">
        <v>101.36</v>
      </c>
      <c r="I12" s="64">
        <v>1.52</v>
      </c>
      <c r="J12" s="64">
        <v>0.17</v>
      </c>
      <c r="K12" s="64">
        <v>318.83</v>
      </c>
      <c r="L12" s="64">
        <v>12.42</v>
      </c>
      <c r="M12" s="64">
        <v>87.86</v>
      </c>
      <c r="N12" s="64">
        <v>85.3</v>
      </c>
      <c r="O12" s="64">
        <v>0</v>
      </c>
      <c r="P12" s="64">
        <v>2.0299999999999998</v>
      </c>
      <c r="Q12" s="64">
        <v>14.89</v>
      </c>
      <c r="S12" s="198"/>
      <c r="T12" s="198"/>
      <c r="U12" s="198"/>
    </row>
    <row r="13" spans="1:21" s="12" customFormat="1" x14ac:dyDescent="0.25">
      <c r="A13" s="214" t="s">
        <v>2364</v>
      </c>
      <c r="B13" s="64">
        <v>101.73</v>
      </c>
      <c r="C13" s="64">
        <v>99.4</v>
      </c>
      <c r="D13" s="64">
        <v>137.08000000000001</v>
      </c>
      <c r="E13" s="64">
        <v>0.91</v>
      </c>
      <c r="F13" s="64">
        <v>3.32</v>
      </c>
      <c r="G13" s="64">
        <v>202.91</v>
      </c>
      <c r="H13" s="64">
        <v>101.36</v>
      </c>
      <c r="I13" s="64">
        <v>1.55</v>
      </c>
      <c r="J13" s="64">
        <v>0.06</v>
      </c>
      <c r="K13" s="64">
        <v>224.41</v>
      </c>
      <c r="L13" s="64">
        <v>12.57</v>
      </c>
      <c r="M13" s="64">
        <v>87.81</v>
      </c>
      <c r="N13" s="64">
        <v>97</v>
      </c>
      <c r="O13" s="64">
        <v>0</v>
      </c>
      <c r="P13" s="64">
        <v>1.76</v>
      </c>
      <c r="Q13" s="64">
        <v>16.239999999999998</v>
      </c>
      <c r="S13" s="198"/>
      <c r="T13" s="198"/>
      <c r="U13" s="198"/>
    </row>
    <row r="14" spans="1:21" s="12" customFormat="1" x14ac:dyDescent="0.25">
      <c r="A14" s="214" t="s">
        <v>2365</v>
      </c>
      <c r="B14" s="64">
        <v>97.75</v>
      </c>
      <c r="C14" s="64">
        <v>97.67</v>
      </c>
      <c r="D14" s="64">
        <v>132.94</v>
      </c>
      <c r="E14" s="64">
        <v>0.84</v>
      </c>
      <c r="F14" s="64">
        <v>3.23</v>
      </c>
      <c r="G14" s="64">
        <v>202.91</v>
      </c>
      <c r="H14" s="64">
        <v>101.36</v>
      </c>
      <c r="I14" s="64">
        <v>1.53</v>
      </c>
      <c r="J14" s="64">
        <v>0.14000000000000001</v>
      </c>
      <c r="K14" s="64">
        <v>326.32</v>
      </c>
      <c r="L14" s="64">
        <v>12.6</v>
      </c>
      <c r="M14" s="64">
        <v>90.01</v>
      </c>
      <c r="N14" s="64">
        <v>77.400000000000006</v>
      </c>
      <c r="O14" s="64">
        <v>0</v>
      </c>
      <c r="P14" s="64">
        <v>1.66</v>
      </c>
      <c r="Q14" s="64">
        <v>18.46</v>
      </c>
      <c r="S14" s="198"/>
      <c r="T14" s="198"/>
      <c r="U14" s="198"/>
    </row>
    <row r="15" spans="1:21" s="12" customFormat="1" x14ac:dyDescent="0.25">
      <c r="A15" s="214" t="s">
        <v>2366</v>
      </c>
      <c r="B15" s="64">
        <v>93.17</v>
      </c>
      <c r="C15" s="64">
        <v>95.69</v>
      </c>
      <c r="D15" s="64">
        <v>128.16999999999999</v>
      </c>
      <c r="E15" s="64">
        <v>0.8</v>
      </c>
      <c r="F15" s="64">
        <v>3.47</v>
      </c>
      <c r="G15" s="64">
        <v>199.8</v>
      </c>
      <c r="H15" s="64">
        <v>99.24</v>
      </c>
      <c r="I15" s="64">
        <v>1.44</v>
      </c>
      <c r="J15" s="64">
        <v>0.08</v>
      </c>
      <c r="K15" s="64">
        <v>249.64</v>
      </c>
      <c r="L15" s="64">
        <v>12.39</v>
      </c>
      <c r="M15" s="64">
        <v>91.7</v>
      </c>
      <c r="N15" s="64">
        <v>82.2</v>
      </c>
      <c r="O15" s="64">
        <v>0</v>
      </c>
      <c r="P15" s="64">
        <v>1.64</v>
      </c>
      <c r="Q15" s="64">
        <v>18.77</v>
      </c>
      <c r="S15" s="198"/>
      <c r="T15" s="198"/>
      <c r="U15" s="198"/>
    </row>
    <row r="16" spans="1:21" s="12" customFormat="1" x14ac:dyDescent="0.25">
      <c r="A16" s="214" t="s">
        <v>2367</v>
      </c>
      <c r="B16" s="64">
        <v>89.03</v>
      </c>
      <c r="C16" s="64">
        <v>93.43</v>
      </c>
      <c r="D16" s="64">
        <v>123.6</v>
      </c>
      <c r="E16" s="64">
        <v>0.74</v>
      </c>
      <c r="F16" s="64">
        <v>3.5</v>
      </c>
      <c r="G16" s="64">
        <v>187.38</v>
      </c>
      <c r="H16" s="64">
        <v>93.48</v>
      </c>
      <c r="I16" s="64">
        <v>1.48</v>
      </c>
      <c r="J16" s="64">
        <v>0.13</v>
      </c>
      <c r="K16" s="64">
        <v>291.67</v>
      </c>
      <c r="L16" s="64">
        <v>12.42</v>
      </c>
      <c r="M16" s="64">
        <v>93.4</v>
      </c>
      <c r="N16" s="64">
        <v>77.099999999999994</v>
      </c>
      <c r="O16" s="64">
        <v>0</v>
      </c>
      <c r="P16" s="64">
        <v>1.68</v>
      </c>
      <c r="Q16" s="64">
        <v>18.11</v>
      </c>
      <c r="S16" s="198"/>
      <c r="T16" s="198"/>
      <c r="U16" s="198"/>
    </row>
    <row r="17" spans="1:21" s="12" customFormat="1" x14ac:dyDescent="0.25">
      <c r="A17" s="214" t="s">
        <v>2368</v>
      </c>
      <c r="B17" s="64">
        <v>85.44</v>
      </c>
      <c r="C17" s="64">
        <v>91.2</v>
      </c>
      <c r="D17" s="64">
        <v>119.49</v>
      </c>
      <c r="E17" s="64">
        <v>0.68</v>
      </c>
      <c r="F17" s="64">
        <v>3.6</v>
      </c>
      <c r="G17" s="64">
        <v>187.38</v>
      </c>
      <c r="H17" s="64">
        <v>93.48</v>
      </c>
      <c r="I17" s="64">
        <v>1.47</v>
      </c>
      <c r="J17" s="64">
        <v>0.06</v>
      </c>
      <c r="K17" s="64">
        <v>272.61</v>
      </c>
      <c r="L17" s="64">
        <v>12.3</v>
      </c>
      <c r="M17" s="64">
        <v>94.32</v>
      </c>
      <c r="N17" s="64">
        <v>88.7</v>
      </c>
      <c r="O17" s="64">
        <v>0</v>
      </c>
      <c r="P17" s="64">
        <v>1.6</v>
      </c>
      <c r="Q17" s="64">
        <v>17.350000000000001</v>
      </c>
      <c r="S17" s="198"/>
      <c r="T17" s="198"/>
      <c r="U17" s="198"/>
    </row>
    <row r="18" spans="1:21" s="12" customFormat="1" x14ac:dyDescent="0.25">
      <c r="A18" s="214" t="s">
        <v>2369</v>
      </c>
      <c r="B18" s="64">
        <v>82.47</v>
      </c>
      <c r="C18" s="64">
        <v>88.4</v>
      </c>
      <c r="D18" s="64">
        <v>115.57</v>
      </c>
      <c r="E18" s="64">
        <v>0.77</v>
      </c>
      <c r="F18" s="64">
        <v>3.57</v>
      </c>
      <c r="G18" s="64">
        <v>187.38</v>
      </c>
      <c r="H18" s="64">
        <v>93.48</v>
      </c>
      <c r="I18" s="64">
        <v>1.51</v>
      </c>
      <c r="J18" s="64">
        <v>0.06</v>
      </c>
      <c r="K18" s="64">
        <v>298.7</v>
      </c>
      <c r="L18" s="64">
        <v>12.05</v>
      </c>
      <c r="M18" s="64">
        <v>95.52</v>
      </c>
      <c r="N18" s="64">
        <v>93.2</v>
      </c>
      <c r="O18" s="64">
        <v>0</v>
      </c>
      <c r="P18" s="64">
        <v>1.57</v>
      </c>
      <c r="Q18" s="64">
        <v>16.579999999999998</v>
      </c>
      <c r="S18" s="198"/>
      <c r="T18" s="198"/>
      <c r="U18" s="198"/>
    </row>
    <row r="19" spans="1:21" s="12" customFormat="1" x14ac:dyDescent="0.25">
      <c r="A19" s="214" t="s">
        <v>2370</v>
      </c>
      <c r="B19" s="64">
        <v>80.75</v>
      </c>
      <c r="C19" s="64">
        <v>85.95</v>
      </c>
      <c r="D19" s="64">
        <v>112.84</v>
      </c>
      <c r="E19" s="64">
        <v>0.77</v>
      </c>
      <c r="F19" s="64">
        <v>3.3</v>
      </c>
      <c r="G19" s="64">
        <v>185.88</v>
      </c>
      <c r="H19" s="64">
        <v>94.96</v>
      </c>
      <c r="I19" s="64">
        <v>1.54</v>
      </c>
      <c r="J19" s="64">
        <v>0.15</v>
      </c>
      <c r="K19" s="64">
        <v>315.23</v>
      </c>
      <c r="L19" s="64">
        <v>11.85</v>
      </c>
      <c r="M19" s="64">
        <v>97.5</v>
      </c>
      <c r="N19" s="64">
        <v>88.7</v>
      </c>
      <c r="O19" s="64">
        <v>0</v>
      </c>
      <c r="P19" s="64">
        <v>1.6</v>
      </c>
      <c r="Q19" s="64">
        <v>14.89</v>
      </c>
      <c r="S19" s="198"/>
      <c r="T19" s="198"/>
      <c r="U19" s="198"/>
    </row>
    <row r="20" spans="1:21" s="12" customFormat="1" x14ac:dyDescent="0.25">
      <c r="A20" s="214" t="s">
        <v>2371</v>
      </c>
      <c r="B20" s="64">
        <v>78.64</v>
      </c>
      <c r="C20" s="64">
        <v>84.31</v>
      </c>
      <c r="D20" s="64">
        <v>110.24</v>
      </c>
      <c r="E20" s="64">
        <v>0.66</v>
      </c>
      <c r="F20" s="64">
        <v>3.11</v>
      </c>
      <c r="G20" s="64">
        <v>179.87</v>
      </c>
      <c r="H20" s="64">
        <v>99</v>
      </c>
      <c r="I20" s="64">
        <v>1.49</v>
      </c>
      <c r="J20" s="64">
        <v>0.05</v>
      </c>
      <c r="K20" s="64">
        <v>250.45</v>
      </c>
      <c r="L20" s="64">
        <v>12.07</v>
      </c>
      <c r="M20" s="64">
        <v>93.64</v>
      </c>
      <c r="N20" s="64">
        <v>85.3</v>
      </c>
      <c r="O20" s="64">
        <v>0</v>
      </c>
      <c r="P20" s="64">
        <v>1.68</v>
      </c>
      <c r="Q20" s="64">
        <v>15.26</v>
      </c>
      <c r="S20" s="198"/>
      <c r="T20" s="198"/>
      <c r="U20" s="198"/>
    </row>
    <row r="21" spans="1:21" s="12" customFormat="1" x14ac:dyDescent="0.25">
      <c r="A21" s="214" t="s">
        <v>2372</v>
      </c>
      <c r="B21" s="64">
        <v>75.239999999999995</v>
      </c>
      <c r="C21" s="64">
        <v>83.27</v>
      </c>
      <c r="D21" s="64">
        <v>106.94</v>
      </c>
      <c r="E21" s="64">
        <v>0.75</v>
      </c>
      <c r="F21" s="64">
        <v>3.23</v>
      </c>
      <c r="G21" s="64">
        <v>179.87</v>
      </c>
      <c r="H21" s="64">
        <v>99</v>
      </c>
      <c r="I21" s="64">
        <v>1.5</v>
      </c>
      <c r="J21" s="64">
        <v>7.0000000000000007E-2</v>
      </c>
      <c r="K21" s="64">
        <v>292.51</v>
      </c>
      <c r="L21" s="64">
        <v>12.29</v>
      </c>
      <c r="M21" s="64">
        <v>89.15</v>
      </c>
      <c r="N21" s="64">
        <v>67.3</v>
      </c>
      <c r="O21" s="64">
        <v>0</v>
      </c>
      <c r="P21" s="64">
        <v>1.86</v>
      </c>
      <c r="Q21" s="64">
        <v>16.13</v>
      </c>
      <c r="S21" s="198"/>
      <c r="T21" s="198"/>
      <c r="U21" s="198"/>
    </row>
    <row r="22" spans="1:21" s="12" customFormat="1" x14ac:dyDescent="0.25">
      <c r="A22" s="214" t="s">
        <v>2373</v>
      </c>
      <c r="B22" s="64">
        <v>71.38</v>
      </c>
      <c r="C22" s="64">
        <v>82.47</v>
      </c>
      <c r="D22" s="64">
        <v>103.41</v>
      </c>
      <c r="E22" s="64">
        <v>0.76</v>
      </c>
      <c r="F22" s="64">
        <v>3.24</v>
      </c>
      <c r="G22" s="64">
        <v>179.87</v>
      </c>
      <c r="H22" s="64">
        <v>99</v>
      </c>
      <c r="I22" s="64">
        <v>1.42</v>
      </c>
      <c r="J22" s="64">
        <v>0.06</v>
      </c>
      <c r="K22" s="64">
        <v>312.05</v>
      </c>
      <c r="L22" s="64">
        <v>12.15</v>
      </c>
      <c r="M22" s="64">
        <v>90.24</v>
      </c>
      <c r="N22" s="64">
        <v>73.3</v>
      </c>
      <c r="O22" s="64">
        <v>0</v>
      </c>
      <c r="P22" s="64">
        <v>1.78</v>
      </c>
      <c r="Q22" s="64">
        <v>15.6</v>
      </c>
      <c r="S22" s="198"/>
      <c r="T22" s="198"/>
      <c r="U22" s="198"/>
    </row>
    <row r="23" spans="1:21" s="12" customFormat="1" x14ac:dyDescent="0.25">
      <c r="A23" s="214" t="s">
        <v>2374</v>
      </c>
      <c r="B23" s="64">
        <v>68.91</v>
      </c>
      <c r="C23" s="64">
        <v>81.37</v>
      </c>
      <c r="D23" s="64">
        <v>100.81</v>
      </c>
      <c r="E23" s="64">
        <v>0.78</v>
      </c>
      <c r="F23" s="64">
        <v>3.26</v>
      </c>
      <c r="G23" s="64">
        <v>182.55</v>
      </c>
      <c r="H23" s="64">
        <v>103.41</v>
      </c>
      <c r="I23" s="64">
        <v>1.51</v>
      </c>
      <c r="J23" s="64">
        <v>0.03</v>
      </c>
      <c r="K23" s="64">
        <v>267.70999999999998</v>
      </c>
      <c r="L23" s="64">
        <v>12.09</v>
      </c>
      <c r="M23" s="64">
        <v>91.45</v>
      </c>
      <c r="N23" s="64">
        <v>88.2</v>
      </c>
      <c r="O23" s="64">
        <v>0</v>
      </c>
      <c r="P23" s="64">
        <v>1.75</v>
      </c>
      <c r="Q23" s="64">
        <v>13.24</v>
      </c>
      <c r="S23" s="198"/>
      <c r="T23" s="198"/>
      <c r="U23" s="198"/>
    </row>
    <row r="24" spans="1:21" s="12" customFormat="1" x14ac:dyDescent="0.25">
      <c r="A24" s="214" t="s">
        <v>2375</v>
      </c>
      <c r="B24" s="64">
        <v>66.8</v>
      </c>
      <c r="C24" s="64">
        <v>81.03</v>
      </c>
      <c r="D24" s="64">
        <v>98.94</v>
      </c>
      <c r="E24" s="64">
        <v>0.43</v>
      </c>
      <c r="F24" s="64">
        <v>3.42</v>
      </c>
      <c r="G24" s="64">
        <v>193.24</v>
      </c>
      <c r="H24" s="64">
        <v>115.4</v>
      </c>
      <c r="I24" s="64">
        <v>1.48</v>
      </c>
      <c r="J24" s="64">
        <v>0.11</v>
      </c>
      <c r="K24" s="64">
        <v>119.42</v>
      </c>
      <c r="L24" s="64">
        <v>12.05</v>
      </c>
      <c r="M24" s="64">
        <v>89.19</v>
      </c>
      <c r="N24" s="64">
        <v>81</v>
      </c>
      <c r="O24" s="64">
        <v>0</v>
      </c>
      <c r="P24" s="64">
        <v>1.53</v>
      </c>
      <c r="Q24" s="64">
        <v>13.62</v>
      </c>
      <c r="S24" s="198"/>
      <c r="T24" s="198"/>
      <c r="U24" s="198"/>
    </row>
    <row r="25" spans="1:21" s="12" customFormat="1" x14ac:dyDescent="0.25">
      <c r="A25" s="214" t="s">
        <v>2376</v>
      </c>
      <c r="B25" s="64">
        <v>63.66</v>
      </c>
      <c r="C25" s="64">
        <v>80.34</v>
      </c>
      <c r="D25" s="64">
        <v>96.04</v>
      </c>
      <c r="E25" s="64">
        <v>0.71</v>
      </c>
      <c r="F25" s="64">
        <v>3.61</v>
      </c>
      <c r="G25" s="64">
        <v>193.24</v>
      </c>
      <c r="H25" s="64">
        <v>115.4</v>
      </c>
      <c r="I25" s="64">
        <v>1.48</v>
      </c>
      <c r="J25" s="64">
        <v>0.03</v>
      </c>
      <c r="K25" s="64">
        <v>57.84</v>
      </c>
      <c r="L25" s="64">
        <v>12.4</v>
      </c>
      <c r="M25" s="64">
        <v>80.88</v>
      </c>
      <c r="N25" s="64">
        <v>85.2</v>
      </c>
      <c r="O25" s="64">
        <v>0</v>
      </c>
      <c r="P25" s="64">
        <v>1.27</v>
      </c>
      <c r="Q25" s="64">
        <v>14.48</v>
      </c>
      <c r="S25" s="198"/>
      <c r="T25" s="198"/>
      <c r="U25" s="198"/>
    </row>
    <row r="26" spans="1:21" s="12" customFormat="1" x14ac:dyDescent="0.25">
      <c r="A26" s="214" t="s">
        <v>2377</v>
      </c>
      <c r="B26" s="64">
        <v>59.76</v>
      </c>
      <c r="C26" s="64">
        <v>80.06</v>
      </c>
      <c r="D26" s="64">
        <v>92.75</v>
      </c>
      <c r="E26" s="64">
        <v>0.74</v>
      </c>
      <c r="F26" s="64">
        <v>3.52</v>
      </c>
      <c r="G26" s="64">
        <v>193.24</v>
      </c>
      <c r="H26" s="64">
        <v>115.4</v>
      </c>
      <c r="I26" s="64">
        <v>1.49</v>
      </c>
      <c r="J26" s="64">
        <v>0.13</v>
      </c>
      <c r="K26" s="64">
        <v>82.76</v>
      </c>
      <c r="L26" s="64">
        <v>12.47</v>
      </c>
      <c r="M26" s="64">
        <v>81.37</v>
      </c>
      <c r="N26" s="64">
        <v>78.7</v>
      </c>
      <c r="O26" s="64">
        <v>0</v>
      </c>
      <c r="P26" s="64">
        <v>1.33</v>
      </c>
      <c r="Q26" s="64">
        <v>14.56</v>
      </c>
      <c r="S26" s="198"/>
      <c r="T26" s="198"/>
      <c r="U26" s="198"/>
    </row>
    <row r="27" spans="1:21" s="12" customFormat="1" x14ac:dyDescent="0.25">
      <c r="A27" s="214" t="s">
        <v>2378</v>
      </c>
      <c r="B27" s="64">
        <v>55.88</v>
      </c>
      <c r="C27" s="64">
        <v>79.489999999999995</v>
      </c>
      <c r="D27" s="64">
        <v>89.33</v>
      </c>
      <c r="E27" s="64">
        <v>0.73</v>
      </c>
      <c r="F27" s="64">
        <v>3.5</v>
      </c>
      <c r="G27" s="64">
        <v>191.37</v>
      </c>
      <c r="H27" s="64">
        <v>114.41</v>
      </c>
      <c r="I27" s="64">
        <v>1.51</v>
      </c>
      <c r="J27" s="64">
        <v>0.43</v>
      </c>
      <c r="K27" s="64">
        <v>115.56</v>
      </c>
      <c r="L27" s="64">
        <v>12.83</v>
      </c>
      <c r="M27" s="64">
        <v>77.95</v>
      </c>
      <c r="N27" s="64">
        <v>79.8</v>
      </c>
      <c r="O27" s="64">
        <v>0</v>
      </c>
      <c r="P27" s="64">
        <v>1.24</v>
      </c>
      <c r="Q27" s="64">
        <v>14.33</v>
      </c>
      <c r="S27" s="198"/>
      <c r="T27" s="198"/>
      <c r="U27" s="198"/>
    </row>
    <row r="28" spans="1:21" s="12" customFormat="1" x14ac:dyDescent="0.25">
      <c r="A28" s="214" t="s">
        <v>2379</v>
      </c>
      <c r="B28" s="64">
        <v>52.15</v>
      </c>
      <c r="C28" s="64">
        <v>79.36</v>
      </c>
      <c r="D28" s="64">
        <v>86.26</v>
      </c>
      <c r="E28" s="64">
        <v>0.91</v>
      </c>
      <c r="F28" s="64">
        <v>3.82</v>
      </c>
      <c r="G28" s="64">
        <v>183.88</v>
      </c>
      <c r="H28" s="64">
        <v>109.95</v>
      </c>
      <c r="I28" s="64">
        <v>1.5</v>
      </c>
      <c r="J28" s="64">
        <v>0.3</v>
      </c>
      <c r="K28" s="64">
        <v>104.95</v>
      </c>
      <c r="L28" s="64">
        <v>13.22</v>
      </c>
      <c r="M28" s="64">
        <v>75.86</v>
      </c>
      <c r="N28" s="64">
        <v>85.6</v>
      </c>
      <c r="O28" s="64">
        <v>0</v>
      </c>
      <c r="P28" s="64">
        <v>1.34</v>
      </c>
      <c r="Q28" s="64">
        <v>14.08</v>
      </c>
      <c r="S28" s="198"/>
      <c r="T28" s="198"/>
      <c r="U28" s="198"/>
    </row>
    <row r="29" spans="1:21" s="12" customFormat="1" x14ac:dyDescent="0.25">
      <c r="A29" s="214" t="s">
        <v>2380</v>
      </c>
      <c r="B29" s="64">
        <v>48.89</v>
      </c>
      <c r="C29" s="64">
        <v>79.05</v>
      </c>
      <c r="D29" s="64">
        <v>83.48</v>
      </c>
      <c r="E29" s="64">
        <v>1.01</v>
      </c>
      <c r="F29" s="64">
        <v>3.8</v>
      </c>
      <c r="G29" s="64">
        <v>183.88</v>
      </c>
      <c r="H29" s="64">
        <v>109.95</v>
      </c>
      <c r="I29" s="64">
        <v>1.48</v>
      </c>
      <c r="J29" s="64">
        <v>0.13</v>
      </c>
      <c r="K29" s="64">
        <v>55.36</v>
      </c>
      <c r="L29" s="64">
        <v>13.19</v>
      </c>
      <c r="M29" s="64">
        <v>75.72</v>
      </c>
      <c r="N29" s="64">
        <v>81.7</v>
      </c>
      <c r="O29" s="64">
        <v>0</v>
      </c>
      <c r="P29" s="64">
        <v>1.44</v>
      </c>
      <c r="Q29" s="64">
        <v>12.45</v>
      </c>
      <c r="S29" s="198"/>
      <c r="T29" s="198"/>
      <c r="U29" s="198"/>
    </row>
    <row r="30" spans="1:21" s="12" customFormat="1" x14ac:dyDescent="0.25">
      <c r="A30" s="214" t="s">
        <v>2381</v>
      </c>
      <c r="B30" s="64">
        <v>46.24</v>
      </c>
      <c r="C30" s="64">
        <v>78.88</v>
      </c>
      <c r="D30" s="64">
        <v>81.260000000000005</v>
      </c>
      <c r="E30" s="64">
        <v>1.08</v>
      </c>
      <c r="F30" s="64">
        <v>4.3899999999999997</v>
      </c>
      <c r="G30" s="64">
        <v>183.88</v>
      </c>
      <c r="H30" s="64">
        <v>109.95</v>
      </c>
      <c r="I30" s="64">
        <v>1.46</v>
      </c>
      <c r="J30" s="64">
        <v>0.34</v>
      </c>
      <c r="K30" s="64">
        <v>101.58</v>
      </c>
      <c r="L30" s="64">
        <v>13.2</v>
      </c>
      <c r="M30" s="64">
        <v>73.67</v>
      </c>
      <c r="N30" s="64">
        <v>85.7</v>
      </c>
      <c r="O30" s="64">
        <v>0</v>
      </c>
      <c r="P30" s="64">
        <v>1.31</v>
      </c>
      <c r="Q30" s="64">
        <v>11.66</v>
      </c>
      <c r="S30" s="198"/>
      <c r="T30" s="198"/>
      <c r="U30" s="198"/>
    </row>
    <row r="31" spans="1:21" s="12" customFormat="1" x14ac:dyDescent="0.25">
      <c r="A31" s="214" t="s">
        <v>2382</v>
      </c>
      <c r="B31" s="64">
        <v>42.79</v>
      </c>
      <c r="C31" s="64">
        <v>78.94</v>
      </c>
      <c r="D31" s="64">
        <v>78.53</v>
      </c>
      <c r="E31" s="64">
        <v>1.06</v>
      </c>
      <c r="F31" s="64">
        <v>5.8</v>
      </c>
      <c r="G31" s="64">
        <v>186.51</v>
      </c>
      <c r="H31" s="64">
        <v>109.27</v>
      </c>
      <c r="I31" s="64">
        <v>1.48</v>
      </c>
      <c r="J31" s="64">
        <v>0.13</v>
      </c>
      <c r="K31" s="64">
        <v>338.72</v>
      </c>
      <c r="L31" s="64">
        <v>13.33</v>
      </c>
      <c r="M31" s="64">
        <v>72.930000000000007</v>
      </c>
      <c r="N31" s="64">
        <v>94.6</v>
      </c>
      <c r="O31" s="64">
        <v>0</v>
      </c>
      <c r="P31" s="64">
        <v>1.02</v>
      </c>
      <c r="Q31" s="64">
        <v>12.71</v>
      </c>
      <c r="S31" s="198"/>
      <c r="T31" s="198"/>
      <c r="U31" s="198"/>
    </row>
    <row r="32" spans="1:21" s="12" customFormat="1" x14ac:dyDescent="0.25">
      <c r="A32" s="214" t="s">
        <v>2383</v>
      </c>
      <c r="B32" s="64">
        <v>39.729999999999997</v>
      </c>
      <c r="C32" s="64">
        <v>79.37</v>
      </c>
      <c r="D32" s="64">
        <v>76.31</v>
      </c>
      <c r="E32" s="64">
        <v>1.17</v>
      </c>
      <c r="F32" s="64">
        <v>5.28</v>
      </c>
      <c r="G32" s="64">
        <v>197.05</v>
      </c>
      <c r="H32" s="64">
        <v>107.4</v>
      </c>
      <c r="I32" s="64">
        <v>1.51</v>
      </c>
      <c r="J32" s="64">
        <v>0.14000000000000001</v>
      </c>
      <c r="K32" s="64">
        <v>100.22</v>
      </c>
      <c r="L32" s="64">
        <v>13.3</v>
      </c>
      <c r="M32" s="64">
        <v>73.56</v>
      </c>
      <c r="N32" s="64">
        <v>103.1</v>
      </c>
      <c r="O32" s="64">
        <v>0</v>
      </c>
      <c r="P32" s="64">
        <v>0.94</v>
      </c>
      <c r="Q32" s="64">
        <v>10.72</v>
      </c>
      <c r="S32" s="198"/>
      <c r="T32" s="198"/>
      <c r="U32" s="198"/>
    </row>
    <row r="33" spans="1:21" s="12" customFormat="1" x14ac:dyDescent="0.25">
      <c r="A33" s="214" t="s">
        <v>2384</v>
      </c>
      <c r="B33" s="64">
        <v>36.74</v>
      </c>
      <c r="C33" s="64">
        <v>79.5</v>
      </c>
      <c r="D33" s="64">
        <v>73.98</v>
      </c>
      <c r="E33" s="64">
        <v>0.99</v>
      </c>
      <c r="F33" s="64">
        <v>5.67</v>
      </c>
      <c r="G33" s="64">
        <v>197.05</v>
      </c>
      <c r="H33" s="64">
        <v>107.4</v>
      </c>
      <c r="I33" s="64">
        <v>1.49</v>
      </c>
      <c r="J33" s="64">
        <v>0.37</v>
      </c>
      <c r="K33" s="64">
        <v>109.6</v>
      </c>
      <c r="L33" s="64">
        <v>13.36</v>
      </c>
      <c r="M33" s="64">
        <v>72.239999999999995</v>
      </c>
      <c r="N33" s="64">
        <v>104.9</v>
      </c>
      <c r="O33" s="64">
        <v>0</v>
      </c>
      <c r="P33" s="64">
        <v>0.86</v>
      </c>
      <c r="Q33" s="64">
        <v>10.94</v>
      </c>
      <c r="S33" s="198"/>
      <c r="T33" s="198"/>
      <c r="U33" s="198"/>
    </row>
    <row r="34" spans="1:21" s="12" customFormat="1" x14ac:dyDescent="0.25">
      <c r="A34" s="214" t="s">
        <v>2385</v>
      </c>
      <c r="B34" s="64">
        <v>33.24</v>
      </c>
      <c r="C34" s="64">
        <v>79.19</v>
      </c>
      <c r="D34" s="64">
        <v>71.010000000000005</v>
      </c>
      <c r="E34" s="64">
        <v>0.94</v>
      </c>
      <c r="F34" s="64">
        <v>7.38</v>
      </c>
      <c r="G34" s="64">
        <v>197.05</v>
      </c>
      <c r="H34" s="64">
        <v>107.4</v>
      </c>
      <c r="I34" s="64">
        <v>1.52</v>
      </c>
      <c r="J34" s="64">
        <v>0.35</v>
      </c>
      <c r="K34" s="64">
        <v>97.79</v>
      </c>
      <c r="L34" s="64">
        <v>13.59</v>
      </c>
      <c r="M34" s="64">
        <v>71.650000000000006</v>
      </c>
      <c r="N34" s="64">
        <v>109.3</v>
      </c>
      <c r="O34" s="64">
        <v>0</v>
      </c>
      <c r="P34" s="64">
        <v>0.76</v>
      </c>
      <c r="Q34" s="64">
        <v>11.74</v>
      </c>
      <c r="S34" s="198"/>
      <c r="T34" s="198"/>
      <c r="U34" s="198"/>
    </row>
    <row r="35" spans="1:21" s="12" customFormat="1" x14ac:dyDescent="0.25">
      <c r="A35" s="214" t="s">
        <v>2386</v>
      </c>
      <c r="B35" s="64">
        <v>30.62</v>
      </c>
      <c r="C35" s="64">
        <v>79.33</v>
      </c>
      <c r="D35" s="64">
        <v>68.98</v>
      </c>
      <c r="E35" s="64">
        <v>1.02</v>
      </c>
      <c r="F35" s="64">
        <v>6.49</v>
      </c>
      <c r="G35" s="64">
        <v>186.64</v>
      </c>
      <c r="H35" s="64">
        <v>100.56</v>
      </c>
      <c r="I35" s="64">
        <v>1.46</v>
      </c>
      <c r="J35" s="64">
        <v>0.25</v>
      </c>
      <c r="K35" s="64">
        <v>357.79</v>
      </c>
      <c r="L35" s="64">
        <v>13.48</v>
      </c>
      <c r="M35" s="64">
        <v>74.540000000000006</v>
      </c>
      <c r="N35" s="64">
        <v>109.9</v>
      </c>
      <c r="O35" s="64">
        <v>0</v>
      </c>
      <c r="P35" s="64">
        <v>0.83</v>
      </c>
      <c r="Q35" s="64">
        <v>9.4700000000000006</v>
      </c>
      <c r="S35" s="198"/>
      <c r="T35" s="198"/>
      <c r="U35" s="198"/>
    </row>
    <row r="36" spans="1:21" s="12" customFormat="1" x14ac:dyDescent="0.25">
      <c r="A36" s="214" t="s">
        <v>2387</v>
      </c>
      <c r="B36" s="64">
        <v>29.05</v>
      </c>
      <c r="C36" s="64">
        <v>79.77</v>
      </c>
      <c r="D36" s="64">
        <v>67.97</v>
      </c>
      <c r="E36" s="64">
        <v>0.98</v>
      </c>
      <c r="F36" s="64">
        <v>5.85</v>
      </c>
      <c r="G36" s="64">
        <v>145.03</v>
      </c>
      <c r="H36" s="64">
        <v>81.95</v>
      </c>
      <c r="I36" s="64">
        <v>1.54</v>
      </c>
      <c r="J36" s="64">
        <v>7.0000000000000007E-2</v>
      </c>
      <c r="K36" s="64">
        <v>34.99</v>
      </c>
      <c r="L36" s="64">
        <v>13.52</v>
      </c>
      <c r="M36" s="64">
        <v>71.2</v>
      </c>
      <c r="N36" s="64">
        <v>107.3</v>
      </c>
      <c r="O36" s="64">
        <v>0</v>
      </c>
      <c r="P36" s="64">
        <v>0.82</v>
      </c>
      <c r="Q36" s="64">
        <v>9.01</v>
      </c>
      <c r="S36" s="198"/>
      <c r="T36" s="198"/>
      <c r="U36" s="198"/>
    </row>
    <row r="37" spans="1:21" s="12" customFormat="1" x14ac:dyDescent="0.25">
      <c r="A37" s="214" t="s">
        <v>2388</v>
      </c>
      <c r="B37" s="64">
        <v>26.9</v>
      </c>
      <c r="C37" s="64">
        <v>79.97</v>
      </c>
      <c r="D37" s="64">
        <v>66.36</v>
      </c>
      <c r="E37" s="64">
        <v>0.98</v>
      </c>
      <c r="F37" s="64">
        <v>6.77</v>
      </c>
      <c r="G37" s="64">
        <v>145.03</v>
      </c>
      <c r="H37" s="64">
        <v>81.95</v>
      </c>
      <c r="I37" s="64">
        <v>1.53</v>
      </c>
      <c r="J37" s="64">
        <v>0.32</v>
      </c>
      <c r="K37" s="64">
        <v>106.23</v>
      </c>
      <c r="L37" s="64">
        <v>13.56</v>
      </c>
      <c r="M37" s="64">
        <v>68.930000000000007</v>
      </c>
      <c r="N37" s="64">
        <v>114.7</v>
      </c>
      <c r="O37" s="64">
        <v>0</v>
      </c>
      <c r="P37" s="64">
        <v>0.84</v>
      </c>
      <c r="Q37" s="64">
        <v>9.07</v>
      </c>
      <c r="S37" s="198"/>
      <c r="T37" s="198"/>
      <c r="U37" s="198"/>
    </row>
    <row r="38" spans="1:21" s="12" customFormat="1" x14ac:dyDescent="0.25">
      <c r="A38" s="214" t="s">
        <v>2389</v>
      </c>
      <c r="B38" s="64">
        <v>24.25</v>
      </c>
      <c r="C38" s="64">
        <v>79.819999999999993</v>
      </c>
      <c r="D38" s="64">
        <v>64.14</v>
      </c>
      <c r="E38" s="64">
        <v>1.08</v>
      </c>
      <c r="F38" s="64">
        <v>12</v>
      </c>
      <c r="G38" s="64">
        <v>145.03</v>
      </c>
      <c r="H38" s="64">
        <v>81.95</v>
      </c>
      <c r="I38" s="64">
        <v>1.52</v>
      </c>
      <c r="J38" s="64">
        <v>0.48</v>
      </c>
      <c r="K38" s="64">
        <v>101.18</v>
      </c>
      <c r="L38" s="64">
        <v>13.63</v>
      </c>
      <c r="M38" s="64">
        <v>68.349999999999994</v>
      </c>
      <c r="N38" s="64">
        <v>115.4</v>
      </c>
      <c r="O38" s="64">
        <v>0</v>
      </c>
      <c r="P38" s="64">
        <v>0.79</v>
      </c>
      <c r="Q38" s="64">
        <v>9.94</v>
      </c>
      <c r="S38" s="198"/>
      <c r="T38" s="198"/>
      <c r="U38" s="198"/>
    </row>
    <row r="39" spans="1:21" s="12" customFormat="1" x14ac:dyDescent="0.25">
      <c r="A39" s="214" t="s">
        <v>2390</v>
      </c>
      <c r="B39" s="64">
        <v>21.72</v>
      </c>
      <c r="C39" s="64">
        <v>79.06</v>
      </c>
      <c r="D39" s="64">
        <v>61.69</v>
      </c>
      <c r="E39" s="64">
        <v>1.21</v>
      </c>
      <c r="F39" s="64">
        <v>10.029999999999999</v>
      </c>
      <c r="G39" s="64">
        <v>139.6</v>
      </c>
      <c r="H39" s="64">
        <v>78.2</v>
      </c>
      <c r="I39" s="64">
        <v>1.48</v>
      </c>
      <c r="J39" s="64">
        <v>0.11</v>
      </c>
      <c r="K39" s="64">
        <v>76.03</v>
      </c>
      <c r="L39" s="64">
        <v>13.74</v>
      </c>
      <c r="M39" s="64">
        <v>69.28</v>
      </c>
      <c r="N39" s="64">
        <v>105.4</v>
      </c>
      <c r="O39" s="64">
        <v>0</v>
      </c>
      <c r="P39" s="64">
        <v>0.85</v>
      </c>
      <c r="Q39" s="64">
        <v>8.8800000000000008</v>
      </c>
      <c r="S39" s="198"/>
      <c r="T39" s="198"/>
      <c r="U39" s="198"/>
    </row>
    <row r="40" spans="1:21" s="12" customFormat="1" x14ac:dyDescent="0.25">
      <c r="A40" s="214" t="s">
        <v>2391</v>
      </c>
      <c r="B40" s="64">
        <v>20.170000000000002</v>
      </c>
      <c r="C40" s="64">
        <v>79.209999999999994</v>
      </c>
      <c r="D40" s="64">
        <v>60.54</v>
      </c>
      <c r="E40" s="64">
        <v>0.93</v>
      </c>
      <c r="F40" s="64">
        <v>6.69</v>
      </c>
      <c r="G40" s="64">
        <v>117.88</v>
      </c>
      <c r="H40" s="64">
        <v>67.97</v>
      </c>
      <c r="I40" s="64">
        <v>1.55</v>
      </c>
      <c r="J40" s="64">
        <v>0.46</v>
      </c>
      <c r="K40" s="64">
        <v>112.06</v>
      </c>
      <c r="L40" s="64">
        <v>13.9</v>
      </c>
      <c r="M40" s="64">
        <v>69.64</v>
      </c>
      <c r="N40" s="64">
        <v>116.5</v>
      </c>
      <c r="O40" s="64">
        <v>0</v>
      </c>
      <c r="P40" s="64">
        <v>1.02</v>
      </c>
      <c r="Q40" s="64">
        <v>6.31</v>
      </c>
      <c r="S40" s="198"/>
      <c r="T40" s="198"/>
      <c r="U40" s="198"/>
    </row>
    <row r="41" spans="1:21" s="12" customFormat="1" x14ac:dyDescent="0.25">
      <c r="A41" s="214" t="s">
        <v>2392</v>
      </c>
      <c r="B41" s="64">
        <v>18.75</v>
      </c>
      <c r="C41" s="64">
        <v>79.12</v>
      </c>
      <c r="D41" s="64">
        <v>59.35</v>
      </c>
      <c r="E41" s="64">
        <v>1.37</v>
      </c>
      <c r="F41" s="64">
        <v>11.25</v>
      </c>
      <c r="G41" s="64">
        <v>117.88</v>
      </c>
      <c r="H41" s="64">
        <v>67.97</v>
      </c>
      <c r="I41" s="64">
        <v>1.54</v>
      </c>
      <c r="J41" s="64">
        <v>0.87</v>
      </c>
      <c r="K41" s="64">
        <v>104.54</v>
      </c>
      <c r="L41" s="64">
        <v>13.88</v>
      </c>
      <c r="M41" s="64">
        <v>69.61</v>
      </c>
      <c r="N41" s="64">
        <v>123.2</v>
      </c>
      <c r="O41" s="64">
        <v>0</v>
      </c>
      <c r="P41" s="64">
        <v>0.83</v>
      </c>
      <c r="Q41" s="64">
        <v>8.0299999999999994</v>
      </c>
      <c r="S41" s="198"/>
      <c r="T41" s="198"/>
      <c r="U41" s="198"/>
    </row>
    <row r="42" spans="1:21" s="12" customFormat="1" x14ac:dyDescent="0.25">
      <c r="A42" s="214" t="s">
        <v>2393</v>
      </c>
      <c r="B42" s="64">
        <v>16.96</v>
      </c>
      <c r="C42" s="64">
        <v>78.319999999999993</v>
      </c>
      <c r="D42" s="64">
        <v>57.47</v>
      </c>
      <c r="E42" s="64">
        <v>1.51</v>
      </c>
      <c r="F42" s="64">
        <v>12.42</v>
      </c>
      <c r="G42" s="64">
        <v>117.88</v>
      </c>
      <c r="H42" s="64">
        <v>67.97</v>
      </c>
      <c r="I42" s="64">
        <v>1.44</v>
      </c>
      <c r="J42" s="64">
        <v>0.49</v>
      </c>
      <c r="K42" s="64">
        <v>106.52</v>
      </c>
      <c r="L42" s="64">
        <v>14.1</v>
      </c>
      <c r="M42" s="64">
        <v>69.75</v>
      </c>
      <c r="N42" s="64">
        <v>147</v>
      </c>
      <c r="O42" s="64">
        <v>0</v>
      </c>
      <c r="P42" s="64">
        <v>0.87</v>
      </c>
      <c r="Q42" s="64">
        <v>8.64</v>
      </c>
      <c r="S42" s="198"/>
      <c r="T42" s="198"/>
      <c r="U42" s="198"/>
    </row>
    <row r="43" spans="1:21" s="12" customFormat="1" x14ac:dyDescent="0.25">
      <c r="A43" s="214" t="s">
        <v>2394</v>
      </c>
      <c r="B43" s="64">
        <v>15.54</v>
      </c>
      <c r="C43" s="64">
        <v>77.77</v>
      </c>
      <c r="D43" s="64">
        <v>56.03</v>
      </c>
      <c r="E43" s="64">
        <v>1.52</v>
      </c>
      <c r="F43" s="64">
        <v>10.99</v>
      </c>
      <c r="G43" s="64">
        <v>119.81</v>
      </c>
      <c r="H43" s="64">
        <v>68.400000000000006</v>
      </c>
      <c r="I43" s="64">
        <v>1.57</v>
      </c>
      <c r="J43" s="64">
        <v>1.01</v>
      </c>
      <c r="K43" s="64">
        <v>112.75</v>
      </c>
      <c r="L43" s="64">
        <v>14.36</v>
      </c>
      <c r="M43" s="64">
        <v>68.3</v>
      </c>
      <c r="N43" s="64">
        <v>172.5</v>
      </c>
      <c r="O43" s="64">
        <v>0</v>
      </c>
      <c r="P43" s="64">
        <v>0.85</v>
      </c>
      <c r="Q43" s="64">
        <v>7.47</v>
      </c>
      <c r="S43" s="198"/>
      <c r="T43" s="198"/>
      <c r="U43" s="198"/>
    </row>
    <row r="44" spans="1:21" s="12" customFormat="1" x14ac:dyDescent="0.25">
      <c r="A44" s="214" t="s">
        <v>2395</v>
      </c>
      <c r="B44" s="64">
        <v>14.1</v>
      </c>
      <c r="C44" s="64">
        <v>77.13</v>
      </c>
      <c r="D44" s="64">
        <v>54.52</v>
      </c>
      <c r="E44" s="64">
        <v>1.47</v>
      </c>
      <c r="F44" s="64">
        <v>13.6</v>
      </c>
      <c r="G44" s="64">
        <v>127.56</v>
      </c>
      <c r="H44" s="64">
        <v>70.31</v>
      </c>
      <c r="I44" s="64">
        <v>1.5</v>
      </c>
      <c r="J44" s="64">
        <v>0.87</v>
      </c>
      <c r="K44" s="64">
        <v>107.14</v>
      </c>
      <c r="L44" s="64">
        <v>14.75</v>
      </c>
      <c r="M44" s="64">
        <v>66.540000000000006</v>
      </c>
      <c r="N44" s="64">
        <v>193.3</v>
      </c>
      <c r="O44" s="64">
        <v>0</v>
      </c>
      <c r="P44" s="64">
        <v>0.77</v>
      </c>
      <c r="Q44" s="64">
        <v>8.58</v>
      </c>
      <c r="S44" s="198"/>
      <c r="T44" s="198"/>
      <c r="U44" s="198"/>
    </row>
    <row r="45" spans="1:21" s="12" customFormat="1" x14ac:dyDescent="0.25">
      <c r="A45" s="214" t="s">
        <v>2396</v>
      </c>
      <c r="B45" s="64">
        <v>12.57</v>
      </c>
      <c r="C45" s="64">
        <v>76.27</v>
      </c>
      <c r="D45" s="64">
        <v>52.82</v>
      </c>
      <c r="E45" s="64">
        <v>1.47</v>
      </c>
      <c r="F45" s="64">
        <v>14.26</v>
      </c>
      <c r="G45" s="64">
        <v>127.56</v>
      </c>
      <c r="H45" s="64">
        <v>70.31</v>
      </c>
      <c r="I45" s="64">
        <v>1.47</v>
      </c>
      <c r="J45" s="64">
        <v>0.96</v>
      </c>
      <c r="K45" s="64">
        <v>103.16</v>
      </c>
      <c r="L45" s="64">
        <v>15.04</v>
      </c>
      <c r="M45" s="64">
        <v>65.819999999999993</v>
      </c>
      <c r="N45" s="64">
        <v>190.2</v>
      </c>
      <c r="O45" s="64">
        <v>0</v>
      </c>
      <c r="P45" s="64">
        <v>0.75</v>
      </c>
      <c r="Q45" s="64">
        <v>8.52</v>
      </c>
      <c r="S45" s="198"/>
      <c r="T45" s="198"/>
      <c r="U45" s="198"/>
    </row>
    <row r="46" spans="1:21" s="12" customFormat="1" x14ac:dyDescent="0.25">
      <c r="A46" s="214" t="s">
        <v>2397</v>
      </c>
      <c r="B46" s="64">
        <v>11.33</v>
      </c>
      <c r="C46" s="64">
        <v>75.569999999999993</v>
      </c>
      <c r="D46" s="64">
        <v>51.43</v>
      </c>
      <c r="E46" s="64">
        <v>1.67</v>
      </c>
      <c r="F46" s="64">
        <v>12.65</v>
      </c>
      <c r="G46" s="64">
        <v>127.56</v>
      </c>
      <c r="H46" s="64">
        <v>70.31</v>
      </c>
      <c r="I46" s="64">
        <v>1.54</v>
      </c>
      <c r="J46" s="64">
        <v>1.23</v>
      </c>
      <c r="K46" s="64">
        <v>112.81</v>
      </c>
      <c r="L46" s="64">
        <v>15.46</v>
      </c>
      <c r="M46" s="64">
        <v>64.77</v>
      </c>
      <c r="N46" s="64">
        <v>295.89999999999998</v>
      </c>
      <c r="O46" s="64">
        <v>0</v>
      </c>
      <c r="P46" s="64">
        <v>0.77</v>
      </c>
      <c r="Q46" s="64">
        <v>7.77</v>
      </c>
      <c r="S46" s="198"/>
      <c r="T46" s="198"/>
      <c r="U46" s="198"/>
    </row>
    <row r="47" spans="1:21" s="12" customFormat="1" x14ac:dyDescent="0.25">
      <c r="A47" s="214" t="s">
        <v>2398</v>
      </c>
      <c r="B47" s="64">
        <v>10.17</v>
      </c>
      <c r="C47" s="64">
        <v>74.73</v>
      </c>
      <c r="D47" s="64">
        <v>50.05</v>
      </c>
      <c r="E47" s="64">
        <v>1.46</v>
      </c>
      <c r="F47" s="64">
        <v>15.89</v>
      </c>
      <c r="G47" s="64">
        <v>125.31</v>
      </c>
      <c r="H47" s="64">
        <v>67.39</v>
      </c>
      <c r="I47" s="64">
        <v>1.47</v>
      </c>
      <c r="J47" s="64">
        <v>1.37</v>
      </c>
      <c r="K47" s="64">
        <v>104.78</v>
      </c>
      <c r="L47" s="64">
        <v>15.92</v>
      </c>
      <c r="M47" s="64">
        <v>62.34</v>
      </c>
      <c r="N47" s="64">
        <v>266.5</v>
      </c>
      <c r="O47" s="64">
        <v>0</v>
      </c>
      <c r="P47" s="64">
        <v>0.74</v>
      </c>
      <c r="Q47" s="64">
        <v>7.91</v>
      </c>
      <c r="S47" s="198"/>
      <c r="T47" s="198"/>
      <c r="U47" s="198"/>
    </row>
    <row r="48" spans="1:21" s="12" customFormat="1" x14ac:dyDescent="0.25">
      <c r="A48" s="214" t="s">
        <v>2399</v>
      </c>
      <c r="B48" s="64">
        <v>8.9700000000000006</v>
      </c>
      <c r="C48" s="64">
        <v>73.790000000000006</v>
      </c>
      <c r="D48" s="64">
        <v>48.56</v>
      </c>
      <c r="E48" s="64">
        <v>1.51</v>
      </c>
      <c r="F48" s="64">
        <v>17.37</v>
      </c>
      <c r="G48" s="64">
        <v>116.32</v>
      </c>
      <c r="H48" s="64">
        <v>59.45</v>
      </c>
      <c r="I48" s="64">
        <v>1.54</v>
      </c>
      <c r="J48" s="64">
        <v>0.89</v>
      </c>
      <c r="K48" s="64">
        <v>108.38</v>
      </c>
      <c r="L48" s="64">
        <v>16.350000000000001</v>
      </c>
      <c r="M48" s="64">
        <v>61.61</v>
      </c>
      <c r="N48" s="64">
        <v>239.1</v>
      </c>
      <c r="O48" s="64">
        <v>0</v>
      </c>
      <c r="P48" s="64">
        <v>0.69</v>
      </c>
      <c r="Q48" s="64">
        <v>7.89</v>
      </c>
      <c r="S48" s="198"/>
      <c r="T48" s="198"/>
      <c r="U48" s="198"/>
    </row>
    <row r="49" spans="1:21" s="12" customFormat="1" x14ac:dyDescent="0.25">
      <c r="A49" s="214" t="s">
        <v>2400</v>
      </c>
      <c r="B49" s="64">
        <v>7.86</v>
      </c>
      <c r="C49" s="64">
        <v>73.05</v>
      </c>
      <c r="D49" s="64">
        <v>47.26</v>
      </c>
      <c r="E49" s="64">
        <v>1.55</v>
      </c>
      <c r="F49" s="64">
        <v>19.329999999999998</v>
      </c>
      <c r="G49" s="64">
        <v>116.32</v>
      </c>
      <c r="H49" s="64">
        <v>59.45</v>
      </c>
      <c r="I49" s="64">
        <v>1.49</v>
      </c>
      <c r="J49" s="64">
        <v>1.08</v>
      </c>
      <c r="K49" s="64">
        <v>112.97</v>
      </c>
      <c r="L49" s="64">
        <v>16.489999999999998</v>
      </c>
      <c r="M49" s="64">
        <v>61.57</v>
      </c>
      <c r="N49" s="64">
        <v>233</v>
      </c>
      <c r="O49" s="64">
        <v>0</v>
      </c>
      <c r="P49" s="64">
        <v>0.74</v>
      </c>
      <c r="Q49" s="64">
        <v>7.5</v>
      </c>
      <c r="S49" s="198"/>
      <c r="T49" s="198"/>
      <c r="U49" s="198"/>
    </row>
    <row r="50" spans="1:21" s="12" customFormat="1" x14ac:dyDescent="0.25">
      <c r="A50" s="214" t="s">
        <v>2401</v>
      </c>
      <c r="B50" s="64">
        <v>7</v>
      </c>
      <c r="C50" s="64">
        <v>72.5</v>
      </c>
      <c r="D50" s="64">
        <v>46.27</v>
      </c>
      <c r="E50" s="64">
        <v>1.51</v>
      </c>
      <c r="F50" s="64">
        <v>16.420000000000002</v>
      </c>
      <c r="G50" s="64">
        <v>116.32</v>
      </c>
      <c r="H50" s="64">
        <v>59.45</v>
      </c>
      <c r="I50" s="64">
        <v>1.6</v>
      </c>
      <c r="J50" s="64">
        <v>0.57999999999999996</v>
      </c>
      <c r="K50" s="64">
        <v>97.11</v>
      </c>
      <c r="L50" s="64">
        <v>16.98</v>
      </c>
      <c r="M50" s="64">
        <v>61.05</v>
      </c>
      <c r="N50" s="64">
        <v>355.3</v>
      </c>
      <c r="O50" s="64">
        <v>0</v>
      </c>
      <c r="P50" s="64">
        <v>0.79</v>
      </c>
      <c r="Q50" s="64">
        <v>6.88</v>
      </c>
      <c r="S50" s="198"/>
      <c r="T50" s="198"/>
      <c r="U50" s="198"/>
    </row>
    <row r="51" spans="1:21" s="12" customFormat="1" x14ac:dyDescent="0.25">
      <c r="A51" s="214" t="s">
        <v>2402</v>
      </c>
      <c r="B51" s="64">
        <v>6.46</v>
      </c>
      <c r="C51" s="64">
        <v>72.61</v>
      </c>
      <c r="D51" s="64">
        <v>45.9</v>
      </c>
      <c r="E51" s="64">
        <v>1.25</v>
      </c>
      <c r="F51" s="64">
        <v>11.28</v>
      </c>
      <c r="G51" s="64">
        <v>116.47</v>
      </c>
      <c r="H51" s="64">
        <v>60.08</v>
      </c>
      <c r="I51" s="64">
        <v>1.48</v>
      </c>
      <c r="J51" s="64">
        <v>0.68</v>
      </c>
      <c r="K51" s="64">
        <v>107.66</v>
      </c>
      <c r="L51" s="64">
        <v>18.309999999999999</v>
      </c>
      <c r="M51" s="64">
        <v>56.74</v>
      </c>
      <c r="N51" s="64">
        <v>460.8</v>
      </c>
      <c r="O51" s="64">
        <v>0</v>
      </c>
      <c r="P51" s="64">
        <v>0.92</v>
      </c>
      <c r="Q51" s="64">
        <v>5.56</v>
      </c>
      <c r="S51" s="198"/>
      <c r="T51" s="198"/>
      <c r="U51" s="198"/>
    </row>
    <row r="52" spans="1:21" s="12" customFormat="1" x14ac:dyDescent="0.25">
      <c r="A52" s="214" t="s">
        <v>2403</v>
      </c>
      <c r="B52" s="64">
        <v>5.79</v>
      </c>
      <c r="C52" s="64">
        <v>73.05</v>
      </c>
      <c r="D52" s="64">
        <v>45.6</v>
      </c>
      <c r="E52" s="64">
        <v>1.08</v>
      </c>
      <c r="F52" s="64">
        <v>9.94</v>
      </c>
      <c r="G52" s="64">
        <v>117.09</v>
      </c>
      <c r="H52" s="64">
        <v>61.79</v>
      </c>
      <c r="I52" s="64">
        <v>1.54</v>
      </c>
      <c r="J52" s="64">
        <v>0.66</v>
      </c>
      <c r="K52" s="64">
        <v>105.98</v>
      </c>
      <c r="L52" s="64">
        <v>19.59</v>
      </c>
      <c r="M52" s="64">
        <v>52.04</v>
      </c>
      <c r="N52" s="64">
        <v>644</v>
      </c>
      <c r="O52" s="64">
        <v>0</v>
      </c>
      <c r="P52" s="64">
        <v>0.88</v>
      </c>
      <c r="Q52" s="64">
        <v>6.21</v>
      </c>
      <c r="S52" s="198"/>
      <c r="T52" s="198"/>
      <c r="U52" s="198"/>
    </row>
    <row r="53" spans="1:21" s="12" customFormat="1" x14ac:dyDescent="0.25">
      <c r="A53" s="214" t="s">
        <v>2404</v>
      </c>
      <c r="B53" s="64">
        <v>5.21</v>
      </c>
      <c r="C53" s="64">
        <v>73.510000000000005</v>
      </c>
      <c r="D53" s="64">
        <v>45.39</v>
      </c>
      <c r="E53" s="64">
        <v>1.47</v>
      </c>
      <c r="F53" s="64">
        <v>16.64</v>
      </c>
      <c r="G53" s="64">
        <v>117.09</v>
      </c>
      <c r="H53" s="64">
        <v>61.79</v>
      </c>
      <c r="I53" s="64">
        <v>1.49</v>
      </c>
      <c r="J53" s="64">
        <v>0.2</v>
      </c>
      <c r="K53" s="64">
        <v>59.49</v>
      </c>
      <c r="L53" s="64">
        <v>21.16</v>
      </c>
      <c r="M53" s="64">
        <v>46.33</v>
      </c>
      <c r="N53" s="64">
        <v>460.9</v>
      </c>
      <c r="O53" s="64">
        <v>0</v>
      </c>
      <c r="P53" s="64">
        <v>0.89</v>
      </c>
      <c r="Q53" s="64">
        <v>5.72</v>
      </c>
      <c r="S53" s="198"/>
      <c r="T53" s="198"/>
      <c r="U53" s="198"/>
    </row>
    <row r="54" spans="1:21" s="12" customFormat="1" x14ac:dyDescent="0.25">
      <c r="A54" s="214" t="s">
        <v>2405</v>
      </c>
      <c r="B54" s="64">
        <v>4.6399999999999997</v>
      </c>
      <c r="C54" s="64">
        <v>73.91</v>
      </c>
      <c r="D54" s="64">
        <v>45.16</v>
      </c>
      <c r="E54" s="64">
        <v>1.01</v>
      </c>
      <c r="F54" s="64">
        <v>9.24</v>
      </c>
      <c r="G54" s="64">
        <v>117.09</v>
      </c>
      <c r="H54" s="64">
        <v>61.79</v>
      </c>
      <c r="I54" s="64">
        <v>1.46</v>
      </c>
      <c r="J54" s="64">
        <v>0.77</v>
      </c>
      <c r="K54" s="64">
        <v>113.1</v>
      </c>
      <c r="L54" s="64">
        <v>20.36</v>
      </c>
      <c r="M54" s="64">
        <v>46.86</v>
      </c>
      <c r="N54" s="64">
        <v>396.8</v>
      </c>
      <c r="O54" s="64">
        <v>0</v>
      </c>
      <c r="P54" s="64">
        <v>0.86</v>
      </c>
      <c r="Q54" s="64">
        <v>6.18</v>
      </c>
      <c r="S54" s="198"/>
      <c r="T54" s="198"/>
      <c r="U54" s="198"/>
    </row>
    <row r="55" spans="1:21" s="12" customFormat="1" x14ac:dyDescent="0.25">
      <c r="A55" s="214" t="s">
        <v>2406</v>
      </c>
      <c r="B55" s="64">
        <v>3.9</v>
      </c>
      <c r="C55" s="64">
        <v>73.44</v>
      </c>
      <c r="D55" s="64">
        <v>44.3</v>
      </c>
      <c r="E55" s="64">
        <v>0.93</v>
      </c>
      <c r="F55" s="64">
        <v>9.3800000000000008</v>
      </c>
      <c r="G55" s="64">
        <v>113.18</v>
      </c>
      <c r="H55" s="64">
        <v>58.72</v>
      </c>
      <c r="I55" s="64">
        <v>1.61</v>
      </c>
      <c r="J55" s="64">
        <v>0.73</v>
      </c>
      <c r="K55" s="64">
        <v>104.29</v>
      </c>
      <c r="L55" s="64">
        <v>20.41</v>
      </c>
      <c r="M55" s="64">
        <v>46.98</v>
      </c>
      <c r="N55" s="64">
        <v>473.8</v>
      </c>
      <c r="O55" s="64">
        <v>0</v>
      </c>
      <c r="P55" s="64">
        <v>0.79</v>
      </c>
      <c r="Q55" s="64">
        <v>6.52</v>
      </c>
      <c r="S55" s="198"/>
      <c r="T55" s="198"/>
      <c r="U55" s="198"/>
    </row>
    <row r="56" spans="1:21" s="12" customFormat="1" x14ac:dyDescent="0.25">
      <c r="A56" s="214" t="s">
        <v>2407</v>
      </c>
      <c r="B56" s="64">
        <v>3.31</v>
      </c>
      <c r="C56" s="64">
        <v>72.44</v>
      </c>
      <c r="D56" s="64">
        <v>43.28</v>
      </c>
      <c r="E56" s="64">
        <v>0.46</v>
      </c>
      <c r="F56" s="64">
        <v>9.92</v>
      </c>
      <c r="G56" s="64">
        <v>97.57</v>
      </c>
      <c r="H56" s="64">
        <v>50.37</v>
      </c>
      <c r="I56" s="64">
        <v>1.59</v>
      </c>
      <c r="J56" s="64">
        <v>0.64</v>
      </c>
      <c r="K56" s="64">
        <v>119.49</v>
      </c>
      <c r="L56" s="64">
        <v>21.21</v>
      </c>
      <c r="M56" s="64">
        <v>43.22</v>
      </c>
      <c r="N56" s="64">
        <v>656</v>
      </c>
      <c r="O56" s="64">
        <v>0</v>
      </c>
      <c r="P56" s="64">
        <v>0.8</v>
      </c>
      <c r="Q56" s="64">
        <v>6.51</v>
      </c>
      <c r="S56" s="198"/>
      <c r="T56" s="198"/>
      <c r="U56" s="198"/>
    </row>
    <row r="57" spans="1:21" s="12" customFormat="1" x14ac:dyDescent="0.25">
      <c r="A57" s="214" t="s">
        <v>2408</v>
      </c>
      <c r="B57" s="64">
        <v>2.86</v>
      </c>
      <c r="C57" s="64">
        <v>71.25</v>
      </c>
      <c r="D57" s="64">
        <v>42.26</v>
      </c>
      <c r="E57" s="64">
        <v>0.84</v>
      </c>
      <c r="F57" s="64">
        <v>15.69</v>
      </c>
      <c r="G57" s="64">
        <v>97.57</v>
      </c>
      <c r="H57" s="64">
        <v>50.37</v>
      </c>
      <c r="I57" s="64">
        <v>1.5</v>
      </c>
      <c r="J57" s="64">
        <v>0.43</v>
      </c>
      <c r="K57" s="64">
        <v>154.53</v>
      </c>
      <c r="L57" s="64">
        <v>22.53</v>
      </c>
      <c r="M57" s="64">
        <v>39.799999999999997</v>
      </c>
      <c r="N57" s="64">
        <v>606.20000000000005</v>
      </c>
      <c r="O57" s="64">
        <v>0</v>
      </c>
      <c r="P57" s="64">
        <v>0.71</v>
      </c>
      <c r="Q57" s="64">
        <v>6.3</v>
      </c>
      <c r="S57" s="198"/>
      <c r="T57" s="198"/>
      <c r="U57" s="198"/>
    </row>
    <row r="58" spans="1:21" s="12" customFormat="1" x14ac:dyDescent="0.25">
      <c r="A58" s="214" t="s">
        <v>2409</v>
      </c>
      <c r="B58" s="64">
        <v>2.5099999999999998</v>
      </c>
      <c r="C58" s="64">
        <v>69.89</v>
      </c>
      <c r="D58" s="64">
        <v>41.22</v>
      </c>
      <c r="E58" s="64">
        <v>0.75</v>
      </c>
      <c r="F58" s="64">
        <v>8.2200000000000006</v>
      </c>
      <c r="G58" s="64">
        <v>97.57</v>
      </c>
      <c r="H58" s="64">
        <v>50.37</v>
      </c>
      <c r="I58" s="64">
        <v>1.49</v>
      </c>
      <c r="J58" s="64">
        <v>0.63</v>
      </c>
      <c r="K58" s="64">
        <v>125.51</v>
      </c>
      <c r="L58" s="64">
        <v>23.09</v>
      </c>
      <c r="M58" s="64">
        <v>39</v>
      </c>
      <c r="N58" s="64">
        <v>625.1</v>
      </c>
      <c r="O58" s="64">
        <v>0</v>
      </c>
      <c r="P58" s="64">
        <v>0.8</v>
      </c>
      <c r="Q58" s="64">
        <v>6.18</v>
      </c>
      <c r="S58" s="198"/>
      <c r="T58" s="198"/>
      <c r="U58" s="198"/>
    </row>
    <row r="59" spans="1:21" s="12" customFormat="1" x14ac:dyDescent="0.25">
      <c r="A59" s="214" t="s">
        <v>2410</v>
      </c>
      <c r="B59" s="64">
        <v>2.3199999999999998</v>
      </c>
      <c r="C59" s="64">
        <v>68.83</v>
      </c>
      <c r="D59" s="64">
        <v>40.49</v>
      </c>
      <c r="E59" s="64">
        <v>0.75</v>
      </c>
      <c r="F59" s="64">
        <v>9.73</v>
      </c>
      <c r="G59" s="64">
        <v>92.31</v>
      </c>
      <c r="H59" s="64">
        <v>48.9</v>
      </c>
      <c r="I59" s="64">
        <v>1.47</v>
      </c>
      <c r="J59" s="64">
        <v>0.39</v>
      </c>
      <c r="K59" s="64">
        <v>125.57</v>
      </c>
      <c r="L59" s="64">
        <v>23.45</v>
      </c>
      <c r="M59" s="64">
        <v>36.89</v>
      </c>
      <c r="N59" s="64">
        <v>618.79999999999995</v>
      </c>
      <c r="O59" s="64">
        <v>0</v>
      </c>
      <c r="P59" s="64">
        <v>0.76</v>
      </c>
      <c r="Q59" s="64">
        <v>6.07</v>
      </c>
      <c r="S59" s="198"/>
      <c r="T59" s="198"/>
      <c r="U59" s="198"/>
    </row>
    <row r="60" spans="1:21" s="12" customFormat="1" x14ac:dyDescent="0.25">
      <c r="A60" s="214" t="s">
        <v>2411</v>
      </c>
      <c r="B60" s="64">
        <v>2.21</v>
      </c>
      <c r="C60" s="64">
        <v>67.69</v>
      </c>
      <c r="D60" s="64">
        <v>39.770000000000003</v>
      </c>
      <c r="E60" s="64">
        <v>0.76</v>
      </c>
      <c r="F60" s="64">
        <v>12.75</v>
      </c>
      <c r="G60" s="64">
        <v>71.28</v>
      </c>
      <c r="H60" s="64">
        <v>42.38</v>
      </c>
      <c r="I60" s="64">
        <v>1.53</v>
      </c>
      <c r="J60" s="64">
        <v>0.18</v>
      </c>
      <c r="K60" s="64">
        <v>31.57</v>
      </c>
      <c r="L60" s="64">
        <v>23.83</v>
      </c>
      <c r="M60" s="64">
        <v>36.46</v>
      </c>
      <c r="N60" s="64">
        <v>598.5</v>
      </c>
      <c r="O60" s="64">
        <v>0</v>
      </c>
      <c r="P60" s="64">
        <v>0.73</v>
      </c>
      <c r="Q60" s="64">
        <v>6.01</v>
      </c>
      <c r="S60" s="198"/>
      <c r="T60" s="198"/>
      <c r="U60" s="198"/>
    </row>
    <row r="61" spans="1:21" s="12" customFormat="1" x14ac:dyDescent="0.25">
      <c r="A61" s="214" t="s">
        <v>2412</v>
      </c>
      <c r="B61" s="64">
        <v>2.23</v>
      </c>
      <c r="C61" s="64">
        <v>66.83</v>
      </c>
      <c r="D61" s="64">
        <v>39.31</v>
      </c>
      <c r="E61" s="64">
        <v>1.01</v>
      </c>
      <c r="F61" s="64">
        <v>16.34</v>
      </c>
      <c r="G61" s="64">
        <v>71.28</v>
      </c>
      <c r="H61" s="64">
        <v>42.38</v>
      </c>
      <c r="I61" s="64">
        <v>1.5</v>
      </c>
      <c r="J61" s="64">
        <v>0.57999999999999996</v>
      </c>
      <c r="K61" s="64">
        <v>115.43</v>
      </c>
      <c r="L61" s="64">
        <v>23.84</v>
      </c>
      <c r="M61" s="64">
        <v>36.44</v>
      </c>
      <c r="N61" s="64">
        <v>585.70000000000005</v>
      </c>
      <c r="O61" s="64">
        <v>0</v>
      </c>
      <c r="P61" s="64">
        <v>0.67</v>
      </c>
      <c r="Q61" s="64">
        <v>5.77</v>
      </c>
      <c r="S61" s="198"/>
      <c r="T61" s="198"/>
      <c r="U61" s="198"/>
    </row>
    <row r="62" spans="1:21" s="12" customFormat="1" x14ac:dyDescent="0.25">
      <c r="A62" s="214" t="s">
        <v>2413</v>
      </c>
      <c r="B62" s="64">
        <v>2.2599999999999998</v>
      </c>
      <c r="C62" s="64">
        <v>66.290000000000006</v>
      </c>
      <c r="D62" s="64">
        <v>39.04</v>
      </c>
      <c r="E62" s="64">
        <v>0.97</v>
      </c>
      <c r="F62" s="64">
        <v>11.58</v>
      </c>
      <c r="G62" s="64">
        <v>71.28</v>
      </c>
      <c r="H62" s="64">
        <v>42.38</v>
      </c>
      <c r="I62" s="64">
        <v>1.52</v>
      </c>
      <c r="J62" s="64">
        <v>0.97</v>
      </c>
      <c r="K62" s="64">
        <v>112.3</v>
      </c>
      <c r="L62" s="64">
        <v>23.23</v>
      </c>
      <c r="M62" s="64">
        <v>36.03</v>
      </c>
      <c r="N62" s="64">
        <v>539.20000000000005</v>
      </c>
      <c r="O62" s="64">
        <v>0</v>
      </c>
      <c r="P62" s="64">
        <v>0.74</v>
      </c>
      <c r="Q62" s="64">
        <v>5.84</v>
      </c>
      <c r="S62" s="198"/>
      <c r="T62" s="198"/>
      <c r="U62" s="198"/>
    </row>
    <row r="63" spans="1:21" s="12" customFormat="1" x14ac:dyDescent="0.25">
      <c r="A63" s="214" t="s">
        <v>2414</v>
      </c>
      <c r="B63" s="64">
        <v>2.2400000000000002</v>
      </c>
      <c r="C63" s="64">
        <v>65.69</v>
      </c>
      <c r="D63" s="64">
        <v>38.700000000000003</v>
      </c>
      <c r="E63" s="64">
        <v>0.68</v>
      </c>
      <c r="F63" s="64">
        <v>16.7</v>
      </c>
      <c r="G63" s="64">
        <v>70.88</v>
      </c>
      <c r="H63" s="64">
        <v>42.29</v>
      </c>
      <c r="I63" s="64">
        <v>1.5</v>
      </c>
      <c r="J63" s="64">
        <v>0.64</v>
      </c>
      <c r="K63" s="64">
        <v>107.69</v>
      </c>
      <c r="L63" s="64">
        <v>23.34</v>
      </c>
      <c r="M63" s="64">
        <v>35.64</v>
      </c>
      <c r="N63" s="64">
        <v>512.20000000000005</v>
      </c>
      <c r="O63" s="64">
        <v>0</v>
      </c>
      <c r="P63" s="64">
        <v>0.69</v>
      </c>
      <c r="Q63" s="64">
        <v>5.84</v>
      </c>
      <c r="S63" s="198"/>
      <c r="T63" s="198"/>
      <c r="U63" s="198"/>
    </row>
    <row r="64" spans="1:21" s="12" customFormat="1" x14ac:dyDescent="0.25">
      <c r="A64" s="214" t="s">
        <v>2415</v>
      </c>
      <c r="B64" s="64">
        <v>2.19</v>
      </c>
      <c r="C64" s="64">
        <v>64.98</v>
      </c>
      <c r="D64" s="64">
        <v>38.26</v>
      </c>
      <c r="E64" s="64">
        <v>0.72</v>
      </c>
      <c r="F64" s="64">
        <v>8.34</v>
      </c>
      <c r="G64" s="64">
        <v>69.27</v>
      </c>
      <c r="H64" s="64">
        <v>42.05</v>
      </c>
      <c r="I64" s="64">
        <v>1.42</v>
      </c>
      <c r="J64" s="64">
        <v>1.2</v>
      </c>
      <c r="K64" s="64">
        <v>110.43</v>
      </c>
      <c r="L64" s="64">
        <v>22.98</v>
      </c>
      <c r="M64" s="64">
        <v>35.619999999999997</v>
      </c>
      <c r="N64" s="64">
        <v>257.3</v>
      </c>
      <c r="O64" s="64">
        <v>0</v>
      </c>
      <c r="P64" s="64">
        <v>0.69</v>
      </c>
      <c r="Q64" s="64">
        <v>5.82</v>
      </c>
      <c r="S64" s="198"/>
      <c r="T64" s="198"/>
      <c r="U64" s="198"/>
    </row>
    <row r="65" spans="1:21" s="12" customFormat="1" x14ac:dyDescent="0.25">
      <c r="A65" s="214" t="s">
        <v>2416</v>
      </c>
      <c r="B65" s="64">
        <v>2.08</v>
      </c>
      <c r="C65" s="64">
        <v>63.8</v>
      </c>
      <c r="D65" s="64">
        <v>37.520000000000003</v>
      </c>
      <c r="E65" s="64">
        <v>0.75</v>
      </c>
      <c r="F65" s="64">
        <v>13.73</v>
      </c>
      <c r="G65" s="64">
        <v>69.27</v>
      </c>
      <c r="H65" s="64">
        <v>42.05</v>
      </c>
      <c r="I65" s="64">
        <v>1.51</v>
      </c>
      <c r="J65" s="64">
        <v>0.53</v>
      </c>
      <c r="K65" s="64">
        <v>115.83</v>
      </c>
      <c r="L65" s="64">
        <v>22.97</v>
      </c>
      <c r="M65" s="64">
        <v>36.119999999999997</v>
      </c>
      <c r="N65" s="64">
        <v>191.7</v>
      </c>
      <c r="O65" s="64">
        <v>0</v>
      </c>
      <c r="P65" s="64">
        <v>0.65</v>
      </c>
      <c r="Q65" s="64">
        <v>5.83</v>
      </c>
      <c r="S65" s="198"/>
      <c r="T65" s="198"/>
      <c r="U65" s="198"/>
    </row>
    <row r="66" spans="1:21" s="12" customFormat="1" x14ac:dyDescent="0.25">
      <c r="A66" s="214" t="s">
        <v>2417</v>
      </c>
      <c r="B66" s="64">
        <v>2.0299999999999998</v>
      </c>
      <c r="C66" s="64">
        <v>63.03</v>
      </c>
      <c r="D66" s="64">
        <v>37.06</v>
      </c>
      <c r="E66" s="64">
        <v>1.36</v>
      </c>
      <c r="F66" s="64">
        <v>30.62</v>
      </c>
      <c r="G66" s="64">
        <v>69.27</v>
      </c>
      <c r="H66" s="64">
        <v>42.05</v>
      </c>
      <c r="I66" s="64">
        <v>1.6</v>
      </c>
      <c r="J66" s="64">
        <v>1.29</v>
      </c>
      <c r="K66" s="64">
        <v>113.03</v>
      </c>
      <c r="L66" s="64">
        <v>23.08</v>
      </c>
      <c r="M66" s="64">
        <v>36.630000000000003</v>
      </c>
      <c r="N66" s="64">
        <v>159.69999999999999</v>
      </c>
      <c r="O66" s="64">
        <v>0</v>
      </c>
      <c r="P66" s="64">
        <v>0.55000000000000004</v>
      </c>
      <c r="Q66" s="64">
        <v>5.79</v>
      </c>
      <c r="S66" s="198"/>
      <c r="T66" s="198"/>
      <c r="U66" s="198"/>
    </row>
    <row r="67" spans="1:21" s="12" customFormat="1" x14ac:dyDescent="0.25">
      <c r="A67" s="214" t="s">
        <v>2418</v>
      </c>
      <c r="B67" s="64">
        <v>2.2400000000000002</v>
      </c>
      <c r="C67" s="64">
        <v>61.79</v>
      </c>
      <c r="D67" s="64">
        <v>36.54</v>
      </c>
      <c r="E67" s="64">
        <v>1.68</v>
      </c>
      <c r="F67" s="64">
        <v>32.090000000000003</v>
      </c>
      <c r="G67" s="64">
        <v>67.11</v>
      </c>
      <c r="H67" s="64">
        <v>39.880000000000003</v>
      </c>
      <c r="I67" s="64">
        <v>1.44</v>
      </c>
      <c r="J67" s="64">
        <v>0.4</v>
      </c>
      <c r="K67" s="64">
        <v>118.86</v>
      </c>
      <c r="L67" s="64">
        <v>22.79</v>
      </c>
      <c r="M67" s="64">
        <v>36.53</v>
      </c>
      <c r="N67" s="64">
        <v>188.6</v>
      </c>
      <c r="O67" s="64">
        <v>0</v>
      </c>
      <c r="P67" s="64">
        <v>0.56000000000000005</v>
      </c>
      <c r="Q67" s="64">
        <v>5.74</v>
      </c>
      <c r="S67" s="198"/>
      <c r="T67" s="198"/>
      <c r="U67" s="198"/>
    </row>
    <row r="68" spans="1:21" s="12" customFormat="1" x14ac:dyDescent="0.25">
      <c r="A68" s="214" t="s">
        <v>2419</v>
      </c>
      <c r="B68" s="64">
        <v>2.46</v>
      </c>
      <c r="C68" s="64">
        <v>61.33</v>
      </c>
      <c r="D68" s="64">
        <v>36.47</v>
      </c>
      <c r="E68" s="64">
        <v>1.89</v>
      </c>
      <c r="F68" s="64">
        <v>31.41</v>
      </c>
      <c r="G68" s="64">
        <v>58.5</v>
      </c>
      <c r="H68" s="64">
        <v>33.99</v>
      </c>
      <c r="I68" s="64">
        <v>1.54</v>
      </c>
      <c r="J68" s="64">
        <v>0.62</v>
      </c>
      <c r="K68" s="64">
        <v>105.05</v>
      </c>
      <c r="L68" s="64">
        <v>22.65</v>
      </c>
      <c r="M68" s="64">
        <v>36</v>
      </c>
      <c r="N68" s="64">
        <v>174.2</v>
      </c>
      <c r="O68" s="64">
        <v>0</v>
      </c>
      <c r="P68" s="64">
        <v>0.62</v>
      </c>
      <c r="Q68" s="64">
        <v>4.5999999999999996</v>
      </c>
      <c r="S68" s="198"/>
      <c r="T68" s="198"/>
      <c r="U68" s="198"/>
    </row>
    <row r="69" spans="1:21" s="12" customFormat="1" x14ac:dyDescent="0.25">
      <c r="A69" s="214" t="s">
        <v>2420</v>
      </c>
      <c r="B69" s="64">
        <v>2.62</v>
      </c>
      <c r="C69" s="64">
        <v>61.07</v>
      </c>
      <c r="D69" s="64">
        <v>36.450000000000003</v>
      </c>
      <c r="E69" s="64">
        <v>1.62</v>
      </c>
      <c r="F69" s="64">
        <v>33.659999999999997</v>
      </c>
      <c r="G69" s="64">
        <v>58.5</v>
      </c>
      <c r="H69" s="64">
        <v>33.99</v>
      </c>
      <c r="I69" s="64">
        <v>1.54</v>
      </c>
      <c r="J69" s="64">
        <v>1.01</v>
      </c>
      <c r="K69" s="64">
        <v>110.79</v>
      </c>
      <c r="L69" s="64">
        <v>22.28</v>
      </c>
      <c r="M69" s="64">
        <v>36.81</v>
      </c>
      <c r="N69" s="64">
        <v>157.80000000000001</v>
      </c>
      <c r="O69" s="64">
        <v>0</v>
      </c>
      <c r="P69" s="64">
        <v>0.5</v>
      </c>
      <c r="Q69" s="64">
        <v>5.38</v>
      </c>
      <c r="S69" s="198"/>
      <c r="T69" s="198"/>
      <c r="U69" s="198"/>
    </row>
    <row r="70" spans="1:21" s="12" customFormat="1" x14ac:dyDescent="0.25">
      <c r="A70" s="214" t="s">
        <v>2421</v>
      </c>
      <c r="B70" s="64">
        <v>2.63</v>
      </c>
      <c r="C70" s="64">
        <v>60.62</v>
      </c>
      <c r="D70" s="64">
        <v>36.22</v>
      </c>
      <c r="E70" s="64">
        <v>1.75</v>
      </c>
      <c r="F70" s="64">
        <v>33.72</v>
      </c>
      <c r="G70" s="64">
        <v>58.5</v>
      </c>
      <c r="H70" s="64">
        <v>33.99</v>
      </c>
      <c r="I70" s="64">
        <v>1.57</v>
      </c>
      <c r="J70" s="64">
        <v>0.96</v>
      </c>
      <c r="K70" s="64">
        <v>105.52</v>
      </c>
      <c r="L70" s="64">
        <v>22.33</v>
      </c>
      <c r="M70" s="64">
        <v>37.18</v>
      </c>
      <c r="N70" s="64">
        <v>131.9</v>
      </c>
      <c r="O70" s="64">
        <v>0</v>
      </c>
      <c r="P70" s="64">
        <v>0.54</v>
      </c>
      <c r="Q70" s="64">
        <v>5.66</v>
      </c>
      <c r="S70" s="198"/>
      <c r="T70" s="198"/>
      <c r="U70" s="198"/>
    </row>
    <row r="71" spans="1:21" s="12" customFormat="1" x14ac:dyDescent="0.25">
      <c r="A71" s="214" t="s">
        <v>2422</v>
      </c>
      <c r="B71" s="64">
        <v>2.6</v>
      </c>
      <c r="C71" s="64">
        <v>60.44</v>
      </c>
      <c r="D71" s="64">
        <v>36.08</v>
      </c>
      <c r="E71" s="64">
        <v>2.1800000000000002</v>
      </c>
      <c r="F71" s="64">
        <v>35</v>
      </c>
      <c r="G71" s="64">
        <v>60.01</v>
      </c>
      <c r="H71" s="64">
        <v>36.07</v>
      </c>
      <c r="I71" s="64">
        <v>1.47</v>
      </c>
      <c r="J71" s="64">
        <v>0.86</v>
      </c>
      <c r="K71" s="64">
        <v>115.22</v>
      </c>
      <c r="L71" s="64">
        <v>22.04</v>
      </c>
      <c r="M71" s="64">
        <v>37.32</v>
      </c>
      <c r="N71" s="64">
        <v>118.1</v>
      </c>
      <c r="O71" s="64">
        <v>0</v>
      </c>
      <c r="P71" s="64">
        <v>0.51</v>
      </c>
      <c r="Q71" s="64">
        <v>5.25</v>
      </c>
      <c r="S71" s="198"/>
      <c r="T71" s="198"/>
      <c r="U71" s="198"/>
    </row>
    <row r="72" spans="1:21" s="12" customFormat="1" x14ac:dyDescent="0.25">
      <c r="A72" s="214" t="s">
        <v>2423</v>
      </c>
      <c r="B72" s="64">
        <v>2.59</v>
      </c>
      <c r="C72" s="64">
        <v>60.28</v>
      </c>
      <c r="D72" s="64">
        <v>35.99</v>
      </c>
      <c r="E72" s="64">
        <v>1.44</v>
      </c>
      <c r="F72" s="64">
        <v>37.880000000000003</v>
      </c>
      <c r="G72" s="64">
        <v>65.66</v>
      </c>
      <c r="H72" s="64">
        <v>41.74</v>
      </c>
      <c r="I72" s="64">
        <v>1.57</v>
      </c>
      <c r="J72" s="64">
        <v>0.87</v>
      </c>
      <c r="K72" s="64">
        <v>111.87</v>
      </c>
      <c r="L72" s="64">
        <v>21.94</v>
      </c>
      <c r="M72" s="64">
        <v>38.130000000000003</v>
      </c>
      <c r="N72" s="64">
        <v>100.2</v>
      </c>
      <c r="O72" s="64">
        <v>0</v>
      </c>
      <c r="P72" s="64">
        <v>0.52</v>
      </c>
      <c r="Q72" s="64">
        <v>4.7699999999999996</v>
      </c>
      <c r="S72" s="198"/>
      <c r="T72" s="198"/>
      <c r="U72" s="198"/>
    </row>
    <row r="73" spans="1:21" s="12" customFormat="1" x14ac:dyDescent="0.25">
      <c r="A73" s="214" t="s">
        <v>2424</v>
      </c>
      <c r="B73" s="64">
        <v>2.63</v>
      </c>
      <c r="C73" s="64">
        <v>60.3</v>
      </c>
      <c r="D73" s="64">
        <v>36.03</v>
      </c>
      <c r="E73" s="64">
        <v>2.2000000000000002</v>
      </c>
      <c r="F73" s="64">
        <v>39.97</v>
      </c>
      <c r="G73" s="64">
        <v>65.66</v>
      </c>
      <c r="H73" s="64">
        <v>41.74</v>
      </c>
      <c r="I73" s="64">
        <v>1.53</v>
      </c>
      <c r="J73" s="64">
        <v>0.71</v>
      </c>
      <c r="K73" s="64">
        <v>110.68</v>
      </c>
      <c r="L73" s="64">
        <v>21.7</v>
      </c>
      <c r="M73" s="64">
        <v>38.11</v>
      </c>
      <c r="N73" s="64">
        <v>98.7</v>
      </c>
      <c r="O73" s="64">
        <v>0</v>
      </c>
      <c r="P73" s="64">
        <v>0.54</v>
      </c>
      <c r="Q73" s="64">
        <v>4.6500000000000004</v>
      </c>
      <c r="S73" s="198"/>
      <c r="T73" s="198"/>
      <c r="U73" s="198"/>
    </row>
    <row r="74" spans="1:21" s="12" customFormat="1" x14ac:dyDescent="0.25">
      <c r="A74" s="214" t="s">
        <v>2425</v>
      </c>
      <c r="B74" s="64">
        <v>2.66</v>
      </c>
      <c r="C74" s="64">
        <v>60.74</v>
      </c>
      <c r="D74" s="64">
        <v>36.299999999999997</v>
      </c>
      <c r="E74" s="64">
        <v>2.2999999999999998</v>
      </c>
      <c r="F74" s="64">
        <v>42.02</v>
      </c>
      <c r="G74" s="64">
        <v>65.66</v>
      </c>
      <c r="H74" s="64">
        <v>41.74</v>
      </c>
      <c r="I74" s="64">
        <v>1.49</v>
      </c>
      <c r="J74" s="64">
        <v>0.99</v>
      </c>
      <c r="K74" s="64">
        <v>113.45</v>
      </c>
      <c r="L74" s="64">
        <v>21.56</v>
      </c>
      <c r="M74" s="64">
        <v>39.15</v>
      </c>
      <c r="N74" s="64">
        <v>98.5</v>
      </c>
      <c r="O74" s="64">
        <v>0</v>
      </c>
      <c r="P74" s="64">
        <v>0.6</v>
      </c>
      <c r="Q74" s="64">
        <v>4.76</v>
      </c>
      <c r="S74" s="198"/>
      <c r="T74" s="198"/>
      <c r="U74" s="198"/>
    </row>
    <row r="75" spans="1:21" s="12" customFormat="1" x14ac:dyDescent="0.25">
      <c r="A75" s="214" t="s">
        <v>2426</v>
      </c>
      <c r="B75" s="64">
        <v>2.66</v>
      </c>
      <c r="C75" s="64">
        <v>61.04</v>
      </c>
      <c r="D75" s="64">
        <v>36.46</v>
      </c>
      <c r="E75" s="64">
        <v>2.5499999999999998</v>
      </c>
      <c r="F75" s="64">
        <v>43.48</v>
      </c>
      <c r="G75" s="64">
        <v>68.31</v>
      </c>
      <c r="H75" s="64">
        <v>42.11</v>
      </c>
      <c r="I75" s="64">
        <v>1.47</v>
      </c>
      <c r="J75" s="64">
        <v>0.75</v>
      </c>
      <c r="K75" s="64">
        <v>114.99</v>
      </c>
      <c r="L75" s="64">
        <v>21.32</v>
      </c>
      <c r="M75" s="64">
        <v>40.64</v>
      </c>
      <c r="N75" s="64">
        <v>80.900000000000006</v>
      </c>
      <c r="O75" s="64">
        <v>0</v>
      </c>
      <c r="P75" s="64">
        <v>0.6</v>
      </c>
      <c r="Q75" s="64">
        <v>5.0599999999999996</v>
      </c>
      <c r="S75" s="198"/>
      <c r="T75" s="198"/>
      <c r="U75" s="198"/>
    </row>
    <row r="76" spans="1:21" s="12" customFormat="1" x14ac:dyDescent="0.25">
      <c r="A76" s="214" t="s">
        <v>2427</v>
      </c>
      <c r="B76" s="64">
        <v>2.71</v>
      </c>
      <c r="C76" s="64">
        <v>61.27</v>
      </c>
      <c r="D76" s="64">
        <v>36.630000000000003</v>
      </c>
      <c r="E76" s="64">
        <v>3.08</v>
      </c>
      <c r="F76" s="64">
        <v>42.07</v>
      </c>
      <c r="G76" s="64">
        <v>78.92</v>
      </c>
      <c r="H76" s="64">
        <v>43.77</v>
      </c>
      <c r="I76" s="64">
        <v>1.53</v>
      </c>
      <c r="J76" s="64">
        <v>0.28999999999999998</v>
      </c>
      <c r="K76" s="64">
        <v>102.42</v>
      </c>
      <c r="L76" s="64">
        <v>20.88</v>
      </c>
      <c r="M76" s="64">
        <v>42.44</v>
      </c>
      <c r="N76" s="64">
        <v>67.599999999999994</v>
      </c>
      <c r="O76" s="64">
        <v>0</v>
      </c>
      <c r="P76" s="64">
        <v>0.66</v>
      </c>
      <c r="Q76" s="64">
        <v>4.96</v>
      </c>
      <c r="S76" s="198"/>
      <c r="T76" s="198"/>
      <c r="U76" s="198"/>
    </row>
    <row r="77" spans="1:21" s="12" customFormat="1" x14ac:dyDescent="0.25">
      <c r="A77" s="214" t="s">
        <v>2428</v>
      </c>
      <c r="B77" s="64">
        <v>2.75</v>
      </c>
      <c r="C77" s="64">
        <v>62.01</v>
      </c>
      <c r="D77" s="64">
        <v>37.07</v>
      </c>
      <c r="E77" s="64">
        <v>2.6</v>
      </c>
      <c r="F77" s="64">
        <v>34.24</v>
      </c>
      <c r="G77" s="64">
        <v>78.92</v>
      </c>
      <c r="H77" s="64">
        <v>43.77</v>
      </c>
      <c r="I77" s="64">
        <v>1.54</v>
      </c>
      <c r="J77" s="64">
        <v>0.17</v>
      </c>
      <c r="K77" s="64">
        <v>90.37</v>
      </c>
      <c r="L77" s="64">
        <v>20.38</v>
      </c>
      <c r="M77" s="64">
        <v>44.3</v>
      </c>
      <c r="N77" s="64">
        <v>59.4</v>
      </c>
      <c r="O77" s="64">
        <v>0</v>
      </c>
      <c r="P77" s="64">
        <v>0.76</v>
      </c>
      <c r="Q77" s="64">
        <v>4.6399999999999997</v>
      </c>
      <c r="S77" s="198"/>
      <c r="T77" s="198"/>
      <c r="U77" s="198"/>
    </row>
    <row r="78" spans="1:21" s="12" customFormat="1" x14ac:dyDescent="0.25">
      <c r="A78" s="214" t="s">
        <v>2429</v>
      </c>
      <c r="B78" s="64">
        <v>2.85</v>
      </c>
      <c r="C78" s="64">
        <v>63.11</v>
      </c>
      <c r="D78" s="64">
        <v>37.76</v>
      </c>
      <c r="E78" s="64">
        <v>2.15</v>
      </c>
      <c r="F78" s="64">
        <v>23.4</v>
      </c>
      <c r="G78" s="64">
        <v>78.92</v>
      </c>
      <c r="H78" s="64">
        <v>43.77</v>
      </c>
      <c r="I78" s="64">
        <v>1.51</v>
      </c>
      <c r="J78" s="64">
        <v>0.15</v>
      </c>
      <c r="K78" s="64">
        <v>51.34</v>
      </c>
      <c r="L78" s="64">
        <v>19.64</v>
      </c>
      <c r="M78" s="64">
        <v>56.95</v>
      </c>
      <c r="N78" s="64">
        <v>54.3</v>
      </c>
      <c r="O78" s="64">
        <v>0</v>
      </c>
      <c r="P78" s="64">
        <v>0.88</v>
      </c>
      <c r="Q78" s="64">
        <v>4.09</v>
      </c>
      <c r="S78" s="198"/>
      <c r="T78" s="198"/>
      <c r="U78" s="198"/>
    </row>
    <row r="79" spans="1:21" s="12" customFormat="1" x14ac:dyDescent="0.25">
      <c r="A79" s="214" t="s">
        <v>2430</v>
      </c>
      <c r="B79" s="64">
        <v>3.14</v>
      </c>
      <c r="C79" s="64">
        <v>65.599999999999994</v>
      </c>
      <c r="D79" s="64">
        <v>39.369999999999997</v>
      </c>
      <c r="E79" s="64">
        <v>1.56</v>
      </c>
      <c r="F79" s="64">
        <v>13.87</v>
      </c>
      <c r="G79" s="64">
        <v>82.5</v>
      </c>
      <c r="H79" s="64">
        <v>44.87</v>
      </c>
      <c r="I79" s="64">
        <v>1.43</v>
      </c>
      <c r="J79" s="64">
        <v>0.11</v>
      </c>
      <c r="K79" s="64">
        <v>56.07</v>
      </c>
      <c r="L79" s="64">
        <v>19.170000000000002</v>
      </c>
      <c r="M79" s="64">
        <v>56.29</v>
      </c>
      <c r="N79" s="64">
        <v>53.7</v>
      </c>
      <c r="O79" s="64">
        <v>0</v>
      </c>
      <c r="P79" s="64">
        <v>0.92</v>
      </c>
      <c r="Q79" s="64">
        <v>3.27</v>
      </c>
      <c r="S79" s="198"/>
      <c r="T79" s="198"/>
      <c r="U79" s="198"/>
    </row>
    <row r="80" spans="1:21" s="12" customFormat="1" x14ac:dyDescent="0.25">
      <c r="A80" s="214" t="s">
        <v>2431</v>
      </c>
      <c r="B80" s="64">
        <v>3.36</v>
      </c>
      <c r="C80" s="64">
        <v>69.37</v>
      </c>
      <c r="D80" s="64">
        <v>41.62</v>
      </c>
      <c r="E80" s="64">
        <v>1.34</v>
      </c>
      <c r="F80" s="64">
        <v>8.9600000000000009</v>
      </c>
      <c r="G80" s="64">
        <v>95.88</v>
      </c>
      <c r="H80" s="64">
        <v>47.86</v>
      </c>
      <c r="I80" s="64">
        <v>1.47</v>
      </c>
      <c r="J80" s="64">
        <v>0.15</v>
      </c>
      <c r="K80" s="64">
        <v>54.77</v>
      </c>
      <c r="L80" s="64">
        <v>18.989999999999998</v>
      </c>
      <c r="M80" s="64">
        <v>60.66</v>
      </c>
      <c r="N80" s="64">
        <v>53.7</v>
      </c>
      <c r="O80" s="64">
        <v>0</v>
      </c>
      <c r="P80" s="64">
        <v>1.03</v>
      </c>
      <c r="Q80" s="64">
        <v>2.91</v>
      </c>
      <c r="S80" s="198"/>
      <c r="T80" s="198"/>
      <c r="U80" s="198"/>
    </row>
    <row r="81" spans="1:26" s="12" customFormat="1" x14ac:dyDescent="0.25">
      <c r="A81" s="214" t="s">
        <v>2432</v>
      </c>
      <c r="B81" s="64">
        <v>3.35</v>
      </c>
      <c r="C81" s="64">
        <v>72.69</v>
      </c>
      <c r="D81" s="64">
        <v>43.45</v>
      </c>
      <c r="E81" s="64">
        <v>1.1599999999999999</v>
      </c>
      <c r="F81" s="64">
        <v>9.19</v>
      </c>
      <c r="G81" s="64">
        <v>95.88</v>
      </c>
      <c r="H81" s="64">
        <v>47.86</v>
      </c>
      <c r="I81" s="64">
        <v>1.46</v>
      </c>
      <c r="J81" s="64">
        <v>0.53</v>
      </c>
      <c r="K81" s="64">
        <v>91.33</v>
      </c>
      <c r="L81" s="64">
        <v>19.29</v>
      </c>
      <c r="M81" s="64">
        <v>51.68</v>
      </c>
      <c r="N81" s="64">
        <v>53.5</v>
      </c>
      <c r="O81" s="64">
        <v>0</v>
      </c>
      <c r="P81" s="64">
        <v>0.96</v>
      </c>
      <c r="Q81" s="64">
        <v>4.1900000000000004</v>
      </c>
      <c r="S81" s="198"/>
      <c r="T81" s="198"/>
      <c r="U81" s="198"/>
    </row>
    <row r="82" spans="1:26" s="12" customFormat="1" x14ac:dyDescent="0.25">
      <c r="A82" s="214" t="s">
        <v>2433</v>
      </c>
      <c r="B82" s="64">
        <v>3.27</v>
      </c>
      <c r="C82" s="64">
        <v>75.400000000000006</v>
      </c>
      <c r="D82" s="64">
        <v>44.88</v>
      </c>
      <c r="E82" s="64">
        <v>1.03</v>
      </c>
      <c r="F82" s="64">
        <v>8.35</v>
      </c>
      <c r="G82" s="64">
        <v>95.88</v>
      </c>
      <c r="H82" s="64">
        <v>47.86</v>
      </c>
      <c r="I82" s="64">
        <v>1.56</v>
      </c>
      <c r="J82" s="64">
        <v>0.69</v>
      </c>
      <c r="K82" s="64">
        <v>94.29</v>
      </c>
      <c r="L82" s="64">
        <v>19.21</v>
      </c>
      <c r="M82" s="64">
        <v>50.37</v>
      </c>
      <c r="N82" s="64">
        <v>53.6</v>
      </c>
      <c r="O82" s="64">
        <v>0</v>
      </c>
      <c r="P82" s="64">
        <v>0.94</v>
      </c>
      <c r="Q82" s="64">
        <v>4.72</v>
      </c>
      <c r="S82" s="198"/>
      <c r="T82" s="198"/>
      <c r="U82" s="198"/>
    </row>
    <row r="83" spans="1:26" s="12" customFormat="1" x14ac:dyDescent="0.25">
      <c r="A83" s="214" t="s">
        <v>2434</v>
      </c>
      <c r="B83" s="64">
        <v>3.15</v>
      </c>
      <c r="C83" s="64">
        <v>76.95</v>
      </c>
      <c r="D83" s="64">
        <v>45.64</v>
      </c>
      <c r="E83" s="64">
        <v>0.85</v>
      </c>
      <c r="F83" s="64">
        <v>9.66</v>
      </c>
      <c r="G83" s="64">
        <v>101.85</v>
      </c>
      <c r="H83" s="64">
        <v>52.11</v>
      </c>
      <c r="I83" s="64">
        <v>1.51</v>
      </c>
      <c r="J83" s="64">
        <v>0.89</v>
      </c>
      <c r="K83" s="64">
        <v>96.8</v>
      </c>
      <c r="L83" s="64">
        <v>18.97</v>
      </c>
      <c r="M83" s="64">
        <v>50.67</v>
      </c>
      <c r="N83" s="64">
        <v>54.4</v>
      </c>
      <c r="O83" s="64">
        <v>0</v>
      </c>
      <c r="P83" s="64">
        <v>0.94</v>
      </c>
      <c r="Q83" s="64">
        <v>5.33</v>
      </c>
      <c r="S83" s="198"/>
      <c r="T83" s="198"/>
      <c r="U83" s="198"/>
    </row>
    <row r="84" spans="1:26" s="12" customFormat="1" x14ac:dyDescent="0.25">
      <c r="A84" s="214" t="s">
        <v>2435</v>
      </c>
      <c r="B84" s="64">
        <v>3.02</v>
      </c>
      <c r="C84" s="64">
        <v>77.56</v>
      </c>
      <c r="D84" s="64">
        <v>45.87</v>
      </c>
      <c r="E84" s="64">
        <v>0.9</v>
      </c>
      <c r="F84" s="64">
        <v>7.72</v>
      </c>
      <c r="G84" s="64">
        <v>125.71</v>
      </c>
      <c r="H84" s="64">
        <v>63.69</v>
      </c>
      <c r="I84" s="64">
        <v>1.49</v>
      </c>
      <c r="J84" s="64">
        <v>0.99</v>
      </c>
      <c r="K84" s="64">
        <v>95.91</v>
      </c>
      <c r="L84" s="64">
        <v>18.809999999999999</v>
      </c>
      <c r="M84" s="64">
        <v>51.1</v>
      </c>
      <c r="N84" s="64">
        <v>55.1</v>
      </c>
      <c r="O84" s="64">
        <v>0</v>
      </c>
      <c r="P84" s="64">
        <v>0.9</v>
      </c>
      <c r="Q84" s="64">
        <v>5.59</v>
      </c>
      <c r="S84" s="198"/>
      <c r="T84" s="198"/>
      <c r="U84" s="198"/>
    </row>
    <row r="85" spans="1:26" s="12" customFormat="1" x14ac:dyDescent="0.25">
      <c r="A85" s="214" t="s">
        <v>2436</v>
      </c>
      <c r="B85" s="64">
        <v>2.94</v>
      </c>
      <c r="C85" s="64">
        <v>77.81</v>
      </c>
      <c r="D85" s="64">
        <v>45.95</v>
      </c>
      <c r="E85" s="64">
        <v>0.88</v>
      </c>
      <c r="F85" s="64">
        <v>8.1999999999999993</v>
      </c>
      <c r="G85" s="64">
        <v>125.71</v>
      </c>
      <c r="H85" s="64">
        <v>63.69</v>
      </c>
      <c r="I85" s="64">
        <v>1.51</v>
      </c>
      <c r="J85" s="64">
        <v>0.86</v>
      </c>
      <c r="K85" s="64">
        <v>94.32</v>
      </c>
      <c r="L85" s="64">
        <v>18.61</v>
      </c>
      <c r="M85" s="64">
        <v>51.95</v>
      </c>
      <c r="N85" s="64">
        <v>55.4</v>
      </c>
      <c r="O85" s="64">
        <v>0</v>
      </c>
      <c r="P85" s="64">
        <v>0.81</v>
      </c>
      <c r="Q85" s="64">
        <v>5.77</v>
      </c>
      <c r="S85" s="198"/>
      <c r="T85" s="198"/>
      <c r="U85" s="198"/>
    </row>
    <row r="86" spans="1:26" s="12" customFormat="1" x14ac:dyDescent="0.25">
      <c r="A86" s="214" t="s">
        <v>2437</v>
      </c>
      <c r="B86" s="64">
        <v>2.86</v>
      </c>
      <c r="C86" s="64">
        <v>78.150000000000006</v>
      </c>
      <c r="D86" s="64">
        <v>46.07</v>
      </c>
      <c r="E86" s="64">
        <v>1.02</v>
      </c>
      <c r="F86" s="64">
        <v>9.86</v>
      </c>
      <c r="G86" s="64">
        <v>125.71</v>
      </c>
      <c r="H86" s="64">
        <v>63.69</v>
      </c>
      <c r="I86" s="64">
        <v>1.51</v>
      </c>
      <c r="J86" s="64">
        <v>0.68</v>
      </c>
      <c r="K86" s="64">
        <v>96.93</v>
      </c>
      <c r="L86" s="64">
        <v>18.34</v>
      </c>
      <c r="M86" s="64">
        <v>52.52</v>
      </c>
      <c r="N86" s="64">
        <v>56.7</v>
      </c>
      <c r="O86" s="64">
        <v>0</v>
      </c>
      <c r="P86" s="64">
        <v>0.93</v>
      </c>
      <c r="Q86" s="64">
        <v>5.74</v>
      </c>
      <c r="S86" s="198"/>
      <c r="T86" s="198"/>
      <c r="U86" s="198"/>
    </row>
    <row r="87" spans="1:26" s="12" customFormat="1" x14ac:dyDescent="0.25">
      <c r="A87" s="214" t="s">
        <v>2438</v>
      </c>
      <c r="B87" s="64">
        <v>2.87</v>
      </c>
      <c r="C87" s="64">
        <v>78.400000000000006</v>
      </c>
      <c r="D87" s="64">
        <v>46.22</v>
      </c>
      <c r="E87" s="64">
        <v>0.83</v>
      </c>
      <c r="F87" s="64">
        <v>11.38</v>
      </c>
      <c r="G87" s="64">
        <v>126.2</v>
      </c>
      <c r="H87" s="64">
        <v>65.69</v>
      </c>
      <c r="I87" s="64">
        <v>1.58</v>
      </c>
      <c r="J87" s="64">
        <v>0.54</v>
      </c>
      <c r="K87" s="64">
        <v>92.07</v>
      </c>
      <c r="L87" s="64">
        <v>18.16</v>
      </c>
      <c r="M87" s="64">
        <v>53.4</v>
      </c>
      <c r="N87" s="64">
        <v>56.7</v>
      </c>
      <c r="O87" s="64">
        <v>0</v>
      </c>
      <c r="P87" s="64">
        <v>0.97</v>
      </c>
      <c r="Q87" s="64">
        <v>5.68</v>
      </c>
      <c r="S87" s="198"/>
      <c r="T87" s="198"/>
      <c r="U87" s="198"/>
    </row>
    <row r="88" spans="1:26" s="12" customFormat="1" x14ac:dyDescent="0.25">
      <c r="A88" s="214" t="s">
        <v>2439</v>
      </c>
      <c r="B88" s="64">
        <v>2.86</v>
      </c>
      <c r="C88" s="64">
        <v>78.150000000000006</v>
      </c>
      <c r="D88" s="64">
        <v>46.07</v>
      </c>
      <c r="E88" s="64">
        <v>0.55000000000000004</v>
      </c>
      <c r="F88" s="64">
        <v>10.88</v>
      </c>
      <c r="G88" s="64">
        <v>128.16</v>
      </c>
      <c r="H88" s="64">
        <v>71.14</v>
      </c>
      <c r="I88" s="64">
        <v>1.46</v>
      </c>
      <c r="J88" s="64">
        <v>0.62</v>
      </c>
      <c r="K88" s="64">
        <v>101.66</v>
      </c>
      <c r="L88" s="64">
        <v>17.95</v>
      </c>
      <c r="M88" s="64">
        <v>54.05</v>
      </c>
      <c r="N88" s="64">
        <v>56.6</v>
      </c>
      <c r="O88" s="64">
        <v>0</v>
      </c>
      <c r="P88" s="64">
        <v>0.93</v>
      </c>
      <c r="Q88" s="64">
        <v>5.71</v>
      </c>
      <c r="S88" s="198"/>
      <c r="T88" s="198"/>
      <c r="U88" s="198"/>
    </row>
    <row r="89" spans="1:26" s="12" customFormat="1" x14ac:dyDescent="0.25">
      <c r="A89" s="214" t="s">
        <v>2440</v>
      </c>
      <c r="B89" s="64">
        <v>2.79</v>
      </c>
      <c r="C89" s="64">
        <v>77.02</v>
      </c>
      <c r="D89" s="64">
        <v>45.39</v>
      </c>
      <c r="E89" s="64">
        <v>1.2</v>
      </c>
      <c r="F89" s="64">
        <v>13.46</v>
      </c>
      <c r="G89" s="64">
        <v>128.16</v>
      </c>
      <c r="H89" s="64">
        <v>71.14</v>
      </c>
      <c r="I89" s="64">
        <v>1.52</v>
      </c>
      <c r="J89" s="64">
        <v>0.73</v>
      </c>
      <c r="K89" s="64">
        <v>98.38</v>
      </c>
      <c r="L89" s="64">
        <v>17.73</v>
      </c>
      <c r="M89" s="64">
        <v>56.07</v>
      </c>
      <c r="N89" s="64">
        <v>56.9</v>
      </c>
      <c r="O89" s="64">
        <v>0</v>
      </c>
      <c r="P89" s="64">
        <v>0.95</v>
      </c>
      <c r="Q89" s="64">
        <v>6.06</v>
      </c>
      <c r="S89" s="198"/>
      <c r="T89" s="198"/>
      <c r="U89" s="198"/>
    </row>
    <row r="90" spans="1:26" s="12" customFormat="1" x14ac:dyDescent="0.25">
      <c r="A90" s="214" t="s">
        <v>2441</v>
      </c>
      <c r="B90" s="64">
        <v>2.72</v>
      </c>
      <c r="C90" s="64">
        <v>75.59</v>
      </c>
      <c r="D90" s="64">
        <v>44.54</v>
      </c>
      <c r="E90" s="64">
        <v>1.32</v>
      </c>
      <c r="F90" s="64">
        <v>17.23</v>
      </c>
      <c r="G90" s="64">
        <v>128.16</v>
      </c>
      <c r="H90" s="64">
        <v>71.14</v>
      </c>
      <c r="I90" s="64">
        <v>1.54</v>
      </c>
      <c r="J90" s="64">
        <v>0.51</v>
      </c>
      <c r="K90" s="64">
        <v>103.09</v>
      </c>
      <c r="L90" s="64">
        <v>17.489999999999998</v>
      </c>
      <c r="M90" s="64">
        <v>58.04</v>
      </c>
      <c r="N90" s="64">
        <v>58.4</v>
      </c>
      <c r="O90" s="64">
        <v>0</v>
      </c>
      <c r="P90" s="64">
        <v>0.98</v>
      </c>
      <c r="Q90" s="64">
        <v>6.18</v>
      </c>
      <c r="S90" s="198"/>
      <c r="T90" s="198"/>
      <c r="U90" s="198"/>
    </row>
    <row r="91" spans="1:26" s="12" customFormat="1" x14ac:dyDescent="0.25">
      <c r="A91" s="214" t="s">
        <v>2442</v>
      </c>
      <c r="B91" s="64">
        <v>2.64</v>
      </c>
      <c r="C91" s="64">
        <v>74.099999999999994</v>
      </c>
      <c r="D91" s="64">
        <v>43.66</v>
      </c>
      <c r="E91" s="64">
        <v>1.01</v>
      </c>
      <c r="F91" s="64">
        <v>14.14</v>
      </c>
      <c r="G91" s="64">
        <v>127.46</v>
      </c>
      <c r="H91" s="64">
        <v>72.86</v>
      </c>
      <c r="I91" s="64">
        <v>1.4</v>
      </c>
      <c r="J91" s="64">
        <v>0.51</v>
      </c>
      <c r="K91" s="64">
        <v>95.17</v>
      </c>
      <c r="L91" s="64">
        <v>17.350000000000001</v>
      </c>
      <c r="M91" s="64">
        <v>59.18</v>
      </c>
      <c r="N91" s="64">
        <v>59.3</v>
      </c>
      <c r="O91" s="64">
        <v>0</v>
      </c>
      <c r="P91" s="64">
        <v>0.92</v>
      </c>
      <c r="Q91" s="64">
        <v>6.15</v>
      </c>
      <c r="S91" s="198"/>
      <c r="T91" s="198"/>
      <c r="U91" s="198"/>
    </row>
    <row r="92" spans="1:26" s="12" customFormat="1" x14ac:dyDescent="0.25">
      <c r="A92" s="214" t="s">
        <v>2443</v>
      </c>
      <c r="B92" s="64">
        <v>2.65</v>
      </c>
      <c r="C92" s="64">
        <v>73.349999999999994</v>
      </c>
      <c r="D92" s="64">
        <v>43.25</v>
      </c>
      <c r="E92" s="64">
        <v>1.41</v>
      </c>
      <c r="F92" s="64">
        <v>13.44</v>
      </c>
      <c r="G92" s="64">
        <v>124.87</v>
      </c>
      <c r="H92" s="64">
        <v>81.33</v>
      </c>
      <c r="I92" s="64">
        <v>1.46</v>
      </c>
      <c r="J92" s="64">
        <v>0.52</v>
      </c>
      <c r="K92" s="64">
        <v>91.92</v>
      </c>
      <c r="L92" s="64">
        <v>17.14</v>
      </c>
      <c r="M92" s="64">
        <v>60.79</v>
      </c>
      <c r="N92" s="64">
        <v>59.5</v>
      </c>
      <c r="O92" s="64">
        <v>0</v>
      </c>
      <c r="P92" s="64">
        <v>0.92</v>
      </c>
      <c r="Q92" s="64">
        <v>5.9</v>
      </c>
      <c r="S92" s="198"/>
      <c r="T92" s="198"/>
      <c r="U92" s="198"/>
    </row>
    <row r="93" spans="1:26" s="12" customFormat="1" x14ac:dyDescent="0.25">
      <c r="A93" s="214" t="s">
        <v>2444</v>
      </c>
      <c r="B93" s="64">
        <v>2.69</v>
      </c>
      <c r="C93" s="64">
        <v>72.78</v>
      </c>
      <c r="D93" s="64">
        <v>42.97</v>
      </c>
      <c r="E93" s="64">
        <v>1.33</v>
      </c>
      <c r="F93" s="64">
        <v>15.03</v>
      </c>
      <c r="G93" s="64">
        <v>124.87</v>
      </c>
      <c r="H93" s="64">
        <v>81.33</v>
      </c>
      <c r="I93" s="64">
        <v>1.54</v>
      </c>
      <c r="J93" s="64">
        <v>0.42</v>
      </c>
      <c r="K93" s="64">
        <v>91.51</v>
      </c>
      <c r="L93" s="64">
        <v>17.02</v>
      </c>
      <c r="M93" s="64">
        <v>62.03</v>
      </c>
      <c r="N93" s="64">
        <v>59.6</v>
      </c>
      <c r="O93" s="64">
        <v>0</v>
      </c>
      <c r="P93" s="64">
        <v>0.94</v>
      </c>
      <c r="Q93" s="64">
        <v>5.63</v>
      </c>
      <c r="S93" s="198"/>
      <c r="T93" s="198"/>
      <c r="U93" s="198"/>
    </row>
    <row r="94" spans="1:26" s="12" customFormat="1" x14ac:dyDescent="0.25">
      <c r="A94" s="214" t="s">
        <v>2445</v>
      </c>
      <c r="B94" s="64">
        <v>2.82</v>
      </c>
      <c r="C94" s="64">
        <v>72.599999999999994</v>
      </c>
      <c r="D94" s="64">
        <v>42.97</v>
      </c>
      <c r="E94" s="64">
        <v>1.81</v>
      </c>
      <c r="F94" s="64">
        <v>15.68</v>
      </c>
      <c r="G94" s="64">
        <v>124.87</v>
      </c>
      <c r="H94" s="64">
        <v>81.33</v>
      </c>
      <c r="I94" s="64">
        <v>1.51</v>
      </c>
      <c r="J94" s="64">
        <v>0.28999999999999998</v>
      </c>
      <c r="K94" s="64">
        <v>91.83</v>
      </c>
      <c r="L94" s="64">
        <v>16.829999999999998</v>
      </c>
      <c r="M94" s="64">
        <v>62.93</v>
      </c>
      <c r="N94" s="64">
        <v>59.5</v>
      </c>
      <c r="O94" s="64">
        <v>0</v>
      </c>
      <c r="P94" s="64">
        <v>0.95</v>
      </c>
      <c r="Q94" s="64">
        <v>5.1100000000000003</v>
      </c>
      <c r="S94" s="198"/>
      <c r="T94" s="198"/>
      <c r="U94" s="198"/>
    </row>
    <row r="95" spans="1:26" s="12" customFormat="1" x14ac:dyDescent="0.25">
      <c r="A95" s="214" t="s">
        <v>2446</v>
      </c>
      <c r="B95" s="64">
        <v>3.17</v>
      </c>
      <c r="C95" s="64">
        <v>71.900000000000006</v>
      </c>
      <c r="D95" s="64">
        <v>42.87</v>
      </c>
      <c r="E95" s="64">
        <v>1.72</v>
      </c>
      <c r="F95" s="64">
        <v>17.22</v>
      </c>
      <c r="G95" s="64">
        <v>122.17</v>
      </c>
      <c r="H95" s="64">
        <v>79.87</v>
      </c>
      <c r="I95" s="64">
        <v>1.51</v>
      </c>
      <c r="J95" s="64">
        <v>0.36</v>
      </c>
      <c r="K95" s="64">
        <v>94.52</v>
      </c>
      <c r="L95" s="64">
        <v>16.61</v>
      </c>
      <c r="M95" s="64">
        <v>64.260000000000005</v>
      </c>
      <c r="N95" s="64">
        <v>73.7</v>
      </c>
      <c r="O95" s="64">
        <v>0</v>
      </c>
      <c r="P95" s="64">
        <v>0.94</v>
      </c>
      <c r="Q95" s="64">
        <v>5.07</v>
      </c>
      <c r="S95" s="198"/>
      <c r="T95" s="198"/>
      <c r="U95" s="198"/>
    </row>
    <row r="96" spans="1:26" s="12" customFormat="1" x14ac:dyDescent="0.25">
      <c r="A96" s="214" t="s">
        <v>2447</v>
      </c>
      <c r="B96" s="64">
        <v>3.35</v>
      </c>
      <c r="C96" s="64">
        <v>71.55</v>
      </c>
      <c r="D96" s="64">
        <v>42.81</v>
      </c>
      <c r="E96" s="64">
        <v>1.81</v>
      </c>
      <c r="F96" s="64">
        <v>20.78</v>
      </c>
      <c r="G96" s="64">
        <v>112.09</v>
      </c>
      <c r="H96" s="64">
        <v>75.89</v>
      </c>
      <c r="I96" s="64">
        <v>1.61</v>
      </c>
      <c r="J96" s="64">
        <v>0.5</v>
      </c>
      <c r="K96" s="64">
        <v>96.78</v>
      </c>
      <c r="L96" s="64">
        <v>16.47</v>
      </c>
      <c r="M96" s="64">
        <v>65.069999999999993</v>
      </c>
      <c r="N96" s="64">
        <v>54.2</v>
      </c>
      <c r="O96" s="64">
        <v>0</v>
      </c>
      <c r="P96" s="64">
        <v>0.9</v>
      </c>
      <c r="Q96" s="64">
        <v>5.77</v>
      </c>
      <c r="S96" s="198"/>
      <c r="T96" s="198"/>
      <c r="U96" s="198"/>
      <c r="Z96" s="109"/>
    </row>
    <row r="97" spans="1:33" s="12" customFormat="1" x14ac:dyDescent="0.25">
      <c r="A97" s="214" t="s">
        <v>2448</v>
      </c>
      <c r="B97" s="64">
        <v>3.47</v>
      </c>
      <c r="C97" s="64">
        <v>71.099999999999994</v>
      </c>
      <c r="D97" s="64">
        <v>42.67</v>
      </c>
      <c r="E97" s="64">
        <v>1.72</v>
      </c>
      <c r="F97" s="64">
        <v>18.16</v>
      </c>
      <c r="G97" s="64">
        <v>112.09</v>
      </c>
      <c r="H97" s="64">
        <v>75.89</v>
      </c>
      <c r="I97" s="64">
        <v>1.51</v>
      </c>
      <c r="J97" s="64">
        <v>0.09</v>
      </c>
      <c r="K97" s="64">
        <v>113.85</v>
      </c>
      <c r="L97" s="64">
        <v>16.3</v>
      </c>
      <c r="M97" s="64">
        <v>67.099999999999994</v>
      </c>
      <c r="N97" s="64">
        <v>54.7</v>
      </c>
      <c r="O97" s="64">
        <v>0</v>
      </c>
      <c r="P97" s="64">
        <v>0.9</v>
      </c>
      <c r="Q97" s="64">
        <v>5.87</v>
      </c>
      <c r="S97" s="198"/>
      <c r="T97" s="198"/>
      <c r="U97" s="198"/>
    </row>
    <row r="98" spans="1:33" s="12" customFormat="1" x14ac:dyDescent="0.25">
      <c r="A98" s="214" t="s">
        <v>2449</v>
      </c>
      <c r="B98" s="64">
        <v>3.61</v>
      </c>
      <c r="C98" s="64">
        <v>70.959999999999994</v>
      </c>
      <c r="D98" s="64">
        <v>42.7</v>
      </c>
      <c r="E98" s="64">
        <v>1.63</v>
      </c>
      <c r="F98" s="64">
        <v>13.59</v>
      </c>
      <c r="G98" s="64">
        <v>112.09</v>
      </c>
      <c r="H98" s="64">
        <v>75.89</v>
      </c>
      <c r="I98" s="64">
        <v>1.46</v>
      </c>
      <c r="J98" s="64">
        <v>0.16</v>
      </c>
      <c r="K98" s="64">
        <v>102.75</v>
      </c>
      <c r="L98" s="64">
        <v>16.010000000000002</v>
      </c>
      <c r="M98" s="64">
        <v>69.040000000000006</v>
      </c>
      <c r="N98" s="64">
        <v>58.8</v>
      </c>
      <c r="O98" s="64">
        <v>0</v>
      </c>
      <c r="P98" s="64">
        <v>0.92</v>
      </c>
      <c r="Q98" s="64">
        <v>5.19</v>
      </c>
      <c r="S98" s="198"/>
      <c r="T98" s="198"/>
      <c r="U98" s="198"/>
    </row>
    <row r="99" spans="1:33" s="12" customFormat="1" x14ac:dyDescent="0.25">
      <c r="A99" s="214" t="s">
        <v>2450</v>
      </c>
      <c r="B99" s="64">
        <v>3.87</v>
      </c>
      <c r="C99" s="64">
        <v>71.5</v>
      </c>
      <c r="D99" s="64">
        <v>43.21</v>
      </c>
      <c r="E99" s="64">
        <v>1.55</v>
      </c>
      <c r="F99" s="64">
        <v>10.51</v>
      </c>
      <c r="G99" s="64">
        <v>112.01</v>
      </c>
      <c r="H99" s="64">
        <v>75.72</v>
      </c>
      <c r="I99" s="64">
        <v>1.43</v>
      </c>
      <c r="J99" s="64">
        <v>0.04</v>
      </c>
      <c r="K99" s="64">
        <v>86.17</v>
      </c>
      <c r="L99" s="64">
        <v>15.84</v>
      </c>
      <c r="M99" s="64">
        <v>70.78</v>
      </c>
      <c r="N99" s="64">
        <v>60.8</v>
      </c>
      <c r="O99" s="64">
        <v>0</v>
      </c>
      <c r="P99" s="64">
        <v>0.91</v>
      </c>
      <c r="Q99" s="64">
        <v>4.4800000000000004</v>
      </c>
      <c r="S99" s="198"/>
      <c r="T99" s="198"/>
      <c r="U99" s="198"/>
    </row>
    <row r="100" spans="1:33" s="12" customFormat="1" x14ac:dyDescent="0.25">
      <c r="A100" s="214" t="s">
        <v>2451</v>
      </c>
      <c r="B100" s="64">
        <v>4.5199999999999996</v>
      </c>
      <c r="C100" s="64">
        <v>72.47</v>
      </c>
      <c r="D100" s="64">
        <v>44.27</v>
      </c>
      <c r="E100" s="64">
        <v>1.54</v>
      </c>
      <c r="F100" s="64">
        <v>7.26</v>
      </c>
      <c r="G100" s="64">
        <v>111.73</v>
      </c>
      <c r="H100" s="64">
        <v>75.25</v>
      </c>
      <c r="I100" s="64">
        <v>1.44</v>
      </c>
      <c r="J100" s="64">
        <v>0.02</v>
      </c>
      <c r="K100" s="64">
        <v>211.97</v>
      </c>
      <c r="L100" s="64">
        <v>15.38</v>
      </c>
      <c r="M100" s="64">
        <v>74.69</v>
      </c>
      <c r="N100" s="64">
        <v>57.8</v>
      </c>
      <c r="O100" s="64">
        <v>0</v>
      </c>
      <c r="P100" s="64">
        <v>0.95</v>
      </c>
      <c r="Q100" s="64">
        <v>3.16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2452</v>
      </c>
      <c r="B101" s="64">
        <v>5.17</v>
      </c>
      <c r="C101" s="64">
        <v>73.42</v>
      </c>
      <c r="D101" s="64">
        <v>45.31</v>
      </c>
      <c r="E101" s="64">
        <v>1.32</v>
      </c>
      <c r="F101" s="64">
        <v>8.48</v>
      </c>
      <c r="G101" s="64">
        <v>111.73</v>
      </c>
      <c r="H101" s="64">
        <v>75.25</v>
      </c>
      <c r="I101" s="64">
        <v>1.5</v>
      </c>
      <c r="J101" s="64">
        <v>0.38</v>
      </c>
      <c r="K101" s="64">
        <v>98.16</v>
      </c>
      <c r="L101" s="64">
        <v>15.48</v>
      </c>
      <c r="M101" s="64">
        <v>73.400000000000006</v>
      </c>
      <c r="N101" s="64">
        <v>56.5</v>
      </c>
      <c r="O101" s="64">
        <v>0</v>
      </c>
      <c r="P101" s="64">
        <v>0.88</v>
      </c>
      <c r="Q101" s="64">
        <v>4.04</v>
      </c>
      <c r="S101" s="198"/>
      <c r="T101" s="198"/>
      <c r="U101" s="198"/>
    </row>
    <row r="102" spans="1:33" s="12" customFormat="1" x14ac:dyDescent="0.25">
      <c r="A102" s="214" t="s">
        <v>2453</v>
      </c>
      <c r="B102" s="64">
        <v>5.37</v>
      </c>
      <c r="C102" s="64">
        <v>73.430000000000007</v>
      </c>
      <c r="D102" s="64">
        <v>45.48</v>
      </c>
      <c r="E102" s="64">
        <v>1.2</v>
      </c>
      <c r="F102" s="64">
        <v>11.86</v>
      </c>
      <c r="G102" s="64">
        <v>111.73</v>
      </c>
      <c r="H102" s="64">
        <v>75.25</v>
      </c>
      <c r="I102" s="64">
        <v>1.51</v>
      </c>
      <c r="J102" s="64">
        <v>0.2</v>
      </c>
      <c r="K102" s="64">
        <v>89.4</v>
      </c>
      <c r="L102" s="64">
        <v>15.56</v>
      </c>
      <c r="M102" s="64">
        <v>73.27</v>
      </c>
      <c r="N102" s="64">
        <v>58.5</v>
      </c>
      <c r="O102" s="64">
        <v>0</v>
      </c>
      <c r="P102" s="64">
        <v>0.79</v>
      </c>
      <c r="Q102" s="64">
        <v>5.49</v>
      </c>
      <c r="S102" s="198"/>
      <c r="T102" s="198"/>
      <c r="U102" s="198"/>
    </row>
    <row r="103" spans="1:33" s="12" customFormat="1" x14ac:dyDescent="0.25">
      <c r="A103" s="214" t="s">
        <v>2454</v>
      </c>
      <c r="B103" s="64">
        <v>5.39</v>
      </c>
      <c r="C103" s="64">
        <v>73.150000000000006</v>
      </c>
      <c r="D103" s="64">
        <v>45.33</v>
      </c>
      <c r="E103" s="64">
        <v>1.24</v>
      </c>
      <c r="F103" s="64">
        <v>12.03</v>
      </c>
      <c r="G103" s="64">
        <v>111.81</v>
      </c>
      <c r="H103" s="64">
        <v>72.2</v>
      </c>
      <c r="I103" s="64">
        <v>1.47</v>
      </c>
      <c r="J103" s="64">
        <v>0.03</v>
      </c>
      <c r="K103" s="64">
        <v>210.02</v>
      </c>
      <c r="L103" s="64">
        <v>15.06</v>
      </c>
      <c r="M103" s="64">
        <v>76.83</v>
      </c>
      <c r="N103" s="64">
        <v>63.3</v>
      </c>
      <c r="O103" s="64">
        <v>0</v>
      </c>
      <c r="P103" s="64">
        <v>0.76</v>
      </c>
      <c r="Q103" s="64">
        <v>6.08</v>
      </c>
      <c r="S103" s="198"/>
      <c r="T103" s="198"/>
      <c r="U103" s="198"/>
    </row>
    <row r="104" spans="1:33" s="12" customFormat="1" x14ac:dyDescent="0.25">
      <c r="A104" s="214" t="s">
        <v>2455</v>
      </c>
      <c r="B104" s="64">
        <v>5.32</v>
      </c>
      <c r="C104" s="64">
        <v>72.78</v>
      </c>
      <c r="D104" s="64">
        <v>45.08</v>
      </c>
      <c r="E104" s="64">
        <v>0.83</v>
      </c>
      <c r="F104" s="64">
        <v>12.5</v>
      </c>
      <c r="G104" s="64">
        <v>112.09</v>
      </c>
      <c r="H104" s="64">
        <v>63.89</v>
      </c>
      <c r="I104" s="64">
        <v>1.45</v>
      </c>
      <c r="J104" s="64">
        <v>0.15</v>
      </c>
      <c r="K104" s="64">
        <v>224.15</v>
      </c>
      <c r="L104" s="64">
        <v>14.85</v>
      </c>
      <c r="M104" s="64">
        <v>77.84</v>
      </c>
      <c r="N104" s="64">
        <v>54.8</v>
      </c>
      <c r="O104" s="64">
        <v>0</v>
      </c>
      <c r="P104" s="64">
        <v>0.71</v>
      </c>
      <c r="Q104" s="64">
        <v>6.23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2.0299999999999998</v>
      </c>
      <c r="C106" s="67">
        <f>MIN(C9:C104)</f>
        <v>60.28</v>
      </c>
      <c r="D106" s="67">
        <f t="shared" ref="D106:Q106" si="0">MIN(D9:D104)</f>
        <v>35.99</v>
      </c>
      <c r="E106" s="67">
        <f t="shared" si="0"/>
        <v>0.43</v>
      </c>
      <c r="F106" s="67">
        <f t="shared" si="0"/>
        <v>3.11</v>
      </c>
      <c r="G106" s="67">
        <f t="shared" si="0"/>
        <v>58.5</v>
      </c>
      <c r="H106" s="67">
        <f t="shared" si="0"/>
        <v>33.99</v>
      </c>
      <c r="I106" s="67">
        <f t="shared" si="0"/>
        <v>1.4</v>
      </c>
      <c r="J106" s="67">
        <f t="shared" si="0"/>
        <v>0.02</v>
      </c>
      <c r="K106" s="67">
        <f t="shared" si="0"/>
        <v>31.57</v>
      </c>
      <c r="L106" s="67">
        <f t="shared" si="0"/>
        <v>11.85</v>
      </c>
      <c r="M106" s="67">
        <f t="shared" si="0"/>
        <v>35.619999999999997</v>
      </c>
      <c r="N106" s="67">
        <f t="shared" si="0"/>
        <v>53.5</v>
      </c>
      <c r="O106" s="67">
        <f t="shared" si="0"/>
        <v>0</v>
      </c>
      <c r="P106" s="67">
        <f t="shared" si="0"/>
        <v>0.5</v>
      </c>
      <c r="Q106" s="67">
        <f t="shared" si="0"/>
        <v>2.91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112.41</v>
      </c>
      <c r="C107" s="66">
        <f t="shared" ref="C107:Q107" si="1">MAX(C9:C104)</f>
        <v>108.45</v>
      </c>
      <c r="D107" s="66">
        <f t="shared" si="1"/>
        <v>150.63999999999999</v>
      </c>
      <c r="E107" s="66">
        <f t="shared" si="1"/>
        <v>3.08</v>
      </c>
      <c r="F107" s="66">
        <f t="shared" si="1"/>
        <v>43.48</v>
      </c>
      <c r="G107" s="66">
        <f t="shared" si="1"/>
        <v>224.4</v>
      </c>
      <c r="H107" s="66">
        <f t="shared" si="1"/>
        <v>115.4</v>
      </c>
      <c r="I107" s="66">
        <f t="shared" si="1"/>
        <v>1.61</v>
      </c>
      <c r="J107" s="66">
        <f t="shared" si="1"/>
        <v>1.37</v>
      </c>
      <c r="K107" s="66">
        <f t="shared" si="1"/>
        <v>357.79</v>
      </c>
      <c r="L107" s="66">
        <f t="shared" si="1"/>
        <v>23.84</v>
      </c>
      <c r="M107" s="66">
        <f t="shared" si="1"/>
        <v>97.5</v>
      </c>
      <c r="N107" s="66">
        <f t="shared" si="1"/>
        <v>656</v>
      </c>
      <c r="O107" s="66">
        <f t="shared" si="1"/>
        <v>0</v>
      </c>
      <c r="P107" s="66">
        <f t="shared" si="1"/>
        <v>2.71</v>
      </c>
      <c r="Q107" s="66">
        <f t="shared" si="1"/>
        <v>18.77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24.546458333333344</v>
      </c>
      <c r="C108" s="67">
        <f t="shared" ref="C108:Q108" si="2">AVERAGE(C9:C104)</f>
        <v>75.786041666666662</v>
      </c>
      <c r="D108" s="67">
        <f t="shared" si="2"/>
        <v>62.155104166666696</v>
      </c>
      <c r="E108" s="67">
        <f t="shared" si="2"/>
        <v>1.2166666666666663</v>
      </c>
      <c r="F108" s="67">
        <f t="shared" si="2"/>
        <v>13.023229166666669</v>
      </c>
      <c r="G108" s="67">
        <f t="shared" si="2"/>
        <v>129.12312499999999</v>
      </c>
      <c r="H108" s="67">
        <f t="shared" si="2"/>
        <v>72.204791666666637</v>
      </c>
      <c r="I108" s="67">
        <f t="shared" si="2"/>
        <v>1.5041666666666664</v>
      </c>
      <c r="J108" s="67">
        <f t="shared" si="2"/>
        <v>0.46062500000000001</v>
      </c>
      <c r="K108" s="67">
        <f t="shared" si="2"/>
        <v>136.99625000000003</v>
      </c>
      <c r="L108" s="67">
        <f t="shared" si="2"/>
        <v>16.931250000000002</v>
      </c>
      <c r="M108" s="67">
        <f t="shared" si="2"/>
        <v>62.78885416666666</v>
      </c>
      <c r="N108" s="67">
        <f t="shared" si="2"/>
        <v>163.94062500000004</v>
      </c>
      <c r="O108" s="67">
        <f t="shared" si="2"/>
        <v>0</v>
      </c>
      <c r="P108" s="67">
        <f t="shared" si="2"/>
        <v>1.0119791666666673</v>
      </c>
      <c r="Q108" s="67">
        <f t="shared" si="2"/>
        <v>8.3836458333333326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32.951104477269482</v>
      </c>
      <c r="C109" s="67">
        <f t="shared" ref="C109:Q109" si="3">STDEV(C9:C104)</f>
        <v>10.34858683250145</v>
      </c>
      <c r="D109" s="67">
        <f t="shared" si="3"/>
        <v>31.515428535536454</v>
      </c>
      <c r="E109" s="67">
        <f t="shared" si="3"/>
        <v>0.49026451864846959</v>
      </c>
      <c r="F109" s="67">
        <f t="shared" si="3"/>
        <v>10.177346618817765</v>
      </c>
      <c r="G109" s="67">
        <f t="shared" si="3"/>
        <v>46.437405506031155</v>
      </c>
      <c r="H109" s="67">
        <f t="shared" si="3"/>
        <v>24.343194919802791</v>
      </c>
      <c r="I109" s="67">
        <f t="shared" si="3"/>
        <v>4.4642832080193512E-2</v>
      </c>
      <c r="J109" s="67">
        <f t="shared" si="3"/>
        <v>0.35037066838301117</v>
      </c>
      <c r="K109" s="67">
        <f t="shared" si="3"/>
        <v>78.437987524171518</v>
      </c>
      <c r="L109" s="67">
        <f t="shared" si="3"/>
        <v>3.8120579467622933</v>
      </c>
      <c r="M109" s="67">
        <f t="shared" si="3"/>
        <v>18.167806452756594</v>
      </c>
      <c r="N109" s="67">
        <f t="shared" si="3"/>
        <v>167.26235338100622</v>
      </c>
      <c r="O109" s="67">
        <f t="shared" si="3"/>
        <v>0</v>
      </c>
      <c r="P109" s="67">
        <f t="shared" si="3"/>
        <v>0.44014739108302342</v>
      </c>
      <c r="Q109" s="67">
        <f t="shared" si="3"/>
        <v>4.2227140486189167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2456</v>
      </c>
      <c r="B9" s="64">
        <v>5.26</v>
      </c>
      <c r="C9" s="64">
        <v>72.38</v>
      </c>
      <c r="D9" s="64">
        <v>44.81</v>
      </c>
      <c r="E9" s="64">
        <v>1.23</v>
      </c>
      <c r="F9" s="64">
        <v>12.85</v>
      </c>
      <c r="G9" s="64">
        <v>112.09</v>
      </c>
      <c r="H9" s="64">
        <v>63.89</v>
      </c>
      <c r="I9" s="64">
        <v>1.49</v>
      </c>
      <c r="J9" s="64">
        <v>0.09</v>
      </c>
      <c r="K9" s="64">
        <v>229.26</v>
      </c>
      <c r="L9" s="64">
        <v>14.78</v>
      </c>
      <c r="M9" s="64">
        <v>78.34</v>
      </c>
      <c r="N9" s="64">
        <v>50.4</v>
      </c>
      <c r="O9" s="64">
        <v>0</v>
      </c>
      <c r="P9" s="64">
        <v>0.67</v>
      </c>
      <c r="Q9" s="64">
        <v>6.09</v>
      </c>
      <c r="R9" s="198"/>
      <c r="S9" s="198"/>
      <c r="T9" s="198"/>
      <c r="U9" s="198"/>
    </row>
    <row r="10" spans="1:21" s="12" customFormat="1" x14ac:dyDescent="0.25">
      <c r="A10" s="214" t="s">
        <v>2457</v>
      </c>
      <c r="B10" s="64">
        <v>5.17</v>
      </c>
      <c r="C10" s="64">
        <v>71.69</v>
      </c>
      <c r="D10" s="64">
        <v>44.36</v>
      </c>
      <c r="E10" s="64">
        <v>1.25</v>
      </c>
      <c r="F10" s="64">
        <v>16.57</v>
      </c>
      <c r="G10" s="64">
        <v>112.09</v>
      </c>
      <c r="H10" s="64">
        <v>63.89</v>
      </c>
      <c r="I10" s="64">
        <v>1.52</v>
      </c>
      <c r="J10" s="64">
        <v>0.26</v>
      </c>
      <c r="K10" s="64">
        <v>204.3</v>
      </c>
      <c r="L10" s="64">
        <v>14.63</v>
      </c>
      <c r="M10" s="64">
        <v>79.2</v>
      </c>
      <c r="N10" s="64">
        <v>50.3</v>
      </c>
      <c r="O10" s="64">
        <v>0</v>
      </c>
      <c r="P10" s="64">
        <v>0.61</v>
      </c>
      <c r="Q10" s="64">
        <v>6.65</v>
      </c>
      <c r="R10" s="198"/>
      <c r="S10" s="198"/>
      <c r="T10" s="198"/>
      <c r="U10" s="198"/>
    </row>
    <row r="11" spans="1:21" s="12" customFormat="1" x14ac:dyDescent="0.25">
      <c r="A11" s="214" t="s">
        <v>2458</v>
      </c>
      <c r="B11" s="64">
        <v>4.87</v>
      </c>
      <c r="C11" s="64">
        <v>70.989999999999995</v>
      </c>
      <c r="D11" s="64">
        <v>43.73</v>
      </c>
      <c r="E11" s="64">
        <v>1.0900000000000001</v>
      </c>
      <c r="F11" s="64">
        <v>15.89</v>
      </c>
      <c r="G11" s="64">
        <v>108.5</v>
      </c>
      <c r="H11" s="64">
        <v>63.72</v>
      </c>
      <c r="I11" s="64">
        <v>1.59</v>
      </c>
      <c r="J11" s="64">
        <v>0.08</v>
      </c>
      <c r="K11" s="64">
        <v>215.91</v>
      </c>
      <c r="L11" s="64">
        <v>14.6</v>
      </c>
      <c r="M11" s="64">
        <v>80.209999999999994</v>
      </c>
      <c r="N11" s="64">
        <v>51.1</v>
      </c>
      <c r="O11" s="64">
        <v>0</v>
      </c>
      <c r="P11" s="64">
        <v>0.61</v>
      </c>
      <c r="Q11" s="64">
        <v>6.84</v>
      </c>
      <c r="R11" s="198"/>
      <c r="S11" s="198"/>
      <c r="T11" s="198"/>
      <c r="U11" s="198"/>
    </row>
    <row r="12" spans="1:21" s="12" customFormat="1" x14ac:dyDescent="0.25">
      <c r="A12" s="214" t="s">
        <v>2459</v>
      </c>
      <c r="B12" s="64">
        <v>4.66</v>
      </c>
      <c r="C12" s="64">
        <v>71.069999999999993</v>
      </c>
      <c r="D12" s="64">
        <v>43.61</v>
      </c>
      <c r="E12" s="64">
        <v>1.02</v>
      </c>
      <c r="F12" s="64">
        <v>10.08</v>
      </c>
      <c r="G12" s="64">
        <v>95.07</v>
      </c>
      <c r="H12" s="64">
        <v>62.98</v>
      </c>
      <c r="I12" s="64">
        <v>1.55</v>
      </c>
      <c r="J12" s="64">
        <v>0.12</v>
      </c>
      <c r="K12" s="64">
        <v>256.99</v>
      </c>
      <c r="L12" s="64">
        <v>14.03</v>
      </c>
      <c r="M12" s="64">
        <v>85.29</v>
      </c>
      <c r="N12" s="64">
        <v>51.1</v>
      </c>
      <c r="O12" s="64">
        <v>0</v>
      </c>
      <c r="P12" s="64">
        <v>0.68</v>
      </c>
      <c r="Q12" s="64">
        <v>6.1</v>
      </c>
      <c r="R12" s="198"/>
      <c r="S12" s="198"/>
      <c r="T12" s="198"/>
      <c r="U12" s="198"/>
    </row>
    <row r="13" spans="1:21" s="12" customFormat="1" x14ac:dyDescent="0.25">
      <c r="A13" s="214" t="s">
        <v>2460</v>
      </c>
      <c r="B13" s="64">
        <v>4.8499999999999996</v>
      </c>
      <c r="C13" s="64">
        <v>71.180000000000007</v>
      </c>
      <c r="D13" s="64">
        <v>43.82</v>
      </c>
      <c r="E13" s="64">
        <v>0.98</v>
      </c>
      <c r="F13" s="64">
        <v>8.35</v>
      </c>
      <c r="G13" s="64">
        <v>95.07</v>
      </c>
      <c r="H13" s="64">
        <v>62.98</v>
      </c>
      <c r="I13" s="64">
        <v>1.5</v>
      </c>
      <c r="J13" s="64">
        <v>0.12</v>
      </c>
      <c r="K13" s="64">
        <v>283.47000000000003</v>
      </c>
      <c r="L13" s="64">
        <v>13.57</v>
      </c>
      <c r="M13" s="64">
        <v>88.34</v>
      </c>
      <c r="N13" s="64">
        <v>51.4</v>
      </c>
      <c r="O13" s="64">
        <v>0</v>
      </c>
      <c r="P13" s="64">
        <v>0.69</v>
      </c>
      <c r="Q13" s="64">
        <v>5.52</v>
      </c>
      <c r="R13" s="198"/>
      <c r="S13" s="198"/>
      <c r="T13" s="198"/>
      <c r="U13" s="198"/>
    </row>
    <row r="14" spans="1:21" s="12" customFormat="1" x14ac:dyDescent="0.25">
      <c r="A14" s="214" t="s">
        <v>2461</v>
      </c>
      <c r="B14" s="64">
        <v>5.08</v>
      </c>
      <c r="C14" s="64">
        <v>70.95</v>
      </c>
      <c r="D14" s="64">
        <v>43.87</v>
      </c>
      <c r="E14" s="64">
        <v>0.96</v>
      </c>
      <c r="F14" s="64">
        <v>8.1199999999999992</v>
      </c>
      <c r="G14" s="64">
        <v>95.07</v>
      </c>
      <c r="H14" s="64">
        <v>62.98</v>
      </c>
      <c r="I14" s="64">
        <v>1.47</v>
      </c>
      <c r="J14" s="64">
        <v>0.11</v>
      </c>
      <c r="K14" s="64">
        <v>260.77999999999997</v>
      </c>
      <c r="L14" s="64">
        <v>13.14</v>
      </c>
      <c r="M14" s="64">
        <v>91.36</v>
      </c>
      <c r="N14" s="64">
        <v>51.8</v>
      </c>
      <c r="O14" s="64">
        <v>0</v>
      </c>
      <c r="P14" s="64">
        <v>0.71</v>
      </c>
      <c r="Q14" s="64">
        <v>5.62</v>
      </c>
      <c r="R14" s="198"/>
      <c r="S14" s="198"/>
      <c r="T14" s="198"/>
      <c r="U14" s="198"/>
    </row>
    <row r="15" spans="1:21" s="12" customFormat="1" x14ac:dyDescent="0.25">
      <c r="A15" s="214" t="s">
        <v>2462</v>
      </c>
      <c r="B15" s="64">
        <v>5.35</v>
      </c>
      <c r="C15" s="64">
        <v>70.64</v>
      </c>
      <c r="D15" s="64">
        <v>43.92</v>
      </c>
      <c r="E15" s="64">
        <v>0.9</v>
      </c>
      <c r="F15" s="64">
        <v>7.43</v>
      </c>
      <c r="G15" s="64">
        <v>94.64</v>
      </c>
      <c r="H15" s="64">
        <v>61.87</v>
      </c>
      <c r="I15" s="64">
        <v>1.49</v>
      </c>
      <c r="J15" s="64">
        <v>0.15</v>
      </c>
      <c r="K15" s="64">
        <v>275.17</v>
      </c>
      <c r="L15" s="64">
        <v>13.25</v>
      </c>
      <c r="M15" s="64">
        <v>90.61</v>
      </c>
      <c r="N15" s="64">
        <v>53.2</v>
      </c>
      <c r="O15" s="64">
        <v>0</v>
      </c>
      <c r="P15" s="64">
        <v>0.67</v>
      </c>
      <c r="Q15" s="64">
        <v>5.62</v>
      </c>
      <c r="R15" s="198"/>
      <c r="S15" s="198"/>
      <c r="T15" s="198"/>
      <c r="U15" s="198"/>
    </row>
    <row r="16" spans="1:21" s="12" customFormat="1" x14ac:dyDescent="0.25">
      <c r="A16" s="214" t="s">
        <v>2463</v>
      </c>
      <c r="B16" s="64">
        <v>5.75</v>
      </c>
      <c r="C16" s="64">
        <v>70.400000000000006</v>
      </c>
      <c r="D16" s="64">
        <v>44.11</v>
      </c>
      <c r="E16" s="64">
        <v>0.86</v>
      </c>
      <c r="F16" s="64">
        <v>6.53</v>
      </c>
      <c r="G16" s="64">
        <v>92.91</v>
      </c>
      <c r="H16" s="64">
        <v>58.84</v>
      </c>
      <c r="I16" s="64">
        <v>1.57</v>
      </c>
      <c r="J16" s="64">
        <v>0.14000000000000001</v>
      </c>
      <c r="K16" s="64">
        <v>263.18</v>
      </c>
      <c r="L16" s="64">
        <v>12.88</v>
      </c>
      <c r="M16" s="64">
        <v>93.34</v>
      </c>
      <c r="N16" s="64">
        <v>54.6</v>
      </c>
      <c r="O16" s="64">
        <v>0</v>
      </c>
      <c r="P16" s="64">
        <v>0.64</v>
      </c>
      <c r="Q16" s="64">
        <v>5.44</v>
      </c>
      <c r="R16" s="198"/>
      <c r="S16" s="198"/>
      <c r="T16" s="198"/>
      <c r="U16" s="198"/>
    </row>
    <row r="17" spans="1:21" s="12" customFormat="1" x14ac:dyDescent="0.25">
      <c r="A17" s="214" t="s">
        <v>2464</v>
      </c>
      <c r="B17" s="64">
        <v>5.91</v>
      </c>
      <c r="C17" s="64">
        <v>70.12</v>
      </c>
      <c r="D17" s="64">
        <v>44.08</v>
      </c>
      <c r="E17" s="64">
        <v>0.83</v>
      </c>
      <c r="F17" s="64">
        <v>7.04</v>
      </c>
      <c r="G17" s="64">
        <v>92.91</v>
      </c>
      <c r="H17" s="64">
        <v>58.84</v>
      </c>
      <c r="I17" s="64">
        <v>1.53</v>
      </c>
      <c r="J17" s="64">
        <v>0.09</v>
      </c>
      <c r="K17" s="64">
        <v>268.5</v>
      </c>
      <c r="L17" s="64">
        <v>12.78</v>
      </c>
      <c r="M17" s="64">
        <v>93.39</v>
      </c>
      <c r="N17" s="64">
        <v>53.5</v>
      </c>
      <c r="O17" s="64">
        <v>0</v>
      </c>
      <c r="P17" s="64">
        <v>0.63</v>
      </c>
      <c r="Q17" s="64">
        <v>5.99</v>
      </c>
      <c r="R17" s="198"/>
      <c r="S17" s="198"/>
      <c r="T17" s="198"/>
      <c r="U17" s="198"/>
    </row>
    <row r="18" spans="1:21" s="12" customFormat="1" x14ac:dyDescent="0.25">
      <c r="A18" s="214" t="s">
        <v>2465</v>
      </c>
      <c r="B18" s="64">
        <v>6</v>
      </c>
      <c r="C18" s="64">
        <v>69.459999999999994</v>
      </c>
      <c r="D18" s="64">
        <v>43.8</v>
      </c>
      <c r="E18" s="64">
        <v>0.75</v>
      </c>
      <c r="F18" s="64">
        <v>6.39</v>
      </c>
      <c r="G18" s="64">
        <v>92.91</v>
      </c>
      <c r="H18" s="64">
        <v>58.84</v>
      </c>
      <c r="I18" s="64">
        <v>1.47</v>
      </c>
      <c r="J18" s="64">
        <v>0.14000000000000001</v>
      </c>
      <c r="K18" s="64">
        <v>285.52</v>
      </c>
      <c r="L18" s="64">
        <v>12.41</v>
      </c>
      <c r="M18" s="64">
        <v>94.77</v>
      </c>
      <c r="N18" s="64">
        <v>54.7</v>
      </c>
      <c r="O18" s="64">
        <v>0</v>
      </c>
      <c r="P18" s="64">
        <v>0.68</v>
      </c>
      <c r="Q18" s="64">
        <v>5.76</v>
      </c>
      <c r="R18" s="198"/>
      <c r="S18" s="198"/>
      <c r="T18" s="198"/>
      <c r="U18" s="198"/>
    </row>
    <row r="19" spans="1:21" s="12" customFormat="1" x14ac:dyDescent="0.25">
      <c r="A19" s="214" t="s">
        <v>2466</v>
      </c>
      <c r="B19" s="64">
        <v>6.15</v>
      </c>
      <c r="C19" s="64">
        <v>68.61</v>
      </c>
      <c r="D19" s="64">
        <v>43.44</v>
      </c>
      <c r="E19" s="64">
        <v>0.66</v>
      </c>
      <c r="F19" s="64">
        <v>6.35</v>
      </c>
      <c r="G19" s="64">
        <v>92.63</v>
      </c>
      <c r="H19" s="64">
        <v>58.32</v>
      </c>
      <c r="I19" s="64">
        <v>1.52</v>
      </c>
      <c r="J19" s="64">
        <v>0.14000000000000001</v>
      </c>
      <c r="K19" s="64">
        <v>282.57</v>
      </c>
      <c r="L19" s="64">
        <v>12.08</v>
      </c>
      <c r="M19" s="64">
        <v>97.47</v>
      </c>
      <c r="N19" s="64">
        <v>56.2</v>
      </c>
      <c r="O19" s="64">
        <v>0</v>
      </c>
      <c r="P19" s="64">
        <v>0.66</v>
      </c>
      <c r="Q19" s="64">
        <v>5.99</v>
      </c>
      <c r="R19" s="198"/>
      <c r="S19" s="198"/>
      <c r="T19" s="198"/>
      <c r="U19" s="198"/>
    </row>
    <row r="20" spans="1:21" s="12" customFormat="1" x14ac:dyDescent="0.25">
      <c r="A20" s="214" t="s">
        <v>2467</v>
      </c>
      <c r="B20" s="64">
        <v>6.34</v>
      </c>
      <c r="C20" s="64">
        <v>68.03</v>
      </c>
      <c r="D20" s="64">
        <v>43.27</v>
      </c>
      <c r="E20" s="64">
        <v>0.69</v>
      </c>
      <c r="F20" s="64">
        <v>5.66</v>
      </c>
      <c r="G20" s="64">
        <v>91.48</v>
      </c>
      <c r="H20" s="64">
        <v>56.89</v>
      </c>
      <c r="I20" s="64">
        <v>1.51</v>
      </c>
      <c r="J20" s="64">
        <v>0.09</v>
      </c>
      <c r="K20" s="64">
        <v>292.64</v>
      </c>
      <c r="L20" s="64">
        <v>11.82</v>
      </c>
      <c r="M20" s="64">
        <v>98.18</v>
      </c>
      <c r="N20" s="64">
        <v>57.2</v>
      </c>
      <c r="O20" s="64">
        <v>0</v>
      </c>
      <c r="P20" s="64">
        <v>0.67</v>
      </c>
      <c r="Q20" s="64">
        <v>6.12</v>
      </c>
      <c r="R20" s="198"/>
      <c r="S20" s="198"/>
      <c r="T20" s="198"/>
      <c r="U20" s="198"/>
    </row>
    <row r="21" spans="1:21" s="12" customFormat="1" x14ac:dyDescent="0.25">
      <c r="A21" s="214" t="s">
        <v>2468</v>
      </c>
      <c r="B21" s="64">
        <v>6.6</v>
      </c>
      <c r="C21" s="64">
        <v>67.23</v>
      </c>
      <c r="D21" s="64">
        <v>43.04</v>
      </c>
      <c r="E21" s="64">
        <v>0.65</v>
      </c>
      <c r="F21" s="64">
        <v>5.28</v>
      </c>
      <c r="G21" s="64">
        <v>91.48</v>
      </c>
      <c r="H21" s="64">
        <v>56.89</v>
      </c>
      <c r="I21" s="64">
        <v>1.46</v>
      </c>
      <c r="J21" s="64">
        <v>0.12</v>
      </c>
      <c r="K21" s="64">
        <v>293.86</v>
      </c>
      <c r="L21" s="64">
        <v>11.71</v>
      </c>
      <c r="M21" s="64">
        <v>98.2</v>
      </c>
      <c r="N21" s="64">
        <v>59.9</v>
      </c>
      <c r="O21" s="64">
        <v>0</v>
      </c>
      <c r="P21" s="64">
        <v>0.7</v>
      </c>
      <c r="Q21" s="64">
        <v>6.08</v>
      </c>
      <c r="R21" s="198"/>
      <c r="S21" s="198"/>
      <c r="T21" s="198"/>
      <c r="U21" s="198"/>
    </row>
    <row r="22" spans="1:21" s="12" customFormat="1" x14ac:dyDescent="0.25">
      <c r="A22" s="214" t="s">
        <v>2469</v>
      </c>
      <c r="B22" s="64">
        <v>7.01</v>
      </c>
      <c r="C22" s="64">
        <v>66.62</v>
      </c>
      <c r="D22" s="64">
        <v>43.04</v>
      </c>
      <c r="E22" s="64">
        <v>0.6</v>
      </c>
      <c r="F22" s="64">
        <v>4.43</v>
      </c>
      <c r="G22" s="64">
        <v>91.48</v>
      </c>
      <c r="H22" s="64">
        <v>56.89</v>
      </c>
      <c r="I22" s="64">
        <v>1.53</v>
      </c>
      <c r="J22" s="64">
        <v>0.13</v>
      </c>
      <c r="K22" s="64">
        <v>282.82</v>
      </c>
      <c r="L22" s="64">
        <v>11.53</v>
      </c>
      <c r="M22" s="64">
        <v>98.21</v>
      </c>
      <c r="N22" s="64">
        <v>67.099999999999994</v>
      </c>
      <c r="O22" s="64">
        <v>0</v>
      </c>
      <c r="P22" s="64">
        <v>0.69</v>
      </c>
      <c r="Q22" s="64">
        <v>5.7</v>
      </c>
      <c r="R22" s="198"/>
      <c r="S22" s="198"/>
      <c r="T22" s="198"/>
      <c r="U22" s="198"/>
    </row>
    <row r="23" spans="1:21" s="12" customFormat="1" x14ac:dyDescent="0.25">
      <c r="A23" s="214" t="s">
        <v>2470</v>
      </c>
      <c r="B23" s="64">
        <v>7.49</v>
      </c>
      <c r="C23" s="64">
        <v>65.97</v>
      </c>
      <c r="D23" s="64">
        <v>43.06</v>
      </c>
      <c r="E23" s="64">
        <v>0.61</v>
      </c>
      <c r="F23" s="64">
        <v>5.19</v>
      </c>
      <c r="G23" s="64">
        <v>91.15</v>
      </c>
      <c r="H23" s="64">
        <v>57.34</v>
      </c>
      <c r="I23" s="64">
        <v>1.59</v>
      </c>
      <c r="J23" s="64">
        <v>0.05</v>
      </c>
      <c r="K23" s="64">
        <v>294.12</v>
      </c>
      <c r="L23" s="64">
        <v>11.33</v>
      </c>
      <c r="M23" s="64">
        <v>98.23</v>
      </c>
      <c r="N23" s="64">
        <v>54.4</v>
      </c>
      <c r="O23" s="64">
        <v>0</v>
      </c>
      <c r="P23" s="64">
        <v>0.65</v>
      </c>
      <c r="Q23" s="64">
        <v>6</v>
      </c>
      <c r="R23" s="198"/>
      <c r="S23" s="198"/>
      <c r="T23" s="198"/>
      <c r="U23" s="198"/>
    </row>
    <row r="24" spans="1:21" s="12" customFormat="1" x14ac:dyDescent="0.25">
      <c r="A24" s="214" t="s">
        <v>2471</v>
      </c>
      <c r="B24" s="64">
        <v>7.78</v>
      </c>
      <c r="C24" s="64">
        <v>65.45</v>
      </c>
      <c r="D24" s="64">
        <v>43.01</v>
      </c>
      <c r="E24" s="64">
        <v>0.43</v>
      </c>
      <c r="F24" s="64">
        <v>5.45</v>
      </c>
      <c r="G24" s="64">
        <v>89.85</v>
      </c>
      <c r="H24" s="64">
        <v>58.63</v>
      </c>
      <c r="I24" s="64">
        <v>1.52</v>
      </c>
      <c r="J24" s="64">
        <v>0.11</v>
      </c>
      <c r="K24" s="64">
        <v>273.01</v>
      </c>
      <c r="L24" s="64">
        <v>11.36</v>
      </c>
      <c r="M24" s="64">
        <v>98.23</v>
      </c>
      <c r="N24" s="64">
        <v>51</v>
      </c>
      <c r="O24" s="64">
        <v>0</v>
      </c>
      <c r="P24" s="64">
        <v>0.67</v>
      </c>
      <c r="Q24" s="64">
        <v>6.05</v>
      </c>
      <c r="R24" s="198"/>
      <c r="S24" s="198"/>
      <c r="T24" s="198"/>
      <c r="U24" s="198"/>
    </row>
    <row r="25" spans="1:21" s="12" customFormat="1" x14ac:dyDescent="0.25">
      <c r="A25" s="214" t="s">
        <v>2472</v>
      </c>
      <c r="B25" s="64">
        <v>8.08</v>
      </c>
      <c r="C25" s="64">
        <v>65.08</v>
      </c>
      <c r="D25" s="64">
        <v>43.04</v>
      </c>
      <c r="E25" s="64">
        <v>0.66</v>
      </c>
      <c r="F25" s="64">
        <v>4.82</v>
      </c>
      <c r="G25" s="64">
        <v>89.85</v>
      </c>
      <c r="H25" s="64">
        <v>58.63</v>
      </c>
      <c r="I25" s="64">
        <v>1.54</v>
      </c>
      <c r="J25" s="64">
        <v>0.17</v>
      </c>
      <c r="K25" s="64">
        <v>334.48</v>
      </c>
      <c r="L25" s="64">
        <v>11.39</v>
      </c>
      <c r="M25" s="64">
        <v>98.23</v>
      </c>
      <c r="N25" s="64">
        <v>52</v>
      </c>
      <c r="O25" s="64">
        <v>0</v>
      </c>
      <c r="P25" s="64">
        <v>0.76</v>
      </c>
      <c r="Q25" s="64">
        <v>5.92</v>
      </c>
      <c r="R25" s="198"/>
      <c r="S25" s="198"/>
      <c r="T25" s="198"/>
      <c r="U25" s="198"/>
    </row>
    <row r="26" spans="1:21" s="12" customFormat="1" x14ac:dyDescent="0.25">
      <c r="A26" s="214" t="s">
        <v>2473</v>
      </c>
      <c r="B26" s="64">
        <v>8.9</v>
      </c>
      <c r="C26" s="64">
        <v>64.989999999999995</v>
      </c>
      <c r="D26" s="64">
        <v>43.65</v>
      </c>
      <c r="E26" s="64">
        <v>0.76</v>
      </c>
      <c r="F26" s="64">
        <v>5.03</v>
      </c>
      <c r="G26" s="64">
        <v>89.85</v>
      </c>
      <c r="H26" s="64">
        <v>58.63</v>
      </c>
      <c r="I26" s="64">
        <v>1.48</v>
      </c>
      <c r="J26" s="64">
        <v>0.4</v>
      </c>
      <c r="K26" s="64">
        <v>334.97</v>
      </c>
      <c r="L26" s="64">
        <v>11.35</v>
      </c>
      <c r="M26" s="64">
        <v>98.22</v>
      </c>
      <c r="N26" s="64">
        <v>54.5</v>
      </c>
      <c r="O26" s="64">
        <v>0</v>
      </c>
      <c r="P26" s="64">
        <v>0.88</v>
      </c>
      <c r="Q26" s="64">
        <v>5.23</v>
      </c>
      <c r="R26" s="198"/>
      <c r="S26" s="198"/>
      <c r="T26" s="198"/>
      <c r="U26" s="198"/>
    </row>
    <row r="27" spans="1:21" s="12" customFormat="1" x14ac:dyDescent="0.25">
      <c r="A27" s="214" t="s">
        <v>2474</v>
      </c>
      <c r="B27" s="64">
        <v>9.69</v>
      </c>
      <c r="C27" s="64">
        <v>65.459999999999994</v>
      </c>
      <c r="D27" s="64">
        <v>44.54</v>
      </c>
      <c r="E27" s="64">
        <v>0.84</v>
      </c>
      <c r="F27" s="64">
        <v>7.01</v>
      </c>
      <c r="G27" s="64">
        <v>92.28</v>
      </c>
      <c r="H27" s="64">
        <v>60.13</v>
      </c>
      <c r="I27" s="64">
        <v>1.56</v>
      </c>
      <c r="J27" s="64">
        <v>0.36</v>
      </c>
      <c r="K27" s="64">
        <v>316.77</v>
      </c>
      <c r="L27" s="64">
        <v>11.4</v>
      </c>
      <c r="M27" s="64">
        <v>98.2</v>
      </c>
      <c r="N27" s="64">
        <v>64.5</v>
      </c>
      <c r="O27" s="64">
        <v>0</v>
      </c>
      <c r="P27" s="64">
        <v>0.94</v>
      </c>
      <c r="Q27" s="64">
        <v>5.54</v>
      </c>
      <c r="R27" s="198"/>
      <c r="S27" s="198"/>
      <c r="T27" s="198"/>
      <c r="U27" s="198"/>
    </row>
    <row r="28" spans="1:21" s="12" customFormat="1" x14ac:dyDescent="0.25">
      <c r="A28" s="214" t="s">
        <v>2475</v>
      </c>
      <c r="B28" s="64">
        <v>10.48</v>
      </c>
      <c r="C28" s="64">
        <v>66.55</v>
      </c>
      <c r="D28" s="64">
        <v>45.78</v>
      </c>
      <c r="E28" s="64">
        <v>1.24</v>
      </c>
      <c r="F28" s="64">
        <v>7.14</v>
      </c>
      <c r="G28" s="64">
        <v>101.98</v>
      </c>
      <c r="H28" s="64">
        <v>66.819999999999993</v>
      </c>
      <c r="I28" s="64">
        <v>1.57</v>
      </c>
      <c r="J28" s="64">
        <v>0.19</v>
      </c>
      <c r="K28" s="64">
        <v>307.45</v>
      </c>
      <c r="L28" s="64">
        <v>11.37</v>
      </c>
      <c r="M28" s="64">
        <v>98.2</v>
      </c>
      <c r="N28" s="64">
        <v>74.5</v>
      </c>
      <c r="O28" s="64">
        <v>0</v>
      </c>
      <c r="P28" s="64">
        <v>1.0900000000000001</v>
      </c>
      <c r="Q28" s="64">
        <v>5.65</v>
      </c>
      <c r="R28" s="198"/>
      <c r="S28" s="198"/>
      <c r="T28" s="198"/>
      <c r="U28" s="198"/>
    </row>
    <row r="29" spans="1:21" s="12" customFormat="1" x14ac:dyDescent="0.25">
      <c r="A29" s="214" t="s">
        <v>2476</v>
      </c>
      <c r="B29" s="64">
        <v>11.03</v>
      </c>
      <c r="C29" s="64">
        <v>67.17</v>
      </c>
      <c r="D29" s="64">
        <v>46.56</v>
      </c>
      <c r="E29" s="64">
        <v>1.26</v>
      </c>
      <c r="F29" s="64">
        <v>4.9400000000000004</v>
      </c>
      <c r="G29" s="64">
        <v>101.98</v>
      </c>
      <c r="H29" s="64">
        <v>66.819999999999993</v>
      </c>
      <c r="I29" s="64">
        <v>1.45</v>
      </c>
      <c r="J29" s="64">
        <v>0.06</v>
      </c>
      <c r="K29" s="64">
        <v>275.32</v>
      </c>
      <c r="L29" s="64">
        <v>11.31</v>
      </c>
      <c r="M29" s="64">
        <v>98.2</v>
      </c>
      <c r="N29" s="64">
        <v>69.900000000000006</v>
      </c>
      <c r="O29" s="64">
        <v>0</v>
      </c>
      <c r="P29" s="64">
        <v>1.18</v>
      </c>
      <c r="Q29" s="64">
        <v>5.16</v>
      </c>
      <c r="R29" s="198"/>
      <c r="S29" s="198"/>
      <c r="T29" s="198"/>
      <c r="U29" s="198"/>
    </row>
    <row r="30" spans="1:21" s="12" customFormat="1" x14ac:dyDescent="0.25">
      <c r="A30" s="214" t="s">
        <v>2477</v>
      </c>
      <c r="B30" s="64">
        <v>12.44</v>
      </c>
      <c r="C30" s="64">
        <v>68.05</v>
      </c>
      <c r="D30" s="64">
        <v>48.18</v>
      </c>
      <c r="E30" s="64">
        <v>1.3</v>
      </c>
      <c r="F30" s="64">
        <v>3.99</v>
      </c>
      <c r="G30" s="64">
        <v>101.98</v>
      </c>
      <c r="H30" s="64">
        <v>66.819999999999993</v>
      </c>
      <c r="I30" s="64">
        <v>1.51</v>
      </c>
      <c r="J30" s="64">
        <v>0.1</v>
      </c>
      <c r="K30" s="64">
        <v>251.21</v>
      </c>
      <c r="L30" s="64">
        <v>11.34</v>
      </c>
      <c r="M30" s="64">
        <v>98.2</v>
      </c>
      <c r="N30" s="64">
        <v>64.099999999999994</v>
      </c>
      <c r="O30" s="64">
        <v>0</v>
      </c>
      <c r="P30" s="64">
        <v>1.3</v>
      </c>
      <c r="Q30" s="64">
        <v>3.23</v>
      </c>
      <c r="R30" s="198"/>
      <c r="S30" s="198"/>
      <c r="T30" s="198"/>
      <c r="U30" s="198"/>
    </row>
    <row r="31" spans="1:21" s="12" customFormat="1" x14ac:dyDescent="0.25">
      <c r="A31" s="214" t="s">
        <v>2478</v>
      </c>
      <c r="B31" s="64">
        <v>14.53</v>
      </c>
      <c r="C31" s="64">
        <v>68.86</v>
      </c>
      <c r="D31" s="64">
        <v>50.31</v>
      </c>
      <c r="E31" s="64">
        <v>1.33</v>
      </c>
      <c r="F31" s="64">
        <v>3.57</v>
      </c>
      <c r="G31" s="64">
        <v>126.02</v>
      </c>
      <c r="H31" s="64">
        <v>72.36</v>
      </c>
      <c r="I31" s="64">
        <v>1.49</v>
      </c>
      <c r="J31" s="64">
        <v>0.01</v>
      </c>
      <c r="K31" s="64">
        <v>42.34</v>
      </c>
      <c r="L31" s="64">
        <v>11.38</v>
      </c>
      <c r="M31" s="64">
        <v>98.2</v>
      </c>
      <c r="N31" s="64">
        <v>80</v>
      </c>
      <c r="O31" s="64">
        <v>0</v>
      </c>
      <c r="P31" s="64">
        <v>1.36</v>
      </c>
      <c r="Q31" s="64">
        <v>2.74</v>
      </c>
      <c r="R31" s="198"/>
      <c r="S31" s="198"/>
      <c r="T31" s="198"/>
      <c r="U31" s="198"/>
    </row>
    <row r="32" spans="1:21" s="12" customFormat="1" x14ac:dyDescent="0.25">
      <c r="A32" s="214" t="s">
        <v>2479</v>
      </c>
      <c r="B32" s="64">
        <v>16.940000000000001</v>
      </c>
      <c r="C32" s="64">
        <v>70.02</v>
      </c>
      <c r="D32" s="64">
        <v>52.87</v>
      </c>
      <c r="E32" s="64">
        <v>1.24</v>
      </c>
      <c r="F32" s="64">
        <v>3.37</v>
      </c>
      <c r="G32" s="64">
        <v>222.15</v>
      </c>
      <c r="H32" s="64">
        <v>87.46</v>
      </c>
      <c r="I32" s="64">
        <v>1.47</v>
      </c>
      <c r="J32" s="64">
        <v>0.09</v>
      </c>
      <c r="K32" s="64">
        <v>325.27</v>
      </c>
      <c r="L32" s="64">
        <v>11.32</v>
      </c>
      <c r="M32" s="64">
        <v>98.2</v>
      </c>
      <c r="N32" s="64">
        <v>74</v>
      </c>
      <c r="O32" s="64">
        <v>0</v>
      </c>
      <c r="P32" s="64">
        <v>1.46</v>
      </c>
      <c r="Q32" s="64">
        <v>1.74</v>
      </c>
      <c r="R32" s="198"/>
      <c r="S32" s="198"/>
      <c r="T32" s="198"/>
      <c r="U32" s="198"/>
    </row>
    <row r="33" spans="1:21" s="12" customFormat="1" x14ac:dyDescent="0.25">
      <c r="A33" s="214" t="s">
        <v>2480</v>
      </c>
      <c r="B33" s="64">
        <v>22.84</v>
      </c>
      <c r="C33" s="64">
        <v>71.42</v>
      </c>
      <c r="D33" s="64">
        <v>58.38</v>
      </c>
      <c r="E33" s="64">
        <v>1.28</v>
      </c>
      <c r="F33" s="64">
        <v>3.34</v>
      </c>
      <c r="G33" s="64">
        <v>222.15</v>
      </c>
      <c r="H33" s="64">
        <v>87.46</v>
      </c>
      <c r="I33" s="64">
        <v>1.55</v>
      </c>
      <c r="J33" s="64">
        <v>0.19</v>
      </c>
      <c r="K33" s="64">
        <v>84.55</v>
      </c>
      <c r="L33" s="64">
        <v>11.28</v>
      </c>
      <c r="M33" s="64">
        <v>98.24</v>
      </c>
      <c r="N33" s="64">
        <v>78.2</v>
      </c>
      <c r="O33" s="64">
        <v>0</v>
      </c>
      <c r="P33" s="64">
        <v>1.85</v>
      </c>
      <c r="Q33" s="6" t="s">
        <v>42</v>
      </c>
      <c r="R33" s="198"/>
      <c r="S33" s="198"/>
      <c r="T33" s="198"/>
      <c r="U33" s="198"/>
    </row>
    <row r="34" spans="1:21" s="12" customFormat="1" x14ac:dyDescent="0.25">
      <c r="A34" s="214" t="s">
        <v>2481</v>
      </c>
      <c r="B34" s="64">
        <v>27.73</v>
      </c>
      <c r="C34" s="64">
        <v>72.44</v>
      </c>
      <c r="D34" s="64">
        <v>62.86</v>
      </c>
      <c r="E34" s="64">
        <v>1.32</v>
      </c>
      <c r="F34" s="64">
        <v>3.42</v>
      </c>
      <c r="G34" s="64">
        <v>222.15</v>
      </c>
      <c r="H34" s="64">
        <v>87.46</v>
      </c>
      <c r="I34" s="64">
        <v>1.48</v>
      </c>
      <c r="J34" s="64">
        <v>0.18</v>
      </c>
      <c r="K34" s="64">
        <v>70.5</v>
      </c>
      <c r="L34" s="64">
        <v>11.71</v>
      </c>
      <c r="M34" s="64">
        <v>98.2</v>
      </c>
      <c r="N34" s="64">
        <v>75</v>
      </c>
      <c r="O34" s="64">
        <v>0</v>
      </c>
      <c r="P34" s="64">
        <v>1.61</v>
      </c>
      <c r="Q34" s="64">
        <v>1.44</v>
      </c>
      <c r="R34" s="198"/>
      <c r="S34" s="198"/>
      <c r="T34" s="198"/>
      <c r="U34" s="198"/>
    </row>
    <row r="35" spans="1:21" s="12" customFormat="1" x14ac:dyDescent="0.25">
      <c r="A35" s="214" t="s">
        <v>2482</v>
      </c>
      <c r="B35" s="64">
        <v>29.51</v>
      </c>
      <c r="C35" s="64">
        <v>72.900000000000006</v>
      </c>
      <c r="D35" s="64">
        <v>64.540000000000006</v>
      </c>
      <c r="E35" s="64">
        <v>1.4</v>
      </c>
      <c r="F35" s="64">
        <v>3.41</v>
      </c>
      <c r="G35" s="64">
        <v>222.15</v>
      </c>
      <c r="H35" s="64">
        <v>94.45</v>
      </c>
      <c r="I35" s="64">
        <v>1.54</v>
      </c>
      <c r="J35" s="64">
        <v>0.1</v>
      </c>
      <c r="K35" s="64">
        <v>99.9</v>
      </c>
      <c r="L35" s="64">
        <v>11.87</v>
      </c>
      <c r="M35" s="64">
        <v>98.2</v>
      </c>
      <c r="N35" s="64">
        <v>87.7</v>
      </c>
      <c r="O35" s="64">
        <v>0</v>
      </c>
      <c r="P35" s="64">
        <v>1.62</v>
      </c>
      <c r="Q35" s="64">
        <v>4.24</v>
      </c>
      <c r="R35" s="198"/>
      <c r="S35" s="198"/>
      <c r="T35" s="198"/>
      <c r="U35" s="198"/>
    </row>
    <row r="36" spans="1:21" s="12" customFormat="1" x14ac:dyDescent="0.25">
      <c r="A36" s="214" t="s">
        <v>2483</v>
      </c>
      <c r="B36" s="64">
        <v>31.03</v>
      </c>
      <c r="C36" s="64">
        <v>73.08</v>
      </c>
      <c r="D36" s="64">
        <v>65.86</v>
      </c>
      <c r="E36" s="64">
        <v>1.46</v>
      </c>
      <c r="F36" s="64">
        <v>3.53</v>
      </c>
      <c r="G36" s="64">
        <v>251.3</v>
      </c>
      <c r="H36" s="64">
        <v>113.46</v>
      </c>
      <c r="I36" s="64">
        <v>1.52</v>
      </c>
      <c r="J36" s="64">
        <v>0.1</v>
      </c>
      <c r="K36" s="64">
        <v>87.34</v>
      </c>
      <c r="L36" s="64">
        <v>12.03</v>
      </c>
      <c r="M36" s="64">
        <v>97.96</v>
      </c>
      <c r="N36" s="64">
        <v>110.4</v>
      </c>
      <c r="O36" s="64">
        <v>0</v>
      </c>
      <c r="P36" s="64">
        <v>1.65</v>
      </c>
      <c r="Q36" s="64">
        <v>5.15</v>
      </c>
      <c r="R36" s="198"/>
      <c r="S36" s="198"/>
      <c r="T36" s="198"/>
      <c r="U36" s="198"/>
    </row>
    <row r="37" spans="1:21" s="12" customFormat="1" x14ac:dyDescent="0.25">
      <c r="A37" s="214" t="s">
        <v>2484</v>
      </c>
      <c r="B37" s="64">
        <v>31.08</v>
      </c>
      <c r="C37" s="64">
        <v>73.099999999999994</v>
      </c>
      <c r="D37" s="64">
        <v>65.92</v>
      </c>
      <c r="E37" s="64">
        <v>1.26</v>
      </c>
      <c r="F37" s="64">
        <v>3.71</v>
      </c>
      <c r="G37" s="64">
        <v>251.3</v>
      </c>
      <c r="H37" s="64">
        <v>113.46</v>
      </c>
      <c r="I37" s="64">
        <v>1.41</v>
      </c>
      <c r="J37" s="64">
        <v>0.31</v>
      </c>
      <c r="K37" s="64">
        <v>105.45</v>
      </c>
      <c r="L37" s="64">
        <v>12.44</v>
      </c>
      <c r="M37" s="64">
        <v>96.31</v>
      </c>
      <c r="N37" s="64">
        <v>144.80000000000001</v>
      </c>
      <c r="O37" s="64">
        <v>0</v>
      </c>
      <c r="P37" s="64">
        <v>2</v>
      </c>
      <c r="Q37" s="64">
        <v>7.05</v>
      </c>
      <c r="R37" s="198"/>
      <c r="S37" s="198"/>
      <c r="T37" s="198"/>
      <c r="U37" s="198"/>
    </row>
    <row r="38" spans="1:21" s="12" customFormat="1" x14ac:dyDescent="0.25">
      <c r="A38" s="214" t="s">
        <v>2485</v>
      </c>
      <c r="B38" s="64">
        <v>30.53</v>
      </c>
      <c r="C38" s="64">
        <v>72.98</v>
      </c>
      <c r="D38" s="64">
        <v>65.400000000000006</v>
      </c>
      <c r="E38" s="64">
        <v>1.1299999999999999</v>
      </c>
      <c r="F38" s="64">
        <v>3.83</v>
      </c>
      <c r="G38" s="64">
        <v>251.3</v>
      </c>
      <c r="H38" s="64">
        <v>113.46</v>
      </c>
      <c r="I38" s="64">
        <v>1.45</v>
      </c>
      <c r="J38" s="64">
        <v>0.44</v>
      </c>
      <c r="K38" s="64">
        <v>108.43</v>
      </c>
      <c r="L38" s="64">
        <v>12.75</v>
      </c>
      <c r="M38" s="64">
        <v>94.19</v>
      </c>
      <c r="N38" s="64">
        <v>160.5</v>
      </c>
      <c r="O38" s="64">
        <v>0</v>
      </c>
      <c r="P38" s="64">
        <v>2.11</v>
      </c>
      <c r="Q38" s="64">
        <v>8.1999999999999993</v>
      </c>
      <c r="R38" s="198"/>
      <c r="S38" s="198"/>
      <c r="T38" s="198"/>
      <c r="U38" s="198"/>
    </row>
    <row r="39" spans="1:21" s="12" customFormat="1" x14ac:dyDescent="0.25">
      <c r="A39" s="214" t="s">
        <v>2486</v>
      </c>
      <c r="B39" s="64">
        <v>29.68</v>
      </c>
      <c r="C39" s="64">
        <v>72.48</v>
      </c>
      <c r="D39" s="64">
        <v>64.45</v>
      </c>
      <c r="E39" s="64">
        <v>1.1399999999999999</v>
      </c>
      <c r="F39" s="64">
        <v>4.8600000000000003</v>
      </c>
      <c r="G39" s="64">
        <v>222.11</v>
      </c>
      <c r="H39" s="64">
        <v>115.46</v>
      </c>
      <c r="I39" s="64">
        <v>1.52</v>
      </c>
      <c r="J39" s="64">
        <v>0.38</v>
      </c>
      <c r="K39" s="64">
        <v>108.62</v>
      </c>
      <c r="L39" s="64">
        <v>13.38</v>
      </c>
      <c r="M39" s="64">
        <v>89.63</v>
      </c>
      <c r="N39" s="64">
        <v>187.2</v>
      </c>
      <c r="O39" s="64">
        <v>0</v>
      </c>
      <c r="P39" s="64">
        <v>1.71</v>
      </c>
      <c r="Q39" s="64">
        <v>8.3800000000000008</v>
      </c>
      <c r="R39" s="198"/>
      <c r="S39" s="198"/>
      <c r="T39" s="198"/>
      <c r="U39" s="198"/>
    </row>
    <row r="40" spans="1:21" s="12" customFormat="1" x14ac:dyDescent="0.25">
      <c r="A40" s="214" t="s">
        <v>2487</v>
      </c>
      <c r="B40" s="64">
        <v>29.21</v>
      </c>
      <c r="C40" s="64">
        <v>72.900000000000006</v>
      </c>
      <c r="D40" s="64">
        <v>64.3</v>
      </c>
      <c r="E40" s="64">
        <v>0.56000000000000005</v>
      </c>
      <c r="F40" s="64">
        <v>4.7699999999999996</v>
      </c>
      <c r="G40" s="64">
        <v>222.11</v>
      </c>
      <c r="H40" s="64">
        <v>120.88</v>
      </c>
      <c r="I40" s="64">
        <v>1.56</v>
      </c>
      <c r="J40" s="64">
        <v>0.16</v>
      </c>
      <c r="K40" s="64">
        <v>60.42</v>
      </c>
      <c r="L40" s="64">
        <v>14.63</v>
      </c>
      <c r="M40" s="64">
        <v>82.59</v>
      </c>
      <c r="N40" s="64">
        <v>226.4</v>
      </c>
      <c r="O40" s="64">
        <v>0</v>
      </c>
      <c r="P40" s="64">
        <v>1.43</v>
      </c>
      <c r="Q40" s="64">
        <v>7.44</v>
      </c>
      <c r="R40" s="198"/>
      <c r="S40" s="198"/>
      <c r="T40" s="198"/>
      <c r="U40" s="198"/>
    </row>
    <row r="41" spans="1:21" s="12" customFormat="1" x14ac:dyDescent="0.25">
      <c r="A41" s="214" t="s">
        <v>2488</v>
      </c>
      <c r="B41" s="64">
        <v>28.84</v>
      </c>
      <c r="C41" s="64">
        <v>73.680000000000007</v>
      </c>
      <c r="D41" s="64">
        <v>64.44</v>
      </c>
      <c r="E41" s="64">
        <v>0.99</v>
      </c>
      <c r="F41" s="64">
        <v>5.27</v>
      </c>
      <c r="G41" s="64">
        <v>222.11</v>
      </c>
      <c r="H41" s="64">
        <v>120.88</v>
      </c>
      <c r="I41" s="64">
        <v>1.48</v>
      </c>
      <c r="J41" s="64">
        <v>0.34</v>
      </c>
      <c r="K41" s="64">
        <v>352.73</v>
      </c>
      <c r="L41" s="64">
        <v>16.71</v>
      </c>
      <c r="M41" s="64">
        <v>71.66</v>
      </c>
      <c r="N41" s="64">
        <v>260.10000000000002</v>
      </c>
      <c r="O41" s="64">
        <v>0</v>
      </c>
      <c r="P41" s="64">
        <v>1.41</v>
      </c>
      <c r="Q41" s="64">
        <v>6.53</v>
      </c>
      <c r="R41" s="198"/>
      <c r="S41" s="198"/>
      <c r="T41" s="198"/>
      <c r="U41" s="198"/>
    </row>
    <row r="42" spans="1:21" s="12" customFormat="1" x14ac:dyDescent="0.25">
      <c r="A42" s="214" t="s">
        <v>2489</v>
      </c>
      <c r="B42" s="64">
        <v>28.63</v>
      </c>
      <c r="C42" s="64">
        <v>75.27</v>
      </c>
      <c r="D42" s="64">
        <v>65.14</v>
      </c>
      <c r="E42" s="64">
        <v>1.03</v>
      </c>
      <c r="F42" s="64">
        <v>5.72</v>
      </c>
      <c r="G42" s="64">
        <v>222.11</v>
      </c>
      <c r="H42" s="64">
        <v>120.88</v>
      </c>
      <c r="I42" s="64">
        <v>1.51</v>
      </c>
      <c r="J42" s="64">
        <v>0.17</v>
      </c>
      <c r="K42" s="64">
        <v>67.349999999999994</v>
      </c>
      <c r="L42" s="64">
        <v>17.23</v>
      </c>
      <c r="M42" s="64">
        <v>69.45</v>
      </c>
      <c r="N42" s="64">
        <v>298.2</v>
      </c>
      <c r="O42" s="64">
        <v>0</v>
      </c>
      <c r="P42" s="64">
        <v>1.32</v>
      </c>
      <c r="Q42" s="64">
        <v>6.9</v>
      </c>
      <c r="R42" s="198"/>
      <c r="S42" s="198"/>
      <c r="T42" s="198"/>
      <c r="U42" s="198"/>
    </row>
    <row r="43" spans="1:21" s="12" customFormat="1" x14ac:dyDescent="0.25">
      <c r="A43" s="214" t="s">
        <v>2490</v>
      </c>
      <c r="B43" s="64">
        <v>27.7</v>
      </c>
      <c r="C43" s="64">
        <v>76.37</v>
      </c>
      <c r="D43" s="64">
        <v>65.010000000000005</v>
      </c>
      <c r="E43" s="64">
        <v>1.06</v>
      </c>
      <c r="F43" s="64">
        <v>6.13</v>
      </c>
      <c r="G43" s="64">
        <v>204.29</v>
      </c>
      <c r="H43" s="64">
        <v>117.87</v>
      </c>
      <c r="I43" s="64">
        <v>1.5</v>
      </c>
      <c r="J43" s="64">
        <v>0.22</v>
      </c>
      <c r="K43" s="64">
        <v>93.23</v>
      </c>
      <c r="L43" s="64">
        <v>17.87</v>
      </c>
      <c r="M43" s="64">
        <v>67.42</v>
      </c>
      <c r="N43" s="64">
        <v>350.2</v>
      </c>
      <c r="O43" s="64">
        <v>0</v>
      </c>
      <c r="P43" s="64">
        <v>1.29</v>
      </c>
      <c r="Q43" s="64">
        <v>8.1</v>
      </c>
      <c r="R43" s="198"/>
      <c r="S43" s="198"/>
      <c r="T43" s="198"/>
      <c r="U43" s="198"/>
    </row>
    <row r="44" spans="1:21" s="12" customFormat="1" x14ac:dyDescent="0.25">
      <c r="A44" s="214" t="s">
        <v>2491</v>
      </c>
      <c r="B44" s="64">
        <v>26.38</v>
      </c>
      <c r="C44" s="64">
        <v>77.33</v>
      </c>
      <c r="D44" s="64">
        <v>64.48</v>
      </c>
      <c r="E44" s="64">
        <v>1.01</v>
      </c>
      <c r="F44" s="64">
        <v>6.28</v>
      </c>
      <c r="G44" s="64">
        <v>133.04</v>
      </c>
      <c r="H44" s="64">
        <v>104.47</v>
      </c>
      <c r="I44" s="64">
        <v>1.41</v>
      </c>
      <c r="J44" s="64">
        <v>0.68</v>
      </c>
      <c r="K44" s="64">
        <v>107.79</v>
      </c>
      <c r="L44" s="64">
        <v>18.510000000000002</v>
      </c>
      <c r="M44" s="64">
        <v>63.3</v>
      </c>
      <c r="N44" s="64">
        <v>396.8</v>
      </c>
      <c r="O44" s="64">
        <v>0</v>
      </c>
      <c r="P44" s="64">
        <v>1.26</v>
      </c>
      <c r="Q44" s="64">
        <v>8.17</v>
      </c>
      <c r="R44" s="198"/>
      <c r="S44" s="198"/>
      <c r="T44" s="198"/>
      <c r="U44" s="198"/>
    </row>
    <row r="45" spans="1:21" s="12" customFormat="1" x14ac:dyDescent="0.25">
      <c r="A45" s="214" t="s">
        <v>2492</v>
      </c>
      <c r="B45" s="64">
        <v>24.21</v>
      </c>
      <c r="C45" s="64">
        <v>77.760000000000005</v>
      </c>
      <c r="D45" s="64">
        <v>62.98</v>
      </c>
      <c r="E45" s="64">
        <v>0.83</v>
      </c>
      <c r="F45" s="64">
        <v>7.9</v>
      </c>
      <c r="G45" s="64">
        <v>133.04</v>
      </c>
      <c r="H45" s="64">
        <v>104.47</v>
      </c>
      <c r="I45" s="64">
        <v>1.51</v>
      </c>
      <c r="J45" s="64">
        <v>1.1399999999999999</v>
      </c>
      <c r="K45" s="64">
        <v>114.65</v>
      </c>
      <c r="L45" s="64">
        <v>17.170000000000002</v>
      </c>
      <c r="M45" s="64">
        <v>68.12</v>
      </c>
      <c r="N45" s="64">
        <v>423.3</v>
      </c>
      <c r="O45" s="64">
        <v>0</v>
      </c>
      <c r="P45" s="64">
        <v>1.07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4" t="s">
        <v>2493</v>
      </c>
      <c r="B46" s="64">
        <v>21.14</v>
      </c>
      <c r="C46" s="64">
        <v>78.010000000000005</v>
      </c>
      <c r="D46" s="64">
        <v>60.65</v>
      </c>
      <c r="E46" s="64">
        <v>0.88</v>
      </c>
      <c r="F46" s="64">
        <v>8.3800000000000008</v>
      </c>
      <c r="G46" s="64">
        <v>133.04</v>
      </c>
      <c r="H46" s="64">
        <v>104.47</v>
      </c>
      <c r="I46" s="64">
        <v>1.48</v>
      </c>
      <c r="J46" s="64">
        <v>0.76</v>
      </c>
      <c r="K46" s="64">
        <v>110.02</v>
      </c>
      <c r="L46" s="64">
        <v>17.850000000000001</v>
      </c>
      <c r="M46" s="64">
        <v>65.64</v>
      </c>
      <c r="N46" s="64">
        <v>440.2</v>
      </c>
      <c r="O46" s="64">
        <v>0</v>
      </c>
      <c r="P46" s="64">
        <v>1.03</v>
      </c>
      <c r="Q46" s="64">
        <v>9.02</v>
      </c>
      <c r="R46" s="198"/>
      <c r="S46" s="198"/>
      <c r="T46" s="198"/>
      <c r="U46" s="198"/>
    </row>
    <row r="47" spans="1:21" s="12" customFormat="1" x14ac:dyDescent="0.25">
      <c r="A47" s="214" t="s">
        <v>2494</v>
      </c>
      <c r="B47" s="64">
        <v>18.32</v>
      </c>
      <c r="C47" s="64">
        <v>78.489999999999995</v>
      </c>
      <c r="D47" s="64">
        <v>58.65</v>
      </c>
      <c r="E47" s="64">
        <v>0.89</v>
      </c>
      <c r="F47" s="64">
        <v>8.6300000000000008</v>
      </c>
      <c r="G47" s="64">
        <v>128.37</v>
      </c>
      <c r="H47" s="64">
        <v>99.12</v>
      </c>
      <c r="I47" s="64">
        <v>1.49</v>
      </c>
      <c r="J47" s="64">
        <v>0.94</v>
      </c>
      <c r="K47" s="64">
        <v>109.82</v>
      </c>
      <c r="L47" s="64">
        <v>18.37</v>
      </c>
      <c r="M47" s="64">
        <v>65.47</v>
      </c>
      <c r="N47" s="64">
        <v>491.1</v>
      </c>
      <c r="O47" s="64">
        <v>0</v>
      </c>
      <c r="P47" s="64">
        <v>1.05</v>
      </c>
      <c r="Q47" s="64">
        <v>8.61</v>
      </c>
      <c r="R47" s="198"/>
      <c r="S47" s="198"/>
      <c r="T47" s="198"/>
      <c r="U47" s="198"/>
    </row>
    <row r="48" spans="1:21" s="12" customFormat="1" x14ac:dyDescent="0.25">
      <c r="A48" s="214" t="s">
        <v>2495</v>
      </c>
      <c r="B48" s="64">
        <v>15.64</v>
      </c>
      <c r="C48" s="64">
        <v>78.67</v>
      </c>
      <c r="D48" s="64">
        <v>56.61</v>
      </c>
      <c r="E48" s="64">
        <v>0.84</v>
      </c>
      <c r="F48" s="64">
        <v>11.25</v>
      </c>
      <c r="G48" s="64">
        <v>109.68</v>
      </c>
      <c r="H48" s="64">
        <v>84.55</v>
      </c>
      <c r="I48" s="64">
        <v>1.5</v>
      </c>
      <c r="J48" s="64">
        <v>0.57999999999999996</v>
      </c>
      <c r="K48" s="64">
        <v>117.85</v>
      </c>
      <c r="L48" s="64">
        <v>19.100000000000001</v>
      </c>
      <c r="M48" s="64">
        <v>62.8</v>
      </c>
      <c r="N48" s="64">
        <v>496.9</v>
      </c>
      <c r="O48" s="64">
        <v>0</v>
      </c>
      <c r="P48" s="64">
        <v>0.96</v>
      </c>
      <c r="Q48" s="64">
        <v>8.36</v>
      </c>
      <c r="R48" s="198"/>
      <c r="S48" s="198"/>
      <c r="T48" s="198"/>
      <c r="U48" s="198"/>
    </row>
    <row r="49" spans="1:21" s="12" customFormat="1" x14ac:dyDescent="0.25">
      <c r="A49" s="214" t="s">
        <v>2496</v>
      </c>
      <c r="B49" s="64">
        <v>13.14</v>
      </c>
      <c r="C49" s="64">
        <v>79.08</v>
      </c>
      <c r="D49" s="64">
        <v>54.83</v>
      </c>
      <c r="E49" s="64">
        <v>0.92</v>
      </c>
      <c r="F49" s="64">
        <v>8.56</v>
      </c>
      <c r="G49" s="64">
        <v>109.68</v>
      </c>
      <c r="H49" s="64">
        <v>84.55</v>
      </c>
      <c r="I49" s="64">
        <v>1.46</v>
      </c>
      <c r="J49" s="64">
        <v>0.93</v>
      </c>
      <c r="K49" s="64">
        <v>102.44</v>
      </c>
      <c r="L49" s="64">
        <v>19.87</v>
      </c>
      <c r="M49" s="64">
        <v>58.89</v>
      </c>
      <c r="N49" s="64">
        <v>536.4</v>
      </c>
      <c r="O49" s="64">
        <v>0</v>
      </c>
      <c r="P49" s="64">
        <v>1.08</v>
      </c>
      <c r="Q49" s="64">
        <v>7.92</v>
      </c>
      <c r="R49" s="198"/>
      <c r="S49" s="198"/>
      <c r="T49" s="198"/>
      <c r="U49" s="198"/>
    </row>
    <row r="50" spans="1:21" s="12" customFormat="1" x14ac:dyDescent="0.25">
      <c r="A50" s="214" t="s">
        <v>2497</v>
      </c>
      <c r="B50" s="64">
        <v>10.73</v>
      </c>
      <c r="C50" s="64">
        <v>78.86</v>
      </c>
      <c r="D50" s="64">
        <v>52.77</v>
      </c>
      <c r="E50" s="64">
        <v>0.83</v>
      </c>
      <c r="F50" s="64">
        <v>10.02</v>
      </c>
      <c r="G50" s="64">
        <v>109.68</v>
      </c>
      <c r="H50" s="64">
        <v>84.55</v>
      </c>
      <c r="I50" s="64">
        <v>1.49</v>
      </c>
      <c r="J50" s="64">
        <v>0.81</v>
      </c>
      <c r="K50" s="64">
        <v>109.19</v>
      </c>
      <c r="L50" s="64">
        <v>20.18</v>
      </c>
      <c r="M50" s="64">
        <v>57.11</v>
      </c>
      <c r="N50" s="64">
        <v>554.29999999999995</v>
      </c>
      <c r="O50" s="64">
        <v>0</v>
      </c>
      <c r="P50" s="64">
        <v>1.01</v>
      </c>
      <c r="Q50" s="64">
        <v>7.65</v>
      </c>
      <c r="R50" s="198"/>
      <c r="S50" s="198"/>
      <c r="T50" s="198"/>
      <c r="U50" s="198"/>
    </row>
    <row r="51" spans="1:21" s="12" customFormat="1" x14ac:dyDescent="0.25">
      <c r="A51" s="214" t="s">
        <v>2498</v>
      </c>
      <c r="B51" s="64">
        <v>8.67</v>
      </c>
      <c r="C51" s="64">
        <v>78.72</v>
      </c>
      <c r="D51" s="64">
        <v>51.04</v>
      </c>
      <c r="E51" s="64">
        <v>1.26</v>
      </c>
      <c r="F51" s="64">
        <v>19.71</v>
      </c>
      <c r="G51" s="64">
        <v>108.03</v>
      </c>
      <c r="H51" s="64">
        <v>79.930000000000007</v>
      </c>
      <c r="I51" s="64">
        <v>1.47</v>
      </c>
      <c r="J51" s="64">
        <v>0.26</v>
      </c>
      <c r="K51" s="64">
        <v>32.369999999999997</v>
      </c>
      <c r="L51" s="64">
        <v>21.51</v>
      </c>
      <c r="M51" s="64">
        <v>51.82</v>
      </c>
      <c r="N51" s="64">
        <v>546.9</v>
      </c>
      <c r="O51" s="64">
        <v>0</v>
      </c>
      <c r="P51" s="64">
        <v>0.9</v>
      </c>
      <c r="Q51" s="64">
        <v>7.6</v>
      </c>
      <c r="R51" s="198"/>
      <c r="S51" s="198"/>
      <c r="T51" s="198"/>
      <c r="U51" s="198"/>
    </row>
    <row r="52" spans="1:21" s="12" customFormat="1" x14ac:dyDescent="0.25">
      <c r="A52" s="214" t="s">
        <v>2499</v>
      </c>
      <c r="B52" s="64">
        <v>7.13</v>
      </c>
      <c r="C52" s="64">
        <v>78.63</v>
      </c>
      <c r="D52" s="64">
        <v>49.76</v>
      </c>
      <c r="E52" s="64">
        <v>1.28</v>
      </c>
      <c r="F52" s="64">
        <v>16.04</v>
      </c>
      <c r="G52" s="64">
        <v>101.41</v>
      </c>
      <c r="H52" s="64">
        <v>67.36</v>
      </c>
      <c r="I52" s="64">
        <v>1.45</v>
      </c>
      <c r="J52" s="64">
        <v>0.45</v>
      </c>
      <c r="K52" s="64">
        <v>100.27</v>
      </c>
      <c r="L52" s="64">
        <v>22.11</v>
      </c>
      <c r="M52" s="64">
        <v>49.27</v>
      </c>
      <c r="N52" s="64">
        <v>573.4</v>
      </c>
      <c r="O52" s="64">
        <v>0</v>
      </c>
      <c r="P52" s="64">
        <v>0.96</v>
      </c>
      <c r="Q52" s="64">
        <v>7.32</v>
      </c>
      <c r="R52" s="198"/>
      <c r="S52" s="198"/>
      <c r="T52" s="198"/>
      <c r="U52" s="198"/>
    </row>
    <row r="53" spans="1:21" s="12" customFormat="1" x14ac:dyDescent="0.25">
      <c r="A53" s="214" t="s">
        <v>2500</v>
      </c>
      <c r="B53" s="64">
        <v>5.68</v>
      </c>
      <c r="C53" s="64">
        <v>77.87</v>
      </c>
      <c r="D53" s="64">
        <v>48.18</v>
      </c>
      <c r="E53" s="64">
        <v>0.95</v>
      </c>
      <c r="F53" s="64">
        <v>14.15</v>
      </c>
      <c r="G53" s="64">
        <v>101.41</v>
      </c>
      <c r="H53" s="64">
        <v>67.36</v>
      </c>
      <c r="I53" s="64">
        <v>1.49</v>
      </c>
      <c r="J53" s="64">
        <v>1.29</v>
      </c>
      <c r="K53" s="64">
        <v>117.71</v>
      </c>
      <c r="L53" s="64">
        <v>21.21</v>
      </c>
      <c r="M53" s="64">
        <v>50.45</v>
      </c>
      <c r="N53" s="64">
        <v>589.20000000000005</v>
      </c>
      <c r="O53" s="64">
        <v>0</v>
      </c>
      <c r="P53" s="64">
        <v>0.87</v>
      </c>
      <c r="Q53" s="64">
        <v>7.17</v>
      </c>
      <c r="R53" s="198"/>
      <c r="S53" s="198"/>
      <c r="T53" s="198"/>
      <c r="U53" s="198"/>
    </row>
    <row r="54" spans="1:21" s="12" customFormat="1" x14ac:dyDescent="0.25">
      <c r="A54" s="214" t="s">
        <v>2501</v>
      </c>
      <c r="B54" s="64">
        <v>4.76</v>
      </c>
      <c r="C54" s="64">
        <v>76.25</v>
      </c>
      <c r="D54" s="64">
        <v>46.55</v>
      </c>
      <c r="E54" s="64">
        <v>1.82</v>
      </c>
      <c r="F54" s="64">
        <v>28.45</v>
      </c>
      <c r="G54" s="64">
        <v>101.41</v>
      </c>
      <c r="H54" s="64">
        <v>67.36</v>
      </c>
      <c r="I54" s="64">
        <v>1.42</v>
      </c>
      <c r="J54" s="64">
        <v>0.5</v>
      </c>
      <c r="K54" s="64">
        <v>3.55</v>
      </c>
      <c r="L54" s="64">
        <v>23.35</v>
      </c>
      <c r="M54" s="64">
        <v>44.69</v>
      </c>
      <c r="N54" s="64">
        <v>585</v>
      </c>
      <c r="O54" s="64">
        <v>0</v>
      </c>
      <c r="P54" s="64">
        <v>0.86</v>
      </c>
      <c r="Q54" s="64">
        <v>6.91</v>
      </c>
      <c r="R54" s="198"/>
      <c r="S54" s="198"/>
      <c r="T54" s="198"/>
      <c r="U54" s="198"/>
    </row>
    <row r="55" spans="1:21" s="12" customFormat="1" x14ac:dyDescent="0.25">
      <c r="A55" s="214" t="s">
        <v>2502</v>
      </c>
      <c r="B55" s="64">
        <v>4.47</v>
      </c>
      <c r="C55" s="64">
        <v>75.13</v>
      </c>
      <c r="D55" s="64">
        <v>45.69</v>
      </c>
      <c r="E55" s="64">
        <v>1.84</v>
      </c>
      <c r="F55" s="64">
        <v>24.67</v>
      </c>
      <c r="G55" s="64">
        <v>99</v>
      </c>
      <c r="H55" s="64">
        <v>65.75</v>
      </c>
      <c r="I55" s="64">
        <v>1.47</v>
      </c>
      <c r="J55" s="64">
        <v>0.47</v>
      </c>
      <c r="K55" s="64">
        <v>65.45</v>
      </c>
      <c r="L55" s="64">
        <v>22.96</v>
      </c>
      <c r="M55" s="64">
        <v>45.49</v>
      </c>
      <c r="N55" s="64">
        <v>597.1</v>
      </c>
      <c r="O55" s="64">
        <v>0</v>
      </c>
      <c r="P55" s="64">
        <v>0.87</v>
      </c>
      <c r="Q55" s="64">
        <v>6.4</v>
      </c>
      <c r="R55" s="198"/>
      <c r="S55" s="198"/>
      <c r="T55" s="198"/>
      <c r="U55" s="198"/>
    </row>
    <row r="56" spans="1:21" s="12" customFormat="1" x14ac:dyDescent="0.25">
      <c r="A56" s="214" t="s">
        <v>2503</v>
      </c>
      <c r="B56" s="64">
        <v>4.3899999999999997</v>
      </c>
      <c r="C56" s="64">
        <v>74.61</v>
      </c>
      <c r="D56" s="64">
        <v>45.34</v>
      </c>
      <c r="E56" s="64">
        <v>2.0299999999999998</v>
      </c>
      <c r="F56" s="64">
        <v>32.57</v>
      </c>
      <c r="G56" s="64">
        <v>89.33</v>
      </c>
      <c r="H56" s="64">
        <v>61.36</v>
      </c>
      <c r="I56" s="64">
        <v>1.44</v>
      </c>
      <c r="J56" s="64">
        <v>0.65</v>
      </c>
      <c r="K56" s="64">
        <v>338.67</v>
      </c>
      <c r="L56" s="64">
        <v>24.82</v>
      </c>
      <c r="M56" s="64">
        <v>39.67</v>
      </c>
      <c r="N56" s="64">
        <v>586</v>
      </c>
      <c r="O56" s="64">
        <v>0</v>
      </c>
      <c r="P56" s="64">
        <v>0.92</v>
      </c>
      <c r="Q56" s="64">
        <v>5.55</v>
      </c>
      <c r="R56" s="198"/>
      <c r="S56" s="198"/>
      <c r="T56" s="198"/>
      <c r="U56" s="198"/>
    </row>
    <row r="57" spans="1:21" s="12" customFormat="1" x14ac:dyDescent="0.25">
      <c r="A57" s="214" t="s">
        <v>2504</v>
      </c>
      <c r="B57" s="64">
        <v>4.51</v>
      </c>
      <c r="C57" s="64">
        <v>74.739999999999995</v>
      </c>
      <c r="D57" s="64">
        <v>45.51</v>
      </c>
      <c r="E57" s="64">
        <v>2.79</v>
      </c>
      <c r="F57" s="64">
        <v>31.4</v>
      </c>
      <c r="G57" s="64">
        <v>89.33</v>
      </c>
      <c r="H57" s="64">
        <v>61.36</v>
      </c>
      <c r="I57" s="64">
        <v>1.56</v>
      </c>
      <c r="J57" s="64">
        <v>0.27</v>
      </c>
      <c r="K57" s="64">
        <v>18.73</v>
      </c>
      <c r="L57" s="64">
        <v>25.36</v>
      </c>
      <c r="M57" s="64">
        <v>39.07</v>
      </c>
      <c r="N57" s="64">
        <v>580.70000000000005</v>
      </c>
      <c r="O57" s="64">
        <v>0</v>
      </c>
      <c r="P57" s="64">
        <v>0.85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4" t="s">
        <v>2505</v>
      </c>
      <c r="B58" s="64">
        <v>4.45</v>
      </c>
      <c r="C58" s="64">
        <v>74.7</v>
      </c>
      <c r="D58" s="64">
        <v>45.44</v>
      </c>
      <c r="E58" s="64">
        <v>3.13</v>
      </c>
      <c r="F58" s="64">
        <v>41.29</v>
      </c>
      <c r="G58" s="64">
        <v>89.33</v>
      </c>
      <c r="H58" s="64">
        <v>61.36</v>
      </c>
      <c r="I58" s="64">
        <v>1.47</v>
      </c>
      <c r="J58" s="64">
        <v>1</v>
      </c>
      <c r="K58" s="64">
        <v>337.08</v>
      </c>
      <c r="L58" s="64">
        <v>26.25</v>
      </c>
      <c r="M58" s="64">
        <v>37.06</v>
      </c>
      <c r="N58" s="64">
        <v>568.5</v>
      </c>
      <c r="O58" s="64">
        <v>0</v>
      </c>
      <c r="P58" s="64">
        <v>0.89</v>
      </c>
      <c r="Q58" s="64">
        <v>5.81</v>
      </c>
      <c r="R58" s="198"/>
      <c r="S58" s="198"/>
      <c r="T58" s="198"/>
      <c r="U58" s="198"/>
    </row>
    <row r="59" spans="1:21" s="12" customFormat="1" x14ac:dyDescent="0.25">
      <c r="A59" s="214" t="s">
        <v>2506</v>
      </c>
      <c r="B59" s="64">
        <v>4.24</v>
      </c>
      <c r="C59" s="64">
        <v>74.84</v>
      </c>
      <c r="D59" s="64">
        <v>45.35</v>
      </c>
      <c r="E59" s="64">
        <v>3.99</v>
      </c>
      <c r="F59" s="64">
        <v>40.65</v>
      </c>
      <c r="G59" s="64">
        <v>89.28</v>
      </c>
      <c r="H59" s="64">
        <v>60</v>
      </c>
      <c r="I59" s="64">
        <v>1.5</v>
      </c>
      <c r="J59" s="64">
        <v>0.53</v>
      </c>
      <c r="K59" s="64">
        <v>343.9</v>
      </c>
      <c r="L59" s="64">
        <v>26.92</v>
      </c>
      <c r="M59" s="64">
        <v>34.17</v>
      </c>
      <c r="N59" s="64">
        <v>550.70000000000005</v>
      </c>
      <c r="O59" s="64">
        <v>0</v>
      </c>
      <c r="P59" s="64">
        <v>0.86</v>
      </c>
      <c r="Q59" s="64">
        <v>5.76</v>
      </c>
      <c r="R59" s="198"/>
      <c r="S59" s="198"/>
      <c r="T59" s="198"/>
      <c r="U59" s="198"/>
    </row>
    <row r="60" spans="1:21" s="12" customFormat="1" x14ac:dyDescent="0.25">
      <c r="A60" s="214" t="s">
        <v>2507</v>
      </c>
      <c r="B60" s="64">
        <v>4.04</v>
      </c>
      <c r="C60" s="64">
        <v>75</v>
      </c>
      <c r="D60" s="64">
        <v>45.27</v>
      </c>
      <c r="E60" s="64">
        <v>3.19</v>
      </c>
      <c r="F60" s="64">
        <v>34.28</v>
      </c>
      <c r="G60" s="64">
        <v>89.11</v>
      </c>
      <c r="H60" s="64">
        <v>53.93</v>
      </c>
      <c r="I60" s="64">
        <v>1.42</v>
      </c>
      <c r="J60" s="64">
        <v>0.37</v>
      </c>
      <c r="K60" s="64">
        <v>62.6</v>
      </c>
      <c r="L60" s="64">
        <v>25.11</v>
      </c>
      <c r="M60" s="64">
        <v>39.22</v>
      </c>
      <c r="N60" s="64">
        <v>544</v>
      </c>
      <c r="O60" s="64">
        <v>0</v>
      </c>
      <c r="P60" s="64">
        <v>0.82</v>
      </c>
      <c r="Q60" s="64">
        <v>5.87</v>
      </c>
      <c r="R60" s="198"/>
      <c r="S60" s="198"/>
      <c r="T60" s="198"/>
      <c r="U60" s="198"/>
    </row>
    <row r="61" spans="1:21" s="12" customFormat="1" x14ac:dyDescent="0.25">
      <c r="A61" s="214" t="s">
        <v>2508</v>
      </c>
      <c r="B61" s="64">
        <v>4.0599999999999996</v>
      </c>
      <c r="C61" s="64">
        <v>74.709999999999994</v>
      </c>
      <c r="D61" s="64">
        <v>45.13</v>
      </c>
      <c r="E61" s="64">
        <v>2.63</v>
      </c>
      <c r="F61" s="64">
        <v>18.8</v>
      </c>
      <c r="G61" s="64">
        <v>89.11</v>
      </c>
      <c r="H61" s="64">
        <v>53.93</v>
      </c>
      <c r="I61" s="64">
        <v>1.52</v>
      </c>
      <c r="J61" s="64">
        <v>0.37</v>
      </c>
      <c r="K61" s="64">
        <v>100.5</v>
      </c>
      <c r="L61" s="64">
        <v>24.02</v>
      </c>
      <c r="M61" s="64">
        <v>41.81</v>
      </c>
      <c r="N61" s="64">
        <v>529.79999999999995</v>
      </c>
      <c r="O61" s="64">
        <v>0</v>
      </c>
      <c r="P61" s="64">
        <v>0.77</v>
      </c>
      <c r="Q61" s="64">
        <v>3.74</v>
      </c>
      <c r="R61" s="198"/>
      <c r="S61" s="198"/>
      <c r="T61" s="198"/>
      <c r="U61" s="198"/>
    </row>
    <row r="62" spans="1:21" s="12" customFormat="1" x14ac:dyDescent="0.25">
      <c r="A62" s="214" t="s">
        <v>2509</v>
      </c>
      <c r="B62" s="64">
        <v>4.4400000000000004</v>
      </c>
      <c r="C62" s="64">
        <v>74.86</v>
      </c>
      <c r="D62" s="64">
        <v>45.52</v>
      </c>
      <c r="E62" s="64">
        <v>3.18</v>
      </c>
      <c r="F62" s="64">
        <v>27.92</v>
      </c>
      <c r="G62" s="64">
        <v>89.11</v>
      </c>
      <c r="H62" s="64">
        <v>53.93</v>
      </c>
      <c r="I62" s="64">
        <v>1.46</v>
      </c>
      <c r="J62" s="64">
        <v>0.26</v>
      </c>
      <c r="K62" s="64">
        <v>97.62</v>
      </c>
      <c r="L62" s="64">
        <v>24.54</v>
      </c>
      <c r="M62" s="64">
        <v>39.42</v>
      </c>
      <c r="N62" s="64">
        <v>516.20000000000005</v>
      </c>
      <c r="O62" s="64">
        <v>0</v>
      </c>
      <c r="P62" s="64">
        <v>0.89</v>
      </c>
      <c r="Q62" s="64">
        <v>2.65</v>
      </c>
      <c r="R62" s="198"/>
      <c r="S62" s="198"/>
      <c r="T62" s="198"/>
      <c r="U62" s="198"/>
    </row>
    <row r="63" spans="1:21" s="12" customFormat="1" x14ac:dyDescent="0.25">
      <c r="A63" s="214" t="s">
        <v>2510</v>
      </c>
      <c r="B63" s="64">
        <v>4.32</v>
      </c>
      <c r="C63" s="64">
        <v>74.88</v>
      </c>
      <c r="D63" s="64">
        <v>45.43</v>
      </c>
      <c r="E63" s="64">
        <v>2.2799999999999998</v>
      </c>
      <c r="F63" s="64">
        <v>35.74</v>
      </c>
      <c r="G63" s="64">
        <v>88.19</v>
      </c>
      <c r="H63" s="64">
        <v>53.52</v>
      </c>
      <c r="I63" s="64">
        <v>1.45</v>
      </c>
      <c r="J63" s="64">
        <v>0.43</v>
      </c>
      <c r="K63" s="64">
        <v>106.6</v>
      </c>
      <c r="L63" s="64">
        <v>25.17</v>
      </c>
      <c r="M63" s="64">
        <v>38.409999999999997</v>
      </c>
      <c r="N63" s="64">
        <v>481.3</v>
      </c>
      <c r="O63" s="64">
        <v>0</v>
      </c>
      <c r="P63" s="64">
        <v>0.88</v>
      </c>
      <c r="Q63" s="64">
        <v>4.2300000000000004</v>
      </c>
      <c r="R63" s="198"/>
      <c r="S63" s="198"/>
      <c r="T63" s="198"/>
      <c r="U63" s="198"/>
    </row>
    <row r="64" spans="1:21" s="12" customFormat="1" x14ac:dyDescent="0.25">
      <c r="A64" s="214" t="s">
        <v>2511</v>
      </c>
      <c r="B64" s="64">
        <v>4.0599999999999996</v>
      </c>
      <c r="C64" s="64">
        <v>74.290000000000006</v>
      </c>
      <c r="D64" s="64">
        <v>44.9</v>
      </c>
      <c r="E64" s="64">
        <v>2.64</v>
      </c>
      <c r="F64" s="64">
        <v>33.020000000000003</v>
      </c>
      <c r="G64" s="64">
        <v>84.75</v>
      </c>
      <c r="H64" s="64">
        <v>52.4</v>
      </c>
      <c r="I64" s="64">
        <v>1.48</v>
      </c>
      <c r="J64" s="64">
        <v>0.88</v>
      </c>
      <c r="K64" s="64">
        <v>106.62</v>
      </c>
      <c r="L64" s="64">
        <v>23.39</v>
      </c>
      <c r="M64" s="64">
        <v>42.18</v>
      </c>
      <c r="N64" s="64">
        <v>254</v>
      </c>
      <c r="O64" s="64">
        <v>0</v>
      </c>
      <c r="P64" s="64">
        <v>0.7</v>
      </c>
      <c r="Q64" s="64">
        <v>5.85</v>
      </c>
      <c r="R64" s="198"/>
      <c r="S64" s="198"/>
      <c r="T64" s="198"/>
      <c r="U64" s="198"/>
    </row>
    <row r="65" spans="1:21" s="12" customFormat="1" x14ac:dyDescent="0.25">
      <c r="A65" s="214" t="s">
        <v>2512</v>
      </c>
      <c r="B65" s="64">
        <v>3.67</v>
      </c>
      <c r="C65" s="64">
        <v>73.040000000000006</v>
      </c>
      <c r="D65" s="64">
        <v>43.9</v>
      </c>
      <c r="E65" s="64">
        <v>2.67</v>
      </c>
      <c r="F65" s="64">
        <v>38.92</v>
      </c>
      <c r="G65" s="64">
        <v>84.75</v>
      </c>
      <c r="H65" s="64">
        <v>52.4</v>
      </c>
      <c r="I65" s="64">
        <v>1.44</v>
      </c>
      <c r="J65" s="64">
        <v>0.56000000000000005</v>
      </c>
      <c r="K65" s="64">
        <v>114.14</v>
      </c>
      <c r="L65" s="64">
        <v>23.54</v>
      </c>
      <c r="M65" s="64">
        <v>40.89</v>
      </c>
      <c r="N65" s="64">
        <v>205.7</v>
      </c>
      <c r="O65" s="64">
        <v>0</v>
      </c>
      <c r="P65" s="64">
        <v>0.62</v>
      </c>
      <c r="Q65" s="64">
        <v>6.37</v>
      </c>
      <c r="R65" s="198"/>
      <c r="S65" s="198"/>
      <c r="T65" s="198"/>
      <c r="U65" s="198"/>
    </row>
    <row r="66" spans="1:21" s="12" customFormat="1" x14ac:dyDescent="0.25">
      <c r="A66" s="214" t="s">
        <v>2513</v>
      </c>
      <c r="B66" s="64">
        <v>3.38</v>
      </c>
      <c r="C66" s="64">
        <v>71.959999999999994</v>
      </c>
      <c r="D66" s="64">
        <v>43.07</v>
      </c>
      <c r="E66" s="64">
        <v>3.7</v>
      </c>
      <c r="F66" s="64">
        <v>38.770000000000003</v>
      </c>
      <c r="G66" s="64">
        <v>84.75</v>
      </c>
      <c r="H66" s="64">
        <v>52.4</v>
      </c>
      <c r="I66" s="64">
        <v>1.47</v>
      </c>
      <c r="J66" s="64">
        <v>0.35</v>
      </c>
      <c r="K66" s="64">
        <v>352.25</v>
      </c>
      <c r="L66" s="64">
        <v>24.78</v>
      </c>
      <c r="M66" s="64">
        <v>39.020000000000003</v>
      </c>
      <c r="N66" s="64">
        <v>179.7</v>
      </c>
      <c r="O66" s="64">
        <v>0</v>
      </c>
      <c r="P66" s="64">
        <v>0.79</v>
      </c>
      <c r="Q66" s="64">
        <v>6.05</v>
      </c>
      <c r="R66" s="198"/>
      <c r="S66" s="198"/>
      <c r="T66" s="198"/>
      <c r="U66" s="198"/>
    </row>
    <row r="67" spans="1:21" s="12" customFormat="1" x14ac:dyDescent="0.25">
      <c r="A67" s="214" t="s">
        <v>2514</v>
      </c>
      <c r="B67" s="64">
        <v>3.01</v>
      </c>
      <c r="C67" s="64">
        <v>71.73</v>
      </c>
      <c r="D67" s="64">
        <v>42.65</v>
      </c>
      <c r="E67" s="64">
        <v>1.7</v>
      </c>
      <c r="F67" s="64">
        <v>8.32</v>
      </c>
      <c r="G67" s="64">
        <v>83.6</v>
      </c>
      <c r="H67" s="64">
        <v>50.86</v>
      </c>
      <c r="I67" s="64">
        <v>1.51</v>
      </c>
      <c r="J67" s="64">
        <v>0.36</v>
      </c>
      <c r="K67" s="64">
        <v>131.97</v>
      </c>
      <c r="L67" s="64">
        <v>24.88</v>
      </c>
      <c r="M67" s="64">
        <v>37.89</v>
      </c>
      <c r="N67" s="64">
        <v>192.9</v>
      </c>
      <c r="O67" s="64">
        <v>0</v>
      </c>
      <c r="P67" s="64">
        <v>0.85</v>
      </c>
      <c r="Q67" s="64">
        <v>6.06</v>
      </c>
      <c r="R67" s="198"/>
      <c r="S67" s="198"/>
      <c r="T67" s="198"/>
      <c r="U67" s="198"/>
    </row>
    <row r="68" spans="1:21" s="12" customFormat="1" x14ac:dyDescent="0.25">
      <c r="A68" s="214" t="s">
        <v>2515</v>
      </c>
      <c r="B68" s="64">
        <v>2.56</v>
      </c>
      <c r="C68" s="64">
        <v>71.790000000000006</v>
      </c>
      <c r="D68" s="64">
        <v>42.32</v>
      </c>
      <c r="E68" s="64">
        <v>1.34</v>
      </c>
      <c r="F68" s="64">
        <v>8</v>
      </c>
      <c r="G68" s="64">
        <v>79.28</v>
      </c>
      <c r="H68" s="64">
        <v>46.67</v>
      </c>
      <c r="I68" s="64">
        <v>1.48</v>
      </c>
      <c r="J68" s="64">
        <v>0.36</v>
      </c>
      <c r="K68" s="64">
        <v>112.74</v>
      </c>
      <c r="L68" s="64">
        <v>23.46</v>
      </c>
      <c r="M68" s="64">
        <v>40.98</v>
      </c>
      <c r="N68" s="64">
        <v>187.7</v>
      </c>
      <c r="O68" s="64">
        <v>0</v>
      </c>
      <c r="P68" s="64">
        <v>0.82</v>
      </c>
      <c r="Q68" s="64">
        <v>6.17</v>
      </c>
      <c r="R68" s="198"/>
      <c r="S68" s="198"/>
      <c r="T68" s="198"/>
      <c r="U68" s="198"/>
    </row>
    <row r="69" spans="1:21" s="12" customFormat="1" x14ac:dyDescent="0.25">
      <c r="A69" s="214" t="s">
        <v>2516</v>
      </c>
      <c r="B69" s="64">
        <v>2.3199999999999998</v>
      </c>
      <c r="C69" s="64">
        <v>70.959999999999994</v>
      </c>
      <c r="D69" s="64">
        <v>41.67</v>
      </c>
      <c r="E69" s="64">
        <v>1.18</v>
      </c>
      <c r="F69" s="64">
        <v>8.57</v>
      </c>
      <c r="G69" s="64">
        <v>79.28</v>
      </c>
      <c r="H69" s="64">
        <v>46.67</v>
      </c>
      <c r="I69" s="64">
        <v>1.6</v>
      </c>
      <c r="J69" s="64">
        <v>0.93</v>
      </c>
      <c r="K69" s="64">
        <v>118.8</v>
      </c>
      <c r="L69" s="64">
        <v>22.98</v>
      </c>
      <c r="M69" s="64">
        <v>41.44</v>
      </c>
      <c r="N69" s="64">
        <v>135</v>
      </c>
      <c r="O69" s="64">
        <v>0</v>
      </c>
      <c r="P69" s="64">
        <v>0.81</v>
      </c>
      <c r="Q69" s="64">
        <v>6.16</v>
      </c>
      <c r="R69" s="198"/>
      <c r="S69" s="198"/>
      <c r="T69" s="198"/>
      <c r="U69" s="198"/>
    </row>
    <row r="70" spans="1:21" s="12" customFormat="1" x14ac:dyDescent="0.25">
      <c r="A70" s="214" t="s">
        <v>2517</v>
      </c>
      <c r="B70" s="64">
        <v>2.15</v>
      </c>
      <c r="C70" s="64">
        <v>69.489999999999995</v>
      </c>
      <c r="D70" s="64">
        <v>40.72</v>
      </c>
      <c r="E70" s="64">
        <v>1.4</v>
      </c>
      <c r="F70" s="64">
        <v>17.510000000000002</v>
      </c>
      <c r="G70" s="64">
        <v>79.28</v>
      </c>
      <c r="H70" s="64">
        <v>46.67</v>
      </c>
      <c r="I70" s="64">
        <v>1.52</v>
      </c>
      <c r="J70" s="64">
        <v>0.09</v>
      </c>
      <c r="K70" s="64">
        <v>355.03</v>
      </c>
      <c r="L70" s="64">
        <v>23.17</v>
      </c>
      <c r="M70" s="64">
        <v>41.35</v>
      </c>
      <c r="N70" s="64">
        <v>120.8</v>
      </c>
      <c r="O70" s="64">
        <v>0</v>
      </c>
      <c r="P70" s="64">
        <v>0.76</v>
      </c>
      <c r="Q70" s="64">
        <v>5.91</v>
      </c>
      <c r="R70" s="198"/>
      <c r="S70" s="198"/>
      <c r="T70" s="198"/>
      <c r="U70" s="198"/>
    </row>
    <row r="71" spans="1:21" s="12" customFormat="1" x14ac:dyDescent="0.25">
      <c r="A71" s="214" t="s">
        <v>2518</v>
      </c>
      <c r="B71" s="64">
        <v>2.12</v>
      </c>
      <c r="C71" s="64">
        <v>68.58</v>
      </c>
      <c r="D71" s="64">
        <v>40.19</v>
      </c>
      <c r="E71" s="64">
        <v>1.05</v>
      </c>
      <c r="F71" s="64">
        <v>7.49</v>
      </c>
      <c r="G71" s="64">
        <v>78.83</v>
      </c>
      <c r="H71" s="64">
        <v>47.21</v>
      </c>
      <c r="I71" s="64">
        <v>1.6</v>
      </c>
      <c r="J71" s="64">
        <v>0.68</v>
      </c>
      <c r="K71" s="64">
        <v>105.5</v>
      </c>
      <c r="L71" s="64">
        <v>22.94</v>
      </c>
      <c r="M71" s="64">
        <v>41.31</v>
      </c>
      <c r="N71" s="64">
        <v>109.2</v>
      </c>
      <c r="O71" s="64">
        <v>0</v>
      </c>
      <c r="P71" s="64">
        <v>0.79</v>
      </c>
      <c r="Q71" s="64">
        <v>5.86</v>
      </c>
      <c r="R71" s="198"/>
      <c r="S71" s="198"/>
      <c r="T71" s="198"/>
      <c r="U71" s="198"/>
    </row>
    <row r="72" spans="1:21" s="12" customFormat="1" x14ac:dyDescent="0.25">
      <c r="A72" s="214" t="s">
        <v>2519</v>
      </c>
      <c r="B72" s="64">
        <v>2.09</v>
      </c>
      <c r="C72" s="64">
        <v>67.75</v>
      </c>
      <c r="D72" s="64">
        <v>39.71</v>
      </c>
      <c r="E72" s="64">
        <v>0.55000000000000004</v>
      </c>
      <c r="F72" s="64">
        <v>14.13</v>
      </c>
      <c r="G72" s="64">
        <v>77.010000000000005</v>
      </c>
      <c r="H72" s="64">
        <v>48.68</v>
      </c>
      <c r="I72" s="64">
        <v>1.56</v>
      </c>
      <c r="J72" s="64">
        <v>0.32</v>
      </c>
      <c r="K72" s="64">
        <v>93.66</v>
      </c>
      <c r="L72" s="64">
        <v>22.63</v>
      </c>
      <c r="M72" s="64">
        <v>42.41</v>
      </c>
      <c r="N72" s="64">
        <v>92</v>
      </c>
      <c r="O72" s="64">
        <v>0</v>
      </c>
      <c r="P72" s="64">
        <v>0.75</v>
      </c>
      <c r="Q72" s="64">
        <v>5.91</v>
      </c>
      <c r="R72" s="198"/>
      <c r="S72" s="198"/>
      <c r="T72" s="198"/>
      <c r="U72" s="198"/>
    </row>
    <row r="73" spans="1:21" s="12" customFormat="1" x14ac:dyDescent="0.25">
      <c r="A73" s="214" t="s">
        <v>2520</v>
      </c>
      <c r="B73" s="64">
        <v>2.4300000000000002</v>
      </c>
      <c r="C73" s="64">
        <v>68.37</v>
      </c>
      <c r="D73" s="64">
        <v>40.33</v>
      </c>
      <c r="E73" s="64">
        <v>0.96</v>
      </c>
      <c r="F73" s="64">
        <v>9</v>
      </c>
      <c r="G73" s="64">
        <v>77.010000000000005</v>
      </c>
      <c r="H73" s="64">
        <v>48.68</v>
      </c>
      <c r="I73" s="64">
        <v>1.49</v>
      </c>
      <c r="J73" s="64">
        <v>0.08</v>
      </c>
      <c r="K73" s="64">
        <v>46.77</v>
      </c>
      <c r="L73" s="64">
        <v>22.57</v>
      </c>
      <c r="M73" s="64">
        <v>43.64</v>
      </c>
      <c r="N73" s="64">
        <v>87.7</v>
      </c>
      <c r="O73" s="64">
        <v>0</v>
      </c>
      <c r="P73" s="64">
        <v>0.79</v>
      </c>
      <c r="Q73" s="64">
        <v>5.25</v>
      </c>
      <c r="R73" s="198"/>
      <c r="S73" s="198"/>
      <c r="T73" s="198"/>
      <c r="U73" s="198"/>
    </row>
    <row r="74" spans="1:21" s="12" customFormat="1" x14ac:dyDescent="0.25">
      <c r="A74" s="214" t="s">
        <v>2521</v>
      </c>
      <c r="B74" s="64">
        <v>2.62</v>
      </c>
      <c r="C74" s="64">
        <v>70.66</v>
      </c>
      <c r="D74" s="64">
        <v>41.74</v>
      </c>
      <c r="E74" s="64">
        <v>0.75</v>
      </c>
      <c r="F74" s="64">
        <v>7.49</v>
      </c>
      <c r="G74" s="64">
        <v>77.010000000000005</v>
      </c>
      <c r="H74" s="64">
        <v>48.68</v>
      </c>
      <c r="I74" s="64">
        <v>1.48</v>
      </c>
      <c r="J74" s="64">
        <v>0.04</v>
      </c>
      <c r="K74" s="64">
        <v>22.17</v>
      </c>
      <c r="L74" s="64">
        <v>22.25</v>
      </c>
      <c r="M74" s="64">
        <v>44.5</v>
      </c>
      <c r="N74" s="64">
        <v>75</v>
      </c>
      <c r="O74" s="64">
        <v>0</v>
      </c>
      <c r="P74" s="64">
        <v>0.86</v>
      </c>
      <c r="Q74" s="64">
        <v>5.5</v>
      </c>
      <c r="R74" s="198"/>
      <c r="S74" s="198"/>
      <c r="T74" s="198"/>
      <c r="U74" s="198"/>
    </row>
    <row r="75" spans="1:21" s="12" customFormat="1" x14ac:dyDescent="0.25">
      <c r="A75" s="214" t="s">
        <v>2522</v>
      </c>
      <c r="B75" s="64">
        <v>2.65</v>
      </c>
      <c r="C75" s="64">
        <v>72.040000000000006</v>
      </c>
      <c r="D75" s="64">
        <v>42.53</v>
      </c>
      <c r="E75" s="64">
        <v>0.86</v>
      </c>
      <c r="F75" s="64">
        <v>12.86</v>
      </c>
      <c r="G75" s="64">
        <v>78.98</v>
      </c>
      <c r="H75" s="64">
        <v>48.53</v>
      </c>
      <c r="I75" s="64">
        <v>1.52</v>
      </c>
      <c r="J75" s="64">
        <v>0.11</v>
      </c>
      <c r="K75" s="64">
        <v>80.47</v>
      </c>
      <c r="L75" s="64">
        <v>21.86</v>
      </c>
      <c r="M75" s="64">
        <v>45.14</v>
      </c>
      <c r="N75" s="64">
        <v>64.099999999999994</v>
      </c>
      <c r="O75" s="64">
        <v>0</v>
      </c>
      <c r="P75" s="64">
        <v>0.84</v>
      </c>
      <c r="Q75" s="64">
        <v>5.73</v>
      </c>
      <c r="R75" s="198"/>
      <c r="S75" s="198"/>
      <c r="T75" s="198"/>
      <c r="U75" s="198"/>
    </row>
    <row r="76" spans="1:21" s="12" customFormat="1" x14ac:dyDescent="0.25">
      <c r="A76" s="214" t="s">
        <v>2523</v>
      </c>
      <c r="B76" s="64">
        <v>3.06</v>
      </c>
      <c r="C76" s="64">
        <v>73.45</v>
      </c>
      <c r="D76" s="64">
        <v>43.63</v>
      </c>
      <c r="E76" s="64">
        <v>1.0900000000000001</v>
      </c>
      <c r="F76" s="64">
        <v>7.12</v>
      </c>
      <c r="G76" s="64">
        <v>86.87</v>
      </c>
      <c r="H76" s="64">
        <v>48.13</v>
      </c>
      <c r="I76" s="64">
        <v>1.47</v>
      </c>
      <c r="J76" s="64">
        <v>0.1</v>
      </c>
      <c r="K76" s="64">
        <v>353.37</v>
      </c>
      <c r="L76" s="64">
        <v>21.25</v>
      </c>
      <c r="M76" s="64">
        <v>55.06</v>
      </c>
      <c r="N76" s="64">
        <v>53.7</v>
      </c>
      <c r="O76" s="64">
        <v>0</v>
      </c>
      <c r="P76" s="64">
        <v>1.1499999999999999</v>
      </c>
      <c r="Q76" s="64">
        <v>4.3499999999999996</v>
      </c>
      <c r="R76" s="198"/>
      <c r="S76" s="198"/>
      <c r="T76" s="198"/>
      <c r="U76" s="198"/>
    </row>
    <row r="77" spans="1:21" s="12" customFormat="1" x14ac:dyDescent="0.25">
      <c r="A77" s="214" t="s">
        <v>2524</v>
      </c>
      <c r="B77" s="64">
        <v>4.5199999999999996</v>
      </c>
      <c r="C77" s="64">
        <v>77.31</v>
      </c>
      <c r="D77" s="64">
        <v>46.94</v>
      </c>
      <c r="E77" s="64">
        <v>0.9</v>
      </c>
      <c r="F77" s="64">
        <v>4.3499999999999996</v>
      </c>
      <c r="G77" s="64">
        <v>86.87</v>
      </c>
      <c r="H77" s="64">
        <v>48.13</v>
      </c>
      <c r="I77" s="64">
        <v>1.49</v>
      </c>
      <c r="J77" s="64">
        <v>0.06</v>
      </c>
      <c r="K77" s="64">
        <v>232.59</v>
      </c>
      <c r="L77" s="64">
        <v>20.32</v>
      </c>
      <c r="M77" s="64">
        <v>54.63</v>
      </c>
      <c r="N77" s="64">
        <v>44.9</v>
      </c>
      <c r="O77" s="64">
        <v>0</v>
      </c>
      <c r="P77" s="64">
        <v>1.1100000000000001</v>
      </c>
      <c r="Q77" s="64">
        <v>3.22</v>
      </c>
      <c r="R77" s="198"/>
      <c r="S77" s="198"/>
      <c r="T77" s="198"/>
      <c r="U77" s="198"/>
    </row>
    <row r="78" spans="1:21" s="12" customFormat="1" x14ac:dyDescent="0.25">
      <c r="A78" s="214" t="s">
        <v>2525</v>
      </c>
      <c r="B78" s="64">
        <v>4.95</v>
      </c>
      <c r="C78" s="64">
        <v>80.77</v>
      </c>
      <c r="D78" s="64">
        <v>49.19</v>
      </c>
      <c r="E78" s="64">
        <v>0.88</v>
      </c>
      <c r="F78" s="64">
        <v>5.54</v>
      </c>
      <c r="G78" s="64">
        <v>86.87</v>
      </c>
      <c r="H78" s="64">
        <v>48.13</v>
      </c>
      <c r="I78" s="64">
        <v>1.49</v>
      </c>
      <c r="J78" s="64">
        <v>0.06</v>
      </c>
      <c r="K78" s="64">
        <v>112.5</v>
      </c>
      <c r="L78" s="64">
        <v>19.38</v>
      </c>
      <c r="M78" s="64">
        <v>61.82</v>
      </c>
      <c r="N78" s="64">
        <v>40.299999999999997</v>
      </c>
      <c r="O78" s="64">
        <v>0</v>
      </c>
      <c r="P78" s="64">
        <v>1.02</v>
      </c>
      <c r="Q78" s="64">
        <v>4.6100000000000003</v>
      </c>
      <c r="R78" s="198"/>
      <c r="S78" s="198"/>
      <c r="T78" s="198"/>
      <c r="U78" s="198"/>
    </row>
    <row r="79" spans="1:21" s="12" customFormat="1" x14ac:dyDescent="0.25">
      <c r="A79" s="214" t="s">
        <v>2526</v>
      </c>
      <c r="B79" s="64">
        <v>5.48</v>
      </c>
      <c r="C79" s="64">
        <v>83.65</v>
      </c>
      <c r="D79" s="64">
        <v>51.21</v>
      </c>
      <c r="E79" s="64">
        <v>0.79</v>
      </c>
      <c r="F79" s="64">
        <v>3.66</v>
      </c>
      <c r="G79" s="64">
        <v>95.89</v>
      </c>
      <c r="H79" s="64">
        <v>49.48</v>
      </c>
      <c r="I79" s="64">
        <v>1.54</v>
      </c>
      <c r="J79" s="64">
        <v>0.09</v>
      </c>
      <c r="K79" s="64">
        <v>296.88</v>
      </c>
      <c r="L79" s="64">
        <v>18.64</v>
      </c>
      <c r="M79" s="64">
        <v>75.97</v>
      </c>
      <c r="N79" s="64">
        <v>38.9</v>
      </c>
      <c r="O79" s="64">
        <v>0</v>
      </c>
      <c r="P79" s="64">
        <v>0.99</v>
      </c>
      <c r="Q79" s="64">
        <v>4.4000000000000004</v>
      </c>
      <c r="R79" s="198"/>
      <c r="S79" s="198"/>
      <c r="T79" s="198"/>
      <c r="U79" s="198"/>
    </row>
    <row r="80" spans="1:21" s="12" customFormat="1" x14ac:dyDescent="0.25">
      <c r="A80" s="214" t="s">
        <v>2527</v>
      </c>
      <c r="B80" s="64">
        <v>8.0299999999999994</v>
      </c>
      <c r="C80" s="64">
        <v>86.23</v>
      </c>
      <c r="D80" s="64">
        <v>54.67</v>
      </c>
      <c r="E80" s="64">
        <v>0.9</v>
      </c>
      <c r="F80" s="64">
        <v>3.42</v>
      </c>
      <c r="G80" s="64">
        <v>129.62</v>
      </c>
      <c r="H80" s="64">
        <v>53.15</v>
      </c>
      <c r="I80" s="64">
        <v>1.51</v>
      </c>
      <c r="J80" s="64">
        <v>0.06</v>
      </c>
      <c r="K80" s="64">
        <v>6.37</v>
      </c>
      <c r="L80" s="64">
        <v>18.29</v>
      </c>
      <c r="M80" s="64">
        <v>77.48</v>
      </c>
      <c r="N80" s="64">
        <v>38.799999999999997</v>
      </c>
      <c r="O80" s="64">
        <v>0</v>
      </c>
      <c r="P80" s="64">
        <v>1.1499999999999999</v>
      </c>
      <c r="Q80" s="64">
        <v>2.5</v>
      </c>
      <c r="R80" s="198"/>
      <c r="S80" s="198"/>
      <c r="T80" s="198"/>
      <c r="U80" s="198"/>
    </row>
    <row r="81" spans="1:26" s="12" customFormat="1" x14ac:dyDescent="0.25">
      <c r="A81" s="214" t="s">
        <v>2528</v>
      </c>
      <c r="B81" s="64">
        <v>11.82</v>
      </c>
      <c r="C81" s="64">
        <v>89.11</v>
      </c>
      <c r="D81" s="64">
        <v>59.3</v>
      </c>
      <c r="E81" s="64">
        <v>1</v>
      </c>
      <c r="F81" s="64">
        <v>3.35</v>
      </c>
      <c r="G81" s="64">
        <v>129.62</v>
      </c>
      <c r="H81" s="64">
        <v>53.15</v>
      </c>
      <c r="I81" s="64">
        <v>1.55</v>
      </c>
      <c r="J81" s="64">
        <v>0.09</v>
      </c>
      <c r="K81" s="64">
        <v>347.81</v>
      </c>
      <c r="L81" s="64">
        <v>17.87</v>
      </c>
      <c r="M81" s="64">
        <v>82.12</v>
      </c>
      <c r="N81" s="64">
        <v>38.799999999999997</v>
      </c>
      <c r="O81" s="64">
        <v>0</v>
      </c>
      <c r="P81" s="64">
        <v>1.7</v>
      </c>
      <c r="Q81" s="64">
        <v>1.51</v>
      </c>
      <c r="R81" s="198"/>
      <c r="S81" s="198"/>
      <c r="T81" s="198"/>
      <c r="U81" s="198"/>
    </row>
    <row r="82" spans="1:26" s="12" customFormat="1" x14ac:dyDescent="0.25">
      <c r="A82" s="214" t="s">
        <v>2529</v>
      </c>
      <c r="B82" s="64">
        <v>16.73</v>
      </c>
      <c r="C82" s="64">
        <v>90.54</v>
      </c>
      <c r="D82" s="64">
        <v>64.03</v>
      </c>
      <c r="E82" s="64">
        <v>1.17</v>
      </c>
      <c r="F82" s="64">
        <v>3.29</v>
      </c>
      <c r="G82" s="64">
        <v>129.62</v>
      </c>
      <c r="H82" s="64">
        <v>53.15</v>
      </c>
      <c r="I82" s="64">
        <v>1.52</v>
      </c>
      <c r="J82" s="64">
        <v>0.1</v>
      </c>
      <c r="K82" s="64">
        <v>301.89999999999998</v>
      </c>
      <c r="L82" s="64">
        <v>17.64</v>
      </c>
      <c r="M82" s="64">
        <v>85.12</v>
      </c>
      <c r="N82" s="64">
        <v>38.700000000000003</v>
      </c>
      <c r="O82" s="64">
        <v>0</v>
      </c>
      <c r="P82" s="64">
        <v>1.91</v>
      </c>
      <c r="Q82" s="64">
        <v>0.05</v>
      </c>
      <c r="R82" s="198"/>
      <c r="S82" s="198"/>
      <c r="T82" s="198"/>
      <c r="U82" s="198"/>
    </row>
    <row r="83" spans="1:26" s="12" customFormat="1" x14ac:dyDescent="0.25">
      <c r="A83" s="214" t="s">
        <v>2530</v>
      </c>
      <c r="B83" s="64">
        <v>23.63</v>
      </c>
      <c r="C83" s="64">
        <v>91.97</v>
      </c>
      <c r="D83" s="64">
        <v>70.349999999999994</v>
      </c>
      <c r="E83" s="64">
        <v>1.28</v>
      </c>
      <c r="F83" s="64">
        <v>3.78</v>
      </c>
      <c r="G83" s="64">
        <v>147.05000000000001</v>
      </c>
      <c r="H83" s="64">
        <v>56.54</v>
      </c>
      <c r="I83" s="64">
        <v>1.52</v>
      </c>
      <c r="J83" s="64">
        <v>0.08</v>
      </c>
      <c r="K83" s="64">
        <v>326.89</v>
      </c>
      <c r="L83" s="64">
        <v>17.260000000000002</v>
      </c>
      <c r="M83" s="64">
        <v>83.4</v>
      </c>
      <c r="N83" s="64">
        <v>38.9</v>
      </c>
      <c r="O83" s="64">
        <v>0</v>
      </c>
      <c r="P83" s="64">
        <v>2.14</v>
      </c>
      <c r="Q83" s="64">
        <v>0.1</v>
      </c>
      <c r="R83" s="198"/>
      <c r="S83" s="198"/>
      <c r="T83" s="198"/>
      <c r="U83" s="198"/>
    </row>
    <row r="84" spans="1:26" s="12" customFormat="1" x14ac:dyDescent="0.25">
      <c r="A84" s="214" t="s">
        <v>2531</v>
      </c>
      <c r="B84" s="64">
        <v>32.19</v>
      </c>
      <c r="C84" s="64">
        <v>93.27</v>
      </c>
      <c r="D84" s="64">
        <v>77.94</v>
      </c>
      <c r="E84" s="64">
        <v>1.43</v>
      </c>
      <c r="F84" s="64">
        <v>3.75</v>
      </c>
      <c r="G84" s="64">
        <v>212.22</v>
      </c>
      <c r="H84" s="64">
        <v>65.77</v>
      </c>
      <c r="I84" s="64">
        <v>1.61</v>
      </c>
      <c r="J84" s="64">
        <v>0.05</v>
      </c>
      <c r="K84" s="64">
        <v>28.79</v>
      </c>
      <c r="L84" s="64">
        <v>16.72</v>
      </c>
      <c r="M84" s="64">
        <v>78.900000000000006</v>
      </c>
      <c r="N84" s="64">
        <v>39.1</v>
      </c>
      <c r="O84" s="64">
        <v>0</v>
      </c>
      <c r="P84" s="64">
        <v>2.54</v>
      </c>
      <c r="Q84" s="212" t="s">
        <v>42</v>
      </c>
      <c r="R84" s="198"/>
      <c r="S84" s="198"/>
      <c r="T84" s="198"/>
      <c r="U84" s="198"/>
    </row>
    <row r="85" spans="1:26" s="12" customFormat="1" x14ac:dyDescent="0.25">
      <c r="A85" s="214" t="s">
        <v>2532</v>
      </c>
      <c r="B85" s="64">
        <v>41.08</v>
      </c>
      <c r="C85" s="64">
        <v>94.65</v>
      </c>
      <c r="D85" s="64">
        <v>85.83</v>
      </c>
      <c r="E85" s="64">
        <v>1.38</v>
      </c>
      <c r="F85" s="64">
        <v>3.43</v>
      </c>
      <c r="G85" s="64">
        <v>212.22</v>
      </c>
      <c r="H85" s="64">
        <v>65.77</v>
      </c>
      <c r="I85" s="64">
        <v>1.49</v>
      </c>
      <c r="J85" s="64">
        <v>0.04</v>
      </c>
      <c r="K85" s="64">
        <v>46.05</v>
      </c>
      <c r="L85" s="64">
        <v>16.39</v>
      </c>
      <c r="M85" s="64">
        <v>80.959999999999994</v>
      </c>
      <c r="N85" s="64">
        <v>39</v>
      </c>
      <c r="O85" s="64">
        <v>0</v>
      </c>
      <c r="P85" s="64">
        <v>2.56</v>
      </c>
      <c r="Q85" s="212" t="s">
        <v>42</v>
      </c>
      <c r="R85" s="198"/>
      <c r="S85" s="198"/>
      <c r="T85" s="198"/>
      <c r="U85" s="198"/>
    </row>
    <row r="86" spans="1:26" s="12" customFormat="1" x14ac:dyDescent="0.25">
      <c r="A86" s="214" t="s">
        <v>2533</v>
      </c>
      <c r="B86" s="64">
        <v>51.79</v>
      </c>
      <c r="C86" s="64">
        <v>95.97</v>
      </c>
      <c r="D86" s="64">
        <v>95.14</v>
      </c>
      <c r="E86" s="64">
        <v>1.43</v>
      </c>
      <c r="F86" s="64">
        <v>3.91</v>
      </c>
      <c r="G86" s="64">
        <v>212.22</v>
      </c>
      <c r="H86" s="64">
        <v>65.77</v>
      </c>
      <c r="I86" s="64">
        <v>1.51</v>
      </c>
      <c r="J86" s="64">
        <v>0.1</v>
      </c>
      <c r="K86" s="64">
        <v>294.32</v>
      </c>
      <c r="L86" s="64">
        <v>16.25</v>
      </c>
      <c r="M86" s="64">
        <v>84.08</v>
      </c>
      <c r="N86" s="64">
        <v>38.9</v>
      </c>
      <c r="O86" s="64">
        <v>0</v>
      </c>
      <c r="P86" s="64">
        <v>3.54</v>
      </c>
      <c r="Q86" s="212" t="s">
        <v>42</v>
      </c>
      <c r="R86" s="198"/>
      <c r="S86" s="198"/>
      <c r="T86" s="198"/>
      <c r="U86" s="198"/>
    </row>
    <row r="87" spans="1:26" s="12" customFormat="1" x14ac:dyDescent="0.25">
      <c r="A87" s="214" t="s">
        <v>2534</v>
      </c>
      <c r="B87" s="64">
        <v>66.92</v>
      </c>
      <c r="C87" s="64">
        <v>97.89</v>
      </c>
      <c r="D87" s="64">
        <v>108.33</v>
      </c>
      <c r="E87" s="64">
        <v>1.48</v>
      </c>
      <c r="F87" s="64">
        <v>3.61</v>
      </c>
      <c r="G87" s="64">
        <v>219.55</v>
      </c>
      <c r="H87" s="64">
        <v>70.87</v>
      </c>
      <c r="I87" s="64">
        <v>1.53</v>
      </c>
      <c r="J87" s="64">
        <v>0.06</v>
      </c>
      <c r="K87" s="64">
        <v>291.64999999999998</v>
      </c>
      <c r="L87" s="64">
        <v>15.95</v>
      </c>
      <c r="M87" s="64">
        <v>86.21</v>
      </c>
      <c r="N87" s="64">
        <v>39.200000000000003</v>
      </c>
      <c r="O87" s="64">
        <v>0</v>
      </c>
      <c r="P87" s="64">
        <v>3.88</v>
      </c>
      <c r="Q87" s="212" t="s">
        <v>42</v>
      </c>
      <c r="R87" s="198"/>
      <c r="S87" s="198"/>
      <c r="T87" s="198"/>
      <c r="U87" s="198"/>
    </row>
    <row r="88" spans="1:26" s="12" customFormat="1" x14ac:dyDescent="0.25">
      <c r="A88" s="214" t="s">
        <v>2535</v>
      </c>
      <c r="B88" s="64">
        <v>80.430000000000007</v>
      </c>
      <c r="C88" s="64">
        <v>99.15</v>
      </c>
      <c r="D88" s="64">
        <v>119.86</v>
      </c>
      <c r="E88" s="64">
        <v>0.92</v>
      </c>
      <c r="F88" s="64">
        <v>3.84</v>
      </c>
      <c r="G88" s="64">
        <v>246.95</v>
      </c>
      <c r="H88" s="64">
        <v>84.76</v>
      </c>
      <c r="I88" s="64">
        <v>1.48</v>
      </c>
      <c r="J88" s="64">
        <v>0.08</v>
      </c>
      <c r="K88" s="64">
        <v>270.37</v>
      </c>
      <c r="L88" s="64">
        <v>15.73</v>
      </c>
      <c r="M88" s="64">
        <v>88.04</v>
      </c>
      <c r="N88" s="64">
        <v>39</v>
      </c>
      <c r="O88" s="64">
        <v>0</v>
      </c>
      <c r="P88" s="64">
        <v>3.5</v>
      </c>
      <c r="Q88" s="212" t="s">
        <v>42</v>
      </c>
      <c r="R88" s="198"/>
      <c r="S88" s="198"/>
      <c r="T88" s="198"/>
      <c r="U88" s="198"/>
    </row>
    <row r="89" spans="1:26" s="12" customFormat="1" x14ac:dyDescent="0.25">
      <c r="A89" s="214" t="s">
        <v>2536</v>
      </c>
      <c r="B89" s="64">
        <v>94.25</v>
      </c>
      <c r="C89" s="64">
        <v>100.21</v>
      </c>
      <c r="D89" s="64">
        <v>131.53</v>
      </c>
      <c r="E89" s="64">
        <v>1.48</v>
      </c>
      <c r="F89" s="64">
        <v>4.5999999999999996</v>
      </c>
      <c r="G89" s="64">
        <v>246.95</v>
      </c>
      <c r="H89" s="64">
        <v>84.76</v>
      </c>
      <c r="I89" s="64">
        <v>1.46</v>
      </c>
      <c r="J89" s="64">
        <v>0.15</v>
      </c>
      <c r="K89" s="64">
        <v>327.10000000000002</v>
      </c>
      <c r="L89" s="64">
        <v>15.61</v>
      </c>
      <c r="M89" s="64">
        <v>90.78</v>
      </c>
      <c r="N89" s="64">
        <v>39</v>
      </c>
      <c r="O89" s="64">
        <v>0</v>
      </c>
      <c r="P89" s="64">
        <v>4.5199999999999996</v>
      </c>
      <c r="Q89" s="212" t="s">
        <v>42</v>
      </c>
      <c r="R89" s="198"/>
      <c r="S89" s="198"/>
      <c r="T89" s="198"/>
      <c r="U89" s="198"/>
    </row>
    <row r="90" spans="1:26" s="12" customFormat="1" x14ac:dyDescent="0.25">
      <c r="A90" s="214" t="s">
        <v>2537</v>
      </c>
      <c r="B90" s="64">
        <v>109.35</v>
      </c>
      <c r="C90" s="64">
        <v>101.01</v>
      </c>
      <c r="D90" s="64">
        <v>144.08000000000001</v>
      </c>
      <c r="E90" s="64">
        <v>1.67</v>
      </c>
      <c r="F90" s="64">
        <v>4.55</v>
      </c>
      <c r="G90" s="64">
        <v>246.95</v>
      </c>
      <c r="H90" s="64">
        <v>84.76</v>
      </c>
      <c r="I90" s="64">
        <v>1.5</v>
      </c>
      <c r="J90" s="64">
        <v>7.0000000000000007E-2</v>
      </c>
      <c r="K90" s="64">
        <v>304.25</v>
      </c>
      <c r="L90" s="64">
        <v>15.39</v>
      </c>
      <c r="M90" s="64">
        <v>91.75</v>
      </c>
      <c r="N90" s="64">
        <v>39.299999999999997</v>
      </c>
      <c r="O90" s="64">
        <v>0</v>
      </c>
      <c r="P90" s="64">
        <v>5.24</v>
      </c>
      <c r="Q90" s="212" t="s">
        <v>42</v>
      </c>
      <c r="R90" s="198"/>
      <c r="S90" s="198"/>
      <c r="T90" s="198"/>
      <c r="U90" s="198"/>
    </row>
    <row r="91" spans="1:26" s="12" customFormat="1" x14ac:dyDescent="0.25">
      <c r="A91" s="214" t="s">
        <v>2538</v>
      </c>
      <c r="B91" s="64">
        <v>122.75</v>
      </c>
      <c r="C91" s="64">
        <v>101.24</v>
      </c>
      <c r="D91" s="64">
        <v>154.94999999999999</v>
      </c>
      <c r="E91" s="64">
        <v>1.63</v>
      </c>
      <c r="F91" s="64">
        <v>4.12</v>
      </c>
      <c r="G91" s="64">
        <v>246.95</v>
      </c>
      <c r="H91" s="64">
        <v>88.07</v>
      </c>
      <c r="I91" s="64">
        <v>1.47</v>
      </c>
      <c r="J91" s="64">
        <v>0.09</v>
      </c>
      <c r="K91" s="64">
        <v>302.60000000000002</v>
      </c>
      <c r="L91" s="64">
        <v>15.25</v>
      </c>
      <c r="M91" s="64">
        <v>92.54</v>
      </c>
      <c r="N91" s="64">
        <v>39.200000000000003</v>
      </c>
      <c r="O91" s="64">
        <v>0</v>
      </c>
      <c r="P91" s="64">
        <v>5.36</v>
      </c>
      <c r="Q91" s="212" t="s">
        <v>42</v>
      </c>
      <c r="R91" s="198"/>
      <c r="S91" s="198"/>
      <c r="T91" s="198"/>
      <c r="U91" s="198"/>
    </row>
    <row r="92" spans="1:26" s="12" customFormat="1" x14ac:dyDescent="0.25">
      <c r="A92" s="214" t="s">
        <v>2539</v>
      </c>
      <c r="B92" s="64">
        <v>135.86000000000001</v>
      </c>
      <c r="C92" s="64">
        <v>101.6</v>
      </c>
      <c r="D92" s="64">
        <v>165.67</v>
      </c>
      <c r="E92" s="64">
        <v>1.7</v>
      </c>
      <c r="F92" s="64">
        <v>4.21</v>
      </c>
      <c r="G92" s="64">
        <v>312.81</v>
      </c>
      <c r="H92" s="64">
        <v>102.82</v>
      </c>
      <c r="I92" s="64">
        <v>1.51</v>
      </c>
      <c r="J92" s="64">
        <v>0.04</v>
      </c>
      <c r="K92" s="64">
        <v>276.72000000000003</v>
      </c>
      <c r="L92" s="64">
        <v>15.06</v>
      </c>
      <c r="M92" s="64">
        <v>93.92</v>
      </c>
      <c r="N92" s="64">
        <v>39.5</v>
      </c>
      <c r="O92" s="64">
        <v>0</v>
      </c>
      <c r="P92" s="64">
        <v>5</v>
      </c>
      <c r="Q92" s="212" t="s">
        <v>42</v>
      </c>
      <c r="R92" s="198"/>
      <c r="S92" s="198"/>
      <c r="T92" s="198"/>
      <c r="U92" s="198"/>
    </row>
    <row r="93" spans="1:26" s="12" customFormat="1" x14ac:dyDescent="0.25">
      <c r="A93" s="214" t="s">
        <v>2540</v>
      </c>
      <c r="B93" s="64">
        <v>153.56</v>
      </c>
      <c r="C93" s="64">
        <v>102.31</v>
      </c>
      <c r="D93" s="64">
        <v>180.25</v>
      </c>
      <c r="E93" s="64">
        <v>1.75</v>
      </c>
      <c r="F93" s="64">
        <v>4</v>
      </c>
      <c r="G93" s="64">
        <v>312.81</v>
      </c>
      <c r="H93" s="64">
        <v>102.82</v>
      </c>
      <c r="I93" s="64">
        <v>1.57</v>
      </c>
      <c r="J93" s="64">
        <v>0.08</v>
      </c>
      <c r="K93" s="64">
        <v>294.04000000000002</v>
      </c>
      <c r="L93" s="64">
        <v>14.94</v>
      </c>
      <c r="M93" s="64">
        <v>94.79</v>
      </c>
      <c r="N93" s="64">
        <v>39.4</v>
      </c>
      <c r="O93" s="64">
        <v>0</v>
      </c>
      <c r="P93" s="64">
        <v>5.2</v>
      </c>
      <c r="Q93" s="212" t="s">
        <v>42</v>
      </c>
      <c r="R93" s="198"/>
      <c r="S93" s="198"/>
      <c r="T93" s="198"/>
      <c r="U93" s="198"/>
    </row>
    <row r="94" spans="1:26" s="12" customFormat="1" x14ac:dyDescent="0.25">
      <c r="A94" s="214" t="s">
        <v>2541</v>
      </c>
      <c r="B94" s="64">
        <v>169.45</v>
      </c>
      <c r="C94" s="64">
        <v>103.24</v>
      </c>
      <c r="D94" s="64">
        <v>193.5</v>
      </c>
      <c r="E94" s="64">
        <v>1.65</v>
      </c>
      <c r="F94" s="64">
        <v>4.05</v>
      </c>
      <c r="G94" s="64">
        <v>312.81</v>
      </c>
      <c r="H94" s="64">
        <v>102.82</v>
      </c>
      <c r="I94" s="64">
        <v>1.5</v>
      </c>
      <c r="J94" s="64">
        <v>0.04</v>
      </c>
      <c r="K94" s="64">
        <v>300.06</v>
      </c>
      <c r="L94" s="64">
        <v>14.75</v>
      </c>
      <c r="M94" s="64">
        <v>96.53</v>
      </c>
      <c r="N94" s="64">
        <v>39.5</v>
      </c>
      <c r="O94" s="64">
        <v>0</v>
      </c>
      <c r="P94" s="64">
        <v>4.8600000000000003</v>
      </c>
      <c r="Q94" s="212" t="s">
        <v>42</v>
      </c>
      <c r="R94" s="198"/>
      <c r="S94" s="198"/>
      <c r="T94" s="198"/>
      <c r="U94" s="198"/>
    </row>
    <row r="95" spans="1:26" s="12" customFormat="1" x14ac:dyDescent="0.25">
      <c r="A95" s="214" t="s">
        <v>2542</v>
      </c>
      <c r="B95" s="64">
        <v>185.53</v>
      </c>
      <c r="C95" s="64">
        <v>102.58</v>
      </c>
      <c r="D95" s="64">
        <v>206.04</v>
      </c>
      <c r="E95" s="64">
        <v>1.53</v>
      </c>
      <c r="F95" s="64">
        <v>3.91</v>
      </c>
      <c r="G95" s="64">
        <v>314.67</v>
      </c>
      <c r="H95" s="64">
        <v>107.64</v>
      </c>
      <c r="I95" s="64">
        <v>1.56</v>
      </c>
      <c r="J95" s="64">
        <v>0.09</v>
      </c>
      <c r="K95" s="64">
        <v>298.05</v>
      </c>
      <c r="L95" s="64">
        <v>14.63</v>
      </c>
      <c r="M95" s="64">
        <v>97.66</v>
      </c>
      <c r="N95" s="64">
        <v>39.6</v>
      </c>
      <c r="O95" s="64">
        <v>0</v>
      </c>
      <c r="P95" s="64">
        <v>4.3099999999999996</v>
      </c>
      <c r="Q95" s="64">
        <v>1.69</v>
      </c>
      <c r="R95" s="198"/>
      <c r="S95" s="198"/>
      <c r="T95" s="198"/>
      <c r="U95" s="198"/>
    </row>
    <row r="96" spans="1:26" s="12" customFormat="1" x14ac:dyDescent="0.25">
      <c r="A96" s="214" t="s">
        <v>2543</v>
      </c>
      <c r="B96" s="64">
        <v>200.62</v>
      </c>
      <c r="C96" s="64">
        <v>104.76</v>
      </c>
      <c r="D96" s="64">
        <v>219.34</v>
      </c>
      <c r="E96" s="64">
        <v>1.56</v>
      </c>
      <c r="F96" s="64">
        <v>3.93</v>
      </c>
      <c r="G96" s="64">
        <v>321.61</v>
      </c>
      <c r="H96" s="64">
        <v>120.76</v>
      </c>
      <c r="I96" s="64">
        <v>1.49</v>
      </c>
      <c r="J96" s="64">
        <v>0.09</v>
      </c>
      <c r="K96" s="64">
        <v>271.13</v>
      </c>
      <c r="L96" s="64">
        <v>14.68</v>
      </c>
      <c r="M96" s="64">
        <v>98.18</v>
      </c>
      <c r="N96" s="64">
        <v>39.700000000000003</v>
      </c>
      <c r="O96" s="64">
        <v>0</v>
      </c>
      <c r="P96" s="64">
        <v>4.71</v>
      </c>
      <c r="Q96" s="64">
        <v>2.02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2544</v>
      </c>
      <c r="B97" s="64">
        <v>214.37</v>
      </c>
      <c r="C97" s="64">
        <v>105.94</v>
      </c>
      <c r="D97" s="64">
        <v>231.02</v>
      </c>
      <c r="E97" s="64">
        <v>1.58</v>
      </c>
      <c r="F97" s="64">
        <v>3.98</v>
      </c>
      <c r="G97" s="64">
        <v>321.61</v>
      </c>
      <c r="H97" s="64">
        <v>120.76</v>
      </c>
      <c r="I97" s="64">
        <v>1.59</v>
      </c>
      <c r="J97" s="64">
        <v>0.09</v>
      </c>
      <c r="K97" s="64">
        <v>331.11</v>
      </c>
      <c r="L97" s="64">
        <v>14.54</v>
      </c>
      <c r="M97" s="64">
        <v>98.2</v>
      </c>
      <c r="N97" s="64">
        <v>39.799999999999997</v>
      </c>
      <c r="O97" s="64">
        <v>0</v>
      </c>
      <c r="P97" s="64">
        <v>5.04</v>
      </c>
      <c r="Q97" s="64">
        <v>1.49</v>
      </c>
      <c r="R97" s="198"/>
      <c r="S97" s="198"/>
      <c r="T97" s="198"/>
      <c r="U97" s="198"/>
    </row>
    <row r="98" spans="1:33" s="12" customFormat="1" x14ac:dyDescent="0.25">
      <c r="A98" s="214" t="s">
        <v>2545</v>
      </c>
      <c r="B98" s="64">
        <v>230.1</v>
      </c>
      <c r="C98" s="64">
        <v>105.85</v>
      </c>
      <c r="D98" s="64">
        <v>243.58</v>
      </c>
      <c r="E98" s="64">
        <v>1.67</v>
      </c>
      <c r="F98" s="64">
        <v>4.18</v>
      </c>
      <c r="G98" s="64">
        <v>321.61</v>
      </c>
      <c r="H98" s="64">
        <v>120.76</v>
      </c>
      <c r="I98" s="64">
        <v>1.46</v>
      </c>
      <c r="J98" s="64">
        <v>7.0000000000000007E-2</v>
      </c>
      <c r="K98" s="64">
        <v>282.12</v>
      </c>
      <c r="L98" s="64">
        <v>14.61</v>
      </c>
      <c r="M98" s="64">
        <v>98.2</v>
      </c>
      <c r="N98" s="64">
        <v>40</v>
      </c>
      <c r="O98" s="64">
        <v>0</v>
      </c>
      <c r="P98" s="64">
        <v>6.65</v>
      </c>
      <c r="Q98" s="64">
        <v>1.1499999999999999</v>
      </c>
      <c r="R98" s="198"/>
      <c r="S98" s="198"/>
      <c r="T98" s="198"/>
      <c r="U98" s="198"/>
    </row>
    <row r="99" spans="1:33" s="12" customFormat="1" x14ac:dyDescent="0.25">
      <c r="A99" s="214" t="s">
        <v>2546</v>
      </c>
      <c r="B99" s="64">
        <v>243.36</v>
      </c>
      <c r="C99" s="64">
        <v>107.7</v>
      </c>
      <c r="D99" s="64">
        <v>255.24</v>
      </c>
      <c r="E99" s="64">
        <v>1.69</v>
      </c>
      <c r="F99" s="64">
        <v>3.74</v>
      </c>
      <c r="G99" s="64">
        <v>321.88</v>
      </c>
      <c r="H99" s="64">
        <v>125</v>
      </c>
      <c r="I99" s="64">
        <v>1.49</v>
      </c>
      <c r="J99" s="64">
        <v>0.04</v>
      </c>
      <c r="K99" s="64">
        <v>234.7</v>
      </c>
      <c r="L99" s="64">
        <v>14.45</v>
      </c>
      <c r="M99" s="64">
        <v>98.2</v>
      </c>
      <c r="N99" s="64">
        <v>40.4</v>
      </c>
      <c r="O99" s="64">
        <v>0</v>
      </c>
      <c r="P99" s="64">
        <v>6.28</v>
      </c>
      <c r="Q99" s="64">
        <v>7.72</v>
      </c>
      <c r="R99" s="198"/>
      <c r="S99" s="198"/>
      <c r="T99" s="198"/>
      <c r="U99" s="198"/>
    </row>
    <row r="100" spans="1:33" s="12" customFormat="1" x14ac:dyDescent="0.25">
      <c r="A100" s="214" t="s">
        <v>2547</v>
      </c>
      <c r="B100" s="64">
        <v>253.44</v>
      </c>
      <c r="C100" s="64">
        <v>107.7</v>
      </c>
      <c r="D100" s="64">
        <v>263.32</v>
      </c>
      <c r="E100" s="64">
        <v>1.54</v>
      </c>
      <c r="F100" s="64">
        <v>4.1100000000000003</v>
      </c>
      <c r="G100" s="64">
        <v>322.89</v>
      </c>
      <c r="H100" s="64">
        <v>138.21</v>
      </c>
      <c r="I100" s="64">
        <v>1.46</v>
      </c>
      <c r="J100" s="64">
        <v>7.0000000000000007E-2</v>
      </c>
      <c r="K100" s="64">
        <v>274.64</v>
      </c>
      <c r="L100" s="64">
        <v>14.34</v>
      </c>
      <c r="M100" s="64">
        <v>98.21</v>
      </c>
      <c r="N100" s="64">
        <v>40.5</v>
      </c>
      <c r="O100" s="64">
        <v>0</v>
      </c>
      <c r="P100" s="64">
        <v>6.28</v>
      </c>
      <c r="Q100" s="64">
        <v>12.91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2548</v>
      </c>
      <c r="B101" s="64">
        <v>260.69</v>
      </c>
      <c r="C101" s="64">
        <v>106.94</v>
      </c>
      <c r="D101" s="64">
        <v>268.72000000000003</v>
      </c>
      <c r="E101" s="64">
        <v>1.58</v>
      </c>
      <c r="F101" s="64">
        <v>4.1399999999999997</v>
      </c>
      <c r="G101" s="64">
        <v>322.89</v>
      </c>
      <c r="H101" s="64">
        <v>138.21</v>
      </c>
      <c r="I101" s="64">
        <v>1.51</v>
      </c>
      <c r="J101" s="64">
        <v>0.11</v>
      </c>
      <c r="K101" s="64">
        <v>295.54000000000002</v>
      </c>
      <c r="L101" s="64">
        <v>14.24</v>
      </c>
      <c r="M101" s="64">
        <v>98.22</v>
      </c>
      <c r="N101" s="64">
        <v>40.9</v>
      </c>
      <c r="O101" s="64">
        <v>0</v>
      </c>
      <c r="P101" s="64">
        <v>6.89</v>
      </c>
      <c r="Q101" s="64">
        <v>16.14</v>
      </c>
      <c r="R101" s="198"/>
      <c r="S101" s="198"/>
      <c r="T101" s="198"/>
      <c r="U101" s="198"/>
    </row>
    <row r="102" spans="1:33" s="12" customFormat="1" x14ac:dyDescent="0.25">
      <c r="A102" s="214" t="s">
        <v>2549</v>
      </c>
      <c r="B102" s="64">
        <v>268.39999999999998</v>
      </c>
      <c r="C102" s="64">
        <v>105.67</v>
      </c>
      <c r="D102" s="64">
        <v>274.2</v>
      </c>
      <c r="E102" s="64">
        <v>1.67</v>
      </c>
      <c r="F102" s="64">
        <v>3.4</v>
      </c>
      <c r="G102" s="64">
        <v>322.89</v>
      </c>
      <c r="H102" s="64">
        <v>138.21</v>
      </c>
      <c r="I102" s="64">
        <v>1.52</v>
      </c>
      <c r="J102" s="64">
        <v>0.13</v>
      </c>
      <c r="K102" s="64">
        <v>316.11</v>
      </c>
      <c r="L102" s="64">
        <v>14.11</v>
      </c>
      <c r="M102" s="64">
        <v>98.23</v>
      </c>
      <c r="N102" s="64">
        <v>41.2</v>
      </c>
      <c r="O102" s="64">
        <v>0</v>
      </c>
      <c r="P102" s="64">
        <v>7.23</v>
      </c>
      <c r="Q102" s="64">
        <v>17.2</v>
      </c>
      <c r="R102" s="198"/>
      <c r="S102" s="198"/>
      <c r="T102" s="198"/>
      <c r="U102" s="198"/>
    </row>
    <row r="103" spans="1:33" s="12" customFormat="1" x14ac:dyDescent="0.25">
      <c r="A103" s="214" t="s">
        <v>2550</v>
      </c>
      <c r="B103" s="64">
        <v>273.5</v>
      </c>
      <c r="C103" s="64">
        <v>105.38</v>
      </c>
      <c r="D103" s="64">
        <v>278.13</v>
      </c>
      <c r="E103" s="64">
        <v>1.59</v>
      </c>
      <c r="F103" s="64">
        <v>3.28</v>
      </c>
      <c r="G103" s="64">
        <v>314.41000000000003</v>
      </c>
      <c r="H103" s="64">
        <v>139.63999999999999</v>
      </c>
      <c r="I103" s="64">
        <v>1.42</v>
      </c>
      <c r="J103" s="64">
        <v>0.09</v>
      </c>
      <c r="K103" s="64">
        <v>256.44</v>
      </c>
      <c r="L103" s="64">
        <v>14.06</v>
      </c>
      <c r="M103" s="64">
        <v>98.23</v>
      </c>
      <c r="N103" s="64">
        <v>41.4</v>
      </c>
      <c r="O103" s="64">
        <v>0</v>
      </c>
      <c r="P103" s="64">
        <v>6.91</v>
      </c>
      <c r="Q103" s="64">
        <v>22.62</v>
      </c>
      <c r="R103" s="198"/>
      <c r="S103" s="198"/>
      <c r="T103" s="198"/>
      <c r="U103" s="198"/>
    </row>
    <row r="104" spans="1:33" s="12" customFormat="1" x14ac:dyDescent="0.25">
      <c r="A104" s="214" t="s">
        <v>2551</v>
      </c>
      <c r="B104" s="64">
        <v>272.11</v>
      </c>
      <c r="C104" s="64">
        <v>103.7</v>
      </c>
      <c r="D104" s="64">
        <v>276.08999999999997</v>
      </c>
      <c r="E104" s="64">
        <v>0.7</v>
      </c>
      <c r="F104" s="64">
        <v>3.56</v>
      </c>
      <c r="G104" s="64">
        <v>280.52999999999997</v>
      </c>
      <c r="H104" s="64">
        <v>143.54</v>
      </c>
      <c r="I104" s="64">
        <v>1.5</v>
      </c>
      <c r="J104" s="64">
        <v>0.1</v>
      </c>
      <c r="K104" s="64">
        <v>313.60000000000002</v>
      </c>
      <c r="L104" s="64">
        <v>14.35</v>
      </c>
      <c r="M104" s="64">
        <v>98.2</v>
      </c>
      <c r="N104" s="64">
        <v>41.6</v>
      </c>
      <c r="O104" s="64">
        <v>0</v>
      </c>
      <c r="P104" s="64">
        <v>6.22</v>
      </c>
      <c r="Q104" s="64">
        <v>30.59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64.989999999999995</v>
      </c>
      <c r="D106" s="67">
        <f t="shared" ref="D106:Q106" si="0">MIN(D9:D104)</f>
        <v>39.71</v>
      </c>
      <c r="E106" s="67">
        <f t="shared" si="0"/>
        <v>0.43</v>
      </c>
      <c r="F106" s="67">
        <f t="shared" si="0"/>
        <v>3.28</v>
      </c>
      <c r="G106" s="67">
        <f t="shared" si="0"/>
        <v>77.010000000000005</v>
      </c>
      <c r="H106" s="67">
        <f t="shared" si="0"/>
        <v>46.67</v>
      </c>
      <c r="I106" s="67">
        <f t="shared" si="0"/>
        <v>1.41</v>
      </c>
      <c r="J106" s="67">
        <f t="shared" si="0"/>
        <v>0.01</v>
      </c>
      <c r="K106" s="67">
        <f t="shared" si="0"/>
        <v>3.55</v>
      </c>
      <c r="L106" s="67">
        <f t="shared" si="0"/>
        <v>11.28</v>
      </c>
      <c r="M106" s="67">
        <f t="shared" si="0"/>
        <v>34.17</v>
      </c>
      <c r="N106" s="67">
        <f t="shared" si="0"/>
        <v>38.700000000000003</v>
      </c>
      <c r="O106" s="67">
        <f t="shared" si="0"/>
        <v>0</v>
      </c>
      <c r="P106" s="67">
        <f t="shared" si="0"/>
        <v>0.61</v>
      </c>
      <c r="Q106" s="67">
        <f t="shared" si="0"/>
        <v>0.05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273.5</v>
      </c>
      <c r="C107" s="66">
        <f t="shared" ref="C107:Q107" si="1">MAX(C9:C104)</f>
        <v>107.7</v>
      </c>
      <c r="D107" s="66">
        <f t="shared" si="1"/>
        <v>278.13</v>
      </c>
      <c r="E107" s="66">
        <f t="shared" si="1"/>
        <v>3.99</v>
      </c>
      <c r="F107" s="66">
        <f t="shared" si="1"/>
        <v>41.29</v>
      </c>
      <c r="G107" s="66">
        <f t="shared" si="1"/>
        <v>322.89</v>
      </c>
      <c r="H107" s="66">
        <f t="shared" si="1"/>
        <v>143.54</v>
      </c>
      <c r="I107" s="66">
        <f t="shared" si="1"/>
        <v>1.61</v>
      </c>
      <c r="J107" s="66">
        <f t="shared" si="1"/>
        <v>1.29</v>
      </c>
      <c r="K107" s="66">
        <f t="shared" si="1"/>
        <v>355.03</v>
      </c>
      <c r="L107" s="66">
        <f t="shared" si="1"/>
        <v>26.92</v>
      </c>
      <c r="M107" s="66">
        <f t="shared" si="1"/>
        <v>98.24</v>
      </c>
      <c r="N107" s="66">
        <f t="shared" si="1"/>
        <v>597.1</v>
      </c>
      <c r="O107" s="66">
        <f t="shared" si="1"/>
        <v>0</v>
      </c>
      <c r="P107" s="66">
        <f t="shared" si="1"/>
        <v>7.23</v>
      </c>
      <c r="Q107" s="66">
        <f t="shared" si="1"/>
        <v>30.59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44.467604166666661</v>
      </c>
      <c r="C108" s="67">
        <f t="shared" ref="C108:Q108" si="2">AVERAGE(C9:C104)</f>
        <v>79.762291666666655</v>
      </c>
      <c r="D108" s="67">
        <f t="shared" si="2"/>
        <v>80.324895833333343</v>
      </c>
      <c r="E108" s="67">
        <f t="shared" si="2"/>
        <v>1.3518750000000006</v>
      </c>
      <c r="F108" s="67">
        <f t="shared" si="2"/>
        <v>10.073437499999995</v>
      </c>
      <c r="G108" s="67">
        <f t="shared" si="2"/>
        <v>154.82760416666665</v>
      </c>
      <c r="H108" s="67">
        <f t="shared" si="2"/>
        <v>76.999375000000015</v>
      </c>
      <c r="I108" s="67">
        <f t="shared" si="2"/>
        <v>1.5023958333333332</v>
      </c>
      <c r="J108" s="67">
        <f t="shared" si="2"/>
        <v>0.2674999999999999</v>
      </c>
      <c r="K108" s="67">
        <f t="shared" si="2"/>
        <v>202.21937500000001</v>
      </c>
      <c r="L108" s="67">
        <f t="shared" si="2"/>
        <v>17.064479166666668</v>
      </c>
      <c r="M108" s="67">
        <f t="shared" si="2"/>
        <v>75.428437499999987</v>
      </c>
      <c r="N108" s="67">
        <f t="shared" si="2"/>
        <v>175.42604166666672</v>
      </c>
      <c r="O108" s="67">
        <f t="shared" si="2"/>
        <v>0</v>
      </c>
      <c r="P108" s="67">
        <f t="shared" si="2"/>
        <v>1.9132291666666665</v>
      </c>
      <c r="Q108" s="67">
        <f t="shared" si="2"/>
        <v>6.3382142857142894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74.980133645973069</v>
      </c>
      <c r="C109" s="67">
        <f t="shared" ref="C109:Q109" si="3">STDEV(C9:C104)</f>
        <v>13.069320078893272</v>
      </c>
      <c r="D109" s="67">
        <f t="shared" si="3"/>
        <v>66.427426089162438</v>
      </c>
      <c r="E109" s="67">
        <f t="shared" si="3"/>
        <v>0.68608624975673593</v>
      </c>
      <c r="F109" s="67">
        <f t="shared" si="3"/>
        <v>9.9748001249596392</v>
      </c>
      <c r="G109" s="67">
        <f t="shared" si="3"/>
        <v>84.128800097104147</v>
      </c>
      <c r="H109" s="67">
        <f t="shared" si="3"/>
        <v>27.530868753857092</v>
      </c>
      <c r="I109" s="67">
        <f t="shared" si="3"/>
        <v>4.3955594618269221E-2</v>
      </c>
      <c r="J109" s="67">
        <f t="shared" si="3"/>
        <v>0.27977058270548838</v>
      </c>
      <c r="K109" s="67">
        <f t="shared" si="3"/>
        <v>110.52785184418209</v>
      </c>
      <c r="L109" s="67">
        <f t="shared" si="3"/>
        <v>4.6386642518797059</v>
      </c>
      <c r="M109" s="67">
        <f t="shared" si="3"/>
        <v>23.043562330970353</v>
      </c>
      <c r="N109" s="67">
        <f t="shared" si="3"/>
        <v>193.90150795797638</v>
      </c>
      <c r="O109" s="67">
        <f t="shared" si="3"/>
        <v>0</v>
      </c>
      <c r="P109" s="67">
        <f t="shared" si="3"/>
        <v>1.8330816703266992</v>
      </c>
      <c r="Q109" s="67">
        <f t="shared" si="3"/>
        <v>4.2524737409399451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2552</v>
      </c>
      <c r="B9" s="64">
        <v>267.57</v>
      </c>
      <c r="C9" s="64">
        <v>102.09</v>
      </c>
      <c r="D9" s="64">
        <v>271.56</v>
      </c>
      <c r="E9" s="64">
        <v>1.07</v>
      </c>
      <c r="F9" s="64">
        <v>3.49</v>
      </c>
      <c r="G9" s="64">
        <v>280.52999999999997</v>
      </c>
      <c r="H9" s="64">
        <v>143.54</v>
      </c>
      <c r="I9" s="64">
        <v>1.46</v>
      </c>
      <c r="J9" s="64">
        <v>0.21</v>
      </c>
      <c r="K9" s="64">
        <v>200.25</v>
      </c>
      <c r="L9" s="64">
        <v>14.12</v>
      </c>
      <c r="M9" s="64">
        <v>98.07</v>
      </c>
      <c r="N9" s="64">
        <v>41.2</v>
      </c>
      <c r="O9" s="64">
        <v>0</v>
      </c>
      <c r="P9" s="64">
        <v>5.94</v>
      </c>
      <c r="Q9" s="64">
        <v>33.409999999999997</v>
      </c>
      <c r="R9" s="198"/>
      <c r="S9" s="198"/>
      <c r="T9" s="198"/>
      <c r="U9" s="198"/>
    </row>
    <row r="10" spans="1:21" s="12" customFormat="1" x14ac:dyDescent="0.25">
      <c r="A10" s="214" t="s">
        <v>2553</v>
      </c>
      <c r="B10" s="64">
        <v>260.35000000000002</v>
      </c>
      <c r="C10" s="64">
        <v>99.49</v>
      </c>
      <c r="D10" s="64">
        <v>264.33999999999997</v>
      </c>
      <c r="E10" s="64">
        <v>1.03</v>
      </c>
      <c r="F10" s="64">
        <v>3.49</v>
      </c>
      <c r="G10" s="64">
        <v>280.52999999999997</v>
      </c>
      <c r="H10" s="64">
        <v>143.54</v>
      </c>
      <c r="I10" s="64">
        <v>1.5</v>
      </c>
      <c r="J10" s="64">
        <v>0.1</v>
      </c>
      <c r="K10" s="64">
        <v>285.64999999999998</v>
      </c>
      <c r="L10" s="64">
        <v>14.13</v>
      </c>
      <c r="M10" s="64">
        <v>97.24</v>
      </c>
      <c r="N10" s="64">
        <v>42</v>
      </c>
      <c r="O10" s="64">
        <v>0</v>
      </c>
      <c r="P10" s="64">
        <v>4.87</v>
      </c>
      <c r="Q10" s="64">
        <v>35.29</v>
      </c>
      <c r="R10" s="198"/>
      <c r="S10" s="198"/>
      <c r="T10" s="198"/>
      <c r="U10" s="198"/>
    </row>
    <row r="11" spans="1:21" s="12" customFormat="1" x14ac:dyDescent="0.25">
      <c r="A11" s="214" t="s">
        <v>2554</v>
      </c>
      <c r="B11" s="64">
        <v>250.52</v>
      </c>
      <c r="C11" s="64">
        <v>97.86</v>
      </c>
      <c r="D11" s="64">
        <v>255.55</v>
      </c>
      <c r="E11" s="64">
        <v>0.76</v>
      </c>
      <c r="F11" s="64">
        <v>3.4</v>
      </c>
      <c r="G11" s="64">
        <v>202.39</v>
      </c>
      <c r="H11" s="64">
        <v>142.22999999999999</v>
      </c>
      <c r="I11" s="64">
        <v>1.45</v>
      </c>
      <c r="J11" s="64">
        <v>0.04</v>
      </c>
      <c r="K11" s="64">
        <v>277.85000000000002</v>
      </c>
      <c r="L11" s="64">
        <v>14.03</v>
      </c>
      <c r="M11" s="64">
        <v>95.82</v>
      </c>
      <c r="N11" s="64">
        <v>41.9</v>
      </c>
      <c r="O11" s="64">
        <v>0</v>
      </c>
      <c r="P11" s="64">
        <v>3.65</v>
      </c>
      <c r="Q11" s="64">
        <v>38.840000000000003</v>
      </c>
      <c r="R11" s="198"/>
      <c r="S11" s="198"/>
      <c r="T11" s="198"/>
      <c r="U11" s="198"/>
    </row>
    <row r="12" spans="1:21" s="12" customFormat="1" x14ac:dyDescent="0.25">
      <c r="A12" s="214" t="s">
        <v>2555</v>
      </c>
      <c r="B12" s="64">
        <v>237.14</v>
      </c>
      <c r="C12" s="64">
        <v>96.33</v>
      </c>
      <c r="D12" s="64">
        <v>243.98</v>
      </c>
      <c r="E12" s="64">
        <v>0.57999999999999996</v>
      </c>
      <c r="F12" s="64">
        <v>3.27</v>
      </c>
      <c r="G12" s="64">
        <v>202.39</v>
      </c>
      <c r="H12" s="64">
        <v>135.84</v>
      </c>
      <c r="I12" s="64">
        <v>1.48</v>
      </c>
      <c r="J12" s="64">
        <v>0.12</v>
      </c>
      <c r="K12" s="64">
        <v>229.27</v>
      </c>
      <c r="L12" s="64">
        <v>13.73</v>
      </c>
      <c r="M12" s="64">
        <v>97.14</v>
      </c>
      <c r="N12" s="64">
        <v>42.7</v>
      </c>
      <c r="O12" s="64">
        <v>0</v>
      </c>
      <c r="P12" s="64">
        <v>2.11</v>
      </c>
      <c r="Q12" s="64">
        <v>47.73</v>
      </c>
      <c r="R12" s="198"/>
      <c r="S12" s="198"/>
      <c r="T12" s="198"/>
      <c r="U12" s="198"/>
    </row>
    <row r="13" spans="1:21" s="12" customFormat="1" x14ac:dyDescent="0.25">
      <c r="A13" s="214" t="s">
        <v>2556</v>
      </c>
      <c r="B13" s="64">
        <v>221.34</v>
      </c>
      <c r="C13" s="64">
        <v>91.25</v>
      </c>
      <c r="D13" s="64">
        <v>228.5</v>
      </c>
      <c r="E13" s="64">
        <v>0.36</v>
      </c>
      <c r="F13" s="64">
        <v>3.1</v>
      </c>
      <c r="G13" s="64">
        <v>202.39</v>
      </c>
      <c r="H13" s="64">
        <v>135.84</v>
      </c>
      <c r="I13" s="64">
        <v>1.59</v>
      </c>
      <c r="J13" s="64">
        <v>0.09</v>
      </c>
      <c r="K13" s="64">
        <v>286.26</v>
      </c>
      <c r="L13" s="64">
        <v>13.51</v>
      </c>
      <c r="M13" s="64">
        <v>98.05</v>
      </c>
      <c r="N13" s="64">
        <v>43.6</v>
      </c>
      <c r="O13" s="64">
        <v>0</v>
      </c>
      <c r="P13" s="64">
        <v>1.56</v>
      </c>
      <c r="Q13" s="64">
        <v>45.43</v>
      </c>
      <c r="R13" s="198"/>
      <c r="S13" s="198"/>
      <c r="T13" s="198"/>
      <c r="U13" s="198"/>
    </row>
    <row r="14" spans="1:21" s="12" customFormat="1" x14ac:dyDescent="0.25">
      <c r="A14" s="214" t="s">
        <v>2557</v>
      </c>
      <c r="B14" s="64">
        <v>206.03</v>
      </c>
      <c r="C14" s="64">
        <v>89.52</v>
      </c>
      <c r="D14" s="64">
        <v>215.27</v>
      </c>
      <c r="E14" s="64">
        <v>0.3</v>
      </c>
      <c r="F14" s="64">
        <v>3.02</v>
      </c>
      <c r="G14" s="64">
        <v>202.39</v>
      </c>
      <c r="H14" s="64">
        <v>135.84</v>
      </c>
      <c r="I14" s="64">
        <v>1.52</v>
      </c>
      <c r="J14" s="64">
        <v>7.0000000000000007E-2</v>
      </c>
      <c r="K14" s="64">
        <v>196.58</v>
      </c>
      <c r="L14" s="64">
        <v>13.37</v>
      </c>
      <c r="M14" s="64">
        <v>98.15</v>
      </c>
      <c r="N14" s="64">
        <v>44.8</v>
      </c>
      <c r="O14" s="64">
        <v>0</v>
      </c>
      <c r="P14" s="64">
        <v>1.32</v>
      </c>
      <c r="Q14" s="64">
        <v>44.52</v>
      </c>
      <c r="R14" s="198"/>
      <c r="S14" s="198"/>
      <c r="T14" s="198"/>
      <c r="U14" s="198"/>
    </row>
    <row r="15" spans="1:21" s="12" customFormat="1" x14ac:dyDescent="0.25">
      <c r="A15" s="214" t="s">
        <v>2558</v>
      </c>
      <c r="B15" s="64">
        <v>191.31</v>
      </c>
      <c r="C15" s="64">
        <v>88.75</v>
      </c>
      <c r="D15" s="64">
        <v>203.04</v>
      </c>
      <c r="E15" s="64">
        <v>0.25</v>
      </c>
      <c r="F15" s="64">
        <v>3.15</v>
      </c>
      <c r="G15" s="64">
        <v>189.16</v>
      </c>
      <c r="H15" s="64">
        <v>115.8</v>
      </c>
      <c r="I15" s="64">
        <v>1.53</v>
      </c>
      <c r="J15" s="64">
        <v>0.09</v>
      </c>
      <c r="K15" s="64">
        <v>344</v>
      </c>
      <c r="L15" s="64">
        <v>13.26</v>
      </c>
      <c r="M15" s="64">
        <v>98.15</v>
      </c>
      <c r="N15" s="64">
        <v>46.9</v>
      </c>
      <c r="O15" s="64">
        <v>0</v>
      </c>
      <c r="P15" s="64">
        <v>1.1100000000000001</v>
      </c>
      <c r="Q15" s="64">
        <v>42.97</v>
      </c>
      <c r="R15" s="198"/>
      <c r="S15" s="198"/>
      <c r="T15" s="198"/>
      <c r="U15" s="198"/>
    </row>
    <row r="16" spans="1:21" s="12" customFormat="1" x14ac:dyDescent="0.25">
      <c r="A16" s="214" t="s">
        <v>2559</v>
      </c>
      <c r="B16" s="64">
        <v>177.39</v>
      </c>
      <c r="C16" s="64">
        <v>87.11</v>
      </c>
      <c r="D16" s="64">
        <v>190.97</v>
      </c>
      <c r="E16" s="64">
        <v>0.26</v>
      </c>
      <c r="F16" s="64">
        <v>3.4</v>
      </c>
      <c r="G16" s="64">
        <v>136.25</v>
      </c>
      <c r="H16" s="64">
        <v>61.26</v>
      </c>
      <c r="I16" s="64">
        <v>1.44</v>
      </c>
      <c r="J16" s="64">
        <v>0.1</v>
      </c>
      <c r="K16" s="64">
        <v>260.64999999999998</v>
      </c>
      <c r="L16" s="64">
        <v>12.84</v>
      </c>
      <c r="M16" s="64">
        <v>98.2</v>
      </c>
      <c r="N16" s="64">
        <v>52</v>
      </c>
      <c r="O16" s="64">
        <v>0</v>
      </c>
      <c r="P16" s="64">
        <v>1.05</v>
      </c>
      <c r="Q16" s="64">
        <v>40.619999999999997</v>
      </c>
      <c r="R16" s="198"/>
      <c r="S16" s="198"/>
      <c r="T16" s="198"/>
      <c r="U16" s="198"/>
    </row>
    <row r="17" spans="1:21" s="12" customFormat="1" x14ac:dyDescent="0.25">
      <c r="A17" s="214" t="s">
        <v>2560</v>
      </c>
      <c r="B17" s="64">
        <v>164.05</v>
      </c>
      <c r="C17" s="64">
        <v>85.37</v>
      </c>
      <c r="D17" s="64">
        <v>179.32</v>
      </c>
      <c r="E17" s="64">
        <v>0.24</v>
      </c>
      <c r="F17" s="64">
        <v>3.45</v>
      </c>
      <c r="G17" s="64">
        <v>136.25</v>
      </c>
      <c r="H17" s="64">
        <v>61.26</v>
      </c>
      <c r="I17" s="64">
        <v>1.52</v>
      </c>
      <c r="J17" s="64">
        <v>0.12</v>
      </c>
      <c r="K17" s="64">
        <v>1.17</v>
      </c>
      <c r="L17" s="64">
        <v>12.68</v>
      </c>
      <c r="M17" s="64">
        <v>98.2</v>
      </c>
      <c r="N17" s="64">
        <v>57.7</v>
      </c>
      <c r="O17" s="64">
        <v>0</v>
      </c>
      <c r="P17" s="64">
        <v>1.01</v>
      </c>
      <c r="Q17" s="64">
        <v>38.409999999999997</v>
      </c>
      <c r="R17" s="198"/>
      <c r="S17" s="198"/>
      <c r="T17" s="198"/>
      <c r="U17" s="198"/>
    </row>
    <row r="18" spans="1:21" s="12" customFormat="1" x14ac:dyDescent="0.25">
      <c r="A18" s="214" t="s">
        <v>2561</v>
      </c>
      <c r="B18" s="64">
        <v>152.19</v>
      </c>
      <c r="C18" s="64">
        <v>83.33</v>
      </c>
      <c r="D18" s="64">
        <v>168.68</v>
      </c>
      <c r="E18" s="64">
        <v>0.19</v>
      </c>
      <c r="F18" s="64">
        <v>3.18</v>
      </c>
      <c r="G18" s="64">
        <v>136.25</v>
      </c>
      <c r="H18" s="64">
        <v>61.26</v>
      </c>
      <c r="I18" s="64">
        <v>1.53</v>
      </c>
      <c r="J18" s="64">
        <v>0.06</v>
      </c>
      <c r="K18" s="64">
        <v>260.87</v>
      </c>
      <c r="L18" s="64">
        <v>12.61</v>
      </c>
      <c r="M18" s="64">
        <v>98.25</v>
      </c>
      <c r="N18" s="64">
        <v>57.1</v>
      </c>
      <c r="O18" s="64">
        <v>0</v>
      </c>
      <c r="P18" s="64">
        <v>1.04</v>
      </c>
      <c r="Q18" s="64">
        <v>35.479999999999997</v>
      </c>
      <c r="R18" s="198"/>
      <c r="S18" s="198"/>
      <c r="T18" s="198"/>
      <c r="U18" s="198"/>
    </row>
    <row r="19" spans="1:21" s="12" customFormat="1" x14ac:dyDescent="0.25">
      <c r="A19" s="214" t="s">
        <v>2562</v>
      </c>
      <c r="B19" s="64">
        <v>141.88999999999999</v>
      </c>
      <c r="C19" s="64">
        <v>81.98</v>
      </c>
      <c r="D19" s="64">
        <v>159.66999999999999</v>
      </c>
      <c r="E19" s="64">
        <v>0.17</v>
      </c>
      <c r="F19" s="64">
        <v>3.36</v>
      </c>
      <c r="G19" s="64">
        <v>133.15</v>
      </c>
      <c r="H19" s="64">
        <v>68.31</v>
      </c>
      <c r="I19" s="64">
        <v>1.5</v>
      </c>
      <c r="J19" s="64">
        <v>0.1</v>
      </c>
      <c r="K19" s="64">
        <v>298.64</v>
      </c>
      <c r="L19" s="64">
        <v>12.36</v>
      </c>
      <c r="M19" s="64">
        <v>98.25</v>
      </c>
      <c r="N19" s="64">
        <v>57.7</v>
      </c>
      <c r="O19" s="64">
        <v>0</v>
      </c>
      <c r="P19" s="64">
        <v>1.07</v>
      </c>
      <c r="Q19" s="64">
        <v>31.65</v>
      </c>
      <c r="R19" s="198"/>
      <c r="S19" s="198"/>
      <c r="T19" s="198"/>
      <c r="U19" s="198"/>
    </row>
    <row r="20" spans="1:21" s="12" customFormat="1" x14ac:dyDescent="0.25">
      <c r="A20" s="214" t="s">
        <v>2563</v>
      </c>
      <c r="B20" s="64">
        <v>132.94999999999999</v>
      </c>
      <c r="C20" s="64">
        <v>80.760000000000005</v>
      </c>
      <c r="D20" s="64">
        <v>151.83000000000001</v>
      </c>
      <c r="E20" s="64">
        <v>0.15</v>
      </c>
      <c r="F20" s="64">
        <v>3.33</v>
      </c>
      <c r="G20" s="64">
        <v>120.73</v>
      </c>
      <c r="H20" s="64">
        <v>87.52</v>
      </c>
      <c r="I20" s="64">
        <v>1.46</v>
      </c>
      <c r="J20" s="64">
        <v>0.08</v>
      </c>
      <c r="K20" s="64">
        <v>317.12</v>
      </c>
      <c r="L20" s="64">
        <v>12.23</v>
      </c>
      <c r="M20" s="64">
        <v>98.25</v>
      </c>
      <c r="N20" s="64">
        <v>59.3</v>
      </c>
      <c r="O20" s="64">
        <v>0</v>
      </c>
      <c r="P20" s="64">
        <v>1.08</v>
      </c>
      <c r="Q20" s="64">
        <v>29.06</v>
      </c>
      <c r="R20" s="198"/>
      <c r="S20" s="198"/>
      <c r="T20" s="198"/>
      <c r="U20" s="198"/>
    </row>
    <row r="21" spans="1:21" s="12" customFormat="1" x14ac:dyDescent="0.25">
      <c r="A21" s="214" t="s">
        <v>2564</v>
      </c>
      <c r="B21" s="64">
        <v>124.91</v>
      </c>
      <c r="C21" s="64">
        <v>79.53</v>
      </c>
      <c r="D21" s="64">
        <v>144.69999999999999</v>
      </c>
      <c r="E21" s="64">
        <v>0.16</v>
      </c>
      <c r="F21" s="64">
        <v>3.2</v>
      </c>
      <c r="G21" s="64">
        <v>120.73</v>
      </c>
      <c r="H21" s="64">
        <v>87.52</v>
      </c>
      <c r="I21" s="64">
        <v>1.47</v>
      </c>
      <c r="J21" s="64">
        <v>0.12</v>
      </c>
      <c r="K21" s="64">
        <v>232.11</v>
      </c>
      <c r="L21" s="64">
        <v>12.42</v>
      </c>
      <c r="M21" s="64">
        <v>98.25</v>
      </c>
      <c r="N21" s="64">
        <v>60.9</v>
      </c>
      <c r="O21" s="64">
        <v>0</v>
      </c>
      <c r="P21" s="64">
        <v>1.08</v>
      </c>
      <c r="Q21" s="64">
        <v>27.07</v>
      </c>
      <c r="R21" s="198"/>
      <c r="S21" s="198"/>
      <c r="T21" s="198"/>
      <c r="U21" s="198"/>
    </row>
    <row r="22" spans="1:21" s="12" customFormat="1" x14ac:dyDescent="0.25">
      <c r="A22" s="214" t="s">
        <v>2565</v>
      </c>
      <c r="B22" s="64">
        <v>117.67</v>
      </c>
      <c r="C22" s="64">
        <v>78.47</v>
      </c>
      <c r="D22" s="64">
        <v>138.32</v>
      </c>
      <c r="E22" s="64">
        <v>0.12</v>
      </c>
      <c r="F22" s="64">
        <v>3.32</v>
      </c>
      <c r="G22" s="64">
        <v>120.73</v>
      </c>
      <c r="H22" s="64">
        <v>87.52</v>
      </c>
      <c r="I22" s="64">
        <v>1.53</v>
      </c>
      <c r="J22" s="64">
        <v>0.1</v>
      </c>
      <c r="K22" s="64">
        <v>194.1</v>
      </c>
      <c r="L22" s="64">
        <v>12.52</v>
      </c>
      <c r="M22" s="64">
        <v>98.22</v>
      </c>
      <c r="N22" s="64">
        <v>62.2</v>
      </c>
      <c r="O22" s="64">
        <v>0</v>
      </c>
      <c r="P22" s="64">
        <v>0.98</v>
      </c>
      <c r="Q22" s="64">
        <v>25.29</v>
      </c>
      <c r="R22" s="198"/>
      <c r="S22" s="198"/>
      <c r="T22" s="198"/>
      <c r="U22" s="198"/>
    </row>
    <row r="23" spans="1:21" s="12" customFormat="1" x14ac:dyDescent="0.25">
      <c r="A23" s="214" t="s">
        <v>2566</v>
      </c>
      <c r="B23" s="64">
        <v>110.17</v>
      </c>
      <c r="C23" s="64">
        <v>77.03</v>
      </c>
      <c r="D23" s="64">
        <v>131.51</v>
      </c>
      <c r="E23" s="64">
        <v>0.08</v>
      </c>
      <c r="F23" s="64">
        <v>3.56</v>
      </c>
      <c r="G23" s="64">
        <v>121.29</v>
      </c>
      <c r="H23" s="64">
        <v>84.5</v>
      </c>
      <c r="I23" s="64">
        <v>1.57</v>
      </c>
      <c r="J23" s="64">
        <v>0.09</v>
      </c>
      <c r="K23" s="64">
        <v>252</v>
      </c>
      <c r="L23" s="64">
        <v>12.4</v>
      </c>
      <c r="M23" s="64">
        <v>98.2</v>
      </c>
      <c r="N23" s="64">
        <v>61.3</v>
      </c>
      <c r="O23" s="64">
        <v>0</v>
      </c>
      <c r="P23" s="64">
        <v>0.8</v>
      </c>
      <c r="Q23" s="64">
        <v>25.93</v>
      </c>
      <c r="R23" s="198"/>
      <c r="S23" s="198"/>
      <c r="T23" s="198"/>
      <c r="U23" s="198"/>
    </row>
    <row r="24" spans="1:21" s="12" customFormat="1" x14ac:dyDescent="0.25">
      <c r="A24" s="214" t="s">
        <v>2567</v>
      </c>
      <c r="B24" s="64">
        <v>102.46</v>
      </c>
      <c r="C24" s="64">
        <v>75.58</v>
      </c>
      <c r="D24" s="64">
        <v>124.52</v>
      </c>
      <c r="E24" s="64">
        <v>0.4</v>
      </c>
      <c r="F24" s="64">
        <v>3.41</v>
      </c>
      <c r="G24" s="64">
        <v>123.54</v>
      </c>
      <c r="H24" s="64">
        <v>76.3</v>
      </c>
      <c r="I24" s="64">
        <v>1.48</v>
      </c>
      <c r="J24" s="64">
        <v>0.12</v>
      </c>
      <c r="K24" s="64">
        <v>303.70999999999998</v>
      </c>
      <c r="L24" s="64">
        <v>12.06</v>
      </c>
      <c r="M24" s="64">
        <v>98.25</v>
      </c>
      <c r="N24" s="64">
        <v>60.1</v>
      </c>
      <c r="O24" s="64">
        <v>0</v>
      </c>
      <c r="P24" s="64">
        <v>0.84</v>
      </c>
      <c r="Q24" s="64">
        <v>25.26</v>
      </c>
      <c r="R24" s="198"/>
      <c r="S24" s="198"/>
      <c r="T24" s="198"/>
      <c r="U24" s="198"/>
    </row>
    <row r="25" spans="1:21" s="12" customFormat="1" x14ac:dyDescent="0.25">
      <c r="A25" s="214" t="s">
        <v>2568</v>
      </c>
      <c r="B25" s="64">
        <v>95.55</v>
      </c>
      <c r="C25" s="64">
        <v>74.400000000000006</v>
      </c>
      <c r="D25" s="64">
        <v>118.33</v>
      </c>
      <c r="E25" s="64">
        <v>0.45</v>
      </c>
      <c r="F25" s="64">
        <v>3.23</v>
      </c>
      <c r="G25" s="64">
        <v>123.54</v>
      </c>
      <c r="H25" s="64">
        <v>76.3</v>
      </c>
      <c r="I25" s="64">
        <v>1.48</v>
      </c>
      <c r="J25" s="64">
        <v>0.09</v>
      </c>
      <c r="K25" s="64">
        <v>282.37</v>
      </c>
      <c r="L25" s="64">
        <v>11.88</v>
      </c>
      <c r="M25" s="64">
        <v>98.25</v>
      </c>
      <c r="N25" s="64">
        <v>61.6</v>
      </c>
      <c r="O25" s="64">
        <v>0</v>
      </c>
      <c r="P25" s="64">
        <v>0.82</v>
      </c>
      <c r="Q25" s="64">
        <v>23.21</v>
      </c>
      <c r="R25" s="198"/>
      <c r="S25" s="198"/>
      <c r="T25" s="198"/>
      <c r="U25" s="198"/>
    </row>
    <row r="26" spans="1:21" s="12" customFormat="1" x14ac:dyDescent="0.25">
      <c r="A26" s="214" t="s">
        <v>2569</v>
      </c>
      <c r="B26" s="64">
        <v>89.67</v>
      </c>
      <c r="C26" s="64">
        <v>72.8</v>
      </c>
      <c r="D26" s="64">
        <v>112.73</v>
      </c>
      <c r="E26" s="64">
        <v>0.48</v>
      </c>
      <c r="F26" s="64">
        <v>3.45</v>
      </c>
      <c r="G26" s="64">
        <v>123.54</v>
      </c>
      <c r="H26" s="64">
        <v>76.3</v>
      </c>
      <c r="I26" s="64">
        <v>1.46</v>
      </c>
      <c r="J26" s="64">
        <v>0.06</v>
      </c>
      <c r="K26" s="64">
        <v>287.26</v>
      </c>
      <c r="L26" s="64">
        <v>11.96</v>
      </c>
      <c r="M26" s="64">
        <v>98.25</v>
      </c>
      <c r="N26" s="64">
        <v>67.3</v>
      </c>
      <c r="O26" s="64">
        <v>0</v>
      </c>
      <c r="P26" s="64">
        <v>1</v>
      </c>
      <c r="Q26" s="64">
        <v>21.07</v>
      </c>
      <c r="R26" s="198"/>
      <c r="S26" s="198"/>
      <c r="T26" s="198"/>
      <c r="U26" s="198"/>
    </row>
    <row r="27" spans="1:21" s="12" customFormat="1" x14ac:dyDescent="0.25">
      <c r="A27" s="214" t="s">
        <v>2570</v>
      </c>
      <c r="B27" s="64">
        <v>84.97</v>
      </c>
      <c r="C27" s="64">
        <v>71.91</v>
      </c>
      <c r="D27" s="64">
        <v>108.47</v>
      </c>
      <c r="E27" s="64">
        <v>0.56999999999999995</v>
      </c>
      <c r="F27" s="64">
        <v>3.42</v>
      </c>
      <c r="G27" s="64">
        <v>120.83</v>
      </c>
      <c r="H27" s="64">
        <v>74.83</v>
      </c>
      <c r="I27" s="64">
        <v>1.55</v>
      </c>
      <c r="J27" s="64">
        <v>0.1</v>
      </c>
      <c r="K27" s="64">
        <v>331.94</v>
      </c>
      <c r="L27" s="64">
        <v>12</v>
      </c>
      <c r="M27" s="64">
        <v>98.25</v>
      </c>
      <c r="N27" s="64">
        <v>61.3</v>
      </c>
      <c r="O27" s="64">
        <v>0</v>
      </c>
      <c r="P27" s="64">
        <v>1.27</v>
      </c>
      <c r="Q27" s="64">
        <v>18.899999999999999</v>
      </c>
      <c r="R27" s="198"/>
      <c r="S27" s="198"/>
      <c r="T27" s="198"/>
      <c r="U27" s="198"/>
    </row>
    <row r="28" spans="1:21" s="12" customFormat="1" x14ac:dyDescent="0.25">
      <c r="A28" s="214" t="s">
        <v>2571</v>
      </c>
      <c r="B28" s="64">
        <v>82.78</v>
      </c>
      <c r="C28" s="64">
        <v>73.25</v>
      </c>
      <c r="D28" s="64">
        <v>107.45</v>
      </c>
      <c r="E28" s="64">
        <v>0.65</v>
      </c>
      <c r="F28" s="64">
        <v>3.21</v>
      </c>
      <c r="G28" s="64">
        <v>109.99</v>
      </c>
      <c r="H28" s="64">
        <v>67.58</v>
      </c>
      <c r="I28" s="64">
        <v>1.59</v>
      </c>
      <c r="J28" s="64">
        <v>0.13</v>
      </c>
      <c r="K28" s="64">
        <v>340.52</v>
      </c>
      <c r="L28" s="64">
        <v>12.08</v>
      </c>
      <c r="M28" s="64">
        <v>98.24</v>
      </c>
      <c r="N28" s="64">
        <v>56.5</v>
      </c>
      <c r="O28" s="64">
        <v>0</v>
      </c>
      <c r="P28" s="64">
        <v>1.38</v>
      </c>
      <c r="Q28" s="64">
        <v>14.33</v>
      </c>
      <c r="R28" s="198"/>
      <c r="S28" s="198"/>
      <c r="T28" s="198"/>
      <c r="U28" s="198"/>
    </row>
    <row r="29" spans="1:21" s="12" customFormat="1" x14ac:dyDescent="0.25">
      <c r="A29" s="214" t="s">
        <v>2572</v>
      </c>
      <c r="B29" s="64">
        <v>81.680000000000007</v>
      </c>
      <c r="C29" s="64">
        <v>73.44</v>
      </c>
      <c r="D29" s="64">
        <v>106.67</v>
      </c>
      <c r="E29" s="64">
        <v>0.61</v>
      </c>
      <c r="F29" s="64">
        <v>3.37</v>
      </c>
      <c r="G29" s="64">
        <v>109.99</v>
      </c>
      <c r="H29" s="64">
        <v>67.58</v>
      </c>
      <c r="I29" s="64">
        <v>1.47</v>
      </c>
      <c r="J29" s="64">
        <v>0.14000000000000001</v>
      </c>
      <c r="K29" s="64">
        <v>64.819999999999993</v>
      </c>
      <c r="L29" s="64">
        <v>12.24</v>
      </c>
      <c r="M29" s="64">
        <v>98.24</v>
      </c>
      <c r="N29" s="64">
        <v>58.4</v>
      </c>
      <c r="O29" s="64">
        <v>0</v>
      </c>
      <c r="P29" s="64">
        <v>1.26</v>
      </c>
      <c r="Q29" s="64">
        <v>14.01</v>
      </c>
      <c r="R29" s="198"/>
      <c r="S29" s="198"/>
      <c r="T29" s="198"/>
      <c r="U29" s="198"/>
    </row>
    <row r="30" spans="1:21" s="12" customFormat="1" x14ac:dyDescent="0.25">
      <c r="A30" s="214" t="s">
        <v>2573</v>
      </c>
      <c r="B30" s="64">
        <v>77.260000000000005</v>
      </c>
      <c r="C30" s="64">
        <v>74.069999999999993</v>
      </c>
      <c r="D30" s="64">
        <v>103.48</v>
      </c>
      <c r="E30" s="64">
        <v>0.56999999999999995</v>
      </c>
      <c r="F30" s="64">
        <v>3.62</v>
      </c>
      <c r="G30" s="64">
        <v>109.99</v>
      </c>
      <c r="H30" s="64">
        <v>67.58</v>
      </c>
      <c r="I30" s="64">
        <v>1.45</v>
      </c>
      <c r="J30" s="64">
        <v>0.16</v>
      </c>
      <c r="K30" s="64">
        <v>81.83</v>
      </c>
      <c r="L30" s="64">
        <v>13.08</v>
      </c>
      <c r="M30" s="64">
        <v>97.28</v>
      </c>
      <c r="N30" s="64">
        <v>63</v>
      </c>
      <c r="O30" s="64">
        <v>0</v>
      </c>
      <c r="P30" s="64">
        <v>1.1399999999999999</v>
      </c>
      <c r="Q30" s="64">
        <v>17.190000000000001</v>
      </c>
      <c r="R30" s="198"/>
      <c r="S30" s="198"/>
      <c r="T30" s="198"/>
      <c r="U30" s="198"/>
    </row>
    <row r="31" spans="1:21" s="12" customFormat="1" x14ac:dyDescent="0.25">
      <c r="A31" s="214" t="s">
        <v>2574</v>
      </c>
      <c r="B31" s="64">
        <v>71.819999999999993</v>
      </c>
      <c r="C31" s="64">
        <v>75.290000000000006</v>
      </c>
      <c r="D31" s="64">
        <v>99.79</v>
      </c>
      <c r="E31" s="64">
        <v>0.55000000000000004</v>
      </c>
      <c r="F31" s="64">
        <v>3.77</v>
      </c>
      <c r="G31" s="64">
        <v>120.81</v>
      </c>
      <c r="H31" s="64">
        <v>73.47</v>
      </c>
      <c r="I31" s="64">
        <v>1.52</v>
      </c>
      <c r="J31" s="64">
        <v>0.06</v>
      </c>
      <c r="K31" s="64">
        <v>312.52</v>
      </c>
      <c r="L31" s="64">
        <v>12.92</v>
      </c>
      <c r="M31" s="64">
        <v>97.84</v>
      </c>
      <c r="N31" s="64">
        <v>67.3</v>
      </c>
      <c r="O31" s="64">
        <v>0</v>
      </c>
      <c r="P31" s="64">
        <v>1.1399999999999999</v>
      </c>
      <c r="Q31" s="64">
        <v>16.89</v>
      </c>
      <c r="R31" s="198"/>
      <c r="S31" s="198"/>
      <c r="T31" s="198"/>
      <c r="U31" s="198"/>
    </row>
    <row r="32" spans="1:21" s="12" customFormat="1" x14ac:dyDescent="0.25">
      <c r="A32" s="214" t="s">
        <v>2575</v>
      </c>
      <c r="B32" s="64">
        <v>67.41</v>
      </c>
      <c r="C32" s="64">
        <v>76.930000000000007</v>
      </c>
      <c r="D32" s="64">
        <v>97.15</v>
      </c>
      <c r="E32" s="64">
        <v>0.59</v>
      </c>
      <c r="F32" s="64">
        <v>3.78</v>
      </c>
      <c r="G32" s="64">
        <v>164.07</v>
      </c>
      <c r="H32" s="64">
        <v>89.51</v>
      </c>
      <c r="I32" s="64">
        <v>1.47</v>
      </c>
      <c r="J32" s="64">
        <v>0.1</v>
      </c>
      <c r="K32" s="64">
        <v>335.96</v>
      </c>
      <c r="L32" s="64">
        <v>12.6</v>
      </c>
      <c r="M32" s="64">
        <v>98.2</v>
      </c>
      <c r="N32" s="64">
        <v>68.3</v>
      </c>
      <c r="O32" s="64">
        <v>0</v>
      </c>
      <c r="P32" s="64">
        <v>1.1499999999999999</v>
      </c>
      <c r="Q32" s="64">
        <v>15.62</v>
      </c>
      <c r="R32" s="198"/>
      <c r="S32" s="198"/>
      <c r="T32" s="198"/>
      <c r="U32" s="198"/>
    </row>
    <row r="33" spans="1:21" s="12" customFormat="1" x14ac:dyDescent="0.25">
      <c r="A33" s="214" t="s">
        <v>2576</v>
      </c>
      <c r="B33" s="64">
        <v>64.86</v>
      </c>
      <c r="C33" s="64">
        <v>78.67</v>
      </c>
      <c r="D33" s="64">
        <v>96.08</v>
      </c>
      <c r="E33" s="64">
        <v>0.63</v>
      </c>
      <c r="F33" s="64">
        <v>3.47</v>
      </c>
      <c r="G33" s="64">
        <v>164.07</v>
      </c>
      <c r="H33" s="64">
        <v>89.51</v>
      </c>
      <c r="I33" s="64">
        <v>1.5</v>
      </c>
      <c r="J33" s="64">
        <v>0.11</v>
      </c>
      <c r="K33" s="64">
        <v>261.82</v>
      </c>
      <c r="L33" s="64">
        <v>12.54</v>
      </c>
      <c r="M33" s="64">
        <v>98.2</v>
      </c>
      <c r="N33" s="64">
        <v>74</v>
      </c>
      <c r="O33" s="64">
        <v>0</v>
      </c>
      <c r="P33" s="64">
        <v>1.28</v>
      </c>
      <c r="Q33" s="64">
        <v>11.27</v>
      </c>
      <c r="R33" s="198"/>
      <c r="S33" s="198"/>
      <c r="T33" s="198"/>
      <c r="U33" s="198"/>
    </row>
    <row r="34" spans="1:21" s="12" customFormat="1" x14ac:dyDescent="0.25">
      <c r="A34" s="214" t="s">
        <v>2577</v>
      </c>
      <c r="B34" s="64">
        <v>63.44</v>
      </c>
      <c r="C34" s="64">
        <v>79.069999999999993</v>
      </c>
      <c r="D34" s="64">
        <v>95.15</v>
      </c>
      <c r="E34" s="64">
        <v>0.69</v>
      </c>
      <c r="F34" s="64">
        <v>3.41</v>
      </c>
      <c r="G34" s="64">
        <v>164.07</v>
      </c>
      <c r="H34" s="64">
        <v>89.51</v>
      </c>
      <c r="I34" s="64">
        <v>1.46</v>
      </c>
      <c r="J34" s="64">
        <v>7.0000000000000007E-2</v>
      </c>
      <c r="K34" s="64">
        <v>288.49</v>
      </c>
      <c r="L34" s="64">
        <v>12.49</v>
      </c>
      <c r="M34" s="64">
        <v>98.21</v>
      </c>
      <c r="N34" s="64">
        <v>85.6</v>
      </c>
      <c r="O34" s="64">
        <v>0</v>
      </c>
      <c r="P34" s="64">
        <v>1.42</v>
      </c>
      <c r="Q34" s="64">
        <v>8.6199999999999992</v>
      </c>
      <c r="R34" s="198"/>
      <c r="S34" s="198"/>
      <c r="T34" s="198"/>
      <c r="U34" s="198"/>
    </row>
    <row r="35" spans="1:21" s="12" customFormat="1" x14ac:dyDescent="0.25">
      <c r="A35" s="214" t="s">
        <v>2578</v>
      </c>
      <c r="B35" s="64">
        <v>64.930000000000007</v>
      </c>
      <c r="C35" s="64">
        <v>80.489999999999995</v>
      </c>
      <c r="D35" s="64">
        <v>97.13</v>
      </c>
      <c r="E35" s="64">
        <v>0.72</v>
      </c>
      <c r="F35" s="64">
        <v>3.24</v>
      </c>
      <c r="G35" s="64">
        <v>162.21</v>
      </c>
      <c r="H35" s="64">
        <v>93.2</v>
      </c>
      <c r="I35" s="64">
        <v>1.54</v>
      </c>
      <c r="J35" s="64">
        <v>0.1</v>
      </c>
      <c r="K35" s="64">
        <v>260.89999999999998</v>
      </c>
      <c r="L35" s="64">
        <v>12.29</v>
      </c>
      <c r="M35" s="64">
        <v>98.24</v>
      </c>
      <c r="N35" s="64">
        <v>95.6</v>
      </c>
      <c r="O35" s="64">
        <v>0</v>
      </c>
      <c r="P35" s="64">
        <v>1.33</v>
      </c>
      <c r="Q35" s="64">
        <v>6.97</v>
      </c>
      <c r="R35" s="198"/>
      <c r="S35" s="198"/>
      <c r="T35" s="198"/>
      <c r="U35" s="198"/>
    </row>
    <row r="36" spans="1:21" s="12" customFormat="1" x14ac:dyDescent="0.25">
      <c r="A36" s="214" t="s">
        <v>2579</v>
      </c>
      <c r="B36" s="64">
        <v>68.37</v>
      </c>
      <c r="C36" s="64">
        <v>82.43</v>
      </c>
      <c r="D36" s="64">
        <v>100.96</v>
      </c>
      <c r="E36" s="64">
        <v>0.81</v>
      </c>
      <c r="F36" s="64">
        <v>3.22</v>
      </c>
      <c r="G36" s="64">
        <v>154.75</v>
      </c>
      <c r="H36" s="64">
        <v>103.25</v>
      </c>
      <c r="I36" s="64">
        <v>1.46</v>
      </c>
      <c r="J36" s="64">
        <v>0.1</v>
      </c>
      <c r="K36" s="64">
        <v>335.95</v>
      </c>
      <c r="L36" s="64">
        <v>12.36</v>
      </c>
      <c r="M36" s="64">
        <v>98.24</v>
      </c>
      <c r="N36" s="64">
        <v>106.2</v>
      </c>
      <c r="O36" s="64">
        <v>0</v>
      </c>
      <c r="P36" s="64">
        <v>1.81</v>
      </c>
      <c r="Q36" s="64">
        <v>2.3199999999999998</v>
      </c>
      <c r="R36" s="198"/>
      <c r="S36" s="198"/>
      <c r="T36" s="198"/>
      <c r="U36" s="198"/>
    </row>
    <row r="37" spans="1:21" s="12" customFormat="1" x14ac:dyDescent="0.25">
      <c r="A37" s="214" t="s">
        <v>2580</v>
      </c>
      <c r="B37" s="64">
        <v>77.16</v>
      </c>
      <c r="C37" s="64">
        <v>84.17</v>
      </c>
      <c r="D37" s="64">
        <v>108.98</v>
      </c>
      <c r="E37" s="64">
        <v>0.9</v>
      </c>
      <c r="F37" s="64">
        <v>3.68</v>
      </c>
      <c r="G37" s="64">
        <v>154.75</v>
      </c>
      <c r="H37" s="64">
        <v>103.25</v>
      </c>
      <c r="I37" s="64">
        <v>1.57</v>
      </c>
      <c r="J37" s="64">
        <v>0.08</v>
      </c>
      <c r="K37" s="64">
        <v>316.04000000000002</v>
      </c>
      <c r="L37" s="64">
        <v>12.61</v>
      </c>
      <c r="M37" s="64">
        <v>98.24</v>
      </c>
      <c r="N37" s="64">
        <v>120.3</v>
      </c>
      <c r="O37" s="64">
        <v>0</v>
      </c>
      <c r="P37" s="64">
        <v>2.06</v>
      </c>
      <c r="Q37" s="64">
        <v>0.86</v>
      </c>
      <c r="R37" s="198"/>
      <c r="S37" s="198"/>
      <c r="T37" s="198"/>
      <c r="U37" s="198"/>
    </row>
    <row r="38" spans="1:21" s="12" customFormat="1" x14ac:dyDescent="0.25">
      <c r="A38" s="214" t="s">
        <v>2581</v>
      </c>
      <c r="B38" s="64">
        <v>85.61</v>
      </c>
      <c r="C38" s="64">
        <v>86.06</v>
      </c>
      <c r="D38" s="64">
        <v>116.8</v>
      </c>
      <c r="E38" s="64">
        <v>0.76</v>
      </c>
      <c r="F38" s="64">
        <v>3.71</v>
      </c>
      <c r="G38" s="64">
        <v>154.75</v>
      </c>
      <c r="H38" s="64">
        <v>103.25</v>
      </c>
      <c r="I38" s="64">
        <v>1.51</v>
      </c>
      <c r="J38" s="64">
        <v>0.06</v>
      </c>
      <c r="K38" s="64">
        <v>278.89999999999998</v>
      </c>
      <c r="L38" s="64">
        <v>13.4</v>
      </c>
      <c r="M38" s="64">
        <v>98.2</v>
      </c>
      <c r="N38" s="64">
        <v>131.5</v>
      </c>
      <c r="O38" s="64">
        <v>0</v>
      </c>
      <c r="P38" s="64">
        <v>1.91</v>
      </c>
      <c r="Q38" s="64">
        <v>2.89</v>
      </c>
      <c r="R38" s="198"/>
      <c r="S38" s="198"/>
      <c r="T38" s="198"/>
      <c r="U38" s="198"/>
    </row>
    <row r="39" spans="1:21" s="12" customFormat="1" x14ac:dyDescent="0.25">
      <c r="A39" s="214" t="s">
        <v>2582</v>
      </c>
      <c r="B39" s="64">
        <v>90.49</v>
      </c>
      <c r="C39" s="64">
        <v>86.97</v>
      </c>
      <c r="D39" s="64">
        <v>121.21</v>
      </c>
      <c r="E39" s="64">
        <v>0.83</v>
      </c>
      <c r="F39" s="64">
        <v>3.87</v>
      </c>
      <c r="G39" s="64">
        <v>164.41</v>
      </c>
      <c r="H39" s="64">
        <v>104.39</v>
      </c>
      <c r="I39" s="64">
        <v>1.52</v>
      </c>
      <c r="J39" s="64">
        <v>0.11</v>
      </c>
      <c r="K39" s="64">
        <v>161.97999999999999</v>
      </c>
      <c r="L39" s="64">
        <v>14.19</v>
      </c>
      <c r="M39" s="64">
        <v>96.07</v>
      </c>
      <c r="N39" s="64">
        <v>160.19999999999999</v>
      </c>
      <c r="O39" s="64">
        <v>0</v>
      </c>
      <c r="P39" s="64">
        <v>2.1</v>
      </c>
      <c r="Q39" s="64">
        <v>2.12</v>
      </c>
      <c r="R39" s="198"/>
      <c r="S39" s="198"/>
      <c r="T39" s="198"/>
      <c r="U39" s="198"/>
    </row>
    <row r="40" spans="1:21" s="12" customFormat="1" x14ac:dyDescent="0.25">
      <c r="A40" s="214" t="s">
        <v>2583</v>
      </c>
      <c r="B40" s="64">
        <v>94.21</v>
      </c>
      <c r="C40" s="64">
        <v>85.94</v>
      </c>
      <c r="D40" s="64">
        <v>123.62</v>
      </c>
      <c r="E40" s="64">
        <v>0.44</v>
      </c>
      <c r="F40" s="64">
        <v>3.62</v>
      </c>
      <c r="G40" s="64">
        <v>203.02</v>
      </c>
      <c r="H40" s="64">
        <v>107.5</v>
      </c>
      <c r="I40" s="64">
        <v>1.46</v>
      </c>
      <c r="J40" s="64">
        <v>0.26</v>
      </c>
      <c r="K40" s="64">
        <v>185.89</v>
      </c>
      <c r="L40" s="64">
        <v>15.34</v>
      </c>
      <c r="M40" s="64">
        <v>88.62</v>
      </c>
      <c r="N40" s="64">
        <v>218.8</v>
      </c>
      <c r="O40" s="64">
        <v>0</v>
      </c>
      <c r="P40" s="64">
        <v>1.93</v>
      </c>
      <c r="Q40" s="64">
        <v>8.57</v>
      </c>
      <c r="R40" s="198"/>
      <c r="S40" s="198"/>
      <c r="T40" s="198"/>
      <c r="U40" s="198"/>
    </row>
    <row r="41" spans="1:21" s="12" customFormat="1" x14ac:dyDescent="0.25">
      <c r="A41" s="214" t="s">
        <v>2584</v>
      </c>
      <c r="B41" s="64">
        <v>93.19</v>
      </c>
      <c r="C41" s="64">
        <v>85.45</v>
      </c>
      <c r="D41" s="64">
        <v>122.53</v>
      </c>
      <c r="E41" s="64">
        <v>0.51</v>
      </c>
      <c r="F41" s="64">
        <v>3.58</v>
      </c>
      <c r="G41" s="64">
        <v>203.02</v>
      </c>
      <c r="H41" s="64">
        <v>107.5</v>
      </c>
      <c r="I41" s="64">
        <v>1.51</v>
      </c>
      <c r="J41" s="64">
        <v>0.37</v>
      </c>
      <c r="K41" s="64">
        <v>208.67</v>
      </c>
      <c r="L41" s="64">
        <v>15.52</v>
      </c>
      <c r="M41" s="64">
        <v>85.93</v>
      </c>
      <c r="N41" s="64">
        <v>247.8</v>
      </c>
      <c r="O41" s="64">
        <v>0</v>
      </c>
      <c r="P41" s="64">
        <v>1.71</v>
      </c>
      <c r="Q41" s="64">
        <v>16</v>
      </c>
      <c r="R41" s="198"/>
      <c r="S41" s="198"/>
      <c r="T41" s="198"/>
      <c r="U41" s="198"/>
    </row>
    <row r="42" spans="1:21" s="12" customFormat="1" x14ac:dyDescent="0.25">
      <c r="A42" s="214" t="s">
        <v>2585</v>
      </c>
      <c r="B42" s="64">
        <v>88.36</v>
      </c>
      <c r="C42" s="64">
        <v>83.67</v>
      </c>
      <c r="D42" s="64">
        <v>117.68</v>
      </c>
      <c r="E42" s="64">
        <v>0.5</v>
      </c>
      <c r="F42" s="64">
        <v>3.47</v>
      </c>
      <c r="G42" s="64">
        <v>203.02</v>
      </c>
      <c r="H42" s="64">
        <v>107.5</v>
      </c>
      <c r="I42" s="64">
        <v>1.46</v>
      </c>
      <c r="J42" s="64">
        <v>0.38</v>
      </c>
      <c r="K42" s="64">
        <v>189.2</v>
      </c>
      <c r="L42" s="64">
        <v>15.62</v>
      </c>
      <c r="M42" s="64">
        <v>85.18</v>
      </c>
      <c r="N42" s="64">
        <v>282.3</v>
      </c>
      <c r="O42" s="64">
        <v>0</v>
      </c>
      <c r="P42" s="64">
        <v>1.41</v>
      </c>
      <c r="Q42" s="64">
        <v>19.18</v>
      </c>
      <c r="R42" s="198"/>
      <c r="S42" s="198"/>
      <c r="T42" s="198"/>
      <c r="U42" s="198"/>
    </row>
    <row r="43" spans="1:21" s="12" customFormat="1" x14ac:dyDescent="0.25">
      <c r="A43" s="214" t="s">
        <v>2586</v>
      </c>
      <c r="B43" s="64">
        <v>82.32</v>
      </c>
      <c r="C43" s="64">
        <v>82.41</v>
      </c>
      <c r="D43" s="64">
        <v>112.14</v>
      </c>
      <c r="E43" s="64">
        <v>0.49</v>
      </c>
      <c r="F43" s="64">
        <v>3.71</v>
      </c>
      <c r="G43" s="64">
        <v>193.52</v>
      </c>
      <c r="H43" s="64">
        <v>103.91</v>
      </c>
      <c r="I43" s="64">
        <v>1.55</v>
      </c>
      <c r="J43" s="64">
        <v>0.53</v>
      </c>
      <c r="K43" s="64">
        <v>155.41</v>
      </c>
      <c r="L43" s="64">
        <v>16.420000000000002</v>
      </c>
      <c r="M43" s="64">
        <v>80.260000000000005</v>
      </c>
      <c r="N43" s="64">
        <v>326</v>
      </c>
      <c r="O43" s="64">
        <v>0</v>
      </c>
      <c r="P43" s="64">
        <v>1.28</v>
      </c>
      <c r="Q43" s="64">
        <v>20.350000000000001</v>
      </c>
      <c r="R43" s="198"/>
      <c r="S43" s="198"/>
      <c r="T43" s="198"/>
      <c r="U43" s="198"/>
    </row>
    <row r="44" spans="1:21" s="12" customFormat="1" x14ac:dyDescent="0.25">
      <c r="A44" s="214" t="s">
        <v>2587</v>
      </c>
      <c r="B44" s="64">
        <v>76.88</v>
      </c>
      <c r="C44" s="64">
        <v>81.66</v>
      </c>
      <c r="D44" s="64">
        <v>107.36</v>
      </c>
      <c r="E44" s="64">
        <v>0.44</v>
      </c>
      <c r="F44" s="64">
        <v>4.4000000000000004</v>
      </c>
      <c r="G44" s="64">
        <v>155.51</v>
      </c>
      <c r="H44" s="64">
        <v>87.9</v>
      </c>
      <c r="I44" s="64">
        <v>1.49</v>
      </c>
      <c r="J44" s="64">
        <v>0.7</v>
      </c>
      <c r="K44" s="64">
        <v>146.93</v>
      </c>
      <c r="L44" s="64">
        <v>17.66</v>
      </c>
      <c r="M44" s="64">
        <v>73.91</v>
      </c>
      <c r="N44" s="64">
        <v>360.6</v>
      </c>
      <c r="O44" s="64">
        <v>0</v>
      </c>
      <c r="P44" s="64">
        <v>1.1200000000000001</v>
      </c>
      <c r="Q44" s="64">
        <v>20.57</v>
      </c>
      <c r="R44" s="198"/>
      <c r="S44" s="198"/>
      <c r="T44" s="198"/>
      <c r="U44" s="198"/>
    </row>
    <row r="45" spans="1:21" s="12" customFormat="1" x14ac:dyDescent="0.25">
      <c r="A45" s="214" t="s">
        <v>2588</v>
      </c>
      <c r="B45" s="64">
        <v>70.959999999999994</v>
      </c>
      <c r="C45" s="64">
        <v>81.739999999999995</v>
      </c>
      <c r="D45" s="64">
        <v>102.66</v>
      </c>
      <c r="E45" s="64">
        <v>0.44</v>
      </c>
      <c r="F45" s="64">
        <v>4.49</v>
      </c>
      <c r="G45" s="64">
        <v>155.51</v>
      </c>
      <c r="H45" s="64">
        <v>87.9</v>
      </c>
      <c r="I45" s="64">
        <v>1.54</v>
      </c>
      <c r="J45" s="64">
        <v>0.27</v>
      </c>
      <c r="K45" s="64">
        <v>191.82</v>
      </c>
      <c r="L45" s="64">
        <v>17.29</v>
      </c>
      <c r="M45" s="64">
        <v>76.19</v>
      </c>
      <c r="N45" s="64">
        <v>389.9</v>
      </c>
      <c r="O45" s="64">
        <v>0</v>
      </c>
      <c r="P45" s="64">
        <v>1.28</v>
      </c>
      <c r="Q45" s="64">
        <v>18.350000000000001</v>
      </c>
      <c r="R45" s="198"/>
      <c r="S45" s="198"/>
      <c r="T45" s="198"/>
      <c r="U45" s="198"/>
    </row>
    <row r="46" spans="1:21" s="12" customFormat="1" x14ac:dyDescent="0.25">
      <c r="A46" s="214" t="s">
        <v>2589</v>
      </c>
      <c r="B46" s="64">
        <v>63.85</v>
      </c>
      <c r="C46" s="64">
        <v>82.67</v>
      </c>
      <c r="D46" s="64">
        <v>97.47</v>
      </c>
      <c r="E46" s="64">
        <v>0.46</v>
      </c>
      <c r="F46" s="64">
        <v>5.17</v>
      </c>
      <c r="G46" s="64">
        <v>155.51</v>
      </c>
      <c r="H46" s="64">
        <v>87.9</v>
      </c>
      <c r="I46" s="64">
        <v>1.45</v>
      </c>
      <c r="J46" s="64">
        <v>0.22</v>
      </c>
      <c r="K46" s="64">
        <v>167.69</v>
      </c>
      <c r="L46" s="64">
        <v>18.11</v>
      </c>
      <c r="M46" s="64">
        <v>73.510000000000005</v>
      </c>
      <c r="N46" s="64">
        <v>405.6</v>
      </c>
      <c r="O46" s="64">
        <v>0</v>
      </c>
      <c r="P46" s="64">
        <v>1.04</v>
      </c>
      <c r="Q46" s="64">
        <v>17.18</v>
      </c>
      <c r="R46" s="198"/>
      <c r="S46" s="198"/>
      <c r="T46" s="198"/>
      <c r="U46" s="198"/>
    </row>
    <row r="47" spans="1:21" s="12" customFormat="1" x14ac:dyDescent="0.25">
      <c r="A47" s="214" t="s">
        <v>2590</v>
      </c>
      <c r="B47" s="64">
        <v>57.55</v>
      </c>
      <c r="C47" s="64">
        <v>83.74</v>
      </c>
      <c r="D47" s="64">
        <v>93.01</v>
      </c>
      <c r="E47" s="64">
        <v>0.49</v>
      </c>
      <c r="F47" s="64">
        <v>5.99</v>
      </c>
      <c r="G47" s="64">
        <v>151.62</v>
      </c>
      <c r="H47" s="64">
        <v>82.65</v>
      </c>
      <c r="I47" s="64">
        <v>1.51</v>
      </c>
      <c r="J47" s="64">
        <v>0.26</v>
      </c>
      <c r="K47" s="64">
        <v>149.6</v>
      </c>
      <c r="L47" s="64">
        <v>19.690000000000001</v>
      </c>
      <c r="M47" s="64">
        <v>66.209999999999994</v>
      </c>
      <c r="N47" s="64">
        <v>448.3</v>
      </c>
      <c r="O47" s="64">
        <v>0</v>
      </c>
      <c r="P47" s="64">
        <v>1.08</v>
      </c>
      <c r="Q47" s="64">
        <v>16.670000000000002</v>
      </c>
      <c r="R47" s="198"/>
      <c r="S47" s="198"/>
      <c r="T47" s="198"/>
      <c r="U47" s="198"/>
    </row>
    <row r="48" spans="1:21" s="12" customFormat="1" x14ac:dyDescent="0.25">
      <c r="A48" s="214" t="s">
        <v>2591</v>
      </c>
      <c r="B48" s="64">
        <v>51.65</v>
      </c>
      <c r="C48" s="64">
        <v>84.96</v>
      </c>
      <c r="D48" s="64">
        <v>88.95</v>
      </c>
      <c r="E48" s="64">
        <v>0.53</v>
      </c>
      <c r="F48" s="64">
        <v>6.94</v>
      </c>
      <c r="G48" s="64">
        <v>137.09</v>
      </c>
      <c r="H48" s="64">
        <v>68.36</v>
      </c>
      <c r="I48" s="64">
        <v>1.53</v>
      </c>
      <c r="J48" s="64">
        <v>0.24</v>
      </c>
      <c r="K48" s="64">
        <v>121.41</v>
      </c>
      <c r="L48" s="64">
        <v>21.01</v>
      </c>
      <c r="M48" s="64">
        <v>60.2</v>
      </c>
      <c r="N48" s="64">
        <v>481.1</v>
      </c>
      <c r="O48" s="64">
        <v>0</v>
      </c>
      <c r="P48" s="64">
        <v>0.96</v>
      </c>
      <c r="Q48" s="64">
        <v>16.71</v>
      </c>
      <c r="R48" s="198"/>
      <c r="S48" s="198"/>
      <c r="T48" s="198"/>
      <c r="U48" s="198"/>
    </row>
    <row r="49" spans="1:21" s="12" customFormat="1" x14ac:dyDescent="0.25">
      <c r="A49" s="214" t="s">
        <v>2592</v>
      </c>
      <c r="B49" s="64">
        <v>46.74</v>
      </c>
      <c r="C49" s="64">
        <v>85.25</v>
      </c>
      <c r="D49" s="64">
        <v>85.17</v>
      </c>
      <c r="E49" s="64">
        <v>0.61</v>
      </c>
      <c r="F49" s="64">
        <v>7.54</v>
      </c>
      <c r="G49" s="64">
        <v>137.09</v>
      </c>
      <c r="H49" s="64">
        <v>68.36</v>
      </c>
      <c r="I49" s="64">
        <v>1.5</v>
      </c>
      <c r="J49" s="64">
        <v>0.52</v>
      </c>
      <c r="K49" s="64">
        <v>137.31</v>
      </c>
      <c r="L49" s="64">
        <v>21.35</v>
      </c>
      <c r="M49" s="64">
        <v>59.25</v>
      </c>
      <c r="N49" s="64">
        <v>498.5</v>
      </c>
      <c r="O49" s="64">
        <v>0</v>
      </c>
      <c r="P49" s="64">
        <v>0.96</v>
      </c>
      <c r="Q49" s="64">
        <v>15.95</v>
      </c>
      <c r="R49" s="198"/>
      <c r="S49" s="198"/>
      <c r="T49" s="198"/>
      <c r="U49" s="198"/>
    </row>
    <row r="50" spans="1:21" s="12" customFormat="1" x14ac:dyDescent="0.25">
      <c r="A50" s="214" t="s">
        <v>2593</v>
      </c>
      <c r="B50" s="64">
        <v>42.35</v>
      </c>
      <c r="C50" s="64">
        <v>85.38</v>
      </c>
      <c r="D50" s="64">
        <v>81.73</v>
      </c>
      <c r="E50" s="64">
        <v>0.6</v>
      </c>
      <c r="F50" s="64">
        <v>8.9</v>
      </c>
      <c r="G50" s="64">
        <v>137.09</v>
      </c>
      <c r="H50" s="64">
        <v>68.36</v>
      </c>
      <c r="I50" s="64">
        <v>1.48</v>
      </c>
      <c r="J50" s="64">
        <v>0.33</v>
      </c>
      <c r="K50" s="64">
        <v>132.11000000000001</v>
      </c>
      <c r="L50" s="64">
        <v>22.18</v>
      </c>
      <c r="M50" s="64">
        <v>55.93</v>
      </c>
      <c r="N50" s="64">
        <v>519.5</v>
      </c>
      <c r="O50" s="64">
        <v>0</v>
      </c>
      <c r="P50" s="64">
        <v>0.89</v>
      </c>
      <c r="Q50" s="64">
        <v>15.05</v>
      </c>
      <c r="R50" s="198"/>
      <c r="S50" s="198"/>
      <c r="T50" s="198"/>
      <c r="U50" s="198"/>
    </row>
    <row r="51" spans="1:21" s="12" customFormat="1" x14ac:dyDescent="0.25">
      <c r="A51" s="214" t="s">
        <v>2594</v>
      </c>
      <c r="B51" s="64">
        <v>38.47</v>
      </c>
      <c r="C51" s="64">
        <v>85.6</v>
      </c>
      <c r="D51" s="64">
        <v>78.739999999999995</v>
      </c>
      <c r="E51" s="64">
        <v>0.56000000000000005</v>
      </c>
      <c r="F51" s="64">
        <v>9.33</v>
      </c>
      <c r="G51" s="64">
        <v>133.03</v>
      </c>
      <c r="H51" s="64">
        <v>69.55</v>
      </c>
      <c r="I51" s="64">
        <v>1.45</v>
      </c>
      <c r="J51" s="64">
        <v>0.4</v>
      </c>
      <c r="K51" s="64">
        <v>108</v>
      </c>
      <c r="L51" s="64">
        <v>22.84</v>
      </c>
      <c r="M51" s="64">
        <v>54.36</v>
      </c>
      <c r="N51" s="64">
        <v>519.4</v>
      </c>
      <c r="O51" s="64">
        <v>0</v>
      </c>
      <c r="P51" s="64">
        <v>1.1100000000000001</v>
      </c>
      <c r="Q51" s="64">
        <v>13.71</v>
      </c>
      <c r="R51" s="198"/>
      <c r="S51" s="198"/>
      <c r="T51" s="198"/>
      <c r="U51" s="198"/>
    </row>
    <row r="52" spans="1:21" s="12" customFormat="1" x14ac:dyDescent="0.25">
      <c r="A52" s="214" t="s">
        <v>2595</v>
      </c>
      <c r="B52" s="64">
        <v>35.15</v>
      </c>
      <c r="C52" s="64">
        <v>85.49</v>
      </c>
      <c r="D52" s="64">
        <v>76.02</v>
      </c>
      <c r="E52" s="64">
        <v>0.61</v>
      </c>
      <c r="F52" s="64">
        <v>9.98</v>
      </c>
      <c r="G52" s="64">
        <v>116.8</v>
      </c>
      <c r="H52" s="64">
        <v>72.8</v>
      </c>
      <c r="I52" s="64">
        <v>1.53</v>
      </c>
      <c r="J52" s="64">
        <v>0.95</v>
      </c>
      <c r="K52" s="64">
        <v>124.62</v>
      </c>
      <c r="L52" s="64">
        <v>22.26</v>
      </c>
      <c r="M52" s="64">
        <v>55.38</v>
      </c>
      <c r="N52" s="64">
        <v>535</v>
      </c>
      <c r="O52" s="64">
        <v>0</v>
      </c>
      <c r="P52" s="64">
        <v>1.02</v>
      </c>
      <c r="Q52" s="64">
        <v>12.79</v>
      </c>
      <c r="R52" s="198"/>
      <c r="S52" s="198"/>
      <c r="T52" s="198"/>
      <c r="U52" s="198"/>
    </row>
    <row r="53" spans="1:21" s="12" customFormat="1" x14ac:dyDescent="0.25">
      <c r="A53" s="214" t="s">
        <v>2596</v>
      </c>
      <c r="B53" s="64">
        <v>31.37</v>
      </c>
      <c r="C53" s="64">
        <v>85.48</v>
      </c>
      <c r="D53" s="64">
        <v>72.98</v>
      </c>
      <c r="E53" s="64">
        <v>0.74</v>
      </c>
      <c r="F53" s="64">
        <v>12.53</v>
      </c>
      <c r="G53" s="64">
        <v>116.8</v>
      </c>
      <c r="H53" s="64">
        <v>72.8</v>
      </c>
      <c r="I53" s="64">
        <v>1.48</v>
      </c>
      <c r="J53" s="64">
        <v>0.73</v>
      </c>
      <c r="K53" s="64">
        <v>119.14</v>
      </c>
      <c r="L53" s="64">
        <v>22.72</v>
      </c>
      <c r="M53" s="64">
        <v>53.24</v>
      </c>
      <c r="N53" s="64">
        <v>565.20000000000005</v>
      </c>
      <c r="O53" s="64">
        <v>0</v>
      </c>
      <c r="P53" s="64">
        <v>0.95</v>
      </c>
      <c r="Q53" s="64">
        <v>12.88</v>
      </c>
      <c r="R53" s="198"/>
      <c r="S53" s="198"/>
      <c r="T53" s="198"/>
      <c r="U53" s="198"/>
    </row>
    <row r="54" spans="1:21" s="12" customFormat="1" x14ac:dyDescent="0.25">
      <c r="A54" s="214" t="s">
        <v>2597</v>
      </c>
      <c r="B54" s="64">
        <v>27.18</v>
      </c>
      <c r="C54" s="64">
        <v>84.77</v>
      </c>
      <c r="D54" s="64">
        <v>69.23</v>
      </c>
      <c r="E54" s="64">
        <v>0.59</v>
      </c>
      <c r="F54" s="64">
        <v>6.3</v>
      </c>
      <c r="G54" s="64">
        <v>116.8</v>
      </c>
      <c r="H54" s="64">
        <v>72.8</v>
      </c>
      <c r="I54" s="64">
        <v>1.51</v>
      </c>
      <c r="J54" s="64">
        <v>0.78</v>
      </c>
      <c r="K54" s="64">
        <v>118.49</v>
      </c>
      <c r="L54" s="64">
        <v>23.03</v>
      </c>
      <c r="M54" s="64">
        <v>50.75</v>
      </c>
      <c r="N54" s="64">
        <v>568.5</v>
      </c>
      <c r="O54" s="64">
        <v>0</v>
      </c>
      <c r="P54" s="64">
        <v>1.22</v>
      </c>
      <c r="Q54" s="64">
        <v>11.13</v>
      </c>
      <c r="R54" s="198"/>
      <c r="S54" s="198"/>
      <c r="T54" s="198"/>
      <c r="U54" s="198"/>
    </row>
    <row r="55" spans="1:21" s="12" customFormat="1" x14ac:dyDescent="0.25">
      <c r="A55" s="214" t="s">
        <v>2598</v>
      </c>
      <c r="B55" s="64">
        <v>21.78</v>
      </c>
      <c r="C55" s="64">
        <v>85.97</v>
      </c>
      <c r="D55" s="64">
        <v>65.56</v>
      </c>
      <c r="E55" s="64">
        <v>0.65</v>
      </c>
      <c r="F55" s="64">
        <v>9.15</v>
      </c>
      <c r="G55" s="64">
        <v>113.92</v>
      </c>
      <c r="H55" s="64">
        <v>70.08</v>
      </c>
      <c r="I55" s="64">
        <v>1.48</v>
      </c>
      <c r="J55" s="64">
        <v>0.6</v>
      </c>
      <c r="K55" s="64">
        <v>111.29</v>
      </c>
      <c r="L55" s="64">
        <v>23.3</v>
      </c>
      <c r="M55" s="64">
        <v>48.55</v>
      </c>
      <c r="N55" s="64">
        <v>550.6</v>
      </c>
      <c r="O55" s="64">
        <v>0</v>
      </c>
      <c r="P55" s="64">
        <v>1.0900000000000001</v>
      </c>
      <c r="Q55" s="64">
        <v>9.99</v>
      </c>
      <c r="R55" s="198"/>
      <c r="S55" s="198"/>
      <c r="T55" s="198"/>
      <c r="U55" s="198"/>
    </row>
    <row r="56" spans="1:21" s="12" customFormat="1" x14ac:dyDescent="0.25">
      <c r="A56" s="214" t="s">
        <v>2599</v>
      </c>
      <c r="B56" s="64">
        <v>16.88</v>
      </c>
      <c r="C56" s="64">
        <v>87.51</v>
      </c>
      <c r="D56" s="64">
        <v>62.48</v>
      </c>
      <c r="E56" s="64">
        <v>0.37</v>
      </c>
      <c r="F56" s="64">
        <v>5.79</v>
      </c>
      <c r="G56" s="64">
        <v>102.39</v>
      </c>
      <c r="H56" s="64">
        <v>62.69</v>
      </c>
      <c r="I56" s="64">
        <v>1.43</v>
      </c>
      <c r="J56" s="64">
        <v>1</v>
      </c>
      <c r="K56" s="64">
        <v>115.46</v>
      </c>
      <c r="L56" s="64">
        <v>23.54</v>
      </c>
      <c r="M56" s="64">
        <v>47.85</v>
      </c>
      <c r="N56" s="64">
        <v>567.1</v>
      </c>
      <c r="O56" s="64">
        <v>0</v>
      </c>
      <c r="P56" s="64">
        <v>1.1499999999999999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4" t="s">
        <v>2600</v>
      </c>
      <c r="B57" s="64">
        <v>12.24</v>
      </c>
      <c r="C57" s="64">
        <v>88.11</v>
      </c>
      <c r="D57" s="64">
        <v>59.08</v>
      </c>
      <c r="E57" s="64">
        <v>0.57999999999999996</v>
      </c>
      <c r="F57" s="64">
        <v>6.18</v>
      </c>
      <c r="G57" s="64">
        <v>102.39</v>
      </c>
      <c r="H57" s="64">
        <v>62.69</v>
      </c>
      <c r="I57" s="64">
        <v>1.49</v>
      </c>
      <c r="J57" s="64">
        <v>0.85</v>
      </c>
      <c r="K57" s="64">
        <v>113.83</v>
      </c>
      <c r="L57" s="64">
        <v>23.41</v>
      </c>
      <c r="M57" s="64">
        <v>47.35</v>
      </c>
      <c r="N57" s="64">
        <v>559.9</v>
      </c>
      <c r="O57" s="64">
        <v>0</v>
      </c>
      <c r="P57" s="64">
        <v>1.1000000000000001</v>
      </c>
      <c r="Q57" s="64">
        <v>8.56</v>
      </c>
      <c r="R57" s="198"/>
      <c r="S57" s="198"/>
      <c r="T57" s="198"/>
      <c r="U57" s="198"/>
    </row>
    <row r="58" spans="1:21" s="12" customFormat="1" x14ac:dyDescent="0.25">
      <c r="A58" s="214" t="s">
        <v>2601</v>
      </c>
      <c r="B58" s="64">
        <v>8.33</v>
      </c>
      <c r="C58" s="64">
        <v>87.23</v>
      </c>
      <c r="D58" s="64">
        <v>55.47</v>
      </c>
      <c r="E58" s="64">
        <v>0.62</v>
      </c>
      <c r="F58" s="64">
        <v>11.27</v>
      </c>
      <c r="G58" s="64">
        <v>102.39</v>
      </c>
      <c r="H58" s="64">
        <v>62.69</v>
      </c>
      <c r="I58" s="64">
        <v>1.49</v>
      </c>
      <c r="J58" s="64">
        <v>0.51</v>
      </c>
      <c r="K58" s="64">
        <v>96.32</v>
      </c>
      <c r="L58" s="64">
        <v>24.04</v>
      </c>
      <c r="M58" s="64">
        <v>44.57</v>
      </c>
      <c r="N58" s="64">
        <v>561.4</v>
      </c>
      <c r="O58" s="64">
        <v>0</v>
      </c>
      <c r="P58" s="64">
        <v>0.99</v>
      </c>
      <c r="Q58" s="64">
        <v>7.95</v>
      </c>
      <c r="R58" s="198"/>
      <c r="S58" s="198"/>
      <c r="T58" s="198"/>
      <c r="U58" s="198"/>
    </row>
    <row r="59" spans="1:21" s="12" customFormat="1" x14ac:dyDescent="0.25">
      <c r="A59" s="214" t="s">
        <v>2602</v>
      </c>
      <c r="B59" s="64">
        <v>5.67</v>
      </c>
      <c r="C59" s="64">
        <v>86.47</v>
      </c>
      <c r="D59" s="64">
        <v>52.91</v>
      </c>
      <c r="E59" s="64">
        <v>0.78</v>
      </c>
      <c r="F59" s="64">
        <v>8.07</v>
      </c>
      <c r="G59" s="64">
        <v>99.68</v>
      </c>
      <c r="H59" s="64">
        <v>61.4</v>
      </c>
      <c r="I59" s="64">
        <v>1.43</v>
      </c>
      <c r="J59" s="64">
        <v>0.47</v>
      </c>
      <c r="K59" s="64">
        <v>112.39</v>
      </c>
      <c r="L59" s="64">
        <v>25.06</v>
      </c>
      <c r="M59" s="64">
        <v>41.53</v>
      </c>
      <c r="N59" s="64">
        <v>545.20000000000005</v>
      </c>
      <c r="O59" s="64">
        <v>0</v>
      </c>
      <c r="P59" s="64">
        <v>0.98</v>
      </c>
      <c r="Q59" s="64">
        <v>7.72</v>
      </c>
      <c r="R59" s="198"/>
      <c r="S59" s="198"/>
      <c r="T59" s="198"/>
      <c r="U59" s="198"/>
    </row>
    <row r="60" spans="1:21" s="12" customFormat="1" x14ac:dyDescent="0.25">
      <c r="A60" s="214" t="s">
        <v>2603</v>
      </c>
      <c r="B60" s="64">
        <v>4.18</v>
      </c>
      <c r="C60" s="64">
        <v>84.97</v>
      </c>
      <c r="D60" s="64">
        <v>50.89</v>
      </c>
      <c r="E60" s="64">
        <v>0.64</v>
      </c>
      <c r="F60" s="64">
        <v>6.66</v>
      </c>
      <c r="G60" s="64">
        <v>88.85</v>
      </c>
      <c r="H60" s="64">
        <v>55.66</v>
      </c>
      <c r="I60" s="64">
        <v>1.61</v>
      </c>
      <c r="J60" s="64">
        <v>0.5</v>
      </c>
      <c r="K60" s="64">
        <v>113.54</v>
      </c>
      <c r="L60" s="64">
        <v>24.94</v>
      </c>
      <c r="M60" s="64">
        <v>41.96</v>
      </c>
      <c r="N60" s="64">
        <v>523.6</v>
      </c>
      <c r="O60" s="64">
        <v>0</v>
      </c>
      <c r="P60" s="64">
        <v>1</v>
      </c>
      <c r="Q60" s="64">
        <v>7.34</v>
      </c>
      <c r="R60" s="198"/>
      <c r="S60" s="198"/>
      <c r="T60" s="198"/>
      <c r="U60" s="198"/>
    </row>
    <row r="61" spans="1:21" s="12" customFormat="1" x14ac:dyDescent="0.25">
      <c r="A61" s="214" t="s">
        <v>2604</v>
      </c>
      <c r="B61" s="64">
        <v>3.33</v>
      </c>
      <c r="C61" s="64">
        <v>83.68</v>
      </c>
      <c r="D61" s="64">
        <v>49.5</v>
      </c>
      <c r="E61" s="64">
        <v>0.53</v>
      </c>
      <c r="F61" s="64">
        <v>6.44</v>
      </c>
      <c r="G61" s="64">
        <v>88.85</v>
      </c>
      <c r="H61" s="64">
        <v>55.66</v>
      </c>
      <c r="I61" s="64">
        <v>1.47</v>
      </c>
      <c r="J61" s="64">
        <v>0.28999999999999998</v>
      </c>
      <c r="K61" s="64">
        <v>125.06</v>
      </c>
      <c r="L61" s="64">
        <v>25.12</v>
      </c>
      <c r="M61" s="64">
        <v>40.590000000000003</v>
      </c>
      <c r="N61" s="64">
        <v>517.5</v>
      </c>
      <c r="O61" s="64">
        <v>0</v>
      </c>
      <c r="P61" s="64">
        <v>0.96</v>
      </c>
      <c r="Q61" s="64">
        <v>7.08</v>
      </c>
      <c r="R61" s="198"/>
      <c r="S61" s="198"/>
      <c r="T61" s="198"/>
      <c r="U61" s="198"/>
    </row>
    <row r="62" spans="1:21" s="12" customFormat="1" x14ac:dyDescent="0.25">
      <c r="A62" s="214" t="s">
        <v>2605</v>
      </c>
      <c r="B62" s="64">
        <v>2.78</v>
      </c>
      <c r="C62" s="64">
        <v>81.819999999999993</v>
      </c>
      <c r="D62" s="64">
        <v>48.03</v>
      </c>
      <c r="E62" s="64">
        <v>1.02</v>
      </c>
      <c r="F62" s="64">
        <v>29.13</v>
      </c>
      <c r="G62" s="64">
        <v>88.85</v>
      </c>
      <c r="H62" s="64">
        <v>55.66</v>
      </c>
      <c r="I62" s="64">
        <v>1.53</v>
      </c>
      <c r="J62" s="64">
        <v>0.81</v>
      </c>
      <c r="K62" s="64">
        <v>334.24</v>
      </c>
      <c r="L62" s="64">
        <v>27.47</v>
      </c>
      <c r="M62" s="64">
        <v>37.44</v>
      </c>
      <c r="N62" s="64">
        <v>490.6</v>
      </c>
      <c r="O62" s="64">
        <v>0</v>
      </c>
      <c r="P62" s="64">
        <v>0.98</v>
      </c>
      <c r="Q62" s="64">
        <v>6.49</v>
      </c>
      <c r="R62" s="198"/>
      <c r="S62" s="198"/>
      <c r="T62" s="198"/>
      <c r="U62" s="198"/>
    </row>
    <row r="63" spans="1:21" s="12" customFormat="1" x14ac:dyDescent="0.25">
      <c r="A63" s="214" t="s">
        <v>2606</v>
      </c>
      <c r="B63" s="64">
        <v>2.58</v>
      </c>
      <c r="C63" s="64">
        <v>81.44</v>
      </c>
      <c r="D63" s="64">
        <v>47.66</v>
      </c>
      <c r="E63" s="64">
        <v>1.34</v>
      </c>
      <c r="F63" s="64">
        <v>29.6</v>
      </c>
      <c r="G63" s="64">
        <v>90.98</v>
      </c>
      <c r="H63" s="64">
        <v>54.73</v>
      </c>
      <c r="I63" s="64">
        <v>1.52</v>
      </c>
      <c r="J63" s="64">
        <v>0.46</v>
      </c>
      <c r="K63" s="64">
        <v>331.03</v>
      </c>
      <c r="L63" s="64">
        <v>28.59</v>
      </c>
      <c r="M63" s="64">
        <v>34.56</v>
      </c>
      <c r="N63" s="64">
        <v>422.6</v>
      </c>
      <c r="O63" s="64">
        <v>0</v>
      </c>
      <c r="P63" s="64">
        <v>1.06</v>
      </c>
      <c r="Q63" s="64">
        <v>6.25</v>
      </c>
      <c r="R63" s="198"/>
      <c r="S63" s="198"/>
      <c r="T63" s="198"/>
      <c r="U63" s="198"/>
    </row>
    <row r="64" spans="1:21" s="12" customFormat="1" x14ac:dyDescent="0.25">
      <c r="A64" s="214" t="s">
        <v>2607</v>
      </c>
      <c r="B64" s="64">
        <v>2.42</v>
      </c>
      <c r="C64" s="64">
        <v>81.239999999999995</v>
      </c>
      <c r="D64" s="64">
        <v>47.42</v>
      </c>
      <c r="E64" s="64">
        <v>1.1200000000000001</v>
      </c>
      <c r="F64" s="64">
        <v>14.38</v>
      </c>
      <c r="G64" s="64">
        <v>98.93</v>
      </c>
      <c r="H64" s="64">
        <v>52.19</v>
      </c>
      <c r="I64" s="64">
        <v>1.53</v>
      </c>
      <c r="J64" s="64">
        <v>0.24</v>
      </c>
      <c r="K64" s="64">
        <v>328.1</v>
      </c>
      <c r="L64" s="64">
        <v>28.35</v>
      </c>
      <c r="M64" s="64">
        <v>33.71</v>
      </c>
      <c r="N64" s="64">
        <v>221.5</v>
      </c>
      <c r="O64" s="64">
        <v>0</v>
      </c>
      <c r="P64" s="64">
        <v>1.01</v>
      </c>
      <c r="Q64" s="64">
        <v>6.38</v>
      </c>
      <c r="R64" s="198"/>
      <c r="S64" s="198"/>
      <c r="T64" s="198"/>
      <c r="U64" s="198"/>
    </row>
    <row r="65" spans="1:21" s="12" customFormat="1" x14ac:dyDescent="0.25">
      <c r="A65" s="214" t="s">
        <v>2608</v>
      </c>
      <c r="B65" s="64">
        <v>2.2599999999999998</v>
      </c>
      <c r="C65" s="64">
        <v>80.260000000000005</v>
      </c>
      <c r="D65" s="64">
        <v>46.75</v>
      </c>
      <c r="E65" s="64">
        <v>1.61</v>
      </c>
      <c r="F65" s="64">
        <v>21.62</v>
      </c>
      <c r="G65" s="64">
        <v>98.93</v>
      </c>
      <c r="H65" s="64">
        <v>52.19</v>
      </c>
      <c r="I65" s="64">
        <v>1.52</v>
      </c>
      <c r="J65" s="64">
        <v>0.34</v>
      </c>
      <c r="K65" s="64">
        <v>338.73</v>
      </c>
      <c r="L65" s="64">
        <v>27.69</v>
      </c>
      <c r="M65" s="64">
        <v>34.67</v>
      </c>
      <c r="N65" s="64">
        <v>189.5</v>
      </c>
      <c r="O65" s="64">
        <v>0</v>
      </c>
      <c r="P65" s="64">
        <v>0.98</v>
      </c>
      <c r="Q65" s="64">
        <v>6.27</v>
      </c>
      <c r="R65" s="198"/>
      <c r="S65" s="198"/>
      <c r="T65" s="198"/>
      <c r="U65" s="198"/>
    </row>
    <row r="66" spans="1:21" s="12" customFormat="1" x14ac:dyDescent="0.25">
      <c r="A66" s="214" t="s">
        <v>2609</v>
      </c>
      <c r="B66" s="64">
        <v>2.2599999999999998</v>
      </c>
      <c r="C66" s="64">
        <v>79.47</v>
      </c>
      <c r="D66" s="64">
        <v>46.31</v>
      </c>
      <c r="E66" s="64">
        <v>1.07</v>
      </c>
      <c r="F66" s="64">
        <v>14.68</v>
      </c>
      <c r="G66" s="64">
        <v>98.93</v>
      </c>
      <c r="H66" s="64">
        <v>52.19</v>
      </c>
      <c r="I66" s="64">
        <v>1.51</v>
      </c>
      <c r="J66" s="64">
        <v>0.2</v>
      </c>
      <c r="K66" s="64">
        <v>13.04</v>
      </c>
      <c r="L66" s="64">
        <v>26.57</v>
      </c>
      <c r="M66" s="64">
        <v>36.67</v>
      </c>
      <c r="N66" s="64">
        <v>160.6</v>
      </c>
      <c r="O66" s="64">
        <v>0</v>
      </c>
      <c r="P66" s="64">
        <v>0.96</v>
      </c>
      <c r="Q66" s="64">
        <v>6.22</v>
      </c>
      <c r="R66" s="198"/>
      <c r="S66" s="198"/>
      <c r="T66" s="198"/>
      <c r="U66" s="198"/>
    </row>
    <row r="67" spans="1:21" s="12" customFormat="1" x14ac:dyDescent="0.25">
      <c r="A67" s="214" t="s">
        <v>2610</v>
      </c>
      <c r="B67" s="64">
        <v>2.2999999999999998</v>
      </c>
      <c r="C67" s="64">
        <v>79.25</v>
      </c>
      <c r="D67" s="64">
        <v>46.22</v>
      </c>
      <c r="E67" s="64">
        <v>0.98</v>
      </c>
      <c r="F67" s="64">
        <v>7.22</v>
      </c>
      <c r="G67" s="64">
        <v>99.98</v>
      </c>
      <c r="H67" s="64">
        <v>54.3</v>
      </c>
      <c r="I67" s="64">
        <v>1.51</v>
      </c>
      <c r="J67" s="64">
        <v>0.09</v>
      </c>
      <c r="K67" s="64">
        <v>322.62</v>
      </c>
      <c r="L67" s="64">
        <v>25.96</v>
      </c>
      <c r="M67" s="64">
        <v>35.869999999999997</v>
      </c>
      <c r="N67" s="64">
        <v>174.6</v>
      </c>
      <c r="O67" s="64">
        <v>0</v>
      </c>
      <c r="P67" s="64">
        <v>1</v>
      </c>
      <c r="Q67" s="64">
        <v>6.25</v>
      </c>
      <c r="R67" s="198"/>
      <c r="S67" s="198"/>
      <c r="T67" s="198"/>
      <c r="U67" s="198"/>
    </row>
    <row r="68" spans="1:21" s="12" customFormat="1" x14ac:dyDescent="0.25">
      <c r="A68" s="214" t="s">
        <v>2611</v>
      </c>
      <c r="B68" s="64">
        <v>2.1800000000000002</v>
      </c>
      <c r="C68" s="64">
        <v>78.89</v>
      </c>
      <c r="D68" s="64">
        <v>45.93</v>
      </c>
      <c r="E68" s="64">
        <v>0.62</v>
      </c>
      <c r="F68" s="64">
        <v>7.6</v>
      </c>
      <c r="G68" s="64">
        <v>103.88</v>
      </c>
      <c r="H68" s="64">
        <v>60.04</v>
      </c>
      <c r="I68" s="64">
        <v>1.49</v>
      </c>
      <c r="J68" s="64">
        <v>0.05</v>
      </c>
      <c r="K68" s="64">
        <v>304.14</v>
      </c>
      <c r="L68" s="64">
        <v>24.77</v>
      </c>
      <c r="M68" s="64">
        <v>37.520000000000003</v>
      </c>
      <c r="N68" s="64">
        <v>174.7</v>
      </c>
      <c r="O68" s="64">
        <v>0</v>
      </c>
      <c r="P68" s="64">
        <v>0.96</v>
      </c>
      <c r="Q68" s="64">
        <v>6.39</v>
      </c>
      <c r="R68" s="198"/>
      <c r="S68" s="198"/>
      <c r="T68" s="198"/>
      <c r="U68" s="198"/>
    </row>
    <row r="69" spans="1:21" s="12" customFormat="1" x14ac:dyDescent="0.25">
      <c r="A69" s="214" t="s">
        <v>2612</v>
      </c>
      <c r="B69" s="64">
        <v>2.02</v>
      </c>
      <c r="C69" s="64">
        <v>77.7</v>
      </c>
      <c r="D69" s="64">
        <v>45.15</v>
      </c>
      <c r="E69" s="64">
        <v>2.46</v>
      </c>
      <c r="F69" s="64">
        <v>39.89</v>
      </c>
      <c r="G69" s="64">
        <v>103.88</v>
      </c>
      <c r="H69" s="64">
        <v>60.04</v>
      </c>
      <c r="I69" s="64">
        <v>1.5</v>
      </c>
      <c r="J69" s="64">
        <v>0.5</v>
      </c>
      <c r="K69" s="64">
        <v>345.72</v>
      </c>
      <c r="L69" s="64">
        <v>25.22</v>
      </c>
      <c r="M69" s="64">
        <v>37.799999999999997</v>
      </c>
      <c r="N69" s="64">
        <v>123.5</v>
      </c>
      <c r="O69" s="64">
        <v>0</v>
      </c>
      <c r="P69" s="64">
        <v>0.99</v>
      </c>
      <c r="Q69" s="64">
        <v>5.52</v>
      </c>
      <c r="R69" s="198"/>
      <c r="S69" s="198"/>
      <c r="T69" s="198"/>
      <c r="U69" s="198"/>
    </row>
    <row r="70" spans="1:21" s="12" customFormat="1" x14ac:dyDescent="0.25">
      <c r="A70" s="214" t="s">
        <v>2613</v>
      </c>
      <c r="B70" s="64">
        <v>2.2200000000000002</v>
      </c>
      <c r="C70" s="64">
        <v>77.28</v>
      </c>
      <c r="D70" s="64">
        <v>45.08</v>
      </c>
      <c r="E70" s="64">
        <v>2.78</v>
      </c>
      <c r="F70" s="64">
        <v>29.8</v>
      </c>
      <c r="G70" s="64">
        <v>103.88</v>
      </c>
      <c r="H70" s="64">
        <v>60.04</v>
      </c>
      <c r="I70" s="64">
        <v>1.52</v>
      </c>
      <c r="J70" s="64">
        <v>0.14000000000000001</v>
      </c>
      <c r="K70" s="64">
        <v>357.71</v>
      </c>
      <c r="L70" s="64">
        <v>25.15</v>
      </c>
      <c r="M70" s="64">
        <v>37.29</v>
      </c>
      <c r="N70" s="64">
        <v>112.6</v>
      </c>
      <c r="O70" s="64">
        <v>0</v>
      </c>
      <c r="P70" s="64">
        <v>1.04</v>
      </c>
      <c r="Q70" s="64">
        <v>5.08</v>
      </c>
      <c r="R70" s="198"/>
      <c r="S70" s="198"/>
      <c r="T70" s="198"/>
      <c r="U70" s="198"/>
    </row>
    <row r="71" spans="1:21" s="12" customFormat="1" x14ac:dyDescent="0.25">
      <c r="A71" s="214" t="s">
        <v>2614</v>
      </c>
      <c r="B71" s="64">
        <v>2.59</v>
      </c>
      <c r="C71" s="64">
        <v>76.83</v>
      </c>
      <c r="D71" s="64">
        <v>45.12</v>
      </c>
      <c r="E71" s="64">
        <v>2.66</v>
      </c>
      <c r="F71" s="64">
        <v>25.57</v>
      </c>
      <c r="G71" s="64">
        <v>102.96</v>
      </c>
      <c r="H71" s="64">
        <v>58.8</v>
      </c>
      <c r="I71" s="64">
        <v>1.54</v>
      </c>
      <c r="J71" s="64">
        <v>0.18</v>
      </c>
      <c r="K71" s="64">
        <v>329.92</v>
      </c>
      <c r="L71" s="64">
        <v>25.05</v>
      </c>
      <c r="M71" s="64">
        <v>37.299999999999997</v>
      </c>
      <c r="N71" s="64">
        <v>100.9</v>
      </c>
      <c r="O71" s="64">
        <v>0</v>
      </c>
      <c r="P71" s="64">
        <v>1.1000000000000001</v>
      </c>
      <c r="Q71" s="64">
        <v>3.61</v>
      </c>
      <c r="R71" s="198"/>
      <c r="S71" s="198"/>
      <c r="T71" s="198"/>
      <c r="U71" s="198"/>
    </row>
    <row r="72" spans="1:21" s="12" customFormat="1" x14ac:dyDescent="0.25">
      <c r="A72" s="214" t="s">
        <v>2615</v>
      </c>
      <c r="B72" s="64">
        <v>2.89</v>
      </c>
      <c r="C72" s="64">
        <v>76.88</v>
      </c>
      <c r="D72" s="64">
        <v>45.39</v>
      </c>
      <c r="E72" s="64">
        <v>2.0499999999999998</v>
      </c>
      <c r="F72" s="64">
        <v>25.51</v>
      </c>
      <c r="G72" s="64">
        <v>99.54</v>
      </c>
      <c r="H72" s="64">
        <v>55.45</v>
      </c>
      <c r="I72" s="64">
        <v>1.52</v>
      </c>
      <c r="J72" s="64">
        <v>0.14000000000000001</v>
      </c>
      <c r="K72" s="64">
        <v>353.8</v>
      </c>
      <c r="L72" s="64">
        <v>24.64</v>
      </c>
      <c r="M72" s="64">
        <v>39.28</v>
      </c>
      <c r="N72" s="64">
        <v>88.2</v>
      </c>
      <c r="O72" s="64">
        <v>0</v>
      </c>
      <c r="P72" s="64">
        <v>1.1399999999999999</v>
      </c>
      <c r="Q72" s="64">
        <v>3.19</v>
      </c>
      <c r="R72" s="198"/>
      <c r="S72" s="198"/>
      <c r="T72" s="198"/>
      <c r="U72" s="198"/>
    </row>
    <row r="73" spans="1:21" s="12" customFormat="1" x14ac:dyDescent="0.25">
      <c r="A73" s="214" t="s">
        <v>2616</v>
      </c>
      <c r="B73" s="64">
        <v>3.2</v>
      </c>
      <c r="C73" s="64">
        <v>78.150000000000006</v>
      </c>
      <c r="D73" s="64">
        <v>46.35</v>
      </c>
      <c r="E73" s="64">
        <v>2.72</v>
      </c>
      <c r="F73" s="64">
        <v>17.05</v>
      </c>
      <c r="G73" s="64">
        <v>99.54</v>
      </c>
      <c r="H73" s="64">
        <v>55.45</v>
      </c>
      <c r="I73" s="64">
        <v>1.45</v>
      </c>
      <c r="J73" s="64">
        <v>0.08</v>
      </c>
      <c r="K73" s="64">
        <v>293.76</v>
      </c>
      <c r="L73" s="64">
        <v>24.18</v>
      </c>
      <c r="M73" s="64">
        <v>41.57</v>
      </c>
      <c r="N73" s="64">
        <v>76.099999999999994</v>
      </c>
      <c r="O73" s="64">
        <v>0</v>
      </c>
      <c r="P73" s="64">
        <v>1.35</v>
      </c>
      <c r="Q73" s="64">
        <v>2.09</v>
      </c>
      <c r="R73" s="198"/>
      <c r="S73" s="198"/>
      <c r="T73" s="198"/>
      <c r="U73" s="198"/>
    </row>
    <row r="74" spans="1:21" s="12" customFormat="1" x14ac:dyDescent="0.25">
      <c r="A74" s="214" t="s">
        <v>2617</v>
      </c>
      <c r="B74" s="64">
        <v>3.44</v>
      </c>
      <c r="C74" s="64">
        <v>79.290000000000006</v>
      </c>
      <c r="D74" s="64">
        <v>47.17</v>
      </c>
      <c r="E74" s="64">
        <v>2.4700000000000002</v>
      </c>
      <c r="F74" s="64">
        <v>14.06</v>
      </c>
      <c r="G74" s="64">
        <v>99.54</v>
      </c>
      <c r="H74" s="64">
        <v>55.45</v>
      </c>
      <c r="I74" s="64">
        <v>1.5</v>
      </c>
      <c r="J74" s="64">
        <v>0.01</v>
      </c>
      <c r="K74" s="64">
        <v>77.08</v>
      </c>
      <c r="L74" s="64">
        <v>23.66</v>
      </c>
      <c r="M74" s="64">
        <v>43.24</v>
      </c>
      <c r="N74" s="64">
        <v>63.7</v>
      </c>
      <c r="O74" s="64">
        <v>0</v>
      </c>
      <c r="P74" s="64">
        <v>1.32</v>
      </c>
      <c r="Q74" s="64">
        <v>2.36</v>
      </c>
      <c r="R74" s="198"/>
      <c r="S74" s="198"/>
      <c r="T74" s="198"/>
      <c r="U74" s="198"/>
    </row>
    <row r="75" spans="1:21" s="12" customFormat="1" x14ac:dyDescent="0.25">
      <c r="A75" s="214" t="s">
        <v>2618</v>
      </c>
      <c r="B75" s="64">
        <v>3.62</v>
      </c>
      <c r="C75" s="64">
        <v>80.12</v>
      </c>
      <c r="D75" s="64">
        <v>47.76</v>
      </c>
      <c r="E75" s="64">
        <v>2.4300000000000002</v>
      </c>
      <c r="F75" s="64">
        <v>14</v>
      </c>
      <c r="G75" s="64">
        <v>103.51</v>
      </c>
      <c r="H75" s="64">
        <v>55.79</v>
      </c>
      <c r="I75" s="64">
        <v>1.46</v>
      </c>
      <c r="J75" s="64">
        <v>0.1</v>
      </c>
      <c r="K75" s="64">
        <v>117.93</v>
      </c>
      <c r="L75" s="64">
        <v>22.87</v>
      </c>
      <c r="M75" s="64">
        <v>48.79</v>
      </c>
      <c r="N75" s="64">
        <v>52.5</v>
      </c>
      <c r="O75" s="64">
        <v>0</v>
      </c>
      <c r="P75" s="64">
        <v>1.1499999999999999</v>
      </c>
      <c r="Q75" s="64">
        <v>3.37</v>
      </c>
      <c r="R75" s="198"/>
      <c r="S75" s="198"/>
      <c r="T75" s="198"/>
      <c r="U75" s="198"/>
    </row>
    <row r="76" spans="1:21" s="12" customFormat="1" x14ac:dyDescent="0.25">
      <c r="A76" s="214" t="s">
        <v>2619</v>
      </c>
      <c r="B76" s="64">
        <v>3.83</v>
      </c>
      <c r="C76" s="64">
        <v>80.760000000000005</v>
      </c>
      <c r="D76" s="64">
        <v>48.29</v>
      </c>
      <c r="E76" s="64">
        <v>2.78</v>
      </c>
      <c r="F76" s="64">
        <v>15.17</v>
      </c>
      <c r="G76" s="64">
        <v>119.37</v>
      </c>
      <c r="H76" s="64">
        <v>57.29</v>
      </c>
      <c r="I76" s="64">
        <v>1.46</v>
      </c>
      <c r="J76" s="64">
        <v>0.04</v>
      </c>
      <c r="K76" s="64">
        <v>138.94999999999999</v>
      </c>
      <c r="L76" s="64">
        <v>22.03</v>
      </c>
      <c r="M76" s="64">
        <v>51.81</v>
      </c>
      <c r="N76" s="64">
        <v>42</v>
      </c>
      <c r="O76" s="64">
        <v>0</v>
      </c>
      <c r="P76" s="64">
        <v>1.08</v>
      </c>
      <c r="Q76" s="64">
        <v>3.24</v>
      </c>
      <c r="R76" s="198"/>
      <c r="S76" s="198"/>
      <c r="T76" s="198"/>
      <c r="U76" s="198"/>
    </row>
    <row r="77" spans="1:21" s="12" customFormat="1" x14ac:dyDescent="0.25">
      <c r="A77" s="214" t="s">
        <v>2620</v>
      </c>
      <c r="B77" s="64">
        <v>4.21</v>
      </c>
      <c r="C77" s="64">
        <v>81.61</v>
      </c>
      <c r="D77" s="64">
        <v>49.06</v>
      </c>
      <c r="E77" s="64">
        <v>2.23</v>
      </c>
      <c r="F77" s="64">
        <v>8.9600000000000009</v>
      </c>
      <c r="G77" s="64">
        <v>119.37</v>
      </c>
      <c r="H77" s="64">
        <v>57.29</v>
      </c>
      <c r="I77" s="64">
        <v>1.47</v>
      </c>
      <c r="J77" s="64">
        <v>0.11</v>
      </c>
      <c r="K77" s="64">
        <v>88.11</v>
      </c>
      <c r="L77" s="64">
        <v>20.96</v>
      </c>
      <c r="M77" s="64">
        <v>64</v>
      </c>
      <c r="N77" s="64">
        <v>33.5</v>
      </c>
      <c r="O77" s="64">
        <v>0</v>
      </c>
      <c r="P77" s="64">
        <v>1.24</v>
      </c>
      <c r="Q77" s="64">
        <v>2.67</v>
      </c>
      <c r="R77" s="198"/>
      <c r="S77" s="198"/>
      <c r="T77" s="198"/>
      <c r="U77" s="198"/>
    </row>
    <row r="78" spans="1:21" s="12" customFormat="1" x14ac:dyDescent="0.25">
      <c r="A78" s="214" t="s">
        <v>2621</v>
      </c>
      <c r="B78" s="64">
        <v>4.9000000000000004</v>
      </c>
      <c r="C78" s="64">
        <v>83.19</v>
      </c>
      <c r="D78" s="64">
        <v>50.49</v>
      </c>
      <c r="E78" s="64">
        <v>1.85</v>
      </c>
      <c r="F78" s="64">
        <v>8.43</v>
      </c>
      <c r="G78" s="64">
        <v>119.37</v>
      </c>
      <c r="H78" s="64">
        <v>57.29</v>
      </c>
      <c r="I78" s="64">
        <v>1.49</v>
      </c>
      <c r="J78" s="64">
        <v>0.1</v>
      </c>
      <c r="K78" s="64">
        <v>74.34</v>
      </c>
      <c r="L78" s="64">
        <v>20.170000000000002</v>
      </c>
      <c r="M78" s="64">
        <v>69.61</v>
      </c>
      <c r="N78" s="64">
        <v>29</v>
      </c>
      <c r="O78" s="64">
        <v>0</v>
      </c>
      <c r="P78" s="64">
        <v>1.19</v>
      </c>
      <c r="Q78" s="64">
        <v>2.61</v>
      </c>
      <c r="R78" s="198"/>
      <c r="S78" s="198"/>
      <c r="T78" s="198"/>
      <c r="U78" s="198"/>
    </row>
    <row r="79" spans="1:21" s="12" customFormat="1" x14ac:dyDescent="0.25">
      <c r="A79" s="214" t="s">
        <v>2622</v>
      </c>
      <c r="B79" s="64">
        <v>5.95</v>
      </c>
      <c r="C79" s="64">
        <v>85.29</v>
      </c>
      <c r="D79" s="64">
        <v>52.48</v>
      </c>
      <c r="E79" s="64">
        <v>1.61</v>
      </c>
      <c r="F79" s="64">
        <v>4.87</v>
      </c>
      <c r="G79" s="64">
        <v>126.4</v>
      </c>
      <c r="H79" s="64">
        <v>60.08</v>
      </c>
      <c r="I79" s="64">
        <v>1.53</v>
      </c>
      <c r="J79" s="64">
        <v>0.17</v>
      </c>
      <c r="K79" s="64">
        <v>58.68</v>
      </c>
      <c r="L79" s="64">
        <v>19.57</v>
      </c>
      <c r="M79" s="64">
        <v>72.16</v>
      </c>
      <c r="N79" s="64">
        <v>27.7</v>
      </c>
      <c r="O79" s="64">
        <v>0</v>
      </c>
      <c r="P79" s="64">
        <v>1.28</v>
      </c>
      <c r="Q79" s="64">
        <v>0.87</v>
      </c>
      <c r="R79" s="198"/>
      <c r="S79" s="198"/>
      <c r="T79" s="198"/>
      <c r="U79" s="198"/>
    </row>
    <row r="80" spans="1:21" s="12" customFormat="1" x14ac:dyDescent="0.25">
      <c r="A80" s="214" t="s">
        <v>2623</v>
      </c>
      <c r="B80" s="64">
        <v>8.35</v>
      </c>
      <c r="C80" s="64">
        <v>87.85</v>
      </c>
      <c r="D80" s="64">
        <v>55.82</v>
      </c>
      <c r="E80" s="64">
        <v>1.49</v>
      </c>
      <c r="F80" s="64">
        <v>3.91</v>
      </c>
      <c r="G80" s="64">
        <v>152.66</v>
      </c>
      <c r="H80" s="64">
        <v>67.69</v>
      </c>
      <c r="I80" s="64">
        <v>1.48</v>
      </c>
      <c r="J80" s="64">
        <v>0.1</v>
      </c>
      <c r="K80" s="64">
        <v>46.65</v>
      </c>
      <c r="L80" s="64">
        <v>19.239999999999998</v>
      </c>
      <c r="M80" s="64">
        <v>74.34</v>
      </c>
      <c r="N80" s="64">
        <v>27.5</v>
      </c>
      <c r="O80" s="64">
        <v>0</v>
      </c>
      <c r="P80" s="64">
        <v>1.54</v>
      </c>
      <c r="Q80" s="64">
        <v>0.26</v>
      </c>
      <c r="R80" s="198"/>
      <c r="S80" s="198"/>
      <c r="T80" s="198"/>
      <c r="U80" s="198"/>
    </row>
    <row r="81" spans="1:26" s="12" customFormat="1" x14ac:dyDescent="0.25">
      <c r="A81" s="214" t="s">
        <v>2624</v>
      </c>
      <c r="B81" s="64">
        <v>12.35</v>
      </c>
      <c r="C81" s="64">
        <v>90.69</v>
      </c>
      <c r="D81" s="64">
        <v>60.59</v>
      </c>
      <c r="E81" s="64">
        <v>1.51</v>
      </c>
      <c r="F81" s="64">
        <v>3.74</v>
      </c>
      <c r="G81" s="64">
        <v>152.66</v>
      </c>
      <c r="H81" s="64">
        <v>67.69</v>
      </c>
      <c r="I81" s="64">
        <v>1.45</v>
      </c>
      <c r="J81" s="64">
        <v>0.09</v>
      </c>
      <c r="K81" s="64">
        <v>4.5999999999999996</v>
      </c>
      <c r="L81" s="64">
        <v>18.88</v>
      </c>
      <c r="M81" s="64">
        <v>82.33</v>
      </c>
      <c r="N81" s="64">
        <v>27.5</v>
      </c>
      <c r="O81" s="64">
        <v>0</v>
      </c>
      <c r="P81" s="64">
        <v>2.0299999999999998</v>
      </c>
      <c r="Q81" s="64">
        <v>0.39</v>
      </c>
      <c r="R81" s="198"/>
      <c r="S81" s="198"/>
      <c r="T81" s="198"/>
      <c r="U81" s="198"/>
    </row>
    <row r="82" spans="1:26" s="12" customFormat="1" x14ac:dyDescent="0.25">
      <c r="A82" s="214" t="s">
        <v>2625</v>
      </c>
      <c r="B82" s="64">
        <v>18.7</v>
      </c>
      <c r="C82" s="64">
        <v>93.13</v>
      </c>
      <c r="D82" s="64">
        <v>67.040000000000006</v>
      </c>
      <c r="E82" s="64">
        <v>1.21</v>
      </c>
      <c r="F82" s="64">
        <v>3.62</v>
      </c>
      <c r="G82" s="64">
        <v>152.66</v>
      </c>
      <c r="H82" s="64">
        <v>67.69</v>
      </c>
      <c r="I82" s="64">
        <v>1.52</v>
      </c>
      <c r="J82" s="64">
        <v>0.06</v>
      </c>
      <c r="K82" s="64">
        <v>44.98</v>
      </c>
      <c r="L82" s="64">
        <v>18.57</v>
      </c>
      <c r="M82" s="64">
        <v>80.33</v>
      </c>
      <c r="N82" s="64">
        <v>27.5</v>
      </c>
      <c r="O82" s="64">
        <v>0</v>
      </c>
      <c r="P82" s="64">
        <v>1.89</v>
      </c>
      <c r="Q82" s="64">
        <v>3.13</v>
      </c>
      <c r="R82" s="198"/>
      <c r="S82" s="198"/>
      <c r="T82" s="198"/>
      <c r="U82" s="198"/>
    </row>
    <row r="83" spans="1:26" s="12" customFormat="1" x14ac:dyDescent="0.25">
      <c r="A83" s="214" t="s">
        <v>2626</v>
      </c>
      <c r="B83" s="64">
        <v>27.11</v>
      </c>
      <c r="C83" s="64">
        <v>97.32</v>
      </c>
      <c r="D83" s="64">
        <v>76.099999999999994</v>
      </c>
      <c r="E83" s="64">
        <v>1.31</v>
      </c>
      <c r="F83" s="64">
        <v>3.41</v>
      </c>
      <c r="G83" s="64">
        <v>152.66</v>
      </c>
      <c r="H83" s="64">
        <v>74.489999999999995</v>
      </c>
      <c r="I83" s="64">
        <v>1.5</v>
      </c>
      <c r="J83" s="64">
        <v>0.03</v>
      </c>
      <c r="K83" s="64">
        <v>82.53</v>
      </c>
      <c r="L83" s="64">
        <v>18.14</v>
      </c>
      <c r="M83" s="64">
        <v>75.91</v>
      </c>
      <c r="N83" s="64">
        <v>27.6</v>
      </c>
      <c r="O83" s="64">
        <v>0</v>
      </c>
      <c r="P83" s="64">
        <v>2.61</v>
      </c>
      <c r="Q83" s="64">
        <v>1.36</v>
      </c>
      <c r="R83" s="198"/>
      <c r="S83" s="198"/>
      <c r="T83" s="198"/>
      <c r="U83" s="198"/>
    </row>
    <row r="84" spans="1:26" s="12" customFormat="1" x14ac:dyDescent="0.25">
      <c r="A84" s="214" t="s">
        <v>2627</v>
      </c>
      <c r="B84" s="64">
        <v>37.159999999999997</v>
      </c>
      <c r="C84" s="64">
        <v>102.06</v>
      </c>
      <c r="D84" s="64">
        <v>86.77</v>
      </c>
      <c r="E84" s="64">
        <v>1.31</v>
      </c>
      <c r="F84" s="64">
        <v>3.65</v>
      </c>
      <c r="G84" s="64">
        <v>258.91000000000003</v>
      </c>
      <c r="H84" s="64">
        <v>92.99</v>
      </c>
      <c r="I84" s="64">
        <v>1.5</v>
      </c>
      <c r="J84" s="64">
        <v>0.04</v>
      </c>
      <c r="K84" s="64">
        <v>277.83</v>
      </c>
      <c r="L84" s="64">
        <v>17.8</v>
      </c>
      <c r="M84" s="64">
        <v>77.22</v>
      </c>
      <c r="N84" s="64">
        <v>27.6</v>
      </c>
      <c r="O84" s="64">
        <v>0</v>
      </c>
      <c r="P84" s="64">
        <v>2.62</v>
      </c>
      <c r="Q84" s="64">
        <v>1.91</v>
      </c>
      <c r="R84" s="198"/>
      <c r="S84" s="198"/>
      <c r="T84" s="198"/>
      <c r="U84" s="198"/>
    </row>
    <row r="85" spans="1:26" s="12" customFormat="1" x14ac:dyDescent="0.25">
      <c r="A85" s="214" t="s">
        <v>2628</v>
      </c>
      <c r="B85" s="64">
        <v>49.76</v>
      </c>
      <c r="C85" s="64">
        <v>106.03</v>
      </c>
      <c r="D85" s="64">
        <v>99.07</v>
      </c>
      <c r="E85" s="64">
        <v>1.39</v>
      </c>
      <c r="F85" s="64">
        <v>3.8</v>
      </c>
      <c r="G85" s="64">
        <v>258.91000000000003</v>
      </c>
      <c r="H85" s="64">
        <v>92.99</v>
      </c>
      <c r="I85" s="64">
        <v>1.48</v>
      </c>
      <c r="J85" s="64">
        <v>0.1</v>
      </c>
      <c r="K85" s="64">
        <v>314.91000000000003</v>
      </c>
      <c r="L85" s="64">
        <v>17.61</v>
      </c>
      <c r="M85" s="64">
        <v>81.33</v>
      </c>
      <c r="N85" s="64">
        <v>27.5</v>
      </c>
      <c r="O85" s="64">
        <v>0</v>
      </c>
      <c r="P85" s="64">
        <v>3.07</v>
      </c>
      <c r="Q85" s="64">
        <v>1.42</v>
      </c>
      <c r="R85" s="198"/>
      <c r="S85" s="198"/>
      <c r="T85" s="198"/>
      <c r="U85" s="198"/>
    </row>
    <row r="86" spans="1:26" s="12" customFormat="1" x14ac:dyDescent="0.25">
      <c r="A86" s="214" t="s">
        <v>2629</v>
      </c>
      <c r="B86" s="64">
        <v>62.72</v>
      </c>
      <c r="C86" s="64">
        <v>109.14</v>
      </c>
      <c r="D86" s="64">
        <v>111.18</v>
      </c>
      <c r="E86" s="64">
        <v>1.4</v>
      </c>
      <c r="F86" s="64">
        <v>3.9</v>
      </c>
      <c r="G86" s="64">
        <v>258.91000000000003</v>
      </c>
      <c r="H86" s="64">
        <v>92.99</v>
      </c>
      <c r="I86" s="64">
        <v>1.48</v>
      </c>
      <c r="J86" s="64">
        <v>0.01</v>
      </c>
      <c r="K86" s="64">
        <v>41.18</v>
      </c>
      <c r="L86" s="64">
        <v>17.32</v>
      </c>
      <c r="M86" s="64">
        <v>83.62</v>
      </c>
      <c r="N86" s="64">
        <v>27.6</v>
      </c>
      <c r="O86" s="64">
        <v>0</v>
      </c>
      <c r="P86" s="64">
        <v>4.04</v>
      </c>
      <c r="Q86" s="64">
        <v>1.46</v>
      </c>
      <c r="R86" s="198"/>
      <c r="S86" s="198"/>
      <c r="T86" s="198"/>
      <c r="U86" s="198"/>
    </row>
    <row r="87" spans="1:26" s="12" customFormat="1" x14ac:dyDescent="0.25">
      <c r="A87" s="214" t="s">
        <v>2630</v>
      </c>
      <c r="B87" s="64">
        <v>77.52</v>
      </c>
      <c r="C87" s="64">
        <v>111.23</v>
      </c>
      <c r="D87" s="64">
        <v>124.19</v>
      </c>
      <c r="E87" s="64">
        <v>1.46</v>
      </c>
      <c r="F87" s="64">
        <v>3.67</v>
      </c>
      <c r="G87" s="64">
        <v>272.13</v>
      </c>
      <c r="H87" s="64">
        <v>101.33</v>
      </c>
      <c r="I87" s="64">
        <v>1.54</v>
      </c>
      <c r="J87" s="64">
        <v>0.08</v>
      </c>
      <c r="K87" s="64">
        <v>112.43</v>
      </c>
      <c r="L87" s="64">
        <v>17.27</v>
      </c>
      <c r="M87" s="64">
        <v>86.37</v>
      </c>
      <c r="N87" s="64">
        <v>27.5</v>
      </c>
      <c r="O87" s="64">
        <v>0</v>
      </c>
      <c r="P87" s="64">
        <v>4.53</v>
      </c>
      <c r="Q87" s="64">
        <v>1.59</v>
      </c>
      <c r="R87" s="198"/>
      <c r="S87" s="198"/>
      <c r="T87" s="198"/>
      <c r="U87" s="198"/>
    </row>
    <row r="88" spans="1:26" s="12" customFormat="1" x14ac:dyDescent="0.25">
      <c r="A88" s="214" t="s">
        <v>2631</v>
      </c>
      <c r="B88" s="64">
        <v>91.94</v>
      </c>
      <c r="C88" s="64">
        <v>113.19</v>
      </c>
      <c r="D88" s="64">
        <v>136.85</v>
      </c>
      <c r="E88" s="64">
        <v>0.78</v>
      </c>
      <c r="F88" s="64">
        <v>3.52</v>
      </c>
      <c r="G88" s="64">
        <v>321.52999999999997</v>
      </c>
      <c r="H88" s="64">
        <v>124.04</v>
      </c>
      <c r="I88" s="64">
        <v>1.45</v>
      </c>
      <c r="J88" s="64">
        <v>7.0000000000000007E-2</v>
      </c>
      <c r="K88" s="64">
        <v>129.96</v>
      </c>
      <c r="L88" s="64">
        <v>17.04</v>
      </c>
      <c r="M88" s="64">
        <v>87.56</v>
      </c>
      <c r="N88" s="64">
        <v>27.5</v>
      </c>
      <c r="O88" s="64">
        <v>0</v>
      </c>
      <c r="P88" s="64">
        <v>4.42</v>
      </c>
      <c r="Q88" s="64">
        <v>1.95</v>
      </c>
      <c r="R88" s="198"/>
      <c r="S88" s="198"/>
      <c r="T88" s="198"/>
      <c r="U88" s="198"/>
    </row>
    <row r="89" spans="1:26" s="12" customFormat="1" x14ac:dyDescent="0.25">
      <c r="A89" s="214" t="s">
        <v>2632</v>
      </c>
      <c r="B89" s="64">
        <v>112.13</v>
      </c>
      <c r="C89" s="64">
        <v>115.72</v>
      </c>
      <c r="D89" s="64">
        <v>154.43</v>
      </c>
      <c r="E89" s="64">
        <v>1.43</v>
      </c>
      <c r="F89" s="64">
        <v>4.16</v>
      </c>
      <c r="G89" s="64">
        <v>321.52999999999997</v>
      </c>
      <c r="H89" s="64">
        <v>124.04</v>
      </c>
      <c r="I89" s="64">
        <v>1.49</v>
      </c>
      <c r="J89" s="64">
        <v>0.1</v>
      </c>
      <c r="K89" s="64">
        <v>327.17</v>
      </c>
      <c r="L89" s="64">
        <v>16.899999999999999</v>
      </c>
      <c r="M89" s="64">
        <v>90.99</v>
      </c>
      <c r="N89" s="64">
        <v>27.5</v>
      </c>
      <c r="O89" s="64">
        <v>0</v>
      </c>
      <c r="P89" s="64">
        <v>5.13</v>
      </c>
      <c r="Q89" s="64">
        <v>1.88</v>
      </c>
      <c r="R89" s="198"/>
      <c r="S89" s="198"/>
      <c r="T89" s="198"/>
      <c r="U89" s="198"/>
    </row>
    <row r="90" spans="1:26" s="12" customFormat="1" x14ac:dyDescent="0.25">
      <c r="A90" s="214" t="s">
        <v>2633</v>
      </c>
      <c r="B90" s="64">
        <v>128.59</v>
      </c>
      <c r="C90" s="64">
        <v>116.74</v>
      </c>
      <c r="D90" s="64">
        <v>168.19</v>
      </c>
      <c r="E90" s="64">
        <v>1.43</v>
      </c>
      <c r="F90" s="64">
        <v>4.3600000000000003</v>
      </c>
      <c r="G90" s="64">
        <v>321.52999999999997</v>
      </c>
      <c r="H90" s="64">
        <v>124.04</v>
      </c>
      <c r="I90" s="64">
        <v>1.53</v>
      </c>
      <c r="J90" s="64">
        <v>0.02</v>
      </c>
      <c r="K90" s="64">
        <v>350.82</v>
      </c>
      <c r="L90" s="64">
        <v>16.739999999999998</v>
      </c>
      <c r="M90" s="64">
        <v>93.11</v>
      </c>
      <c r="N90" s="64">
        <v>27.5</v>
      </c>
      <c r="O90" s="64">
        <v>0</v>
      </c>
      <c r="P90" s="64">
        <v>6.67</v>
      </c>
      <c r="Q90" s="64">
        <v>1.27</v>
      </c>
      <c r="R90" s="198"/>
      <c r="S90" s="198"/>
      <c r="T90" s="198"/>
      <c r="U90" s="198"/>
    </row>
    <row r="91" spans="1:26" s="12" customFormat="1" x14ac:dyDescent="0.25">
      <c r="A91" s="214" t="s">
        <v>2634</v>
      </c>
      <c r="B91" s="64">
        <v>141.18</v>
      </c>
      <c r="C91" s="64">
        <v>117.17</v>
      </c>
      <c r="D91" s="64">
        <v>178.53</v>
      </c>
      <c r="E91" s="64">
        <v>1.51</v>
      </c>
      <c r="F91" s="64">
        <v>4.0999999999999996</v>
      </c>
      <c r="G91" s="64">
        <v>330.5</v>
      </c>
      <c r="H91" s="64">
        <v>128.44999999999999</v>
      </c>
      <c r="I91" s="64">
        <v>1.55</v>
      </c>
      <c r="J91" s="64">
        <v>0.06</v>
      </c>
      <c r="K91" s="64">
        <v>178.61</v>
      </c>
      <c r="L91" s="64">
        <v>16.59</v>
      </c>
      <c r="M91" s="64">
        <v>93.73</v>
      </c>
      <c r="N91" s="64">
        <v>27.5</v>
      </c>
      <c r="O91" s="64">
        <v>0</v>
      </c>
      <c r="P91" s="64">
        <v>6.17</v>
      </c>
      <c r="Q91" s="64">
        <v>4.43</v>
      </c>
      <c r="R91" s="198"/>
      <c r="S91" s="198"/>
      <c r="T91" s="198"/>
      <c r="U91" s="198"/>
    </row>
    <row r="92" spans="1:26" s="12" customFormat="1" x14ac:dyDescent="0.25">
      <c r="A92" s="214" t="s">
        <v>2635</v>
      </c>
      <c r="B92" s="64">
        <v>155.41</v>
      </c>
      <c r="C92" s="64">
        <v>117.75</v>
      </c>
      <c r="D92" s="64">
        <v>190.26</v>
      </c>
      <c r="E92" s="64">
        <v>1.66</v>
      </c>
      <c r="F92" s="64">
        <v>3.84</v>
      </c>
      <c r="G92" s="64">
        <v>364.02</v>
      </c>
      <c r="H92" s="64">
        <v>148.09</v>
      </c>
      <c r="I92" s="64">
        <v>1.52</v>
      </c>
      <c r="J92" s="64">
        <v>0.1</v>
      </c>
      <c r="K92" s="64">
        <v>348.53</v>
      </c>
      <c r="L92" s="64">
        <v>16.41</v>
      </c>
      <c r="M92" s="64">
        <v>93.82</v>
      </c>
      <c r="N92" s="64">
        <v>27.6</v>
      </c>
      <c r="O92" s="64">
        <v>0</v>
      </c>
      <c r="P92" s="64">
        <v>5.88</v>
      </c>
      <c r="Q92" s="64">
        <v>2.0299999999999998</v>
      </c>
      <c r="R92" s="198"/>
      <c r="S92" s="198"/>
      <c r="T92" s="198"/>
      <c r="U92" s="198"/>
    </row>
    <row r="93" spans="1:26" s="12" customFormat="1" x14ac:dyDescent="0.25">
      <c r="A93" s="214" t="s">
        <v>2636</v>
      </c>
      <c r="B93" s="64">
        <v>170.99</v>
      </c>
      <c r="C93" s="64">
        <v>116.81</v>
      </c>
      <c r="D93" s="64">
        <v>202.23</v>
      </c>
      <c r="E93" s="64">
        <v>1.56</v>
      </c>
      <c r="F93" s="64">
        <v>4.09</v>
      </c>
      <c r="G93" s="64">
        <v>364.02</v>
      </c>
      <c r="H93" s="64">
        <v>148.09</v>
      </c>
      <c r="I93" s="64">
        <v>1.47</v>
      </c>
      <c r="J93" s="64">
        <v>0.08</v>
      </c>
      <c r="K93" s="64">
        <v>329.98</v>
      </c>
      <c r="L93" s="64">
        <v>16.32</v>
      </c>
      <c r="M93" s="64">
        <v>95.54</v>
      </c>
      <c r="N93" s="64">
        <v>27.6</v>
      </c>
      <c r="O93" s="64">
        <v>0</v>
      </c>
      <c r="P93" s="64">
        <v>6.45</v>
      </c>
      <c r="Q93" s="64">
        <v>1.48</v>
      </c>
      <c r="R93" s="198"/>
      <c r="S93" s="198"/>
      <c r="T93" s="198"/>
      <c r="U93" s="198"/>
    </row>
    <row r="94" spans="1:26" s="12" customFormat="1" x14ac:dyDescent="0.25">
      <c r="A94" s="214" t="s">
        <v>2637</v>
      </c>
      <c r="B94" s="64">
        <v>182.15</v>
      </c>
      <c r="C94" s="64">
        <v>117.16</v>
      </c>
      <c r="D94" s="64">
        <v>211.38</v>
      </c>
      <c r="E94" s="64">
        <v>1.57</v>
      </c>
      <c r="F94" s="64">
        <v>4.16</v>
      </c>
      <c r="G94" s="64">
        <v>364.02</v>
      </c>
      <c r="H94" s="64">
        <v>148.09</v>
      </c>
      <c r="I94" s="64">
        <v>1.45</v>
      </c>
      <c r="J94" s="64">
        <v>0.11</v>
      </c>
      <c r="K94" s="64">
        <v>313.57</v>
      </c>
      <c r="L94" s="64">
        <v>16.21</v>
      </c>
      <c r="M94" s="64">
        <v>96.61</v>
      </c>
      <c r="N94" s="64">
        <v>27.6</v>
      </c>
      <c r="O94" s="64">
        <v>0</v>
      </c>
      <c r="P94" s="64">
        <v>6.66</v>
      </c>
      <c r="Q94" s="64">
        <v>5.34</v>
      </c>
      <c r="R94" s="198"/>
      <c r="S94" s="198"/>
      <c r="T94" s="198"/>
      <c r="U94" s="198"/>
    </row>
    <row r="95" spans="1:26" s="12" customFormat="1" x14ac:dyDescent="0.25">
      <c r="A95" s="214" t="s">
        <v>2638</v>
      </c>
      <c r="B95" s="64">
        <v>195.31</v>
      </c>
      <c r="C95" s="64">
        <v>116.33</v>
      </c>
      <c r="D95" s="64">
        <v>221.47</v>
      </c>
      <c r="E95" s="64">
        <v>1.6</v>
      </c>
      <c r="F95" s="64">
        <v>3.77</v>
      </c>
      <c r="G95" s="64">
        <v>364.82</v>
      </c>
      <c r="H95" s="64">
        <v>148.09</v>
      </c>
      <c r="I95" s="64">
        <v>1.54</v>
      </c>
      <c r="J95" s="64">
        <v>0.12</v>
      </c>
      <c r="K95" s="64">
        <v>300.08</v>
      </c>
      <c r="L95" s="64">
        <v>15.98</v>
      </c>
      <c r="M95" s="64">
        <v>97.62</v>
      </c>
      <c r="N95" s="64">
        <v>27.6</v>
      </c>
      <c r="O95" s="64">
        <v>0</v>
      </c>
      <c r="P95" s="64">
        <v>7.05</v>
      </c>
      <c r="Q95" s="64">
        <v>6.71</v>
      </c>
      <c r="R95" s="198"/>
      <c r="S95" s="198"/>
      <c r="T95" s="198"/>
      <c r="U95" s="198"/>
    </row>
    <row r="96" spans="1:26" s="12" customFormat="1" x14ac:dyDescent="0.25">
      <c r="A96" s="214" t="s">
        <v>2639</v>
      </c>
      <c r="B96" s="64">
        <v>205.65</v>
      </c>
      <c r="C96" s="64">
        <v>117.29</v>
      </c>
      <c r="D96" s="64">
        <v>230.29</v>
      </c>
      <c r="E96" s="64">
        <v>1.67</v>
      </c>
      <c r="F96" s="64">
        <v>3.75</v>
      </c>
      <c r="G96" s="64">
        <v>367.82</v>
      </c>
      <c r="H96" s="64">
        <v>163.92</v>
      </c>
      <c r="I96" s="64">
        <v>1.55</v>
      </c>
      <c r="J96" s="64">
        <v>0.05</v>
      </c>
      <c r="K96" s="64">
        <v>340.59</v>
      </c>
      <c r="L96" s="64">
        <v>15.88</v>
      </c>
      <c r="M96" s="64">
        <v>97.99</v>
      </c>
      <c r="N96" s="64">
        <v>27.8</v>
      </c>
      <c r="O96" s="64">
        <v>0</v>
      </c>
      <c r="P96" s="64">
        <v>7.71</v>
      </c>
      <c r="Q96" s="64">
        <v>7.14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2640</v>
      </c>
      <c r="B97" s="64">
        <v>213.75</v>
      </c>
      <c r="C97" s="64">
        <v>114.61</v>
      </c>
      <c r="D97" s="64">
        <v>235.31</v>
      </c>
      <c r="E97" s="64">
        <v>1.71</v>
      </c>
      <c r="F97" s="64">
        <v>3.95</v>
      </c>
      <c r="G97" s="64">
        <v>367.82</v>
      </c>
      <c r="H97" s="64">
        <v>163.92</v>
      </c>
      <c r="I97" s="64">
        <v>1.42</v>
      </c>
      <c r="J97" s="64">
        <v>0.06</v>
      </c>
      <c r="K97" s="64">
        <v>260.97000000000003</v>
      </c>
      <c r="L97" s="64">
        <v>15.82</v>
      </c>
      <c r="M97" s="64">
        <v>97.53</v>
      </c>
      <c r="N97" s="64">
        <v>27.8</v>
      </c>
      <c r="O97" s="64">
        <v>0</v>
      </c>
      <c r="P97" s="64">
        <v>7.38</v>
      </c>
      <c r="Q97" s="64">
        <v>10.220000000000001</v>
      </c>
      <c r="R97" s="198"/>
      <c r="S97" s="198"/>
      <c r="T97" s="198"/>
      <c r="U97" s="198"/>
    </row>
    <row r="98" spans="1:33" s="12" customFormat="1" x14ac:dyDescent="0.25">
      <c r="A98" s="214" t="s">
        <v>2641</v>
      </c>
      <c r="B98" s="64">
        <v>220.01</v>
      </c>
      <c r="C98" s="64">
        <v>113.2</v>
      </c>
      <c r="D98" s="64">
        <v>239.55</v>
      </c>
      <c r="E98" s="64">
        <v>1.73</v>
      </c>
      <c r="F98" s="64">
        <v>3.8</v>
      </c>
      <c r="G98" s="64">
        <v>367.82</v>
      </c>
      <c r="H98" s="64">
        <v>163.92</v>
      </c>
      <c r="I98" s="64">
        <v>1.47</v>
      </c>
      <c r="J98" s="64">
        <v>7.0000000000000007E-2</v>
      </c>
      <c r="K98" s="64">
        <v>265.99</v>
      </c>
      <c r="L98" s="64">
        <v>15.73</v>
      </c>
      <c r="M98" s="64">
        <v>97.61</v>
      </c>
      <c r="N98" s="64">
        <v>27.9</v>
      </c>
      <c r="O98" s="64">
        <v>0</v>
      </c>
      <c r="P98" s="64">
        <v>7.14</v>
      </c>
      <c r="Q98" s="64">
        <v>12.32</v>
      </c>
      <c r="R98" s="198"/>
      <c r="S98" s="198"/>
      <c r="T98" s="198"/>
      <c r="U98" s="198"/>
    </row>
    <row r="99" spans="1:33" s="12" customFormat="1" x14ac:dyDescent="0.25">
      <c r="A99" s="214" t="s">
        <v>2642</v>
      </c>
      <c r="B99" s="64">
        <v>225.68</v>
      </c>
      <c r="C99" s="64">
        <v>111.88</v>
      </c>
      <c r="D99" s="64">
        <v>243.37</v>
      </c>
      <c r="E99" s="64">
        <v>1.68</v>
      </c>
      <c r="F99" s="64">
        <v>3.94</v>
      </c>
      <c r="G99" s="64">
        <v>365.15</v>
      </c>
      <c r="H99" s="64">
        <v>163.94</v>
      </c>
      <c r="I99" s="64">
        <v>1.48</v>
      </c>
      <c r="J99" s="64">
        <v>0.09</v>
      </c>
      <c r="K99" s="64">
        <v>274.23</v>
      </c>
      <c r="L99" s="64">
        <v>15.68</v>
      </c>
      <c r="M99" s="64">
        <v>97.57</v>
      </c>
      <c r="N99" s="64">
        <v>27.9</v>
      </c>
      <c r="O99" s="64">
        <v>0</v>
      </c>
      <c r="P99" s="64">
        <v>6.94</v>
      </c>
      <c r="Q99" s="64">
        <v>13.13</v>
      </c>
      <c r="R99" s="198"/>
      <c r="S99" s="198"/>
      <c r="T99" s="198"/>
      <c r="U99" s="198"/>
    </row>
    <row r="100" spans="1:33" s="12" customFormat="1" x14ac:dyDescent="0.25">
      <c r="A100" s="214" t="s">
        <v>2643</v>
      </c>
      <c r="B100" s="64">
        <v>230.14</v>
      </c>
      <c r="C100" s="64">
        <v>110.03</v>
      </c>
      <c r="D100" s="64">
        <v>245.93</v>
      </c>
      <c r="E100" s="64">
        <v>1.52</v>
      </c>
      <c r="F100" s="64">
        <v>3.78</v>
      </c>
      <c r="G100" s="64">
        <v>355.17</v>
      </c>
      <c r="H100" s="64">
        <v>164.01</v>
      </c>
      <c r="I100" s="64">
        <v>1.45</v>
      </c>
      <c r="J100" s="64">
        <v>0.11</v>
      </c>
      <c r="K100" s="64">
        <v>254.72</v>
      </c>
      <c r="L100" s="64">
        <v>15.55</v>
      </c>
      <c r="M100" s="64">
        <v>94.92</v>
      </c>
      <c r="N100" s="64">
        <v>27.8</v>
      </c>
      <c r="O100" s="64">
        <v>0</v>
      </c>
      <c r="P100" s="64">
        <v>5.52</v>
      </c>
      <c r="Q100" s="64">
        <v>18.96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2644</v>
      </c>
      <c r="B101" s="64">
        <v>228.04</v>
      </c>
      <c r="C101" s="64">
        <v>107.48</v>
      </c>
      <c r="D101" s="64">
        <v>242.84</v>
      </c>
      <c r="E101" s="64">
        <v>1.1499999999999999</v>
      </c>
      <c r="F101" s="64">
        <v>3.7</v>
      </c>
      <c r="G101" s="64">
        <v>355.17</v>
      </c>
      <c r="H101" s="64">
        <v>164.01</v>
      </c>
      <c r="I101" s="64">
        <v>1.47</v>
      </c>
      <c r="J101" s="64">
        <v>0.1</v>
      </c>
      <c r="K101" s="64">
        <v>290.83</v>
      </c>
      <c r="L101" s="64">
        <v>15.45</v>
      </c>
      <c r="M101" s="64">
        <v>90.79</v>
      </c>
      <c r="N101" s="64">
        <v>28</v>
      </c>
      <c r="O101" s="64">
        <v>0</v>
      </c>
      <c r="P101" s="64">
        <v>3.35</v>
      </c>
      <c r="Q101" s="64">
        <v>32.840000000000003</v>
      </c>
      <c r="R101" s="198"/>
      <c r="S101" s="198"/>
      <c r="T101" s="198"/>
      <c r="U101" s="198"/>
    </row>
    <row r="102" spans="1:33" s="12" customFormat="1" x14ac:dyDescent="0.25">
      <c r="A102" s="214" t="s">
        <v>2645</v>
      </c>
      <c r="B102" s="64">
        <v>221.75</v>
      </c>
      <c r="C102" s="64">
        <v>105.77</v>
      </c>
      <c r="D102" s="64">
        <v>236.84</v>
      </c>
      <c r="E102" s="64">
        <v>1.08</v>
      </c>
      <c r="F102" s="64">
        <v>3.56</v>
      </c>
      <c r="G102" s="64">
        <v>355.17</v>
      </c>
      <c r="H102" s="64">
        <v>164.01</v>
      </c>
      <c r="I102" s="64">
        <v>1.62</v>
      </c>
      <c r="J102" s="64">
        <v>0.06</v>
      </c>
      <c r="K102" s="64">
        <v>308.88</v>
      </c>
      <c r="L102" s="64">
        <v>15.13</v>
      </c>
      <c r="M102" s="64">
        <v>94.69</v>
      </c>
      <c r="N102" s="64">
        <v>28.1</v>
      </c>
      <c r="O102" s="64">
        <v>0</v>
      </c>
      <c r="P102" s="64">
        <v>3.48</v>
      </c>
      <c r="Q102" s="64">
        <v>32.83</v>
      </c>
      <c r="R102" s="198"/>
      <c r="S102" s="198"/>
      <c r="T102" s="198"/>
      <c r="U102" s="198"/>
    </row>
    <row r="103" spans="1:33" s="12" customFormat="1" x14ac:dyDescent="0.25">
      <c r="A103" s="214" t="s">
        <v>2646</v>
      </c>
      <c r="B103" s="64">
        <v>217.27</v>
      </c>
      <c r="C103" s="64">
        <v>104.39</v>
      </c>
      <c r="D103" s="64">
        <v>232.49</v>
      </c>
      <c r="E103" s="64">
        <v>1.04</v>
      </c>
      <c r="F103" s="64">
        <v>3.65</v>
      </c>
      <c r="G103" s="64">
        <v>246.09</v>
      </c>
      <c r="H103" s="64">
        <v>145.80000000000001</v>
      </c>
      <c r="I103" s="64">
        <v>1.43</v>
      </c>
      <c r="J103" s="64">
        <v>7.0000000000000007E-2</v>
      </c>
      <c r="K103" s="64">
        <v>311.22000000000003</v>
      </c>
      <c r="L103" s="64">
        <v>14.97</v>
      </c>
      <c r="M103" s="64">
        <v>96.21</v>
      </c>
      <c r="N103" s="64">
        <v>28.1</v>
      </c>
      <c r="O103" s="64">
        <v>0</v>
      </c>
      <c r="P103" s="64">
        <v>3.32</v>
      </c>
      <c r="Q103" s="64">
        <v>29.79</v>
      </c>
      <c r="R103" s="198"/>
      <c r="S103" s="198"/>
      <c r="T103" s="198"/>
      <c r="U103" s="198"/>
    </row>
    <row r="104" spans="1:33" s="12" customFormat="1" x14ac:dyDescent="0.25">
      <c r="A104" s="214" t="s">
        <v>2647</v>
      </c>
      <c r="B104" s="64">
        <v>211.5</v>
      </c>
      <c r="C104" s="64">
        <v>102.76</v>
      </c>
      <c r="D104" s="64">
        <v>226.96</v>
      </c>
      <c r="E104" s="64">
        <v>0.5</v>
      </c>
      <c r="F104" s="64">
        <v>3.54</v>
      </c>
      <c r="G104" s="64">
        <v>246.09</v>
      </c>
      <c r="H104" s="64">
        <v>145.80000000000001</v>
      </c>
      <c r="I104" s="64">
        <v>1.54</v>
      </c>
      <c r="J104" s="64">
        <v>0.11</v>
      </c>
      <c r="K104" s="64">
        <v>307.88</v>
      </c>
      <c r="L104" s="64">
        <v>14.85</v>
      </c>
      <c r="M104" s="64">
        <v>96.66</v>
      </c>
      <c r="N104" s="64">
        <v>28.1</v>
      </c>
      <c r="O104" s="64">
        <v>0</v>
      </c>
      <c r="P104" s="64">
        <v>2.83</v>
      </c>
      <c r="Q104" s="64">
        <v>32.57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</v>
      </c>
      <c r="C106" s="67">
        <f>MIN(C9:C104)</f>
        <v>71.91</v>
      </c>
      <c r="D106" s="67">
        <f t="shared" ref="D106:Q106" si="0">MIN(D9:D104)</f>
        <v>45.08</v>
      </c>
      <c r="E106" s="67">
        <f t="shared" si="0"/>
        <v>0.08</v>
      </c>
      <c r="F106" s="67">
        <f t="shared" si="0"/>
        <v>3.02</v>
      </c>
      <c r="G106" s="67">
        <f t="shared" si="0"/>
        <v>88.85</v>
      </c>
      <c r="H106" s="67">
        <f t="shared" si="0"/>
        <v>52.19</v>
      </c>
      <c r="I106" s="67">
        <f t="shared" si="0"/>
        <v>1.42</v>
      </c>
      <c r="J106" s="67">
        <f t="shared" si="0"/>
        <v>0.01</v>
      </c>
      <c r="K106" s="67">
        <f t="shared" si="0"/>
        <v>1.17</v>
      </c>
      <c r="L106" s="67">
        <f t="shared" si="0"/>
        <v>11.88</v>
      </c>
      <c r="M106" s="67">
        <f t="shared" si="0"/>
        <v>33.71</v>
      </c>
      <c r="N106" s="67">
        <f t="shared" si="0"/>
        <v>27.5</v>
      </c>
      <c r="O106" s="67">
        <f t="shared" si="0"/>
        <v>0</v>
      </c>
      <c r="P106" s="67">
        <f t="shared" si="0"/>
        <v>0.8</v>
      </c>
      <c r="Q106" s="67">
        <f t="shared" si="0"/>
        <v>0.26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267.57</v>
      </c>
      <c r="C107" s="66">
        <f t="shared" ref="C107:Q107" si="1">MAX(C9:C104)</f>
        <v>117.75</v>
      </c>
      <c r="D107" s="66">
        <f t="shared" si="1"/>
        <v>271.56</v>
      </c>
      <c r="E107" s="66">
        <f t="shared" si="1"/>
        <v>2.78</v>
      </c>
      <c r="F107" s="66">
        <f t="shared" si="1"/>
        <v>39.89</v>
      </c>
      <c r="G107" s="66">
        <f t="shared" si="1"/>
        <v>367.82</v>
      </c>
      <c r="H107" s="66">
        <f t="shared" si="1"/>
        <v>164.01</v>
      </c>
      <c r="I107" s="66">
        <f t="shared" si="1"/>
        <v>1.62</v>
      </c>
      <c r="J107" s="66">
        <f t="shared" si="1"/>
        <v>1</v>
      </c>
      <c r="K107" s="66">
        <f t="shared" si="1"/>
        <v>357.71</v>
      </c>
      <c r="L107" s="66">
        <f t="shared" si="1"/>
        <v>28.59</v>
      </c>
      <c r="M107" s="66">
        <f t="shared" si="1"/>
        <v>98.25</v>
      </c>
      <c r="N107" s="66">
        <f t="shared" si="1"/>
        <v>568.5</v>
      </c>
      <c r="O107" s="66">
        <f t="shared" si="1"/>
        <v>0</v>
      </c>
      <c r="P107" s="66">
        <f t="shared" si="1"/>
        <v>7.71</v>
      </c>
      <c r="Q107" s="66">
        <f t="shared" si="1"/>
        <v>47.73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88.514479166666675</v>
      </c>
      <c r="C108" s="67">
        <f t="shared" ref="C108:Q108" si="2">AVERAGE(C9:C104)</f>
        <v>89.455729166666629</v>
      </c>
      <c r="D108" s="67">
        <f t="shared" si="2"/>
        <v>120.99645833333334</v>
      </c>
      <c r="E108" s="67">
        <f t="shared" si="2"/>
        <v>1.0063541666666669</v>
      </c>
      <c r="F108" s="67">
        <f t="shared" si="2"/>
        <v>7.0624999999999973</v>
      </c>
      <c r="G108" s="67">
        <f t="shared" si="2"/>
        <v>178.5414583333334</v>
      </c>
      <c r="H108" s="67">
        <f t="shared" si="2"/>
        <v>91.756666666666604</v>
      </c>
      <c r="I108" s="67">
        <f t="shared" si="2"/>
        <v>1.4985416666666664</v>
      </c>
      <c r="J108" s="67">
        <f t="shared" si="2"/>
        <v>0.20718750000000008</v>
      </c>
      <c r="K108" s="67">
        <f t="shared" si="2"/>
        <v>218.25781250000009</v>
      </c>
      <c r="L108" s="67">
        <f t="shared" si="2"/>
        <v>17.878541666666674</v>
      </c>
      <c r="M108" s="67">
        <f t="shared" si="2"/>
        <v>77.24635416666662</v>
      </c>
      <c r="N108" s="67">
        <f t="shared" si="2"/>
        <v>162.25312500000007</v>
      </c>
      <c r="O108" s="67">
        <f t="shared" si="2"/>
        <v>0</v>
      </c>
      <c r="P108" s="67">
        <f t="shared" si="2"/>
        <v>2.2298958333333325</v>
      </c>
      <c r="Q108" s="67">
        <f t="shared" si="2"/>
        <v>13.972500000000002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78.899340066212005</v>
      </c>
      <c r="C109" s="67">
        <f t="shared" ref="C109:Q109" si="3">STDEV(C9:C104)</f>
        <v>13.280883352421101</v>
      </c>
      <c r="D109" s="67">
        <f t="shared" si="3"/>
        <v>67.787980520989407</v>
      </c>
      <c r="E109" s="67">
        <f t="shared" si="3"/>
        <v>0.67142757542052656</v>
      </c>
      <c r="F109" s="67">
        <f t="shared" si="3"/>
        <v>7.0263981938790954</v>
      </c>
      <c r="G109" s="67">
        <f t="shared" si="3"/>
        <v>88.407692603839962</v>
      </c>
      <c r="H109" s="67">
        <f t="shared" si="3"/>
        <v>35.021991246603946</v>
      </c>
      <c r="I109" s="67">
        <f t="shared" si="3"/>
        <v>4.0781295161970064E-2</v>
      </c>
      <c r="J109" s="67">
        <f t="shared" si="3"/>
        <v>0.22269971817154191</v>
      </c>
      <c r="K109" s="67">
        <f t="shared" si="3"/>
        <v>103.0762506538177</v>
      </c>
      <c r="L109" s="67">
        <f t="shared" si="3"/>
        <v>4.8835845288964741</v>
      </c>
      <c r="M109" s="67">
        <f t="shared" si="3"/>
        <v>23.528638814489927</v>
      </c>
      <c r="N109" s="67">
        <f t="shared" si="3"/>
        <v>186.28028567789136</v>
      </c>
      <c r="O109" s="67">
        <f t="shared" si="3"/>
        <v>0</v>
      </c>
      <c r="P109" s="67">
        <f t="shared" si="3"/>
        <v>1.9262215507877858</v>
      </c>
      <c r="Q109" s="67">
        <f t="shared" si="3"/>
        <v>12.505051274122023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2648</v>
      </c>
      <c r="B9" s="64">
        <v>205.22</v>
      </c>
      <c r="C9" s="64">
        <v>101.39</v>
      </c>
      <c r="D9" s="64">
        <v>221.18</v>
      </c>
      <c r="E9" s="64">
        <v>0.75</v>
      </c>
      <c r="F9" s="64">
        <v>3.42</v>
      </c>
      <c r="G9" s="64">
        <v>246.09</v>
      </c>
      <c r="H9" s="64">
        <v>145.80000000000001</v>
      </c>
      <c r="I9" s="64">
        <v>1.55</v>
      </c>
      <c r="J9" s="64">
        <v>0.1</v>
      </c>
      <c r="K9" s="64">
        <v>281.62</v>
      </c>
      <c r="L9" s="64">
        <v>14.65</v>
      </c>
      <c r="M9" s="64">
        <v>98.08</v>
      </c>
      <c r="N9" s="64">
        <v>28.2</v>
      </c>
      <c r="O9" s="64">
        <v>0</v>
      </c>
      <c r="P9" s="64">
        <v>2.73</v>
      </c>
      <c r="Q9" s="64">
        <v>30.67</v>
      </c>
      <c r="R9" s="198"/>
      <c r="S9" s="198"/>
      <c r="T9" s="198"/>
      <c r="U9" s="198"/>
    </row>
    <row r="10" spans="1:21" s="12" customFormat="1" x14ac:dyDescent="0.25">
      <c r="A10" s="214" t="s">
        <v>2649</v>
      </c>
      <c r="B10" s="64">
        <v>199.16</v>
      </c>
      <c r="C10" s="64">
        <v>99.66</v>
      </c>
      <c r="D10" s="64">
        <v>215.36</v>
      </c>
      <c r="E10" s="64">
        <v>0.72</v>
      </c>
      <c r="F10" s="64">
        <v>3.29</v>
      </c>
      <c r="G10" s="64">
        <v>246.09</v>
      </c>
      <c r="H10" s="64">
        <v>145.80000000000001</v>
      </c>
      <c r="I10" s="64">
        <v>1.53</v>
      </c>
      <c r="J10" s="64">
        <v>0.12</v>
      </c>
      <c r="K10" s="64">
        <v>306.29000000000002</v>
      </c>
      <c r="L10" s="64">
        <v>14.5</v>
      </c>
      <c r="M10" s="64">
        <v>98.2</v>
      </c>
      <c r="N10" s="64">
        <v>28.1</v>
      </c>
      <c r="O10" s="64">
        <v>0</v>
      </c>
      <c r="P10" s="64">
        <v>2.86</v>
      </c>
      <c r="Q10" s="64">
        <v>29.57</v>
      </c>
      <c r="R10" s="198"/>
      <c r="S10" s="198"/>
      <c r="T10" s="198"/>
      <c r="U10" s="198"/>
    </row>
    <row r="11" spans="1:21" s="12" customFormat="1" x14ac:dyDescent="0.25">
      <c r="A11" s="214" t="s">
        <v>2650</v>
      </c>
      <c r="B11" s="64">
        <v>194.54</v>
      </c>
      <c r="C11" s="64">
        <v>98.12</v>
      </c>
      <c r="D11" s="64">
        <v>210.8</v>
      </c>
      <c r="E11" s="64">
        <v>0.81</v>
      </c>
      <c r="F11" s="64">
        <v>3.54</v>
      </c>
      <c r="G11" s="64">
        <v>239.14</v>
      </c>
      <c r="H11" s="64">
        <v>142.30000000000001</v>
      </c>
      <c r="I11" s="64">
        <v>1.47</v>
      </c>
      <c r="J11" s="64">
        <v>0.11</v>
      </c>
      <c r="K11" s="64">
        <v>304.95999999999998</v>
      </c>
      <c r="L11" s="64">
        <v>14.42</v>
      </c>
      <c r="M11" s="64">
        <v>98.2</v>
      </c>
      <c r="N11" s="64">
        <v>28.2</v>
      </c>
      <c r="O11" s="64">
        <v>0</v>
      </c>
      <c r="P11" s="64">
        <v>3.03</v>
      </c>
      <c r="Q11" s="64">
        <v>27.25</v>
      </c>
      <c r="R11" s="198"/>
      <c r="S11" s="198"/>
      <c r="T11" s="198"/>
      <c r="U11" s="198"/>
    </row>
    <row r="12" spans="1:21" s="12" customFormat="1" x14ac:dyDescent="0.25">
      <c r="A12" s="214" t="s">
        <v>2651</v>
      </c>
      <c r="B12" s="64">
        <v>191.44</v>
      </c>
      <c r="C12" s="64">
        <v>96.64</v>
      </c>
      <c r="D12" s="64">
        <v>207.51</v>
      </c>
      <c r="E12" s="64">
        <v>0.78</v>
      </c>
      <c r="F12" s="64">
        <v>3.5</v>
      </c>
      <c r="G12" s="64">
        <v>213.17</v>
      </c>
      <c r="H12" s="64">
        <v>126.68</v>
      </c>
      <c r="I12" s="64">
        <v>1.52</v>
      </c>
      <c r="J12" s="64">
        <v>0.1</v>
      </c>
      <c r="K12" s="64">
        <v>283.19</v>
      </c>
      <c r="L12" s="64">
        <v>14.31</v>
      </c>
      <c r="M12" s="64">
        <v>98.2</v>
      </c>
      <c r="N12" s="64">
        <v>28.2</v>
      </c>
      <c r="O12" s="64">
        <v>0</v>
      </c>
      <c r="P12" s="64">
        <v>2.92</v>
      </c>
      <c r="Q12" s="64">
        <v>25.48</v>
      </c>
      <c r="R12" s="198"/>
      <c r="S12" s="198"/>
      <c r="T12" s="198"/>
      <c r="U12" s="198"/>
    </row>
    <row r="13" spans="1:21" s="12" customFormat="1" x14ac:dyDescent="0.25">
      <c r="A13" s="214" t="s">
        <v>2652</v>
      </c>
      <c r="B13" s="64">
        <v>187.71</v>
      </c>
      <c r="C13" s="64">
        <v>95.16</v>
      </c>
      <c r="D13" s="64">
        <v>203.7</v>
      </c>
      <c r="E13" s="64">
        <v>0.74</v>
      </c>
      <c r="F13" s="64">
        <v>3.33</v>
      </c>
      <c r="G13" s="64">
        <v>213.17</v>
      </c>
      <c r="H13" s="64">
        <v>126.68</v>
      </c>
      <c r="I13" s="64">
        <v>1.49</v>
      </c>
      <c r="J13" s="64">
        <v>7.0000000000000007E-2</v>
      </c>
      <c r="K13" s="64">
        <v>277.91000000000003</v>
      </c>
      <c r="L13" s="64">
        <v>14.2</v>
      </c>
      <c r="M13" s="64">
        <v>98.2</v>
      </c>
      <c r="N13" s="64">
        <v>28.3</v>
      </c>
      <c r="O13" s="64">
        <v>0</v>
      </c>
      <c r="P13" s="64">
        <v>2.3199999999999998</v>
      </c>
      <c r="Q13" s="64">
        <v>26.03</v>
      </c>
      <c r="R13" s="198"/>
      <c r="S13" s="198"/>
      <c r="T13" s="198"/>
      <c r="U13" s="198"/>
    </row>
    <row r="14" spans="1:21" s="12" customFormat="1" x14ac:dyDescent="0.25">
      <c r="A14" s="214" t="s">
        <v>2653</v>
      </c>
      <c r="B14" s="64">
        <v>181.49</v>
      </c>
      <c r="C14" s="64">
        <v>92.26</v>
      </c>
      <c r="D14" s="64">
        <v>197.1</v>
      </c>
      <c r="E14" s="64">
        <v>0.63</v>
      </c>
      <c r="F14" s="64">
        <v>3.63</v>
      </c>
      <c r="G14" s="64">
        <v>213.17</v>
      </c>
      <c r="H14" s="64">
        <v>126.68</v>
      </c>
      <c r="I14" s="64">
        <v>1.5</v>
      </c>
      <c r="J14" s="64">
        <v>0.08</v>
      </c>
      <c r="K14" s="64">
        <v>302.19</v>
      </c>
      <c r="L14" s="64">
        <v>14.1</v>
      </c>
      <c r="M14" s="64">
        <v>98.2</v>
      </c>
      <c r="N14" s="64">
        <v>28.2</v>
      </c>
      <c r="O14" s="64">
        <v>0</v>
      </c>
      <c r="P14" s="64">
        <v>2.0299999999999998</v>
      </c>
      <c r="Q14" s="64">
        <v>28.29</v>
      </c>
      <c r="R14" s="198"/>
      <c r="S14" s="198"/>
      <c r="T14" s="198"/>
      <c r="U14" s="198"/>
    </row>
    <row r="15" spans="1:21" s="12" customFormat="1" x14ac:dyDescent="0.25">
      <c r="A15" s="214" t="s">
        <v>2654</v>
      </c>
      <c r="B15" s="64">
        <v>174.11</v>
      </c>
      <c r="C15" s="64">
        <v>90.62</v>
      </c>
      <c r="D15" s="64">
        <v>190.28</v>
      </c>
      <c r="E15" s="64">
        <v>0.6</v>
      </c>
      <c r="F15" s="64">
        <v>3.57</v>
      </c>
      <c r="G15" s="64">
        <v>210.36</v>
      </c>
      <c r="H15" s="64">
        <v>123.15</v>
      </c>
      <c r="I15" s="64">
        <v>1.41</v>
      </c>
      <c r="J15" s="64">
        <v>0.11</v>
      </c>
      <c r="K15" s="64">
        <v>283.02</v>
      </c>
      <c r="L15" s="64">
        <v>14.21</v>
      </c>
      <c r="M15" s="64">
        <v>98.21</v>
      </c>
      <c r="N15" s="64">
        <v>28</v>
      </c>
      <c r="O15" s="64">
        <v>0</v>
      </c>
      <c r="P15" s="64">
        <v>2.09</v>
      </c>
      <c r="Q15" s="64">
        <v>27.38</v>
      </c>
      <c r="R15" s="198"/>
      <c r="S15" s="198"/>
      <c r="T15" s="198"/>
      <c r="U15" s="198"/>
    </row>
    <row r="16" spans="1:21" s="12" customFormat="1" x14ac:dyDescent="0.25">
      <c r="A16" s="214" t="s">
        <v>2655</v>
      </c>
      <c r="B16" s="64">
        <v>168.04</v>
      </c>
      <c r="C16" s="64">
        <v>90.65</v>
      </c>
      <c r="D16" s="64">
        <v>185.43</v>
      </c>
      <c r="E16" s="64">
        <v>0.61</v>
      </c>
      <c r="F16" s="64">
        <v>3.32</v>
      </c>
      <c r="G16" s="64">
        <v>199.12</v>
      </c>
      <c r="H16" s="64">
        <v>113.56</v>
      </c>
      <c r="I16" s="64">
        <v>1.51</v>
      </c>
      <c r="J16" s="64">
        <v>0.08</v>
      </c>
      <c r="K16" s="64">
        <v>255.24</v>
      </c>
      <c r="L16" s="64">
        <v>14.1</v>
      </c>
      <c r="M16" s="64">
        <v>98.22</v>
      </c>
      <c r="N16" s="64">
        <v>28.2</v>
      </c>
      <c r="O16" s="64">
        <v>0</v>
      </c>
      <c r="P16" s="64">
        <v>1.97</v>
      </c>
      <c r="Q16" s="64">
        <v>25.4</v>
      </c>
      <c r="R16" s="198"/>
      <c r="S16" s="198"/>
      <c r="T16" s="198"/>
      <c r="U16" s="198"/>
    </row>
    <row r="17" spans="1:21" s="12" customFormat="1" x14ac:dyDescent="0.25">
      <c r="A17" s="214" t="s">
        <v>2656</v>
      </c>
      <c r="B17" s="64">
        <v>161.06</v>
      </c>
      <c r="C17" s="64">
        <v>89.68</v>
      </c>
      <c r="D17" s="64">
        <v>179.3</v>
      </c>
      <c r="E17" s="64">
        <v>0.59</v>
      </c>
      <c r="F17" s="64">
        <v>3.3</v>
      </c>
      <c r="G17" s="64">
        <v>199.12</v>
      </c>
      <c r="H17" s="64">
        <v>113.56</v>
      </c>
      <c r="I17" s="64">
        <v>1.54</v>
      </c>
      <c r="J17" s="64">
        <v>0.1</v>
      </c>
      <c r="K17" s="64">
        <v>286.81</v>
      </c>
      <c r="L17" s="64">
        <v>13.93</v>
      </c>
      <c r="M17" s="64">
        <v>98.23</v>
      </c>
      <c r="N17" s="64">
        <v>28.3</v>
      </c>
      <c r="O17" s="64">
        <v>0</v>
      </c>
      <c r="P17" s="64">
        <v>2</v>
      </c>
      <c r="Q17" s="64">
        <v>0</v>
      </c>
      <c r="R17" s="198"/>
      <c r="S17" s="198"/>
      <c r="T17" s="198"/>
      <c r="U17" s="198"/>
    </row>
    <row r="18" spans="1:21" s="12" customFormat="1" x14ac:dyDescent="0.25">
      <c r="A18" s="214" t="s">
        <v>2657</v>
      </c>
      <c r="B18" s="64">
        <v>161.06</v>
      </c>
      <c r="C18" s="64">
        <v>89.68</v>
      </c>
      <c r="D18" s="64">
        <v>179.3</v>
      </c>
      <c r="E18" s="64">
        <v>0.59</v>
      </c>
      <c r="F18" s="64">
        <v>3.3</v>
      </c>
      <c r="G18" s="64">
        <v>199.12</v>
      </c>
      <c r="H18" s="64">
        <v>113.56</v>
      </c>
      <c r="I18" s="64">
        <v>1.54</v>
      </c>
      <c r="J18" s="64">
        <v>0.1</v>
      </c>
      <c r="K18" s="64">
        <v>286.81</v>
      </c>
      <c r="L18" s="64">
        <v>13.93</v>
      </c>
      <c r="M18" s="64">
        <v>98.23</v>
      </c>
      <c r="N18" s="64">
        <v>28.3</v>
      </c>
      <c r="O18" s="64">
        <v>0</v>
      </c>
      <c r="P18" s="64">
        <v>2</v>
      </c>
      <c r="Q18" s="64">
        <v>0</v>
      </c>
      <c r="R18" s="198"/>
      <c r="S18" s="198"/>
      <c r="T18" s="198"/>
      <c r="U18" s="198"/>
    </row>
    <row r="19" spans="1:21" s="12" customFormat="1" x14ac:dyDescent="0.25">
      <c r="A19" s="214" t="s">
        <v>2658</v>
      </c>
      <c r="B19" s="64">
        <v>149.97</v>
      </c>
      <c r="C19" s="64">
        <v>87.28</v>
      </c>
      <c r="D19" s="64">
        <v>169.08</v>
      </c>
      <c r="E19" s="64">
        <v>0.51</v>
      </c>
      <c r="F19" s="64">
        <v>3.39</v>
      </c>
      <c r="G19" s="64">
        <v>195.27</v>
      </c>
      <c r="H19" s="64">
        <v>112.44</v>
      </c>
      <c r="I19" s="64">
        <v>1.48</v>
      </c>
      <c r="J19" s="64">
        <v>0.1</v>
      </c>
      <c r="K19" s="64">
        <v>290.37</v>
      </c>
      <c r="L19" s="64">
        <v>13.7</v>
      </c>
      <c r="M19" s="64">
        <v>98.2</v>
      </c>
      <c r="N19" s="64">
        <v>28</v>
      </c>
      <c r="O19" s="64">
        <v>0</v>
      </c>
      <c r="P19" s="64">
        <v>1.57</v>
      </c>
      <c r="Q19" s="64">
        <v>25.49</v>
      </c>
      <c r="R19" s="198"/>
      <c r="S19" s="198"/>
      <c r="T19" s="198"/>
      <c r="U19" s="198"/>
    </row>
    <row r="20" spans="1:21" s="12" customFormat="1" x14ac:dyDescent="0.25">
      <c r="A20" s="214" t="s">
        <v>2659</v>
      </c>
      <c r="B20" s="64">
        <v>141.22999999999999</v>
      </c>
      <c r="C20" s="64">
        <v>87.12</v>
      </c>
      <c r="D20" s="64">
        <v>161.99</v>
      </c>
      <c r="E20" s="64">
        <v>0.48</v>
      </c>
      <c r="F20" s="64">
        <v>3.67</v>
      </c>
      <c r="G20" s="64">
        <v>172.6</v>
      </c>
      <c r="H20" s="64">
        <v>107.3</v>
      </c>
      <c r="I20" s="64">
        <v>1.47</v>
      </c>
      <c r="J20" s="64">
        <v>0.08</v>
      </c>
      <c r="K20" s="64">
        <v>263.17</v>
      </c>
      <c r="L20" s="64">
        <v>13.67</v>
      </c>
      <c r="M20" s="64">
        <v>98.21</v>
      </c>
      <c r="N20" s="64">
        <v>28.1</v>
      </c>
      <c r="O20" s="64">
        <v>0</v>
      </c>
      <c r="P20" s="64">
        <v>1.4</v>
      </c>
      <c r="Q20" s="64">
        <v>24.07</v>
      </c>
      <c r="R20" s="198"/>
      <c r="S20" s="198"/>
      <c r="T20" s="198"/>
      <c r="U20" s="198"/>
    </row>
    <row r="21" spans="1:21" s="12" customFormat="1" x14ac:dyDescent="0.25">
      <c r="A21" s="214" t="s">
        <v>2660</v>
      </c>
      <c r="B21" s="64">
        <v>133.58000000000001</v>
      </c>
      <c r="C21" s="64">
        <v>83.71</v>
      </c>
      <c r="D21" s="64">
        <v>153.97</v>
      </c>
      <c r="E21" s="64">
        <v>0.41</v>
      </c>
      <c r="F21" s="64">
        <v>3.5</v>
      </c>
      <c r="G21" s="64">
        <v>172.6</v>
      </c>
      <c r="H21" s="64">
        <v>107.3</v>
      </c>
      <c r="I21" s="64">
        <v>1.57</v>
      </c>
      <c r="J21" s="64">
        <v>0.13</v>
      </c>
      <c r="K21" s="64">
        <v>297.89999999999998</v>
      </c>
      <c r="L21" s="64">
        <v>13.57</v>
      </c>
      <c r="M21" s="64">
        <v>98.21</v>
      </c>
      <c r="N21" s="64">
        <v>28.1</v>
      </c>
      <c r="O21" s="64">
        <v>0</v>
      </c>
      <c r="P21" s="64">
        <v>1.35</v>
      </c>
      <c r="Q21" s="64">
        <v>25.56</v>
      </c>
      <c r="R21" s="198"/>
      <c r="S21" s="198"/>
      <c r="T21" s="198"/>
      <c r="U21" s="198"/>
    </row>
    <row r="22" spans="1:21" s="12" customFormat="1" x14ac:dyDescent="0.25">
      <c r="A22" s="214" t="s">
        <v>2661</v>
      </c>
      <c r="B22" s="64">
        <v>126.26</v>
      </c>
      <c r="C22" s="64">
        <v>84.17</v>
      </c>
      <c r="D22" s="64">
        <v>148.35</v>
      </c>
      <c r="E22" s="64">
        <v>0.38</v>
      </c>
      <c r="F22" s="64">
        <v>3.08</v>
      </c>
      <c r="G22" s="64">
        <v>172.6</v>
      </c>
      <c r="H22" s="64">
        <v>107.3</v>
      </c>
      <c r="I22" s="64">
        <v>1.49</v>
      </c>
      <c r="J22" s="64">
        <v>0.12</v>
      </c>
      <c r="K22" s="64">
        <v>324.27</v>
      </c>
      <c r="L22" s="64">
        <v>13.37</v>
      </c>
      <c r="M22" s="64">
        <v>98.25</v>
      </c>
      <c r="N22" s="64">
        <v>28.2</v>
      </c>
      <c r="O22" s="64">
        <v>0</v>
      </c>
      <c r="P22" s="64">
        <v>1.36</v>
      </c>
      <c r="Q22" s="64">
        <v>24.78</v>
      </c>
      <c r="R22" s="198"/>
      <c r="S22" s="198"/>
      <c r="T22" s="198"/>
      <c r="U22" s="198"/>
    </row>
    <row r="23" spans="1:21" s="12" customFormat="1" x14ac:dyDescent="0.25">
      <c r="A23" s="214" t="s">
        <v>2662</v>
      </c>
      <c r="B23" s="64">
        <v>119.51</v>
      </c>
      <c r="C23" s="64">
        <v>82.58</v>
      </c>
      <c r="D23" s="64">
        <v>142.06</v>
      </c>
      <c r="E23" s="64">
        <v>0.33</v>
      </c>
      <c r="F23" s="64">
        <v>2.81</v>
      </c>
      <c r="G23" s="64">
        <v>168.06</v>
      </c>
      <c r="H23" s="64">
        <v>104.9</v>
      </c>
      <c r="I23" s="64">
        <v>1.5</v>
      </c>
      <c r="J23" s="64">
        <v>0.09</v>
      </c>
      <c r="K23" s="64">
        <v>290.60000000000002</v>
      </c>
      <c r="L23" s="64">
        <v>13.34</v>
      </c>
      <c r="M23" s="64">
        <v>98.25</v>
      </c>
      <c r="N23" s="64">
        <v>28.2</v>
      </c>
      <c r="O23" s="64">
        <v>0</v>
      </c>
      <c r="P23" s="64">
        <v>1.36</v>
      </c>
      <c r="Q23" s="64">
        <v>22.61</v>
      </c>
      <c r="R23" s="198"/>
      <c r="S23" s="198"/>
      <c r="T23" s="198"/>
      <c r="U23" s="198"/>
    </row>
    <row r="24" spans="1:21" s="12" customFormat="1" x14ac:dyDescent="0.25">
      <c r="A24" s="214" t="s">
        <v>2663</v>
      </c>
      <c r="B24" s="64">
        <v>113.32</v>
      </c>
      <c r="C24" s="64">
        <v>80.989999999999995</v>
      </c>
      <c r="D24" s="64">
        <v>136.21</v>
      </c>
      <c r="E24" s="64">
        <v>0.26</v>
      </c>
      <c r="F24" s="64">
        <v>2.82</v>
      </c>
      <c r="G24" s="64">
        <v>149.9</v>
      </c>
      <c r="H24" s="64">
        <v>98.37</v>
      </c>
      <c r="I24" s="64">
        <v>1.49</v>
      </c>
      <c r="J24" s="64">
        <v>0.1</v>
      </c>
      <c r="K24" s="64">
        <v>289.94</v>
      </c>
      <c r="L24" s="64">
        <v>13.26</v>
      </c>
      <c r="M24" s="64">
        <v>98.23</v>
      </c>
      <c r="N24" s="64">
        <v>28.3</v>
      </c>
      <c r="O24" s="64">
        <v>0</v>
      </c>
      <c r="P24" s="64">
        <v>1.25</v>
      </c>
      <c r="Q24" s="64">
        <v>21.7</v>
      </c>
      <c r="R24" s="198"/>
      <c r="S24" s="198"/>
      <c r="T24" s="198"/>
      <c r="U24" s="198"/>
    </row>
    <row r="25" spans="1:21" s="12" customFormat="1" x14ac:dyDescent="0.25">
      <c r="A25" s="214" t="s">
        <v>2664</v>
      </c>
      <c r="B25" s="64">
        <v>107.57</v>
      </c>
      <c r="C25" s="64">
        <v>79.66</v>
      </c>
      <c r="D25" s="64">
        <v>130.87</v>
      </c>
      <c r="E25" s="64">
        <v>0.51</v>
      </c>
      <c r="F25" s="64">
        <v>2.92</v>
      </c>
      <c r="G25" s="64">
        <v>149.9</v>
      </c>
      <c r="H25" s="64">
        <v>98.37</v>
      </c>
      <c r="I25" s="64">
        <v>1.47</v>
      </c>
      <c r="J25" s="64">
        <v>0.08</v>
      </c>
      <c r="K25" s="64">
        <v>267.97000000000003</v>
      </c>
      <c r="L25" s="64">
        <v>13.16</v>
      </c>
      <c r="M25" s="64">
        <v>98.25</v>
      </c>
      <c r="N25" s="64">
        <v>28.2</v>
      </c>
      <c r="O25" s="64">
        <v>0</v>
      </c>
      <c r="P25" s="64">
        <v>1.32</v>
      </c>
      <c r="Q25" s="64">
        <v>20.329999999999998</v>
      </c>
      <c r="R25" s="198"/>
      <c r="S25" s="198"/>
      <c r="T25" s="198"/>
      <c r="U25" s="198"/>
    </row>
    <row r="26" spans="1:21" s="12" customFormat="1" x14ac:dyDescent="0.25">
      <c r="A26" s="214" t="s">
        <v>2665</v>
      </c>
      <c r="B26" s="64">
        <v>101.97</v>
      </c>
      <c r="C26" s="64">
        <v>78.23</v>
      </c>
      <c r="D26" s="64">
        <v>125.59</v>
      </c>
      <c r="E26" s="64">
        <v>0.52</v>
      </c>
      <c r="F26" s="64">
        <v>3.13</v>
      </c>
      <c r="G26" s="64">
        <v>149.9</v>
      </c>
      <c r="H26" s="64">
        <v>98.37</v>
      </c>
      <c r="I26" s="64">
        <v>1.57</v>
      </c>
      <c r="J26" s="64">
        <v>0.06</v>
      </c>
      <c r="K26" s="64">
        <v>266.38</v>
      </c>
      <c r="L26" s="64">
        <v>13.2</v>
      </c>
      <c r="M26" s="64">
        <v>98.25</v>
      </c>
      <c r="N26" s="64">
        <v>28.2</v>
      </c>
      <c r="O26" s="64">
        <v>0</v>
      </c>
      <c r="P26" s="64">
        <v>1.39</v>
      </c>
      <c r="Q26" s="64">
        <v>19.18</v>
      </c>
      <c r="R26" s="198"/>
      <c r="S26" s="198"/>
      <c r="T26" s="198"/>
      <c r="U26" s="198"/>
    </row>
    <row r="27" spans="1:21" s="12" customFormat="1" x14ac:dyDescent="0.25">
      <c r="A27" s="214" t="s">
        <v>2666</v>
      </c>
      <c r="B27" s="64">
        <v>98.09</v>
      </c>
      <c r="C27" s="64">
        <v>79.03</v>
      </c>
      <c r="D27" s="64">
        <v>122.92</v>
      </c>
      <c r="E27" s="64">
        <v>0.57999999999999996</v>
      </c>
      <c r="F27" s="64">
        <v>3.15</v>
      </c>
      <c r="G27" s="64">
        <v>150.61000000000001</v>
      </c>
      <c r="H27" s="64">
        <v>97.44</v>
      </c>
      <c r="I27" s="64">
        <v>1.52</v>
      </c>
      <c r="J27" s="64">
        <v>0.04</v>
      </c>
      <c r="K27" s="64">
        <v>352.95</v>
      </c>
      <c r="L27" s="64">
        <v>13.17</v>
      </c>
      <c r="M27" s="64">
        <v>98.25</v>
      </c>
      <c r="N27" s="64">
        <v>28.2</v>
      </c>
      <c r="O27" s="64">
        <v>0</v>
      </c>
      <c r="P27" s="64">
        <v>1.56</v>
      </c>
      <c r="Q27" s="64">
        <v>17.12</v>
      </c>
      <c r="R27" s="198"/>
      <c r="S27" s="198"/>
      <c r="T27" s="198"/>
      <c r="U27" s="198"/>
    </row>
    <row r="28" spans="1:21" s="12" customFormat="1" x14ac:dyDescent="0.25">
      <c r="A28" s="214" t="s">
        <v>2667</v>
      </c>
      <c r="B28" s="64">
        <v>96.23</v>
      </c>
      <c r="C28" s="64">
        <v>78.62</v>
      </c>
      <c r="D28" s="64">
        <v>121.2</v>
      </c>
      <c r="E28" s="64">
        <v>0.71</v>
      </c>
      <c r="F28" s="64">
        <v>3.35</v>
      </c>
      <c r="G28" s="64">
        <v>153.47999999999999</v>
      </c>
      <c r="H28" s="64">
        <v>93.28</v>
      </c>
      <c r="I28" s="64">
        <v>1.46</v>
      </c>
      <c r="J28" s="64">
        <v>0.12</v>
      </c>
      <c r="K28" s="64">
        <v>66.11</v>
      </c>
      <c r="L28" s="64">
        <v>13.42</v>
      </c>
      <c r="M28" s="64">
        <v>98.25</v>
      </c>
      <c r="N28" s="64">
        <v>28.1</v>
      </c>
      <c r="O28" s="64">
        <v>0</v>
      </c>
      <c r="P28" s="64">
        <v>1.83</v>
      </c>
      <c r="Q28" s="64">
        <v>14.97</v>
      </c>
      <c r="R28" s="198"/>
      <c r="S28" s="198"/>
      <c r="T28" s="198"/>
      <c r="U28" s="198"/>
    </row>
    <row r="29" spans="1:21" s="12" customFormat="1" x14ac:dyDescent="0.25">
      <c r="A29" s="214" t="s">
        <v>2668</v>
      </c>
      <c r="B29" s="64">
        <v>94.28</v>
      </c>
      <c r="C29" s="64">
        <v>79.290000000000006</v>
      </c>
      <c r="D29" s="64">
        <v>120.01</v>
      </c>
      <c r="E29" s="64">
        <v>0.68</v>
      </c>
      <c r="F29" s="64">
        <v>3.2</v>
      </c>
      <c r="G29" s="64">
        <v>153.47999999999999</v>
      </c>
      <c r="H29" s="64">
        <v>93.28</v>
      </c>
      <c r="I29" s="64">
        <v>1.48</v>
      </c>
      <c r="J29" s="64">
        <v>0.11</v>
      </c>
      <c r="K29" s="64">
        <v>347.07</v>
      </c>
      <c r="L29" s="64">
        <v>13.51</v>
      </c>
      <c r="M29" s="64">
        <v>98.2</v>
      </c>
      <c r="N29" s="64">
        <v>28.2</v>
      </c>
      <c r="O29" s="64">
        <v>0</v>
      </c>
      <c r="P29" s="64">
        <v>1.65</v>
      </c>
      <c r="Q29" s="64">
        <v>14.95</v>
      </c>
      <c r="R29" s="198"/>
      <c r="S29" s="198"/>
      <c r="T29" s="198"/>
      <c r="U29" s="198"/>
    </row>
    <row r="30" spans="1:21" s="12" customFormat="1" x14ac:dyDescent="0.25">
      <c r="A30" s="214" t="s">
        <v>2669</v>
      </c>
      <c r="B30" s="64">
        <v>90.47</v>
      </c>
      <c r="C30" s="64">
        <v>79.209999999999994</v>
      </c>
      <c r="D30" s="64">
        <v>116.91</v>
      </c>
      <c r="E30" s="64">
        <v>0.55000000000000004</v>
      </c>
      <c r="F30" s="64">
        <v>3.15</v>
      </c>
      <c r="G30" s="64">
        <v>153.47999999999999</v>
      </c>
      <c r="H30" s="64">
        <v>93.28</v>
      </c>
      <c r="I30" s="64">
        <v>1.52</v>
      </c>
      <c r="J30" s="64">
        <v>0.09</v>
      </c>
      <c r="K30" s="64">
        <v>271.12</v>
      </c>
      <c r="L30" s="64">
        <v>13.47</v>
      </c>
      <c r="M30" s="64">
        <v>98.2</v>
      </c>
      <c r="N30" s="64">
        <v>28.2</v>
      </c>
      <c r="O30" s="64">
        <v>0</v>
      </c>
      <c r="P30" s="64">
        <v>1.4</v>
      </c>
      <c r="Q30" s="64">
        <v>18.07</v>
      </c>
      <c r="R30" s="198"/>
      <c r="S30" s="198"/>
      <c r="T30" s="198"/>
      <c r="U30" s="198"/>
    </row>
    <row r="31" spans="1:21" s="12" customFormat="1" x14ac:dyDescent="0.25">
      <c r="A31" s="214" t="s">
        <v>2670</v>
      </c>
      <c r="B31" s="64">
        <v>85.87</v>
      </c>
      <c r="C31" s="64">
        <v>79.11</v>
      </c>
      <c r="D31" s="64">
        <v>113.16</v>
      </c>
      <c r="E31" s="64">
        <v>0.6</v>
      </c>
      <c r="F31" s="64">
        <v>3.37</v>
      </c>
      <c r="G31" s="64">
        <v>165.34</v>
      </c>
      <c r="H31" s="64">
        <v>95.81</v>
      </c>
      <c r="I31" s="64">
        <v>1.51</v>
      </c>
      <c r="J31" s="64">
        <v>0.09</v>
      </c>
      <c r="K31" s="64">
        <v>125.95</v>
      </c>
      <c r="L31" s="64">
        <v>13.45</v>
      </c>
      <c r="M31" s="64">
        <v>98.2</v>
      </c>
      <c r="N31" s="64">
        <v>28</v>
      </c>
      <c r="O31" s="64">
        <v>0</v>
      </c>
      <c r="P31" s="64">
        <v>1.33</v>
      </c>
      <c r="Q31" s="64">
        <v>18.329999999999998</v>
      </c>
      <c r="R31" s="198"/>
      <c r="S31" s="198"/>
      <c r="T31" s="198"/>
      <c r="U31" s="198"/>
    </row>
    <row r="32" spans="1:21" s="12" customFormat="1" x14ac:dyDescent="0.25">
      <c r="A32" s="214" t="s">
        <v>2671</v>
      </c>
      <c r="B32" s="64">
        <v>81.37</v>
      </c>
      <c r="C32" s="64">
        <v>79.08</v>
      </c>
      <c r="D32" s="64">
        <v>109.54</v>
      </c>
      <c r="E32" s="64">
        <v>0.54</v>
      </c>
      <c r="F32" s="64">
        <v>3.24</v>
      </c>
      <c r="G32" s="64">
        <v>212.75</v>
      </c>
      <c r="H32" s="64">
        <v>102.71</v>
      </c>
      <c r="I32" s="64">
        <v>1.59</v>
      </c>
      <c r="J32" s="64">
        <v>0.06</v>
      </c>
      <c r="K32" s="64">
        <v>336.08</v>
      </c>
      <c r="L32" s="64">
        <v>13.47</v>
      </c>
      <c r="M32" s="64">
        <v>98.2</v>
      </c>
      <c r="N32" s="64">
        <v>28.3</v>
      </c>
      <c r="O32" s="64">
        <v>0</v>
      </c>
      <c r="P32" s="64">
        <v>1.1200000000000001</v>
      </c>
      <c r="Q32" s="64">
        <v>18.309999999999999</v>
      </c>
      <c r="R32" s="198"/>
      <c r="S32" s="198"/>
      <c r="T32" s="198"/>
      <c r="U32" s="198"/>
    </row>
    <row r="33" spans="1:21" s="12" customFormat="1" x14ac:dyDescent="0.25">
      <c r="A33" s="214" t="s">
        <v>2672</v>
      </c>
      <c r="B33" s="64">
        <v>77.39</v>
      </c>
      <c r="C33" s="64">
        <v>79.319999999999993</v>
      </c>
      <c r="D33" s="64">
        <v>106.49</v>
      </c>
      <c r="E33" s="64">
        <v>0.53</v>
      </c>
      <c r="F33" s="64">
        <v>3.21</v>
      </c>
      <c r="G33" s="64">
        <v>212.75</v>
      </c>
      <c r="H33" s="64">
        <v>102.71</v>
      </c>
      <c r="I33" s="64">
        <v>1.52</v>
      </c>
      <c r="J33" s="64">
        <v>0.13</v>
      </c>
      <c r="K33" s="64">
        <v>304.02999999999997</v>
      </c>
      <c r="L33" s="64">
        <v>13.26</v>
      </c>
      <c r="M33" s="64">
        <v>98.22</v>
      </c>
      <c r="N33" s="64">
        <v>28.7</v>
      </c>
      <c r="O33" s="64">
        <v>0</v>
      </c>
      <c r="P33" s="64">
        <v>1.23</v>
      </c>
      <c r="Q33" s="64">
        <v>15.06</v>
      </c>
      <c r="R33" s="198"/>
      <c r="S33" s="198"/>
      <c r="T33" s="198"/>
      <c r="U33" s="198"/>
    </row>
    <row r="34" spans="1:21" s="12" customFormat="1" x14ac:dyDescent="0.25">
      <c r="A34" s="214" t="s">
        <v>2673</v>
      </c>
      <c r="B34" s="64">
        <v>78.55</v>
      </c>
      <c r="C34" s="64">
        <v>79.930000000000007</v>
      </c>
      <c r="D34" s="64">
        <v>107.75</v>
      </c>
      <c r="E34" s="64">
        <v>0.63</v>
      </c>
      <c r="F34" s="64">
        <v>3.48</v>
      </c>
      <c r="G34" s="64">
        <v>212.75</v>
      </c>
      <c r="H34" s="64">
        <v>102.71</v>
      </c>
      <c r="I34" s="64">
        <v>1.52</v>
      </c>
      <c r="J34" s="64">
        <v>0.12</v>
      </c>
      <c r="K34" s="64">
        <v>304.25</v>
      </c>
      <c r="L34" s="64">
        <v>12.97</v>
      </c>
      <c r="M34" s="64">
        <v>98.25</v>
      </c>
      <c r="N34" s="64">
        <v>30.1</v>
      </c>
      <c r="O34" s="64">
        <v>0</v>
      </c>
      <c r="P34" s="64">
        <v>1.72</v>
      </c>
      <c r="Q34" s="64">
        <v>3.94</v>
      </c>
      <c r="R34" s="198"/>
      <c r="S34" s="198"/>
      <c r="T34" s="198"/>
      <c r="U34" s="198"/>
    </row>
    <row r="35" spans="1:21" s="12" customFormat="1" x14ac:dyDescent="0.25">
      <c r="A35" s="214" t="s">
        <v>2674</v>
      </c>
      <c r="B35" s="64">
        <v>82.77</v>
      </c>
      <c r="C35" s="64">
        <v>80.7</v>
      </c>
      <c r="D35" s="64">
        <v>111.56</v>
      </c>
      <c r="E35" s="64">
        <v>0.73</v>
      </c>
      <c r="F35" s="64">
        <v>3.37</v>
      </c>
      <c r="G35" s="64">
        <v>209.88</v>
      </c>
      <c r="H35" s="64">
        <v>102.89</v>
      </c>
      <c r="I35" s="64">
        <v>1.48</v>
      </c>
      <c r="J35" s="64">
        <v>0.1</v>
      </c>
      <c r="K35" s="64">
        <v>301.58</v>
      </c>
      <c r="L35" s="64">
        <v>12.75</v>
      </c>
      <c r="M35" s="64">
        <v>98.25</v>
      </c>
      <c r="N35" s="64">
        <v>35.5</v>
      </c>
      <c r="O35" s="64">
        <v>0</v>
      </c>
      <c r="P35" s="64">
        <v>1.69</v>
      </c>
      <c r="Q35" s="64">
        <v>4.12</v>
      </c>
      <c r="R35" s="198"/>
      <c r="S35" s="198"/>
      <c r="T35" s="198"/>
      <c r="U35" s="198"/>
    </row>
    <row r="36" spans="1:21" s="12" customFormat="1" x14ac:dyDescent="0.25">
      <c r="A36" s="214" t="s">
        <v>2675</v>
      </c>
      <c r="B36" s="64">
        <v>86.77</v>
      </c>
      <c r="C36" s="64">
        <v>80.760000000000005</v>
      </c>
      <c r="D36" s="64">
        <v>114.8</v>
      </c>
      <c r="E36" s="64">
        <v>0.64</v>
      </c>
      <c r="F36" s="64">
        <v>3.45</v>
      </c>
      <c r="G36" s="64">
        <v>198.41</v>
      </c>
      <c r="H36" s="64">
        <v>103.39</v>
      </c>
      <c r="I36" s="64">
        <v>1.55</v>
      </c>
      <c r="J36" s="64">
        <v>0.1</v>
      </c>
      <c r="K36" s="64">
        <v>272.36</v>
      </c>
      <c r="L36" s="64">
        <v>12.78</v>
      </c>
      <c r="M36" s="64">
        <v>98.25</v>
      </c>
      <c r="N36" s="64">
        <v>47.2</v>
      </c>
      <c r="O36" s="64">
        <v>0</v>
      </c>
      <c r="P36" s="64">
        <v>1.73</v>
      </c>
      <c r="Q36" s="64">
        <v>6.9</v>
      </c>
      <c r="R36" s="198"/>
      <c r="S36" s="198"/>
      <c r="T36" s="198"/>
      <c r="U36" s="198"/>
    </row>
    <row r="37" spans="1:21" s="12" customFormat="1" x14ac:dyDescent="0.25">
      <c r="A37" s="214" t="s">
        <v>2676</v>
      </c>
      <c r="B37" s="64">
        <v>88.78</v>
      </c>
      <c r="C37" s="64">
        <v>80.430000000000007</v>
      </c>
      <c r="D37" s="64">
        <v>116.23</v>
      </c>
      <c r="E37" s="64">
        <v>0.7</v>
      </c>
      <c r="F37" s="64">
        <v>3.59</v>
      </c>
      <c r="G37" s="64">
        <v>198.41</v>
      </c>
      <c r="H37" s="64">
        <v>103.39</v>
      </c>
      <c r="I37" s="64">
        <v>1.53</v>
      </c>
      <c r="J37" s="64">
        <v>0.08</v>
      </c>
      <c r="K37" s="64">
        <v>190.65</v>
      </c>
      <c r="L37" s="64">
        <v>13.19</v>
      </c>
      <c r="M37" s="64">
        <v>98.25</v>
      </c>
      <c r="N37" s="64">
        <v>63.4</v>
      </c>
      <c r="O37" s="64">
        <v>0</v>
      </c>
      <c r="P37" s="64">
        <v>1.8</v>
      </c>
      <c r="Q37" s="64">
        <v>8.74</v>
      </c>
      <c r="R37" s="198"/>
      <c r="S37" s="198"/>
      <c r="T37" s="198"/>
      <c r="U37" s="198"/>
    </row>
    <row r="38" spans="1:21" s="12" customFormat="1" x14ac:dyDescent="0.25">
      <c r="A38" s="214" t="s">
        <v>2677</v>
      </c>
      <c r="B38" s="64">
        <v>92.16</v>
      </c>
      <c r="C38" s="64">
        <v>80.05</v>
      </c>
      <c r="D38" s="64">
        <v>118.73</v>
      </c>
      <c r="E38" s="64">
        <v>0.65</v>
      </c>
      <c r="F38" s="64">
        <v>3.65</v>
      </c>
      <c r="G38" s="64">
        <v>198.41</v>
      </c>
      <c r="H38" s="64">
        <v>103.39</v>
      </c>
      <c r="I38" s="64">
        <v>1.52</v>
      </c>
      <c r="J38" s="64">
        <v>0.1</v>
      </c>
      <c r="K38" s="64">
        <v>343.89</v>
      </c>
      <c r="L38" s="64">
        <v>13.66</v>
      </c>
      <c r="M38" s="64">
        <v>98.25</v>
      </c>
      <c r="N38" s="64">
        <v>81.8</v>
      </c>
      <c r="O38" s="64">
        <v>0</v>
      </c>
      <c r="P38" s="64">
        <v>2.0699999999999998</v>
      </c>
      <c r="Q38" s="64">
        <v>6.72</v>
      </c>
      <c r="R38" s="198"/>
      <c r="S38" s="198"/>
      <c r="T38" s="198"/>
      <c r="U38" s="198"/>
    </row>
    <row r="39" spans="1:21" s="12" customFormat="1" x14ac:dyDescent="0.25">
      <c r="A39" s="214" t="s">
        <v>2678</v>
      </c>
      <c r="B39" s="64">
        <v>99.42</v>
      </c>
      <c r="C39" s="64">
        <v>80.5</v>
      </c>
      <c r="D39" s="64">
        <v>124.8</v>
      </c>
      <c r="E39" s="64">
        <v>0.82</v>
      </c>
      <c r="F39" s="64">
        <v>3.49</v>
      </c>
      <c r="G39" s="64">
        <v>203.55</v>
      </c>
      <c r="H39" s="64">
        <v>102.67</v>
      </c>
      <c r="I39" s="64">
        <v>1.43</v>
      </c>
      <c r="J39" s="64">
        <v>0.05</v>
      </c>
      <c r="K39" s="64">
        <v>36.15</v>
      </c>
      <c r="L39" s="64">
        <v>14.46</v>
      </c>
      <c r="M39" s="64">
        <v>98.18</v>
      </c>
      <c r="N39" s="64">
        <v>118.7</v>
      </c>
      <c r="O39" s="64">
        <v>0</v>
      </c>
      <c r="P39" s="64">
        <v>2.5299999999999998</v>
      </c>
      <c r="Q39" s="64">
        <v>2.86</v>
      </c>
      <c r="R39" s="198"/>
      <c r="S39" s="198"/>
      <c r="T39" s="198"/>
      <c r="U39" s="198"/>
    </row>
    <row r="40" spans="1:21" s="12" customFormat="1" x14ac:dyDescent="0.25">
      <c r="A40" s="214" t="s">
        <v>2679</v>
      </c>
      <c r="B40" s="64">
        <v>105.25</v>
      </c>
      <c r="C40" s="64">
        <v>80.64</v>
      </c>
      <c r="D40" s="64">
        <v>129.55000000000001</v>
      </c>
      <c r="E40" s="64">
        <v>0.53</v>
      </c>
      <c r="F40" s="64">
        <v>3.37</v>
      </c>
      <c r="G40" s="64">
        <v>224.13</v>
      </c>
      <c r="H40" s="64">
        <v>100.7</v>
      </c>
      <c r="I40" s="64">
        <v>1.46</v>
      </c>
      <c r="J40" s="64">
        <v>0.05</v>
      </c>
      <c r="K40" s="64">
        <v>34.75</v>
      </c>
      <c r="L40" s="64">
        <v>16.28</v>
      </c>
      <c r="M40" s="64">
        <v>90.7</v>
      </c>
      <c r="N40" s="64">
        <v>160.9</v>
      </c>
      <c r="O40" s="64">
        <v>0</v>
      </c>
      <c r="P40" s="64">
        <v>2.37</v>
      </c>
      <c r="Q40" s="64">
        <v>5.5</v>
      </c>
      <c r="R40" s="198"/>
      <c r="S40" s="198"/>
      <c r="T40" s="198"/>
      <c r="U40" s="198"/>
    </row>
    <row r="41" spans="1:21" s="12" customFormat="1" x14ac:dyDescent="0.25">
      <c r="A41" s="214" t="s">
        <v>2680</v>
      </c>
      <c r="B41" s="64">
        <v>107.32</v>
      </c>
      <c r="C41" s="64">
        <v>81.67</v>
      </c>
      <c r="D41" s="64">
        <v>131.78</v>
      </c>
      <c r="E41" s="64">
        <v>0.77</v>
      </c>
      <c r="F41" s="64">
        <v>3.57</v>
      </c>
      <c r="G41" s="64">
        <v>224.13</v>
      </c>
      <c r="H41" s="64">
        <v>100.7</v>
      </c>
      <c r="I41" s="64">
        <v>1.52</v>
      </c>
      <c r="J41" s="64">
        <v>0.13</v>
      </c>
      <c r="K41" s="64">
        <v>14.76</v>
      </c>
      <c r="L41" s="64">
        <v>17.55</v>
      </c>
      <c r="M41" s="64">
        <v>80.739999999999995</v>
      </c>
      <c r="N41" s="64">
        <v>193</v>
      </c>
      <c r="O41" s="64">
        <v>0</v>
      </c>
      <c r="P41" s="64">
        <v>1.98</v>
      </c>
      <c r="Q41" s="64">
        <v>10.29</v>
      </c>
      <c r="R41" s="198"/>
      <c r="S41" s="198"/>
      <c r="T41" s="198"/>
      <c r="U41" s="198"/>
    </row>
    <row r="42" spans="1:21" s="12" customFormat="1" x14ac:dyDescent="0.25">
      <c r="A42" s="214" t="s">
        <v>2681</v>
      </c>
      <c r="B42" s="64">
        <v>104.85</v>
      </c>
      <c r="C42" s="64">
        <v>81.41</v>
      </c>
      <c r="D42" s="64">
        <v>129.65</v>
      </c>
      <c r="E42" s="64">
        <v>0.63</v>
      </c>
      <c r="F42" s="64">
        <v>3.84</v>
      </c>
      <c r="G42" s="64">
        <v>224.13</v>
      </c>
      <c r="H42" s="64">
        <v>100.7</v>
      </c>
      <c r="I42" s="64">
        <v>1.49</v>
      </c>
      <c r="J42" s="64">
        <v>0.08</v>
      </c>
      <c r="K42" s="64">
        <v>11.34</v>
      </c>
      <c r="L42" s="64">
        <v>17.13</v>
      </c>
      <c r="M42" s="64">
        <v>82.07</v>
      </c>
      <c r="N42" s="64">
        <v>225.8</v>
      </c>
      <c r="O42" s="64">
        <v>0</v>
      </c>
      <c r="P42" s="64">
        <v>1.79</v>
      </c>
      <c r="Q42" s="64">
        <v>16.579999999999998</v>
      </c>
      <c r="R42" s="198"/>
      <c r="S42" s="198"/>
      <c r="T42" s="198"/>
      <c r="U42" s="198"/>
    </row>
    <row r="43" spans="1:21" s="12" customFormat="1" x14ac:dyDescent="0.25">
      <c r="A43" s="214" t="s">
        <v>2682</v>
      </c>
      <c r="B43" s="64">
        <v>100.24</v>
      </c>
      <c r="C43" s="64">
        <v>81.14</v>
      </c>
      <c r="D43" s="64">
        <v>125.81</v>
      </c>
      <c r="E43" s="64">
        <v>0.64</v>
      </c>
      <c r="F43" s="64">
        <v>3.61</v>
      </c>
      <c r="G43" s="64">
        <v>224.13</v>
      </c>
      <c r="H43" s="64">
        <v>100.62</v>
      </c>
      <c r="I43" s="64">
        <v>1.53</v>
      </c>
      <c r="J43" s="64">
        <v>0.12</v>
      </c>
      <c r="K43" s="64">
        <v>13.72</v>
      </c>
      <c r="L43" s="64">
        <v>18.670000000000002</v>
      </c>
      <c r="M43" s="64">
        <v>75.180000000000007</v>
      </c>
      <c r="N43" s="64">
        <v>259.3</v>
      </c>
      <c r="O43" s="64">
        <v>0</v>
      </c>
      <c r="P43" s="64">
        <v>1.81</v>
      </c>
      <c r="Q43" s="64">
        <v>17.97</v>
      </c>
      <c r="R43" s="198"/>
      <c r="S43" s="198"/>
      <c r="T43" s="198"/>
      <c r="U43" s="198"/>
    </row>
    <row r="44" spans="1:21" s="12" customFormat="1" x14ac:dyDescent="0.25">
      <c r="A44" s="214" t="s">
        <v>2683</v>
      </c>
      <c r="B44" s="64">
        <v>96.19</v>
      </c>
      <c r="C44" s="64">
        <v>83.98</v>
      </c>
      <c r="D44" s="64">
        <v>124.12</v>
      </c>
      <c r="E44" s="64">
        <v>0.62</v>
      </c>
      <c r="F44" s="64">
        <v>3.6</v>
      </c>
      <c r="G44" s="64">
        <v>259.11</v>
      </c>
      <c r="H44" s="64">
        <v>100.3</v>
      </c>
      <c r="I44" s="64">
        <v>1.47</v>
      </c>
      <c r="J44" s="64">
        <v>0.17</v>
      </c>
      <c r="K44" s="64">
        <v>70.540000000000006</v>
      </c>
      <c r="L44" s="64">
        <v>19.63</v>
      </c>
      <c r="M44" s="64">
        <v>71.22</v>
      </c>
      <c r="N44" s="64">
        <v>288</v>
      </c>
      <c r="O44" s="64">
        <v>0</v>
      </c>
      <c r="P44" s="64">
        <v>1.85</v>
      </c>
      <c r="Q44" s="64">
        <v>17.57</v>
      </c>
      <c r="R44" s="198"/>
      <c r="S44" s="198"/>
      <c r="T44" s="198"/>
      <c r="U44" s="198"/>
    </row>
    <row r="45" spans="1:21" s="12" customFormat="1" x14ac:dyDescent="0.25">
      <c r="A45" s="214" t="s">
        <v>2684</v>
      </c>
      <c r="B45" s="64">
        <v>91.76</v>
      </c>
      <c r="C45" s="64">
        <v>84.53</v>
      </c>
      <c r="D45" s="64">
        <v>120.88</v>
      </c>
      <c r="E45" s="64">
        <v>0.59</v>
      </c>
      <c r="F45" s="64">
        <v>3.66</v>
      </c>
      <c r="G45" s="64">
        <v>259.11</v>
      </c>
      <c r="H45" s="64">
        <v>100.3</v>
      </c>
      <c r="I45" s="64">
        <v>1.6</v>
      </c>
      <c r="J45" s="64">
        <v>0.08</v>
      </c>
      <c r="K45" s="64">
        <v>117.49</v>
      </c>
      <c r="L45" s="64">
        <v>19.600000000000001</v>
      </c>
      <c r="M45" s="64">
        <v>71.25</v>
      </c>
      <c r="N45" s="64">
        <v>318.8</v>
      </c>
      <c r="O45" s="64">
        <v>0</v>
      </c>
      <c r="P45" s="64">
        <v>1.74</v>
      </c>
      <c r="Q45" s="64">
        <v>16.89</v>
      </c>
      <c r="R45" s="198"/>
      <c r="S45" s="198"/>
      <c r="T45" s="198"/>
      <c r="U45" s="198"/>
    </row>
    <row r="46" spans="1:21" s="12" customFormat="1" x14ac:dyDescent="0.25">
      <c r="A46" s="214" t="s">
        <v>2685</v>
      </c>
      <c r="B46" s="64">
        <v>85.56</v>
      </c>
      <c r="C46" s="64">
        <v>85.71</v>
      </c>
      <c r="D46" s="64">
        <v>116.56</v>
      </c>
      <c r="E46" s="64">
        <v>0.7</v>
      </c>
      <c r="F46" s="64">
        <v>3.82</v>
      </c>
      <c r="G46" s="64">
        <v>259.11</v>
      </c>
      <c r="H46" s="64">
        <v>100.3</v>
      </c>
      <c r="I46" s="64">
        <v>1.43</v>
      </c>
      <c r="J46" s="64">
        <v>0.55000000000000004</v>
      </c>
      <c r="K46" s="64">
        <v>116.6</v>
      </c>
      <c r="L46" s="64">
        <v>20</v>
      </c>
      <c r="M46" s="64">
        <v>67.03</v>
      </c>
      <c r="N46" s="64">
        <v>378.8</v>
      </c>
      <c r="O46" s="64">
        <v>0</v>
      </c>
      <c r="P46" s="64">
        <v>1.66</v>
      </c>
      <c r="Q46" s="64">
        <v>16.670000000000002</v>
      </c>
      <c r="R46" s="198"/>
      <c r="S46" s="198"/>
      <c r="T46" s="198"/>
      <c r="U46" s="198"/>
    </row>
    <row r="47" spans="1:21" s="12" customFormat="1" x14ac:dyDescent="0.25">
      <c r="A47" s="214" t="s">
        <v>2686</v>
      </c>
      <c r="B47" s="64">
        <v>78.58</v>
      </c>
      <c r="C47" s="64">
        <v>86.59</v>
      </c>
      <c r="D47" s="64">
        <v>111.44</v>
      </c>
      <c r="E47" s="64">
        <v>0.63</v>
      </c>
      <c r="F47" s="64">
        <v>4.01</v>
      </c>
      <c r="G47" s="64">
        <v>200.39</v>
      </c>
      <c r="H47" s="64">
        <v>99.51</v>
      </c>
      <c r="I47" s="64">
        <v>1.49</v>
      </c>
      <c r="J47" s="64">
        <v>0.55000000000000004</v>
      </c>
      <c r="K47" s="64">
        <v>108.33</v>
      </c>
      <c r="L47" s="64">
        <v>19.97</v>
      </c>
      <c r="M47" s="64">
        <v>64.59</v>
      </c>
      <c r="N47" s="64">
        <v>414.3</v>
      </c>
      <c r="O47" s="64">
        <v>0</v>
      </c>
      <c r="P47" s="64">
        <v>1.53</v>
      </c>
      <c r="Q47" s="64">
        <v>15.38</v>
      </c>
      <c r="R47" s="198"/>
      <c r="S47" s="198"/>
      <c r="T47" s="198"/>
      <c r="U47" s="198"/>
    </row>
    <row r="48" spans="1:21" s="12" customFormat="1" x14ac:dyDescent="0.25">
      <c r="A48" s="214" t="s">
        <v>2687</v>
      </c>
      <c r="B48" s="64">
        <v>71.510000000000005</v>
      </c>
      <c r="C48" s="64">
        <v>89.16</v>
      </c>
      <c r="D48" s="64">
        <v>107.19</v>
      </c>
      <c r="E48" s="64">
        <v>0.6</v>
      </c>
      <c r="F48" s="64">
        <v>4.63</v>
      </c>
      <c r="G48" s="64">
        <v>200.39</v>
      </c>
      <c r="H48" s="64">
        <v>97.36</v>
      </c>
      <c r="I48" s="64">
        <v>1.53</v>
      </c>
      <c r="J48" s="64">
        <v>0.33</v>
      </c>
      <c r="K48" s="64">
        <v>94.28</v>
      </c>
      <c r="L48" s="64">
        <v>21.3</v>
      </c>
      <c r="M48" s="64">
        <v>60.1</v>
      </c>
      <c r="N48" s="64">
        <v>437.2</v>
      </c>
      <c r="O48" s="64">
        <v>0</v>
      </c>
      <c r="P48" s="64">
        <v>1.31</v>
      </c>
      <c r="Q48" s="64">
        <v>15.95</v>
      </c>
      <c r="R48" s="198"/>
      <c r="S48" s="198"/>
      <c r="T48" s="198"/>
      <c r="U48" s="198"/>
    </row>
    <row r="49" spans="1:21" s="12" customFormat="1" x14ac:dyDescent="0.25">
      <c r="A49" s="214" t="s">
        <v>2688</v>
      </c>
      <c r="B49" s="64">
        <v>64.819999999999993</v>
      </c>
      <c r="C49" s="64">
        <v>90.71</v>
      </c>
      <c r="D49" s="64">
        <v>102.69</v>
      </c>
      <c r="E49" s="64">
        <v>0.59</v>
      </c>
      <c r="F49" s="64">
        <v>5.61</v>
      </c>
      <c r="G49" s="64">
        <v>200.39</v>
      </c>
      <c r="H49" s="64">
        <v>97.36</v>
      </c>
      <c r="I49" s="64">
        <v>1.47</v>
      </c>
      <c r="J49" s="64">
        <v>0.18</v>
      </c>
      <c r="K49" s="64">
        <v>17.22</v>
      </c>
      <c r="L49" s="64">
        <v>22.38</v>
      </c>
      <c r="M49" s="64">
        <v>57.75</v>
      </c>
      <c r="N49" s="64">
        <v>465</v>
      </c>
      <c r="O49" s="64">
        <v>0</v>
      </c>
      <c r="P49" s="64">
        <v>1.37</v>
      </c>
      <c r="Q49" s="64">
        <v>14.15</v>
      </c>
      <c r="R49" s="198"/>
      <c r="S49" s="198"/>
      <c r="T49" s="198"/>
      <c r="U49" s="198"/>
    </row>
    <row r="50" spans="1:21" s="12" customFormat="1" x14ac:dyDescent="0.25">
      <c r="A50" s="214" t="s">
        <v>2689</v>
      </c>
      <c r="B50" s="64">
        <v>58.64</v>
      </c>
      <c r="C50" s="64">
        <v>91.83</v>
      </c>
      <c r="D50" s="64">
        <v>98.35</v>
      </c>
      <c r="E50" s="64">
        <v>0.62</v>
      </c>
      <c r="F50" s="64">
        <v>5.56</v>
      </c>
      <c r="G50" s="64">
        <v>200.39</v>
      </c>
      <c r="H50" s="64">
        <v>97.36</v>
      </c>
      <c r="I50" s="64">
        <v>1.49</v>
      </c>
      <c r="J50" s="64">
        <v>0.25</v>
      </c>
      <c r="K50" s="64">
        <v>100.79</v>
      </c>
      <c r="L50" s="64">
        <v>23.34</v>
      </c>
      <c r="M50" s="64">
        <v>54.26</v>
      </c>
      <c r="N50" s="64">
        <v>492.2</v>
      </c>
      <c r="O50" s="64">
        <v>0</v>
      </c>
      <c r="P50" s="64">
        <v>1.55</v>
      </c>
      <c r="Q50" s="64">
        <v>13.05</v>
      </c>
      <c r="R50" s="198"/>
      <c r="S50" s="198"/>
      <c r="T50" s="198"/>
      <c r="U50" s="198"/>
    </row>
    <row r="51" spans="1:21" s="12" customFormat="1" x14ac:dyDescent="0.25">
      <c r="A51" s="214" t="s">
        <v>2690</v>
      </c>
      <c r="B51" s="64">
        <v>52.43</v>
      </c>
      <c r="C51" s="64">
        <v>96.75</v>
      </c>
      <c r="D51" s="64">
        <v>96.08</v>
      </c>
      <c r="E51" s="64">
        <v>0.63</v>
      </c>
      <c r="F51" s="64">
        <v>6.91</v>
      </c>
      <c r="G51" s="64">
        <v>200.39</v>
      </c>
      <c r="H51" s="64">
        <v>97.36</v>
      </c>
      <c r="I51" s="64">
        <v>1.57</v>
      </c>
      <c r="J51" s="64">
        <v>0.14000000000000001</v>
      </c>
      <c r="K51" s="64">
        <v>34.93</v>
      </c>
      <c r="L51" s="64">
        <v>24.6</v>
      </c>
      <c r="M51" s="64">
        <v>50.51</v>
      </c>
      <c r="N51" s="64">
        <v>501.6</v>
      </c>
      <c r="O51" s="64">
        <v>0</v>
      </c>
      <c r="P51" s="64">
        <v>1.42</v>
      </c>
      <c r="Q51" s="64">
        <v>12.77</v>
      </c>
      <c r="R51" s="198"/>
      <c r="S51" s="198"/>
      <c r="T51" s="198"/>
      <c r="U51" s="198"/>
    </row>
    <row r="52" spans="1:21" s="12" customFormat="1" x14ac:dyDescent="0.25">
      <c r="A52" s="214" t="s">
        <v>2691</v>
      </c>
      <c r="B52" s="64">
        <v>23.78</v>
      </c>
      <c r="C52" s="64">
        <v>8.43</v>
      </c>
      <c r="D52" s="64">
        <v>30.66</v>
      </c>
      <c r="E52" s="64">
        <v>0.65</v>
      </c>
      <c r="F52" s="64">
        <v>9.58</v>
      </c>
      <c r="G52" s="64">
        <v>200.39</v>
      </c>
      <c r="H52" s="64">
        <v>97.36</v>
      </c>
      <c r="I52" s="64">
        <v>1.45</v>
      </c>
      <c r="J52" s="64">
        <v>0.09</v>
      </c>
      <c r="K52" s="64">
        <v>29.86</v>
      </c>
      <c r="L52" s="64">
        <v>24.27</v>
      </c>
      <c r="M52" s="64">
        <v>51.73</v>
      </c>
      <c r="N52" s="64">
        <v>516.70000000000005</v>
      </c>
      <c r="O52" s="64">
        <v>0</v>
      </c>
      <c r="P52" s="64">
        <v>1.22</v>
      </c>
      <c r="Q52" s="64">
        <v>12.48</v>
      </c>
      <c r="R52" s="198"/>
      <c r="S52" s="198"/>
      <c r="T52" s="198"/>
      <c r="U52" s="198"/>
    </row>
    <row r="53" spans="1:21" s="12" customFormat="1" x14ac:dyDescent="0.25">
      <c r="A53" s="214" t="s">
        <v>2692</v>
      </c>
      <c r="B53" s="211" t="s">
        <v>40</v>
      </c>
      <c r="C53" s="211" t="s">
        <v>40</v>
      </c>
      <c r="D53" s="211" t="s">
        <v>40</v>
      </c>
      <c r="E53" s="64">
        <v>0.64</v>
      </c>
      <c r="F53" s="64">
        <v>11.96</v>
      </c>
      <c r="G53" s="64">
        <v>200.39</v>
      </c>
      <c r="H53" s="64">
        <v>97.36</v>
      </c>
      <c r="I53" s="64">
        <v>1.53</v>
      </c>
      <c r="J53" s="64">
        <v>0.39</v>
      </c>
      <c r="K53" s="64">
        <v>342.62</v>
      </c>
      <c r="L53" s="64">
        <v>26.21</v>
      </c>
      <c r="M53" s="64">
        <v>46.11</v>
      </c>
      <c r="N53" s="64">
        <v>535.9</v>
      </c>
      <c r="O53" s="64">
        <v>0</v>
      </c>
      <c r="P53" s="64">
        <v>1.2</v>
      </c>
      <c r="Q53" s="64">
        <v>10.25</v>
      </c>
      <c r="R53" s="198"/>
      <c r="S53" s="198"/>
      <c r="T53" s="198"/>
      <c r="U53" s="198"/>
    </row>
    <row r="54" spans="1:21" s="12" customFormat="1" x14ac:dyDescent="0.25">
      <c r="A54" s="214" t="s">
        <v>2693</v>
      </c>
      <c r="B54" s="211" t="s">
        <v>40</v>
      </c>
      <c r="C54" s="211" t="s">
        <v>40</v>
      </c>
      <c r="D54" s="211" t="s">
        <v>40</v>
      </c>
      <c r="E54" s="64">
        <v>0.56999999999999995</v>
      </c>
      <c r="F54" s="64">
        <v>11.14</v>
      </c>
      <c r="G54" s="64">
        <v>200.39</v>
      </c>
      <c r="H54" s="64">
        <v>97.36</v>
      </c>
      <c r="I54" s="64">
        <v>1.52</v>
      </c>
      <c r="J54" s="64">
        <v>0.19</v>
      </c>
      <c r="K54" s="64">
        <v>110.17</v>
      </c>
      <c r="L54" s="64">
        <v>25.89</v>
      </c>
      <c r="M54" s="64">
        <v>45.44</v>
      </c>
      <c r="N54" s="64">
        <v>553</v>
      </c>
      <c r="O54" s="64">
        <v>0</v>
      </c>
      <c r="P54" s="64">
        <v>1.31</v>
      </c>
      <c r="Q54" s="64">
        <v>10.76</v>
      </c>
      <c r="R54" s="198"/>
      <c r="S54" s="198"/>
      <c r="T54" s="198"/>
      <c r="U54" s="198"/>
    </row>
    <row r="55" spans="1:21" s="12" customFormat="1" x14ac:dyDescent="0.25">
      <c r="A55" s="214" t="s">
        <v>2694</v>
      </c>
      <c r="B55" s="211" t="s">
        <v>40</v>
      </c>
      <c r="C55" s="211" t="s">
        <v>40</v>
      </c>
      <c r="D55" s="211" t="s">
        <v>40</v>
      </c>
      <c r="E55" s="64">
        <v>0.66</v>
      </c>
      <c r="F55" s="64">
        <v>12.81</v>
      </c>
      <c r="G55" s="64">
        <v>200.39</v>
      </c>
      <c r="H55" s="64">
        <v>97.36</v>
      </c>
      <c r="I55" s="64">
        <v>1.46</v>
      </c>
      <c r="J55" s="64">
        <v>0.53</v>
      </c>
      <c r="K55" s="64">
        <v>132.55000000000001</v>
      </c>
      <c r="L55" s="64">
        <v>25.32</v>
      </c>
      <c r="M55" s="64">
        <v>45.94</v>
      </c>
      <c r="N55" s="64">
        <v>568.6</v>
      </c>
      <c r="O55" s="64">
        <v>0</v>
      </c>
      <c r="P55" s="64">
        <v>3.85</v>
      </c>
      <c r="Q55" s="64">
        <v>11.14</v>
      </c>
      <c r="R55" s="198"/>
      <c r="S55" s="198"/>
      <c r="T55" s="198"/>
      <c r="U55" s="198"/>
    </row>
    <row r="56" spans="1:21" s="12" customFormat="1" x14ac:dyDescent="0.25">
      <c r="A56" s="214" t="s">
        <v>2695</v>
      </c>
      <c r="B56" s="211" t="s">
        <v>40</v>
      </c>
      <c r="C56" s="211" t="s">
        <v>40</v>
      </c>
      <c r="D56" s="211" t="s">
        <v>40</v>
      </c>
      <c r="E56" s="64">
        <v>0.15</v>
      </c>
      <c r="F56" s="64">
        <v>10.74</v>
      </c>
      <c r="G56" s="64">
        <v>51.21</v>
      </c>
      <c r="H56" s="64">
        <v>24.88</v>
      </c>
      <c r="I56" s="64">
        <v>1.52</v>
      </c>
      <c r="J56" s="64">
        <v>0.3</v>
      </c>
      <c r="K56" s="64">
        <v>134.65</v>
      </c>
      <c r="L56" s="64">
        <v>24.89</v>
      </c>
      <c r="M56" s="64">
        <v>47.02</v>
      </c>
      <c r="N56" s="64">
        <v>567.29999999999995</v>
      </c>
      <c r="O56" s="64">
        <v>0</v>
      </c>
      <c r="P56" s="64">
        <v>4.21</v>
      </c>
      <c r="Q56" s="64">
        <v>10.039999999999999</v>
      </c>
      <c r="R56" s="198"/>
      <c r="S56" s="198"/>
      <c r="T56" s="198"/>
      <c r="U56" s="198"/>
    </row>
    <row r="57" spans="1:21" s="12" customFormat="1" x14ac:dyDescent="0.25">
      <c r="A57" s="214" t="s">
        <v>2696</v>
      </c>
      <c r="B57" s="64">
        <v>4.03</v>
      </c>
      <c r="C57" s="64">
        <v>98.77</v>
      </c>
      <c r="D57" s="64">
        <v>58.39</v>
      </c>
      <c r="E57" s="64">
        <v>0.63</v>
      </c>
      <c r="F57" s="64">
        <v>25.31</v>
      </c>
      <c r="G57" s="211" t="s">
        <v>40</v>
      </c>
      <c r="H57" s="211" t="s">
        <v>40</v>
      </c>
      <c r="I57" s="64">
        <v>1.53</v>
      </c>
      <c r="J57" s="64">
        <v>0.45</v>
      </c>
      <c r="K57" s="64">
        <v>142.35</v>
      </c>
      <c r="L57" s="64">
        <v>25.76</v>
      </c>
      <c r="M57" s="64">
        <v>42.7</v>
      </c>
      <c r="N57" s="64">
        <v>548.6</v>
      </c>
      <c r="O57" s="64">
        <v>0</v>
      </c>
      <c r="P57" s="64">
        <v>1.43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4" t="s">
        <v>2697</v>
      </c>
      <c r="B58" s="64">
        <v>2.68</v>
      </c>
      <c r="C58" s="64">
        <v>94.1</v>
      </c>
      <c r="D58" s="64">
        <v>54.73</v>
      </c>
      <c r="E58" s="64">
        <v>5.46</v>
      </c>
      <c r="F58" s="64">
        <v>27.82</v>
      </c>
      <c r="G58" s="211" t="s">
        <v>40</v>
      </c>
      <c r="H58" s="211" t="s">
        <v>40</v>
      </c>
      <c r="I58" s="64">
        <v>1.49</v>
      </c>
      <c r="J58" s="64">
        <v>0.43</v>
      </c>
      <c r="K58" s="64">
        <v>336.84</v>
      </c>
      <c r="L58" s="64">
        <v>27.77</v>
      </c>
      <c r="M58" s="64">
        <v>39.229999999999997</v>
      </c>
      <c r="N58" s="64">
        <v>532.9</v>
      </c>
      <c r="O58" s="64">
        <v>0</v>
      </c>
      <c r="P58" s="64">
        <v>1.06</v>
      </c>
      <c r="Q58" s="64">
        <v>7.54</v>
      </c>
      <c r="R58" s="198"/>
      <c r="S58" s="198"/>
      <c r="T58" s="198"/>
      <c r="U58" s="198"/>
    </row>
    <row r="59" spans="1:21" s="12" customFormat="1" x14ac:dyDescent="0.25">
      <c r="A59" s="214" t="s">
        <v>2698</v>
      </c>
      <c r="B59" s="64">
        <v>2.59</v>
      </c>
      <c r="C59" s="64">
        <v>96.54</v>
      </c>
      <c r="D59" s="64">
        <v>56</v>
      </c>
      <c r="E59" s="211" t="s">
        <v>40</v>
      </c>
      <c r="F59" s="64">
        <v>41.94</v>
      </c>
      <c r="G59" s="211" t="s">
        <v>40</v>
      </c>
      <c r="H59" s="211" t="s">
        <v>40</v>
      </c>
      <c r="I59" s="64">
        <v>1.49</v>
      </c>
      <c r="J59" s="64">
        <v>0.89</v>
      </c>
      <c r="K59" s="64">
        <v>336.02</v>
      </c>
      <c r="L59" s="64">
        <v>29.06</v>
      </c>
      <c r="M59" s="64">
        <v>35.28</v>
      </c>
      <c r="N59" s="64">
        <v>521.6</v>
      </c>
      <c r="O59" s="64">
        <v>0</v>
      </c>
      <c r="P59" s="64">
        <v>0.8</v>
      </c>
      <c r="Q59" s="64">
        <v>7.5</v>
      </c>
      <c r="R59" s="198"/>
      <c r="S59" s="198"/>
      <c r="T59" s="198"/>
      <c r="U59" s="198"/>
    </row>
    <row r="60" spans="1:21" s="12" customFormat="1" x14ac:dyDescent="0.25">
      <c r="A60" s="214" t="s">
        <v>2699</v>
      </c>
      <c r="B60" s="64">
        <v>2.36</v>
      </c>
      <c r="C60" s="64">
        <v>93.08</v>
      </c>
      <c r="D60" s="64">
        <v>53.91</v>
      </c>
      <c r="E60" s="211" t="s">
        <v>40</v>
      </c>
      <c r="F60" s="64">
        <v>48.51</v>
      </c>
      <c r="G60" s="64">
        <v>94.59</v>
      </c>
      <c r="H60" s="64">
        <v>43.93</v>
      </c>
      <c r="I60" s="64">
        <v>1.48</v>
      </c>
      <c r="J60" s="64">
        <v>0.61</v>
      </c>
      <c r="K60" s="64">
        <v>332.12</v>
      </c>
      <c r="L60" s="64">
        <v>29.51</v>
      </c>
      <c r="M60" s="64">
        <v>34.65</v>
      </c>
      <c r="N60" s="64">
        <v>511.1</v>
      </c>
      <c r="O60" s="64">
        <v>0</v>
      </c>
      <c r="P60" s="64">
        <v>0.91</v>
      </c>
      <c r="Q60" s="64">
        <v>7.98</v>
      </c>
      <c r="R60" s="198"/>
      <c r="S60" s="198"/>
      <c r="T60" s="198"/>
      <c r="U60" s="198"/>
    </row>
    <row r="61" spans="1:21" s="12" customFormat="1" x14ac:dyDescent="0.25">
      <c r="A61" s="214" t="s">
        <v>2700</v>
      </c>
      <c r="B61" s="64">
        <v>2.13</v>
      </c>
      <c r="C61" s="64">
        <v>90.33</v>
      </c>
      <c r="D61" s="64">
        <v>52.2</v>
      </c>
      <c r="E61" s="64">
        <v>2.2200000000000002</v>
      </c>
      <c r="F61" s="64">
        <v>45.94</v>
      </c>
      <c r="G61" s="64">
        <v>123.37</v>
      </c>
      <c r="H61" s="64">
        <v>57.3</v>
      </c>
      <c r="I61" s="64">
        <v>1.55</v>
      </c>
      <c r="J61" s="64">
        <v>0.36</v>
      </c>
      <c r="K61" s="64">
        <v>342.76</v>
      </c>
      <c r="L61" s="64">
        <v>28.75</v>
      </c>
      <c r="M61" s="64">
        <v>35.729999999999997</v>
      </c>
      <c r="N61" s="64">
        <v>498.8</v>
      </c>
      <c r="O61" s="64">
        <v>0</v>
      </c>
      <c r="P61" s="64">
        <v>1.02</v>
      </c>
      <c r="Q61" s="64">
        <v>7.23</v>
      </c>
      <c r="R61" s="198"/>
      <c r="S61" s="198"/>
      <c r="T61" s="198"/>
      <c r="U61" s="198"/>
    </row>
    <row r="62" spans="1:21" s="12" customFormat="1" x14ac:dyDescent="0.25">
      <c r="A62" s="214" t="s">
        <v>2701</v>
      </c>
      <c r="B62" s="64">
        <v>2.2200000000000002</v>
      </c>
      <c r="C62" s="64">
        <v>89</v>
      </c>
      <c r="D62" s="64">
        <v>51.54</v>
      </c>
      <c r="E62" s="64">
        <v>2.08</v>
      </c>
      <c r="F62" s="64">
        <v>45.68</v>
      </c>
      <c r="G62" s="64">
        <v>123.37</v>
      </c>
      <c r="H62" s="64">
        <v>57.3</v>
      </c>
      <c r="I62" s="64">
        <v>1.46</v>
      </c>
      <c r="J62" s="64">
        <v>0.41</v>
      </c>
      <c r="K62" s="64">
        <v>333.13</v>
      </c>
      <c r="L62" s="64">
        <v>28.21</v>
      </c>
      <c r="M62" s="64">
        <v>36.22</v>
      </c>
      <c r="N62" s="64">
        <v>476</v>
      </c>
      <c r="O62" s="64">
        <v>0</v>
      </c>
      <c r="P62" s="64">
        <v>1.02</v>
      </c>
      <c r="Q62" s="64">
        <v>7.29</v>
      </c>
      <c r="R62" s="198"/>
      <c r="S62" s="198"/>
      <c r="T62" s="198"/>
      <c r="U62" s="198"/>
    </row>
    <row r="63" spans="1:21" s="12" customFormat="1" x14ac:dyDescent="0.25">
      <c r="A63" s="214" t="s">
        <v>2702</v>
      </c>
      <c r="B63" s="64">
        <v>2.68</v>
      </c>
      <c r="C63" s="64">
        <v>86.79</v>
      </c>
      <c r="D63" s="64">
        <v>50.69</v>
      </c>
      <c r="E63" s="64">
        <v>1.3</v>
      </c>
      <c r="F63" s="64">
        <v>39.549999999999997</v>
      </c>
      <c r="G63" s="64">
        <v>123.37</v>
      </c>
      <c r="H63" s="64">
        <v>57.3</v>
      </c>
      <c r="I63" s="64">
        <v>1.48</v>
      </c>
      <c r="J63" s="64">
        <v>0.32</v>
      </c>
      <c r="K63" s="64">
        <v>136.06</v>
      </c>
      <c r="L63" s="64">
        <v>27.17</v>
      </c>
      <c r="M63" s="64">
        <v>38.450000000000003</v>
      </c>
      <c r="N63" s="64">
        <v>444.9</v>
      </c>
      <c r="O63" s="64">
        <v>0</v>
      </c>
      <c r="P63" s="64">
        <v>0.99</v>
      </c>
      <c r="Q63" s="64">
        <v>6.57</v>
      </c>
      <c r="R63" s="198"/>
      <c r="S63" s="198"/>
      <c r="T63" s="198"/>
      <c r="U63" s="198"/>
    </row>
    <row r="64" spans="1:21" s="12" customFormat="1" x14ac:dyDescent="0.25">
      <c r="A64" s="214" t="s">
        <v>2703</v>
      </c>
      <c r="B64" s="64">
        <v>2.73</v>
      </c>
      <c r="C64" s="64">
        <v>85.42</v>
      </c>
      <c r="D64" s="64">
        <v>49.98</v>
      </c>
      <c r="E64" s="64">
        <v>2.11</v>
      </c>
      <c r="F64" s="64">
        <v>46.67</v>
      </c>
      <c r="G64" s="64">
        <v>119.85</v>
      </c>
      <c r="H64" s="64">
        <v>57.47</v>
      </c>
      <c r="I64" s="64">
        <v>1.51</v>
      </c>
      <c r="J64" s="64">
        <v>0.19</v>
      </c>
      <c r="K64" s="64">
        <v>317.36</v>
      </c>
      <c r="L64" s="64">
        <v>28.24</v>
      </c>
      <c r="M64" s="64">
        <v>35.049999999999997</v>
      </c>
      <c r="N64" s="64">
        <v>231.4</v>
      </c>
      <c r="O64" s="64">
        <v>0</v>
      </c>
      <c r="P64" s="64">
        <v>1.08</v>
      </c>
      <c r="Q64" s="64">
        <v>6.68</v>
      </c>
      <c r="R64" s="198"/>
      <c r="S64" s="198"/>
      <c r="T64" s="198"/>
      <c r="U64" s="198"/>
    </row>
    <row r="65" spans="1:21" s="12" customFormat="1" x14ac:dyDescent="0.25">
      <c r="A65" s="214" t="s">
        <v>2704</v>
      </c>
      <c r="B65" s="64">
        <v>2.6</v>
      </c>
      <c r="C65" s="64">
        <v>83.8</v>
      </c>
      <c r="D65" s="64">
        <v>48.98</v>
      </c>
      <c r="E65" s="64">
        <v>1.8</v>
      </c>
      <c r="F65" s="64">
        <v>43.88</v>
      </c>
      <c r="G65" s="64">
        <v>118.77</v>
      </c>
      <c r="H65" s="64">
        <v>57.47</v>
      </c>
      <c r="I65" s="64">
        <v>1.53</v>
      </c>
      <c r="J65" s="64">
        <v>0.28999999999999998</v>
      </c>
      <c r="K65" s="64">
        <v>132.96</v>
      </c>
      <c r="L65" s="64">
        <v>26.36</v>
      </c>
      <c r="M65" s="64">
        <v>37.33</v>
      </c>
      <c r="N65" s="64">
        <v>210.5</v>
      </c>
      <c r="O65" s="64">
        <v>0</v>
      </c>
      <c r="P65" s="64">
        <v>0.71</v>
      </c>
      <c r="Q65" s="64">
        <v>7.31</v>
      </c>
      <c r="R65" s="198"/>
      <c r="S65" s="198"/>
      <c r="T65" s="198"/>
      <c r="U65" s="198"/>
    </row>
    <row r="66" spans="1:21" s="12" customFormat="1" x14ac:dyDescent="0.25">
      <c r="A66" s="214" t="s">
        <v>2705</v>
      </c>
      <c r="B66" s="64">
        <v>2.66</v>
      </c>
      <c r="C66" s="64">
        <v>81.91</v>
      </c>
      <c r="D66" s="64">
        <v>47.98</v>
      </c>
      <c r="E66" s="64">
        <v>1.87</v>
      </c>
      <c r="F66" s="64">
        <v>36.86</v>
      </c>
      <c r="G66" s="64">
        <v>118.77</v>
      </c>
      <c r="H66" s="64">
        <v>57.47</v>
      </c>
      <c r="I66" s="64">
        <v>1.45</v>
      </c>
      <c r="J66" s="64">
        <v>0.5</v>
      </c>
      <c r="K66" s="64">
        <v>113.29</v>
      </c>
      <c r="L66" s="64">
        <v>25.8</v>
      </c>
      <c r="M66" s="64">
        <v>40.14</v>
      </c>
      <c r="N66" s="64">
        <v>188.6</v>
      </c>
      <c r="O66" s="64">
        <v>0</v>
      </c>
      <c r="P66" s="64">
        <v>1.01</v>
      </c>
      <c r="Q66" s="64">
        <v>6.16</v>
      </c>
      <c r="R66" s="198"/>
      <c r="S66" s="198"/>
      <c r="T66" s="198"/>
      <c r="U66" s="198"/>
    </row>
    <row r="67" spans="1:21" s="12" customFormat="1" x14ac:dyDescent="0.25">
      <c r="A67" s="214" t="s">
        <v>2706</v>
      </c>
      <c r="B67" s="64">
        <v>2.17</v>
      </c>
      <c r="C67" s="64">
        <v>83.15</v>
      </c>
      <c r="D67" s="64">
        <v>48.28</v>
      </c>
      <c r="E67" s="64">
        <v>2.34</v>
      </c>
      <c r="F67" s="64">
        <v>40.630000000000003</v>
      </c>
      <c r="G67" s="64">
        <v>118.77</v>
      </c>
      <c r="H67" s="64">
        <v>57.47</v>
      </c>
      <c r="I67" s="64">
        <v>1.46</v>
      </c>
      <c r="J67" s="64">
        <v>0.71</v>
      </c>
      <c r="K67" s="64">
        <v>116.12</v>
      </c>
      <c r="L67" s="64">
        <v>25.16</v>
      </c>
      <c r="M67" s="64">
        <v>41.57</v>
      </c>
      <c r="N67" s="64">
        <v>192.2</v>
      </c>
      <c r="O67" s="64">
        <v>0</v>
      </c>
      <c r="P67" s="64">
        <v>0.97</v>
      </c>
      <c r="Q67" s="64">
        <v>5</v>
      </c>
      <c r="R67" s="198"/>
      <c r="S67" s="198"/>
      <c r="T67" s="198"/>
      <c r="U67" s="198"/>
    </row>
    <row r="68" spans="1:21" s="12" customFormat="1" x14ac:dyDescent="0.25">
      <c r="A68" s="214" t="s">
        <v>2707</v>
      </c>
      <c r="B68" s="64">
        <v>1.86</v>
      </c>
      <c r="C68" s="64">
        <v>77.67</v>
      </c>
      <c r="D68" s="64">
        <v>45</v>
      </c>
      <c r="E68" s="64">
        <v>2.37</v>
      </c>
      <c r="F68" s="64">
        <v>51.25</v>
      </c>
      <c r="G68" s="64">
        <v>116.24</v>
      </c>
      <c r="H68" s="64">
        <v>60.35</v>
      </c>
      <c r="I68" s="64">
        <v>1.45</v>
      </c>
      <c r="J68" s="64">
        <v>0.73</v>
      </c>
      <c r="K68" s="64">
        <v>112.95</v>
      </c>
      <c r="L68" s="64">
        <v>24.54</v>
      </c>
      <c r="M68" s="64">
        <v>42.03</v>
      </c>
      <c r="N68" s="64">
        <v>183.7</v>
      </c>
      <c r="O68" s="64">
        <v>0</v>
      </c>
      <c r="P68" s="64">
        <v>0.74</v>
      </c>
      <c r="Q68" s="64">
        <v>5.54</v>
      </c>
      <c r="R68" s="198"/>
      <c r="S68" s="198"/>
      <c r="T68" s="198"/>
      <c r="U68" s="198"/>
    </row>
    <row r="69" spans="1:21" s="12" customFormat="1" x14ac:dyDescent="0.25">
      <c r="A69" s="214" t="s">
        <v>2708</v>
      </c>
      <c r="B69" s="64">
        <v>1.7</v>
      </c>
      <c r="C69" s="64">
        <v>69.63</v>
      </c>
      <c r="D69" s="64">
        <v>40.43</v>
      </c>
      <c r="E69" s="64">
        <v>2.11</v>
      </c>
      <c r="F69" s="64">
        <v>38</v>
      </c>
      <c r="G69" s="64">
        <v>115.46</v>
      </c>
      <c r="H69" s="64">
        <v>60.35</v>
      </c>
      <c r="I69" s="64">
        <v>1.5</v>
      </c>
      <c r="J69" s="64">
        <v>0.89</v>
      </c>
      <c r="K69" s="64">
        <v>113.58</v>
      </c>
      <c r="L69" s="64">
        <v>24.38</v>
      </c>
      <c r="M69" s="64">
        <v>43.18</v>
      </c>
      <c r="N69" s="64">
        <v>142.4</v>
      </c>
      <c r="O69" s="64">
        <v>0</v>
      </c>
      <c r="P69" s="64">
        <v>0.73</v>
      </c>
      <c r="Q69" s="64">
        <v>5.49</v>
      </c>
      <c r="R69" s="198"/>
      <c r="S69" s="198"/>
      <c r="T69" s="198"/>
      <c r="U69" s="198"/>
    </row>
    <row r="70" spans="1:21" s="12" customFormat="1" x14ac:dyDescent="0.25">
      <c r="A70" s="214" t="s">
        <v>2709</v>
      </c>
      <c r="B70" s="64">
        <v>1.78</v>
      </c>
      <c r="C70" s="64">
        <v>67.569999999999993</v>
      </c>
      <c r="D70" s="64">
        <v>39.36</v>
      </c>
      <c r="E70" s="64">
        <v>1.58</v>
      </c>
      <c r="F70" s="64">
        <v>26.14</v>
      </c>
      <c r="G70" s="64">
        <v>115.46</v>
      </c>
      <c r="H70" s="64">
        <v>60.35</v>
      </c>
      <c r="I70" s="64">
        <v>1.52</v>
      </c>
      <c r="J70" s="64">
        <v>0.17</v>
      </c>
      <c r="K70" s="64">
        <v>17.61</v>
      </c>
      <c r="L70" s="64">
        <v>24.63</v>
      </c>
      <c r="M70" s="64">
        <v>42.92</v>
      </c>
      <c r="N70" s="64">
        <v>125.8</v>
      </c>
      <c r="O70" s="64">
        <v>0</v>
      </c>
      <c r="P70" s="64">
        <v>0.93</v>
      </c>
      <c r="Q70" s="64">
        <v>5.41</v>
      </c>
      <c r="R70" s="198"/>
      <c r="S70" s="198"/>
      <c r="T70" s="198"/>
      <c r="U70" s="198"/>
    </row>
    <row r="71" spans="1:21" s="12" customFormat="1" x14ac:dyDescent="0.25">
      <c r="A71" s="214" t="s">
        <v>2710</v>
      </c>
      <c r="B71" s="64">
        <v>2.09</v>
      </c>
      <c r="C71" s="64">
        <v>70</v>
      </c>
      <c r="D71" s="64">
        <v>40.950000000000003</v>
      </c>
      <c r="E71" s="64">
        <v>1.76</v>
      </c>
      <c r="F71" s="64">
        <v>18.71</v>
      </c>
      <c r="G71" s="64">
        <v>115.46</v>
      </c>
      <c r="H71" s="64">
        <v>60.35</v>
      </c>
      <c r="I71" s="64">
        <v>1.46</v>
      </c>
      <c r="J71" s="64">
        <v>0.18</v>
      </c>
      <c r="K71" s="64">
        <v>334.4</v>
      </c>
      <c r="L71" s="64">
        <v>25.05</v>
      </c>
      <c r="M71" s="64">
        <v>42.24</v>
      </c>
      <c r="N71" s="64">
        <v>110.6</v>
      </c>
      <c r="O71" s="64">
        <v>0</v>
      </c>
      <c r="P71" s="64">
        <v>1.1399999999999999</v>
      </c>
      <c r="Q71" s="64">
        <v>3.76</v>
      </c>
      <c r="R71" s="198"/>
      <c r="S71" s="198"/>
      <c r="T71" s="198"/>
      <c r="U71" s="198"/>
    </row>
    <row r="72" spans="1:21" s="12" customFormat="1" x14ac:dyDescent="0.25">
      <c r="A72" s="214" t="s">
        <v>2711</v>
      </c>
      <c r="B72" s="64">
        <v>2.39</v>
      </c>
      <c r="C72" s="64">
        <v>73.47</v>
      </c>
      <c r="D72" s="64">
        <v>43.11</v>
      </c>
      <c r="E72" s="64">
        <v>0.88</v>
      </c>
      <c r="F72" s="64">
        <v>18.66</v>
      </c>
      <c r="G72" s="64">
        <v>113.03</v>
      </c>
      <c r="H72" s="64">
        <v>61.49</v>
      </c>
      <c r="I72" s="64">
        <v>1.51</v>
      </c>
      <c r="J72" s="64">
        <v>0.24</v>
      </c>
      <c r="K72" s="64">
        <v>344.08</v>
      </c>
      <c r="L72" s="64">
        <v>24.82</v>
      </c>
      <c r="M72" s="64">
        <v>44.1</v>
      </c>
      <c r="N72" s="64">
        <v>97.1</v>
      </c>
      <c r="O72" s="64">
        <v>0</v>
      </c>
      <c r="P72" s="64">
        <v>1.23</v>
      </c>
      <c r="Q72" s="64">
        <v>3.77</v>
      </c>
      <c r="R72" s="198"/>
      <c r="S72" s="198"/>
      <c r="T72" s="198"/>
      <c r="U72" s="198"/>
    </row>
    <row r="73" spans="1:21" s="12" customFormat="1" x14ac:dyDescent="0.25">
      <c r="A73" s="214" t="s">
        <v>2712</v>
      </c>
      <c r="B73" s="64">
        <v>2.81</v>
      </c>
      <c r="C73" s="64">
        <v>76.510000000000005</v>
      </c>
      <c r="D73" s="64">
        <v>45.12</v>
      </c>
      <c r="E73" s="64">
        <v>1.45</v>
      </c>
      <c r="F73" s="64">
        <v>19.84</v>
      </c>
      <c r="G73" s="64">
        <v>112.28</v>
      </c>
      <c r="H73" s="64">
        <v>61.49</v>
      </c>
      <c r="I73" s="64">
        <v>1.53</v>
      </c>
      <c r="J73" s="64">
        <v>0.3</v>
      </c>
      <c r="K73" s="64">
        <v>340.68</v>
      </c>
      <c r="L73" s="64">
        <v>24.66</v>
      </c>
      <c r="M73" s="64">
        <v>45.33</v>
      </c>
      <c r="N73" s="64">
        <v>85.7</v>
      </c>
      <c r="O73" s="64">
        <v>0</v>
      </c>
      <c r="P73" s="64">
        <v>1.47</v>
      </c>
      <c r="Q73" s="64">
        <v>2.57</v>
      </c>
      <c r="R73" s="198"/>
      <c r="S73" s="198"/>
      <c r="T73" s="198"/>
      <c r="U73" s="198"/>
    </row>
    <row r="74" spans="1:21" s="12" customFormat="1" x14ac:dyDescent="0.25">
      <c r="A74" s="214" t="s">
        <v>2713</v>
      </c>
      <c r="B74" s="64">
        <v>3.32</v>
      </c>
      <c r="C74" s="64">
        <v>79.72</v>
      </c>
      <c r="D74" s="64">
        <v>47.3</v>
      </c>
      <c r="E74" s="64">
        <v>1.53</v>
      </c>
      <c r="F74" s="64">
        <v>12.67</v>
      </c>
      <c r="G74" s="64">
        <v>112.28</v>
      </c>
      <c r="H74" s="64">
        <v>61.49</v>
      </c>
      <c r="I74" s="64">
        <v>1.51</v>
      </c>
      <c r="J74" s="64">
        <v>0.28999999999999998</v>
      </c>
      <c r="K74" s="64">
        <v>340.97</v>
      </c>
      <c r="L74" s="64">
        <v>24.21</v>
      </c>
      <c r="M74" s="64">
        <v>46.55</v>
      </c>
      <c r="N74" s="64">
        <v>72.400000000000006</v>
      </c>
      <c r="O74" s="64">
        <v>0</v>
      </c>
      <c r="P74" s="64">
        <v>1.43</v>
      </c>
      <c r="Q74" s="64">
        <v>2.0499999999999998</v>
      </c>
      <c r="R74" s="198"/>
      <c r="S74" s="198"/>
      <c r="T74" s="198"/>
      <c r="U74" s="198"/>
    </row>
    <row r="75" spans="1:21" s="12" customFormat="1" x14ac:dyDescent="0.25">
      <c r="A75" s="214" t="s">
        <v>2714</v>
      </c>
      <c r="B75" s="64">
        <v>4.4400000000000004</v>
      </c>
      <c r="C75" s="64">
        <v>84.13</v>
      </c>
      <c r="D75" s="64">
        <v>50.64</v>
      </c>
      <c r="E75" s="64">
        <v>2.08</v>
      </c>
      <c r="F75" s="64">
        <v>9.59</v>
      </c>
      <c r="G75" s="64">
        <v>112.28</v>
      </c>
      <c r="H75" s="64">
        <v>61.49</v>
      </c>
      <c r="I75" s="64">
        <v>1.58</v>
      </c>
      <c r="J75" s="64">
        <v>0.26</v>
      </c>
      <c r="K75" s="64">
        <v>347.85</v>
      </c>
      <c r="L75" s="64">
        <v>23.55</v>
      </c>
      <c r="M75" s="64">
        <v>50.4</v>
      </c>
      <c r="N75" s="64">
        <v>59.8</v>
      </c>
      <c r="O75" s="64">
        <v>0</v>
      </c>
      <c r="P75" s="64">
        <v>1.52</v>
      </c>
      <c r="Q75" s="64">
        <v>1.49</v>
      </c>
      <c r="R75" s="198"/>
      <c r="S75" s="198"/>
      <c r="T75" s="198"/>
      <c r="U75" s="198"/>
    </row>
    <row r="76" spans="1:21" s="12" customFormat="1" x14ac:dyDescent="0.25">
      <c r="A76" s="214" t="s">
        <v>2715</v>
      </c>
      <c r="B76" s="64">
        <v>5.14</v>
      </c>
      <c r="C76" s="64">
        <v>87.55</v>
      </c>
      <c r="D76" s="64">
        <v>53.08</v>
      </c>
      <c r="E76" s="64">
        <v>1.62</v>
      </c>
      <c r="F76" s="64">
        <v>7.71</v>
      </c>
      <c r="G76" s="64">
        <v>131.1</v>
      </c>
      <c r="H76" s="64">
        <v>63.13</v>
      </c>
      <c r="I76" s="64">
        <v>1.45</v>
      </c>
      <c r="J76" s="64">
        <v>0.11</v>
      </c>
      <c r="K76" s="64">
        <v>350.29</v>
      </c>
      <c r="L76" s="64">
        <v>22.69</v>
      </c>
      <c r="M76" s="64">
        <v>52.91</v>
      </c>
      <c r="N76" s="64">
        <v>49.6</v>
      </c>
      <c r="O76" s="64">
        <v>0</v>
      </c>
      <c r="P76" s="64">
        <v>1.79</v>
      </c>
      <c r="Q76" s="64">
        <v>3.53</v>
      </c>
      <c r="R76" s="198"/>
      <c r="S76" s="198"/>
      <c r="T76" s="198"/>
      <c r="U76" s="198"/>
    </row>
    <row r="77" spans="1:21" s="12" customFormat="1" x14ac:dyDescent="0.25">
      <c r="A77" s="214" t="s">
        <v>2716</v>
      </c>
      <c r="B77" s="64">
        <v>6.08</v>
      </c>
      <c r="C77" s="64">
        <v>90.42</v>
      </c>
      <c r="D77" s="64">
        <v>55.43</v>
      </c>
      <c r="E77" s="64">
        <v>1.58</v>
      </c>
      <c r="F77" s="64">
        <v>6.16</v>
      </c>
      <c r="G77" s="64">
        <v>136.83000000000001</v>
      </c>
      <c r="H77" s="64">
        <v>63.13</v>
      </c>
      <c r="I77" s="64">
        <v>1.52</v>
      </c>
      <c r="J77" s="64">
        <v>0.09</v>
      </c>
      <c r="K77" s="64">
        <v>346.81</v>
      </c>
      <c r="L77" s="64">
        <v>21.91</v>
      </c>
      <c r="M77" s="64">
        <v>53.12</v>
      </c>
      <c r="N77" s="64">
        <v>41.2</v>
      </c>
      <c r="O77" s="64">
        <v>0</v>
      </c>
      <c r="P77" s="64">
        <v>1.88</v>
      </c>
      <c r="Q77" s="64">
        <v>2.1800000000000002</v>
      </c>
      <c r="R77" s="198"/>
      <c r="S77" s="198"/>
      <c r="T77" s="198"/>
      <c r="U77" s="198"/>
    </row>
    <row r="78" spans="1:21" s="12" customFormat="1" x14ac:dyDescent="0.25">
      <c r="A78" s="214" t="s">
        <v>2717</v>
      </c>
      <c r="B78" s="64">
        <v>10.37</v>
      </c>
      <c r="C78" s="64">
        <v>111.89</v>
      </c>
      <c r="D78" s="64">
        <v>70.709999999999994</v>
      </c>
      <c r="E78" s="64">
        <v>1.35</v>
      </c>
      <c r="F78" s="64">
        <v>5.12</v>
      </c>
      <c r="G78" s="64">
        <v>136.83000000000001</v>
      </c>
      <c r="H78" s="64">
        <v>63.13</v>
      </c>
      <c r="I78" s="64">
        <v>1.46</v>
      </c>
      <c r="J78" s="64">
        <v>0.23</v>
      </c>
      <c r="K78" s="64">
        <v>80.64</v>
      </c>
      <c r="L78" s="64">
        <v>21.51</v>
      </c>
      <c r="M78" s="64">
        <v>51.67</v>
      </c>
      <c r="N78" s="64">
        <v>36.5</v>
      </c>
      <c r="O78" s="64">
        <v>0</v>
      </c>
      <c r="P78" s="64">
        <v>1.89</v>
      </c>
      <c r="Q78" s="64">
        <v>2.41</v>
      </c>
      <c r="R78" s="198"/>
      <c r="S78" s="198"/>
      <c r="T78" s="198"/>
      <c r="U78" s="198"/>
    </row>
    <row r="79" spans="1:21" s="12" customFormat="1" x14ac:dyDescent="0.25">
      <c r="A79" s="214" t="s">
        <v>2718</v>
      </c>
      <c r="B79" s="64">
        <v>10.48</v>
      </c>
      <c r="C79" s="64">
        <v>116.07</v>
      </c>
      <c r="D79" s="64">
        <v>73.11</v>
      </c>
      <c r="E79" s="64">
        <v>1.17</v>
      </c>
      <c r="F79" s="64">
        <v>5.98</v>
      </c>
      <c r="G79" s="64">
        <v>136.83000000000001</v>
      </c>
      <c r="H79" s="64">
        <v>63.13</v>
      </c>
      <c r="I79" s="64">
        <v>1.6</v>
      </c>
      <c r="J79" s="64">
        <v>0.2</v>
      </c>
      <c r="K79" s="64">
        <v>78.459999999999994</v>
      </c>
      <c r="L79" s="64">
        <v>20.96</v>
      </c>
      <c r="M79" s="64">
        <v>56.9</v>
      </c>
      <c r="N79" s="64">
        <v>35.5</v>
      </c>
      <c r="O79" s="64">
        <v>0</v>
      </c>
      <c r="P79" s="64">
        <v>1.54</v>
      </c>
      <c r="Q79" s="64">
        <v>6.45</v>
      </c>
      <c r="R79" s="198"/>
      <c r="S79" s="198"/>
      <c r="T79" s="198"/>
      <c r="U79" s="198"/>
    </row>
    <row r="80" spans="1:21" s="12" customFormat="1" x14ac:dyDescent="0.25">
      <c r="A80" s="214" t="s">
        <v>2719</v>
      </c>
      <c r="B80" s="64">
        <v>9.76</v>
      </c>
      <c r="C80" s="64">
        <v>114.99</v>
      </c>
      <c r="D80" s="64">
        <v>71.930000000000007</v>
      </c>
      <c r="E80" s="64">
        <v>1.01</v>
      </c>
      <c r="F80" s="64">
        <v>4.87</v>
      </c>
      <c r="G80" s="64">
        <v>145.30000000000001</v>
      </c>
      <c r="H80" s="64">
        <v>74.099999999999994</v>
      </c>
      <c r="I80" s="64">
        <v>1.43</v>
      </c>
      <c r="J80" s="64">
        <v>0.13</v>
      </c>
      <c r="K80" s="64">
        <v>70.760000000000005</v>
      </c>
      <c r="L80" s="64">
        <v>20.440000000000001</v>
      </c>
      <c r="M80" s="64">
        <v>64.11</v>
      </c>
      <c r="N80" s="64">
        <v>35.200000000000003</v>
      </c>
      <c r="O80" s="64">
        <v>0</v>
      </c>
      <c r="P80" s="64">
        <v>1.77</v>
      </c>
      <c r="Q80" s="64">
        <v>6.37</v>
      </c>
      <c r="R80" s="198"/>
      <c r="S80" s="198"/>
      <c r="T80" s="198"/>
      <c r="U80" s="198"/>
    </row>
    <row r="81" spans="1:26" s="12" customFormat="1" x14ac:dyDescent="0.25">
      <c r="A81" s="214" t="s">
        <v>2720</v>
      </c>
      <c r="B81" s="64">
        <v>10.87</v>
      </c>
      <c r="C81" s="64">
        <v>112.8</v>
      </c>
      <c r="D81" s="64">
        <v>71.61</v>
      </c>
      <c r="E81" s="64">
        <v>0.8</v>
      </c>
      <c r="F81" s="64">
        <v>3.81</v>
      </c>
      <c r="G81" s="64">
        <v>147.88</v>
      </c>
      <c r="H81" s="64">
        <v>74.099999999999994</v>
      </c>
      <c r="I81" s="64">
        <v>1.51</v>
      </c>
      <c r="J81" s="64">
        <v>0.12</v>
      </c>
      <c r="K81" s="64">
        <v>73.22</v>
      </c>
      <c r="L81" s="64">
        <v>20.170000000000002</v>
      </c>
      <c r="M81" s="64">
        <v>66.67</v>
      </c>
      <c r="N81" s="64">
        <v>35.299999999999997</v>
      </c>
      <c r="O81" s="64">
        <v>0</v>
      </c>
      <c r="P81" s="64">
        <v>1.78</v>
      </c>
      <c r="Q81" s="64">
        <v>5.04</v>
      </c>
      <c r="R81" s="198"/>
      <c r="S81" s="198"/>
      <c r="T81" s="198"/>
      <c r="U81" s="198"/>
    </row>
    <row r="82" spans="1:26" s="12" customFormat="1" x14ac:dyDescent="0.25">
      <c r="A82" s="214" t="s">
        <v>2721</v>
      </c>
      <c r="B82" s="64">
        <v>12.53</v>
      </c>
      <c r="C82" s="64">
        <v>111.72</v>
      </c>
      <c r="D82" s="64">
        <v>72.349999999999994</v>
      </c>
      <c r="E82" s="64">
        <v>0.9</v>
      </c>
      <c r="F82" s="64">
        <v>3.82</v>
      </c>
      <c r="G82" s="64">
        <v>147.88</v>
      </c>
      <c r="H82" s="64">
        <v>74.099999999999994</v>
      </c>
      <c r="I82" s="64">
        <v>1.51</v>
      </c>
      <c r="J82" s="64">
        <v>0.08</v>
      </c>
      <c r="K82" s="64">
        <v>346.67</v>
      </c>
      <c r="L82" s="64">
        <v>19.68</v>
      </c>
      <c r="M82" s="64">
        <v>67.83</v>
      </c>
      <c r="N82" s="64">
        <v>36</v>
      </c>
      <c r="O82" s="64">
        <v>0</v>
      </c>
      <c r="P82" s="211" t="s">
        <v>40</v>
      </c>
      <c r="Q82" s="64">
        <v>3.52</v>
      </c>
      <c r="R82" s="198"/>
      <c r="S82" s="198"/>
      <c r="T82" s="198"/>
      <c r="U82" s="198"/>
    </row>
    <row r="83" spans="1:26" s="12" customFormat="1" x14ac:dyDescent="0.25">
      <c r="A83" s="214" t="s">
        <v>2722</v>
      </c>
      <c r="B83" s="64">
        <v>14.44</v>
      </c>
      <c r="C83" s="64">
        <v>109.95</v>
      </c>
      <c r="D83" s="64">
        <v>72.900000000000006</v>
      </c>
      <c r="E83" s="64">
        <v>0.95</v>
      </c>
      <c r="F83" s="64">
        <v>3.58</v>
      </c>
      <c r="G83" s="64">
        <v>147.88</v>
      </c>
      <c r="H83" s="64">
        <v>74.099999999999994</v>
      </c>
      <c r="I83" s="64">
        <v>1.51</v>
      </c>
      <c r="J83" s="64">
        <v>0.03</v>
      </c>
      <c r="K83" s="64">
        <v>65.599999999999994</v>
      </c>
      <c r="L83" s="64">
        <v>18.850000000000001</v>
      </c>
      <c r="M83" s="64">
        <v>65.319999999999993</v>
      </c>
      <c r="N83" s="64">
        <v>36</v>
      </c>
      <c r="O83" s="64">
        <v>0</v>
      </c>
      <c r="P83" s="211" t="s">
        <v>40</v>
      </c>
      <c r="Q83" s="64">
        <v>4.9400000000000004</v>
      </c>
      <c r="R83" s="198"/>
      <c r="S83" s="198"/>
      <c r="T83" s="198"/>
      <c r="U83" s="198"/>
    </row>
    <row r="84" spans="1:26" s="12" customFormat="1" x14ac:dyDescent="0.25">
      <c r="A84" s="214" t="s">
        <v>2723</v>
      </c>
      <c r="B84" s="64">
        <v>15.22</v>
      </c>
      <c r="C84" s="64">
        <v>109.23</v>
      </c>
      <c r="D84" s="64">
        <v>73.13</v>
      </c>
      <c r="E84" s="64">
        <v>1.06</v>
      </c>
      <c r="F84" s="64">
        <v>3.87</v>
      </c>
      <c r="G84" s="64">
        <v>158.59</v>
      </c>
      <c r="H84" s="64">
        <v>76.86</v>
      </c>
      <c r="I84" s="64">
        <v>1.45</v>
      </c>
      <c r="J84" s="64">
        <v>0.02</v>
      </c>
      <c r="K84" s="64">
        <v>356.73</v>
      </c>
      <c r="L84" s="64">
        <v>18.45</v>
      </c>
      <c r="M84" s="64">
        <v>66</v>
      </c>
      <c r="N84" s="64">
        <v>36</v>
      </c>
      <c r="O84" s="64">
        <v>0</v>
      </c>
      <c r="P84" s="211" t="s">
        <v>40</v>
      </c>
      <c r="Q84" s="64">
        <v>4.75</v>
      </c>
      <c r="R84" s="198"/>
      <c r="S84" s="198"/>
      <c r="T84" s="198"/>
      <c r="U84" s="198"/>
    </row>
    <row r="85" spans="1:26" s="12" customFormat="1" x14ac:dyDescent="0.25">
      <c r="A85" s="214" t="s">
        <v>2724</v>
      </c>
      <c r="B85" s="64">
        <v>16.25</v>
      </c>
      <c r="C85" s="64">
        <v>106.94</v>
      </c>
      <c r="D85" s="64">
        <v>72.69</v>
      </c>
      <c r="E85" s="64">
        <v>1.18</v>
      </c>
      <c r="F85" s="64">
        <v>3.88</v>
      </c>
      <c r="G85" s="64">
        <v>161.85</v>
      </c>
      <c r="H85" s="64">
        <v>76.86</v>
      </c>
      <c r="I85" s="64">
        <v>1.56</v>
      </c>
      <c r="J85" s="64">
        <v>0.13</v>
      </c>
      <c r="K85" s="64">
        <v>334.38</v>
      </c>
      <c r="L85" s="64">
        <v>18.059999999999999</v>
      </c>
      <c r="M85" s="64">
        <v>73.45</v>
      </c>
      <c r="N85" s="64">
        <v>36.1</v>
      </c>
      <c r="O85" s="64">
        <v>0</v>
      </c>
      <c r="P85" s="211" t="s">
        <v>40</v>
      </c>
      <c r="Q85" s="64">
        <v>2.09</v>
      </c>
      <c r="R85" s="198"/>
      <c r="S85" s="198"/>
      <c r="T85" s="198"/>
      <c r="U85" s="198"/>
    </row>
    <row r="86" spans="1:26" s="12" customFormat="1" x14ac:dyDescent="0.25">
      <c r="A86" s="214" t="s">
        <v>2725</v>
      </c>
      <c r="B86" s="64">
        <v>20.239999999999998</v>
      </c>
      <c r="C86" s="64">
        <v>105.47</v>
      </c>
      <c r="D86" s="64">
        <v>75.09</v>
      </c>
      <c r="E86" s="64">
        <v>1.31</v>
      </c>
      <c r="F86" s="64">
        <v>3.6</v>
      </c>
      <c r="G86" s="64">
        <v>161.85</v>
      </c>
      <c r="H86" s="64">
        <v>76.86</v>
      </c>
      <c r="I86" s="64">
        <v>1.52</v>
      </c>
      <c r="J86" s="64">
        <v>0.1</v>
      </c>
      <c r="K86" s="64">
        <v>321.39999999999998</v>
      </c>
      <c r="L86" s="64">
        <v>17.690000000000001</v>
      </c>
      <c r="M86" s="64">
        <v>78.17</v>
      </c>
      <c r="N86" s="64">
        <v>36</v>
      </c>
      <c r="O86" s="64">
        <v>0</v>
      </c>
      <c r="P86" s="211" t="s">
        <v>40</v>
      </c>
      <c r="Q86" s="212" t="s">
        <v>42</v>
      </c>
      <c r="R86" s="198"/>
      <c r="S86" s="198"/>
      <c r="T86" s="198"/>
      <c r="U86" s="198"/>
    </row>
    <row r="87" spans="1:26" s="12" customFormat="1" x14ac:dyDescent="0.25">
      <c r="A87" s="214" t="s">
        <v>2726</v>
      </c>
      <c r="B87" s="64">
        <v>25.88</v>
      </c>
      <c r="C87" s="64">
        <v>104.57</v>
      </c>
      <c r="D87" s="64">
        <v>79.11</v>
      </c>
      <c r="E87" s="64">
        <v>1.1599999999999999</v>
      </c>
      <c r="F87" s="64">
        <v>3.53</v>
      </c>
      <c r="G87" s="64">
        <v>161.85</v>
      </c>
      <c r="H87" s="64">
        <v>76.86</v>
      </c>
      <c r="I87" s="64">
        <v>1.46</v>
      </c>
      <c r="J87" s="64">
        <v>0.02</v>
      </c>
      <c r="K87" s="64">
        <v>159.56</v>
      </c>
      <c r="L87" s="64">
        <v>17.350000000000001</v>
      </c>
      <c r="M87" s="64">
        <v>78.45</v>
      </c>
      <c r="N87" s="64">
        <v>35.9</v>
      </c>
      <c r="O87" s="64">
        <v>0</v>
      </c>
      <c r="P87" s="64">
        <v>0.79</v>
      </c>
      <c r="Q87" s="212" t="s">
        <v>42</v>
      </c>
      <c r="R87" s="198"/>
      <c r="S87" s="198"/>
      <c r="T87" s="198"/>
      <c r="U87" s="198"/>
    </row>
    <row r="88" spans="1:26" s="12" customFormat="1" x14ac:dyDescent="0.25">
      <c r="A88" s="214" t="s">
        <v>2727</v>
      </c>
      <c r="B88" s="64">
        <v>32.31</v>
      </c>
      <c r="C88" s="64">
        <v>104.5</v>
      </c>
      <c r="D88" s="64">
        <v>84.22</v>
      </c>
      <c r="E88" s="64">
        <v>0.83</v>
      </c>
      <c r="F88" s="64">
        <v>3.74</v>
      </c>
      <c r="G88" s="64">
        <v>191.42</v>
      </c>
      <c r="H88" s="64">
        <v>90.72</v>
      </c>
      <c r="I88" s="64">
        <v>1.53</v>
      </c>
      <c r="J88" s="64">
        <v>0.19</v>
      </c>
      <c r="K88" s="64">
        <v>348.06</v>
      </c>
      <c r="L88" s="64">
        <v>17.149999999999999</v>
      </c>
      <c r="M88" s="64">
        <v>82.44</v>
      </c>
      <c r="N88" s="64">
        <v>35.9</v>
      </c>
      <c r="O88" s="64">
        <v>0</v>
      </c>
      <c r="P88" s="64">
        <v>0.43</v>
      </c>
      <c r="Q88" s="212" t="s">
        <v>42</v>
      </c>
      <c r="R88" s="198"/>
      <c r="S88" s="198"/>
      <c r="T88" s="198"/>
      <c r="U88" s="198"/>
    </row>
    <row r="89" spans="1:26" s="12" customFormat="1" x14ac:dyDescent="0.25">
      <c r="A89" s="214" t="s">
        <v>2728</v>
      </c>
      <c r="B89" s="64">
        <v>38.96</v>
      </c>
      <c r="C89" s="64">
        <v>104.02</v>
      </c>
      <c r="D89" s="64">
        <v>89.3</v>
      </c>
      <c r="E89" s="64">
        <v>1.41</v>
      </c>
      <c r="F89" s="64">
        <v>3.84</v>
      </c>
      <c r="G89" s="64">
        <v>200.42</v>
      </c>
      <c r="H89" s="64">
        <v>90.72</v>
      </c>
      <c r="I89" s="64">
        <v>1.54</v>
      </c>
      <c r="J89" s="64">
        <v>0.12</v>
      </c>
      <c r="K89" s="64">
        <v>311.95999999999998</v>
      </c>
      <c r="L89" s="64">
        <v>16.68</v>
      </c>
      <c r="M89" s="64">
        <v>83.25</v>
      </c>
      <c r="N89" s="64">
        <v>35.9</v>
      </c>
      <c r="O89" s="64">
        <v>0</v>
      </c>
      <c r="P89" s="64">
        <v>0.72</v>
      </c>
      <c r="Q89" s="212" t="s">
        <v>42</v>
      </c>
      <c r="R89" s="198"/>
      <c r="S89" s="198"/>
      <c r="T89" s="198"/>
      <c r="U89" s="198"/>
    </row>
    <row r="90" spans="1:26" s="12" customFormat="1" x14ac:dyDescent="0.25">
      <c r="A90" s="214" t="s">
        <v>2729</v>
      </c>
      <c r="B90" s="64">
        <v>47.17</v>
      </c>
      <c r="C90" s="64">
        <v>103.8</v>
      </c>
      <c r="D90" s="64">
        <v>95.76</v>
      </c>
      <c r="E90" s="64">
        <v>1.45</v>
      </c>
      <c r="F90" s="64">
        <v>4</v>
      </c>
      <c r="G90" s="64">
        <v>200.42</v>
      </c>
      <c r="H90" s="64">
        <v>90.72</v>
      </c>
      <c r="I90" s="64">
        <v>1.54</v>
      </c>
      <c r="J90" s="64">
        <v>0.11</v>
      </c>
      <c r="K90" s="64">
        <v>320.87</v>
      </c>
      <c r="L90" s="64">
        <v>16.559999999999999</v>
      </c>
      <c r="M90" s="64">
        <v>84.24</v>
      </c>
      <c r="N90" s="64">
        <v>36.1</v>
      </c>
      <c r="O90" s="64">
        <v>0</v>
      </c>
      <c r="P90" s="64">
        <v>0.189</v>
      </c>
      <c r="Q90" s="212" t="s">
        <v>42</v>
      </c>
      <c r="R90" s="198"/>
      <c r="S90" s="198"/>
      <c r="T90" s="198"/>
      <c r="U90" s="198"/>
    </row>
    <row r="91" spans="1:26" s="12" customFormat="1" x14ac:dyDescent="0.25">
      <c r="A91" s="214" t="s">
        <v>2730</v>
      </c>
      <c r="B91" s="64">
        <v>56.68</v>
      </c>
      <c r="C91" s="64">
        <v>103.9</v>
      </c>
      <c r="D91" s="64">
        <v>103.44</v>
      </c>
      <c r="E91" s="64">
        <v>1.47</v>
      </c>
      <c r="F91" s="64">
        <v>3.78</v>
      </c>
      <c r="G91" s="64">
        <v>200.42</v>
      </c>
      <c r="H91" s="64">
        <v>90.72</v>
      </c>
      <c r="I91" s="64">
        <v>1.46</v>
      </c>
      <c r="J91" s="64">
        <v>0.08</v>
      </c>
      <c r="K91" s="64">
        <v>268.12</v>
      </c>
      <c r="L91" s="64">
        <v>16.38</v>
      </c>
      <c r="M91" s="64">
        <v>85.64</v>
      </c>
      <c r="N91" s="64">
        <v>36.1</v>
      </c>
      <c r="O91" s="64">
        <v>0</v>
      </c>
      <c r="P91" s="64">
        <v>0.12</v>
      </c>
      <c r="Q91" s="212" t="s">
        <v>42</v>
      </c>
      <c r="R91" s="198"/>
      <c r="S91" s="198"/>
      <c r="T91" s="198"/>
      <c r="U91" s="198"/>
    </row>
    <row r="92" spans="1:26" s="12" customFormat="1" x14ac:dyDescent="0.25">
      <c r="A92" s="214" t="s">
        <v>2731</v>
      </c>
      <c r="B92" s="64">
        <v>66.680000000000007</v>
      </c>
      <c r="C92" s="64">
        <v>104.09</v>
      </c>
      <c r="D92" s="64">
        <v>111.56</v>
      </c>
      <c r="E92" s="64">
        <v>1.45</v>
      </c>
      <c r="F92" s="64">
        <v>3.94</v>
      </c>
      <c r="G92" s="64">
        <v>232.65</v>
      </c>
      <c r="H92" s="64">
        <v>99.07</v>
      </c>
      <c r="I92" s="64">
        <v>1.44</v>
      </c>
      <c r="J92" s="64">
        <v>0.08</v>
      </c>
      <c r="K92" s="64">
        <v>246.81</v>
      </c>
      <c r="L92" s="64">
        <v>16.260000000000002</v>
      </c>
      <c r="M92" s="64">
        <v>84.15</v>
      </c>
      <c r="N92" s="64">
        <v>36</v>
      </c>
      <c r="O92" s="64">
        <v>0</v>
      </c>
      <c r="P92" s="64">
        <v>0.17</v>
      </c>
      <c r="Q92" s="212" t="s">
        <v>42</v>
      </c>
      <c r="R92" s="198"/>
      <c r="S92" s="198"/>
      <c r="T92" s="198"/>
      <c r="U92" s="198"/>
    </row>
    <row r="93" spans="1:26" s="12" customFormat="1" x14ac:dyDescent="0.25">
      <c r="A93" s="214" t="s">
        <v>2732</v>
      </c>
      <c r="B93" s="64">
        <v>76.12</v>
      </c>
      <c r="C93" s="64">
        <v>104.94</v>
      </c>
      <c r="D93" s="64">
        <v>119.61</v>
      </c>
      <c r="E93" s="64">
        <v>1.4</v>
      </c>
      <c r="F93" s="64">
        <v>3.72</v>
      </c>
      <c r="G93" s="64">
        <v>242.47</v>
      </c>
      <c r="H93" s="64">
        <v>99.07</v>
      </c>
      <c r="I93" s="64">
        <v>1.55</v>
      </c>
      <c r="J93" s="64">
        <v>0.15</v>
      </c>
      <c r="K93" s="64">
        <v>319.27</v>
      </c>
      <c r="L93" s="64">
        <v>16.29</v>
      </c>
      <c r="M93" s="64">
        <v>85.9</v>
      </c>
      <c r="N93" s="64">
        <v>36</v>
      </c>
      <c r="O93" s="64">
        <v>0</v>
      </c>
      <c r="P93" s="64">
        <v>0.32</v>
      </c>
      <c r="Q93" s="212" t="s">
        <v>42</v>
      </c>
      <c r="R93" s="198"/>
      <c r="S93" s="198"/>
      <c r="T93" s="198"/>
      <c r="U93" s="198"/>
    </row>
    <row r="94" spans="1:26" s="12" customFormat="1" x14ac:dyDescent="0.25">
      <c r="A94" s="214" t="s">
        <v>2733</v>
      </c>
      <c r="B94" s="64">
        <v>86.53</v>
      </c>
      <c r="C94" s="64">
        <v>105.24</v>
      </c>
      <c r="D94" s="64">
        <v>128.12</v>
      </c>
      <c r="E94" s="64">
        <v>1.33</v>
      </c>
      <c r="F94" s="64">
        <v>3.42</v>
      </c>
      <c r="G94" s="64">
        <v>242.47</v>
      </c>
      <c r="H94" s="64">
        <v>99.07</v>
      </c>
      <c r="I94" s="64">
        <v>1.43</v>
      </c>
      <c r="J94" s="64">
        <v>0.14000000000000001</v>
      </c>
      <c r="K94" s="64">
        <v>315.76</v>
      </c>
      <c r="L94" s="64">
        <v>15.95</v>
      </c>
      <c r="M94" s="64">
        <v>88.18</v>
      </c>
      <c r="N94" s="64">
        <v>36.1</v>
      </c>
      <c r="O94" s="64">
        <v>0</v>
      </c>
      <c r="P94" s="64">
        <v>0.48</v>
      </c>
      <c r="Q94" s="212" t="s">
        <v>42</v>
      </c>
      <c r="R94" s="198"/>
      <c r="S94" s="198"/>
      <c r="T94" s="198"/>
      <c r="U94" s="198"/>
    </row>
    <row r="95" spans="1:26" s="12" customFormat="1" x14ac:dyDescent="0.25">
      <c r="A95" s="214" t="s">
        <v>2734</v>
      </c>
      <c r="B95" s="64">
        <v>95.26</v>
      </c>
      <c r="C95" s="64">
        <v>104.92</v>
      </c>
      <c r="D95" s="64">
        <v>134.94</v>
      </c>
      <c r="E95" s="64">
        <v>1.27</v>
      </c>
      <c r="F95" s="64">
        <v>3.36</v>
      </c>
      <c r="G95" s="64">
        <v>242.47</v>
      </c>
      <c r="H95" s="64">
        <v>99.07</v>
      </c>
      <c r="I95" s="64">
        <v>1.45</v>
      </c>
      <c r="J95" s="64">
        <v>0.12</v>
      </c>
      <c r="K95" s="64">
        <v>239.1</v>
      </c>
      <c r="L95" s="64">
        <v>15.76</v>
      </c>
      <c r="M95" s="64">
        <v>86.69</v>
      </c>
      <c r="N95" s="64">
        <v>36.1</v>
      </c>
      <c r="O95" s="64">
        <v>0</v>
      </c>
      <c r="P95" s="64">
        <v>25</v>
      </c>
      <c r="Q95" s="64">
        <v>0.56000000000000005</v>
      </c>
      <c r="R95" s="198"/>
      <c r="S95" s="198"/>
      <c r="T95" s="198"/>
      <c r="U95" s="198"/>
    </row>
    <row r="96" spans="1:26" s="12" customFormat="1" x14ac:dyDescent="0.25">
      <c r="A96" s="214" t="s">
        <v>2735</v>
      </c>
      <c r="B96" s="64">
        <v>100.19</v>
      </c>
      <c r="C96" s="64">
        <v>104.81</v>
      </c>
      <c r="D96" s="64">
        <v>138.83000000000001</v>
      </c>
      <c r="E96" s="64">
        <v>1.19</v>
      </c>
      <c r="F96" s="64">
        <v>3.41</v>
      </c>
      <c r="G96" s="64">
        <v>242.92</v>
      </c>
      <c r="H96" s="64">
        <v>102.76</v>
      </c>
      <c r="I96" s="64">
        <v>1.5</v>
      </c>
      <c r="J96" s="64">
        <v>0.12</v>
      </c>
      <c r="K96" s="64">
        <v>314.91000000000003</v>
      </c>
      <c r="L96" s="64">
        <v>16.05</v>
      </c>
      <c r="M96" s="64">
        <v>85.76</v>
      </c>
      <c r="N96" s="64">
        <v>36.200000000000003</v>
      </c>
      <c r="O96" s="64">
        <v>0</v>
      </c>
      <c r="P96" s="64">
        <v>0.02</v>
      </c>
      <c r="Q96" s="64">
        <v>2.87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2736</v>
      </c>
      <c r="B97" s="64">
        <v>106.24</v>
      </c>
      <c r="C97" s="64">
        <v>103.9</v>
      </c>
      <c r="D97" s="64">
        <v>143.19</v>
      </c>
      <c r="E97" s="64">
        <v>1.1299999999999999</v>
      </c>
      <c r="F97" s="64">
        <v>3.07</v>
      </c>
      <c r="G97" s="64">
        <v>243.05</v>
      </c>
      <c r="H97" s="64">
        <v>102.76</v>
      </c>
      <c r="I97" s="64">
        <v>1.5</v>
      </c>
      <c r="J97" s="64">
        <v>0.13</v>
      </c>
      <c r="K97" s="64">
        <v>348.38</v>
      </c>
      <c r="L97" s="64">
        <v>15.58</v>
      </c>
      <c r="M97" s="64">
        <v>89.19</v>
      </c>
      <c r="N97" s="64">
        <v>36.4</v>
      </c>
      <c r="O97" s="64">
        <v>0</v>
      </c>
      <c r="P97" s="64">
        <v>0.92</v>
      </c>
      <c r="Q97" s="64">
        <v>4.8600000000000003</v>
      </c>
      <c r="R97" s="198"/>
      <c r="S97" s="198"/>
      <c r="T97" s="198"/>
      <c r="U97" s="198"/>
    </row>
    <row r="98" spans="1:33" s="12" customFormat="1" x14ac:dyDescent="0.25">
      <c r="A98" s="214" t="s">
        <v>2737</v>
      </c>
      <c r="B98" s="64">
        <v>115.89</v>
      </c>
      <c r="C98" s="64">
        <v>102.29</v>
      </c>
      <c r="D98" s="64">
        <v>150.04</v>
      </c>
      <c r="E98" s="64">
        <v>1.22</v>
      </c>
      <c r="F98" s="64">
        <v>3.37</v>
      </c>
      <c r="G98" s="64">
        <v>243.05</v>
      </c>
      <c r="H98" s="64">
        <v>102.76</v>
      </c>
      <c r="I98" s="64">
        <v>1.46</v>
      </c>
      <c r="J98" s="64">
        <v>0.1</v>
      </c>
      <c r="K98" s="64">
        <v>310.31</v>
      </c>
      <c r="L98" s="64">
        <v>15.48</v>
      </c>
      <c r="M98" s="64">
        <v>91.36</v>
      </c>
      <c r="N98" s="64">
        <v>36.5</v>
      </c>
      <c r="O98" s="64">
        <v>0</v>
      </c>
      <c r="P98" s="64">
        <v>0.66</v>
      </c>
      <c r="Q98" s="64">
        <v>1.34</v>
      </c>
      <c r="R98" s="198"/>
      <c r="S98" s="198"/>
      <c r="T98" s="198"/>
      <c r="U98" s="198"/>
    </row>
    <row r="99" spans="1:33" s="12" customFormat="1" x14ac:dyDescent="0.25">
      <c r="A99" s="214" t="s">
        <v>2738</v>
      </c>
      <c r="B99" s="64">
        <v>128.22999999999999</v>
      </c>
      <c r="C99" s="64">
        <v>103.81</v>
      </c>
      <c r="D99" s="64">
        <v>160.77000000000001</v>
      </c>
      <c r="E99" s="64">
        <v>1.21</v>
      </c>
      <c r="F99" s="64">
        <v>3.22</v>
      </c>
      <c r="G99" s="64">
        <v>243.05</v>
      </c>
      <c r="H99" s="64">
        <v>102.76</v>
      </c>
      <c r="I99" s="64">
        <v>1.56</v>
      </c>
      <c r="J99" s="64">
        <v>0.1</v>
      </c>
      <c r="K99" s="64">
        <v>293.41000000000003</v>
      </c>
      <c r="L99" s="64">
        <v>15.42</v>
      </c>
      <c r="M99" s="64">
        <v>91.83</v>
      </c>
      <c r="N99" s="64">
        <v>36.6</v>
      </c>
      <c r="O99" s="64">
        <v>0</v>
      </c>
      <c r="P99" s="64">
        <v>0.23</v>
      </c>
      <c r="Q99" s="64">
        <v>4.32</v>
      </c>
      <c r="R99" s="198"/>
      <c r="S99" s="198"/>
      <c r="T99" s="198"/>
      <c r="U99" s="198"/>
    </row>
    <row r="100" spans="1:33" s="12" customFormat="1" x14ac:dyDescent="0.25">
      <c r="A100" s="214" t="s">
        <v>2739</v>
      </c>
      <c r="B100" s="64">
        <v>134.63999999999999</v>
      </c>
      <c r="C100" s="64">
        <v>105.43</v>
      </c>
      <c r="D100" s="64">
        <v>166.8</v>
      </c>
      <c r="E100" s="64">
        <v>1.08</v>
      </c>
      <c r="F100" s="64">
        <v>3.43</v>
      </c>
      <c r="G100" s="64">
        <v>247.86</v>
      </c>
      <c r="H100" s="64">
        <v>106.3</v>
      </c>
      <c r="I100" s="64">
        <v>1.44</v>
      </c>
      <c r="J100" s="64">
        <v>0.04</v>
      </c>
      <c r="K100" s="64">
        <v>25.38</v>
      </c>
      <c r="L100" s="64">
        <v>15.25</v>
      </c>
      <c r="M100" s="64">
        <v>90.86</v>
      </c>
      <c r="N100" s="64">
        <v>36.4</v>
      </c>
      <c r="O100" s="64">
        <v>0</v>
      </c>
      <c r="P100" s="64">
        <v>0.9</v>
      </c>
      <c r="Q100" s="64">
        <v>10.42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2740</v>
      </c>
      <c r="B101" s="64">
        <v>139.71</v>
      </c>
      <c r="C101" s="64">
        <v>105.66</v>
      </c>
      <c r="D101" s="64">
        <v>171</v>
      </c>
      <c r="E101" s="64">
        <v>1.0900000000000001</v>
      </c>
      <c r="F101" s="64">
        <v>3.67</v>
      </c>
      <c r="G101" s="64">
        <v>249.32</v>
      </c>
      <c r="H101" s="64">
        <v>106.3</v>
      </c>
      <c r="I101" s="64">
        <v>1.43</v>
      </c>
      <c r="J101" s="64">
        <v>0.15</v>
      </c>
      <c r="K101" s="64">
        <v>312.8</v>
      </c>
      <c r="L101" s="64">
        <v>15.25</v>
      </c>
      <c r="M101" s="64">
        <v>91.65</v>
      </c>
      <c r="N101" s="64">
        <v>36.1</v>
      </c>
      <c r="O101" s="64">
        <v>0</v>
      </c>
      <c r="P101" s="64">
        <v>0.05</v>
      </c>
      <c r="Q101" s="64">
        <v>5.09</v>
      </c>
      <c r="R101" s="198"/>
      <c r="S101" s="198"/>
      <c r="T101" s="198"/>
      <c r="U101" s="198"/>
    </row>
    <row r="102" spans="1:33" s="12" customFormat="1" x14ac:dyDescent="0.25">
      <c r="A102" s="214" t="s">
        <v>2741</v>
      </c>
      <c r="B102" s="64">
        <v>146.96</v>
      </c>
      <c r="C102" s="64">
        <v>106.18</v>
      </c>
      <c r="D102" s="64">
        <v>177.1</v>
      </c>
      <c r="E102" s="64">
        <v>0.99</v>
      </c>
      <c r="F102" s="64">
        <v>3.2</v>
      </c>
      <c r="G102" s="64">
        <v>249.32</v>
      </c>
      <c r="H102" s="64">
        <v>106.3</v>
      </c>
      <c r="I102" s="64">
        <v>1.54</v>
      </c>
      <c r="J102" s="64">
        <v>0.18</v>
      </c>
      <c r="K102" s="64">
        <v>337.5</v>
      </c>
      <c r="L102" s="64">
        <v>15.23</v>
      </c>
      <c r="M102" s="64">
        <v>92.03</v>
      </c>
      <c r="N102" s="64">
        <v>36.4</v>
      </c>
      <c r="O102" s="64">
        <v>0</v>
      </c>
      <c r="P102" s="64">
        <v>0.49</v>
      </c>
      <c r="Q102" s="64">
        <v>11.37</v>
      </c>
      <c r="R102" s="198"/>
      <c r="S102" s="198"/>
      <c r="T102" s="198"/>
      <c r="U102" s="198"/>
    </row>
    <row r="103" spans="1:33" s="12" customFormat="1" x14ac:dyDescent="0.25">
      <c r="A103" s="214" t="s">
        <v>2742</v>
      </c>
      <c r="B103" s="64">
        <v>146.06</v>
      </c>
      <c r="C103" s="64">
        <v>105.88</v>
      </c>
      <c r="D103" s="64">
        <v>176.2</v>
      </c>
      <c r="E103" s="64">
        <v>0.83</v>
      </c>
      <c r="F103" s="64">
        <v>3.22</v>
      </c>
      <c r="G103" s="64">
        <v>249.32</v>
      </c>
      <c r="H103" s="64">
        <v>106.3</v>
      </c>
      <c r="I103" s="64">
        <v>1.58</v>
      </c>
      <c r="J103" s="64">
        <v>0.08</v>
      </c>
      <c r="K103" s="64">
        <v>255.15</v>
      </c>
      <c r="L103" s="64">
        <v>15.53</v>
      </c>
      <c r="M103" s="64">
        <v>86.78</v>
      </c>
      <c r="N103" s="64">
        <v>36.200000000000003</v>
      </c>
      <c r="O103" s="64">
        <v>0</v>
      </c>
      <c r="P103" s="64">
        <v>0.7</v>
      </c>
      <c r="Q103" s="64">
        <v>21.03</v>
      </c>
      <c r="R103" s="198"/>
      <c r="S103" s="198"/>
      <c r="T103" s="198"/>
      <c r="U103" s="198"/>
    </row>
    <row r="104" spans="1:33" s="12" customFormat="1" x14ac:dyDescent="0.25">
      <c r="A104" s="214" t="s">
        <v>2743</v>
      </c>
      <c r="B104" s="64">
        <v>139.53</v>
      </c>
      <c r="C104" s="64">
        <v>104.67</v>
      </c>
      <c r="D104" s="64">
        <v>170.3</v>
      </c>
      <c r="E104" s="64">
        <v>0.22</v>
      </c>
      <c r="F104" s="64">
        <v>3.21</v>
      </c>
      <c r="G104" s="64">
        <v>229.37</v>
      </c>
      <c r="H104" s="64">
        <v>106.62</v>
      </c>
      <c r="I104" s="64">
        <v>1.58</v>
      </c>
      <c r="J104" s="64">
        <v>0.1</v>
      </c>
      <c r="K104" s="64">
        <v>243.29</v>
      </c>
      <c r="L104" s="64">
        <v>15.56</v>
      </c>
      <c r="M104" s="64">
        <v>87.66</v>
      </c>
      <c r="N104" s="64">
        <v>36.5</v>
      </c>
      <c r="O104" s="64">
        <v>0</v>
      </c>
      <c r="P104" s="64">
        <v>0.28000000000000003</v>
      </c>
      <c r="Q104" s="64">
        <v>24.31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</v>
      </c>
      <c r="C106" s="67">
        <f>MIN(C9:C104)</f>
        <v>8.43</v>
      </c>
      <c r="D106" s="67">
        <f t="shared" ref="D106:Q106" si="0">MIN(D9:D104)</f>
        <v>30.66</v>
      </c>
      <c r="E106" s="67">
        <f t="shared" si="0"/>
        <v>0.15</v>
      </c>
      <c r="F106" s="67">
        <f t="shared" si="0"/>
        <v>2.81</v>
      </c>
      <c r="G106" s="67">
        <f t="shared" si="0"/>
        <v>51.21</v>
      </c>
      <c r="H106" s="67">
        <f t="shared" si="0"/>
        <v>24.88</v>
      </c>
      <c r="I106" s="67">
        <f t="shared" si="0"/>
        <v>1.41</v>
      </c>
      <c r="J106" s="67">
        <f t="shared" si="0"/>
        <v>0.02</v>
      </c>
      <c r="K106" s="67">
        <f t="shared" si="0"/>
        <v>11.34</v>
      </c>
      <c r="L106" s="67">
        <f t="shared" si="0"/>
        <v>12.75</v>
      </c>
      <c r="M106" s="67">
        <f t="shared" si="0"/>
        <v>34.65</v>
      </c>
      <c r="N106" s="67">
        <f t="shared" si="0"/>
        <v>28</v>
      </c>
      <c r="O106" s="67">
        <f t="shared" si="0"/>
        <v>0</v>
      </c>
      <c r="P106" s="67">
        <f t="shared" si="0"/>
        <v>0.02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205.22</v>
      </c>
      <c r="C107" s="66">
        <f t="shared" ref="C107:Q107" si="1">MAX(C9:C104)</f>
        <v>116.07</v>
      </c>
      <c r="D107" s="66">
        <f t="shared" si="1"/>
        <v>221.18</v>
      </c>
      <c r="E107" s="66">
        <f t="shared" si="1"/>
        <v>5.46</v>
      </c>
      <c r="F107" s="66">
        <f t="shared" si="1"/>
        <v>51.25</v>
      </c>
      <c r="G107" s="66">
        <f t="shared" si="1"/>
        <v>259.11</v>
      </c>
      <c r="H107" s="66">
        <f t="shared" si="1"/>
        <v>145.80000000000001</v>
      </c>
      <c r="I107" s="66">
        <f t="shared" si="1"/>
        <v>1.6</v>
      </c>
      <c r="J107" s="66">
        <f t="shared" si="1"/>
        <v>0.89</v>
      </c>
      <c r="K107" s="66">
        <f t="shared" si="1"/>
        <v>356.73</v>
      </c>
      <c r="L107" s="66">
        <f t="shared" si="1"/>
        <v>29.51</v>
      </c>
      <c r="M107" s="66">
        <f t="shared" si="1"/>
        <v>98.25</v>
      </c>
      <c r="N107" s="66">
        <f t="shared" si="1"/>
        <v>568.6</v>
      </c>
      <c r="O107" s="66">
        <f t="shared" si="1"/>
        <v>0</v>
      </c>
      <c r="P107" s="66">
        <f t="shared" si="1"/>
        <v>25</v>
      </c>
      <c r="Q107" s="66">
        <f t="shared" si="1"/>
        <v>30.67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74.717173913043482</v>
      </c>
      <c r="C108" s="67">
        <f t="shared" ref="C108:Q108" si="2">AVERAGE(C9:C104)</f>
        <v>90.51532608695652</v>
      </c>
      <c r="D108" s="67">
        <f t="shared" si="2"/>
        <v>110.5853260869565</v>
      </c>
      <c r="E108" s="67">
        <f t="shared" si="2"/>
        <v>1.0215957446808508</v>
      </c>
      <c r="F108" s="67">
        <f t="shared" si="2"/>
        <v>10.050208333333336</v>
      </c>
      <c r="G108" s="67">
        <f t="shared" si="2"/>
        <v>183.21795698924723</v>
      </c>
      <c r="H108" s="67">
        <f t="shared" si="2"/>
        <v>91.477526881720451</v>
      </c>
      <c r="I108" s="67">
        <f t="shared" si="2"/>
        <v>1.5027083333333335</v>
      </c>
      <c r="J108" s="67">
        <f t="shared" si="2"/>
        <v>0.19291666666666663</v>
      </c>
      <c r="K108" s="67">
        <f t="shared" si="2"/>
        <v>227.93916666666675</v>
      </c>
      <c r="L108" s="67">
        <f t="shared" si="2"/>
        <v>18.708125000000006</v>
      </c>
      <c r="M108" s="67">
        <f t="shared" si="2"/>
        <v>74.392916666666608</v>
      </c>
      <c r="N108" s="67">
        <f t="shared" si="2"/>
        <v>148.51041666666671</v>
      </c>
      <c r="O108" s="67">
        <f t="shared" si="2"/>
        <v>0</v>
      </c>
      <c r="P108" s="67">
        <f t="shared" si="2"/>
        <v>1.6713076923076919</v>
      </c>
      <c r="Q108" s="67">
        <f t="shared" si="2"/>
        <v>11.692183908045974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60.112695872937486</v>
      </c>
      <c r="C109" s="67">
        <f t="shared" ref="C109:Q109" si="3">STDEV(C9:C104)</f>
        <v>14.685154157847656</v>
      </c>
      <c r="D109" s="67">
        <f t="shared" si="3"/>
        <v>49.424531290636416</v>
      </c>
      <c r="E109" s="67">
        <f t="shared" si="3"/>
        <v>0.69080333972502395</v>
      </c>
      <c r="F109" s="67">
        <f t="shared" si="3"/>
        <v>13.185912017968798</v>
      </c>
      <c r="G109" s="67">
        <f t="shared" si="3"/>
        <v>47.67749112433706</v>
      </c>
      <c r="H109" s="67">
        <f t="shared" si="3"/>
        <v>22.757036879015264</v>
      </c>
      <c r="I109" s="67">
        <f t="shared" si="3"/>
        <v>4.3322029564807317E-2</v>
      </c>
      <c r="J109" s="67">
        <f t="shared" si="3"/>
        <v>0.18167592121928874</v>
      </c>
      <c r="K109" s="67">
        <f t="shared" si="3"/>
        <v>114.93578584919453</v>
      </c>
      <c r="L109" s="67">
        <f t="shared" si="3"/>
        <v>5.0552149857974733</v>
      </c>
      <c r="M109" s="67">
        <f t="shared" si="3"/>
        <v>23.042456051324102</v>
      </c>
      <c r="N109" s="67">
        <f t="shared" si="3"/>
        <v>181.45789796108664</v>
      </c>
      <c r="O109" s="67">
        <f t="shared" si="3"/>
        <v>0</v>
      </c>
      <c r="P109" s="67">
        <f t="shared" si="3"/>
        <v>2.5860132451852422</v>
      </c>
      <c r="Q109" s="67">
        <f t="shared" si="3"/>
        <v>8.4202919942309702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>COUNT(E9:E104)+2</f>
        <v>96</v>
      </c>
      <c r="F110" s="66">
        <f t="shared" ref="F110:O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COUNT(P9:P104)+5</f>
        <v>96</v>
      </c>
      <c r="Q110" s="66">
        <f>COUNT(Q9:Q104)+9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2744</v>
      </c>
      <c r="B9" s="64">
        <v>131.88</v>
      </c>
      <c r="C9" s="64">
        <v>102.69</v>
      </c>
      <c r="D9" s="64">
        <v>163.08000000000001</v>
      </c>
      <c r="E9" s="64">
        <v>0.43</v>
      </c>
      <c r="F9" s="64">
        <v>3.51</v>
      </c>
      <c r="G9" s="64">
        <v>223.29</v>
      </c>
      <c r="H9" s="64">
        <v>106.62</v>
      </c>
      <c r="I9" s="64">
        <v>1.53</v>
      </c>
      <c r="J9" s="64">
        <v>0.1</v>
      </c>
      <c r="K9" s="64">
        <v>302.52999999999997</v>
      </c>
      <c r="L9" s="64">
        <v>15.28</v>
      </c>
      <c r="M9" s="64">
        <v>88.48</v>
      </c>
      <c r="N9" s="64">
        <v>36.700000000000003</v>
      </c>
      <c r="O9" s="64">
        <v>0</v>
      </c>
      <c r="P9" s="64">
        <v>2.16</v>
      </c>
      <c r="Q9" s="64">
        <v>24.05</v>
      </c>
      <c r="R9" s="198"/>
      <c r="S9" s="198"/>
      <c r="T9" s="198"/>
      <c r="U9" s="198"/>
    </row>
    <row r="10" spans="1:21" s="12" customFormat="1" x14ac:dyDescent="0.25">
      <c r="A10" s="214" t="s">
        <v>2745</v>
      </c>
      <c r="B10" s="64">
        <v>124.12</v>
      </c>
      <c r="C10" s="64">
        <v>101.08</v>
      </c>
      <c r="D10" s="64">
        <v>155.96</v>
      </c>
      <c r="E10" s="64">
        <v>0.4</v>
      </c>
      <c r="F10" s="64">
        <v>3.19</v>
      </c>
      <c r="G10" s="64">
        <v>223.29</v>
      </c>
      <c r="H10" s="64">
        <v>106.62</v>
      </c>
      <c r="I10" s="64">
        <v>1.48</v>
      </c>
      <c r="J10" s="64">
        <v>0.1</v>
      </c>
      <c r="K10" s="64">
        <v>268.62</v>
      </c>
      <c r="L10" s="64">
        <v>14.9</v>
      </c>
      <c r="M10" s="64">
        <v>92.01</v>
      </c>
      <c r="N10" s="64">
        <v>36.799999999999997</v>
      </c>
      <c r="O10" s="64">
        <v>0</v>
      </c>
      <c r="P10" s="64">
        <v>2.08</v>
      </c>
      <c r="Q10" s="64">
        <v>22.04</v>
      </c>
      <c r="R10" s="198"/>
      <c r="S10" s="198"/>
      <c r="T10" s="198"/>
      <c r="U10" s="198"/>
    </row>
    <row r="11" spans="1:21" s="12" customFormat="1" x14ac:dyDescent="0.25">
      <c r="A11" s="214" t="s">
        <v>2746</v>
      </c>
      <c r="B11" s="64">
        <v>116.49</v>
      </c>
      <c r="C11" s="64">
        <v>99.58</v>
      </c>
      <c r="D11" s="64">
        <v>149.02000000000001</v>
      </c>
      <c r="E11" s="64">
        <v>0.35</v>
      </c>
      <c r="F11" s="64">
        <v>3.32</v>
      </c>
      <c r="G11" s="64">
        <v>223.29</v>
      </c>
      <c r="H11" s="64">
        <v>106.62</v>
      </c>
      <c r="I11" s="64">
        <v>1.55</v>
      </c>
      <c r="J11" s="64">
        <v>0.08</v>
      </c>
      <c r="K11" s="64">
        <v>281.58999999999997</v>
      </c>
      <c r="L11" s="64">
        <v>14.59</v>
      </c>
      <c r="M11" s="64">
        <v>92.01</v>
      </c>
      <c r="N11" s="64">
        <v>36.799999999999997</v>
      </c>
      <c r="O11" s="64">
        <v>0</v>
      </c>
      <c r="P11" s="64">
        <v>1.66</v>
      </c>
      <c r="Q11" s="64">
        <v>22.39</v>
      </c>
      <c r="R11" s="198"/>
      <c r="S11" s="198"/>
      <c r="T11" s="198"/>
      <c r="U11" s="198"/>
    </row>
    <row r="12" spans="1:21" s="12" customFormat="1" x14ac:dyDescent="0.25">
      <c r="A12" s="214" t="s">
        <v>2747</v>
      </c>
      <c r="B12" s="64">
        <v>109.08</v>
      </c>
      <c r="C12" s="64">
        <v>97.98</v>
      </c>
      <c r="D12" s="64">
        <v>142.19</v>
      </c>
      <c r="E12" s="64">
        <v>0.32</v>
      </c>
      <c r="F12" s="64">
        <v>3.34</v>
      </c>
      <c r="G12" s="64">
        <v>196.03</v>
      </c>
      <c r="H12" s="64">
        <v>97.42</v>
      </c>
      <c r="I12" s="64">
        <v>1.53</v>
      </c>
      <c r="J12" s="64">
        <v>0.1</v>
      </c>
      <c r="K12" s="64">
        <v>288.26</v>
      </c>
      <c r="L12" s="64">
        <v>14.4</v>
      </c>
      <c r="M12" s="64">
        <v>93.98</v>
      </c>
      <c r="N12" s="64">
        <v>36.6</v>
      </c>
      <c r="O12" s="64">
        <v>0</v>
      </c>
      <c r="P12" s="64">
        <v>1.67</v>
      </c>
      <c r="Q12" s="64">
        <v>21.01</v>
      </c>
      <c r="R12" s="198"/>
      <c r="S12" s="198"/>
      <c r="T12" s="198"/>
      <c r="U12" s="198"/>
    </row>
    <row r="13" spans="1:21" s="12" customFormat="1" x14ac:dyDescent="0.25">
      <c r="A13" s="214" t="s">
        <v>2748</v>
      </c>
      <c r="B13" s="64">
        <v>102.85</v>
      </c>
      <c r="C13" s="64">
        <v>96.81</v>
      </c>
      <c r="D13" s="64">
        <v>136.55000000000001</v>
      </c>
      <c r="E13" s="64">
        <v>0.31</v>
      </c>
      <c r="F13" s="64">
        <v>3.37</v>
      </c>
      <c r="G13" s="64">
        <v>187.73</v>
      </c>
      <c r="H13" s="64">
        <v>97.42</v>
      </c>
      <c r="I13" s="64">
        <v>1.42</v>
      </c>
      <c r="J13" s="64">
        <v>0.11</v>
      </c>
      <c r="K13" s="64">
        <v>315.22000000000003</v>
      </c>
      <c r="L13" s="64">
        <v>14.3</v>
      </c>
      <c r="M13" s="64">
        <v>96.01</v>
      </c>
      <c r="N13" s="64">
        <v>36.6</v>
      </c>
      <c r="O13" s="64">
        <v>0</v>
      </c>
      <c r="P13" s="64">
        <v>1.54</v>
      </c>
      <c r="Q13" s="64">
        <v>20.309999999999999</v>
      </c>
      <c r="R13" s="198"/>
      <c r="S13" s="198"/>
      <c r="T13" s="198"/>
      <c r="U13" s="198"/>
    </row>
    <row r="14" spans="1:21" s="12" customFormat="1" x14ac:dyDescent="0.25">
      <c r="A14" s="214" t="s">
        <v>2749</v>
      </c>
      <c r="B14" s="64">
        <v>96.83</v>
      </c>
      <c r="C14" s="64">
        <v>95.13</v>
      </c>
      <c r="D14" s="64">
        <v>130.79</v>
      </c>
      <c r="E14" s="64">
        <v>0.26</v>
      </c>
      <c r="F14" s="64">
        <v>3.06</v>
      </c>
      <c r="G14" s="64">
        <v>187.73</v>
      </c>
      <c r="H14" s="64">
        <v>97.42</v>
      </c>
      <c r="I14" s="64">
        <v>1.46</v>
      </c>
      <c r="J14" s="64">
        <v>0.08</v>
      </c>
      <c r="K14" s="64">
        <v>270.49</v>
      </c>
      <c r="L14" s="64">
        <v>14.06</v>
      </c>
      <c r="M14" s="64">
        <v>97.5</v>
      </c>
      <c r="N14" s="64">
        <v>36.6</v>
      </c>
      <c r="O14" s="64">
        <v>0</v>
      </c>
      <c r="P14" s="64">
        <v>1.55</v>
      </c>
      <c r="Q14" s="64">
        <v>20.13</v>
      </c>
      <c r="R14" s="198"/>
      <c r="S14" s="198"/>
      <c r="T14" s="198"/>
      <c r="U14" s="198"/>
    </row>
    <row r="15" spans="1:21" s="12" customFormat="1" x14ac:dyDescent="0.25">
      <c r="A15" s="214" t="s">
        <v>2750</v>
      </c>
      <c r="B15" s="64">
        <v>90.67</v>
      </c>
      <c r="C15" s="64">
        <v>93.2</v>
      </c>
      <c r="D15" s="64">
        <v>124.79</v>
      </c>
      <c r="E15" s="64">
        <v>0.23</v>
      </c>
      <c r="F15" s="64">
        <v>3.27</v>
      </c>
      <c r="G15" s="64">
        <v>187.73</v>
      </c>
      <c r="H15" s="64">
        <v>97.42</v>
      </c>
      <c r="I15" s="64">
        <v>1.49</v>
      </c>
      <c r="J15" s="64">
        <v>0.15</v>
      </c>
      <c r="K15" s="64">
        <v>330.01</v>
      </c>
      <c r="L15" s="64">
        <v>14.01</v>
      </c>
      <c r="M15" s="64">
        <v>96.81</v>
      </c>
      <c r="N15" s="64">
        <v>36.6</v>
      </c>
      <c r="O15" s="64">
        <v>0</v>
      </c>
      <c r="P15" s="64">
        <v>1.43</v>
      </c>
      <c r="Q15" s="64">
        <v>19.29</v>
      </c>
      <c r="R15" s="198"/>
      <c r="S15" s="198"/>
      <c r="T15" s="198"/>
      <c r="U15" s="198"/>
    </row>
    <row r="16" spans="1:21" s="12" customFormat="1" x14ac:dyDescent="0.25">
      <c r="A16" s="214" t="s">
        <v>2751</v>
      </c>
      <c r="B16" s="64">
        <v>85.34</v>
      </c>
      <c r="C16" s="64">
        <v>92.63</v>
      </c>
      <c r="D16" s="64">
        <v>120.2</v>
      </c>
      <c r="E16" s="64">
        <v>0.22</v>
      </c>
      <c r="F16" s="64">
        <v>3.52</v>
      </c>
      <c r="G16" s="64">
        <v>176.74</v>
      </c>
      <c r="H16" s="64">
        <v>91</v>
      </c>
      <c r="I16" s="64">
        <v>1.51</v>
      </c>
      <c r="J16" s="64">
        <v>0.09</v>
      </c>
      <c r="K16" s="64">
        <v>281.02</v>
      </c>
      <c r="L16" s="64">
        <v>13.99</v>
      </c>
      <c r="M16" s="64">
        <v>96.5</v>
      </c>
      <c r="N16" s="64">
        <v>36.4</v>
      </c>
      <c r="O16" s="64">
        <v>0</v>
      </c>
      <c r="P16" s="64">
        <v>1.0900000000000001</v>
      </c>
      <c r="Q16" s="64">
        <v>19.25</v>
      </c>
      <c r="R16" s="198"/>
      <c r="S16" s="198"/>
      <c r="T16" s="198"/>
      <c r="U16" s="198"/>
    </row>
    <row r="17" spans="1:21" s="12" customFormat="1" x14ac:dyDescent="0.25">
      <c r="A17" s="214" t="s">
        <v>2752</v>
      </c>
      <c r="B17" s="64">
        <v>80.09</v>
      </c>
      <c r="C17" s="64">
        <v>90.6</v>
      </c>
      <c r="D17" s="64">
        <v>114.87</v>
      </c>
      <c r="E17" s="64">
        <v>0.19</v>
      </c>
      <c r="F17" s="64">
        <v>3.51</v>
      </c>
      <c r="G17" s="64">
        <v>173.4</v>
      </c>
      <c r="H17" s="64">
        <v>91</v>
      </c>
      <c r="I17" s="64">
        <v>1.53</v>
      </c>
      <c r="J17" s="64">
        <v>0.11</v>
      </c>
      <c r="K17" s="64">
        <v>287.62</v>
      </c>
      <c r="L17" s="64">
        <v>13.86</v>
      </c>
      <c r="M17" s="64">
        <v>97.11</v>
      </c>
      <c r="N17" s="64">
        <v>36.700000000000003</v>
      </c>
      <c r="O17" s="64">
        <v>0</v>
      </c>
      <c r="P17" s="64">
        <v>1.1100000000000001</v>
      </c>
      <c r="Q17" s="64">
        <v>19.739999999999998</v>
      </c>
      <c r="R17" s="198"/>
      <c r="S17" s="198"/>
      <c r="T17" s="198"/>
      <c r="U17" s="198"/>
    </row>
    <row r="18" spans="1:21" s="12" customFormat="1" x14ac:dyDescent="0.25">
      <c r="A18" s="214" t="s">
        <v>2753</v>
      </c>
      <c r="B18" s="64">
        <v>75.25</v>
      </c>
      <c r="C18" s="64">
        <v>88.69</v>
      </c>
      <c r="D18" s="64">
        <v>109.93</v>
      </c>
      <c r="E18" s="64">
        <v>0.14000000000000001</v>
      </c>
      <c r="F18" s="64">
        <v>3.34</v>
      </c>
      <c r="G18" s="64">
        <v>173.4</v>
      </c>
      <c r="H18" s="64">
        <v>91</v>
      </c>
      <c r="I18" s="64">
        <v>1.53</v>
      </c>
      <c r="J18" s="64">
        <v>0.11</v>
      </c>
      <c r="K18" s="64">
        <v>351.77</v>
      </c>
      <c r="L18" s="64">
        <v>13.64</v>
      </c>
      <c r="M18" s="64">
        <v>97.82</v>
      </c>
      <c r="N18" s="64">
        <v>36.9</v>
      </c>
      <c r="O18" s="64">
        <v>0</v>
      </c>
      <c r="P18" s="64">
        <v>1.06</v>
      </c>
      <c r="Q18" s="64">
        <v>18.71</v>
      </c>
      <c r="R18" s="198"/>
      <c r="S18" s="198"/>
      <c r="T18" s="198"/>
      <c r="U18" s="198"/>
    </row>
    <row r="19" spans="1:21" s="12" customFormat="1" x14ac:dyDescent="0.25">
      <c r="A19" s="214" t="s">
        <v>2754</v>
      </c>
      <c r="B19" s="64">
        <v>71.08</v>
      </c>
      <c r="C19" s="64">
        <v>86.87</v>
      </c>
      <c r="D19" s="64">
        <v>105.59</v>
      </c>
      <c r="E19" s="64">
        <v>0.14000000000000001</v>
      </c>
      <c r="F19" s="64">
        <v>3.34</v>
      </c>
      <c r="G19" s="64">
        <v>173.4</v>
      </c>
      <c r="H19" s="64">
        <v>91</v>
      </c>
      <c r="I19" s="64">
        <v>1.49</v>
      </c>
      <c r="J19" s="64">
        <v>0.06</v>
      </c>
      <c r="K19" s="64">
        <v>333.57</v>
      </c>
      <c r="L19" s="64">
        <v>13.75</v>
      </c>
      <c r="M19" s="64">
        <v>97.86</v>
      </c>
      <c r="N19" s="64">
        <v>36.5</v>
      </c>
      <c r="O19" s="64">
        <v>0</v>
      </c>
      <c r="P19" s="64">
        <v>1.1200000000000001</v>
      </c>
      <c r="Q19" s="64">
        <v>17.14</v>
      </c>
      <c r="R19" s="198"/>
      <c r="S19" s="198"/>
      <c r="T19" s="198"/>
      <c r="U19" s="198"/>
    </row>
    <row r="20" spans="1:21" s="12" customFormat="1" x14ac:dyDescent="0.25">
      <c r="A20" s="214" t="s">
        <v>2755</v>
      </c>
      <c r="B20" s="64">
        <v>67.38</v>
      </c>
      <c r="C20" s="64">
        <v>85.17</v>
      </c>
      <c r="D20" s="64">
        <v>101.68</v>
      </c>
      <c r="E20" s="64">
        <v>0.13</v>
      </c>
      <c r="F20" s="64">
        <v>3.55</v>
      </c>
      <c r="G20" s="64">
        <v>151.02000000000001</v>
      </c>
      <c r="H20" s="64">
        <v>87.04</v>
      </c>
      <c r="I20" s="64">
        <v>1.49</v>
      </c>
      <c r="J20" s="64">
        <v>0.09</v>
      </c>
      <c r="K20" s="64">
        <v>283.63</v>
      </c>
      <c r="L20" s="64">
        <v>13.76</v>
      </c>
      <c r="M20" s="64">
        <v>97.87</v>
      </c>
      <c r="N20" s="64">
        <v>36.799999999999997</v>
      </c>
      <c r="O20" s="64">
        <v>0</v>
      </c>
      <c r="P20" s="64">
        <v>1.05</v>
      </c>
      <c r="Q20" s="64">
        <v>16.79</v>
      </c>
      <c r="R20" s="198"/>
      <c r="S20" s="198"/>
      <c r="T20" s="198"/>
      <c r="U20" s="198"/>
    </row>
    <row r="21" spans="1:21" s="12" customFormat="1" x14ac:dyDescent="0.25">
      <c r="A21" s="214" t="s">
        <v>2756</v>
      </c>
      <c r="B21" s="64">
        <v>63.74</v>
      </c>
      <c r="C21" s="64">
        <v>83.82</v>
      </c>
      <c r="D21" s="64">
        <v>98.02</v>
      </c>
      <c r="E21" s="64">
        <v>0.1</v>
      </c>
      <c r="F21" s="64">
        <v>3.65</v>
      </c>
      <c r="G21" s="64">
        <v>144.21</v>
      </c>
      <c r="H21" s="64">
        <v>87.04</v>
      </c>
      <c r="I21" s="64">
        <v>1.5</v>
      </c>
      <c r="J21" s="64">
        <v>7.0000000000000007E-2</v>
      </c>
      <c r="K21" s="64">
        <v>339.35</v>
      </c>
      <c r="L21" s="64">
        <v>13.55</v>
      </c>
      <c r="M21" s="64">
        <v>97.85</v>
      </c>
      <c r="N21" s="64">
        <v>36.9</v>
      </c>
      <c r="O21" s="64">
        <v>0</v>
      </c>
      <c r="P21" s="64">
        <v>0.99</v>
      </c>
      <c r="Q21" s="64">
        <v>16.11</v>
      </c>
      <c r="R21" s="198"/>
      <c r="S21" s="198"/>
      <c r="T21" s="198"/>
      <c r="U21" s="198"/>
    </row>
    <row r="22" spans="1:21" s="12" customFormat="1" x14ac:dyDescent="0.25">
      <c r="A22" s="214" t="s">
        <v>2757</v>
      </c>
      <c r="B22" s="64">
        <v>60.21</v>
      </c>
      <c r="C22" s="64">
        <v>82.51</v>
      </c>
      <c r="D22" s="64">
        <v>94.47</v>
      </c>
      <c r="E22" s="64">
        <v>0.04</v>
      </c>
      <c r="F22" s="64">
        <v>3.77</v>
      </c>
      <c r="G22" s="64">
        <v>144.21</v>
      </c>
      <c r="H22" s="64">
        <v>87.04</v>
      </c>
      <c r="I22" s="64">
        <v>1.5</v>
      </c>
      <c r="J22" s="64">
        <v>7.0000000000000007E-2</v>
      </c>
      <c r="K22" s="64">
        <v>255.47</v>
      </c>
      <c r="L22" s="64">
        <v>13.53</v>
      </c>
      <c r="M22" s="64">
        <v>97.83</v>
      </c>
      <c r="N22" s="64">
        <v>36.700000000000003</v>
      </c>
      <c r="O22" s="64">
        <v>0</v>
      </c>
      <c r="P22" s="64">
        <v>0.91</v>
      </c>
      <c r="Q22" s="64">
        <v>15.6</v>
      </c>
      <c r="R22" s="198"/>
      <c r="S22" s="198"/>
      <c r="T22" s="198"/>
      <c r="U22" s="198"/>
    </row>
    <row r="23" spans="1:21" s="12" customFormat="1" x14ac:dyDescent="0.25">
      <c r="A23" s="214" t="s">
        <v>2758</v>
      </c>
      <c r="B23" s="64">
        <v>56.53</v>
      </c>
      <c r="C23" s="64">
        <v>81.12</v>
      </c>
      <c r="D23" s="64">
        <v>90.75</v>
      </c>
      <c r="E23" s="64">
        <v>0.08</v>
      </c>
      <c r="F23" s="64">
        <v>3.94</v>
      </c>
      <c r="G23" s="64">
        <v>144.21</v>
      </c>
      <c r="H23" s="64">
        <v>87.04</v>
      </c>
      <c r="I23" s="64">
        <v>1.55</v>
      </c>
      <c r="J23" s="64">
        <v>0.01</v>
      </c>
      <c r="K23" s="64">
        <v>84.53</v>
      </c>
      <c r="L23" s="64">
        <v>13.53</v>
      </c>
      <c r="M23" s="64">
        <v>97.83</v>
      </c>
      <c r="N23" s="64">
        <v>36.5</v>
      </c>
      <c r="O23" s="64">
        <v>0</v>
      </c>
      <c r="P23" s="64">
        <v>0.91</v>
      </c>
      <c r="Q23" s="64">
        <v>15.28</v>
      </c>
      <c r="R23" s="198"/>
      <c r="S23" s="198"/>
      <c r="T23" s="198"/>
      <c r="U23" s="198"/>
    </row>
    <row r="24" spans="1:21" s="12" customFormat="1" x14ac:dyDescent="0.25">
      <c r="A24" s="214" t="s">
        <v>2759</v>
      </c>
      <c r="B24" s="64">
        <v>53.09</v>
      </c>
      <c r="C24" s="64">
        <v>80.489999999999995</v>
      </c>
      <c r="D24" s="64">
        <v>87.64</v>
      </c>
      <c r="E24" s="64">
        <v>0.33</v>
      </c>
      <c r="F24" s="64">
        <v>4.8099999999999996</v>
      </c>
      <c r="G24" s="64">
        <v>135</v>
      </c>
      <c r="H24" s="64">
        <v>82.1</v>
      </c>
      <c r="I24" s="64">
        <v>1.54</v>
      </c>
      <c r="J24" s="64">
        <v>0.04</v>
      </c>
      <c r="K24" s="64">
        <v>189.75</v>
      </c>
      <c r="L24" s="64">
        <v>13.64</v>
      </c>
      <c r="M24" s="64">
        <v>97.27</v>
      </c>
      <c r="N24" s="64">
        <v>36.200000000000003</v>
      </c>
      <c r="O24" s="64">
        <v>0</v>
      </c>
      <c r="P24" s="64">
        <v>0.84</v>
      </c>
      <c r="Q24" s="64">
        <v>15.42</v>
      </c>
      <c r="R24" s="198"/>
      <c r="S24" s="198"/>
      <c r="T24" s="198"/>
      <c r="U24" s="198"/>
    </row>
    <row r="25" spans="1:21" s="12" customFormat="1" x14ac:dyDescent="0.25">
      <c r="A25" s="214" t="s">
        <v>2760</v>
      </c>
      <c r="B25" s="64">
        <v>49.62</v>
      </c>
      <c r="C25" s="64">
        <v>79.849999999999994</v>
      </c>
      <c r="D25" s="64">
        <v>84.51</v>
      </c>
      <c r="E25" s="64">
        <v>0.52</v>
      </c>
      <c r="F25" s="64">
        <v>5.0199999999999996</v>
      </c>
      <c r="G25" s="64">
        <v>132.19999999999999</v>
      </c>
      <c r="H25" s="64">
        <v>82.1</v>
      </c>
      <c r="I25" s="64">
        <v>1.51</v>
      </c>
      <c r="J25" s="64">
        <v>0.1</v>
      </c>
      <c r="K25" s="64">
        <v>120.38</v>
      </c>
      <c r="L25" s="64">
        <v>13.96</v>
      </c>
      <c r="M25" s="64">
        <v>93.82</v>
      </c>
      <c r="N25" s="64">
        <v>36</v>
      </c>
      <c r="O25" s="64">
        <v>0</v>
      </c>
      <c r="P25" s="64">
        <v>0.79</v>
      </c>
      <c r="Q25" s="64">
        <v>14.77</v>
      </c>
      <c r="R25" s="198"/>
      <c r="S25" s="198"/>
      <c r="T25" s="198"/>
      <c r="U25" s="198"/>
    </row>
    <row r="26" spans="1:21" s="12" customFormat="1" x14ac:dyDescent="0.25">
      <c r="A26" s="214" t="s">
        <v>2761</v>
      </c>
      <c r="B26" s="64">
        <v>46.08</v>
      </c>
      <c r="C26" s="64">
        <v>79.47</v>
      </c>
      <c r="D26" s="64">
        <v>81.459999999999994</v>
      </c>
      <c r="E26" s="64">
        <v>0.56999999999999995</v>
      </c>
      <c r="F26" s="64">
        <v>5.84</v>
      </c>
      <c r="G26" s="64">
        <v>132.19999999999999</v>
      </c>
      <c r="H26" s="64">
        <v>82.1</v>
      </c>
      <c r="I26" s="64">
        <v>1.49</v>
      </c>
      <c r="J26" s="64">
        <v>0.13</v>
      </c>
      <c r="K26" s="64">
        <v>52.22</v>
      </c>
      <c r="L26" s="64">
        <v>14.17</v>
      </c>
      <c r="M26" s="64">
        <v>92.05</v>
      </c>
      <c r="N26" s="64">
        <v>36.5</v>
      </c>
      <c r="O26" s="64">
        <v>0</v>
      </c>
      <c r="P26" s="64">
        <v>0.74</v>
      </c>
      <c r="Q26" s="64">
        <v>14.32</v>
      </c>
      <c r="R26" s="198"/>
      <c r="S26" s="198"/>
      <c r="T26" s="198"/>
      <c r="U26" s="198"/>
    </row>
    <row r="27" spans="1:21" s="12" customFormat="1" x14ac:dyDescent="0.25">
      <c r="A27" s="214" t="s">
        <v>2762</v>
      </c>
      <c r="B27" s="64">
        <v>42.51</v>
      </c>
      <c r="C27" s="64">
        <v>78.97</v>
      </c>
      <c r="D27" s="64">
        <v>78.319999999999993</v>
      </c>
      <c r="E27" s="64">
        <v>0.61</v>
      </c>
      <c r="F27" s="64">
        <v>6.52</v>
      </c>
      <c r="G27" s="64">
        <v>132.19999999999999</v>
      </c>
      <c r="H27" s="64">
        <v>82.1</v>
      </c>
      <c r="I27" s="64">
        <v>1.54</v>
      </c>
      <c r="J27" s="64">
        <v>0.09</v>
      </c>
      <c r="K27" s="64">
        <v>69.010000000000005</v>
      </c>
      <c r="L27" s="64">
        <v>14.17</v>
      </c>
      <c r="M27" s="64">
        <v>92.21</v>
      </c>
      <c r="N27" s="64">
        <v>36.5</v>
      </c>
      <c r="O27" s="64">
        <v>0</v>
      </c>
      <c r="P27" s="64">
        <v>0.72</v>
      </c>
      <c r="Q27" s="64">
        <v>14.04</v>
      </c>
      <c r="R27" s="198"/>
      <c r="S27" s="198"/>
      <c r="T27" s="198"/>
      <c r="U27" s="198"/>
    </row>
    <row r="28" spans="1:21" s="12" customFormat="1" x14ac:dyDescent="0.25">
      <c r="A28" s="214" t="s">
        <v>2763</v>
      </c>
      <c r="B28" s="64">
        <v>39.04</v>
      </c>
      <c r="C28" s="64">
        <v>78.84</v>
      </c>
      <c r="D28" s="64">
        <v>75.459999999999994</v>
      </c>
      <c r="E28" s="64">
        <v>0.61</v>
      </c>
      <c r="F28" s="64">
        <v>7.12</v>
      </c>
      <c r="G28" s="64">
        <v>126.8</v>
      </c>
      <c r="H28" s="64">
        <v>79.930000000000007</v>
      </c>
      <c r="I28" s="64">
        <v>1.49</v>
      </c>
      <c r="J28" s="64">
        <v>0.17</v>
      </c>
      <c r="K28" s="64">
        <v>107.22</v>
      </c>
      <c r="L28" s="64">
        <v>14.17</v>
      </c>
      <c r="M28" s="64">
        <v>91.74</v>
      </c>
      <c r="N28" s="64">
        <v>36.4</v>
      </c>
      <c r="O28" s="64">
        <v>0</v>
      </c>
      <c r="P28" s="64">
        <v>0.72</v>
      </c>
      <c r="Q28" s="64">
        <v>13.56</v>
      </c>
      <c r="R28" s="198"/>
      <c r="S28" s="198"/>
      <c r="T28" s="198"/>
      <c r="U28" s="198"/>
    </row>
    <row r="29" spans="1:21" s="12" customFormat="1" x14ac:dyDescent="0.25">
      <c r="A29" s="214" t="s">
        <v>2764</v>
      </c>
      <c r="B29" s="64">
        <v>35.89</v>
      </c>
      <c r="C29" s="64">
        <v>78.06</v>
      </c>
      <c r="D29" s="64">
        <v>72.510000000000005</v>
      </c>
      <c r="E29" s="64">
        <v>0.63</v>
      </c>
      <c r="F29" s="64">
        <v>6.75</v>
      </c>
      <c r="G29" s="64">
        <v>125.16</v>
      </c>
      <c r="H29" s="64">
        <v>79.930000000000007</v>
      </c>
      <c r="I29" s="64">
        <v>1.48</v>
      </c>
      <c r="J29" s="64">
        <v>0.1</v>
      </c>
      <c r="K29" s="64">
        <v>41.22</v>
      </c>
      <c r="L29" s="64">
        <v>14.13</v>
      </c>
      <c r="M29" s="64">
        <v>91.72</v>
      </c>
      <c r="N29" s="64">
        <v>36.799999999999997</v>
      </c>
      <c r="O29" s="64">
        <v>0</v>
      </c>
      <c r="P29" s="64">
        <v>0.8</v>
      </c>
      <c r="Q29" s="64">
        <v>12.54</v>
      </c>
      <c r="R29" s="198"/>
      <c r="S29" s="198"/>
      <c r="T29" s="198"/>
      <c r="U29" s="198"/>
    </row>
    <row r="30" spans="1:21" s="12" customFormat="1" x14ac:dyDescent="0.25">
      <c r="A30" s="214" t="s">
        <v>2765</v>
      </c>
      <c r="B30" s="64">
        <v>33.32</v>
      </c>
      <c r="C30" s="64">
        <v>77.540000000000006</v>
      </c>
      <c r="D30" s="64">
        <v>70.16</v>
      </c>
      <c r="E30" s="64">
        <v>0.56999999999999995</v>
      </c>
      <c r="F30" s="64">
        <v>5.36</v>
      </c>
      <c r="G30" s="64">
        <v>125.16</v>
      </c>
      <c r="H30" s="64">
        <v>79.930000000000007</v>
      </c>
      <c r="I30" s="64">
        <v>1.49</v>
      </c>
      <c r="J30" s="64">
        <v>0.01</v>
      </c>
      <c r="K30" s="64">
        <v>357.06</v>
      </c>
      <c r="L30" s="64">
        <v>13.99</v>
      </c>
      <c r="M30" s="64">
        <v>92.75</v>
      </c>
      <c r="N30" s="64">
        <v>36.9</v>
      </c>
      <c r="O30" s="64">
        <v>0</v>
      </c>
      <c r="P30" s="64">
        <v>0.83</v>
      </c>
      <c r="Q30" s="64">
        <v>10.7</v>
      </c>
      <c r="R30" s="198"/>
      <c r="S30" s="198"/>
      <c r="T30" s="198"/>
      <c r="U30" s="198"/>
    </row>
    <row r="31" spans="1:21" s="12" customFormat="1" x14ac:dyDescent="0.25">
      <c r="A31" s="214" t="s">
        <v>2766</v>
      </c>
      <c r="B31" s="64">
        <v>31.24</v>
      </c>
      <c r="C31" s="64">
        <v>77.59</v>
      </c>
      <c r="D31" s="64">
        <v>68.52</v>
      </c>
      <c r="E31" s="64">
        <v>0.56999999999999995</v>
      </c>
      <c r="F31" s="64">
        <v>4.5</v>
      </c>
      <c r="G31" s="64">
        <v>125.16</v>
      </c>
      <c r="H31" s="64">
        <v>79.930000000000007</v>
      </c>
      <c r="I31" s="64">
        <v>1.56</v>
      </c>
      <c r="J31" s="64">
        <v>0.04</v>
      </c>
      <c r="K31" s="64">
        <v>72.260000000000005</v>
      </c>
      <c r="L31" s="64">
        <v>13.64</v>
      </c>
      <c r="M31" s="64">
        <v>94.63</v>
      </c>
      <c r="N31" s="64">
        <v>36.799999999999997</v>
      </c>
      <c r="O31" s="64">
        <v>0</v>
      </c>
      <c r="P31" s="64">
        <v>0.9</v>
      </c>
      <c r="Q31" s="64">
        <v>9.48</v>
      </c>
      <c r="R31" s="198"/>
      <c r="S31" s="198"/>
      <c r="T31" s="198"/>
      <c r="U31" s="198"/>
    </row>
    <row r="32" spans="1:21" s="12" customFormat="1" x14ac:dyDescent="0.25">
      <c r="A32" s="214" t="s">
        <v>2767</v>
      </c>
      <c r="B32" s="64">
        <v>30.22</v>
      </c>
      <c r="C32" s="64">
        <v>78.33</v>
      </c>
      <c r="D32" s="64">
        <v>68.11</v>
      </c>
      <c r="E32" s="64">
        <v>0.56999999999999995</v>
      </c>
      <c r="F32" s="64">
        <v>4.46</v>
      </c>
      <c r="G32" s="64">
        <v>123.7</v>
      </c>
      <c r="H32" s="64">
        <v>76.06</v>
      </c>
      <c r="I32" s="64">
        <v>1.48</v>
      </c>
      <c r="J32" s="64">
        <v>0.12</v>
      </c>
      <c r="K32" s="64">
        <v>6.05</v>
      </c>
      <c r="L32" s="64">
        <v>13.73</v>
      </c>
      <c r="M32" s="64">
        <v>91.12</v>
      </c>
      <c r="N32" s="64">
        <v>36.6</v>
      </c>
      <c r="O32" s="64">
        <v>0</v>
      </c>
      <c r="P32" s="64">
        <v>0.76</v>
      </c>
      <c r="Q32" s="64">
        <v>7.93</v>
      </c>
      <c r="R32" s="198"/>
      <c r="S32" s="198"/>
      <c r="T32" s="198"/>
      <c r="U32" s="198"/>
    </row>
    <row r="33" spans="1:21" s="12" customFormat="1" x14ac:dyDescent="0.25">
      <c r="A33" s="214" t="s">
        <v>2768</v>
      </c>
      <c r="B33" s="64">
        <v>28.82</v>
      </c>
      <c r="C33" s="64">
        <v>78.34</v>
      </c>
      <c r="D33" s="64">
        <v>66.989999999999995</v>
      </c>
      <c r="E33" s="64">
        <v>0.63</v>
      </c>
      <c r="F33" s="64">
        <v>5.16</v>
      </c>
      <c r="G33" s="64">
        <v>123.26</v>
      </c>
      <c r="H33" s="64">
        <v>76.06</v>
      </c>
      <c r="I33" s="64">
        <v>1.48</v>
      </c>
      <c r="J33" s="64">
        <v>0.12</v>
      </c>
      <c r="K33" s="64">
        <v>347.19</v>
      </c>
      <c r="L33" s="64">
        <v>13.97</v>
      </c>
      <c r="M33" s="64">
        <v>86.93</v>
      </c>
      <c r="N33" s="64">
        <v>36.700000000000003</v>
      </c>
      <c r="O33" s="64">
        <v>0</v>
      </c>
      <c r="P33" s="64">
        <v>0.76</v>
      </c>
      <c r="Q33" s="64">
        <v>8.81</v>
      </c>
      <c r="R33" s="198"/>
      <c r="S33" s="198"/>
      <c r="T33" s="198"/>
      <c r="U33" s="198"/>
    </row>
    <row r="34" spans="1:21" s="12" customFormat="1" x14ac:dyDescent="0.25">
      <c r="A34" s="214" t="s">
        <v>2769</v>
      </c>
      <c r="B34" s="64">
        <v>27.45</v>
      </c>
      <c r="C34" s="64">
        <v>78.41</v>
      </c>
      <c r="D34" s="64">
        <v>65.930000000000007</v>
      </c>
      <c r="E34" s="64">
        <v>0.62</v>
      </c>
      <c r="F34" s="64">
        <v>4.63</v>
      </c>
      <c r="G34" s="64">
        <v>123.26</v>
      </c>
      <c r="H34" s="64">
        <v>76.06</v>
      </c>
      <c r="I34" s="64">
        <v>1.44</v>
      </c>
      <c r="J34" s="64">
        <v>7.0000000000000007E-2</v>
      </c>
      <c r="K34" s="64">
        <v>55.82</v>
      </c>
      <c r="L34" s="64">
        <v>13.93</v>
      </c>
      <c r="M34" s="64">
        <v>86.05</v>
      </c>
      <c r="N34" s="64">
        <v>38.1</v>
      </c>
      <c r="O34" s="64">
        <v>0</v>
      </c>
      <c r="P34" s="64">
        <v>0.7</v>
      </c>
      <c r="Q34" s="64">
        <v>8.75</v>
      </c>
      <c r="R34" s="198"/>
      <c r="S34" s="198"/>
      <c r="T34" s="198"/>
      <c r="U34" s="198"/>
    </row>
    <row r="35" spans="1:21" s="12" customFormat="1" x14ac:dyDescent="0.25">
      <c r="A35" s="214" t="s">
        <v>2770</v>
      </c>
      <c r="B35" s="64">
        <v>25.79</v>
      </c>
      <c r="C35" s="64">
        <v>78.2</v>
      </c>
      <c r="D35" s="64">
        <v>64.48</v>
      </c>
      <c r="E35" s="64">
        <v>0.61</v>
      </c>
      <c r="F35" s="64">
        <v>4.7699999999999996</v>
      </c>
      <c r="G35" s="64">
        <v>123.26</v>
      </c>
      <c r="H35" s="64">
        <v>76.06</v>
      </c>
      <c r="I35" s="64">
        <v>1.52</v>
      </c>
      <c r="J35" s="64">
        <v>0.14000000000000001</v>
      </c>
      <c r="K35" s="64">
        <v>22.94</v>
      </c>
      <c r="L35" s="64">
        <v>13.85</v>
      </c>
      <c r="M35" s="64">
        <v>87.11</v>
      </c>
      <c r="N35" s="64">
        <v>44</v>
      </c>
      <c r="O35" s="64">
        <v>0</v>
      </c>
      <c r="P35" s="64">
        <v>0.69</v>
      </c>
      <c r="Q35" s="64">
        <v>8.81</v>
      </c>
      <c r="R35" s="198"/>
      <c r="S35" s="198"/>
      <c r="T35" s="198"/>
      <c r="U35" s="198"/>
    </row>
    <row r="36" spans="1:21" s="12" customFormat="1" x14ac:dyDescent="0.25">
      <c r="A36" s="214" t="s">
        <v>2771</v>
      </c>
      <c r="B36" s="64">
        <v>25.59</v>
      </c>
      <c r="C36" s="64">
        <v>77.92</v>
      </c>
      <c r="D36" s="64">
        <v>64.17</v>
      </c>
      <c r="E36" s="64">
        <v>0.57999999999999996</v>
      </c>
      <c r="F36" s="64">
        <v>3.71</v>
      </c>
      <c r="G36" s="64">
        <v>111.84</v>
      </c>
      <c r="H36" s="64">
        <v>76.09</v>
      </c>
      <c r="I36" s="64">
        <v>1.44</v>
      </c>
      <c r="J36" s="64">
        <v>0.1</v>
      </c>
      <c r="K36" s="64">
        <v>55.26</v>
      </c>
      <c r="L36" s="64">
        <v>13.78</v>
      </c>
      <c r="M36" s="64">
        <v>87.22</v>
      </c>
      <c r="N36" s="64">
        <v>55.6</v>
      </c>
      <c r="O36" s="64">
        <v>0</v>
      </c>
      <c r="P36" s="64">
        <v>0.84</v>
      </c>
      <c r="Q36" s="64">
        <v>6.48</v>
      </c>
      <c r="R36" s="198"/>
      <c r="S36" s="198"/>
      <c r="T36" s="198"/>
      <c r="U36" s="198"/>
    </row>
    <row r="37" spans="1:21" s="12" customFormat="1" x14ac:dyDescent="0.25">
      <c r="A37" s="214" t="s">
        <v>2772</v>
      </c>
      <c r="B37" s="64">
        <v>25.88</v>
      </c>
      <c r="C37" s="64">
        <v>77.290000000000006</v>
      </c>
      <c r="D37" s="64">
        <v>64.06</v>
      </c>
      <c r="E37" s="64">
        <v>0.59</v>
      </c>
      <c r="F37" s="64">
        <v>3.78</v>
      </c>
      <c r="G37" s="64">
        <v>108.37</v>
      </c>
      <c r="H37" s="64">
        <v>76.09</v>
      </c>
      <c r="I37" s="64">
        <v>1.58</v>
      </c>
      <c r="J37" s="64">
        <v>0.08</v>
      </c>
      <c r="K37" s="64">
        <v>66.23</v>
      </c>
      <c r="L37" s="64">
        <v>13.97</v>
      </c>
      <c r="M37" s="64">
        <v>85.11</v>
      </c>
      <c r="N37" s="64">
        <v>71.7</v>
      </c>
      <c r="O37" s="64">
        <v>0</v>
      </c>
      <c r="P37" s="64">
        <v>0.87</v>
      </c>
      <c r="Q37" s="64">
        <v>6.78</v>
      </c>
      <c r="R37" s="198"/>
      <c r="S37" s="198"/>
      <c r="T37" s="198"/>
      <c r="U37" s="198"/>
    </row>
    <row r="38" spans="1:21" s="12" customFormat="1" x14ac:dyDescent="0.25">
      <c r="A38" s="214" t="s">
        <v>2773</v>
      </c>
      <c r="B38" s="64">
        <v>25.6</v>
      </c>
      <c r="C38" s="64">
        <v>76.989999999999995</v>
      </c>
      <c r="D38" s="64">
        <v>63.66</v>
      </c>
      <c r="E38" s="64">
        <v>0.59</v>
      </c>
      <c r="F38" s="64">
        <v>4.41</v>
      </c>
      <c r="G38" s="64">
        <v>108.37</v>
      </c>
      <c r="H38" s="64">
        <v>76.09</v>
      </c>
      <c r="I38" s="64">
        <v>1.54</v>
      </c>
      <c r="J38" s="64">
        <v>0.31</v>
      </c>
      <c r="K38" s="64">
        <v>103.1</v>
      </c>
      <c r="L38" s="64">
        <v>14.33</v>
      </c>
      <c r="M38" s="64">
        <v>82.81</v>
      </c>
      <c r="N38" s="64">
        <v>90.5</v>
      </c>
      <c r="O38" s="64">
        <v>0</v>
      </c>
      <c r="P38" s="64">
        <v>0.86</v>
      </c>
      <c r="Q38" s="64">
        <v>7.94</v>
      </c>
      <c r="R38" s="198"/>
      <c r="S38" s="198"/>
      <c r="T38" s="198"/>
      <c r="U38" s="198"/>
    </row>
    <row r="39" spans="1:21" s="12" customFormat="1" x14ac:dyDescent="0.25">
      <c r="A39" s="214" t="s">
        <v>2774</v>
      </c>
      <c r="B39" s="64">
        <v>24.37</v>
      </c>
      <c r="C39" s="64">
        <v>75.760000000000005</v>
      </c>
      <c r="D39" s="64">
        <v>62</v>
      </c>
      <c r="E39" s="64">
        <v>0.49</v>
      </c>
      <c r="F39" s="64">
        <v>4.83</v>
      </c>
      <c r="G39" s="64">
        <v>108.37</v>
      </c>
      <c r="H39" s="64">
        <v>76.09</v>
      </c>
      <c r="I39" s="64">
        <v>1.45</v>
      </c>
      <c r="J39" s="64">
        <v>0.26</v>
      </c>
      <c r="K39" s="64">
        <v>89.48</v>
      </c>
      <c r="L39" s="64">
        <v>14.89</v>
      </c>
      <c r="M39" s="64">
        <v>81.37</v>
      </c>
      <c r="N39" s="64">
        <v>132.4</v>
      </c>
      <c r="O39" s="64">
        <v>0</v>
      </c>
      <c r="P39" s="64">
        <v>0.85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4" t="s">
        <v>2775</v>
      </c>
      <c r="B40" s="64">
        <v>24.53</v>
      </c>
      <c r="C40" s="64">
        <v>75.37</v>
      </c>
      <c r="D40" s="64">
        <v>61.91</v>
      </c>
      <c r="E40" s="64">
        <v>0.5</v>
      </c>
      <c r="F40" s="64">
        <v>4.5</v>
      </c>
      <c r="G40" s="64">
        <v>103.76</v>
      </c>
      <c r="H40" s="64">
        <v>69.650000000000006</v>
      </c>
      <c r="I40" s="64">
        <v>1.45</v>
      </c>
      <c r="J40" s="64">
        <v>0.17</v>
      </c>
      <c r="K40" s="64">
        <v>338.07</v>
      </c>
      <c r="L40" s="64">
        <v>16.53</v>
      </c>
      <c r="M40" s="64">
        <v>74.290000000000006</v>
      </c>
      <c r="N40" s="64">
        <v>183.2</v>
      </c>
      <c r="O40" s="64">
        <v>0</v>
      </c>
      <c r="P40" s="64">
        <v>1.24</v>
      </c>
      <c r="Q40" s="64">
        <v>5.95</v>
      </c>
      <c r="R40" s="198"/>
      <c r="S40" s="198"/>
      <c r="T40" s="198"/>
      <c r="U40" s="198"/>
    </row>
    <row r="41" spans="1:21" s="12" customFormat="1" x14ac:dyDescent="0.25">
      <c r="A41" s="214" t="s">
        <v>2776</v>
      </c>
      <c r="B41" s="64">
        <v>26.24</v>
      </c>
      <c r="C41" s="64">
        <v>75.260000000000005</v>
      </c>
      <c r="D41" s="64">
        <v>63.22</v>
      </c>
      <c r="E41" s="64">
        <v>0.89</v>
      </c>
      <c r="F41" s="64">
        <v>4.51</v>
      </c>
      <c r="G41" s="64">
        <v>102.35</v>
      </c>
      <c r="H41" s="64">
        <v>69.650000000000006</v>
      </c>
      <c r="I41" s="64">
        <v>1.44</v>
      </c>
      <c r="J41" s="64">
        <v>0.43</v>
      </c>
      <c r="K41" s="64">
        <v>351.92</v>
      </c>
      <c r="L41" s="64">
        <v>17.59</v>
      </c>
      <c r="M41" s="64">
        <v>68.900000000000006</v>
      </c>
      <c r="N41" s="64">
        <v>222.5</v>
      </c>
      <c r="O41" s="64">
        <v>0</v>
      </c>
      <c r="P41" s="64">
        <v>1.17</v>
      </c>
      <c r="Q41" s="64">
        <v>5.14</v>
      </c>
      <c r="R41" s="198"/>
      <c r="S41" s="198"/>
      <c r="T41" s="198"/>
      <c r="U41" s="198"/>
    </row>
    <row r="42" spans="1:21" s="12" customFormat="1" x14ac:dyDescent="0.25">
      <c r="A42" s="214" t="s">
        <v>2777</v>
      </c>
      <c r="B42" s="64">
        <v>26.8</v>
      </c>
      <c r="C42" s="64">
        <v>75.680000000000007</v>
      </c>
      <c r="D42" s="64">
        <v>63.9</v>
      </c>
      <c r="E42" s="64">
        <v>1.05</v>
      </c>
      <c r="F42" s="64">
        <v>5.47</v>
      </c>
      <c r="G42" s="64">
        <v>102.35</v>
      </c>
      <c r="H42" s="64">
        <v>69.650000000000006</v>
      </c>
      <c r="I42" s="64">
        <v>1.46</v>
      </c>
      <c r="J42" s="64">
        <v>0.32</v>
      </c>
      <c r="K42" s="64">
        <v>20.04</v>
      </c>
      <c r="L42" s="64">
        <v>19</v>
      </c>
      <c r="M42" s="64">
        <v>62.8</v>
      </c>
      <c r="N42" s="64">
        <v>261.60000000000002</v>
      </c>
      <c r="O42" s="64">
        <v>0</v>
      </c>
      <c r="P42" s="64">
        <v>1.04</v>
      </c>
      <c r="Q42" s="64">
        <v>6.63</v>
      </c>
      <c r="R42" s="198"/>
      <c r="S42" s="198"/>
      <c r="T42" s="198"/>
      <c r="U42" s="198"/>
    </row>
    <row r="43" spans="1:21" s="12" customFormat="1" x14ac:dyDescent="0.25">
      <c r="A43" s="214" t="s">
        <v>2778</v>
      </c>
      <c r="B43" s="64">
        <v>26.65</v>
      </c>
      <c r="C43" s="64">
        <v>75.77</v>
      </c>
      <c r="D43" s="64">
        <v>63.83</v>
      </c>
      <c r="E43" s="64">
        <v>0.91</v>
      </c>
      <c r="F43" s="64">
        <v>5.21</v>
      </c>
      <c r="G43" s="64">
        <v>102.35</v>
      </c>
      <c r="H43" s="64">
        <v>69.650000000000006</v>
      </c>
      <c r="I43" s="64">
        <v>1.49</v>
      </c>
      <c r="J43" s="64">
        <v>0.4</v>
      </c>
      <c r="K43" s="64">
        <v>354.04</v>
      </c>
      <c r="L43" s="64">
        <v>18.579999999999998</v>
      </c>
      <c r="M43" s="64">
        <v>65.14</v>
      </c>
      <c r="N43" s="64">
        <v>305.10000000000002</v>
      </c>
      <c r="O43" s="64">
        <v>0</v>
      </c>
      <c r="P43" s="64">
        <v>1.1000000000000001</v>
      </c>
      <c r="Q43" s="64">
        <v>7.14</v>
      </c>
      <c r="R43" s="198"/>
      <c r="S43" s="198"/>
      <c r="T43" s="198"/>
      <c r="U43" s="198"/>
    </row>
    <row r="44" spans="1:21" s="12" customFormat="1" x14ac:dyDescent="0.25">
      <c r="A44" s="214" t="s">
        <v>2779</v>
      </c>
      <c r="B44" s="64">
        <v>26.67</v>
      </c>
      <c r="C44" s="64">
        <v>76.010000000000005</v>
      </c>
      <c r="D44" s="64">
        <v>63.98</v>
      </c>
      <c r="E44" s="64">
        <v>1.44</v>
      </c>
      <c r="F44" s="64">
        <v>5.74</v>
      </c>
      <c r="G44" s="64">
        <v>113.77</v>
      </c>
      <c r="H44" s="64">
        <v>65.64</v>
      </c>
      <c r="I44" s="64">
        <v>1.46</v>
      </c>
      <c r="J44" s="64">
        <v>0.37</v>
      </c>
      <c r="K44" s="64">
        <v>6.94</v>
      </c>
      <c r="L44" s="64">
        <v>20.059999999999999</v>
      </c>
      <c r="M44" s="64">
        <v>57.94</v>
      </c>
      <c r="N44" s="64">
        <v>349.6</v>
      </c>
      <c r="O44" s="64">
        <v>0</v>
      </c>
      <c r="P44" s="64">
        <v>1.0900000000000001</v>
      </c>
      <c r="Q44" s="64">
        <v>6.45</v>
      </c>
      <c r="R44" s="198"/>
      <c r="S44" s="198"/>
      <c r="T44" s="198"/>
      <c r="U44" s="198"/>
    </row>
    <row r="45" spans="1:21" s="12" customFormat="1" x14ac:dyDescent="0.25">
      <c r="A45" s="214" t="s">
        <v>2780</v>
      </c>
      <c r="B45" s="64">
        <v>26.85</v>
      </c>
      <c r="C45" s="64">
        <v>76.64</v>
      </c>
      <c r="D45" s="64">
        <v>64.47</v>
      </c>
      <c r="E45" s="64">
        <v>1.6</v>
      </c>
      <c r="F45" s="64">
        <v>6.58</v>
      </c>
      <c r="G45" s="64">
        <v>117.24</v>
      </c>
      <c r="H45" s="64">
        <v>65.64</v>
      </c>
      <c r="I45" s="64">
        <v>1.44</v>
      </c>
      <c r="J45" s="64">
        <v>0.5</v>
      </c>
      <c r="K45" s="64">
        <v>336.42</v>
      </c>
      <c r="L45" s="64">
        <v>21.08</v>
      </c>
      <c r="M45" s="64">
        <v>55.43</v>
      </c>
      <c r="N45" s="64">
        <v>393.9</v>
      </c>
      <c r="O45" s="64">
        <v>0</v>
      </c>
      <c r="P45" s="64">
        <v>1.07</v>
      </c>
      <c r="Q45" s="64">
        <v>6.25</v>
      </c>
      <c r="R45" s="198"/>
      <c r="S45" s="198"/>
      <c r="T45" s="198"/>
      <c r="U45" s="198"/>
    </row>
    <row r="46" spans="1:21" s="12" customFormat="1" x14ac:dyDescent="0.25">
      <c r="A46" s="214" t="s">
        <v>2781</v>
      </c>
      <c r="B46" s="64">
        <v>26.7</v>
      </c>
      <c r="C46" s="64">
        <v>76.739999999999995</v>
      </c>
      <c r="D46" s="64">
        <v>64.41</v>
      </c>
      <c r="E46" s="64">
        <v>1.87</v>
      </c>
      <c r="F46" s="64">
        <v>8.67</v>
      </c>
      <c r="G46" s="64">
        <v>117.24</v>
      </c>
      <c r="H46" s="64">
        <v>65.64</v>
      </c>
      <c r="I46" s="64">
        <v>1.51</v>
      </c>
      <c r="J46" s="64">
        <v>0.73</v>
      </c>
      <c r="K46" s="64">
        <v>343.91</v>
      </c>
      <c r="L46" s="64">
        <v>23.03</v>
      </c>
      <c r="M46" s="64">
        <v>48.71</v>
      </c>
      <c r="N46" s="64">
        <v>421.9</v>
      </c>
      <c r="O46" s="64">
        <v>0</v>
      </c>
      <c r="P46" s="64">
        <v>1.1599999999999999</v>
      </c>
      <c r="Q46" s="64">
        <v>7.3</v>
      </c>
      <c r="R46" s="198"/>
      <c r="S46" s="198"/>
      <c r="T46" s="198"/>
      <c r="U46" s="198"/>
    </row>
    <row r="47" spans="1:21" s="12" customFormat="1" x14ac:dyDescent="0.25">
      <c r="A47" s="214" t="s">
        <v>2782</v>
      </c>
      <c r="B47" s="64">
        <v>26.31</v>
      </c>
      <c r="C47" s="64">
        <v>77.069999999999993</v>
      </c>
      <c r="D47" s="64">
        <v>64.28</v>
      </c>
      <c r="E47" s="64">
        <v>2.08</v>
      </c>
      <c r="F47" s="64">
        <v>8.44</v>
      </c>
      <c r="G47" s="64">
        <v>117.24</v>
      </c>
      <c r="H47" s="64">
        <v>65.64</v>
      </c>
      <c r="I47" s="64">
        <v>1.53</v>
      </c>
      <c r="J47" s="64">
        <v>0.77</v>
      </c>
      <c r="K47" s="64">
        <v>345.71</v>
      </c>
      <c r="L47" s="64">
        <v>24.3</v>
      </c>
      <c r="M47" s="64">
        <v>45.97</v>
      </c>
      <c r="N47" s="64">
        <v>447.9</v>
      </c>
      <c r="O47" s="64">
        <v>0</v>
      </c>
      <c r="P47" s="64">
        <v>1.35</v>
      </c>
      <c r="Q47" s="64">
        <v>6.36</v>
      </c>
      <c r="R47" s="198"/>
      <c r="S47" s="198"/>
      <c r="T47" s="198"/>
      <c r="U47" s="198"/>
    </row>
    <row r="48" spans="1:21" s="12" customFormat="1" x14ac:dyDescent="0.25">
      <c r="A48" s="214" t="s">
        <v>2783</v>
      </c>
      <c r="B48" s="64">
        <v>25.93</v>
      </c>
      <c r="C48" s="64">
        <v>78.34</v>
      </c>
      <c r="D48" s="64">
        <v>64.67</v>
      </c>
      <c r="E48" s="64">
        <v>2.1800000000000002</v>
      </c>
      <c r="F48" s="64">
        <v>9.89</v>
      </c>
      <c r="G48" s="64">
        <v>119.02</v>
      </c>
      <c r="H48" s="64">
        <v>64.58</v>
      </c>
      <c r="I48" s="64">
        <v>1.46</v>
      </c>
      <c r="J48" s="64">
        <v>0.69</v>
      </c>
      <c r="K48" s="64">
        <v>342.87</v>
      </c>
      <c r="L48" s="64">
        <v>25.18</v>
      </c>
      <c r="M48" s="64">
        <v>44.35</v>
      </c>
      <c r="N48" s="64">
        <v>474.2</v>
      </c>
      <c r="O48" s="64">
        <v>0</v>
      </c>
      <c r="P48" s="64">
        <v>1.34</v>
      </c>
      <c r="Q48" s="64">
        <v>6.64</v>
      </c>
      <c r="R48" s="198"/>
      <c r="S48" s="198"/>
      <c r="T48" s="198"/>
      <c r="U48" s="198"/>
    </row>
    <row r="49" spans="1:21" s="12" customFormat="1" x14ac:dyDescent="0.25">
      <c r="A49" s="214" t="s">
        <v>2784</v>
      </c>
      <c r="B49" s="64">
        <v>25.1</v>
      </c>
      <c r="C49" s="64">
        <v>79.56</v>
      </c>
      <c r="D49" s="64">
        <v>64.680000000000007</v>
      </c>
      <c r="E49" s="64">
        <v>2.04</v>
      </c>
      <c r="F49" s="64">
        <v>11.17</v>
      </c>
      <c r="G49" s="64">
        <v>119.56</v>
      </c>
      <c r="H49" s="64">
        <v>64.58</v>
      </c>
      <c r="I49" s="64">
        <v>1.53</v>
      </c>
      <c r="J49" s="64">
        <v>0.18</v>
      </c>
      <c r="K49" s="64">
        <v>356.9</v>
      </c>
      <c r="L49" s="64">
        <v>25.83</v>
      </c>
      <c r="M49" s="64">
        <v>42.89</v>
      </c>
      <c r="N49" s="64">
        <v>498</v>
      </c>
      <c r="O49" s="64">
        <v>0</v>
      </c>
      <c r="P49" s="64">
        <v>1.26</v>
      </c>
      <c r="Q49" s="64">
        <v>7.18</v>
      </c>
      <c r="R49" s="198"/>
      <c r="S49" s="198"/>
      <c r="T49" s="198"/>
      <c r="U49" s="198"/>
    </row>
    <row r="50" spans="1:21" s="12" customFormat="1" x14ac:dyDescent="0.25">
      <c r="A50" s="214" t="s">
        <v>2785</v>
      </c>
      <c r="B50" s="64">
        <v>23.84</v>
      </c>
      <c r="C50" s="64">
        <v>80.150000000000006</v>
      </c>
      <c r="D50" s="64">
        <v>63.99</v>
      </c>
      <c r="E50" s="64">
        <v>1.52</v>
      </c>
      <c r="F50" s="64">
        <v>11.65</v>
      </c>
      <c r="G50" s="64">
        <v>119.56</v>
      </c>
      <c r="H50" s="64">
        <v>64.58</v>
      </c>
      <c r="I50" s="64">
        <v>1.55</v>
      </c>
      <c r="J50" s="64">
        <v>0.31</v>
      </c>
      <c r="K50" s="64">
        <v>87.95</v>
      </c>
      <c r="L50" s="64">
        <v>23.15</v>
      </c>
      <c r="M50" s="64">
        <v>51.36</v>
      </c>
      <c r="N50" s="64">
        <v>510.8</v>
      </c>
      <c r="O50" s="64">
        <v>0</v>
      </c>
      <c r="P50" s="64">
        <v>1.07</v>
      </c>
      <c r="Q50" s="64">
        <v>8.1999999999999993</v>
      </c>
      <c r="R50" s="198"/>
      <c r="S50" s="198"/>
      <c r="T50" s="198"/>
      <c r="U50" s="198"/>
    </row>
    <row r="51" spans="1:21" s="12" customFormat="1" x14ac:dyDescent="0.25">
      <c r="A51" s="214" t="s">
        <v>2786</v>
      </c>
      <c r="B51" s="64">
        <v>22.47</v>
      </c>
      <c r="C51" s="64">
        <v>80.63</v>
      </c>
      <c r="D51" s="64">
        <v>63.17</v>
      </c>
      <c r="E51" s="64">
        <v>1.6</v>
      </c>
      <c r="F51" s="64">
        <v>13.07</v>
      </c>
      <c r="G51" s="64">
        <v>119.56</v>
      </c>
      <c r="H51" s="64">
        <v>64.58</v>
      </c>
      <c r="I51" s="64">
        <v>1.53</v>
      </c>
      <c r="J51" s="64">
        <v>0.21</v>
      </c>
      <c r="K51" s="64">
        <v>56.3</v>
      </c>
      <c r="L51" s="64">
        <v>23.85</v>
      </c>
      <c r="M51" s="64">
        <v>48.27</v>
      </c>
      <c r="N51" s="64">
        <v>527</v>
      </c>
      <c r="O51" s="64">
        <v>0</v>
      </c>
      <c r="P51" s="64">
        <v>1.18</v>
      </c>
      <c r="Q51" s="64">
        <v>7.76</v>
      </c>
      <c r="R51" s="198"/>
      <c r="S51" s="198"/>
      <c r="T51" s="198"/>
      <c r="U51" s="198"/>
    </row>
    <row r="52" spans="1:21" s="12" customFormat="1" x14ac:dyDescent="0.25">
      <c r="A52" s="214" t="s">
        <v>2787</v>
      </c>
      <c r="B52" s="64">
        <v>21.29</v>
      </c>
      <c r="C52" s="64">
        <v>81.709999999999994</v>
      </c>
      <c r="D52" s="64">
        <v>62.81</v>
      </c>
      <c r="E52" s="64">
        <v>1.92</v>
      </c>
      <c r="F52" s="64">
        <v>15.53</v>
      </c>
      <c r="G52" s="64">
        <v>122.14</v>
      </c>
      <c r="H52" s="64">
        <v>65.62</v>
      </c>
      <c r="I52" s="64">
        <v>1.41</v>
      </c>
      <c r="J52" s="64">
        <v>0.27</v>
      </c>
      <c r="K52" s="64">
        <v>348.48</v>
      </c>
      <c r="L52" s="64">
        <v>24.95</v>
      </c>
      <c r="M52" s="64">
        <v>44.52</v>
      </c>
      <c r="N52" s="64">
        <v>532.4</v>
      </c>
      <c r="O52" s="64">
        <v>0</v>
      </c>
      <c r="P52" s="64">
        <v>1.1499999999999999</v>
      </c>
      <c r="Q52" s="64">
        <v>6.72</v>
      </c>
      <c r="R52" s="198"/>
      <c r="S52" s="198"/>
      <c r="T52" s="198"/>
      <c r="U52" s="198"/>
    </row>
    <row r="53" spans="1:21" s="12" customFormat="1" x14ac:dyDescent="0.25">
      <c r="A53" s="214" t="s">
        <v>2788</v>
      </c>
      <c r="B53" s="64">
        <v>20.010000000000002</v>
      </c>
      <c r="C53" s="64">
        <v>82.77</v>
      </c>
      <c r="D53" s="64">
        <v>62.37</v>
      </c>
      <c r="E53" s="64">
        <v>1.86</v>
      </c>
      <c r="F53" s="64">
        <v>22.14</v>
      </c>
      <c r="G53" s="64">
        <v>122.93</v>
      </c>
      <c r="H53" s="64">
        <v>65.62</v>
      </c>
      <c r="I53" s="64">
        <v>1.47</v>
      </c>
      <c r="J53" s="64">
        <v>0.4</v>
      </c>
      <c r="K53" s="64">
        <v>339.24</v>
      </c>
      <c r="L53" s="64">
        <v>26.83</v>
      </c>
      <c r="M53" s="64">
        <v>40.520000000000003</v>
      </c>
      <c r="N53" s="64">
        <v>553</v>
      </c>
      <c r="O53" s="64">
        <v>0</v>
      </c>
      <c r="P53" s="64">
        <v>1.17</v>
      </c>
      <c r="Q53" s="64">
        <v>6.69</v>
      </c>
      <c r="R53" s="198"/>
      <c r="S53" s="198"/>
      <c r="T53" s="198"/>
      <c r="U53" s="198"/>
    </row>
    <row r="54" spans="1:21" s="12" customFormat="1" x14ac:dyDescent="0.25">
      <c r="A54" s="214" t="s">
        <v>2789</v>
      </c>
      <c r="B54" s="64">
        <v>18.38</v>
      </c>
      <c r="C54" s="64">
        <v>84.13</v>
      </c>
      <c r="D54" s="64">
        <v>61.81</v>
      </c>
      <c r="E54" s="64">
        <v>2.2000000000000002</v>
      </c>
      <c r="F54" s="64">
        <v>30.46</v>
      </c>
      <c r="G54" s="64">
        <v>122.93</v>
      </c>
      <c r="H54" s="64">
        <v>65.62</v>
      </c>
      <c r="I54" s="64">
        <v>1.47</v>
      </c>
      <c r="J54" s="64">
        <v>0.63</v>
      </c>
      <c r="K54" s="64">
        <v>341.87</v>
      </c>
      <c r="L54" s="64">
        <v>27.79</v>
      </c>
      <c r="M54" s="64">
        <v>38.159999999999997</v>
      </c>
      <c r="N54" s="64">
        <v>551.1</v>
      </c>
      <c r="O54" s="64">
        <v>0</v>
      </c>
      <c r="P54" s="64">
        <v>1.2</v>
      </c>
      <c r="Q54" s="64">
        <v>7.37</v>
      </c>
      <c r="R54" s="198"/>
      <c r="S54" s="198"/>
      <c r="T54" s="198"/>
      <c r="U54" s="198"/>
    </row>
    <row r="55" spans="1:21" s="12" customFormat="1" x14ac:dyDescent="0.25">
      <c r="A55" s="214" t="s">
        <v>2790</v>
      </c>
      <c r="B55" s="64">
        <v>16.48</v>
      </c>
      <c r="C55" s="64">
        <v>85.38</v>
      </c>
      <c r="D55" s="64">
        <v>60.99</v>
      </c>
      <c r="E55" s="64">
        <v>2.4300000000000002</v>
      </c>
      <c r="F55" s="64">
        <v>27.72</v>
      </c>
      <c r="G55" s="64">
        <v>122.93</v>
      </c>
      <c r="H55" s="64">
        <v>65.62</v>
      </c>
      <c r="I55" s="64">
        <v>1.54</v>
      </c>
      <c r="J55" s="64">
        <v>0.46</v>
      </c>
      <c r="K55" s="64">
        <v>343.73</v>
      </c>
      <c r="L55" s="64">
        <v>27.81</v>
      </c>
      <c r="M55" s="64">
        <v>38.229999999999997</v>
      </c>
      <c r="N55" s="64">
        <v>543.70000000000005</v>
      </c>
      <c r="O55" s="64">
        <v>0</v>
      </c>
      <c r="P55" s="64">
        <v>1.22</v>
      </c>
      <c r="Q55" s="64">
        <v>7.28</v>
      </c>
      <c r="R55" s="198"/>
      <c r="S55" s="198"/>
      <c r="T55" s="198"/>
      <c r="U55" s="198"/>
    </row>
    <row r="56" spans="1:21" s="12" customFormat="1" x14ac:dyDescent="0.25">
      <c r="A56" s="214" t="s">
        <v>2791</v>
      </c>
      <c r="B56" s="64">
        <v>14.66</v>
      </c>
      <c r="C56" s="64">
        <v>86.48</v>
      </c>
      <c r="D56" s="64">
        <v>60.13</v>
      </c>
      <c r="E56" s="64">
        <v>1.34</v>
      </c>
      <c r="F56" s="64">
        <v>31.27</v>
      </c>
      <c r="G56" s="64">
        <v>118.91</v>
      </c>
      <c r="H56" s="64">
        <v>64.709999999999994</v>
      </c>
      <c r="I56" s="64">
        <v>1.45</v>
      </c>
      <c r="J56" s="64">
        <v>0.6</v>
      </c>
      <c r="K56" s="64">
        <v>346.16</v>
      </c>
      <c r="L56" s="64">
        <v>28.21</v>
      </c>
      <c r="M56" s="64">
        <v>37.299999999999997</v>
      </c>
      <c r="N56" s="64">
        <v>549</v>
      </c>
      <c r="O56" s="64">
        <v>0</v>
      </c>
      <c r="P56" s="64">
        <v>1.1200000000000001</v>
      </c>
      <c r="Q56" s="64">
        <v>7.63</v>
      </c>
      <c r="R56" s="198"/>
      <c r="S56" s="198"/>
      <c r="T56" s="198"/>
      <c r="U56" s="198"/>
    </row>
    <row r="57" spans="1:21" s="12" customFormat="1" x14ac:dyDescent="0.25">
      <c r="A57" s="214" t="s">
        <v>2792</v>
      </c>
      <c r="B57" s="64">
        <v>12.82</v>
      </c>
      <c r="C57" s="64">
        <v>87.27</v>
      </c>
      <c r="D57" s="64">
        <v>59.09</v>
      </c>
      <c r="E57" s="64">
        <v>1.95</v>
      </c>
      <c r="F57" s="64">
        <v>28.11</v>
      </c>
      <c r="G57" s="64">
        <v>117.68</v>
      </c>
      <c r="H57" s="64">
        <v>64.709999999999994</v>
      </c>
      <c r="I57" s="64">
        <v>1.47</v>
      </c>
      <c r="J57" s="64">
        <v>0.56999999999999995</v>
      </c>
      <c r="K57" s="64">
        <v>338.68</v>
      </c>
      <c r="L57" s="64">
        <v>29</v>
      </c>
      <c r="M57" s="64">
        <v>35.520000000000003</v>
      </c>
      <c r="N57" s="64">
        <v>540.70000000000005</v>
      </c>
      <c r="O57" s="64">
        <v>0</v>
      </c>
      <c r="P57" s="64">
        <v>1.1499999999999999</v>
      </c>
      <c r="Q57" s="64">
        <v>7.55</v>
      </c>
      <c r="R57" s="198"/>
      <c r="S57" s="198"/>
      <c r="T57" s="198"/>
      <c r="U57" s="198"/>
    </row>
    <row r="58" spans="1:21" s="12" customFormat="1" x14ac:dyDescent="0.25">
      <c r="A58" s="214" t="s">
        <v>2793</v>
      </c>
      <c r="B58" s="64">
        <v>10.33</v>
      </c>
      <c r="C58" s="64">
        <v>88.53</v>
      </c>
      <c r="D58" s="64">
        <v>57.79</v>
      </c>
      <c r="E58" s="64">
        <v>1.97</v>
      </c>
      <c r="F58" s="64">
        <v>27.37</v>
      </c>
      <c r="G58" s="64">
        <v>117.68</v>
      </c>
      <c r="H58" s="64">
        <v>64.709999999999994</v>
      </c>
      <c r="I58" s="64">
        <v>1.56</v>
      </c>
      <c r="J58" s="64">
        <v>0.51</v>
      </c>
      <c r="K58" s="64">
        <v>347.83</v>
      </c>
      <c r="L58" s="64">
        <v>28.73</v>
      </c>
      <c r="M58" s="64">
        <v>35.5</v>
      </c>
      <c r="N58" s="64">
        <v>502.9</v>
      </c>
      <c r="O58" s="64">
        <v>0</v>
      </c>
      <c r="P58" s="64">
        <v>1.1100000000000001</v>
      </c>
      <c r="Q58" s="64">
        <v>7.54</v>
      </c>
      <c r="R58" s="198"/>
      <c r="S58" s="198"/>
      <c r="T58" s="198"/>
      <c r="U58" s="198"/>
    </row>
    <row r="59" spans="1:21" s="12" customFormat="1" x14ac:dyDescent="0.25">
      <c r="A59" s="214" t="s">
        <v>2794</v>
      </c>
      <c r="B59" s="64">
        <v>7.98</v>
      </c>
      <c r="C59" s="64">
        <v>89.64</v>
      </c>
      <c r="D59" s="64">
        <v>56.51</v>
      </c>
      <c r="E59" s="64">
        <v>1.49</v>
      </c>
      <c r="F59" s="64">
        <v>24.67</v>
      </c>
      <c r="G59" s="64">
        <v>117.68</v>
      </c>
      <c r="H59" s="64">
        <v>64.709999999999994</v>
      </c>
      <c r="I59" s="64">
        <v>1.5</v>
      </c>
      <c r="J59" s="64">
        <v>0.4</v>
      </c>
      <c r="K59" s="64">
        <v>348.09</v>
      </c>
      <c r="L59" s="64">
        <v>27.78</v>
      </c>
      <c r="M59" s="64">
        <v>37.549999999999997</v>
      </c>
      <c r="N59" s="64">
        <v>480.3</v>
      </c>
      <c r="O59" s="64">
        <v>0</v>
      </c>
      <c r="P59" s="64">
        <v>1.02</v>
      </c>
      <c r="Q59" s="64">
        <v>7.41</v>
      </c>
      <c r="R59" s="198"/>
      <c r="S59" s="198"/>
      <c r="T59" s="198"/>
      <c r="U59" s="198"/>
    </row>
    <row r="60" spans="1:21" s="12" customFormat="1" x14ac:dyDescent="0.25">
      <c r="A60" s="214" t="s">
        <v>2795</v>
      </c>
      <c r="B60" s="64">
        <v>6.02</v>
      </c>
      <c r="C60" s="64">
        <v>89.59</v>
      </c>
      <c r="D60" s="64">
        <v>54.92</v>
      </c>
      <c r="E60" s="64">
        <v>1.22</v>
      </c>
      <c r="F60" s="64">
        <v>15.43</v>
      </c>
      <c r="G60" s="64">
        <v>119.53</v>
      </c>
      <c r="H60" s="64">
        <v>63.35</v>
      </c>
      <c r="I60" s="64">
        <v>1.49</v>
      </c>
      <c r="J60" s="64">
        <v>0.17</v>
      </c>
      <c r="K60" s="64">
        <v>85.98</v>
      </c>
      <c r="L60" s="64">
        <v>26.66</v>
      </c>
      <c r="M60" s="64">
        <v>39.42</v>
      </c>
      <c r="N60" s="64">
        <v>474.6</v>
      </c>
      <c r="O60" s="64">
        <v>0</v>
      </c>
      <c r="P60" s="64">
        <v>1.03</v>
      </c>
      <c r="Q60" s="64">
        <v>7.44</v>
      </c>
      <c r="R60" s="198"/>
      <c r="S60" s="198"/>
      <c r="T60" s="198"/>
      <c r="U60" s="198"/>
    </row>
    <row r="61" spans="1:21" s="12" customFormat="1" x14ac:dyDescent="0.25">
      <c r="A61" s="214" t="s">
        <v>2796</v>
      </c>
      <c r="B61" s="64">
        <v>4.66</v>
      </c>
      <c r="C61" s="64">
        <v>88.76</v>
      </c>
      <c r="D61" s="64">
        <v>53.36</v>
      </c>
      <c r="E61" s="64">
        <v>1.1499999999999999</v>
      </c>
      <c r="F61" s="64">
        <v>16.48</v>
      </c>
      <c r="G61" s="64">
        <v>120.09</v>
      </c>
      <c r="H61" s="64">
        <v>63.35</v>
      </c>
      <c r="I61" s="64">
        <v>1.41</v>
      </c>
      <c r="J61" s="64">
        <v>0.31</v>
      </c>
      <c r="K61" s="64">
        <v>60.91</v>
      </c>
      <c r="L61" s="64">
        <v>25.87</v>
      </c>
      <c r="M61" s="64">
        <v>41.05</v>
      </c>
      <c r="N61" s="64">
        <v>439.2</v>
      </c>
      <c r="O61" s="64">
        <v>0</v>
      </c>
      <c r="P61" s="64">
        <v>1.05</v>
      </c>
      <c r="Q61" s="64">
        <v>7</v>
      </c>
      <c r="R61" s="198"/>
      <c r="S61" s="198"/>
      <c r="T61" s="198"/>
      <c r="U61" s="198"/>
    </row>
    <row r="62" spans="1:21" s="12" customFormat="1" x14ac:dyDescent="0.25">
      <c r="A62" s="214" t="s">
        <v>2797</v>
      </c>
      <c r="B62" s="64">
        <v>3.93</v>
      </c>
      <c r="C62" s="64">
        <v>87.54</v>
      </c>
      <c r="D62" s="64">
        <v>52.1</v>
      </c>
      <c r="E62" s="64">
        <v>1.26</v>
      </c>
      <c r="F62" s="64">
        <v>17.809999999999999</v>
      </c>
      <c r="G62" s="64">
        <v>120.09</v>
      </c>
      <c r="H62" s="64">
        <v>63.35</v>
      </c>
      <c r="I62" s="64">
        <v>1.41</v>
      </c>
      <c r="J62" s="64">
        <v>0.28999999999999998</v>
      </c>
      <c r="K62" s="64">
        <v>79.31</v>
      </c>
      <c r="L62" s="64">
        <v>26.14</v>
      </c>
      <c r="M62" s="64">
        <v>39.19</v>
      </c>
      <c r="N62" s="64">
        <v>456.6</v>
      </c>
      <c r="O62" s="64">
        <v>0</v>
      </c>
      <c r="P62" s="64">
        <v>1.05</v>
      </c>
      <c r="Q62" s="64">
        <v>6.54</v>
      </c>
      <c r="R62" s="198"/>
      <c r="S62" s="198"/>
      <c r="T62" s="198"/>
      <c r="U62" s="198"/>
    </row>
    <row r="63" spans="1:21" s="12" customFormat="1" x14ac:dyDescent="0.25">
      <c r="A63" s="214" t="s">
        <v>2798</v>
      </c>
      <c r="B63" s="64">
        <v>3.41</v>
      </c>
      <c r="C63" s="64">
        <v>85.9</v>
      </c>
      <c r="D63" s="64">
        <v>50.79</v>
      </c>
      <c r="E63" s="64">
        <v>0.74</v>
      </c>
      <c r="F63" s="64">
        <v>9.94</v>
      </c>
      <c r="G63" s="64">
        <v>120.09</v>
      </c>
      <c r="H63" s="64">
        <v>63.35</v>
      </c>
      <c r="I63" s="64">
        <v>1.45</v>
      </c>
      <c r="J63" s="64">
        <v>0.56999999999999995</v>
      </c>
      <c r="K63" s="64">
        <v>107.3</v>
      </c>
      <c r="L63" s="64">
        <v>24.63</v>
      </c>
      <c r="M63" s="64">
        <v>42.89</v>
      </c>
      <c r="N63" s="64">
        <v>420.5</v>
      </c>
      <c r="O63" s="64">
        <v>0</v>
      </c>
      <c r="P63" s="64">
        <v>0.97</v>
      </c>
      <c r="Q63" s="64">
        <v>6.79</v>
      </c>
      <c r="R63" s="198"/>
      <c r="S63" s="198"/>
      <c r="T63" s="198"/>
      <c r="U63" s="198"/>
    </row>
    <row r="64" spans="1:21" s="12" customFormat="1" x14ac:dyDescent="0.25">
      <c r="A64" s="214" t="s">
        <v>2799</v>
      </c>
      <c r="B64" s="64">
        <v>3.02</v>
      </c>
      <c r="C64" s="64">
        <v>83.57</v>
      </c>
      <c r="D64" s="64">
        <v>49.19</v>
      </c>
      <c r="E64" s="64">
        <v>0.85</v>
      </c>
      <c r="F64" s="64">
        <v>11.59</v>
      </c>
      <c r="G64" s="64">
        <v>111.42</v>
      </c>
      <c r="H64" s="64">
        <v>63.31</v>
      </c>
      <c r="I64" s="64">
        <v>1.44</v>
      </c>
      <c r="J64" s="64">
        <v>0.26</v>
      </c>
      <c r="K64" s="64">
        <v>25.25</v>
      </c>
      <c r="L64" s="64">
        <v>25.27</v>
      </c>
      <c r="M64" s="64">
        <v>40.39</v>
      </c>
      <c r="N64" s="64">
        <v>227.3</v>
      </c>
      <c r="O64" s="64">
        <v>0</v>
      </c>
      <c r="P64" s="64">
        <v>1.01</v>
      </c>
      <c r="Q64" s="64">
        <v>6.58</v>
      </c>
      <c r="R64" s="198"/>
      <c r="S64" s="198"/>
      <c r="T64" s="198"/>
      <c r="U64" s="198"/>
    </row>
    <row r="65" spans="1:21" s="12" customFormat="1" x14ac:dyDescent="0.25">
      <c r="A65" s="214" t="s">
        <v>2800</v>
      </c>
      <c r="B65" s="64">
        <v>3.29</v>
      </c>
      <c r="C65" s="64">
        <v>83.3</v>
      </c>
      <c r="D65" s="64">
        <v>49.26</v>
      </c>
      <c r="E65" s="64">
        <v>0.92</v>
      </c>
      <c r="F65" s="64">
        <v>12.72</v>
      </c>
      <c r="G65" s="64">
        <v>108.61</v>
      </c>
      <c r="H65" s="64">
        <v>63.31</v>
      </c>
      <c r="I65" s="64">
        <v>1.42</v>
      </c>
      <c r="J65" s="64">
        <v>0.32</v>
      </c>
      <c r="K65" s="64">
        <v>336.24</v>
      </c>
      <c r="L65" s="64">
        <v>27.11</v>
      </c>
      <c r="M65" s="64">
        <v>33.44</v>
      </c>
      <c r="N65" s="64">
        <v>202.5</v>
      </c>
      <c r="O65" s="64">
        <v>0</v>
      </c>
      <c r="P65" s="64">
        <v>1.02</v>
      </c>
      <c r="Q65" s="64">
        <v>5.77</v>
      </c>
      <c r="R65" s="198"/>
      <c r="S65" s="198"/>
      <c r="T65" s="198"/>
      <c r="U65" s="198"/>
    </row>
    <row r="66" spans="1:21" s="12" customFormat="1" x14ac:dyDescent="0.25">
      <c r="A66" s="214" t="s">
        <v>2801</v>
      </c>
      <c r="B66" s="64">
        <v>3.7</v>
      </c>
      <c r="C66" s="64">
        <v>84.09</v>
      </c>
      <c r="D66" s="64">
        <v>50.02</v>
      </c>
      <c r="E66" s="64">
        <v>1.3</v>
      </c>
      <c r="F66" s="64">
        <v>23.43</v>
      </c>
      <c r="G66" s="64">
        <v>108.61</v>
      </c>
      <c r="H66" s="64">
        <v>63.31</v>
      </c>
      <c r="I66" s="64">
        <v>1.53</v>
      </c>
      <c r="J66" s="64">
        <v>0.64</v>
      </c>
      <c r="K66" s="64">
        <v>337.25</v>
      </c>
      <c r="L66" s="64">
        <v>27.6</v>
      </c>
      <c r="M66" s="64">
        <v>33.64</v>
      </c>
      <c r="N66" s="64">
        <v>191.4</v>
      </c>
      <c r="O66" s="64">
        <v>0</v>
      </c>
      <c r="P66" s="64">
        <v>1</v>
      </c>
      <c r="Q66" s="64">
        <v>5.66</v>
      </c>
      <c r="R66" s="198"/>
      <c r="S66" s="198"/>
      <c r="T66" s="198"/>
      <c r="U66" s="198"/>
    </row>
    <row r="67" spans="1:21" s="12" customFormat="1" x14ac:dyDescent="0.25">
      <c r="A67" s="214" t="s">
        <v>2802</v>
      </c>
      <c r="B67" s="64">
        <v>3.69</v>
      </c>
      <c r="C67" s="64">
        <v>84.64</v>
      </c>
      <c r="D67" s="64">
        <v>50.32</v>
      </c>
      <c r="E67" s="64">
        <v>1.88</v>
      </c>
      <c r="F67" s="64">
        <v>19.52</v>
      </c>
      <c r="G67" s="64">
        <v>108.61</v>
      </c>
      <c r="H67" s="64">
        <v>63.31</v>
      </c>
      <c r="I67" s="64">
        <v>1.52</v>
      </c>
      <c r="J67" s="64">
        <v>0.36</v>
      </c>
      <c r="K67" s="64">
        <v>3.23</v>
      </c>
      <c r="L67" s="64">
        <v>27.16</v>
      </c>
      <c r="M67" s="64">
        <v>33.5</v>
      </c>
      <c r="N67" s="64">
        <v>190.7</v>
      </c>
      <c r="O67" s="64">
        <v>0</v>
      </c>
      <c r="P67" s="64">
        <v>1.03</v>
      </c>
      <c r="Q67" s="64">
        <v>5.46</v>
      </c>
      <c r="R67" s="198"/>
      <c r="S67" s="198"/>
      <c r="T67" s="198"/>
      <c r="U67" s="198"/>
    </row>
    <row r="68" spans="1:21" s="12" customFormat="1" x14ac:dyDescent="0.25">
      <c r="A68" s="214" t="s">
        <v>2803</v>
      </c>
      <c r="B68" s="64">
        <v>3.27</v>
      </c>
      <c r="C68" s="64">
        <v>83.93</v>
      </c>
      <c r="D68" s="64">
        <v>49.59</v>
      </c>
      <c r="E68" s="64">
        <v>0.76</v>
      </c>
      <c r="F68" s="64">
        <v>10.74</v>
      </c>
      <c r="G68" s="64">
        <v>105.82</v>
      </c>
      <c r="H68" s="64">
        <v>62.41</v>
      </c>
      <c r="I68" s="64">
        <v>1.48</v>
      </c>
      <c r="J68" s="64">
        <v>0.27</v>
      </c>
      <c r="K68" s="64">
        <v>333.26</v>
      </c>
      <c r="L68" s="64">
        <v>26.35</v>
      </c>
      <c r="M68" s="64">
        <v>35.409999999999997</v>
      </c>
      <c r="N68" s="64">
        <v>188</v>
      </c>
      <c r="O68" s="64">
        <v>0</v>
      </c>
      <c r="P68" s="64">
        <v>0.98</v>
      </c>
      <c r="Q68" s="64">
        <v>6.29</v>
      </c>
      <c r="R68" s="198"/>
      <c r="S68" s="198"/>
      <c r="T68" s="198"/>
      <c r="U68" s="198"/>
    </row>
    <row r="69" spans="1:21" s="12" customFormat="1" x14ac:dyDescent="0.25">
      <c r="A69" s="214" t="s">
        <v>2804</v>
      </c>
      <c r="B69" s="64">
        <v>3.02</v>
      </c>
      <c r="C69" s="64">
        <v>83.1</v>
      </c>
      <c r="D69" s="64">
        <v>48.93</v>
      </c>
      <c r="E69" s="64">
        <v>0.91</v>
      </c>
      <c r="F69" s="64">
        <v>8.31</v>
      </c>
      <c r="G69" s="64">
        <v>104.97</v>
      </c>
      <c r="H69" s="64">
        <v>62.41</v>
      </c>
      <c r="I69" s="64">
        <v>1.52</v>
      </c>
      <c r="J69" s="64">
        <v>0.1</v>
      </c>
      <c r="K69" s="64">
        <v>8.76</v>
      </c>
      <c r="L69" s="64">
        <v>25.65</v>
      </c>
      <c r="M69" s="64">
        <v>36.29</v>
      </c>
      <c r="N69" s="64">
        <v>146.4</v>
      </c>
      <c r="O69" s="64">
        <v>0</v>
      </c>
      <c r="P69" s="64">
        <v>1</v>
      </c>
      <c r="Q69" s="64">
        <v>6.22</v>
      </c>
      <c r="R69" s="198"/>
      <c r="S69" s="198"/>
      <c r="T69" s="198"/>
      <c r="U69" s="198"/>
    </row>
    <row r="70" spans="1:21" s="12" customFormat="1" x14ac:dyDescent="0.25">
      <c r="A70" s="214" t="s">
        <v>2805</v>
      </c>
      <c r="B70" s="64">
        <v>2.82</v>
      </c>
      <c r="C70" s="64">
        <v>81.709999999999994</v>
      </c>
      <c r="D70" s="64">
        <v>48</v>
      </c>
      <c r="E70" s="64">
        <v>0.71</v>
      </c>
      <c r="F70" s="64">
        <v>10.41</v>
      </c>
      <c r="G70" s="64">
        <v>104.97</v>
      </c>
      <c r="H70" s="64">
        <v>62.41</v>
      </c>
      <c r="I70" s="64">
        <v>1.45</v>
      </c>
      <c r="J70" s="64">
        <v>0.34</v>
      </c>
      <c r="K70" s="64">
        <v>332.33</v>
      </c>
      <c r="L70" s="64">
        <v>25.31</v>
      </c>
      <c r="M70" s="64">
        <v>37.79</v>
      </c>
      <c r="N70" s="64">
        <v>132.5</v>
      </c>
      <c r="O70" s="64">
        <v>0</v>
      </c>
      <c r="P70" s="64">
        <v>0.96</v>
      </c>
      <c r="Q70" s="64">
        <v>5.97</v>
      </c>
      <c r="R70" s="198"/>
      <c r="S70" s="198"/>
      <c r="T70" s="198"/>
      <c r="U70" s="198"/>
    </row>
    <row r="71" spans="1:21" s="12" customFormat="1" x14ac:dyDescent="0.25">
      <c r="A71" s="214" t="s">
        <v>2806</v>
      </c>
      <c r="B71" s="64">
        <v>3.12</v>
      </c>
      <c r="C71" s="64">
        <v>82.24</v>
      </c>
      <c r="D71" s="64">
        <v>48.53</v>
      </c>
      <c r="E71" s="64">
        <v>1.77</v>
      </c>
      <c r="F71" s="64">
        <v>25.95</v>
      </c>
      <c r="G71" s="64">
        <v>104.97</v>
      </c>
      <c r="H71" s="64">
        <v>62.41</v>
      </c>
      <c r="I71" s="64">
        <v>1.45</v>
      </c>
      <c r="J71" s="64">
        <v>0.67</v>
      </c>
      <c r="K71" s="64">
        <v>339.31</v>
      </c>
      <c r="L71" s="64">
        <v>25.32</v>
      </c>
      <c r="M71" s="64">
        <v>36.47</v>
      </c>
      <c r="N71" s="64">
        <v>120.1</v>
      </c>
      <c r="O71" s="64">
        <v>0</v>
      </c>
      <c r="P71" s="64">
        <v>0.96</v>
      </c>
      <c r="Q71" s="64">
        <v>5.01</v>
      </c>
      <c r="R71" s="198"/>
      <c r="S71" s="198"/>
      <c r="T71" s="198"/>
      <c r="U71" s="198"/>
    </row>
    <row r="72" spans="1:21" s="12" customFormat="1" x14ac:dyDescent="0.25">
      <c r="A72" s="214" t="s">
        <v>2807</v>
      </c>
      <c r="B72" s="64">
        <v>3.37</v>
      </c>
      <c r="C72" s="64">
        <v>82.86</v>
      </c>
      <c r="D72" s="64">
        <v>49.08</v>
      </c>
      <c r="E72" s="64">
        <v>2.1</v>
      </c>
      <c r="F72" s="64">
        <v>31.8</v>
      </c>
      <c r="G72" s="64">
        <v>102.89</v>
      </c>
      <c r="H72" s="64">
        <v>59.74</v>
      </c>
      <c r="I72" s="64">
        <v>1.48</v>
      </c>
      <c r="J72" s="64">
        <v>0.6</v>
      </c>
      <c r="K72" s="64">
        <v>328.55</v>
      </c>
      <c r="L72" s="64">
        <v>25.07</v>
      </c>
      <c r="M72" s="64">
        <v>35.619999999999997</v>
      </c>
      <c r="N72" s="64">
        <v>105</v>
      </c>
      <c r="O72" s="64">
        <v>0</v>
      </c>
      <c r="P72" s="64">
        <v>0.94</v>
      </c>
      <c r="Q72" s="64">
        <v>4.72</v>
      </c>
      <c r="R72" s="198"/>
      <c r="S72" s="198"/>
      <c r="T72" s="198"/>
      <c r="U72" s="198"/>
    </row>
    <row r="73" spans="1:21" s="12" customFormat="1" x14ac:dyDescent="0.25">
      <c r="A73" s="214" t="s">
        <v>2808</v>
      </c>
      <c r="B73" s="64">
        <v>3.67</v>
      </c>
      <c r="C73" s="64">
        <v>82.34</v>
      </c>
      <c r="D73" s="64">
        <v>49.03</v>
      </c>
      <c r="E73" s="64">
        <v>4.3600000000000003</v>
      </c>
      <c r="F73" s="64">
        <v>34.590000000000003</v>
      </c>
      <c r="G73" s="64">
        <v>102.25</v>
      </c>
      <c r="H73" s="64">
        <v>59.74</v>
      </c>
      <c r="I73" s="64">
        <v>1.54</v>
      </c>
      <c r="J73" s="64">
        <v>0.79</v>
      </c>
      <c r="K73" s="64">
        <v>343.32</v>
      </c>
      <c r="L73" s="64">
        <v>24.62</v>
      </c>
      <c r="M73" s="64">
        <v>37.659999999999997</v>
      </c>
      <c r="N73" s="64">
        <v>91</v>
      </c>
      <c r="O73" s="64">
        <v>0</v>
      </c>
      <c r="P73" s="64">
        <v>1.05</v>
      </c>
      <c r="Q73" s="64">
        <v>4.37</v>
      </c>
      <c r="R73" s="198"/>
      <c r="S73" s="198"/>
      <c r="T73" s="198"/>
      <c r="U73" s="198"/>
    </row>
    <row r="74" spans="1:21" s="12" customFormat="1" x14ac:dyDescent="0.25">
      <c r="A74" s="214" t="s">
        <v>2809</v>
      </c>
      <c r="B74" s="64">
        <v>4.09</v>
      </c>
      <c r="C74" s="64">
        <v>81.84</v>
      </c>
      <c r="D74" s="64">
        <v>49.09</v>
      </c>
      <c r="E74" s="64">
        <v>4.3600000000000003</v>
      </c>
      <c r="F74" s="64">
        <v>28.04</v>
      </c>
      <c r="G74" s="64">
        <v>102.25</v>
      </c>
      <c r="H74" s="64">
        <v>59.74</v>
      </c>
      <c r="I74" s="64">
        <v>1.5</v>
      </c>
      <c r="J74" s="64">
        <v>0.86</v>
      </c>
      <c r="K74" s="64">
        <v>341.45</v>
      </c>
      <c r="L74" s="64">
        <v>24.12</v>
      </c>
      <c r="M74" s="64">
        <v>38.15</v>
      </c>
      <c r="N74" s="64">
        <v>78</v>
      </c>
      <c r="O74" s="64">
        <v>0</v>
      </c>
      <c r="P74" s="64">
        <v>1.04</v>
      </c>
      <c r="Q74" s="64">
        <v>3.44</v>
      </c>
      <c r="R74" s="198"/>
      <c r="S74" s="198"/>
      <c r="T74" s="198"/>
      <c r="U74" s="198"/>
    </row>
    <row r="75" spans="1:21" s="12" customFormat="1" x14ac:dyDescent="0.25">
      <c r="A75" s="214" t="s">
        <v>2810</v>
      </c>
      <c r="B75" s="64">
        <v>4.55</v>
      </c>
      <c r="C75" s="64">
        <v>81.739999999999995</v>
      </c>
      <c r="D75" s="64">
        <v>49.4</v>
      </c>
      <c r="E75" s="64">
        <v>4.1399999999999997</v>
      </c>
      <c r="F75" s="64">
        <v>31.24</v>
      </c>
      <c r="G75" s="64">
        <v>102.25</v>
      </c>
      <c r="H75" s="64">
        <v>59.74</v>
      </c>
      <c r="I75" s="64">
        <v>1.51</v>
      </c>
      <c r="J75" s="64">
        <v>0.76</v>
      </c>
      <c r="K75" s="64">
        <v>338.77</v>
      </c>
      <c r="L75" s="64">
        <v>23.57</v>
      </c>
      <c r="M75" s="64">
        <v>38.82</v>
      </c>
      <c r="N75" s="64">
        <v>65.5</v>
      </c>
      <c r="O75" s="64">
        <v>0</v>
      </c>
      <c r="P75" s="64">
        <v>1.1499999999999999</v>
      </c>
      <c r="Q75" s="64">
        <v>4.2</v>
      </c>
      <c r="R75" s="198"/>
      <c r="S75" s="198"/>
      <c r="T75" s="198"/>
      <c r="U75" s="198"/>
    </row>
    <row r="76" spans="1:21" s="12" customFormat="1" x14ac:dyDescent="0.25">
      <c r="A76" s="214" t="s">
        <v>2811</v>
      </c>
      <c r="B76" s="64">
        <v>4.95</v>
      </c>
      <c r="C76" s="64">
        <v>81.61</v>
      </c>
      <c r="D76" s="64">
        <v>49.66</v>
      </c>
      <c r="E76" s="64">
        <v>3.34</v>
      </c>
      <c r="F76" s="64">
        <v>13.38</v>
      </c>
      <c r="G76" s="64">
        <v>102.31</v>
      </c>
      <c r="H76" s="64">
        <v>57.73</v>
      </c>
      <c r="I76" s="64">
        <v>1.49</v>
      </c>
      <c r="J76" s="64">
        <v>0.25</v>
      </c>
      <c r="K76" s="64">
        <v>343.97</v>
      </c>
      <c r="L76" s="64">
        <v>22.94</v>
      </c>
      <c r="M76" s="64">
        <v>40.950000000000003</v>
      </c>
      <c r="N76" s="64">
        <v>53.7</v>
      </c>
      <c r="O76" s="64">
        <v>0</v>
      </c>
      <c r="P76" s="64">
        <v>1.33</v>
      </c>
      <c r="Q76" s="64">
        <v>2.83</v>
      </c>
      <c r="R76" s="198"/>
      <c r="S76" s="198"/>
      <c r="T76" s="198"/>
      <c r="U76" s="198"/>
    </row>
    <row r="77" spans="1:21" s="12" customFormat="1" x14ac:dyDescent="0.25">
      <c r="A77" s="214" t="s">
        <v>2812</v>
      </c>
      <c r="B77" s="64">
        <v>6.08</v>
      </c>
      <c r="C77" s="64">
        <v>82.35</v>
      </c>
      <c r="D77" s="64">
        <v>50.97</v>
      </c>
      <c r="E77" s="64">
        <v>2.2200000000000002</v>
      </c>
      <c r="F77" s="64">
        <v>5.74</v>
      </c>
      <c r="G77" s="64">
        <v>102.33</v>
      </c>
      <c r="H77" s="64">
        <v>57.73</v>
      </c>
      <c r="I77" s="64">
        <v>1.52</v>
      </c>
      <c r="J77" s="64">
        <v>0.08</v>
      </c>
      <c r="K77" s="64">
        <v>349.35</v>
      </c>
      <c r="L77" s="64">
        <v>21.96</v>
      </c>
      <c r="M77" s="64">
        <v>47.62</v>
      </c>
      <c r="N77" s="64">
        <v>43.7</v>
      </c>
      <c r="O77" s="64">
        <v>0</v>
      </c>
      <c r="P77" s="64">
        <v>1.81</v>
      </c>
      <c r="Q77" s="64">
        <v>1.1100000000000001</v>
      </c>
      <c r="R77" s="198"/>
      <c r="S77" s="198"/>
      <c r="T77" s="198"/>
      <c r="U77" s="198"/>
    </row>
    <row r="78" spans="1:21" s="12" customFormat="1" x14ac:dyDescent="0.25">
      <c r="A78" s="214" t="s">
        <v>2813</v>
      </c>
      <c r="B78" s="64">
        <v>7.87</v>
      </c>
      <c r="C78" s="64">
        <v>83.64</v>
      </c>
      <c r="D78" s="64">
        <v>53.11</v>
      </c>
      <c r="E78" s="64">
        <v>2.02</v>
      </c>
      <c r="F78" s="64">
        <v>4.96</v>
      </c>
      <c r="G78" s="64">
        <v>102.33</v>
      </c>
      <c r="H78" s="64">
        <v>57.73</v>
      </c>
      <c r="I78" s="64">
        <v>1.45</v>
      </c>
      <c r="J78" s="64">
        <v>0.04</v>
      </c>
      <c r="K78" s="64">
        <v>315.04000000000002</v>
      </c>
      <c r="L78" s="64">
        <v>20.93</v>
      </c>
      <c r="M78" s="64">
        <v>52.77</v>
      </c>
      <c r="N78" s="64">
        <v>38.5</v>
      </c>
      <c r="O78" s="64">
        <v>0</v>
      </c>
      <c r="P78" s="64">
        <v>2.02</v>
      </c>
      <c r="Q78" s="64">
        <v>1.71</v>
      </c>
      <c r="R78" s="198"/>
      <c r="S78" s="198"/>
      <c r="T78" s="198"/>
      <c r="U78" s="198"/>
    </row>
    <row r="79" spans="1:21" s="12" customFormat="1" x14ac:dyDescent="0.25">
      <c r="A79" s="214" t="s">
        <v>2814</v>
      </c>
      <c r="B79" s="64">
        <v>9.4499999999999993</v>
      </c>
      <c r="C79" s="64">
        <v>85.14</v>
      </c>
      <c r="D79" s="64">
        <v>55.21</v>
      </c>
      <c r="E79" s="64">
        <v>1.93</v>
      </c>
      <c r="F79" s="64">
        <v>4.4000000000000004</v>
      </c>
      <c r="G79" s="64">
        <v>102.33</v>
      </c>
      <c r="H79" s="64">
        <v>57.73</v>
      </c>
      <c r="I79" s="64">
        <v>1.57</v>
      </c>
      <c r="J79" s="64">
        <v>0.1</v>
      </c>
      <c r="K79" s="64">
        <v>246.44</v>
      </c>
      <c r="L79" s="64">
        <v>20.18</v>
      </c>
      <c r="M79" s="64">
        <v>56.21</v>
      </c>
      <c r="N79" s="64">
        <v>37</v>
      </c>
      <c r="O79" s="64">
        <v>0</v>
      </c>
      <c r="P79" s="64">
        <v>1.91</v>
      </c>
      <c r="Q79" s="64">
        <v>2.04</v>
      </c>
      <c r="R79" s="198"/>
      <c r="S79" s="198"/>
      <c r="T79" s="198"/>
      <c r="U79" s="198"/>
    </row>
    <row r="80" spans="1:21" s="12" customFormat="1" x14ac:dyDescent="0.25">
      <c r="A80" s="214" t="s">
        <v>2815</v>
      </c>
      <c r="B80" s="64">
        <v>11.34</v>
      </c>
      <c r="C80" s="64">
        <v>86.15</v>
      </c>
      <c r="D80" s="64">
        <v>57.28</v>
      </c>
      <c r="E80" s="64">
        <v>1.82</v>
      </c>
      <c r="F80" s="64">
        <v>4.2300000000000004</v>
      </c>
      <c r="G80" s="64">
        <v>124.04</v>
      </c>
      <c r="H80" s="64">
        <v>72.19</v>
      </c>
      <c r="I80" s="64">
        <v>1.53</v>
      </c>
      <c r="J80" s="64">
        <v>0.15</v>
      </c>
      <c r="K80" s="64">
        <v>109.23</v>
      </c>
      <c r="L80" s="64">
        <v>19.559999999999999</v>
      </c>
      <c r="M80" s="64">
        <v>60.06</v>
      </c>
      <c r="N80" s="64">
        <v>36.6</v>
      </c>
      <c r="O80" s="64">
        <v>0</v>
      </c>
      <c r="P80" s="64">
        <v>1.7</v>
      </c>
      <c r="Q80" s="64">
        <v>0.72</v>
      </c>
      <c r="R80" s="198"/>
      <c r="S80" s="198"/>
      <c r="T80" s="198"/>
      <c r="U80" s="198"/>
    </row>
    <row r="81" spans="1:26" s="12" customFormat="1" x14ac:dyDescent="0.25">
      <c r="A81" s="214" t="s">
        <v>2816</v>
      </c>
      <c r="B81" s="64">
        <v>16.32</v>
      </c>
      <c r="C81" s="64">
        <v>88.44</v>
      </c>
      <c r="D81" s="64">
        <v>62.54</v>
      </c>
      <c r="E81" s="64">
        <v>1.87</v>
      </c>
      <c r="F81" s="64">
        <v>3.89</v>
      </c>
      <c r="G81" s="64">
        <v>130.63999999999999</v>
      </c>
      <c r="H81" s="64">
        <v>72.19</v>
      </c>
      <c r="I81" s="64">
        <v>1.52</v>
      </c>
      <c r="J81" s="64">
        <v>0.04</v>
      </c>
      <c r="K81" s="64">
        <v>142.65</v>
      </c>
      <c r="L81" s="64">
        <v>18.88</v>
      </c>
      <c r="M81" s="64">
        <v>63.18</v>
      </c>
      <c r="N81" s="64">
        <v>36.6</v>
      </c>
      <c r="O81" s="64">
        <v>0</v>
      </c>
      <c r="P81" s="64">
        <v>1.87</v>
      </c>
      <c r="Q81" s="64">
        <v>0.41</v>
      </c>
      <c r="R81" s="198"/>
      <c r="S81" s="198"/>
      <c r="T81" s="198"/>
      <c r="U81" s="198"/>
    </row>
    <row r="82" spans="1:26" s="12" customFormat="1" x14ac:dyDescent="0.25">
      <c r="A82" s="214" t="s">
        <v>2817</v>
      </c>
      <c r="B82" s="64">
        <v>25.19</v>
      </c>
      <c r="C82" s="64">
        <v>90.85</v>
      </c>
      <c r="D82" s="64">
        <v>70.989999999999995</v>
      </c>
      <c r="E82" s="64">
        <v>2.06</v>
      </c>
      <c r="F82" s="64">
        <v>3.78</v>
      </c>
      <c r="G82" s="64">
        <v>130.63999999999999</v>
      </c>
      <c r="H82" s="64">
        <v>72.19</v>
      </c>
      <c r="I82" s="64">
        <v>1.54</v>
      </c>
      <c r="J82" s="64">
        <v>0.04</v>
      </c>
      <c r="K82" s="64">
        <v>276.12</v>
      </c>
      <c r="L82" s="64">
        <v>18.37</v>
      </c>
      <c r="M82" s="64">
        <v>68.209999999999994</v>
      </c>
      <c r="N82" s="64">
        <v>36.4</v>
      </c>
      <c r="O82" s="64">
        <v>0</v>
      </c>
      <c r="P82" s="64">
        <v>2.27</v>
      </c>
      <c r="Q82" s="6" t="s">
        <v>42</v>
      </c>
      <c r="R82" s="198"/>
      <c r="S82" s="198"/>
      <c r="T82" s="198"/>
      <c r="U82" s="198"/>
    </row>
    <row r="83" spans="1:26" s="12" customFormat="1" x14ac:dyDescent="0.25">
      <c r="A83" s="214" t="s">
        <v>2818</v>
      </c>
      <c r="B83" s="64">
        <v>35.799999999999997</v>
      </c>
      <c r="C83" s="64">
        <v>93.39</v>
      </c>
      <c r="D83" s="64">
        <v>80.89</v>
      </c>
      <c r="E83" s="64">
        <v>1.84</v>
      </c>
      <c r="F83" s="64">
        <v>3.82</v>
      </c>
      <c r="G83" s="64">
        <v>130.63999999999999</v>
      </c>
      <c r="H83" s="64">
        <v>72.19</v>
      </c>
      <c r="I83" s="64">
        <v>1.51</v>
      </c>
      <c r="J83" s="64">
        <v>0.05</v>
      </c>
      <c r="K83" s="64">
        <v>283.04000000000002</v>
      </c>
      <c r="L83" s="64">
        <v>17.97</v>
      </c>
      <c r="M83" s="64">
        <v>72.52</v>
      </c>
      <c r="N83" s="64">
        <v>36.6</v>
      </c>
      <c r="O83" s="64">
        <v>0</v>
      </c>
      <c r="P83" s="64">
        <v>2.63</v>
      </c>
      <c r="Q83" s="64">
        <v>0.45</v>
      </c>
      <c r="R83" s="198"/>
      <c r="S83" s="198"/>
      <c r="T83" s="198"/>
      <c r="U83" s="198"/>
    </row>
    <row r="84" spans="1:26" s="12" customFormat="1" x14ac:dyDescent="0.25">
      <c r="A84" s="214" t="s">
        <v>2819</v>
      </c>
      <c r="B84" s="64">
        <v>43.33</v>
      </c>
      <c r="C84" s="64">
        <v>94.96</v>
      </c>
      <c r="D84" s="64">
        <v>87.8</v>
      </c>
      <c r="E84" s="64">
        <v>1.82</v>
      </c>
      <c r="F84" s="64">
        <v>3.73</v>
      </c>
      <c r="G84" s="64">
        <v>130.63999999999999</v>
      </c>
      <c r="H84" s="64">
        <v>93</v>
      </c>
      <c r="I84" s="64">
        <v>1.42</v>
      </c>
      <c r="J84" s="64">
        <v>7.0000000000000007E-2</v>
      </c>
      <c r="K84" s="64">
        <v>337.24</v>
      </c>
      <c r="L84" s="64">
        <v>17.510000000000002</v>
      </c>
      <c r="M84" s="64">
        <v>78.08</v>
      </c>
      <c r="N84" s="64">
        <v>36.299999999999997</v>
      </c>
      <c r="O84" s="64">
        <v>0</v>
      </c>
      <c r="P84" s="64">
        <v>2.69</v>
      </c>
      <c r="Q84" s="64">
        <v>0.25</v>
      </c>
      <c r="R84" s="198"/>
      <c r="S84" s="198"/>
      <c r="T84" s="198"/>
      <c r="U84" s="198"/>
    </row>
    <row r="85" spans="1:26" s="12" customFormat="1" x14ac:dyDescent="0.25">
      <c r="A85" s="214" t="s">
        <v>2820</v>
      </c>
      <c r="B85" s="64">
        <v>50.83</v>
      </c>
      <c r="C85" s="64">
        <v>95.6</v>
      </c>
      <c r="D85" s="64">
        <v>94.17</v>
      </c>
      <c r="E85" s="64">
        <v>1.37</v>
      </c>
      <c r="F85" s="64">
        <v>3.88</v>
      </c>
      <c r="G85" s="64">
        <v>337.37</v>
      </c>
      <c r="H85" s="64">
        <v>93</v>
      </c>
      <c r="I85" s="64">
        <v>1.51</v>
      </c>
      <c r="J85" s="64">
        <v>0.02</v>
      </c>
      <c r="K85" s="64">
        <v>261.57</v>
      </c>
      <c r="L85" s="64">
        <v>17.41</v>
      </c>
      <c r="M85" s="64">
        <v>83.65</v>
      </c>
      <c r="N85" s="64">
        <v>36.200000000000003</v>
      </c>
      <c r="O85" s="64">
        <v>0</v>
      </c>
      <c r="P85" s="64">
        <v>2.97</v>
      </c>
      <c r="Q85" s="64">
        <v>2.58</v>
      </c>
      <c r="R85" s="198"/>
      <c r="S85" s="198"/>
      <c r="T85" s="198"/>
      <c r="U85" s="198"/>
    </row>
    <row r="86" spans="1:26" s="12" customFormat="1" x14ac:dyDescent="0.25">
      <c r="A86" s="214" t="s">
        <v>2821</v>
      </c>
      <c r="B86" s="64">
        <v>62.06</v>
      </c>
      <c r="C86" s="64">
        <v>97.11</v>
      </c>
      <c r="D86" s="64">
        <v>104.01</v>
      </c>
      <c r="E86" s="64">
        <v>1.29</v>
      </c>
      <c r="F86" s="64">
        <v>3.8</v>
      </c>
      <c r="G86" s="64">
        <v>337.37</v>
      </c>
      <c r="H86" s="64">
        <v>93</v>
      </c>
      <c r="I86" s="64">
        <v>1.48</v>
      </c>
      <c r="J86" s="64">
        <v>0.1</v>
      </c>
      <c r="K86" s="64">
        <v>329.85</v>
      </c>
      <c r="L86" s="64">
        <v>17.21</v>
      </c>
      <c r="M86" s="64">
        <v>84.64</v>
      </c>
      <c r="N86" s="64">
        <v>36.1</v>
      </c>
      <c r="O86" s="64">
        <v>0</v>
      </c>
      <c r="P86" s="64">
        <v>3.33</v>
      </c>
      <c r="Q86" s="64">
        <v>2.2799999999999998</v>
      </c>
      <c r="R86" s="198"/>
      <c r="S86" s="198"/>
      <c r="T86" s="198"/>
      <c r="U86" s="198"/>
    </row>
    <row r="87" spans="1:26" s="12" customFormat="1" x14ac:dyDescent="0.25">
      <c r="A87" s="214" t="s">
        <v>2822</v>
      </c>
      <c r="B87" s="64">
        <v>79.16</v>
      </c>
      <c r="C87" s="64">
        <v>99.66</v>
      </c>
      <c r="D87" s="64">
        <v>119.12</v>
      </c>
      <c r="E87" s="64">
        <v>1.38</v>
      </c>
      <c r="F87" s="64">
        <v>4.1100000000000003</v>
      </c>
      <c r="G87" s="64">
        <v>337.37</v>
      </c>
      <c r="H87" s="64">
        <v>93</v>
      </c>
      <c r="I87" s="64">
        <v>1.54</v>
      </c>
      <c r="J87" s="64">
        <v>0.13</v>
      </c>
      <c r="K87" s="64">
        <v>321.83999999999997</v>
      </c>
      <c r="L87" s="64">
        <v>16.940000000000001</v>
      </c>
      <c r="M87" s="64">
        <v>89.8</v>
      </c>
      <c r="N87" s="64">
        <v>36.200000000000003</v>
      </c>
      <c r="O87" s="64">
        <v>0</v>
      </c>
      <c r="P87" s="64">
        <v>4.33</v>
      </c>
      <c r="Q87" s="64">
        <v>3.09</v>
      </c>
      <c r="R87" s="198"/>
      <c r="S87" s="198"/>
      <c r="T87" s="198"/>
      <c r="U87" s="198"/>
    </row>
    <row r="88" spans="1:26" s="12" customFormat="1" x14ac:dyDescent="0.25">
      <c r="A88" s="214" t="s">
        <v>2823</v>
      </c>
      <c r="B88" s="64">
        <v>93.44</v>
      </c>
      <c r="C88" s="64">
        <v>101.79</v>
      </c>
      <c r="D88" s="64">
        <v>131.76</v>
      </c>
      <c r="E88" s="64">
        <v>0.76</v>
      </c>
      <c r="F88" s="64">
        <v>3.9</v>
      </c>
      <c r="G88" s="64">
        <v>395.5</v>
      </c>
      <c r="H88" s="64">
        <v>117.65</v>
      </c>
      <c r="I88" s="64">
        <v>1.48</v>
      </c>
      <c r="J88" s="64">
        <v>0.01</v>
      </c>
      <c r="K88" s="64">
        <v>181.91</v>
      </c>
      <c r="L88" s="64">
        <v>16.79</v>
      </c>
      <c r="M88" s="64">
        <v>88.16</v>
      </c>
      <c r="N88" s="64">
        <v>36.299999999999997</v>
      </c>
      <c r="O88" s="64">
        <v>0</v>
      </c>
      <c r="P88" s="64">
        <v>4.57</v>
      </c>
      <c r="Q88" s="64">
        <v>2.36</v>
      </c>
      <c r="R88" s="198"/>
      <c r="S88" s="198"/>
      <c r="T88" s="198"/>
      <c r="U88" s="198"/>
    </row>
    <row r="89" spans="1:26" s="12" customFormat="1" x14ac:dyDescent="0.25">
      <c r="A89" s="214" t="s">
        <v>2824</v>
      </c>
      <c r="B89" s="64">
        <v>112.09</v>
      </c>
      <c r="C89" s="64">
        <v>104.27</v>
      </c>
      <c r="D89" s="64">
        <v>148.08000000000001</v>
      </c>
      <c r="E89" s="64">
        <v>1.36</v>
      </c>
      <c r="F89" s="64">
        <v>4</v>
      </c>
      <c r="G89" s="64">
        <v>413.19</v>
      </c>
      <c r="H89" s="64">
        <v>117.65</v>
      </c>
      <c r="I89" s="64">
        <v>1.45</v>
      </c>
      <c r="J89" s="64">
        <v>0.1</v>
      </c>
      <c r="K89" s="64">
        <v>311.01</v>
      </c>
      <c r="L89" s="64">
        <v>16.71</v>
      </c>
      <c r="M89" s="64">
        <v>88.68</v>
      </c>
      <c r="N89" s="64">
        <v>36.1</v>
      </c>
      <c r="O89" s="64">
        <v>0</v>
      </c>
      <c r="P89" s="64">
        <v>4.37</v>
      </c>
      <c r="Q89" s="64">
        <v>2.33</v>
      </c>
      <c r="R89" s="198"/>
      <c r="S89" s="198"/>
      <c r="T89" s="198"/>
      <c r="U89" s="198"/>
    </row>
    <row r="90" spans="1:26" s="12" customFormat="1" x14ac:dyDescent="0.25">
      <c r="A90" s="214" t="s">
        <v>2825</v>
      </c>
      <c r="B90" s="64">
        <v>130.49</v>
      </c>
      <c r="C90" s="64">
        <v>106.55</v>
      </c>
      <c r="D90" s="64">
        <v>164.09</v>
      </c>
      <c r="E90" s="64">
        <v>1.34</v>
      </c>
      <c r="F90" s="64">
        <v>4.0199999999999996</v>
      </c>
      <c r="G90" s="64">
        <v>413.19</v>
      </c>
      <c r="H90" s="64">
        <v>117.65</v>
      </c>
      <c r="I90" s="64">
        <v>1.5</v>
      </c>
      <c r="J90" s="64">
        <v>0.04</v>
      </c>
      <c r="K90" s="64">
        <v>193.22</v>
      </c>
      <c r="L90" s="64">
        <v>16.5</v>
      </c>
      <c r="M90" s="64">
        <v>88.66</v>
      </c>
      <c r="N90" s="64">
        <v>36.4</v>
      </c>
      <c r="O90" s="64">
        <v>0</v>
      </c>
      <c r="P90" s="64">
        <v>4.58</v>
      </c>
      <c r="Q90" s="64">
        <v>3.26</v>
      </c>
      <c r="R90" s="198"/>
      <c r="S90" s="198"/>
      <c r="T90" s="198"/>
      <c r="U90" s="198"/>
    </row>
    <row r="91" spans="1:26" s="12" customFormat="1" x14ac:dyDescent="0.25">
      <c r="A91" s="214" t="s">
        <v>2826</v>
      </c>
      <c r="B91" s="64">
        <v>148.54</v>
      </c>
      <c r="C91" s="64">
        <v>108.4</v>
      </c>
      <c r="D91" s="64">
        <v>179.59</v>
      </c>
      <c r="E91" s="64">
        <v>1.4</v>
      </c>
      <c r="F91" s="64">
        <v>3.36</v>
      </c>
      <c r="G91" s="64">
        <v>413.19</v>
      </c>
      <c r="H91" s="64">
        <v>117.65</v>
      </c>
      <c r="I91" s="64">
        <v>1.5</v>
      </c>
      <c r="J91" s="64">
        <v>0.11</v>
      </c>
      <c r="K91" s="64">
        <v>328.73</v>
      </c>
      <c r="L91" s="64">
        <v>16.510000000000002</v>
      </c>
      <c r="M91" s="64">
        <v>89.5</v>
      </c>
      <c r="N91" s="64">
        <v>36.299999999999997</v>
      </c>
      <c r="O91" s="64">
        <v>0</v>
      </c>
      <c r="P91" s="64">
        <v>4.45</v>
      </c>
      <c r="Q91" s="64">
        <v>3.88</v>
      </c>
      <c r="R91" s="198"/>
      <c r="S91" s="198"/>
      <c r="T91" s="198"/>
      <c r="U91" s="198"/>
    </row>
    <row r="92" spans="1:26" s="12" customFormat="1" x14ac:dyDescent="0.25">
      <c r="A92" s="214" t="s">
        <v>2827</v>
      </c>
      <c r="B92" s="64">
        <v>173.41</v>
      </c>
      <c r="C92" s="64">
        <v>111.12</v>
      </c>
      <c r="D92" s="64">
        <v>201.03</v>
      </c>
      <c r="E92" s="64">
        <v>1.54</v>
      </c>
      <c r="F92" s="64">
        <v>3.74</v>
      </c>
      <c r="G92" s="64">
        <v>371.47</v>
      </c>
      <c r="H92" s="64">
        <v>133.19999999999999</v>
      </c>
      <c r="I92" s="64">
        <v>1.5</v>
      </c>
      <c r="J92" s="64">
        <v>0.14000000000000001</v>
      </c>
      <c r="K92" s="64">
        <v>287.86</v>
      </c>
      <c r="L92" s="64">
        <v>16.46</v>
      </c>
      <c r="M92" s="64">
        <v>91.29</v>
      </c>
      <c r="N92" s="64">
        <v>36.299999999999997</v>
      </c>
      <c r="O92" s="64">
        <v>0</v>
      </c>
      <c r="P92" s="64">
        <v>5.24</v>
      </c>
      <c r="Q92" s="64">
        <v>2.81</v>
      </c>
      <c r="R92" s="198"/>
      <c r="S92" s="198"/>
      <c r="T92" s="198"/>
      <c r="U92" s="198"/>
    </row>
    <row r="93" spans="1:26" s="12" customFormat="1" x14ac:dyDescent="0.25">
      <c r="A93" s="214" t="s">
        <v>2828</v>
      </c>
      <c r="B93" s="64">
        <v>189.68</v>
      </c>
      <c r="C93" s="64">
        <v>112.01</v>
      </c>
      <c r="D93" s="64">
        <v>214.57</v>
      </c>
      <c r="E93" s="64">
        <v>1.46</v>
      </c>
      <c r="F93" s="64">
        <v>4.32</v>
      </c>
      <c r="G93" s="64">
        <v>358.78</v>
      </c>
      <c r="H93" s="64">
        <v>133.19999999999999</v>
      </c>
      <c r="I93" s="64">
        <v>1.51</v>
      </c>
      <c r="J93" s="64">
        <v>0.02</v>
      </c>
      <c r="K93" s="64">
        <v>94.8</v>
      </c>
      <c r="L93" s="64">
        <v>16.27</v>
      </c>
      <c r="M93" s="64">
        <v>91.62</v>
      </c>
      <c r="N93" s="64">
        <v>36.5</v>
      </c>
      <c r="O93" s="64">
        <v>0</v>
      </c>
      <c r="P93" s="64">
        <v>5.71</v>
      </c>
      <c r="Q93" s="64">
        <v>6.36</v>
      </c>
      <c r="R93" s="198"/>
      <c r="S93" s="198"/>
      <c r="T93" s="198"/>
      <c r="U93" s="198"/>
    </row>
    <row r="94" spans="1:26" s="12" customFormat="1" x14ac:dyDescent="0.25">
      <c r="A94" s="214" t="s">
        <v>2829</v>
      </c>
      <c r="B94" s="64">
        <v>203.72</v>
      </c>
      <c r="C94" s="64">
        <v>112.54</v>
      </c>
      <c r="D94" s="64">
        <v>226.12</v>
      </c>
      <c r="E94" s="64">
        <v>1.5</v>
      </c>
      <c r="F94" s="64">
        <v>3.69</v>
      </c>
      <c r="G94" s="64">
        <v>358.78</v>
      </c>
      <c r="H94" s="64">
        <v>133.19999999999999</v>
      </c>
      <c r="I94" s="64">
        <v>1.59</v>
      </c>
      <c r="J94" s="64">
        <v>0.11</v>
      </c>
      <c r="K94" s="64">
        <v>311.74</v>
      </c>
      <c r="L94" s="64">
        <v>16.239999999999998</v>
      </c>
      <c r="M94" s="64">
        <v>93.33</v>
      </c>
      <c r="N94" s="64">
        <v>36.299999999999997</v>
      </c>
      <c r="O94" s="64">
        <v>0</v>
      </c>
      <c r="P94" s="64">
        <v>5.94</v>
      </c>
      <c r="Q94" s="64">
        <v>6.63</v>
      </c>
      <c r="R94" s="198"/>
      <c r="S94" s="198"/>
      <c r="T94" s="198"/>
      <c r="U94" s="198"/>
    </row>
    <row r="95" spans="1:26" s="12" customFormat="1" x14ac:dyDescent="0.25">
      <c r="A95" s="214" t="s">
        <v>2830</v>
      </c>
      <c r="B95" s="64">
        <v>219.39</v>
      </c>
      <c r="C95" s="64">
        <v>112.65</v>
      </c>
      <c r="D95" s="64">
        <v>238.75</v>
      </c>
      <c r="E95" s="64">
        <v>1.52</v>
      </c>
      <c r="F95" s="64">
        <v>4</v>
      </c>
      <c r="G95" s="64">
        <v>358.78</v>
      </c>
      <c r="H95" s="64">
        <v>133.19999999999999</v>
      </c>
      <c r="I95" s="64">
        <v>1.51</v>
      </c>
      <c r="J95" s="64">
        <v>0.13</v>
      </c>
      <c r="K95" s="64">
        <v>279.07</v>
      </c>
      <c r="L95" s="64">
        <v>16.05</v>
      </c>
      <c r="M95" s="64">
        <v>94.23</v>
      </c>
      <c r="N95" s="64">
        <v>36.5</v>
      </c>
      <c r="O95" s="64">
        <v>0</v>
      </c>
      <c r="P95" s="64">
        <v>6.82</v>
      </c>
      <c r="Q95" s="64">
        <v>7.38</v>
      </c>
      <c r="R95" s="198"/>
      <c r="S95" s="198"/>
      <c r="T95" s="198"/>
      <c r="U95" s="198"/>
    </row>
    <row r="96" spans="1:26" s="12" customFormat="1" x14ac:dyDescent="0.25">
      <c r="A96" s="214" t="s">
        <v>2831</v>
      </c>
      <c r="B96" s="64">
        <v>229.53</v>
      </c>
      <c r="C96" s="64">
        <v>112.29</v>
      </c>
      <c r="D96" s="64">
        <v>246.69</v>
      </c>
      <c r="E96" s="64">
        <v>1.5</v>
      </c>
      <c r="F96" s="64">
        <v>3.58</v>
      </c>
      <c r="G96" s="64">
        <v>345.96</v>
      </c>
      <c r="H96" s="64">
        <v>139.18</v>
      </c>
      <c r="I96" s="64">
        <v>1.47</v>
      </c>
      <c r="J96" s="64">
        <v>0.09</v>
      </c>
      <c r="K96" s="64">
        <v>282.76</v>
      </c>
      <c r="L96" s="64">
        <v>15.9</v>
      </c>
      <c r="M96" s="64">
        <v>93.05</v>
      </c>
      <c r="N96" s="64">
        <v>36.6</v>
      </c>
      <c r="O96" s="64">
        <v>0</v>
      </c>
      <c r="P96" s="64">
        <v>5.87</v>
      </c>
      <c r="Q96" s="64">
        <v>13.89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2832</v>
      </c>
      <c r="B97" s="64">
        <v>235.42</v>
      </c>
      <c r="C97" s="64">
        <v>111.02</v>
      </c>
      <c r="D97" s="64">
        <v>250.71</v>
      </c>
      <c r="E97" s="64">
        <v>1.42</v>
      </c>
      <c r="F97" s="64">
        <v>3.48</v>
      </c>
      <c r="G97" s="64">
        <v>342.06</v>
      </c>
      <c r="H97" s="64">
        <v>139.18</v>
      </c>
      <c r="I97" s="64">
        <v>1.47</v>
      </c>
      <c r="J97" s="64">
        <v>0.05</v>
      </c>
      <c r="K97" s="64">
        <v>246.15</v>
      </c>
      <c r="L97" s="64">
        <v>15.67</v>
      </c>
      <c r="M97" s="64">
        <v>93.68</v>
      </c>
      <c r="N97" s="64">
        <v>36.9</v>
      </c>
      <c r="O97" s="64">
        <v>0</v>
      </c>
      <c r="P97" s="64">
        <v>5.52</v>
      </c>
      <c r="Q97" s="64">
        <v>18.98</v>
      </c>
      <c r="R97" s="198"/>
      <c r="S97" s="198"/>
      <c r="T97" s="198"/>
      <c r="U97" s="198"/>
    </row>
    <row r="98" spans="1:33" s="12" customFormat="1" x14ac:dyDescent="0.25">
      <c r="A98" s="214" t="s">
        <v>2833</v>
      </c>
      <c r="B98" s="64">
        <v>240.4</v>
      </c>
      <c r="C98" s="64">
        <v>110.33</v>
      </c>
      <c r="D98" s="64">
        <v>254.32</v>
      </c>
      <c r="E98" s="64">
        <v>1.47</v>
      </c>
      <c r="F98" s="64">
        <v>3.56</v>
      </c>
      <c r="G98" s="64">
        <v>342.06</v>
      </c>
      <c r="H98" s="64">
        <v>139.18</v>
      </c>
      <c r="I98" s="64">
        <v>1.46</v>
      </c>
      <c r="J98" s="64">
        <v>0.05</v>
      </c>
      <c r="K98" s="64">
        <v>141.86000000000001</v>
      </c>
      <c r="L98" s="64">
        <v>15.5</v>
      </c>
      <c r="M98" s="64">
        <v>96.16</v>
      </c>
      <c r="N98" s="64">
        <v>36.799999999999997</v>
      </c>
      <c r="O98" s="64">
        <v>0</v>
      </c>
      <c r="P98" s="64">
        <v>5.65</v>
      </c>
      <c r="Q98" s="64">
        <v>13.85</v>
      </c>
      <c r="R98" s="198"/>
      <c r="S98" s="198"/>
      <c r="T98" s="198"/>
      <c r="U98" s="198"/>
    </row>
    <row r="99" spans="1:33" s="12" customFormat="1" x14ac:dyDescent="0.25">
      <c r="A99" s="214" t="s">
        <v>2834</v>
      </c>
      <c r="B99" s="64">
        <v>255.4</v>
      </c>
      <c r="C99" s="64">
        <v>109.3</v>
      </c>
      <c r="D99" s="64">
        <v>265.77999999999997</v>
      </c>
      <c r="E99" s="64">
        <v>1.62</v>
      </c>
      <c r="F99" s="64">
        <v>3.69</v>
      </c>
      <c r="G99" s="64">
        <v>342.06</v>
      </c>
      <c r="H99" s="64">
        <v>139.18</v>
      </c>
      <c r="I99" s="64">
        <v>1.51</v>
      </c>
      <c r="J99" s="64">
        <v>0.13</v>
      </c>
      <c r="K99" s="64">
        <v>318.69</v>
      </c>
      <c r="L99" s="64">
        <v>15.43</v>
      </c>
      <c r="M99" s="64">
        <v>97.79</v>
      </c>
      <c r="N99" s="64">
        <v>36.6</v>
      </c>
      <c r="O99" s="64">
        <v>0</v>
      </c>
      <c r="P99" s="64">
        <v>6.49</v>
      </c>
      <c r="Q99" s="64">
        <v>5.6</v>
      </c>
      <c r="R99" s="198"/>
      <c r="S99" s="198"/>
      <c r="T99" s="198"/>
      <c r="U99" s="198"/>
    </row>
    <row r="100" spans="1:33" s="12" customFormat="1" x14ac:dyDescent="0.25">
      <c r="A100" s="214" t="s">
        <v>2835</v>
      </c>
      <c r="B100" s="64">
        <v>268.38</v>
      </c>
      <c r="C100" s="64">
        <v>110.06</v>
      </c>
      <c r="D100" s="64">
        <v>276.61</v>
      </c>
      <c r="E100" s="64">
        <v>1.71</v>
      </c>
      <c r="F100" s="64">
        <v>3.66</v>
      </c>
      <c r="G100" s="64">
        <v>332.52</v>
      </c>
      <c r="H100" s="64">
        <v>141.66999999999999</v>
      </c>
      <c r="I100" s="64">
        <v>1.49</v>
      </c>
      <c r="J100" s="64">
        <v>0.08</v>
      </c>
      <c r="K100" s="64">
        <v>272.57</v>
      </c>
      <c r="L100" s="64">
        <v>15.41</v>
      </c>
      <c r="M100" s="64">
        <v>97.83</v>
      </c>
      <c r="N100" s="64">
        <v>36.799999999999997</v>
      </c>
      <c r="O100" s="64">
        <v>0</v>
      </c>
      <c r="P100" s="64">
        <v>6.91</v>
      </c>
      <c r="Q100" s="64">
        <v>7.39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2836</v>
      </c>
      <c r="B101" s="64">
        <v>273.27999999999997</v>
      </c>
      <c r="C101" s="64">
        <v>109.35</v>
      </c>
      <c r="D101" s="64">
        <v>280.14</v>
      </c>
      <c r="E101" s="64">
        <v>1.59</v>
      </c>
      <c r="F101" s="64">
        <v>3.42</v>
      </c>
      <c r="G101" s="64">
        <v>329.61</v>
      </c>
      <c r="H101" s="64">
        <v>141.66999999999999</v>
      </c>
      <c r="I101" s="64">
        <v>1.57</v>
      </c>
      <c r="J101" s="64">
        <v>0.06</v>
      </c>
      <c r="K101" s="64">
        <v>291.13</v>
      </c>
      <c r="L101" s="64">
        <v>15.3</v>
      </c>
      <c r="M101" s="64">
        <v>97.88</v>
      </c>
      <c r="N101" s="64">
        <v>37.1</v>
      </c>
      <c r="O101" s="64">
        <v>0</v>
      </c>
      <c r="P101" s="64">
        <v>6.43</v>
      </c>
      <c r="Q101" s="64">
        <v>19.989999999999998</v>
      </c>
      <c r="R101" s="198"/>
      <c r="S101" s="198"/>
      <c r="T101" s="198"/>
      <c r="U101" s="198"/>
    </row>
    <row r="102" spans="1:33" s="12" customFormat="1" x14ac:dyDescent="0.25">
      <c r="A102" s="214" t="s">
        <v>2837</v>
      </c>
      <c r="B102" s="64">
        <v>273.61</v>
      </c>
      <c r="C102" s="64">
        <v>106.54</v>
      </c>
      <c r="D102" s="64">
        <v>278.86</v>
      </c>
      <c r="E102" s="64">
        <v>1.49</v>
      </c>
      <c r="F102" s="64">
        <v>3.61</v>
      </c>
      <c r="G102" s="64">
        <v>329.61</v>
      </c>
      <c r="H102" s="64">
        <v>141.66999999999999</v>
      </c>
      <c r="I102" s="64">
        <v>1.47</v>
      </c>
      <c r="J102" s="64">
        <v>0.02</v>
      </c>
      <c r="K102" s="64">
        <v>40.659999999999997</v>
      </c>
      <c r="L102" s="64">
        <v>15.17</v>
      </c>
      <c r="M102" s="64">
        <v>97.88</v>
      </c>
      <c r="N102" s="64">
        <v>37.200000000000003</v>
      </c>
      <c r="O102" s="64">
        <v>0</v>
      </c>
      <c r="P102" s="64">
        <v>6.12</v>
      </c>
      <c r="Q102" s="64">
        <v>26.48</v>
      </c>
      <c r="R102" s="198"/>
      <c r="S102" s="198"/>
      <c r="T102" s="198"/>
      <c r="U102" s="198"/>
    </row>
    <row r="103" spans="1:33" s="12" customFormat="1" x14ac:dyDescent="0.25">
      <c r="A103" s="214" t="s">
        <v>2838</v>
      </c>
      <c r="B103" s="64">
        <v>273.56</v>
      </c>
      <c r="C103" s="64">
        <v>104.81</v>
      </c>
      <c r="D103" s="64">
        <v>277.86</v>
      </c>
      <c r="E103" s="64">
        <v>1.52</v>
      </c>
      <c r="F103" s="64">
        <v>3.28</v>
      </c>
      <c r="G103" s="64">
        <v>329.61</v>
      </c>
      <c r="H103" s="64">
        <v>141.66999999999999</v>
      </c>
      <c r="I103" s="64">
        <v>1.55</v>
      </c>
      <c r="J103" s="64">
        <v>7.0000000000000007E-2</v>
      </c>
      <c r="K103" s="64">
        <v>250.37</v>
      </c>
      <c r="L103" s="64">
        <v>15.16</v>
      </c>
      <c r="M103" s="64">
        <v>97.87</v>
      </c>
      <c r="N103" s="64">
        <v>37.299999999999997</v>
      </c>
      <c r="O103" s="64">
        <v>0</v>
      </c>
      <c r="P103" s="64">
        <v>6.29</v>
      </c>
      <c r="Q103" s="64">
        <v>23.55</v>
      </c>
      <c r="R103" s="198"/>
      <c r="S103" s="198"/>
      <c r="T103" s="198"/>
      <c r="U103" s="198"/>
    </row>
    <row r="104" spans="1:33" s="12" customFormat="1" x14ac:dyDescent="0.25">
      <c r="A104" s="214" t="s">
        <v>2839</v>
      </c>
      <c r="B104" s="64">
        <v>272.83999999999997</v>
      </c>
      <c r="C104" s="64">
        <v>103.94</v>
      </c>
      <c r="D104" s="64">
        <v>276.81</v>
      </c>
      <c r="E104" s="64">
        <v>0.6</v>
      </c>
      <c r="F104" s="64">
        <v>3.34</v>
      </c>
      <c r="G104" s="64">
        <v>249.85</v>
      </c>
      <c r="H104" s="64">
        <v>137.13999999999999</v>
      </c>
      <c r="I104" s="64">
        <v>1.5</v>
      </c>
      <c r="J104" s="64">
        <v>0.12</v>
      </c>
      <c r="K104" s="64">
        <v>301.60000000000002</v>
      </c>
      <c r="L104" s="64">
        <v>14.96</v>
      </c>
      <c r="M104" s="64">
        <v>97.83</v>
      </c>
      <c r="N104" s="64">
        <v>37.4</v>
      </c>
      <c r="O104" s="64">
        <v>0</v>
      </c>
      <c r="P104" s="64">
        <v>5.84</v>
      </c>
      <c r="Q104" s="64">
        <v>27.57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2.82</v>
      </c>
      <c r="C106" s="67">
        <f>MIN(C9:C104)</f>
        <v>75.260000000000005</v>
      </c>
      <c r="D106" s="67">
        <f t="shared" ref="D106:Q106" si="0">MIN(D9:D104)</f>
        <v>48</v>
      </c>
      <c r="E106" s="67">
        <f t="shared" si="0"/>
        <v>0.04</v>
      </c>
      <c r="F106" s="67">
        <f t="shared" si="0"/>
        <v>3.06</v>
      </c>
      <c r="G106" s="67">
        <f t="shared" si="0"/>
        <v>102.25</v>
      </c>
      <c r="H106" s="67">
        <f t="shared" si="0"/>
        <v>57.73</v>
      </c>
      <c r="I106" s="67">
        <f t="shared" si="0"/>
        <v>1.41</v>
      </c>
      <c r="J106" s="67">
        <f t="shared" si="0"/>
        <v>0.01</v>
      </c>
      <c r="K106" s="67">
        <f t="shared" si="0"/>
        <v>3.23</v>
      </c>
      <c r="L106" s="67">
        <f t="shared" si="0"/>
        <v>13.53</v>
      </c>
      <c r="M106" s="67">
        <f t="shared" si="0"/>
        <v>33.44</v>
      </c>
      <c r="N106" s="67">
        <f t="shared" si="0"/>
        <v>36</v>
      </c>
      <c r="O106" s="67">
        <f t="shared" si="0"/>
        <v>0</v>
      </c>
      <c r="P106" s="67">
        <f t="shared" si="0"/>
        <v>0.69</v>
      </c>
      <c r="Q106" s="67">
        <f t="shared" si="0"/>
        <v>0.25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273.61</v>
      </c>
      <c r="C107" s="66">
        <f t="shared" ref="C107:Q107" si="1">MAX(C9:C104)</f>
        <v>112.65</v>
      </c>
      <c r="D107" s="66">
        <f t="shared" si="1"/>
        <v>280.14</v>
      </c>
      <c r="E107" s="66">
        <f t="shared" si="1"/>
        <v>4.3600000000000003</v>
      </c>
      <c r="F107" s="66">
        <f t="shared" si="1"/>
        <v>34.590000000000003</v>
      </c>
      <c r="G107" s="66">
        <f t="shared" si="1"/>
        <v>413.19</v>
      </c>
      <c r="H107" s="66">
        <f t="shared" si="1"/>
        <v>141.66999999999999</v>
      </c>
      <c r="I107" s="66">
        <f t="shared" si="1"/>
        <v>1.59</v>
      </c>
      <c r="J107" s="66">
        <f t="shared" si="1"/>
        <v>0.86</v>
      </c>
      <c r="K107" s="66">
        <f t="shared" si="1"/>
        <v>357.06</v>
      </c>
      <c r="L107" s="66">
        <f t="shared" si="1"/>
        <v>29</v>
      </c>
      <c r="M107" s="66">
        <f t="shared" si="1"/>
        <v>97.88</v>
      </c>
      <c r="N107" s="66">
        <f t="shared" si="1"/>
        <v>553</v>
      </c>
      <c r="O107" s="66">
        <f t="shared" si="1"/>
        <v>0</v>
      </c>
      <c r="P107" s="66">
        <f t="shared" si="1"/>
        <v>6.91</v>
      </c>
      <c r="Q107" s="66">
        <f t="shared" si="1"/>
        <v>27.57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65.742499999999978</v>
      </c>
      <c r="C108" s="67">
        <f t="shared" ref="C108:Q108" si="2">AVERAGE(C9:C104)</f>
        <v>88.709166666666704</v>
      </c>
      <c r="D108" s="67">
        <f t="shared" si="2"/>
        <v>102.32302083333332</v>
      </c>
      <c r="E108" s="67">
        <f t="shared" si="2"/>
        <v>1.254791666666667</v>
      </c>
      <c r="F108" s="67">
        <f t="shared" si="2"/>
        <v>9.0196874999999999</v>
      </c>
      <c r="G108" s="67">
        <f t="shared" si="2"/>
        <v>175.33875000000003</v>
      </c>
      <c r="H108" s="67">
        <f t="shared" si="2"/>
        <v>84.896666666666633</v>
      </c>
      <c r="I108" s="67">
        <f t="shared" si="2"/>
        <v>1.4950000000000001</v>
      </c>
      <c r="J108" s="67">
        <f t="shared" si="2"/>
        <v>0.22750000000000001</v>
      </c>
      <c r="K108" s="67">
        <f t="shared" si="2"/>
        <v>235.16364583333333</v>
      </c>
      <c r="L108" s="67">
        <f t="shared" si="2"/>
        <v>19.011354166666667</v>
      </c>
      <c r="M108" s="67">
        <f t="shared" si="2"/>
        <v>71.224895833333335</v>
      </c>
      <c r="N108" s="67">
        <f t="shared" si="2"/>
        <v>154.30416666666667</v>
      </c>
      <c r="O108" s="67">
        <f t="shared" si="2"/>
        <v>0</v>
      </c>
      <c r="P108" s="67">
        <f t="shared" si="2"/>
        <v>2.0636458333333336</v>
      </c>
      <c r="Q108" s="67">
        <f t="shared" si="2"/>
        <v>9.4492631578947393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77.902138799096448</v>
      </c>
      <c r="C109" s="67">
        <f t="shared" ref="C109:Q109" si="3">STDEV(C9:C104)</f>
        <v>11.304257387715058</v>
      </c>
      <c r="D109" s="67">
        <f t="shared" si="3"/>
        <v>67.869662118222379</v>
      </c>
      <c r="E109" s="67">
        <f t="shared" si="3"/>
        <v>0.87008889947088508</v>
      </c>
      <c r="F109" s="67">
        <f t="shared" si="3"/>
        <v>8.5232365304470665</v>
      </c>
      <c r="G109" s="67">
        <f t="shared" si="3"/>
        <v>96.33379117750718</v>
      </c>
      <c r="H109" s="67">
        <f t="shared" si="3"/>
        <v>25.815544589571385</v>
      </c>
      <c r="I109" s="67">
        <f t="shared" si="3"/>
        <v>4.1090400979201733E-2</v>
      </c>
      <c r="J109" s="67">
        <f t="shared" si="3"/>
        <v>0.21818871599941569</v>
      </c>
      <c r="K109" s="67">
        <f t="shared" si="3"/>
        <v>120.91117937186088</v>
      </c>
      <c r="L109" s="67">
        <f t="shared" si="3"/>
        <v>5.129259640797998</v>
      </c>
      <c r="M109" s="67">
        <f t="shared" si="3"/>
        <v>24.697746242576848</v>
      </c>
      <c r="N109" s="67">
        <f t="shared" si="3"/>
        <v>180.40322025172665</v>
      </c>
      <c r="O109" s="67">
        <f t="shared" si="3"/>
        <v>0</v>
      </c>
      <c r="P109" s="67">
        <f t="shared" si="3"/>
        <v>1.8171806501696182</v>
      </c>
      <c r="Q109" s="67">
        <f t="shared" si="3"/>
        <v>6.5695526325400033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2840</v>
      </c>
      <c r="B9" s="64">
        <v>269.14</v>
      </c>
      <c r="C9" s="64">
        <v>102.38</v>
      </c>
      <c r="D9" s="64">
        <v>272.97000000000003</v>
      </c>
      <c r="E9" s="64">
        <v>0.93</v>
      </c>
      <c r="F9" s="64">
        <v>3.44</v>
      </c>
      <c r="G9" s="64">
        <v>249.86</v>
      </c>
      <c r="H9" s="64">
        <v>137.13999999999999</v>
      </c>
      <c r="I9" s="64">
        <v>1.45</v>
      </c>
      <c r="J9" s="64">
        <v>0.09</v>
      </c>
      <c r="K9" s="64">
        <v>328.3</v>
      </c>
      <c r="L9" s="64">
        <v>14.68</v>
      </c>
      <c r="M9" s="64">
        <v>97.83</v>
      </c>
      <c r="N9" s="64">
        <v>37.4</v>
      </c>
      <c r="O9" s="64">
        <v>0</v>
      </c>
      <c r="P9" s="64">
        <v>5.38</v>
      </c>
      <c r="Q9" s="64">
        <v>32.21</v>
      </c>
      <c r="R9" s="198"/>
      <c r="S9" s="198"/>
      <c r="T9" s="198"/>
      <c r="U9" s="198"/>
    </row>
    <row r="10" spans="1:21" s="12" customFormat="1" x14ac:dyDescent="0.25">
      <c r="A10" s="214" t="s">
        <v>2841</v>
      </c>
      <c r="B10" s="64">
        <v>263.27</v>
      </c>
      <c r="C10" s="64">
        <v>101.27</v>
      </c>
      <c r="D10" s="64">
        <v>267.66000000000003</v>
      </c>
      <c r="E10" s="64">
        <v>0.91</v>
      </c>
      <c r="F10" s="64">
        <v>3.56</v>
      </c>
      <c r="G10" s="64">
        <v>249.86</v>
      </c>
      <c r="H10" s="64">
        <v>137.13999999999999</v>
      </c>
      <c r="I10" s="64">
        <v>1.53</v>
      </c>
      <c r="J10" s="64">
        <v>0.24</v>
      </c>
      <c r="K10" s="64">
        <v>184.03</v>
      </c>
      <c r="L10" s="64">
        <v>14.9</v>
      </c>
      <c r="M10" s="64">
        <v>97.82</v>
      </c>
      <c r="N10" s="64">
        <v>36.4</v>
      </c>
      <c r="O10" s="64">
        <v>0</v>
      </c>
      <c r="P10" s="64">
        <v>4.95</v>
      </c>
      <c r="Q10" s="64">
        <v>33.799999999999997</v>
      </c>
      <c r="R10" s="198"/>
      <c r="S10" s="198"/>
      <c r="T10" s="198"/>
      <c r="U10" s="198"/>
    </row>
    <row r="11" spans="1:21" s="12" customFormat="1" x14ac:dyDescent="0.25">
      <c r="A11" s="214" t="s">
        <v>2842</v>
      </c>
      <c r="B11" s="64">
        <v>254.51</v>
      </c>
      <c r="C11" s="64">
        <v>100.21</v>
      </c>
      <c r="D11" s="64">
        <v>260.05</v>
      </c>
      <c r="E11" s="64">
        <v>0.84</v>
      </c>
      <c r="F11" s="64">
        <v>3.39</v>
      </c>
      <c r="G11" s="64">
        <v>249.86</v>
      </c>
      <c r="H11" s="64">
        <v>137.13999999999999</v>
      </c>
      <c r="I11" s="64">
        <v>1.5</v>
      </c>
      <c r="J11" s="64">
        <v>0.02</v>
      </c>
      <c r="K11" s="64">
        <v>264.64</v>
      </c>
      <c r="L11" s="64">
        <v>15.09</v>
      </c>
      <c r="M11" s="64">
        <v>94.6</v>
      </c>
      <c r="N11" s="64">
        <v>37.4</v>
      </c>
      <c r="O11" s="64">
        <v>0</v>
      </c>
      <c r="P11" s="64">
        <v>3.45</v>
      </c>
      <c r="Q11" s="64">
        <v>39.04</v>
      </c>
      <c r="R11" s="198"/>
      <c r="S11" s="198"/>
      <c r="T11" s="198"/>
      <c r="U11" s="198"/>
    </row>
    <row r="12" spans="1:21" s="12" customFormat="1" x14ac:dyDescent="0.25">
      <c r="A12" s="214" t="s">
        <v>2843</v>
      </c>
      <c r="B12" s="64">
        <v>240.63</v>
      </c>
      <c r="C12" s="64">
        <v>98</v>
      </c>
      <c r="D12" s="64">
        <v>247.69</v>
      </c>
      <c r="E12" s="64">
        <v>0.48</v>
      </c>
      <c r="F12" s="64">
        <v>3.62</v>
      </c>
      <c r="G12" s="64">
        <v>214.12</v>
      </c>
      <c r="H12" s="64">
        <v>127.63</v>
      </c>
      <c r="I12" s="64">
        <v>1.47</v>
      </c>
      <c r="J12" s="64">
        <v>0.09</v>
      </c>
      <c r="K12" s="64">
        <v>212.45</v>
      </c>
      <c r="L12" s="64">
        <v>14.62</v>
      </c>
      <c r="M12" s="64">
        <v>91.64</v>
      </c>
      <c r="N12" s="64">
        <v>37.4</v>
      </c>
      <c r="O12" s="64">
        <v>0</v>
      </c>
      <c r="P12" s="64">
        <v>1.83</v>
      </c>
      <c r="Q12" s="64">
        <v>46.25</v>
      </c>
      <c r="R12" s="198"/>
      <c r="S12" s="198"/>
      <c r="T12" s="198"/>
      <c r="U12" s="198"/>
    </row>
    <row r="13" spans="1:21" s="12" customFormat="1" x14ac:dyDescent="0.25">
      <c r="A13" s="214" t="s">
        <v>2844</v>
      </c>
      <c r="B13" s="64">
        <v>224.58</v>
      </c>
      <c r="C13" s="64">
        <v>95</v>
      </c>
      <c r="D13" s="64">
        <v>233.17</v>
      </c>
      <c r="E13" s="64">
        <v>0.33</v>
      </c>
      <c r="F13" s="64">
        <v>3.54</v>
      </c>
      <c r="G13" s="64">
        <v>203.24</v>
      </c>
      <c r="H13" s="64">
        <v>127.63</v>
      </c>
      <c r="I13" s="64">
        <v>1.5</v>
      </c>
      <c r="J13" s="64">
        <v>0.02</v>
      </c>
      <c r="K13" s="64">
        <v>186.98</v>
      </c>
      <c r="L13" s="64">
        <v>14.32</v>
      </c>
      <c r="M13" s="64">
        <v>91.91</v>
      </c>
      <c r="N13" s="64">
        <v>38</v>
      </c>
      <c r="O13" s="64">
        <v>0</v>
      </c>
      <c r="P13" s="64">
        <v>0.97</v>
      </c>
      <c r="Q13" s="64">
        <v>47.19</v>
      </c>
      <c r="R13" s="198"/>
      <c r="S13" s="198"/>
      <c r="T13" s="198"/>
      <c r="U13" s="198"/>
    </row>
    <row r="14" spans="1:21" s="12" customFormat="1" x14ac:dyDescent="0.25">
      <c r="A14" s="214" t="s">
        <v>2845</v>
      </c>
      <c r="B14" s="64">
        <v>209.18</v>
      </c>
      <c r="C14" s="64">
        <v>92.1</v>
      </c>
      <c r="D14" s="64">
        <v>219.22</v>
      </c>
      <c r="E14" s="64">
        <v>0.2</v>
      </c>
      <c r="F14" s="64">
        <v>3.7</v>
      </c>
      <c r="G14" s="64">
        <v>203.24</v>
      </c>
      <c r="H14" s="64">
        <v>127.63</v>
      </c>
      <c r="I14" s="64">
        <v>1.58</v>
      </c>
      <c r="J14" s="64">
        <v>0.12</v>
      </c>
      <c r="K14" s="64">
        <v>299.83</v>
      </c>
      <c r="L14" s="64">
        <v>13.92</v>
      </c>
      <c r="M14" s="64">
        <v>96.16</v>
      </c>
      <c r="N14" s="64">
        <v>38</v>
      </c>
      <c r="O14" s="64">
        <v>0</v>
      </c>
      <c r="P14" s="64">
        <v>1.18</v>
      </c>
      <c r="Q14" s="64">
        <v>43.36</v>
      </c>
      <c r="R14" s="198"/>
      <c r="S14" s="198"/>
      <c r="T14" s="198"/>
      <c r="U14" s="198"/>
    </row>
    <row r="15" spans="1:21" s="12" customFormat="1" x14ac:dyDescent="0.25">
      <c r="A15" s="214" t="s">
        <v>2846</v>
      </c>
      <c r="B15" s="64">
        <v>196.07</v>
      </c>
      <c r="C15" s="64">
        <v>90.36</v>
      </c>
      <c r="D15" s="64">
        <v>207.75</v>
      </c>
      <c r="E15" s="64">
        <v>0.24</v>
      </c>
      <c r="F15" s="64">
        <v>3.23</v>
      </c>
      <c r="G15" s="64">
        <v>203.24</v>
      </c>
      <c r="H15" s="64">
        <v>127.63</v>
      </c>
      <c r="I15" s="64">
        <v>1.51</v>
      </c>
      <c r="J15" s="64">
        <v>0.08</v>
      </c>
      <c r="K15" s="64">
        <v>302.49</v>
      </c>
      <c r="L15" s="64">
        <v>13.73</v>
      </c>
      <c r="M15" s="64">
        <v>97.45</v>
      </c>
      <c r="N15" s="64">
        <v>38</v>
      </c>
      <c r="O15" s="64">
        <v>0</v>
      </c>
      <c r="P15" s="64">
        <v>1.28</v>
      </c>
      <c r="Q15" s="64">
        <v>39.44</v>
      </c>
      <c r="R15" s="198"/>
      <c r="S15" s="198"/>
      <c r="T15" s="198"/>
      <c r="U15" s="198"/>
    </row>
    <row r="16" spans="1:21" s="12" customFormat="1" x14ac:dyDescent="0.25">
      <c r="A16" s="214" t="s">
        <v>2847</v>
      </c>
      <c r="B16" s="64">
        <v>183.75</v>
      </c>
      <c r="C16" s="64">
        <v>88.75</v>
      </c>
      <c r="D16" s="64">
        <v>196.98</v>
      </c>
      <c r="E16" s="64">
        <v>0.24</v>
      </c>
      <c r="F16" s="64">
        <v>3.15</v>
      </c>
      <c r="G16" s="64">
        <v>172.9</v>
      </c>
      <c r="H16" s="64">
        <v>112.87</v>
      </c>
      <c r="I16" s="64">
        <v>1.42</v>
      </c>
      <c r="J16" s="64">
        <v>0.1</v>
      </c>
      <c r="K16" s="64">
        <v>291.86</v>
      </c>
      <c r="L16" s="64">
        <v>13.63</v>
      </c>
      <c r="M16" s="64">
        <v>96.69</v>
      </c>
      <c r="N16" s="64">
        <v>37.9</v>
      </c>
      <c r="O16" s="64">
        <v>0</v>
      </c>
      <c r="P16" s="64">
        <v>0.97</v>
      </c>
      <c r="Q16" s="64">
        <v>36.270000000000003</v>
      </c>
      <c r="R16" s="198"/>
      <c r="S16" s="198"/>
      <c r="T16" s="198"/>
      <c r="U16" s="198"/>
    </row>
    <row r="17" spans="1:21" s="12" customFormat="1" x14ac:dyDescent="0.25">
      <c r="A17" s="214" t="s">
        <v>2848</v>
      </c>
      <c r="B17" s="64">
        <v>172.57</v>
      </c>
      <c r="C17" s="64">
        <v>86.64</v>
      </c>
      <c r="D17" s="64">
        <v>186.85</v>
      </c>
      <c r="E17" s="64">
        <v>0.25</v>
      </c>
      <c r="F17" s="64">
        <v>3.01</v>
      </c>
      <c r="G17" s="64">
        <v>163.66999999999999</v>
      </c>
      <c r="H17" s="64">
        <v>112.87</v>
      </c>
      <c r="I17" s="64">
        <v>1.48</v>
      </c>
      <c r="J17" s="64">
        <v>0.08</v>
      </c>
      <c r="K17" s="64">
        <v>300.98</v>
      </c>
      <c r="L17" s="64">
        <v>13.56</v>
      </c>
      <c r="M17" s="64">
        <v>96.31</v>
      </c>
      <c r="N17" s="64">
        <v>38</v>
      </c>
      <c r="O17" s="64">
        <v>0</v>
      </c>
      <c r="P17" s="64">
        <v>1.28</v>
      </c>
      <c r="Q17" s="64">
        <v>31.36</v>
      </c>
      <c r="R17" s="198"/>
      <c r="S17" s="198"/>
      <c r="T17" s="198"/>
      <c r="U17" s="198"/>
    </row>
    <row r="18" spans="1:21" s="12" customFormat="1" x14ac:dyDescent="0.25">
      <c r="A18" s="214" t="s">
        <v>2849</v>
      </c>
      <c r="B18" s="64">
        <v>160.97</v>
      </c>
      <c r="C18" s="64">
        <v>85.71</v>
      </c>
      <c r="D18" s="64">
        <v>177.03</v>
      </c>
      <c r="E18" s="64">
        <v>0.21</v>
      </c>
      <c r="F18" s="64">
        <v>3.28</v>
      </c>
      <c r="G18" s="64">
        <v>163.66999999999999</v>
      </c>
      <c r="H18" s="64">
        <v>112.87</v>
      </c>
      <c r="I18" s="64">
        <v>1.47</v>
      </c>
      <c r="J18" s="64">
        <v>0.11</v>
      </c>
      <c r="K18" s="64">
        <v>301.41000000000003</v>
      </c>
      <c r="L18" s="64">
        <v>13.56</v>
      </c>
      <c r="M18" s="64">
        <v>95.2</v>
      </c>
      <c r="N18" s="64">
        <v>38.1</v>
      </c>
      <c r="O18" s="64">
        <v>0</v>
      </c>
      <c r="P18" s="64">
        <v>0.93</v>
      </c>
      <c r="Q18" s="64">
        <v>31.07</v>
      </c>
      <c r="R18" s="198"/>
      <c r="S18" s="198"/>
      <c r="T18" s="198"/>
      <c r="U18" s="198"/>
    </row>
    <row r="19" spans="1:21" s="12" customFormat="1" x14ac:dyDescent="0.25">
      <c r="A19" s="214" t="s">
        <v>2850</v>
      </c>
      <c r="B19" s="64">
        <v>149.32</v>
      </c>
      <c r="C19" s="64">
        <v>84.53</v>
      </c>
      <c r="D19" s="64">
        <v>167.04</v>
      </c>
      <c r="E19" s="64">
        <v>0.18</v>
      </c>
      <c r="F19" s="64">
        <v>3.52</v>
      </c>
      <c r="G19" s="64">
        <v>163.66999999999999</v>
      </c>
      <c r="H19" s="64">
        <v>112.87</v>
      </c>
      <c r="I19" s="64">
        <v>1.53</v>
      </c>
      <c r="J19" s="64">
        <v>0.06</v>
      </c>
      <c r="K19" s="64">
        <v>208.84</v>
      </c>
      <c r="L19" s="64">
        <v>13.48</v>
      </c>
      <c r="M19" s="64">
        <v>93.79</v>
      </c>
      <c r="N19" s="64">
        <v>38.200000000000003</v>
      </c>
      <c r="O19" s="64">
        <v>0</v>
      </c>
      <c r="P19" s="64">
        <v>1.08</v>
      </c>
      <c r="Q19" s="64">
        <v>28.43</v>
      </c>
      <c r="R19" s="198"/>
      <c r="S19" s="198"/>
      <c r="T19" s="198"/>
      <c r="U19" s="198"/>
    </row>
    <row r="20" spans="1:21" s="12" customFormat="1" x14ac:dyDescent="0.25">
      <c r="A20" s="214" t="s">
        <v>2851</v>
      </c>
      <c r="B20" s="64">
        <v>138.79</v>
      </c>
      <c r="C20" s="64">
        <v>83.46</v>
      </c>
      <c r="D20" s="64">
        <v>158.01</v>
      </c>
      <c r="E20" s="64">
        <v>0.1</v>
      </c>
      <c r="F20" s="64">
        <v>3.59</v>
      </c>
      <c r="G20" s="64">
        <v>148.28</v>
      </c>
      <c r="H20" s="64">
        <v>100.46</v>
      </c>
      <c r="I20" s="64">
        <v>1.52</v>
      </c>
      <c r="J20" s="64">
        <v>0.11</v>
      </c>
      <c r="K20" s="64">
        <v>283.64</v>
      </c>
      <c r="L20" s="64">
        <v>13.18</v>
      </c>
      <c r="M20" s="64">
        <v>96.33</v>
      </c>
      <c r="N20" s="64">
        <v>38.299999999999997</v>
      </c>
      <c r="O20" s="64">
        <v>0</v>
      </c>
      <c r="P20" s="64">
        <v>0.8</v>
      </c>
      <c r="Q20" s="64">
        <v>27.93</v>
      </c>
      <c r="R20" s="198"/>
      <c r="S20" s="198"/>
      <c r="T20" s="198"/>
      <c r="U20" s="198"/>
    </row>
    <row r="21" spans="1:21" s="12" customFormat="1" x14ac:dyDescent="0.25">
      <c r="A21" s="214" t="s">
        <v>2852</v>
      </c>
      <c r="B21" s="64">
        <v>128.85</v>
      </c>
      <c r="C21" s="64">
        <v>82.54</v>
      </c>
      <c r="D21" s="64">
        <v>149.52000000000001</v>
      </c>
      <c r="E21" s="64">
        <v>0.11</v>
      </c>
      <c r="F21" s="64">
        <v>3.21</v>
      </c>
      <c r="G21" s="64">
        <v>143.6</v>
      </c>
      <c r="H21" s="64">
        <v>100.46</v>
      </c>
      <c r="I21" s="64">
        <v>1.45</v>
      </c>
      <c r="J21" s="64">
        <v>7.0000000000000007E-2</v>
      </c>
      <c r="K21" s="64">
        <v>270.89</v>
      </c>
      <c r="L21" s="64">
        <v>12.95</v>
      </c>
      <c r="M21" s="64">
        <v>97.78</v>
      </c>
      <c r="N21" s="64">
        <v>38.5</v>
      </c>
      <c r="O21" s="64">
        <v>0</v>
      </c>
      <c r="P21" s="64">
        <v>0.76</v>
      </c>
      <c r="Q21" s="64">
        <v>25.73</v>
      </c>
      <c r="R21" s="198"/>
      <c r="S21" s="198"/>
      <c r="T21" s="198"/>
      <c r="U21" s="198"/>
    </row>
    <row r="22" spans="1:21" s="12" customFormat="1" x14ac:dyDescent="0.25">
      <c r="A22" s="214" t="s">
        <v>2853</v>
      </c>
      <c r="B22" s="64">
        <v>119.69</v>
      </c>
      <c r="C22" s="64">
        <v>81.95</v>
      </c>
      <c r="D22" s="64">
        <v>141.85</v>
      </c>
      <c r="E22" s="64">
        <v>0.17</v>
      </c>
      <c r="F22" s="64">
        <v>3.24</v>
      </c>
      <c r="G22" s="64">
        <v>143.6</v>
      </c>
      <c r="H22" s="64">
        <v>100.46</v>
      </c>
      <c r="I22" s="64">
        <v>1.49</v>
      </c>
      <c r="J22" s="64">
        <v>0.15</v>
      </c>
      <c r="K22" s="64">
        <v>280.99</v>
      </c>
      <c r="L22" s="64">
        <v>12.9</v>
      </c>
      <c r="M22" s="64">
        <v>97.84</v>
      </c>
      <c r="N22" s="64">
        <v>38.4</v>
      </c>
      <c r="O22" s="64">
        <v>0</v>
      </c>
      <c r="P22" s="64">
        <v>0.87</v>
      </c>
      <c r="Q22" s="64">
        <v>21.82</v>
      </c>
      <c r="R22" s="198"/>
      <c r="S22" s="198"/>
      <c r="T22" s="198"/>
      <c r="U22" s="198"/>
    </row>
    <row r="23" spans="1:21" s="12" customFormat="1" x14ac:dyDescent="0.25">
      <c r="A23" s="214" t="s">
        <v>2854</v>
      </c>
      <c r="B23" s="64">
        <v>112.45</v>
      </c>
      <c r="C23" s="64">
        <v>81.52</v>
      </c>
      <c r="D23" s="64">
        <v>135.81</v>
      </c>
      <c r="E23" s="64">
        <v>0.12</v>
      </c>
      <c r="F23" s="64">
        <v>3.21</v>
      </c>
      <c r="G23" s="64">
        <v>143.6</v>
      </c>
      <c r="H23" s="64">
        <v>100.46</v>
      </c>
      <c r="I23" s="64">
        <v>1.54</v>
      </c>
      <c r="J23" s="64">
        <v>0.02</v>
      </c>
      <c r="K23" s="64">
        <v>266.2</v>
      </c>
      <c r="L23" s="64">
        <v>12.87</v>
      </c>
      <c r="M23" s="64">
        <v>97.83</v>
      </c>
      <c r="N23" s="64">
        <v>38.5</v>
      </c>
      <c r="O23" s="64">
        <v>0</v>
      </c>
      <c r="P23" s="64">
        <v>0.94</v>
      </c>
      <c r="Q23" s="64">
        <v>20.59</v>
      </c>
      <c r="R23" s="198"/>
      <c r="S23" s="198"/>
      <c r="T23" s="198"/>
      <c r="U23" s="198"/>
    </row>
    <row r="24" spans="1:21" s="12" customFormat="1" x14ac:dyDescent="0.25">
      <c r="A24" s="214" t="s">
        <v>2855</v>
      </c>
      <c r="B24" s="64">
        <v>106.52</v>
      </c>
      <c r="C24" s="64">
        <v>81.94</v>
      </c>
      <c r="D24" s="64">
        <v>131.28</v>
      </c>
      <c r="E24" s="64">
        <v>0.44</v>
      </c>
      <c r="F24" s="64">
        <v>3.21</v>
      </c>
      <c r="G24" s="64">
        <v>148.76</v>
      </c>
      <c r="H24" s="64">
        <v>90.93</v>
      </c>
      <c r="I24" s="64">
        <v>1.5</v>
      </c>
      <c r="J24" s="64">
        <v>0.11</v>
      </c>
      <c r="K24" s="64">
        <v>314.36</v>
      </c>
      <c r="L24" s="64">
        <v>12.78</v>
      </c>
      <c r="M24" s="64">
        <v>97.83</v>
      </c>
      <c r="N24" s="64">
        <v>38.5</v>
      </c>
      <c r="O24" s="64">
        <v>0</v>
      </c>
      <c r="P24" s="64">
        <v>0.73</v>
      </c>
      <c r="Q24" s="64">
        <v>20.059999999999999</v>
      </c>
      <c r="R24" s="198"/>
      <c r="S24" s="198"/>
      <c r="T24" s="198"/>
      <c r="U24" s="198"/>
    </row>
    <row r="25" spans="1:21" s="12" customFormat="1" x14ac:dyDescent="0.25">
      <c r="A25" s="214" t="s">
        <v>2856</v>
      </c>
      <c r="B25" s="64">
        <v>101.42</v>
      </c>
      <c r="C25" s="64">
        <v>81.400000000000006</v>
      </c>
      <c r="D25" s="64">
        <v>126.9</v>
      </c>
      <c r="E25" s="64">
        <v>0.57999999999999996</v>
      </c>
      <c r="F25" s="64">
        <v>3.26</v>
      </c>
      <c r="G25" s="64">
        <v>150.33000000000001</v>
      </c>
      <c r="H25" s="64">
        <v>90.93</v>
      </c>
      <c r="I25" s="64">
        <v>1.48</v>
      </c>
      <c r="J25" s="64">
        <v>0.05</v>
      </c>
      <c r="K25" s="64">
        <v>259.33999999999997</v>
      </c>
      <c r="L25" s="64">
        <v>12.75</v>
      </c>
      <c r="M25" s="64">
        <v>97.83</v>
      </c>
      <c r="N25" s="64">
        <v>38.5</v>
      </c>
      <c r="O25" s="64">
        <v>0</v>
      </c>
      <c r="P25" s="64">
        <v>0.91</v>
      </c>
      <c r="Q25" s="64">
        <v>19.559999999999999</v>
      </c>
      <c r="R25" s="198"/>
      <c r="S25" s="198"/>
      <c r="T25" s="198"/>
      <c r="U25" s="198"/>
    </row>
    <row r="26" spans="1:21" s="12" customFormat="1" x14ac:dyDescent="0.25">
      <c r="A26" s="214" t="s">
        <v>2857</v>
      </c>
      <c r="B26" s="64">
        <v>95.4</v>
      </c>
      <c r="C26" s="64">
        <v>80.72</v>
      </c>
      <c r="D26" s="64">
        <v>121.7</v>
      </c>
      <c r="E26" s="64">
        <v>0.63</v>
      </c>
      <c r="F26" s="64">
        <v>3.39</v>
      </c>
      <c r="G26" s="64">
        <v>150.33000000000001</v>
      </c>
      <c r="H26" s="64">
        <v>90.93</v>
      </c>
      <c r="I26" s="64">
        <v>1.44</v>
      </c>
      <c r="J26" s="64">
        <v>0.1</v>
      </c>
      <c r="K26" s="64">
        <v>300.39999999999998</v>
      </c>
      <c r="L26" s="64">
        <v>12.94</v>
      </c>
      <c r="M26" s="64">
        <v>97.83</v>
      </c>
      <c r="N26" s="64">
        <v>38.5</v>
      </c>
      <c r="O26" s="64">
        <v>0</v>
      </c>
      <c r="P26" s="64">
        <v>0.82</v>
      </c>
      <c r="Q26" s="64">
        <v>19.37</v>
      </c>
      <c r="R26" s="198"/>
      <c r="S26" s="198"/>
      <c r="T26" s="198"/>
      <c r="U26" s="198"/>
    </row>
    <row r="27" spans="1:21" s="12" customFormat="1" x14ac:dyDescent="0.25">
      <c r="A27" s="214" t="s">
        <v>2858</v>
      </c>
      <c r="B27" s="64">
        <v>90.53</v>
      </c>
      <c r="C27" s="64">
        <v>80.319999999999993</v>
      </c>
      <c r="D27" s="64">
        <v>117.57</v>
      </c>
      <c r="E27" s="64">
        <v>0.62</v>
      </c>
      <c r="F27" s="64">
        <v>3.08</v>
      </c>
      <c r="G27" s="64">
        <v>150.33000000000001</v>
      </c>
      <c r="H27" s="64">
        <v>90.93</v>
      </c>
      <c r="I27" s="64">
        <v>1.44</v>
      </c>
      <c r="J27" s="64">
        <v>0.08</v>
      </c>
      <c r="K27" s="64">
        <v>284.08</v>
      </c>
      <c r="L27" s="64">
        <v>12.97</v>
      </c>
      <c r="M27" s="64">
        <v>97.83</v>
      </c>
      <c r="N27" s="64">
        <v>38.700000000000003</v>
      </c>
      <c r="O27" s="64">
        <v>0</v>
      </c>
      <c r="P27" s="64">
        <v>0.91</v>
      </c>
      <c r="Q27" s="64">
        <v>17.29</v>
      </c>
      <c r="R27" s="198"/>
      <c r="S27" s="198"/>
      <c r="T27" s="198"/>
      <c r="U27" s="198"/>
    </row>
    <row r="28" spans="1:21" s="12" customFormat="1" x14ac:dyDescent="0.25">
      <c r="A28" s="214" t="s">
        <v>2859</v>
      </c>
      <c r="B28" s="64">
        <v>86.18</v>
      </c>
      <c r="C28" s="64">
        <v>79.81</v>
      </c>
      <c r="D28" s="64">
        <v>113.8</v>
      </c>
      <c r="E28" s="64">
        <v>0.56000000000000005</v>
      </c>
      <c r="F28" s="64">
        <v>3.14</v>
      </c>
      <c r="G28" s="64">
        <v>154.29</v>
      </c>
      <c r="H28" s="64">
        <v>86.32</v>
      </c>
      <c r="I28" s="64">
        <v>1.45</v>
      </c>
      <c r="J28" s="64">
        <v>0.08</v>
      </c>
      <c r="K28" s="64">
        <v>308.77999999999997</v>
      </c>
      <c r="L28" s="64">
        <v>13.05</v>
      </c>
      <c r="M28" s="64">
        <v>97.83</v>
      </c>
      <c r="N28" s="64">
        <v>38.6</v>
      </c>
      <c r="O28" s="64">
        <v>0</v>
      </c>
      <c r="P28" s="64">
        <v>0.92</v>
      </c>
      <c r="Q28" s="64">
        <v>16.649999999999999</v>
      </c>
      <c r="R28" s="198"/>
      <c r="S28" s="198"/>
      <c r="T28" s="198"/>
      <c r="U28" s="198"/>
    </row>
    <row r="29" spans="1:21" s="12" customFormat="1" x14ac:dyDescent="0.25">
      <c r="A29" s="214" t="s">
        <v>2860</v>
      </c>
      <c r="B29" s="64">
        <v>84.8</v>
      </c>
      <c r="C29" s="64">
        <v>79.11</v>
      </c>
      <c r="D29" s="64">
        <v>112.31</v>
      </c>
      <c r="E29" s="64">
        <v>0.64</v>
      </c>
      <c r="F29" s="64">
        <v>3.34</v>
      </c>
      <c r="G29" s="64">
        <v>155.58000000000001</v>
      </c>
      <c r="H29" s="64">
        <v>86.32</v>
      </c>
      <c r="I29" s="64">
        <v>1.51</v>
      </c>
      <c r="J29" s="64">
        <v>0.12</v>
      </c>
      <c r="K29" s="64">
        <v>350.84</v>
      </c>
      <c r="L29" s="64">
        <v>13.06</v>
      </c>
      <c r="M29" s="64">
        <v>97.83</v>
      </c>
      <c r="N29" s="64">
        <v>38.799999999999997</v>
      </c>
      <c r="O29" s="64">
        <v>0</v>
      </c>
      <c r="P29" s="64">
        <v>1.1299999999999999</v>
      </c>
      <c r="Q29" s="64">
        <v>12.79</v>
      </c>
      <c r="R29" s="198"/>
      <c r="S29" s="198"/>
      <c r="T29" s="198"/>
      <c r="U29" s="198"/>
    </row>
    <row r="30" spans="1:21" s="12" customFormat="1" x14ac:dyDescent="0.25">
      <c r="A30" s="214" t="s">
        <v>2861</v>
      </c>
      <c r="B30" s="64">
        <v>85.85</v>
      </c>
      <c r="C30" s="64">
        <v>79.209999999999994</v>
      </c>
      <c r="D30" s="64">
        <v>113.2</v>
      </c>
      <c r="E30" s="64">
        <v>0.65</v>
      </c>
      <c r="F30" s="64">
        <v>3.39</v>
      </c>
      <c r="G30" s="64">
        <v>155.58000000000001</v>
      </c>
      <c r="H30" s="64">
        <v>86.32</v>
      </c>
      <c r="I30" s="64">
        <v>1.54</v>
      </c>
      <c r="J30" s="64">
        <v>0.06</v>
      </c>
      <c r="K30" s="64">
        <v>88.07</v>
      </c>
      <c r="L30" s="64">
        <v>13.02</v>
      </c>
      <c r="M30" s="64">
        <v>97.86</v>
      </c>
      <c r="N30" s="64">
        <v>38.6</v>
      </c>
      <c r="O30" s="64">
        <v>0</v>
      </c>
      <c r="P30" s="64">
        <v>1.25</v>
      </c>
      <c r="Q30" s="64">
        <v>9.18</v>
      </c>
      <c r="R30" s="198"/>
      <c r="S30" s="198"/>
      <c r="T30" s="198"/>
      <c r="U30" s="198"/>
    </row>
    <row r="31" spans="1:21" s="12" customFormat="1" x14ac:dyDescent="0.25">
      <c r="A31" s="214" t="s">
        <v>2862</v>
      </c>
      <c r="B31" s="64">
        <v>86.01</v>
      </c>
      <c r="C31" s="64">
        <v>78.959999999999994</v>
      </c>
      <c r="D31" s="64">
        <v>113.2</v>
      </c>
      <c r="E31" s="64">
        <v>0.79</v>
      </c>
      <c r="F31" s="64">
        <v>3.34</v>
      </c>
      <c r="G31" s="64">
        <v>155.58000000000001</v>
      </c>
      <c r="H31" s="64">
        <v>86.32</v>
      </c>
      <c r="I31" s="64">
        <v>1.5</v>
      </c>
      <c r="J31" s="64">
        <v>0.13</v>
      </c>
      <c r="K31" s="64">
        <v>98.15</v>
      </c>
      <c r="L31" s="64">
        <v>13.49</v>
      </c>
      <c r="M31" s="64">
        <v>97.84</v>
      </c>
      <c r="N31" s="64">
        <v>38.6</v>
      </c>
      <c r="O31" s="64">
        <v>0</v>
      </c>
      <c r="P31" s="64">
        <v>1.42</v>
      </c>
      <c r="Q31" s="64">
        <v>11.89</v>
      </c>
      <c r="R31" s="198"/>
      <c r="S31" s="198"/>
      <c r="T31" s="198"/>
      <c r="U31" s="198"/>
    </row>
    <row r="32" spans="1:21" s="12" customFormat="1" x14ac:dyDescent="0.25">
      <c r="A32" s="214" t="s">
        <v>2863</v>
      </c>
      <c r="B32" s="64">
        <v>84.13</v>
      </c>
      <c r="C32" s="64">
        <v>79.17</v>
      </c>
      <c r="D32" s="64">
        <v>111.81</v>
      </c>
      <c r="E32" s="64">
        <v>0.93</v>
      </c>
      <c r="F32" s="64">
        <v>3.17</v>
      </c>
      <c r="G32" s="64">
        <v>197.77</v>
      </c>
      <c r="H32" s="64">
        <v>95.58</v>
      </c>
      <c r="I32" s="64">
        <v>1.53</v>
      </c>
      <c r="J32" s="64">
        <v>0.22</v>
      </c>
      <c r="K32" s="64">
        <v>87.17</v>
      </c>
      <c r="L32" s="64">
        <v>13.61</v>
      </c>
      <c r="M32" s="64">
        <v>97.69</v>
      </c>
      <c r="N32" s="64">
        <v>38.6</v>
      </c>
      <c r="O32" s="64">
        <v>0</v>
      </c>
      <c r="P32" s="64">
        <v>1.46</v>
      </c>
      <c r="Q32" s="64">
        <v>14.46</v>
      </c>
      <c r="R32" s="198"/>
      <c r="S32" s="198"/>
      <c r="T32" s="198"/>
      <c r="U32" s="198"/>
    </row>
    <row r="33" spans="1:21" s="12" customFormat="1" x14ac:dyDescent="0.25">
      <c r="A33" s="214" t="s">
        <v>2864</v>
      </c>
      <c r="B33" s="64">
        <v>80.63</v>
      </c>
      <c r="C33" s="64">
        <v>78.61</v>
      </c>
      <c r="D33" s="64">
        <v>108.69</v>
      </c>
      <c r="E33" s="64">
        <v>0.94</v>
      </c>
      <c r="F33" s="64">
        <v>3.04</v>
      </c>
      <c r="G33" s="64">
        <v>210.61</v>
      </c>
      <c r="H33" s="64">
        <v>95.58</v>
      </c>
      <c r="I33" s="64">
        <v>1.46</v>
      </c>
      <c r="J33" s="64">
        <v>0.17</v>
      </c>
      <c r="K33" s="64">
        <v>71.8</v>
      </c>
      <c r="L33" s="64">
        <v>13.51</v>
      </c>
      <c r="M33" s="64">
        <v>97.62</v>
      </c>
      <c r="N33" s="64">
        <v>39.5</v>
      </c>
      <c r="O33" s="64">
        <v>0</v>
      </c>
      <c r="P33" s="64">
        <v>1.28</v>
      </c>
      <c r="Q33" s="64">
        <v>16.399999999999999</v>
      </c>
      <c r="R33" s="198"/>
      <c r="S33" s="198"/>
      <c r="T33" s="198"/>
      <c r="U33" s="198"/>
    </row>
    <row r="34" spans="1:21" s="12" customFormat="1" x14ac:dyDescent="0.25">
      <c r="A34" s="214" t="s">
        <v>2865</v>
      </c>
      <c r="B34" s="64">
        <v>76.430000000000007</v>
      </c>
      <c r="C34" s="64">
        <v>78.42</v>
      </c>
      <c r="D34" s="64">
        <v>105.22</v>
      </c>
      <c r="E34" s="64">
        <v>0.86</v>
      </c>
      <c r="F34" s="64">
        <v>3.22</v>
      </c>
      <c r="G34" s="64">
        <v>210.61</v>
      </c>
      <c r="H34" s="64">
        <v>95.58</v>
      </c>
      <c r="I34" s="64">
        <v>1.47</v>
      </c>
      <c r="J34" s="64">
        <v>0.04</v>
      </c>
      <c r="K34" s="64">
        <v>74.92</v>
      </c>
      <c r="L34" s="64">
        <v>13.23</v>
      </c>
      <c r="M34" s="64">
        <v>97.82</v>
      </c>
      <c r="N34" s="64">
        <v>42.1</v>
      </c>
      <c r="O34" s="64">
        <v>0</v>
      </c>
      <c r="P34" s="64">
        <v>1.1299999999999999</v>
      </c>
      <c r="Q34" s="64">
        <v>16.34</v>
      </c>
      <c r="R34" s="198"/>
      <c r="S34" s="198"/>
      <c r="T34" s="198"/>
      <c r="U34" s="198"/>
    </row>
    <row r="35" spans="1:21" s="12" customFormat="1" x14ac:dyDescent="0.25">
      <c r="A35" s="214" t="s">
        <v>2866</v>
      </c>
      <c r="B35" s="64">
        <v>72.459999999999994</v>
      </c>
      <c r="C35" s="64">
        <v>78.209999999999994</v>
      </c>
      <c r="D35" s="64">
        <v>101.91</v>
      </c>
      <c r="E35" s="64">
        <v>0.82</v>
      </c>
      <c r="F35" s="64">
        <v>3.17</v>
      </c>
      <c r="G35" s="64">
        <v>210.61</v>
      </c>
      <c r="H35" s="64">
        <v>95.58</v>
      </c>
      <c r="I35" s="64">
        <v>1.48</v>
      </c>
      <c r="J35" s="64">
        <v>0.1</v>
      </c>
      <c r="K35" s="64">
        <v>250.95</v>
      </c>
      <c r="L35" s="64">
        <v>13.25</v>
      </c>
      <c r="M35" s="64">
        <v>97.84</v>
      </c>
      <c r="N35" s="64">
        <v>49.5</v>
      </c>
      <c r="O35" s="64">
        <v>0</v>
      </c>
      <c r="P35" s="64">
        <v>1.1100000000000001</v>
      </c>
      <c r="Q35" s="64">
        <v>14.89</v>
      </c>
      <c r="R35" s="198"/>
      <c r="S35" s="198"/>
      <c r="T35" s="198"/>
      <c r="U35" s="198"/>
    </row>
    <row r="36" spans="1:21" s="12" customFormat="1" x14ac:dyDescent="0.25">
      <c r="A36" s="214" t="s">
        <v>2867</v>
      </c>
      <c r="B36" s="64">
        <v>72.010000000000005</v>
      </c>
      <c r="C36" s="64">
        <v>78.62</v>
      </c>
      <c r="D36" s="64">
        <v>101.78</v>
      </c>
      <c r="E36" s="64">
        <v>0.95</v>
      </c>
      <c r="F36" s="64">
        <v>3.15</v>
      </c>
      <c r="G36" s="64">
        <v>195.59</v>
      </c>
      <c r="H36" s="64">
        <v>102.78</v>
      </c>
      <c r="I36" s="64">
        <v>1.48</v>
      </c>
      <c r="J36" s="64">
        <v>0.15</v>
      </c>
      <c r="K36" s="64">
        <v>343.71</v>
      </c>
      <c r="L36" s="64">
        <v>13.37</v>
      </c>
      <c r="M36" s="64">
        <v>97.84</v>
      </c>
      <c r="N36" s="64">
        <v>68.099999999999994</v>
      </c>
      <c r="O36" s="64">
        <v>0</v>
      </c>
      <c r="P36" s="64">
        <v>1.41</v>
      </c>
      <c r="Q36" s="64">
        <v>5.42</v>
      </c>
      <c r="R36" s="198"/>
      <c r="S36" s="198"/>
      <c r="T36" s="198"/>
      <c r="U36" s="198"/>
    </row>
    <row r="37" spans="1:21" s="12" customFormat="1" x14ac:dyDescent="0.25">
      <c r="A37" s="214" t="s">
        <v>2868</v>
      </c>
      <c r="B37" s="64">
        <v>76.48</v>
      </c>
      <c r="C37" s="64">
        <v>79.52</v>
      </c>
      <c r="D37" s="64">
        <v>105.87</v>
      </c>
      <c r="E37" s="64">
        <v>1.03</v>
      </c>
      <c r="F37" s="64">
        <v>3.49</v>
      </c>
      <c r="G37" s="64">
        <v>191.02</v>
      </c>
      <c r="H37" s="64">
        <v>102.78</v>
      </c>
      <c r="I37" s="64">
        <v>1.47</v>
      </c>
      <c r="J37" s="64">
        <v>0.12</v>
      </c>
      <c r="K37" s="64">
        <v>344.07</v>
      </c>
      <c r="L37" s="64">
        <v>13.59</v>
      </c>
      <c r="M37" s="64">
        <v>97.84</v>
      </c>
      <c r="N37" s="64">
        <v>81.599999999999994</v>
      </c>
      <c r="O37" s="64">
        <v>0</v>
      </c>
      <c r="P37" s="64">
        <v>1.96</v>
      </c>
      <c r="Q37" s="64">
        <v>2.85</v>
      </c>
      <c r="R37" s="198"/>
      <c r="S37" s="198"/>
      <c r="T37" s="198"/>
      <c r="U37" s="198"/>
    </row>
    <row r="38" spans="1:21" s="12" customFormat="1" x14ac:dyDescent="0.25">
      <c r="A38" s="214" t="s">
        <v>2869</v>
      </c>
      <c r="B38" s="64">
        <v>81.12</v>
      </c>
      <c r="C38" s="64">
        <v>80.400000000000006</v>
      </c>
      <c r="D38" s="64">
        <v>110.07</v>
      </c>
      <c r="E38" s="64">
        <v>0.94</v>
      </c>
      <c r="F38" s="64">
        <v>3.64</v>
      </c>
      <c r="G38" s="64">
        <v>191.02</v>
      </c>
      <c r="H38" s="64">
        <v>102.78</v>
      </c>
      <c r="I38" s="64">
        <v>1.46</v>
      </c>
      <c r="J38" s="64">
        <v>7.0000000000000007E-2</v>
      </c>
      <c r="K38" s="64">
        <v>330.12</v>
      </c>
      <c r="L38" s="64">
        <v>14.16</v>
      </c>
      <c r="M38" s="64">
        <v>97.21</v>
      </c>
      <c r="N38" s="64">
        <v>98.5</v>
      </c>
      <c r="O38" s="64">
        <v>0</v>
      </c>
      <c r="P38" s="64">
        <v>2</v>
      </c>
      <c r="Q38" s="64">
        <v>4.13</v>
      </c>
      <c r="R38" s="198"/>
      <c r="S38" s="198"/>
      <c r="T38" s="198"/>
      <c r="U38" s="198"/>
    </row>
    <row r="39" spans="1:21" s="12" customFormat="1" x14ac:dyDescent="0.25">
      <c r="A39" s="214" t="s">
        <v>2870</v>
      </c>
      <c r="B39" s="64">
        <v>83.84</v>
      </c>
      <c r="C39" s="64">
        <v>81.03</v>
      </c>
      <c r="D39" s="64">
        <v>112.6</v>
      </c>
      <c r="E39" s="64">
        <v>0.91</v>
      </c>
      <c r="F39" s="64">
        <v>3.74</v>
      </c>
      <c r="G39" s="64">
        <v>191.02</v>
      </c>
      <c r="H39" s="64">
        <v>102.78</v>
      </c>
      <c r="I39" s="64">
        <v>1.51</v>
      </c>
      <c r="J39" s="64">
        <v>7.0000000000000007E-2</v>
      </c>
      <c r="K39" s="64">
        <v>230.76</v>
      </c>
      <c r="L39" s="64">
        <v>15.22</v>
      </c>
      <c r="M39" s="64">
        <v>91.95</v>
      </c>
      <c r="N39" s="64">
        <v>135.19999999999999</v>
      </c>
      <c r="O39" s="64">
        <v>0</v>
      </c>
      <c r="P39" s="64">
        <v>2.0499999999999998</v>
      </c>
      <c r="Q39" s="64">
        <v>6.84</v>
      </c>
      <c r="R39" s="198"/>
      <c r="S39" s="198"/>
      <c r="T39" s="198"/>
      <c r="U39" s="198"/>
    </row>
    <row r="40" spans="1:21" s="12" customFormat="1" x14ac:dyDescent="0.25">
      <c r="A40" s="214" t="s">
        <v>2871</v>
      </c>
      <c r="B40" s="64">
        <v>83.84</v>
      </c>
      <c r="C40" s="64">
        <v>81.03</v>
      </c>
      <c r="D40" s="64">
        <v>112.6</v>
      </c>
      <c r="E40" s="64">
        <v>0.91</v>
      </c>
      <c r="F40" s="64">
        <v>3.74</v>
      </c>
      <c r="G40" s="64">
        <v>191.02</v>
      </c>
      <c r="H40" s="64">
        <v>102.78</v>
      </c>
      <c r="I40" s="64">
        <v>1.51</v>
      </c>
      <c r="J40" s="64">
        <v>7.0000000000000007E-2</v>
      </c>
      <c r="K40" s="64">
        <v>230.76</v>
      </c>
      <c r="L40" s="64">
        <v>15.22</v>
      </c>
      <c r="M40" s="64">
        <v>91.95</v>
      </c>
      <c r="N40" s="64">
        <v>135.19999999999999</v>
      </c>
      <c r="O40" s="64">
        <v>0</v>
      </c>
      <c r="P40" s="64">
        <v>2.0499999999999998</v>
      </c>
      <c r="Q40" s="64">
        <v>6.84</v>
      </c>
      <c r="R40" s="198"/>
      <c r="S40" s="198"/>
      <c r="T40" s="198"/>
      <c r="U40" s="198"/>
    </row>
    <row r="41" spans="1:21" s="12" customFormat="1" x14ac:dyDescent="0.25">
      <c r="A41" s="214" t="s">
        <v>2872</v>
      </c>
      <c r="B41" s="64">
        <v>83.51</v>
      </c>
      <c r="C41" s="64">
        <v>82.34</v>
      </c>
      <c r="D41" s="64">
        <v>113.05</v>
      </c>
      <c r="E41" s="64">
        <v>0.68</v>
      </c>
      <c r="F41" s="64">
        <v>3.6</v>
      </c>
      <c r="G41" s="64">
        <v>225.28</v>
      </c>
      <c r="H41" s="64">
        <v>110.33</v>
      </c>
      <c r="I41" s="64">
        <v>1.47</v>
      </c>
      <c r="J41" s="64">
        <v>0.08</v>
      </c>
      <c r="K41" s="64">
        <v>172.49</v>
      </c>
      <c r="L41" s="64">
        <v>16.690000000000001</v>
      </c>
      <c r="M41" s="64">
        <v>82.83</v>
      </c>
      <c r="N41" s="64">
        <v>191.9</v>
      </c>
      <c r="O41" s="64">
        <v>0</v>
      </c>
      <c r="P41" s="64">
        <v>1.68</v>
      </c>
      <c r="Q41" s="64">
        <v>11.84</v>
      </c>
      <c r="R41" s="198"/>
      <c r="S41" s="198"/>
      <c r="T41" s="198"/>
      <c r="U41" s="198"/>
    </row>
    <row r="42" spans="1:21" s="12" customFormat="1" x14ac:dyDescent="0.25">
      <c r="A42" s="214" t="s">
        <v>2873</v>
      </c>
      <c r="B42" s="64">
        <v>78.69</v>
      </c>
      <c r="C42" s="64">
        <v>82.74</v>
      </c>
      <c r="D42" s="64">
        <v>109.41</v>
      </c>
      <c r="E42" s="64">
        <v>0.68</v>
      </c>
      <c r="F42" s="64">
        <v>3.62</v>
      </c>
      <c r="G42" s="64">
        <v>230.86</v>
      </c>
      <c r="H42" s="64">
        <v>110.33</v>
      </c>
      <c r="I42" s="64">
        <v>1.53</v>
      </c>
      <c r="J42" s="64">
        <v>0.11</v>
      </c>
      <c r="K42" s="64">
        <v>207.08</v>
      </c>
      <c r="L42" s="64">
        <v>17.73</v>
      </c>
      <c r="M42" s="64">
        <v>76.959999999999994</v>
      </c>
      <c r="N42" s="64">
        <v>228.7</v>
      </c>
      <c r="O42" s="64">
        <v>0</v>
      </c>
      <c r="P42" s="64">
        <v>1.49</v>
      </c>
      <c r="Q42" s="64">
        <v>16.62</v>
      </c>
      <c r="R42" s="198"/>
      <c r="S42" s="198"/>
      <c r="T42" s="198"/>
      <c r="U42" s="198"/>
    </row>
    <row r="43" spans="1:21" s="12" customFormat="1" x14ac:dyDescent="0.25">
      <c r="A43" s="214" t="s">
        <v>2874</v>
      </c>
      <c r="B43" s="64">
        <v>74.03</v>
      </c>
      <c r="C43" s="64">
        <v>83.06</v>
      </c>
      <c r="D43" s="64">
        <v>105.85</v>
      </c>
      <c r="E43" s="64">
        <v>0.65</v>
      </c>
      <c r="F43" s="64">
        <v>3.76</v>
      </c>
      <c r="G43" s="64">
        <v>230.86</v>
      </c>
      <c r="H43" s="64">
        <v>110.33</v>
      </c>
      <c r="I43" s="64">
        <v>1.5</v>
      </c>
      <c r="J43" s="64">
        <v>0.22</v>
      </c>
      <c r="K43" s="64">
        <v>151.58000000000001</v>
      </c>
      <c r="L43" s="64">
        <v>17.98</v>
      </c>
      <c r="M43" s="64">
        <v>74.69</v>
      </c>
      <c r="N43" s="64">
        <v>264.7</v>
      </c>
      <c r="O43" s="64">
        <v>0</v>
      </c>
      <c r="P43" s="64">
        <v>1.33</v>
      </c>
      <c r="Q43" s="64">
        <v>17.760000000000002</v>
      </c>
      <c r="R43" s="198"/>
      <c r="S43" s="198"/>
      <c r="T43" s="198"/>
      <c r="U43" s="198"/>
    </row>
    <row r="44" spans="1:21" s="12" customFormat="1" x14ac:dyDescent="0.25">
      <c r="A44" s="214" t="s">
        <v>2875</v>
      </c>
      <c r="B44" s="64">
        <v>69.12</v>
      </c>
      <c r="C44" s="64">
        <v>83.25</v>
      </c>
      <c r="D44" s="64">
        <v>102.02</v>
      </c>
      <c r="E44" s="64">
        <v>0.61</v>
      </c>
      <c r="F44" s="64">
        <v>4.43</v>
      </c>
      <c r="G44" s="64">
        <v>194.76</v>
      </c>
      <c r="H44" s="64">
        <v>107.24</v>
      </c>
      <c r="I44" s="64">
        <v>1.43</v>
      </c>
      <c r="J44" s="64">
        <v>0.2</v>
      </c>
      <c r="K44" s="64">
        <v>121.86</v>
      </c>
      <c r="L44" s="64">
        <v>18.79</v>
      </c>
      <c r="M44" s="64">
        <v>70.02</v>
      </c>
      <c r="N44" s="64">
        <v>322.5</v>
      </c>
      <c r="O44" s="64">
        <v>0</v>
      </c>
      <c r="P44" s="64">
        <v>1.22</v>
      </c>
      <c r="Q44" s="64">
        <v>17.96</v>
      </c>
      <c r="R44" s="198"/>
      <c r="S44" s="198"/>
      <c r="T44" s="198"/>
      <c r="U44" s="198"/>
    </row>
    <row r="45" spans="1:21" s="12" customFormat="1" x14ac:dyDescent="0.25">
      <c r="A45" s="214" t="s">
        <v>2876</v>
      </c>
      <c r="B45" s="64">
        <v>64.06</v>
      </c>
      <c r="C45" s="64">
        <v>82.83</v>
      </c>
      <c r="D45" s="64">
        <v>97.73</v>
      </c>
      <c r="E45" s="64">
        <v>0.62</v>
      </c>
      <c r="F45" s="64">
        <v>4.7</v>
      </c>
      <c r="G45" s="64">
        <v>183.78</v>
      </c>
      <c r="H45" s="64">
        <v>107.24</v>
      </c>
      <c r="I45" s="64">
        <v>1.5</v>
      </c>
      <c r="J45" s="64">
        <v>0.62</v>
      </c>
      <c r="K45" s="64">
        <v>115.49</v>
      </c>
      <c r="L45" s="64">
        <v>19.2</v>
      </c>
      <c r="M45" s="64">
        <v>63.12</v>
      </c>
      <c r="N45" s="64">
        <v>373.2</v>
      </c>
      <c r="O45" s="64">
        <v>0</v>
      </c>
      <c r="P45" s="64">
        <v>1.23</v>
      </c>
      <c r="Q45" s="64">
        <v>15.44</v>
      </c>
      <c r="R45" s="198"/>
      <c r="S45" s="198"/>
      <c r="T45" s="198"/>
      <c r="U45" s="198"/>
    </row>
    <row r="46" spans="1:21" s="12" customFormat="1" x14ac:dyDescent="0.25">
      <c r="A46" s="214" t="s">
        <v>2877</v>
      </c>
      <c r="B46" s="64">
        <v>58.25</v>
      </c>
      <c r="C46" s="64">
        <v>82.99</v>
      </c>
      <c r="D46" s="64">
        <v>93.16</v>
      </c>
      <c r="E46" s="64">
        <v>0.59</v>
      </c>
      <c r="F46" s="64">
        <v>5.54</v>
      </c>
      <c r="G46" s="64">
        <v>183.78</v>
      </c>
      <c r="H46" s="64">
        <v>107.24</v>
      </c>
      <c r="I46" s="64">
        <v>1.51</v>
      </c>
      <c r="J46" s="64">
        <v>0.19</v>
      </c>
      <c r="K46" s="64">
        <v>131.21</v>
      </c>
      <c r="L46" s="64">
        <v>20.79</v>
      </c>
      <c r="M46" s="64">
        <v>57.91</v>
      </c>
      <c r="N46" s="64">
        <v>385.2</v>
      </c>
      <c r="O46" s="64">
        <v>0</v>
      </c>
      <c r="P46" s="64">
        <v>1.0900000000000001</v>
      </c>
      <c r="Q46" s="64">
        <v>15.06</v>
      </c>
      <c r="R46" s="198"/>
      <c r="S46" s="198"/>
      <c r="T46" s="198"/>
      <c r="U46" s="198"/>
    </row>
    <row r="47" spans="1:21" s="12" customFormat="1" x14ac:dyDescent="0.25">
      <c r="A47" s="214" t="s">
        <v>2878</v>
      </c>
      <c r="B47" s="64">
        <v>52.66</v>
      </c>
      <c r="C47" s="64">
        <v>84.06</v>
      </c>
      <c r="D47" s="64">
        <v>89.26</v>
      </c>
      <c r="E47" s="64">
        <v>0.56000000000000005</v>
      </c>
      <c r="F47" s="64">
        <v>5.9</v>
      </c>
      <c r="G47" s="64">
        <v>183.78</v>
      </c>
      <c r="H47" s="64">
        <v>107.24</v>
      </c>
      <c r="I47" s="64">
        <v>1.48</v>
      </c>
      <c r="J47" s="64">
        <v>0.53</v>
      </c>
      <c r="K47" s="64">
        <v>156</v>
      </c>
      <c r="L47" s="64">
        <v>21.54</v>
      </c>
      <c r="M47" s="64">
        <v>54.28</v>
      </c>
      <c r="N47" s="64">
        <v>388.9</v>
      </c>
      <c r="O47" s="64">
        <v>0</v>
      </c>
      <c r="P47" s="64">
        <v>1.1599999999999999</v>
      </c>
      <c r="Q47" s="64">
        <v>13.59</v>
      </c>
      <c r="R47" s="198"/>
      <c r="S47" s="198"/>
      <c r="T47" s="198"/>
      <c r="U47" s="198"/>
    </row>
    <row r="48" spans="1:21" s="12" customFormat="1" x14ac:dyDescent="0.25">
      <c r="A48" s="214" t="s">
        <v>2879</v>
      </c>
      <c r="B48" s="64">
        <v>46.96</v>
      </c>
      <c r="C48" s="64">
        <v>85.16</v>
      </c>
      <c r="D48" s="64">
        <v>85.3</v>
      </c>
      <c r="E48" s="64">
        <v>0.65</v>
      </c>
      <c r="F48" s="64">
        <v>5.23</v>
      </c>
      <c r="G48" s="64">
        <v>141.46</v>
      </c>
      <c r="H48" s="64">
        <v>90.79</v>
      </c>
      <c r="I48" s="64">
        <v>1.48</v>
      </c>
      <c r="J48" s="64">
        <v>0.46</v>
      </c>
      <c r="K48" s="64">
        <v>164.09</v>
      </c>
      <c r="L48" s="64">
        <v>20.72</v>
      </c>
      <c r="M48" s="64">
        <v>57.36</v>
      </c>
      <c r="N48" s="64">
        <v>394.1</v>
      </c>
      <c r="O48" s="64">
        <v>0</v>
      </c>
      <c r="P48" s="64">
        <v>1.3</v>
      </c>
      <c r="Q48" s="64">
        <v>11.92</v>
      </c>
      <c r="R48" s="198"/>
      <c r="S48" s="198"/>
      <c r="T48" s="198"/>
      <c r="U48" s="198"/>
    </row>
    <row r="49" spans="1:21" s="12" customFormat="1" x14ac:dyDescent="0.25">
      <c r="A49" s="214" t="s">
        <v>2880</v>
      </c>
      <c r="B49" s="64">
        <v>40.94</v>
      </c>
      <c r="C49" s="64">
        <v>85.88</v>
      </c>
      <c r="D49" s="64">
        <v>80.87</v>
      </c>
      <c r="E49" s="64">
        <v>0.64</v>
      </c>
      <c r="F49" s="64">
        <v>5.39</v>
      </c>
      <c r="G49" s="64">
        <v>128.58000000000001</v>
      </c>
      <c r="H49" s="64">
        <v>90.79</v>
      </c>
      <c r="I49" s="64">
        <v>1.47</v>
      </c>
      <c r="J49" s="64">
        <v>0.27</v>
      </c>
      <c r="K49" s="64">
        <v>137.55000000000001</v>
      </c>
      <c r="L49" s="64">
        <v>21.46</v>
      </c>
      <c r="M49" s="64">
        <v>57.43</v>
      </c>
      <c r="N49" s="64">
        <v>452.1</v>
      </c>
      <c r="O49" s="64">
        <v>0</v>
      </c>
      <c r="P49" s="64">
        <v>1.17</v>
      </c>
      <c r="Q49" s="64">
        <v>11.23</v>
      </c>
      <c r="R49" s="198"/>
      <c r="S49" s="198"/>
      <c r="T49" s="198"/>
      <c r="U49" s="198"/>
    </row>
    <row r="50" spans="1:21" s="12" customFormat="1" x14ac:dyDescent="0.25">
      <c r="A50" s="214" t="s">
        <v>2881</v>
      </c>
      <c r="B50" s="64">
        <v>35.6</v>
      </c>
      <c r="C50" s="64">
        <v>86.64</v>
      </c>
      <c r="D50" s="64">
        <v>77.010000000000005</v>
      </c>
      <c r="E50" s="64">
        <v>0.56000000000000005</v>
      </c>
      <c r="F50" s="64">
        <v>5.71</v>
      </c>
      <c r="G50" s="64">
        <v>128.58000000000001</v>
      </c>
      <c r="H50" s="64">
        <v>90.79</v>
      </c>
      <c r="I50" s="64">
        <v>1.54</v>
      </c>
      <c r="J50" s="64">
        <v>0.56999999999999995</v>
      </c>
      <c r="K50" s="64">
        <v>138.22</v>
      </c>
      <c r="L50" s="64">
        <v>22.63</v>
      </c>
      <c r="M50" s="64">
        <v>51.44</v>
      </c>
      <c r="N50" s="64">
        <v>503.5</v>
      </c>
      <c r="O50" s="64">
        <v>0</v>
      </c>
      <c r="P50" s="64">
        <v>1.1299999999999999</v>
      </c>
      <c r="Q50" s="64">
        <v>10.55</v>
      </c>
      <c r="R50" s="198"/>
      <c r="S50" s="198"/>
      <c r="T50" s="198"/>
      <c r="U50" s="198"/>
    </row>
    <row r="51" spans="1:21" s="12" customFormat="1" x14ac:dyDescent="0.25">
      <c r="A51" s="214" t="s">
        <v>2882</v>
      </c>
      <c r="B51" s="64">
        <v>18.100000000000001</v>
      </c>
      <c r="C51" s="64">
        <v>89.78</v>
      </c>
      <c r="D51" s="64">
        <v>64.709999999999994</v>
      </c>
      <c r="E51" s="64">
        <v>0.6</v>
      </c>
      <c r="F51" s="64">
        <v>6.39</v>
      </c>
      <c r="G51" s="64">
        <v>128.58000000000001</v>
      </c>
      <c r="H51" s="64">
        <v>90.79</v>
      </c>
      <c r="I51" s="64">
        <v>1.52</v>
      </c>
      <c r="J51" s="64">
        <v>0.69</v>
      </c>
      <c r="K51" s="64">
        <v>145.34</v>
      </c>
      <c r="L51" s="64">
        <v>22.86</v>
      </c>
      <c r="M51" s="64">
        <v>49.31</v>
      </c>
      <c r="N51" s="64">
        <v>539.79999999999995</v>
      </c>
      <c r="O51" s="64">
        <v>0</v>
      </c>
      <c r="P51" s="64">
        <v>0.96</v>
      </c>
      <c r="Q51" s="64">
        <v>10</v>
      </c>
      <c r="R51" s="198"/>
      <c r="S51" s="198"/>
      <c r="T51" s="198"/>
      <c r="U51" s="198"/>
    </row>
    <row r="52" spans="1:21" s="12" customFormat="1" x14ac:dyDescent="0.25">
      <c r="A52" s="214" t="s">
        <v>2883</v>
      </c>
      <c r="B52" s="64">
        <v>7.4</v>
      </c>
      <c r="C52" s="64">
        <v>89.98</v>
      </c>
      <c r="D52" s="64">
        <v>56.24</v>
      </c>
      <c r="E52" s="64">
        <v>0.6</v>
      </c>
      <c r="F52" s="64">
        <v>4.72</v>
      </c>
      <c r="G52" s="64">
        <v>89.76</v>
      </c>
      <c r="H52" s="64">
        <v>75.59</v>
      </c>
      <c r="I52" s="64">
        <v>1.47</v>
      </c>
      <c r="J52" s="64">
        <v>0.52</v>
      </c>
      <c r="K52" s="64">
        <v>137.91999999999999</v>
      </c>
      <c r="L52" s="64">
        <v>23.13</v>
      </c>
      <c r="M52" s="64">
        <v>49.14</v>
      </c>
      <c r="N52" s="64">
        <v>551.70000000000005</v>
      </c>
      <c r="O52" s="64">
        <v>0</v>
      </c>
      <c r="P52" s="64">
        <v>1</v>
      </c>
      <c r="Q52" s="64">
        <v>8.61</v>
      </c>
      <c r="R52" s="198"/>
      <c r="S52" s="198"/>
      <c r="T52" s="198"/>
      <c r="U52" s="198"/>
    </row>
    <row r="53" spans="1:21" s="12" customFormat="1" x14ac:dyDescent="0.25">
      <c r="A53" s="214" t="s">
        <v>2884</v>
      </c>
      <c r="B53" s="64">
        <v>5.64</v>
      </c>
      <c r="C53" s="64">
        <v>87.22</v>
      </c>
      <c r="D53" s="64">
        <v>53.3</v>
      </c>
      <c r="E53" s="64">
        <v>0.53</v>
      </c>
      <c r="F53" s="64">
        <v>4.07</v>
      </c>
      <c r="G53" s="64">
        <v>77.95</v>
      </c>
      <c r="H53" s="64">
        <v>75.59</v>
      </c>
      <c r="I53" s="64">
        <v>1.52</v>
      </c>
      <c r="J53" s="64">
        <v>0.74</v>
      </c>
      <c r="K53" s="64">
        <v>125.64</v>
      </c>
      <c r="L53" s="64">
        <v>23.31</v>
      </c>
      <c r="M53" s="64">
        <v>48.05</v>
      </c>
      <c r="N53" s="64">
        <v>558</v>
      </c>
      <c r="O53" s="64">
        <v>0</v>
      </c>
      <c r="P53" s="64">
        <v>0.99</v>
      </c>
      <c r="Q53" s="64">
        <v>7.85</v>
      </c>
      <c r="R53" s="198"/>
      <c r="S53" s="198"/>
      <c r="T53" s="198"/>
      <c r="U53" s="198"/>
    </row>
    <row r="54" spans="1:21" s="12" customFormat="1" x14ac:dyDescent="0.25">
      <c r="A54" s="214" t="s">
        <v>2885</v>
      </c>
      <c r="B54" s="64">
        <v>4.3099999999999996</v>
      </c>
      <c r="C54" s="64">
        <v>83.8</v>
      </c>
      <c r="D54" s="64">
        <v>50.35</v>
      </c>
      <c r="E54" s="64">
        <v>0.44</v>
      </c>
      <c r="F54" s="64">
        <v>3.87</v>
      </c>
      <c r="G54" s="64">
        <v>77.95</v>
      </c>
      <c r="H54" s="64">
        <v>75.59</v>
      </c>
      <c r="I54" s="64">
        <v>1.51</v>
      </c>
      <c r="J54" s="64">
        <v>0.27</v>
      </c>
      <c r="K54" s="64">
        <v>151.78</v>
      </c>
      <c r="L54" s="64">
        <v>23.81</v>
      </c>
      <c r="M54" s="64">
        <v>46.88</v>
      </c>
      <c r="N54" s="64">
        <v>551.70000000000005</v>
      </c>
      <c r="O54" s="64">
        <v>0</v>
      </c>
      <c r="P54" s="64">
        <v>0.93</v>
      </c>
      <c r="Q54" s="64">
        <v>7.21</v>
      </c>
      <c r="R54" s="198"/>
      <c r="S54" s="198"/>
      <c r="T54" s="198"/>
      <c r="U54" s="198"/>
    </row>
    <row r="55" spans="1:21" s="12" customFormat="1" x14ac:dyDescent="0.25">
      <c r="A55" s="214" t="s">
        <v>2886</v>
      </c>
      <c r="B55" s="64">
        <v>3.2</v>
      </c>
      <c r="C55" s="64">
        <v>79.23</v>
      </c>
      <c r="D55" s="64">
        <v>46.94</v>
      </c>
      <c r="E55" s="64">
        <v>0.4</v>
      </c>
      <c r="F55" s="64">
        <v>4</v>
      </c>
      <c r="G55" s="64">
        <v>77.95</v>
      </c>
      <c r="H55" s="64">
        <v>75.59</v>
      </c>
      <c r="I55" s="64">
        <v>1.45</v>
      </c>
      <c r="J55" s="64">
        <v>0.36</v>
      </c>
      <c r="K55" s="64">
        <v>105.17</v>
      </c>
      <c r="L55" s="64">
        <v>24.26</v>
      </c>
      <c r="M55" s="64">
        <v>45.69</v>
      </c>
      <c r="N55" s="64">
        <v>551.4</v>
      </c>
      <c r="O55" s="64">
        <v>0</v>
      </c>
      <c r="P55" s="64">
        <v>0.89</v>
      </c>
      <c r="Q55" s="64">
        <v>5.85</v>
      </c>
      <c r="R55" s="198"/>
      <c r="S55" s="198"/>
      <c r="T55" s="198"/>
      <c r="U55" s="198"/>
    </row>
    <row r="56" spans="1:21" s="12" customFormat="1" x14ac:dyDescent="0.25">
      <c r="A56" s="214" t="s">
        <v>2887</v>
      </c>
      <c r="B56" s="64">
        <v>3.15</v>
      </c>
      <c r="C56" s="64">
        <v>76.099999999999994</v>
      </c>
      <c r="D56" s="64">
        <v>45.17</v>
      </c>
      <c r="E56" s="64">
        <v>0.16</v>
      </c>
      <c r="F56" s="64">
        <v>4.67</v>
      </c>
      <c r="G56" s="64">
        <v>89.85</v>
      </c>
      <c r="H56" s="64">
        <v>67.599999999999994</v>
      </c>
      <c r="I56" s="64">
        <v>1.51</v>
      </c>
      <c r="J56" s="64">
        <v>0</v>
      </c>
      <c r="K56" s="64">
        <v>192.98</v>
      </c>
      <c r="L56" s="64">
        <v>24.7</v>
      </c>
      <c r="M56" s="64">
        <v>43.96</v>
      </c>
      <c r="N56" s="64">
        <v>536.1</v>
      </c>
      <c r="O56" s="64">
        <v>0</v>
      </c>
      <c r="P56" s="64">
        <v>0.84</v>
      </c>
      <c r="Q56" s="64">
        <v>6.64</v>
      </c>
      <c r="R56" s="198"/>
      <c r="S56" s="198"/>
      <c r="T56" s="198"/>
      <c r="U56" s="198"/>
    </row>
    <row r="57" spans="1:21" s="12" customFormat="1" x14ac:dyDescent="0.25">
      <c r="A57" s="214" t="s">
        <v>2888</v>
      </c>
      <c r="B57" s="64">
        <v>2.3199999999999998</v>
      </c>
      <c r="C57" s="64">
        <v>71.900000000000006</v>
      </c>
      <c r="D57" s="64">
        <v>42.19</v>
      </c>
      <c r="E57" s="64">
        <v>0.31</v>
      </c>
      <c r="F57" s="64">
        <v>7.44</v>
      </c>
      <c r="G57" s="64">
        <v>93.47</v>
      </c>
      <c r="H57" s="64">
        <v>67.599999999999994</v>
      </c>
      <c r="I57" s="64">
        <v>1.51</v>
      </c>
      <c r="J57" s="64">
        <v>0.36</v>
      </c>
      <c r="K57" s="64">
        <v>135.47</v>
      </c>
      <c r="L57" s="64">
        <v>25.08</v>
      </c>
      <c r="M57" s="64">
        <v>43.2</v>
      </c>
      <c r="N57" s="64">
        <v>541</v>
      </c>
      <c r="O57" s="64">
        <v>0</v>
      </c>
      <c r="P57" s="64">
        <v>0.75</v>
      </c>
      <c r="Q57" s="64">
        <v>6.95</v>
      </c>
      <c r="R57" s="198"/>
      <c r="S57" s="198"/>
      <c r="T57" s="198"/>
      <c r="U57" s="198"/>
    </row>
    <row r="58" spans="1:21" s="12" customFormat="1" x14ac:dyDescent="0.25">
      <c r="A58" s="214" t="s">
        <v>2889</v>
      </c>
      <c r="B58" s="64">
        <v>1.82</v>
      </c>
      <c r="C58" s="64">
        <v>68</v>
      </c>
      <c r="D58" s="64">
        <v>39.630000000000003</v>
      </c>
      <c r="E58" s="64">
        <v>0.33</v>
      </c>
      <c r="F58" s="64">
        <v>8.75</v>
      </c>
      <c r="G58" s="64">
        <v>93.47</v>
      </c>
      <c r="H58" s="64">
        <v>67.599999999999994</v>
      </c>
      <c r="I58" s="64">
        <v>1.45</v>
      </c>
      <c r="J58" s="64">
        <v>0.15</v>
      </c>
      <c r="K58" s="64">
        <v>139.13</v>
      </c>
      <c r="L58" s="64">
        <v>25.81</v>
      </c>
      <c r="M58" s="64">
        <v>41.58</v>
      </c>
      <c r="N58" s="64">
        <v>523.70000000000005</v>
      </c>
      <c r="O58" s="64">
        <v>0</v>
      </c>
      <c r="P58" s="64">
        <v>0.66</v>
      </c>
      <c r="Q58" s="64">
        <v>7.02</v>
      </c>
      <c r="R58" s="198"/>
      <c r="S58" s="198"/>
      <c r="T58" s="198"/>
      <c r="U58" s="198"/>
    </row>
    <row r="59" spans="1:21" s="12" customFormat="1" x14ac:dyDescent="0.25">
      <c r="A59" s="214" t="s">
        <v>2890</v>
      </c>
      <c r="B59" s="64">
        <v>1.95</v>
      </c>
      <c r="C59" s="64">
        <v>70.78</v>
      </c>
      <c r="D59" s="64">
        <v>41.27</v>
      </c>
      <c r="E59" s="64">
        <v>0.43</v>
      </c>
      <c r="F59" s="64">
        <v>5.99</v>
      </c>
      <c r="G59" s="64">
        <v>93.47</v>
      </c>
      <c r="H59" s="64">
        <v>67.599999999999994</v>
      </c>
      <c r="I59" s="64">
        <v>1.49</v>
      </c>
      <c r="J59" s="64">
        <v>0.36</v>
      </c>
      <c r="K59" s="64">
        <v>169.86</v>
      </c>
      <c r="L59" s="64">
        <v>25.36</v>
      </c>
      <c r="M59" s="64">
        <v>40.299999999999997</v>
      </c>
      <c r="N59" s="64">
        <v>463.7</v>
      </c>
      <c r="O59" s="64">
        <v>0</v>
      </c>
      <c r="P59" s="64">
        <v>0.64</v>
      </c>
      <c r="Q59" s="64">
        <v>6.87</v>
      </c>
      <c r="R59" s="198"/>
      <c r="S59" s="198"/>
      <c r="T59" s="198"/>
      <c r="U59" s="198"/>
    </row>
    <row r="60" spans="1:21" s="12" customFormat="1" x14ac:dyDescent="0.25">
      <c r="A60" s="214" t="s">
        <v>2891</v>
      </c>
      <c r="B60" s="64">
        <v>2.41</v>
      </c>
      <c r="C60" s="64">
        <v>67.05</v>
      </c>
      <c r="D60" s="64">
        <v>39.58</v>
      </c>
      <c r="E60" s="64">
        <v>0.34</v>
      </c>
      <c r="F60" s="64">
        <v>4.71</v>
      </c>
      <c r="G60" s="64">
        <v>81.739999999999995</v>
      </c>
      <c r="H60" s="64">
        <v>57.59</v>
      </c>
      <c r="I60" s="64">
        <v>1.5</v>
      </c>
      <c r="J60" s="64">
        <v>0.38</v>
      </c>
      <c r="K60" s="64">
        <v>128.76</v>
      </c>
      <c r="L60" s="64">
        <v>25.5</v>
      </c>
      <c r="M60" s="64">
        <v>38.299999999999997</v>
      </c>
      <c r="N60" s="64">
        <v>517</v>
      </c>
      <c r="O60" s="64">
        <v>0</v>
      </c>
      <c r="P60" s="64">
        <v>0.64</v>
      </c>
      <c r="Q60" s="64">
        <v>6.78</v>
      </c>
      <c r="R60" s="198"/>
      <c r="S60" s="198"/>
      <c r="T60" s="198"/>
      <c r="U60" s="198"/>
    </row>
    <row r="61" spans="1:21" s="12" customFormat="1" x14ac:dyDescent="0.25">
      <c r="A61" s="214" t="s">
        <v>2892</v>
      </c>
      <c r="B61" s="64">
        <v>2.58</v>
      </c>
      <c r="C61" s="64">
        <v>68.63</v>
      </c>
      <c r="D61" s="64">
        <v>40.590000000000003</v>
      </c>
      <c r="E61" s="64">
        <v>0.34</v>
      </c>
      <c r="F61" s="64">
        <v>5.25</v>
      </c>
      <c r="G61" s="64">
        <v>78.180000000000007</v>
      </c>
      <c r="H61" s="64">
        <v>57.59</v>
      </c>
      <c r="I61" s="64">
        <v>1.5</v>
      </c>
      <c r="J61" s="64">
        <v>0.24</v>
      </c>
      <c r="K61" s="64">
        <v>123.04</v>
      </c>
      <c r="L61" s="64">
        <v>26.06</v>
      </c>
      <c r="M61" s="64">
        <v>36.49</v>
      </c>
      <c r="N61" s="64">
        <v>509.4</v>
      </c>
      <c r="O61" s="64">
        <v>0</v>
      </c>
      <c r="P61" s="64">
        <v>0.64</v>
      </c>
      <c r="Q61" s="64">
        <v>6.7</v>
      </c>
      <c r="R61" s="198"/>
      <c r="S61" s="198"/>
      <c r="T61" s="198"/>
      <c r="U61" s="198"/>
    </row>
    <row r="62" spans="1:21" s="12" customFormat="1" x14ac:dyDescent="0.25">
      <c r="A62" s="214" t="s">
        <v>2893</v>
      </c>
      <c r="B62" s="64">
        <v>2.44</v>
      </c>
      <c r="C62" s="64">
        <v>69.89</v>
      </c>
      <c r="D62" s="64">
        <v>41.17</v>
      </c>
      <c r="E62" s="64">
        <v>0.34</v>
      </c>
      <c r="F62" s="64">
        <v>4.88</v>
      </c>
      <c r="G62" s="64">
        <v>78.180000000000007</v>
      </c>
      <c r="H62" s="64">
        <v>57.59</v>
      </c>
      <c r="I62" s="64">
        <v>1.49</v>
      </c>
      <c r="J62" s="64">
        <v>0.14000000000000001</v>
      </c>
      <c r="K62" s="64">
        <v>1.52</v>
      </c>
      <c r="L62" s="64">
        <v>26.73</v>
      </c>
      <c r="M62" s="64">
        <v>35.049999999999997</v>
      </c>
      <c r="N62" s="64">
        <v>460.4</v>
      </c>
      <c r="O62" s="64">
        <v>0</v>
      </c>
      <c r="P62" s="64">
        <v>0.66</v>
      </c>
      <c r="Q62" s="64">
        <v>6.59</v>
      </c>
      <c r="R62" s="198"/>
      <c r="S62" s="198"/>
      <c r="T62" s="198"/>
      <c r="U62" s="198"/>
    </row>
    <row r="63" spans="1:21" s="12" customFormat="1" x14ac:dyDescent="0.25">
      <c r="A63" s="214" t="s">
        <v>2894</v>
      </c>
      <c r="B63" s="64">
        <v>2.97</v>
      </c>
      <c r="C63" s="64">
        <v>71.13</v>
      </c>
      <c r="D63" s="64">
        <v>42.28</v>
      </c>
      <c r="E63" s="64">
        <v>0.44</v>
      </c>
      <c r="F63" s="64">
        <v>4.0599999999999996</v>
      </c>
      <c r="G63" s="64">
        <v>78.180000000000007</v>
      </c>
      <c r="H63" s="64">
        <v>57.59</v>
      </c>
      <c r="I63" s="64">
        <v>1.5</v>
      </c>
      <c r="J63" s="64">
        <v>0.65</v>
      </c>
      <c r="K63" s="64">
        <v>333.25</v>
      </c>
      <c r="L63" s="64">
        <v>28.43</v>
      </c>
      <c r="M63" s="64">
        <v>31.64</v>
      </c>
      <c r="N63" s="64">
        <v>443.4</v>
      </c>
      <c r="O63" s="64">
        <v>0</v>
      </c>
      <c r="P63" s="64">
        <v>0.66</v>
      </c>
      <c r="Q63" s="64">
        <v>6.52</v>
      </c>
      <c r="R63" s="198"/>
      <c r="S63" s="198"/>
      <c r="T63" s="198"/>
      <c r="U63" s="198"/>
    </row>
    <row r="64" spans="1:21" s="12" customFormat="1" x14ac:dyDescent="0.25">
      <c r="A64" s="214" t="s">
        <v>2895</v>
      </c>
      <c r="B64" s="64">
        <v>3.91</v>
      </c>
      <c r="C64" s="64">
        <v>73.180000000000007</v>
      </c>
      <c r="D64" s="64">
        <v>44.17</v>
      </c>
      <c r="E64" s="64">
        <v>0.36</v>
      </c>
      <c r="F64" s="64">
        <v>3.95</v>
      </c>
      <c r="G64" s="64">
        <v>71.03</v>
      </c>
      <c r="H64" s="64">
        <v>50.25</v>
      </c>
      <c r="I64" s="64">
        <v>1.48</v>
      </c>
      <c r="J64" s="64">
        <v>0.88</v>
      </c>
      <c r="K64" s="64">
        <v>339.1</v>
      </c>
      <c r="L64" s="64">
        <v>28.55</v>
      </c>
      <c r="M64" s="64">
        <v>30.53</v>
      </c>
      <c r="N64" s="64">
        <v>246.2</v>
      </c>
      <c r="O64" s="64">
        <v>0</v>
      </c>
      <c r="P64" s="64">
        <v>0.66</v>
      </c>
      <c r="Q64" s="64">
        <v>6.5</v>
      </c>
      <c r="R64" s="198"/>
      <c r="S64" s="198"/>
      <c r="T64" s="198"/>
      <c r="U64" s="198"/>
    </row>
    <row r="65" spans="1:21" s="12" customFormat="1" x14ac:dyDescent="0.25">
      <c r="A65" s="214" t="s">
        <v>2896</v>
      </c>
      <c r="B65" s="64">
        <v>4.53</v>
      </c>
      <c r="C65" s="64">
        <v>75.010000000000005</v>
      </c>
      <c r="D65" s="64">
        <v>45.67</v>
      </c>
      <c r="E65" s="64">
        <v>0.31</v>
      </c>
      <c r="F65" s="64">
        <v>3.85</v>
      </c>
      <c r="G65" s="64">
        <v>68.86</v>
      </c>
      <c r="H65" s="64">
        <v>50.25</v>
      </c>
      <c r="I65" s="64">
        <v>1.55</v>
      </c>
      <c r="J65" s="64">
        <v>0.64</v>
      </c>
      <c r="K65" s="64">
        <v>342.47</v>
      </c>
      <c r="L65" s="64">
        <v>28.21</v>
      </c>
      <c r="M65" s="64">
        <v>30.47</v>
      </c>
      <c r="N65" s="64">
        <v>202.4</v>
      </c>
      <c r="O65" s="64">
        <v>0</v>
      </c>
      <c r="P65" s="64">
        <v>0.64</v>
      </c>
      <c r="Q65" s="64">
        <v>6.47</v>
      </c>
      <c r="R65" s="198"/>
      <c r="S65" s="198"/>
      <c r="T65" s="198"/>
      <c r="U65" s="198"/>
    </row>
    <row r="66" spans="1:21" s="12" customFormat="1" x14ac:dyDescent="0.25">
      <c r="A66" s="214" t="s">
        <v>2897</v>
      </c>
      <c r="B66" s="64">
        <v>4.78</v>
      </c>
      <c r="C66" s="64">
        <v>75.959999999999994</v>
      </c>
      <c r="D66" s="64">
        <v>46.4</v>
      </c>
      <c r="E66" s="64">
        <v>0.34</v>
      </c>
      <c r="F66" s="64">
        <v>3.8</v>
      </c>
      <c r="G66" s="64">
        <v>68.86</v>
      </c>
      <c r="H66" s="64">
        <v>50.25</v>
      </c>
      <c r="I66" s="64">
        <v>1.48</v>
      </c>
      <c r="J66" s="64">
        <v>0.03</v>
      </c>
      <c r="K66" s="64">
        <v>119.16</v>
      </c>
      <c r="L66" s="64">
        <v>26.95</v>
      </c>
      <c r="M66" s="64">
        <v>33.86</v>
      </c>
      <c r="N66" s="64">
        <v>193.7</v>
      </c>
      <c r="O66" s="64">
        <v>0</v>
      </c>
      <c r="P66" s="64">
        <v>0.65</v>
      </c>
      <c r="Q66" s="64">
        <v>6.43</v>
      </c>
      <c r="R66" s="198"/>
      <c r="S66" s="198"/>
      <c r="T66" s="198"/>
      <c r="U66" s="198"/>
    </row>
    <row r="67" spans="1:21" s="12" customFormat="1" x14ac:dyDescent="0.25">
      <c r="A67" s="214" t="s">
        <v>2898</v>
      </c>
      <c r="B67" s="64">
        <v>4.4400000000000004</v>
      </c>
      <c r="C67" s="64">
        <v>75.63</v>
      </c>
      <c r="D67" s="64">
        <v>45.95</v>
      </c>
      <c r="E67" s="64">
        <v>0.3</v>
      </c>
      <c r="F67" s="64">
        <v>4.03</v>
      </c>
      <c r="G67" s="64">
        <v>68.86</v>
      </c>
      <c r="H67" s="64">
        <v>50.25</v>
      </c>
      <c r="I67" s="64">
        <v>1.55</v>
      </c>
      <c r="J67" s="64">
        <v>0.85</v>
      </c>
      <c r="K67" s="64">
        <v>126.75</v>
      </c>
      <c r="L67" s="64">
        <v>25.45</v>
      </c>
      <c r="M67" s="64">
        <v>36.72</v>
      </c>
      <c r="N67" s="64">
        <v>185.8</v>
      </c>
      <c r="O67" s="64">
        <v>0</v>
      </c>
      <c r="P67" s="64">
        <v>0.63</v>
      </c>
      <c r="Q67" s="64">
        <v>6.48</v>
      </c>
      <c r="R67" s="198"/>
      <c r="S67" s="198"/>
      <c r="T67" s="198"/>
      <c r="U67" s="198"/>
    </row>
    <row r="68" spans="1:21" s="12" customFormat="1" x14ac:dyDescent="0.25">
      <c r="A68" s="214" t="s">
        <v>2899</v>
      </c>
      <c r="B68" s="64">
        <v>3.09</v>
      </c>
      <c r="C68" s="64">
        <v>74.37</v>
      </c>
      <c r="D68" s="64">
        <v>44.17</v>
      </c>
      <c r="E68" s="64">
        <v>0.4</v>
      </c>
      <c r="F68" s="64">
        <v>6.66</v>
      </c>
      <c r="G68" s="64">
        <v>58.18</v>
      </c>
      <c r="H68" s="64">
        <v>39.69</v>
      </c>
      <c r="I68" s="64">
        <v>1.6</v>
      </c>
      <c r="J68" s="64">
        <v>0.72</v>
      </c>
      <c r="K68" s="64">
        <v>135.56</v>
      </c>
      <c r="L68" s="64">
        <v>24.45</v>
      </c>
      <c r="M68" s="64">
        <v>36.44</v>
      </c>
      <c r="N68" s="64">
        <v>185.8</v>
      </c>
      <c r="O68" s="64">
        <v>0</v>
      </c>
      <c r="P68" s="64">
        <v>0.6</v>
      </c>
      <c r="Q68" s="64">
        <v>6.5</v>
      </c>
      <c r="R68" s="198"/>
      <c r="S68" s="198"/>
      <c r="T68" s="198"/>
      <c r="U68" s="198"/>
    </row>
    <row r="69" spans="1:21" s="12" customFormat="1" x14ac:dyDescent="0.25">
      <c r="A69" s="214" t="s">
        <v>2900</v>
      </c>
      <c r="B69" s="64">
        <v>2.27</v>
      </c>
      <c r="C69" s="64">
        <v>73.31</v>
      </c>
      <c r="D69" s="64">
        <v>42.92</v>
      </c>
      <c r="E69" s="64">
        <v>0.31</v>
      </c>
      <c r="F69" s="64">
        <v>6.21</v>
      </c>
      <c r="G69" s="64">
        <v>54.93</v>
      </c>
      <c r="H69" s="64">
        <v>39.69</v>
      </c>
      <c r="I69" s="64">
        <v>1.54</v>
      </c>
      <c r="J69" s="64">
        <v>0.09</v>
      </c>
      <c r="K69" s="64">
        <v>45.69</v>
      </c>
      <c r="L69" s="64">
        <v>24.46</v>
      </c>
      <c r="M69" s="64">
        <v>36.619999999999997</v>
      </c>
      <c r="N69" s="64">
        <v>146.5</v>
      </c>
      <c r="O69" s="64">
        <v>0</v>
      </c>
      <c r="P69" s="64">
        <v>0.6</v>
      </c>
      <c r="Q69" s="64">
        <v>6.34</v>
      </c>
      <c r="R69" s="198"/>
      <c r="S69" s="198"/>
      <c r="T69" s="198"/>
      <c r="U69" s="198"/>
    </row>
    <row r="70" spans="1:21" s="12" customFormat="1" x14ac:dyDescent="0.25">
      <c r="A70" s="214" t="s">
        <v>2901</v>
      </c>
      <c r="B70" s="64">
        <v>2.72</v>
      </c>
      <c r="C70" s="64">
        <v>72.95</v>
      </c>
      <c r="D70" s="64">
        <v>43.09</v>
      </c>
      <c r="E70" s="64">
        <v>0.32</v>
      </c>
      <c r="F70" s="64">
        <v>4.28</v>
      </c>
      <c r="G70" s="64">
        <v>54.93</v>
      </c>
      <c r="H70" s="64">
        <v>39.69</v>
      </c>
      <c r="I70" s="64">
        <v>1.52</v>
      </c>
      <c r="J70" s="64">
        <v>0.36</v>
      </c>
      <c r="K70" s="64">
        <v>113.18</v>
      </c>
      <c r="L70" s="64">
        <v>24.46</v>
      </c>
      <c r="M70" s="64">
        <v>35.19</v>
      </c>
      <c r="N70" s="64">
        <v>136</v>
      </c>
      <c r="O70" s="64">
        <v>0</v>
      </c>
      <c r="P70" s="64">
        <v>0.6</v>
      </c>
      <c r="Q70" s="64">
        <v>6.29</v>
      </c>
      <c r="R70" s="198"/>
      <c r="S70" s="198"/>
      <c r="T70" s="198"/>
      <c r="U70" s="198"/>
    </row>
    <row r="71" spans="1:21" s="12" customFormat="1" x14ac:dyDescent="0.25">
      <c r="A71" s="214" t="s">
        <v>2902</v>
      </c>
      <c r="B71" s="64">
        <v>3.33</v>
      </c>
      <c r="C71" s="64">
        <v>72.53</v>
      </c>
      <c r="D71" s="64">
        <v>43.34</v>
      </c>
      <c r="E71" s="64">
        <v>0.3</v>
      </c>
      <c r="F71" s="64">
        <v>3.86</v>
      </c>
      <c r="G71" s="64">
        <v>54.93</v>
      </c>
      <c r="H71" s="64">
        <v>39.69</v>
      </c>
      <c r="I71" s="64">
        <v>1.48</v>
      </c>
      <c r="J71" s="64">
        <v>0.53</v>
      </c>
      <c r="K71" s="64">
        <v>118.62</v>
      </c>
      <c r="L71" s="64">
        <v>24.04</v>
      </c>
      <c r="M71" s="64">
        <v>36.53</v>
      </c>
      <c r="N71" s="64">
        <v>118.3</v>
      </c>
      <c r="O71" s="64">
        <v>0</v>
      </c>
      <c r="P71" s="64">
        <v>0.56999999999999995</v>
      </c>
      <c r="Q71" s="64">
        <v>6.32</v>
      </c>
      <c r="R71" s="198"/>
      <c r="S71" s="198"/>
      <c r="T71" s="198"/>
      <c r="U71" s="198"/>
    </row>
    <row r="72" spans="1:21" s="12" customFormat="1" x14ac:dyDescent="0.25">
      <c r="A72" s="214" t="s">
        <v>2903</v>
      </c>
      <c r="B72" s="64">
        <v>3.31</v>
      </c>
      <c r="C72" s="64">
        <v>72.42</v>
      </c>
      <c r="D72" s="64">
        <v>43.27</v>
      </c>
      <c r="E72" s="64">
        <v>0.11</v>
      </c>
      <c r="F72" s="64">
        <v>4.4800000000000004</v>
      </c>
      <c r="G72" s="64">
        <v>70.900000000000006</v>
      </c>
      <c r="H72" s="64">
        <v>41.78</v>
      </c>
      <c r="I72" s="64">
        <v>1.51</v>
      </c>
      <c r="J72" s="64">
        <v>0.21</v>
      </c>
      <c r="K72" s="64">
        <v>6.32</v>
      </c>
      <c r="L72" s="64">
        <v>24.14</v>
      </c>
      <c r="M72" s="64">
        <v>37.18</v>
      </c>
      <c r="N72" s="64">
        <v>104.1</v>
      </c>
      <c r="O72" s="64">
        <v>0</v>
      </c>
      <c r="P72" s="64">
        <v>0.64</v>
      </c>
      <c r="Q72" s="64">
        <v>6.39</v>
      </c>
      <c r="R72" s="198"/>
      <c r="S72" s="198"/>
      <c r="T72" s="198"/>
      <c r="U72" s="198"/>
    </row>
    <row r="73" spans="1:21" s="12" customFormat="1" x14ac:dyDescent="0.25">
      <c r="A73" s="214" t="s">
        <v>2904</v>
      </c>
      <c r="B73" s="64">
        <v>3.3</v>
      </c>
      <c r="C73" s="64">
        <v>68.400000000000006</v>
      </c>
      <c r="D73" s="64">
        <v>41.05</v>
      </c>
      <c r="E73" s="64">
        <v>0.2</v>
      </c>
      <c r="F73" s="64">
        <v>4.21</v>
      </c>
      <c r="G73" s="64">
        <v>75.760000000000005</v>
      </c>
      <c r="H73" s="64">
        <v>41.78</v>
      </c>
      <c r="I73" s="64">
        <v>1.5</v>
      </c>
      <c r="J73" s="64">
        <v>0.28000000000000003</v>
      </c>
      <c r="K73" s="64">
        <v>92.88</v>
      </c>
      <c r="L73" s="64">
        <v>23.77</v>
      </c>
      <c r="M73" s="64">
        <v>38.619999999999997</v>
      </c>
      <c r="N73" s="64">
        <v>87.8</v>
      </c>
      <c r="O73" s="64">
        <v>0</v>
      </c>
      <c r="P73" s="64">
        <v>0.62</v>
      </c>
      <c r="Q73" s="64">
        <v>6.6</v>
      </c>
      <c r="R73" s="198"/>
      <c r="S73" s="198"/>
      <c r="T73" s="198"/>
      <c r="U73" s="198"/>
    </row>
    <row r="74" spans="1:21" s="12" customFormat="1" x14ac:dyDescent="0.25">
      <c r="A74" s="214" t="s">
        <v>2905</v>
      </c>
      <c r="B74" s="64">
        <v>3.42</v>
      </c>
      <c r="C74" s="64">
        <v>71.78</v>
      </c>
      <c r="D74" s="64">
        <v>43</v>
      </c>
      <c r="E74" s="64">
        <v>0.22</v>
      </c>
      <c r="F74" s="64">
        <v>3.96</v>
      </c>
      <c r="G74" s="64">
        <v>75.760000000000005</v>
      </c>
      <c r="H74" s="64">
        <v>41.78</v>
      </c>
      <c r="I74" s="64">
        <v>1.53</v>
      </c>
      <c r="J74" s="64">
        <v>0.19</v>
      </c>
      <c r="K74" s="64">
        <v>100.18</v>
      </c>
      <c r="L74" s="64">
        <v>23.34</v>
      </c>
      <c r="M74" s="64">
        <v>39.92</v>
      </c>
      <c r="N74" s="64">
        <v>76.3</v>
      </c>
      <c r="O74" s="64">
        <v>0</v>
      </c>
      <c r="P74" s="64">
        <v>0.6</v>
      </c>
      <c r="Q74" s="64">
        <v>6.41</v>
      </c>
      <c r="R74" s="198"/>
      <c r="S74" s="198"/>
      <c r="T74" s="198"/>
      <c r="U74" s="198"/>
    </row>
    <row r="75" spans="1:21" s="12" customFormat="1" x14ac:dyDescent="0.25">
      <c r="A75" s="214" t="s">
        <v>2906</v>
      </c>
      <c r="B75" s="64">
        <v>3.44</v>
      </c>
      <c r="C75" s="64">
        <v>73.28</v>
      </c>
      <c r="D75" s="64">
        <v>43.84</v>
      </c>
      <c r="E75" s="64">
        <v>0.2</v>
      </c>
      <c r="F75" s="64">
        <v>3.81</v>
      </c>
      <c r="G75" s="64">
        <v>75.760000000000005</v>
      </c>
      <c r="H75" s="64">
        <v>41.78</v>
      </c>
      <c r="I75" s="64">
        <v>1.5</v>
      </c>
      <c r="J75" s="64">
        <v>0.14000000000000001</v>
      </c>
      <c r="K75" s="64">
        <v>79.760000000000005</v>
      </c>
      <c r="L75" s="64">
        <v>23.02</v>
      </c>
      <c r="M75" s="64">
        <v>41.43</v>
      </c>
      <c r="N75" s="64">
        <v>63.4</v>
      </c>
      <c r="O75" s="64">
        <v>0</v>
      </c>
      <c r="P75" s="64">
        <v>0.59</v>
      </c>
      <c r="Q75" s="64">
        <v>6.34</v>
      </c>
      <c r="R75" s="198"/>
      <c r="S75" s="198"/>
      <c r="T75" s="198"/>
      <c r="U75" s="198"/>
    </row>
    <row r="76" spans="1:21" s="12" customFormat="1" x14ac:dyDescent="0.25">
      <c r="A76" s="214" t="s">
        <v>2907</v>
      </c>
      <c r="B76" s="64">
        <v>3.75</v>
      </c>
      <c r="C76" s="64">
        <v>75.86</v>
      </c>
      <c r="D76" s="64">
        <v>45.52</v>
      </c>
      <c r="E76" s="64">
        <v>0.23</v>
      </c>
      <c r="F76" s="64">
        <v>3.68</v>
      </c>
      <c r="G76" s="64">
        <v>99.34</v>
      </c>
      <c r="H76" s="64">
        <v>24.24</v>
      </c>
      <c r="I76" s="64">
        <v>1.43</v>
      </c>
      <c r="J76" s="64">
        <v>0.18</v>
      </c>
      <c r="K76" s="64">
        <v>351.57</v>
      </c>
      <c r="L76" s="64">
        <v>22.55</v>
      </c>
      <c r="M76" s="64">
        <v>48.28</v>
      </c>
      <c r="N76" s="64">
        <v>52.7</v>
      </c>
      <c r="O76" s="64">
        <v>0</v>
      </c>
      <c r="P76" s="64">
        <v>0.71</v>
      </c>
      <c r="Q76" s="64">
        <v>6.32</v>
      </c>
      <c r="R76" s="198"/>
      <c r="S76" s="198"/>
      <c r="T76" s="198"/>
      <c r="U76" s="198"/>
    </row>
    <row r="77" spans="1:21" s="12" customFormat="1" x14ac:dyDescent="0.25">
      <c r="A77" s="214" t="s">
        <v>2908</v>
      </c>
      <c r="B77" s="64">
        <v>5.52</v>
      </c>
      <c r="C77" s="64">
        <v>79.87</v>
      </c>
      <c r="D77" s="64">
        <v>49.15</v>
      </c>
      <c r="E77" s="64">
        <v>0.24</v>
      </c>
      <c r="F77" s="64">
        <v>3.54</v>
      </c>
      <c r="G77" s="64">
        <v>106.52</v>
      </c>
      <c r="H77" s="64">
        <v>24.24</v>
      </c>
      <c r="I77" s="64">
        <v>1.46</v>
      </c>
      <c r="J77" s="64">
        <v>0.28000000000000003</v>
      </c>
      <c r="K77" s="64">
        <v>348.49</v>
      </c>
      <c r="L77" s="64">
        <v>22.01</v>
      </c>
      <c r="M77" s="64">
        <v>49.78</v>
      </c>
      <c r="N77" s="64">
        <v>42.4</v>
      </c>
      <c r="O77" s="64">
        <v>0</v>
      </c>
      <c r="P77" s="64">
        <v>0.81</v>
      </c>
      <c r="Q77" s="64">
        <v>6.59</v>
      </c>
      <c r="R77" s="198"/>
      <c r="S77" s="198"/>
      <c r="T77" s="198"/>
      <c r="U77" s="198"/>
    </row>
    <row r="78" spans="1:21" s="12" customFormat="1" x14ac:dyDescent="0.25">
      <c r="A78" s="214" t="s">
        <v>2909</v>
      </c>
      <c r="B78" s="64">
        <v>6.9</v>
      </c>
      <c r="C78" s="64">
        <v>86.27</v>
      </c>
      <c r="D78" s="64">
        <v>53.79</v>
      </c>
      <c r="E78" s="64">
        <v>0.18</v>
      </c>
      <c r="F78" s="64">
        <v>3.63</v>
      </c>
      <c r="G78" s="64">
        <v>106.52</v>
      </c>
      <c r="H78" s="64">
        <v>24.24</v>
      </c>
      <c r="I78" s="64">
        <v>1.51</v>
      </c>
      <c r="J78" s="64">
        <v>0.21</v>
      </c>
      <c r="K78" s="64">
        <v>348.09</v>
      </c>
      <c r="L78" s="64">
        <v>21.41</v>
      </c>
      <c r="M78" s="64">
        <v>52.67</v>
      </c>
      <c r="N78" s="64">
        <v>37.5</v>
      </c>
      <c r="O78" s="64">
        <v>0</v>
      </c>
      <c r="P78" s="64">
        <v>0.93</v>
      </c>
      <c r="Q78" s="64">
        <v>7.1</v>
      </c>
      <c r="R78" s="198"/>
      <c r="S78" s="198"/>
      <c r="T78" s="198"/>
      <c r="U78" s="198"/>
    </row>
    <row r="79" spans="1:21" s="12" customFormat="1" x14ac:dyDescent="0.25">
      <c r="A79" s="214" t="s">
        <v>2910</v>
      </c>
      <c r="B79" s="64">
        <v>9.32</v>
      </c>
      <c r="C79" s="64">
        <v>93.09</v>
      </c>
      <c r="D79" s="64">
        <v>59.49</v>
      </c>
      <c r="E79" s="64">
        <v>0.21</v>
      </c>
      <c r="F79" s="64">
        <v>3.56</v>
      </c>
      <c r="G79" s="64">
        <v>106.52</v>
      </c>
      <c r="H79" s="64">
        <v>24.24</v>
      </c>
      <c r="I79" s="64">
        <v>1.47</v>
      </c>
      <c r="J79" s="64">
        <v>0.14000000000000001</v>
      </c>
      <c r="K79" s="64">
        <v>87.06</v>
      </c>
      <c r="L79" s="64">
        <v>20.92</v>
      </c>
      <c r="M79" s="64">
        <v>53.01</v>
      </c>
      <c r="N79" s="64">
        <v>35.700000000000003</v>
      </c>
      <c r="O79" s="64">
        <v>0</v>
      </c>
      <c r="P79" s="64">
        <v>1.04</v>
      </c>
      <c r="Q79" s="64">
        <v>7.31</v>
      </c>
      <c r="R79" s="198"/>
      <c r="S79" s="198"/>
      <c r="T79" s="198"/>
      <c r="U79" s="198"/>
    </row>
    <row r="80" spans="1:21" s="12" customFormat="1" x14ac:dyDescent="0.25">
      <c r="A80" s="214" t="s">
        <v>2911</v>
      </c>
      <c r="B80" s="64">
        <v>11.31</v>
      </c>
      <c r="C80" s="64">
        <v>95.62</v>
      </c>
      <c r="D80" s="64">
        <v>62.48</v>
      </c>
      <c r="E80" s="64">
        <v>0.22</v>
      </c>
      <c r="F80" s="64">
        <v>3.28</v>
      </c>
      <c r="G80" s="64">
        <v>146.47999999999999</v>
      </c>
      <c r="H80" s="64">
        <v>124.13</v>
      </c>
      <c r="I80" s="64">
        <v>1.49</v>
      </c>
      <c r="J80" s="64">
        <v>0.14000000000000001</v>
      </c>
      <c r="K80" s="64">
        <v>79.28</v>
      </c>
      <c r="L80" s="64">
        <v>20.69</v>
      </c>
      <c r="M80" s="64">
        <v>54.41</v>
      </c>
      <c r="N80" s="64">
        <v>35.5</v>
      </c>
      <c r="O80" s="64">
        <v>0</v>
      </c>
      <c r="P80" s="64">
        <v>1.1299999999999999</v>
      </c>
      <c r="Q80" s="64">
        <v>7.49</v>
      </c>
      <c r="R80" s="198"/>
      <c r="S80" s="198"/>
      <c r="T80" s="198"/>
      <c r="U80" s="198"/>
    </row>
    <row r="81" spans="1:26" s="12" customFormat="1" x14ac:dyDescent="0.25">
      <c r="A81" s="214" t="s">
        <v>2912</v>
      </c>
      <c r="B81" s="64">
        <v>13.67</v>
      </c>
      <c r="C81" s="64">
        <v>98.48</v>
      </c>
      <c r="D81" s="64">
        <v>65.959999999999994</v>
      </c>
      <c r="E81" s="64">
        <v>0.21</v>
      </c>
      <c r="F81" s="64">
        <v>3.1</v>
      </c>
      <c r="G81" s="64">
        <v>158.63999999999999</v>
      </c>
      <c r="H81" s="64">
        <v>124.13</v>
      </c>
      <c r="I81" s="64">
        <v>1.53</v>
      </c>
      <c r="J81" s="64">
        <v>0.21</v>
      </c>
      <c r="K81" s="64">
        <v>80.239999999999995</v>
      </c>
      <c r="L81" s="64">
        <v>20.260000000000002</v>
      </c>
      <c r="M81" s="64">
        <v>56.17</v>
      </c>
      <c r="N81" s="64">
        <v>35.299999999999997</v>
      </c>
      <c r="O81" s="64">
        <v>0</v>
      </c>
      <c r="P81" s="64">
        <v>1.26</v>
      </c>
      <c r="Q81" s="64">
        <v>7.59</v>
      </c>
      <c r="R81" s="198"/>
      <c r="S81" s="198"/>
      <c r="T81" s="198"/>
      <c r="U81" s="198"/>
    </row>
    <row r="82" spans="1:26" s="12" customFormat="1" x14ac:dyDescent="0.25">
      <c r="A82" s="214" t="s">
        <v>2913</v>
      </c>
      <c r="B82" s="64">
        <v>15.64</v>
      </c>
      <c r="C82" s="64">
        <v>100.15</v>
      </c>
      <c r="D82" s="64">
        <v>68.459999999999994</v>
      </c>
      <c r="E82" s="64">
        <v>0.23</v>
      </c>
      <c r="F82" s="64">
        <v>2.97</v>
      </c>
      <c r="G82" s="64">
        <v>158.63999999999999</v>
      </c>
      <c r="H82" s="64">
        <v>124.13</v>
      </c>
      <c r="I82" s="64">
        <v>1.47</v>
      </c>
      <c r="J82" s="64">
        <v>0.1</v>
      </c>
      <c r="K82" s="64">
        <v>63.85</v>
      </c>
      <c r="L82" s="64">
        <v>20.149999999999999</v>
      </c>
      <c r="M82" s="64">
        <v>57.87</v>
      </c>
      <c r="N82" s="64">
        <v>35.5</v>
      </c>
      <c r="O82" s="64">
        <v>0</v>
      </c>
      <c r="P82" s="64">
        <v>1.38</v>
      </c>
      <c r="Q82" s="64">
        <v>7.8</v>
      </c>
      <c r="R82" s="198"/>
      <c r="S82" s="198"/>
      <c r="T82" s="198"/>
      <c r="U82" s="198"/>
    </row>
    <row r="83" spans="1:26" s="12" customFormat="1" x14ac:dyDescent="0.25">
      <c r="A83" s="214" t="s">
        <v>2914</v>
      </c>
      <c r="B83" s="64">
        <v>18.920000000000002</v>
      </c>
      <c r="C83" s="64">
        <v>100.87</v>
      </c>
      <c r="D83" s="64">
        <v>71.489999999999995</v>
      </c>
      <c r="E83" s="64">
        <v>0.22</v>
      </c>
      <c r="F83" s="64">
        <v>3.23</v>
      </c>
      <c r="G83" s="64">
        <v>158.63999999999999</v>
      </c>
      <c r="H83" s="64">
        <v>124.13</v>
      </c>
      <c r="I83" s="64">
        <v>1.54</v>
      </c>
      <c r="J83" s="64">
        <v>0.19</v>
      </c>
      <c r="K83" s="64">
        <v>86.05</v>
      </c>
      <c r="L83" s="64">
        <v>19.71</v>
      </c>
      <c r="M83" s="64">
        <v>59.82</v>
      </c>
      <c r="N83" s="64">
        <v>35.299999999999997</v>
      </c>
      <c r="O83" s="64">
        <v>0</v>
      </c>
      <c r="P83" s="64">
        <v>1.5</v>
      </c>
      <c r="Q83" s="64">
        <v>7.98</v>
      </c>
      <c r="R83" s="198"/>
      <c r="S83" s="198"/>
      <c r="T83" s="198"/>
      <c r="U83" s="198"/>
    </row>
    <row r="84" spans="1:26" s="12" customFormat="1" x14ac:dyDescent="0.25">
      <c r="A84" s="214" t="s">
        <v>2915</v>
      </c>
      <c r="B84" s="64">
        <v>21.76</v>
      </c>
      <c r="C84" s="64">
        <v>101.98</v>
      </c>
      <c r="D84" s="64">
        <v>74.38</v>
      </c>
      <c r="E84" s="64">
        <v>0.23</v>
      </c>
      <c r="F84" s="64">
        <v>3.26</v>
      </c>
      <c r="G84" s="64">
        <v>189.66</v>
      </c>
      <c r="H84" s="64">
        <v>117.46</v>
      </c>
      <c r="I84" s="64">
        <v>1.52</v>
      </c>
      <c r="J84" s="64">
        <v>0.13</v>
      </c>
      <c r="K84" s="64">
        <v>65.86</v>
      </c>
      <c r="L84" s="64">
        <v>19.45</v>
      </c>
      <c r="M84" s="64">
        <v>60.72</v>
      </c>
      <c r="N84" s="64">
        <v>35.6</v>
      </c>
      <c r="O84" s="64">
        <v>0</v>
      </c>
      <c r="P84" s="64">
        <v>1.58</v>
      </c>
      <c r="Q84" s="64">
        <v>8.16</v>
      </c>
      <c r="R84" s="198"/>
      <c r="S84" s="198"/>
      <c r="T84" s="198"/>
      <c r="U84" s="198"/>
    </row>
    <row r="85" spans="1:26" s="12" customFormat="1" x14ac:dyDescent="0.25">
      <c r="A85" s="214" t="s">
        <v>2916</v>
      </c>
      <c r="B85" s="64">
        <v>22.42</v>
      </c>
      <c r="C85" s="64">
        <v>102.4</v>
      </c>
      <c r="D85" s="64">
        <v>75.14</v>
      </c>
      <c r="E85" s="64">
        <v>0.24</v>
      </c>
      <c r="F85" s="64">
        <v>3.02</v>
      </c>
      <c r="G85" s="64">
        <v>199.1</v>
      </c>
      <c r="H85" s="64">
        <v>117.46</v>
      </c>
      <c r="I85" s="64">
        <v>1.55</v>
      </c>
      <c r="J85" s="64">
        <v>0.15</v>
      </c>
      <c r="K85" s="64">
        <v>64.84</v>
      </c>
      <c r="L85" s="64">
        <v>19.14</v>
      </c>
      <c r="M85" s="64">
        <v>62.34</v>
      </c>
      <c r="N85" s="64">
        <v>35.5</v>
      </c>
      <c r="O85" s="64">
        <v>0</v>
      </c>
      <c r="P85" s="64">
        <v>1.48</v>
      </c>
      <c r="Q85" s="64">
        <v>8.34</v>
      </c>
      <c r="R85" s="198"/>
      <c r="S85" s="198"/>
      <c r="T85" s="198"/>
      <c r="U85" s="198"/>
    </row>
    <row r="86" spans="1:26" s="12" customFormat="1" x14ac:dyDescent="0.25">
      <c r="A86" s="214" t="s">
        <v>2917</v>
      </c>
      <c r="B86" s="64">
        <v>23.42</v>
      </c>
      <c r="C86" s="64">
        <v>101.87</v>
      </c>
      <c r="D86" s="64">
        <v>75.650000000000006</v>
      </c>
      <c r="E86" s="64">
        <v>0.23</v>
      </c>
      <c r="F86" s="64">
        <v>2.86</v>
      </c>
      <c r="G86" s="64">
        <v>199.1</v>
      </c>
      <c r="H86" s="64">
        <v>117.46</v>
      </c>
      <c r="I86" s="64">
        <v>1.46</v>
      </c>
      <c r="J86" s="64">
        <v>0.08</v>
      </c>
      <c r="K86" s="64">
        <v>106.41</v>
      </c>
      <c r="L86" s="64">
        <v>18.89</v>
      </c>
      <c r="M86" s="64">
        <v>63.33</v>
      </c>
      <c r="N86" s="64">
        <v>35.700000000000003</v>
      </c>
      <c r="O86" s="64">
        <v>0</v>
      </c>
      <c r="P86" s="64">
        <v>1.67</v>
      </c>
      <c r="Q86" s="64">
        <v>8.42</v>
      </c>
      <c r="R86" s="198"/>
      <c r="S86" s="198"/>
      <c r="T86" s="198"/>
      <c r="U86" s="198"/>
    </row>
    <row r="87" spans="1:26" s="12" customFormat="1" x14ac:dyDescent="0.25">
      <c r="A87" s="214" t="s">
        <v>2918</v>
      </c>
      <c r="B87" s="64">
        <v>24.59</v>
      </c>
      <c r="C87" s="64">
        <v>101.85</v>
      </c>
      <c r="D87" s="64">
        <v>76.58</v>
      </c>
      <c r="E87" s="64">
        <v>0.23</v>
      </c>
      <c r="F87" s="64">
        <v>3.04</v>
      </c>
      <c r="G87" s="64">
        <v>199.1</v>
      </c>
      <c r="H87" s="64">
        <v>117.46</v>
      </c>
      <c r="I87" s="64">
        <v>1.45</v>
      </c>
      <c r="J87" s="64">
        <v>0.08</v>
      </c>
      <c r="K87" s="64">
        <v>38.83</v>
      </c>
      <c r="L87" s="64">
        <v>18.649999999999999</v>
      </c>
      <c r="M87" s="64">
        <v>65.16</v>
      </c>
      <c r="N87" s="64">
        <v>35.6</v>
      </c>
      <c r="O87" s="64">
        <v>0</v>
      </c>
      <c r="P87" s="64">
        <v>1.75</v>
      </c>
      <c r="Q87" s="64">
        <v>8.43</v>
      </c>
      <c r="R87" s="198"/>
      <c r="S87" s="198"/>
      <c r="T87" s="198"/>
      <c r="U87" s="198"/>
    </row>
    <row r="88" spans="1:26" s="12" customFormat="1" x14ac:dyDescent="0.25">
      <c r="A88" s="214" t="s">
        <v>2919</v>
      </c>
      <c r="B88" s="64">
        <v>26.21</v>
      </c>
      <c r="C88" s="64">
        <v>101.13</v>
      </c>
      <c r="D88" s="64">
        <v>77.47</v>
      </c>
      <c r="E88" s="64">
        <v>0.11</v>
      </c>
      <c r="F88" s="64">
        <v>3.1</v>
      </c>
      <c r="G88" s="64">
        <v>192.64</v>
      </c>
      <c r="H88" s="64">
        <v>97.93</v>
      </c>
      <c r="I88" s="64">
        <v>1.53</v>
      </c>
      <c r="J88" s="64">
        <v>0.05</v>
      </c>
      <c r="K88" s="64">
        <v>240.43</v>
      </c>
      <c r="L88" s="64">
        <v>18.149999999999999</v>
      </c>
      <c r="M88" s="64">
        <v>68.89</v>
      </c>
      <c r="N88" s="64">
        <v>35.799999999999997</v>
      </c>
      <c r="O88" s="64">
        <v>0</v>
      </c>
      <c r="P88" s="64">
        <v>1.85</v>
      </c>
      <c r="Q88" s="64">
        <v>8.42</v>
      </c>
      <c r="R88" s="198"/>
      <c r="S88" s="198"/>
      <c r="T88" s="198"/>
      <c r="U88" s="198"/>
    </row>
    <row r="89" spans="1:26" s="12" customFormat="1" x14ac:dyDescent="0.25">
      <c r="A89" s="214" t="s">
        <v>2920</v>
      </c>
      <c r="B89" s="64">
        <v>27.79</v>
      </c>
      <c r="C89" s="64">
        <v>100.35</v>
      </c>
      <c r="D89" s="64">
        <v>78.31</v>
      </c>
      <c r="E89" s="64">
        <v>0.2</v>
      </c>
      <c r="F89" s="64">
        <v>3.18</v>
      </c>
      <c r="G89" s="64">
        <v>190.68</v>
      </c>
      <c r="H89" s="64">
        <v>97.93</v>
      </c>
      <c r="I89" s="64">
        <v>1.49</v>
      </c>
      <c r="J89" s="64">
        <v>0.09</v>
      </c>
      <c r="K89" s="64">
        <v>259.27</v>
      </c>
      <c r="L89" s="64">
        <v>17.71</v>
      </c>
      <c r="M89" s="64">
        <v>70.64</v>
      </c>
      <c r="N89" s="64">
        <v>35.6</v>
      </c>
      <c r="O89" s="64">
        <v>0</v>
      </c>
      <c r="P89" s="64">
        <v>1.88</v>
      </c>
      <c r="Q89" s="64">
        <v>8.5</v>
      </c>
      <c r="R89" s="198"/>
      <c r="S89" s="198"/>
      <c r="T89" s="198"/>
      <c r="U89" s="198"/>
    </row>
    <row r="90" spans="1:26" s="12" customFormat="1" x14ac:dyDescent="0.25">
      <c r="A90" s="214" t="s">
        <v>2921</v>
      </c>
      <c r="B90" s="64">
        <v>28.54</v>
      </c>
      <c r="C90" s="64">
        <v>99.81</v>
      </c>
      <c r="D90" s="64">
        <v>78.62</v>
      </c>
      <c r="E90" s="64">
        <v>0.22</v>
      </c>
      <c r="F90" s="64">
        <v>3.27</v>
      </c>
      <c r="G90" s="64">
        <v>190.68</v>
      </c>
      <c r="H90" s="64">
        <v>97.93</v>
      </c>
      <c r="I90" s="64">
        <v>1.49</v>
      </c>
      <c r="J90" s="64">
        <v>0.1</v>
      </c>
      <c r="K90" s="64">
        <v>267.62</v>
      </c>
      <c r="L90" s="64">
        <v>17.63</v>
      </c>
      <c r="M90" s="64">
        <v>72.319999999999993</v>
      </c>
      <c r="N90" s="64">
        <v>35.700000000000003</v>
      </c>
      <c r="O90" s="64">
        <v>0</v>
      </c>
      <c r="P90" s="64">
        <v>1.88</v>
      </c>
      <c r="Q90" s="64">
        <v>8.6199999999999992</v>
      </c>
      <c r="R90" s="198"/>
      <c r="S90" s="198"/>
      <c r="T90" s="198"/>
      <c r="U90" s="198"/>
    </row>
    <row r="91" spans="1:26" s="12" customFormat="1" x14ac:dyDescent="0.25">
      <c r="A91" s="214" t="s">
        <v>2922</v>
      </c>
      <c r="B91" s="64">
        <v>30.94</v>
      </c>
      <c r="C91" s="64">
        <v>99.51</v>
      </c>
      <c r="D91" s="64">
        <v>80.38</v>
      </c>
      <c r="E91" s="64">
        <v>0.24</v>
      </c>
      <c r="F91" s="64">
        <v>3.27</v>
      </c>
      <c r="G91" s="64">
        <v>190.68</v>
      </c>
      <c r="H91" s="64">
        <v>97.93</v>
      </c>
      <c r="I91" s="64">
        <v>1.47</v>
      </c>
      <c r="J91" s="64">
        <v>7.0000000000000007E-2</v>
      </c>
      <c r="K91" s="64">
        <v>277.98</v>
      </c>
      <c r="L91" s="64">
        <v>17.100000000000001</v>
      </c>
      <c r="M91" s="64">
        <v>76.430000000000007</v>
      </c>
      <c r="N91" s="64">
        <v>35.799999999999997</v>
      </c>
      <c r="O91" s="64">
        <v>0</v>
      </c>
      <c r="P91" s="64">
        <v>1.94</v>
      </c>
      <c r="Q91" s="64">
        <v>8.68</v>
      </c>
      <c r="R91" s="198"/>
      <c r="S91" s="198"/>
      <c r="T91" s="198"/>
      <c r="U91" s="198"/>
    </row>
    <row r="92" spans="1:26" s="12" customFormat="1" x14ac:dyDescent="0.25">
      <c r="A92" s="214" t="s">
        <v>2923</v>
      </c>
      <c r="B92" s="64">
        <v>36.83</v>
      </c>
      <c r="C92" s="64">
        <v>99.35</v>
      </c>
      <c r="D92" s="64">
        <v>85.02</v>
      </c>
      <c r="E92" s="64">
        <v>0.3</v>
      </c>
      <c r="F92" s="64">
        <v>3.3</v>
      </c>
      <c r="G92" s="64">
        <v>192.93</v>
      </c>
      <c r="H92" s="64">
        <v>77.45</v>
      </c>
      <c r="I92" s="64">
        <v>1.53</v>
      </c>
      <c r="J92" s="64">
        <v>0.1</v>
      </c>
      <c r="K92" s="64">
        <v>298.2</v>
      </c>
      <c r="L92" s="64">
        <v>16.78</v>
      </c>
      <c r="M92" s="64">
        <v>80.819999999999993</v>
      </c>
      <c r="N92" s="64">
        <v>35.6</v>
      </c>
      <c r="O92" s="64">
        <v>0</v>
      </c>
      <c r="P92" s="64">
        <v>1.98</v>
      </c>
      <c r="Q92" s="64">
        <v>8.93</v>
      </c>
      <c r="R92" s="198"/>
      <c r="S92" s="198"/>
      <c r="T92" s="198"/>
      <c r="U92" s="198"/>
    </row>
    <row r="93" spans="1:26" s="12" customFormat="1" x14ac:dyDescent="0.25">
      <c r="A93" s="214" t="s">
        <v>2924</v>
      </c>
      <c r="B93" s="64">
        <v>47.81</v>
      </c>
      <c r="C93" s="64">
        <v>99.35</v>
      </c>
      <c r="D93" s="64">
        <v>93.81</v>
      </c>
      <c r="E93" s="64">
        <v>0.26</v>
      </c>
      <c r="F93" s="64">
        <v>3.45</v>
      </c>
      <c r="G93" s="64">
        <v>193.61</v>
      </c>
      <c r="H93" s="64">
        <v>77.45</v>
      </c>
      <c r="I93" s="64">
        <v>1.52</v>
      </c>
      <c r="J93" s="64">
        <v>0.08</v>
      </c>
      <c r="K93" s="64">
        <v>305.02</v>
      </c>
      <c r="L93" s="64">
        <v>16.47</v>
      </c>
      <c r="M93" s="64">
        <v>84.77</v>
      </c>
      <c r="N93" s="64">
        <v>35.700000000000003</v>
      </c>
      <c r="O93" s="64">
        <v>0</v>
      </c>
      <c r="P93" s="64">
        <v>2.11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2925</v>
      </c>
      <c r="B94" s="64">
        <v>60.71</v>
      </c>
      <c r="C94" s="64">
        <v>99.41</v>
      </c>
      <c r="D94" s="64">
        <v>104.2</v>
      </c>
      <c r="E94" s="64">
        <v>0.32</v>
      </c>
      <c r="F94" s="64">
        <v>3.18</v>
      </c>
      <c r="G94" s="64">
        <v>193.61</v>
      </c>
      <c r="H94" s="64">
        <v>77.45</v>
      </c>
      <c r="I94" s="64">
        <v>1.43</v>
      </c>
      <c r="J94" s="64">
        <v>0.11</v>
      </c>
      <c r="K94" s="64">
        <v>299.85000000000002</v>
      </c>
      <c r="L94" s="64">
        <v>16.260000000000002</v>
      </c>
      <c r="M94" s="64">
        <v>87.01</v>
      </c>
      <c r="N94" s="64">
        <v>35.5</v>
      </c>
      <c r="O94" s="64">
        <v>0</v>
      </c>
      <c r="P94" s="64">
        <v>2.2599999999999998</v>
      </c>
      <c r="Q94" s="64">
        <v>10.25</v>
      </c>
      <c r="R94" s="198"/>
      <c r="S94" s="198"/>
      <c r="T94" s="198"/>
      <c r="U94" s="198"/>
    </row>
    <row r="95" spans="1:26" s="12" customFormat="1" x14ac:dyDescent="0.25">
      <c r="A95" s="214" t="s">
        <v>2926</v>
      </c>
      <c r="B95" s="64">
        <v>74.47</v>
      </c>
      <c r="C95" s="64">
        <v>99.99</v>
      </c>
      <c r="D95" s="64">
        <v>115.54</v>
      </c>
      <c r="E95" s="64">
        <v>0.26</v>
      </c>
      <c r="F95" s="64">
        <v>3.19</v>
      </c>
      <c r="G95" s="64">
        <v>193.61</v>
      </c>
      <c r="H95" s="64">
        <v>77.45</v>
      </c>
      <c r="I95" s="64">
        <v>1.51</v>
      </c>
      <c r="J95" s="64">
        <v>0.24</v>
      </c>
      <c r="K95" s="64">
        <v>133.68</v>
      </c>
      <c r="L95" s="64">
        <v>16.23</v>
      </c>
      <c r="M95" s="64">
        <v>85.61</v>
      </c>
      <c r="N95" s="64">
        <v>35</v>
      </c>
      <c r="O95" s="64">
        <v>0</v>
      </c>
      <c r="P95" s="64">
        <v>2.35</v>
      </c>
      <c r="Q95" s="64">
        <v>11.21</v>
      </c>
      <c r="R95" s="198"/>
      <c r="S95" s="198"/>
      <c r="T95" s="198"/>
      <c r="U95" s="198"/>
    </row>
    <row r="96" spans="1:26" s="12" customFormat="1" x14ac:dyDescent="0.25">
      <c r="A96" s="214" t="s">
        <v>2927</v>
      </c>
      <c r="B96" s="64">
        <v>86.7</v>
      </c>
      <c r="C96" s="64">
        <v>100.57</v>
      </c>
      <c r="D96" s="64">
        <v>125.67</v>
      </c>
      <c r="E96" s="64">
        <v>0.36</v>
      </c>
      <c r="F96" s="64">
        <v>3.02</v>
      </c>
      <c r="G96" s="64">
        <v>224.05</v>
      </c>
      <c r="H96" s="64">
        <v>108.64</v>
      </c>
      <c r="I96" s="64">
        <v>1.5</v>
      </c>
      <c r="J96" s="64">
        <v>0.1</v>
      </c>
      <c r="K96" s="64">
        <v>338.92</v>
      </c>
      <c r="L96" s="64">
        <v>16.399999999999999</v>
      </c>
      <c r="M96" s="64">
        <v>84.93</v>
      </c>
      <c r="N96" s="64">
        <v>35.4</v>
      </c>
      <c r="O96" s="64">
        <v>0</v>
      </c>
      <c r="P96" s="64">
        <v>2.4</v>
      </c>
      <c r="Q96" s="64">
        <v>12.16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2928</v>
      </c>
      <c r="B97" s="64">
        <v>94.56</v>
      </c>
      <c r="C97" s="64">
        <v>100.41</v>
      </c>
      <c r="D97" s="64">
        <v>131.88999999999999</v>
      </c>
      <c r="E97" s="64">
        <v>0.37</v>
      </c>
      <c r="F97" s="64">
        <v>3.15</v>
      </c>
      <c r="G97" s="64">
        <v>233.31</v>
      </c>
      <c r="H97" s="64">
        <v>108.64</v>
      </c>
      <c r="I97" s="64">
        <v>1.49</v>
      </c>
      <c r="J97" s="64">
        <v>0.09</v>
      </c>
      <c r="K97" s="64">
        <v>263</v>
      </c>
      <c r="L97" s="64">
        <v>15.98</v>
      </c>
      <c r="M97" s="64">
        <v>88.69</v>
      </c>
      <c r="N97" s="64">
        <v>35.700000000000003</v>
      </c>
      <c r="O97" s="64">
        <v>0</v>
      </c>
      <c r="P97" s="64">
        <v>2.46</v>
      </c>
      <c r="Q97" s="64">
        <v>13.07</v>
      </c>
      <c r="R97" s="198"/>
      <c r="S97" s="198"/>
      <c r="T97" s="198"/>
      <c r="U97" s="198"/>
    </row>
    <row r="98" spans="1:33" s="12" customFormat="1" x14ac:dyDescent="0.25">
      <c r="A98" s="214" t="s">
        <v>2929</v>
      </c>
      <c r="B98" s="64">
        <v>98.18</v>
      </c>
      <c r="C98" s="64">
        <v>100.38</v>
      </c>
      <c r="D98" s="64">
        <v>134.78</v>
      </c>
      <c r="E98" s="64">
        <v>0.42</v>
      </c>
      <c r="F98" s="64">
        <v>3.22</v>
      </c>
      <c r="G98" s="64">
        <v>233.31</v>
      </c>
      <c r="H98" s="64">
        <v>108.64</v>
      </c>
      <c r="I98" s="64">
        <v>1.5</v>
      </c>
      <c r="J98" s="64">
        <v>0.13</v>
      </c>
      <c r="K98" s="64">
        <v>273.93</v>
      </c>
      <c r="L98" s="64">
        <v>15.92</v>
      </c>
      <c r="M98" s="64">
        <v>87.88</v>
      </c>
      <c r="N98" s="64">
        <v>35.5</v>
      </c>
      <c r="O98" s="64">
        <v>0</v>
      </c>
      <c r="P98" s="64">
        <v>2.5099999999999998</v>
      </c>
      <c r="Q98" s="64">
        <v>13.57</v>
      </c>
      <c r="R98" s="198"/>
      <c r="S98" s="198"/>
      <c r="T98" s="198"/>
      <c r="U98" s="198"/>
    </row>
    <row r="99" spans="1:33" s="12" customFormat="1" x14ac:dyDescent="0.25">
      <c r="A99" s="214" t="s">
        <v>2930</v>
      </c>
      <c r="B99" s="64">
        <v>103.03</v>
      </c>
      <c r="C99" s="64">
        <v>99.79</v>
      </c>
      <c r="D99" s="64">
        <v>138.34</v>
      </c>
      <c r="E99" s="64">
        <v>0.46</v>
      </c>
      <c r="F99" s="64">
        <v>3.24</v>
      </c>
      <c r="G99" s="64">
        <v>233.31</v>
      </c>
      <c r="H99" s="64">
        <v>108.64</v>
      </c>
      <c r="I99" s="64">
        <v>1.55</v>
      </c>
      <c r="J99" s="64">
        <v>0.14000000000000001</v>
      </c>
      <c r="K99" s="64">
        <v>300.25</v>
      </c>
      <c r="L99" s="64">
        <v>15.55</v>
      </c>
      <c r="M99" s="64">
        <v>91.41</v>
      </c>
      <c r="N99" s="64">
        <v>35.6</v>
      </c>
      <c r="O99" s="64">
        <v>0</v>
      </c>
      <c r="P99" s="64">
        <v>2.56</v>
      </c>
      <c r="Q99" s="64">
        <v>13.93</v>
      </c>
      <c r="R99" s="198"/>
      <c r="S99" s="198"/>
      <c r="T99" s="198"/>
      <c r="U99" s="198"/>
    </row>
    <row r="100" spans="1:33" s="12" customFormat="1" x14ac:dyDescent="0.25">
      <c r="A100" s="214" t="s">
        <v>2931</v>
      </c>
      <c r="B100" s="64">
        <v>109.69</v>
      </c>
      <c r="C100" s="64">
        <v>98.86</v>
      </c>
      <c r="D100" s="64">
        <v>143.16999999999999</v>
      </c>
      <c r="E100" s="64">
        <v>0.39</v>
      </c>
      <c r="F100" s="64">
        <v>3.32</v>
      </c>
      <c r="G100" s="64">
        <v>225.36</v>
      </c>
      <c r="H100" s="64">
        <v>98.93</v>
      </c>
      <c r="I100" s="64">
        <v>1.49</v>
      </c>
      <c r="J100" s="64">
        <v>0.1</v>
      </c>
      <c r="K100" s="64">
        <v>218.5</v>
      </c>
      <c r="L100" s="64">
        <v>15.33</v>
      </c>
      <c r="M100" s="64">
        <v>93.42</v>
      </c>
      <c r="N100" s="64">
        <v>35.4</v>
      </c>
      <c r="O100" s="64">
        <v>0</v>
      </c>
      <c r="P100" s="64">
        <v>2.62</v>
      </c>
      <c r="Q100" s="64">
        <v>14.24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2932</v>
      </c>
      <c r="B101" s="64">
        <v>115.83</v>
      </c>
      <c r="C101" s="64">
        <v>96.22</v>
      </c>
      <c r="D101" s="64">
        <v>146.63</v>
      </c>
      <c r="E101" s="64">
        <v>0.4</v>
      </c>
      <c r="F101" s="64">
        <v>3.31</v>
      </c>
      <c r="G101" s="64">
        <v>222.94</v>
      </c>
      <c r="H101" s="64">
        <v>98.93</v>
      </c>
      <c r="I101" s="64">
        <v>1.5</v>
      </c>
      <c r="J101" s="64">
        <v>0.13</v>
      </c>
      <c r="K101" s="64">
        <v>231.13</v>
      </c>
      <c r="L101" s="64">
        <v>15.71</v>
      </c>
      <c r="M101" s="64">
        <v>90.25</v>
      </c>
      <c r="N101" s="64">
        <v>35.299999999999997</v>
      </c>
      <c r="O101" s="64">
        <v>0</v>
      </c>
      <c r="P101" s="64">
        <v>2.67</v>
      </c>
      <c r="Q101" s="64">
        <v>14.82</v>
      </c>
      <c r="R101" s="198"/>
      <c r="S101" s="198"/>
      <c r="T101" s="198"/>
      <c r="U101" s="198"/>
    </row>
    <row r="102" spans="1:33" s="12" customFormat="1" x14ac:dyDescent="0.25">
      <c r="A102" s="214" t="s">
        <v>2933</v>
      </c>
      <c r="B102" s="64">
        <v>116.6</v>
      </c>
      <c r="C102" s="64">
        <v>94.5</v>
      </c>
      <c r="D102" s="64">
        <v>146.31</v>
      </c>
      <c r="E102" s="64">
        <v>0.42</v>
      </c>
      <c r="F102" s="64">
        <v>2.95</v>
      </c>
      <c r="G102" s="64">
        <v>222.94</v>
      </c>
      <c r="H102" s="64">
        <v>98.93</v>
      </c>
      <c r="I102" s="64">
        <v>1.46</v>
      </c>
      <c r="J102" s="64">
        <v>0.12</v>
      </c>
      <c r="K102" s="64">
        <v>219.81</v>
      </c>
      <c r="L102" s="64">
        <v>15.48</v>
      </c>
      <c r="M102" s="64">
        <v>89.63</v>
      </c>
      <c r="N102" s="64">
        <v>35.700000000000003</v>
      </c>
      <c r="O102" s="64">
        <v>0</v>
      </c>
      <c r="P102" s="64">
        <v>2.65</v>
      </c>
      <c r="Q102" s="64">
        <v>15.14</v>
      </c>
      <c r="R102" s="198"/>
      <c r="S102" s="198"/>
      <c r="T102" s="198"/>
      <c r="U102" s="198"/>
    </row>
    <row r="103" spans="1:33" s="12" customFormat="1" x14ac:dyDescent="0.25">
      <c r="A103" s="214" t="s">
        <v>2934</v>
      </c>
      <c r="B103" s="64">
        <v>116.01</v>
      </c>
      <c r="C103" s="64">
        <v>91.62</v>
      </c>
      <c r="D103" s="64">
        <v>144.24</v>
      </c>
      <c r="E103" s="64">
        <v>0.49</v>
      </c>
      <c r="F103" s="64">
        <v>3.03</v>
      </c>
      <c r="G103" s="64">
        <v>222.94</v>
      </c>
      <c r="H103" s="64">
        <v>98.93</v>
      </c>
      <c r="I103" s="64">
        <v>1.51</v>
      </c>
      <c r="J103" s="64">
        <v>0.13</v>
      </c>
      <c r="K103" s="64">
        <v>289.39999999999998</v>
      </c>
      <c r="L103" s="64">
        <v>15.1</v>
      </c>
      <c r="M103" s="64">
        <v>92.98</v>
      </c>
      <c r="N103" s="64">
        <v>35.9</v>
      </c>
      <c r="O103" s="64">
        <v>0</v>
      </c>
      <c r="P103" s="64">
        <v>2.62</v>
      </c>
      <c r="Q103" s="64">
        <v>15.17</v>
      </c>
      <c r="R103" s="198"/>
      <c r="S103" s="198"/>
      <c r="T103" s="198"/>
      <c r="U103" s="198"/>
    </row>
    <row r="104" spans="1:33" s="12" customFormat="1" x14ac:dyDescent="0.25">
      <c r="A104" s="214" t="s">
        <v>2935</v>
      </c>
      <c r="B104" s="64">
        <v>115.35</v>
      </c>
      <c r="C104" s="64">
        <v>89.18</v>
      </c>
      <c r="D104" s="64">
        <v>142.37</v>
      </c>
      <c r="E104" s="64">
        <v>0.34</v>
      </c>
      <c r="F104" s="64">
        <v>3.11</v>
      </c>
      <c r="G104" s="64">
        <v>220.57</v>
      </c>
      <c r="H104" s="64">
        <v>99.66</v>
      </c>
      <c r="I104" s="64">
        <v>1.55</v>
      </c>
      <c r="J104" s="64">
        <v>0.11</v>
      </c>
      <c r="K104" s="64">
        <v>306.39</v>
      </c>
      <c r="L104" s="64">
        <v>14.72</v>
      </c>
      <c r="M104" s="64">
        <v>95.21</v>
      </c>
      <c r="N104" s="64">
        <v>35.700000000000003</v>
      </c>
      <c r="O104" s="64">
        <v>0</v>
      </c>
      <c r="P104" s="64">
        <v>2.6</v>
      </c>
      <c r="Q104" s="64">
        <v>15.07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1.82</v>
      </c>
      <c r="C106" s="67">
        <f>MIN(C9:C104)</f>
        <v>67.05</v>
      </c>
      <c r="D106" s="67">
        <f t="shared" ref="D106:Q106" si="0">MIN(D9:D104)</f>
        <v>39.58</v>
      </c>
      <c r="E106" s="67">
        <f t="shared" si="0"/>
        <v>0.1</v>
      </c>
      <c r="F106" s="67">
        <f t="shared" si="0"/>
        <v>2.86</v>
      </c>
      <c r="G106" s="67">
        <f t="shared" si="0"/>
        <v>54.93</v>
      </c>
      <c r="H106" s="67">
        <f t="shared" si="0"/>
        <v>24.24</v>
      </c>
      <c r="I106" s="67">
        <f t="shared" si="0"/>
        <v>1.42</v>
      </c>
      <c r="J106" s="67">
        <f t="shared" si="0"/>
        <v>0</v>
      </c>
      <c r="K106" s="67">
        <f t="shared" si="0"/>
        <v>1.52</v>
      </c>
      <c r="L106" s="67">
        <f t="shared" si="0"/>
        <v>12.75</v>
      </c>
      <c r="M106" s="67">
        <f t="shared" si="0"/>
        <v>30.47</v>
      </c>
      <c r="N106" s="67">
        <f t="shared" si="0"/>
        <v>35</v>
      </c>
      <c r="O106" s="67">
        <f t="shared" si="0"/>
        <v>0</v>
      </c>
      <c r="P106" s="67">
        <f t="shared" si="0"/>
        <v>0.56999999999999995</v>
      </c>
      <c r="Q106" s="67">
        <f t="shared" si="0"/>
        <v>2.85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269.14</v>
      </c>
      <c r="C107" s="66">
        <f t="shared" ref="C107:Q107" si="1">MAX(C9:C104)</f>
        <v>102.4</v>
      </c>
      <c r="D107" s="66">
        <f t="shared" si="1"/>
        <v>272.97000000000003</v>
      </c>
      <c r="E107" s="66">
        <f t="shared" si="1"/>
        <v>1.03</v>
      </c>
      <c r="F107" s="66">
        <f t="shared" si="1"/>
        <v>8.75</v>
      </c>
      <c r="G107" s="66">
        <f t="shared" si="1"/>
        <v>249.86</v>
      </c>
      <c r="H107" s="66">
        <f t="shared" si="1"/>
        <v>137.13999999999999</v>
      </c>
      <c r="I107" s="66">
        <f t="shared" si="1"/>
        <v>1.6</v>
      </c>
      <c r="J107" s="66">
        <f t="shared" si="1"/>
        <v>0.88</v>
      </c>
      <c r="K107" s="66">
        <f t="shared" si="1"/>
        <v>351.57</v>
      </c>
      <c r="L107" s="66">
        <f t="shared" si="1"/>
        <v>28.55</v>
      </c>
      <c r="M107" s="66">
        <f t="shared" si="1"/>
        <v>97.86</v>
      </c>
      <c r="N107" s="66">
        <f t="shared" si="1"/>
        <v>558</v>
      </c>
      <c r="O107" s="66">
        <f t="shared" si="1"/>
        <v>0</v>
      </c>
      <c r="P107" s="66">
        <f t="shared" si="1"/>
        <v>5.38</v>
      </c>
      <c r="Q107" s="66">
        <f t="shared" si="1"/>
        <v>47.19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67.10979166666668</v>
      </c>
      <c r="C108" s="67">
        <f t="shared" ref="C108:Q108" si="2">AVERAGE(C9:C104)</f>
        <v>85.738541666666663</v>
      </c>
      <c r="D108" s="67">
        <f t="shared" si="2"/>
        <v>101.78020833333335</v>
      </c>
      <c r="E108" s="67">
        <f t="shared" si="2"/>
        <v>0.43343749999999986</v>
      </c>
      <c r="F108" s="67">
        <f t="shared" si="2"/>
        <v>3.8587500000000001</v>
      </c>
      <c r="G108" s="67">
        <f t="shared" si="2"/>
        <v>156.26145833333337</v>
      </c>
      <c r="H108" s="67">
        <f t="shared" si="2"/>
        <v>88.837187500000027</v>
      </c>
      <c r="I108" s="67">
        <f t="shared" si="2"/>
        <v>1.4962500000000001</v>
      </c>
      <c r="J108" s="67">
        <f t="shared" si="2"/>
        <v>0.20739583333333333</v>
      </c>
      <c r="K108" s="67">
        <f t="shared" si="2"/>
        <v>200.00895833333334</v>
      </c>
      <c r="L108" s="67">
        <f t="shared" si="2"/>
        <v>18.545520833333342</v>
      </c>
      <c r="M108" s="67">
        <f t="shared" si="2"/>
        <v>71.283437499999991</v>
      </c>
      <c r="N108" s="67">
        <f t="shared" si="2"/>
        <v>152.30416666666667</v>
      </c>
      <c r="O108" s="67">
        <f t="shared" si="2"/>
        <v>0</v>
      </c>
      <c r="P108" s="67">
        <f t="shared" si="2"/>
        <v>1.3984375</v>
      </c>
      <c r="Q108" s="67">
        <f t="shared" si="2"/>
        <v>13.799999999999999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66.90883522775664</v>
      </c>
      <c r="C109" s="67">
        <f t="shared" ref="C109:Q109" si="3">STDEV(C9:C104)</f>
        <v>10.506976928054433</v>
      </c>
      <c r="D109" s="67">
        <f t="shared" si="3"/>
        <v>56.097640479119555</v>
      </c>
      <c r="E109" s="67">
        <f t="shared" si="3"/>
        <v>0.2434481599415933</v>
      </c>
      <c r="F109" s="67">
        <f t="shared" si="3"/>
        <v>1.0531649043665843</v>
      </c>
      <c r="G109" s="67">
        <f t="shared" si="3"/>
        <v>57.052617135950904</v>
      </c>
      <c r="H109" s="67">
        <f t="shared" si="3"/>
        <v>28.764390694165126</v>
      </c>
      <c r="I109" s="67">
        <f t="shared" si="3"/>
        <v>3.4189872307761764E-2</v>
      </c>
      <c r="J109" s="67">
        <f t="shared" si="3"/>
        <v>0.1969944952031677</v>
      </c>
      <c r="K109" s="67">
        <f t="shared" si="3"/>
        <v>98.093671832796346</v>
      </c>
      <c r="L109" s="67">
        <f t="shared" si="3"/>
        <v>4.7163687793385227</v>
      </c>
      <c r="M109" s="67">
        <f t="shared" si="3"/>
        <v>24.122402552426561</v>
      </c>
      <c r="N109" s="67">
        <f t="shared" si="3"/>
        <v>178.77794572371894</v>
      </c>
      <c r="O109" s="67">
        <f t="shared" si="3"/>
        <v>0</v>
      </c>
      <c r="P109" s="67">
        <f t="shared" si="3"/>
        <v>0.8480247366364797</v>
      </c>
      <c r="Q109" s="67">
        <f t="shared" si="3"/>
        <v>9.9187094873646231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2937</v>
      </c>
      <c r="B9" s="64">
        <v>115.46</v>
      </c>
      <c r="C9" s="64">
        <v>88.72</v>
      </c>
      <c r="D9" s="64">
        <v>142.19999999999999</v>
      </c>
      <c r="E9" s="64">
        <v>0.5</v>
      </c>
      <c r="F9" s="64">
        <v>2.93</v>
      </c>
      <c r="G9" s="64">
        <v>219.85</v>
      </c>
      <c r="H9" s="64">
        <v>99.66</v>
      </c>
      <c r="I9" s="64">
        <v>1.52</v>
      </c>
      <c r="J9" s="64">
        <v>0.12</v>
      </c>
      <c r="K9" s="64">
        <v>301.24</v>
      </c>
      <c r="L9" s="64">
        <v>14.47</v>
      </c>
      <c r="M9" s="64">
        <v>97.48</v>
      </c>
      <c r="N9" s="64">
        <v>35.700000000000003</v>
      </c>
      <c r="O9" s="64">
        <v>0</v>
      </c>
      <c r="P9" s="64">
        <v>2.62</v>
      </c>
      <c r="Q9" s="64">
        <v>14.9</v>
      </c>
      <c r="R9" s="198"/>
      <c r="S9" s="198"/>
      <c r="T9" s="198"/>
      <c r="U9" s="198"/>
    </row>
    <row r="10" spans="1:21" s="12" customFormat="1" x14ac:dyDescent="0.25">
      <c r="A10" s="214" t="s">
        <v>2938</v>
      </c>
      <c r="B10" s="64">
        <v>115.6</v>
      </c>
      <c r="C10" s="64">
        <v>86.94</v>
      </c>
      <c r="D10" s="64">
        <v>141.33000000000001</v>
      </c>
      <c r="E10" s="64">
        <v>0.52</v>
      </c>
      <c r="F10" s="64">
        <v>2.78</v>
      </c>
      <c r="G10" s="64">
        <v>219.85</v>
      </c>
      <c r="H10" s="64">
        <v>99.66</v>
      </c>
      <c r="I10" s="64">
        <v>1.44</v>
      </c>
      <c r="J10" s="64">
        <v>0.09</v>
      </c>
      <c r="K10" s="64">
        <v>294.61</v>
      </c>
      <c r="L10" s="64">
        <v>14.46</v>
      </c>
      <c r="M10" s="64">
        <v>97.76</v>
      </c>
      <c r="N10" s="64">
        <v>35.700000000000003</v>
      </c>
      <c r="O10" s="64">
        <v>0</v>
      </c>
      <c r="P10" s="64">
        <v>2.6</v>
      </c>
      <c r="Q10" s="64">
        <v>14.8</v>
      </c>
      <c r="R10" s="198"/>
      <c r="S10" s="198"/>
      <c r="T10" s="198"/>
      <c r="U10" s="198"/>
    </row>
    <row r="11" spans="1:21" s="12" customFormat="1" x14ac:dyDescent="0.25">
      <c r="A11" s="214" t="s">
        <v>2939</v>
      </c>
      <c r="B11" s="64">
        <v>114.12</v>
      </c>
      <c r="C11" s="64">
        <v>85.45</v>
      </c>
      <c r="D11" s="64">
        <v>139.32</v>
      </c>
      <c r="E11" s="64">
        <v>0.47</v>
      </c>
      <c r="F11" s="64">
        <v>2.99</v>
      </c>
      <c r="G11" s="64">
        <v>219.85</v>
      </c>
      <c r="H11" s="64">
        <v>99.66</v>
      </c>
      <c r="I11" s="64">
        <v>1.52</v>
      </c>
      <c r="J11" s="64">
        <v>0.12</v>
      </c>
      <c r="K11" s="64">
        <v>279.43</v>
      </c>
      <c r="L11" s="64">
        <v>14.41</v>
      </c>
      <c r="M11" s="64">
        <v>97.7</v>
      </c>
      <c r="N11" s="64">
        <v>35.799999999999997</v>
      </c>
      <c r="O11" s="64">
        <v>0</v>
      </c>
      <c r="P11" s="64">
        <v>2.5499999999999998</v>
      </c>
      <c r="Q11" s="64">
        <v>14.74</v>
      </c>
      <c r="R11" s="198"/>
      <c r="S11" s="198"/>
      <c r="T11" s="198"/>
      <c r="U11" s="198"/>
    </row>
    <row r="12" spans="1:21" s="12" customFormat="1" x14ac:dyDescent="0.25">
      <c r="A12" s="214" t="s">
        <v>2940</v>
      </c>
      <c r="B12" s="64">
        <v>112.43</v>
      </c>
      <c r="C12" s="64">
        <v>83.7</v>
      </c>
      <c r="D12" s="64">
        <v>137</v>
      </c>
      <c r="E12" s="64">
        <v>0.53</v>
      </c>
      <c r="F12" s="64">
        <v>3.02</v>
      </c>
      <c r="G12" s="64">
        <v>220.26</v>
      </c>
      <c r="H12" s="64">
        <v>98.38</v>
      </c>
      <c r="I12" s="64">
        <v>1.49</v>
      </c>
      <c r="J12" s="64">
        <v>0.06</v>
      </c>
      <c r="K12" s="64">
        <v>264.54000000000002</v>
      </c>
      <c r="L12" s="64">
        <v>14.42</v>
      </c>
      <c r="M12" s="64">
        <v>97.74</v>
      </c>
      <c r="N12" s="64">
        <v>35.700000000000003</v>
      </c>
      <c r="O12" s="64">
        <v>0</v>
      </c>
      <c r="P12" s="64">
        <v>2.5099999999999998</v>
      </c>
      <c r="Q12" s="64">
        <v>14.54</v>
      </c>
      <c r="R12" s="198"/>
      <c r="S12" s="198"/>
      <c r="T12" s="198"/>
      <c r="U12" s="198"/>
    </row>
    <row r="13" spans="1:21" s="12" customFormat="1" x14ac:dyDescent="0.25">
      <c r="A13" s="214" t="s">
        <v>2941</v>
      </c>
      <c r="B13" s="64">
        <v>109.95</v>
      </c>
      <c r="C13" s="64">
        <v>82.35</v>
      </c>
      <c r="D13" s="64">
        <v>134.26</v>
      </c>
      <c r="E13" s="64">
        <v>0.47</v>
      </c>
      <c r="F13" s="64">
        <v>3.01</v>
      </c>
      <c r="G13" s="64">
        <v>220.38</v>
      </c>
      <c r="H13" s="64">
        <v>98.38</v>
      </c>
      <c r="I13" s="64">
        <v>1.44</v>
      </c>
      <c r="J13" s="64">
        <v>0.08</v>
      </c>
      <c r="K13" s="64">
        <v>318.3</v>
      </c>
      <c r="L13" s="64">
        <v>14.5</v>
      </c>
      <c r="M13" s="64">
        <v>97.19</v>
      </c>
      <c r="N13" s="64">
        <v>35.799999999999997</v>
      </c>
      <c r="O13" s="64">
        <v>0</v>
      </c>
      <c r="P13" s="64">
        <v>2.2599999999999998</v>
      </c>
      <c r="Q13" s="64">
        <v>14.33</v>
      </c>
      <c r="R13" s="198"/>
      <c r="S13" s="198"/>
      <c r="T13" s="198"/>
      <c r="U13" s="198"/>
    </row>
    <row r="14" spans="1:21" s="12" customFormat="1" x14ac:dyDescent="0.25">
      <c r="A14" s="214" t="s">
        <v>2942</v>
      </c>
      <c r="B14" s="64">
        <v>107.34</v>
      </c>
      <c r="C14" s="64">
        <v>81.02</v>
      </c>
      <c r="D14" s="64">
        <v>131.44</v>
      </c>
      <c r="E14" s="64">
        <v>0.46</v>
      </c>
      <c r="F14" s="64">
        <v>3.17</v>
      </c>
      <c r="G14" s="64">
        <v>220.38</v>
      </c>
      <c r="H14" s="64">
        <v>98.38</v>
      </c>
      <c r="I14" s="64">
        <v>1.53</v>
      </c>
      <c r="J14" s="64">
        <v>0.04</v>
      </c>
      <c r="K14" s="64">
        <v>265.24</v>
      </c>
      <c r="L14" s="64">
        <v>14.6</v>
      </c>
      <c r="M14" s="64">
        <v>97.01</v>
      </c>
      <c r="N14" s="64">
        <v>35.9</v>
      </c>
      <c r="O14" s="64">
        <v>0</v>
      </c>
      <c r="P14" s="64">
        <v>2.3199999999999998</v>
      </c>
      <c r="Q14" s="64">
        <v>14.14</v>
      </c>
      <c r="R14" s="198"/>
      <c r="S14" s="198"/>
      <c r="T14" s="198"/>
      <c r="U14" s="198"/>
    </row>
    <row r="15" spans="1:21" s="12" customFormat="1" x14ac:dyDescent="0.25">
      <c r="A15" s="214" t="s">
        <v>2943</v>
      </c>
      <c r="B15" s="64">
        <v>104.17</v>
      </c>
      <c r="C15" s="64">
        <v>79.83</v>
      </c>
      <c r="D15" s="64">
        <v>128.22999999999999</v>
      </c>
      <c r="E15" s="64">
        <v>0.44</v>
      </c>
      <c r="F15" s="64">
        <v>3.19</v>
      </c>
      <c r="G15" s="64">
        <v>220.38</v>
      </c>
      <c r="H15" s="64">
        <v>98.38</v>
      </c>
      <c r="I15" s="64">
        <v>1.47</v>
      </c>
      <c r="J15" s="64">
        <v>0.09</v>
      </c>
      <c r="K15" s="64">
        <v>243.84</v>
      </c>
      <c r="L15" s="64">
        <v>14.5</v>
      </c>
      <c r="M15" s="64">
        <v>97.33</v>
      </c>
      <c r="N15" s="64">
        <v>35.9</v>
      </c>
      <c r="O15" s="64">
        <v>0</v>
      </c>
      <c r="P15" s="64">
        <v>2.27</v>
      </c>
      <c r="Q15" s="64">
        <v>13.98</v>
      </c>
      <c r="R15" s="198"/>
      <c r="S15" s="198"/>
      <c r="T15" s="198"/>
      <c r="U15" s="198"/>
    </row>
    <row r="16" spans="1:21" s="12" customFormat="1" x14ac:dyDescent="0.25">
      <c r="A16" s="214" t="s">
        <v>2944</v>
      </c>
      <c r="B16" s="64">
        <v>100.67</v>
      </c>
      <c r="C16" s="64">
        <v>79.28</v>
      </c>
      <c r="D16" s="64">
        <v>125.13</v>
      </c>
      <c r="E16" s="64">
        <v>0.49</v>
      </c>
      <c r="F16" s="64">
        <v>2.98</v>
      </c>
      <c r="G16" s="64">
        <v>201.56</v>
      </c>
      <c r="H16" s="64">
        <v>81.5</v>
      </c>
      <c r="I16" s="64">
        <v>1.46</v>
      </c>
      <c r="J16" s="64">
        <v>0.03</v>
      </c>
      <c r="K16" s="64">
        <v>253.34</v>
      </c>
      <c r="L16" s="64">
        <v>14.28</v>
      </c>
      <c r="M16" s="64">
        <v>97.82</v>
      </c>
      <c r="N16" s="64">
        <v>36</v>
      </c>
      <c r="O16" s="64">
        <v>0</v>
      </c>
      <c r="P16" s="64">
        <v>2.23</v>
      </c>
      <c r="Q16" s="64">
        <v>13.69</v>
      </c>
      <c r="R16" s="198"/>
      <c r="S16" s="198"/>
      <c r="T16" s="198"/>
      <c r="U16" s="198"/>
    </row>
    <row r="17" spans="1:21" s="12" customFormat="1" x14ac:dyDescent="0.25">
      <c r="A17" s="214" t="s">
        <v>2945</v>
      </c>
      <c r="B17" s="64">
        <v>97.37</v>
      </c>
      <c r="C17" s="64">
        <v>78.010000000000005</v>
      </c>
      <c r="D17" s="64">
        <v>121.78</v>
      </c>
      <c r="E17" s="64">
        <v>0.47</v>
      </c>
      <c r="F17" s="64">
        <v>3.12</v>
      </c>
      <c r="G17" s="64">
        <v>195.83</v>
      </c>
      <c r="H17" s="64">
        <v>81.5</v>
      </c>
      <c r="I17" s="64">
        <v>1.51</v>
      </c>
      <c r="J17" s="64">
        <v>0.08</v>
      </c>
      <c r="K17" s="64">
        <v>302.39</v>
      </c>
      <c r="L17" s="64">
        <v>14.1</v>
      </c>
      <c r="M17" s="64">
        <v>97.84</v>
      </c>
      <c r="N17" s="64">
        <v>35.9</v>
      </c>
      <c r="O17" s="64">
        <v>0</v>
      </c>
      <c r="P17" s="64">
        <v>2.19</v>
      </c>
      <c r="Q17" s="64">
        <v>13.47</v>
      </c>
      <c r="R17" s="198"/>
      <c r="S17" s="198"/>
      <c r="T17" s="198"/>
      <c r="U17" s="198"/>
    </row>
    <row r="18" spans="1:21" s="12" customFormat="1" x14ac:dyDescent="0.25">
      <c r="A18" s="214" t="s">
        <v>2946</v>
      </c>
      <c r="B18" s="64">
        <v>94.4</v>
      </c>
      <c r="C18" s="64">
        <v>76.989999999999995</v>
      </c>
      <c r="D18" s="64">
        <v>118.84</v>
      </c>
      <c r="E18" s="64">
        <v>0.54</v>
      </c>
      <c r="F18" s="64">
        <v>3.19</v>
      </c>
      <c r="G18" s="64">
        <v>195.83</v>
      </c>
      <c r="H18" s="64">
        <v>81.5</v>
      </c>
      <c r="I18" s="64">
        <v>1.48</v>
      </c>
      <c r="J18" s="64">
        <v>0.08</v>
      </c>
      <c r="K18" s="64">
        <v>356.06</v>
      </c>
      <c r="L18" s="64">
        <v>14.02</v>
      </c>
      <c r="M18" s="64">
        <v>97.85</v>
      </c>
      <c r="N18" s="64">
        <v>36.1</v>
      </c>
      <c r="O18" s="64">
        <v>0</v>
      </c>
      <c r="P18" s="64">
        <v>2.16</v>
      </c>
      <c r="Q18" s="64">
        <v>13.3</v>
      </c>
      <c r="R18" s="198"/>
      <c r="S18" s="198"/>
      <c r="T18" s="198"/>
      <c r="U18" s="198"/>
    </row>
    <row r="19" spans="1:21" s="12" customFormat="1" x14ac:dyDescent="0.25">
      <c r="A19" s="214" t="s">
        <v>2947</v>
      </c>
      <c r="B19" s="64">
        <v>91.96</v>
      </c>
      <c r="C19" s="64">
        <v>76.36</v>
      </c>
      <c r="D19" s="64">
        <v>116.53</v>
      </c>
      <c r="E19" s="64">
        <v>0.47</v>
      </c>
      <c r="F19" s="64">
        <v>3.05</v>
      </c>
      <c r="G19" s="64">
        <v>195.83</v>
      </c>
      <c r="H19" s="64">
        <v>81.5</v>
      </c>
      <c r="I19" s="64">
        <v>1.46</v>
      </c>
      <c r="J19" s="64">
        <v>0.02</v>
      </c>
      <c r="K19" s="64">
        <v>323.3</v>
      </c>
      <c r="L19" s="64">
        <v>14.04</v>
      </c>
      <c r="M19" s="64">
        <v>97.86</v>
      </c>
      <c r="N19" s="64">
        <v>36</v>
      </c>
      <c r="O19" s="64">
        <v>0</v>
      </c>
      <c r="P19" s="64">
        <v>2.14</v>
      </c>
      <c r="Q19" s="64">
        <v>13.25</v>
      </c>
      <c r="R19" s="198"/>
      <c r="S19" s="198"/>
      <c r="T19" s="198"/>
      <c r="U19" s="198"/>
    </row>
    <row r="20" spans="1:21" s="12" customFormat="1" x14ac:dyDescent="0.25">
      <c r="A20" s="214" t="s">
        <v>2948</v>
      </c>
      <c r="B20" s="64">
        <v>90.06</v>
      </c>
      <c r="C20" s="64">
        <v>76.78</v>
      </c>
      <c r="D20" s="64">
        <v>115.24</v>
      </c>
      <c r="E20" s="64">
        <v>0.49</v>
      </c>
      <c r="F20" s="64">
        <v>2.92</v>
      </c>
      <c r="G20" s="64">
        <v>187.3</v>
      </c>
      <c r="H20" s="64">
        <v>99.09</v>
      </c>
      <c r="I20" s="64">
        <v>1.53</v>
      </c>
      <c r="J20" s="64">
        <v>0.04</v>
      </c>
      <c r="K20" s="64">
        <v>322.27999999999997</v>
      </c>
      <c r="L20" s="64">
        <v>14.14</v>
      </c>
      <c r="M20" s="64">
        <v>97.85</v>
      </c>
      <c r="N20" s="64">
        <v>35.799999999999997</v>
      </c>
      <c r="O20" s="64">
        <v>0</v>
      </c>
      <c r="P20" s="64">
        <v>2.13</v>
      </c>
      <c r="Q20" s="64">
        <v>12.75</v>
      </c>
      <c r="R20" s="198"/>
      <c r="S20" s="198"/>
      <c r="T20" s="198"/>
      <c r="U20" s="198"/>
    </row>
    <row r="21" spans="1:21" s="12" customFormat="1" x14ac:dyDescent="0.25">
      <c r="A21" s="214" t="s">
        <v>2949</v>
      </c>
      <c r="B21" s="64">
        <v>88.59</v>
      </c>
      <c r="C21" s="64">
        <v>76.58</v>
      </c>
      <c r="D21" s="64">
        <v>113.96</v>
      </c>
      <c r="E21" s="64">
        <v>0.44</v>
      </c>
      <c r="F21" s="64">
        <v>3.05</v>
      </c>
      <c r="G21" s="64">
        <v>184.55</v>
      </c>
      <c r="H21" s="64">
        <v>99.09</v>
      </c>
      <c r="I21" s="64">
        <v>1.49</v>
      </c>
      <c r="J21" s="64">
        <v>0.12</v>
      </c>
      <c r="K21" s="64">
        <v>92.27</v>
      </c>
      <c r="L21" s="64">
        <v>14.27</v>
      </c>
      <c r="M21" s="64">
        <v>97.8</v>
      </c>
      <c r="N21" s="64">
        <v>35.700000000000003</v>
      </c>
      <c r="O21" s="64">
        <v>0</v>
      </c>
      <c r="P21" s="64">
        <v>2.12</v>
      </c>
      <c r="Q21" s="64">
        <v>12.59</v>
      </c>
      <c r="R21" s="198"/>
      <c r="S21" s="198"/>
      <c r="T21" s="198"/>
      <c r="U21" s="198"/>
    </row>
    <row r="22" spans="1:21" s="12" customFormat="1" x14ac:dyDescent="0.25">
      <c r="A22" s="214" t="s">
        <v>2950</v>
      </c>
      <c r="B22" s="64">
        <v>86.57</v>
      </c>
      <c r="C22" s="64">
        <v>76.81</v>
      </c>
      <c r="D22" s="64">
        <v>112.46</v>
      </c>
      <c r="E22" s="64">
        <v>0.47</v>
      </c>
      <c r="F22" s="64">
        <v>3.04</v>
      </c>
      <c r="G22" s="64">
        <v>184.55</v>
      </c>
      <c r="H22" s="64">
        <v>99.09</v>
      </c>
      <c r="I22" s="64">
        <v>1.51</v>
      </c>
      <c r="J22" s="64">
        <v>0.12</v>
      </c>
      <c r="K22" s="64">
        <v>87.06</v>
      </c>
      <c r="L22" s="64">
        <v>14.36</v>
      </c>
      <c r="M22" s="64">
        <v>93.42</v>
      </c>
      <c r="N22" s="64">
        <v>35.799999999999997</v>
      </c>
      <c r="O22" s="64">
        <v>0</v>
      </c>
      <c r="P22" s="64">
        <v>2.09</v>
      </c>
      <c r="Q22" s="64">
        <v>12.46</v>
      </c>
      <c r="R22" s="198"/>
      <c r="S22" s="198"/>
      <c r="T22" s="198"/>
      <c r="U22" s="198"/>
    </row>
    <row r="23" spans="1:21" s="12" customFormat="1" x14ac:dyDescent="0.25">
      <c r="A23" s="214" t="s">
        <v>2951</v>
      </c>
      <c r="B23" s="64">
        <v>83.53</v>
      </c>
      <c r="C23" s="64">
        <v>76.819999999999993</v>
      </c>
      <c r="D23" s="64">
        <v>110.03</v>
      </c>
      <c r="E23" s="64">
        <v>0.5</v>
      </c>
      <c r="F23" s="64">
        <v>3</v>
      </c>
      <c r="G23" s="64">
        <v>184.55</v>
      </c>
      <c r="H23" s="64">
        <v>99.09</v>
      </c>
      <c r="I23" s="64">
        <v>1.52</v>
      </c>
      <c r="J23" s="64">
        <v>0.09</v>
      </c>
      <c r="K23" s="64">
        <v>119.85</v>
      </c>
      <c r="L23" s="64">
        <v>14.5</v>
      </c>
      <c r="M23" s="64">
        <v>91.28</v>
      </c>
      <c r="N23" s="64">
        <v>35.700000000000003</v>
      </c>
      <c r="O23" s="64">
        <v>0</v>
      </c>
      <c r="P23" s="64">
        <v>2.0499999999999998</v>
      </c>
      <c r="Q23" s="64">
        <v>12.28</v>
      </c>
      <c r="R23" s="198"/>
      <c r="S23" s="198"/>
      <c r="T23" s="198"/>
      <c r="U23" s="198"/>
    </row>
    <row r="24" spans="1:21" s="12" customFormat="1" x14ac:dyDescent="0.25">
      <c r="A24" s="214" t="s">
        <v>2952</v>
      </c>
      <c r="B24" s="64">
        <v>80.14</v>
      </c>
      <c r="C24" s="64">
        <v>77.459999999999994</v>
      </c>
      <c r="D24" s="64">
        <v>107.66</v>
      </c>
      <c r="E24" s="64">
        <v>0.26</v>
      </c>
      <c r="F24" s="64">
        <v>3.05</v>
      </c>
      <c r="G24" s="64">
        <v>194.23</v>
      </c>
      <c r="H24" s="64">
        <v>115.3</v>
      </c>
      <c r="I24" s="64">
        <v>1.5</v>
      </c>
      <c r="J24" s="64">
        <v>0.09</v>
      </c>
      <c r="K24" s="64">
        <v>330.86</v>
      </c>
      <c r="L24" s="64">
        <v>14.35</v>
      </c>
      <c r="M24" s="64">
        <v>93.53</v>
      </c>
      <c r="N24" s="64">
        <v>36.200000000000003</v>
      </c>
      <c r="O24" s="64">
        <v>0</v>
      </c>
      <c r="P24" s="64">
        <v>2.0099999999999998</v>
      </c>
      <c r="Q24" s="64">
        <v>12.18</v>
      </c>
      <c r="R24" s="198"/>
      <c r="S24" s="198"/>
      <c r="T24" s="198"/>
      <c r="U24" s="198"/>
    </row>
    <row r="25" spans="1:21" s="12" customFormat="1" x14ac:dyDescent="0.25">
      <c r="A25" s="214" t="s">
        <v>2953</v>
      </c>
      <c r="B25" s="64">
        <v>77.58</v>
      </c>
      <c r="C25" s="64">
        <v>77.010000000000005</v>
      </c>
      <c r="D25" s="64">
        <v>105.36</v>
      </c>
      <c r="E25" s="64">
        <v>0.35</v>
      </c>
      <c r="F25" s="64">
        <v>3.08</v>
      </c>
      <c r="G25" s="64">
        <v>197.36</v>
      </c>
      <c r="H25" s="64">
        <v>115.3</v>
      </c>
      <c r="I25" s="64">
        <v>1.51</v>
      </c>
      <c r="J25" s="64">
        <v>0.11</v>
      </c>
      <c r="K25" s="64">
        <v>302.70999999999998</v>
      </c>
      <c r="L25" s="64">
        <v>13.75</v>
      </c>
      <c r="M25" s="64">
        <v>97.5</v>
      </c>
      <c r="N25" s="64">
        <v>36</v>
      </c>
      <c r="O25" s="64">
        <v>0</v>
      </c>
      <c r="P25" s="64">
        <v>1.98</v>
      </c>
      <c r="Q25" s="64">
        <v>12</v>
      </c>
      <c r="R25" s="198"/>
      <c r="S25" s="198"/>
      <c r="T25" s="198"/>
      <c r="U25" s="198"/>
    </row>
    <row r="26" spans="1:21" s="12" customFormat="1" x14ac:dyDescent="0.25">
      <c r="A26" s="214" t="s">
        <v>2954</v>
      </c>
      <c r="B26" s="64">
        <v>75.599999999999994</v>
      </c>
      <c r="C26" s="64">
        <v>76.95</v>
      </c>
      <c r="D26" s="64">
        <v>103.74</v>
      </c>
      <c r="E26" s="64">
        <v>0.38</v>
      </c>
      <c r="F26" s="64">
        <v>3.17</v>
      </c>
      <c r="G26" s="64">
        <v>197.36</v>
      </c>
      <c r="H26" s="64">
        <v>115.3</v>
      </c>
      <c r="I26" s="64">
        <v>1.48</v>
      </c>
      <c r="J26" s="64">
        <v>0.1</v>
      </c>
      <c r="K26" s="64">
        <v>305.24</v>
      </c>
      <c r="L26" s="64">
        <v>13.71</v>
      </c>
      <c r="M26" s="64">
        <v>97.81</v>
      </c>
      <c r="N26" s="64">
        <v>36</v>
      </c>
      <c r="O26" s="64">
        <v>0</v>
      </c>
      <c r="P26" s="64">
        <v>1.94</v>
      </c>
      <c r="Q26" s="64">
        <v>11.85</v>
      </c>
      <c r="R26" s="198"/>
      <c r="S26" s="198"/>
      <c r="T26" s="198"/>
      <c r="U26" s="198"/>
    </row>
    <row r="27" spans="1:21" s="12" customFormat="1" x14ac:dyDescent="0.25">
      <c r="A27" s="214" t="s">
        <v>2955</v>
      </c>
      <c r="B27" s="64">
        <v>73.92</v>
      </c>
      <c r="C27" s="64">
        <v>76.92</v>
      </c>
      <c r="D27" s="64">
        <v>102.37</v>
      </c>
      <c r="E27" s="64">
        <v>0.39</v>
      </c>
      <c r="F27" s="64">
        <v>3.36</v>
      </c>
      <c r="G27" s="64">
        <v>197.36</v>
      </c>
      <c r="H27" s="64">
        <v>115.3</v>
      </c>
      <c r="I27" s="64">
        <v>1.46</v>
      </c>
      <c r="J27" s="64">
        <v>0.11</v>
      </c>
      <c r="K27" s="64">
        <v>268.29000000000002</v>
      </c>
      <c r="L27" s="64">
        <v>13.36</v>
      </c>
      <c r="M27" s="64">
        <v>97.84</v>
      </c>
      <c r="N27" s="64">
        <v>35.9</v>
      </c>
      <c r="O27" s="64">
        <v>0</v>
      </c>
      <c r="P27" s="64">
        <v>1.9</v>
      </c>
      <c r="Q27" s="64">
        <v>11.74</v>
      </c>
      <c r="R27" s="198"/>
      <c r="S27" s="198"/>
      <c r="T27" s="198"/>
      <c r="U27" s="198"/>
    </row>
    <row r="28" spans="1:21" s="12" customFormat="1" x14ac:dyDescent="0.25">
      <c r="A28" s="214" t="s">
        <v>2956</v>
      </c>
      <c r="B28" s="64">
        <v>72.37</v>
      </c>
      <c r="C28" s="64">
        <v>76.89</v>
      </c>
      <c r="D28" s="64">
        <v>101.12</v>
      </c>
      <c r="E28" s="64">
        <v>0.32</v>
      </c>
      <c r="F28" s="64">
        <v>3.38</v>
      </c>
      <c r="G28" s="64">
        <v>205.46</v>
      </c>
      <c r="H28" s="64">
        <v>117.62</v>
      </c>
      <c r="I28" s="64">
        <v>1.54</v>
      </c>
      <c r="J28" s="64">
        <v>0.09</v>
      </c>
      <c r="K28" s="64">
        <v>245.14</v>
      </c>
      <c r="L28" s="64">
        <v>13.48</v>
      </c>
      <c r="M28" s="64">
        <v>97.83</v>
      </c>
      <c r="N28" s="64">
        <v>35.6</v>
      </c>
      <c r="O28" s="64">
        <v>0</v>
      </c>
      <c r="P28" s="64">
        <v>1.85</v>
      </c>
      <c r="Q28" s="64">
        <v>11.56</v>
      </c>
      <c r="R28" s="198"/>
      <c r="S28" s="198"/>
      <c r="T28" s="198"/>
      <c r="U28" s="198"/>
    </row>
    <row r="29" spans="1:21" s="12" customFormat="1" x14ac:dyDescent="0.25">
      <c r="A29" s="214" t="s">
        <v>2957</v>
      </c>
      <c r="B29" s="64">
        <v>71.2</v>
      </c>
      <c r="C29" s="64">
        <v>76.06</v>
      </c>
      <c r="D29" s="64">
        <v>99.72</v>
      </c>
      <c r="E29" s="64">
        <v>0.41</v>
      </c>
      <c r="F29" s="64">
        <v>3.35</v>
      </c>
      <c r="G29" s="64">
        <v>207.92</v>
      </c>
      <c r="H29" s="64">
        <v>117.62</v>
      </c>
      <c r="I29" s="64">
        <v>1.52</v>
      </c>
      <c r="J29" s="64">
        <v>0.09</v>
      </c>
      <c r="K29" s="64">
        <v>286.29000000000002</v>
      </c>
      <c r="L29" s="64">
        <v>13.29</v>
      </c>
      <c r="M29" s="64">
        <v>97.84</v>
      </c>
      <c r="N29" s="64">
        <v>35.9</v>
      </c>
      <c r="O29" s="64">
        <v>0</v>
      </c>
      <c r="P29" s="64">
        <v>1.8</v>
      </c>
      <c r="Q29" s="64">
        <v>11.44</v>
      </c>
      <c r="R29" s="198"/>
      <c r="S29" s="198"/>
      <c r="T29" s="198"/>
      <c r="U29" s="198"/>
    </row>
    <row r="30" spans="1:21" s="12" customFormat="1" x14ac:dyDescent="0.25">
      <c r="A30" s="214" t="s">
        <v>2958</v>
      </c>
      <c r="B30" s="64">
        <v>71.55</v>
      </c>
      <c r="C30" s="64">
        <v>75.19</v>
      </c>
      <c r="D30" s="64">
        <v>99.52</v>
      </c>
      <c r="E30" s="64">
        <v>0.37</v>
      </c>
      <c r="F30" s="64">
        <v>3.38</v>
      </c>
      <c r="G30" s="64">
        <v>207.92</v>
      </c>
      <c r="H30" s="64">
        <v>117.62</v>
      </c>
      <c r="I30" s="64">
        <v>1.53</v>
      </c>
      <c r="J30" s="64">
        <v>0.09</v>
      </c>
      <c r="K30" s="64">
        <v>308.88</v>
      </c>
      <c r="L30" s="64">
        <v>12.93</v>
      </c>
      <c r="M30" s="64">
        <v>97.86</v>
      </c>
      <c r="N30" s="64">
        <v>36</v>
      </c>
      <c r="O30" s="64">
        <v>0</v>
      </c>
      <c r="P30" s="64">
        <v>1.75</v>
      </c>
      <c r="Q30" s="64">
        <v>11.36</v>
      </c>
      <c r="R30" s="198"/>
      <c r="S30" s="198"/>
      <c r="T30" s="198"/>
      <c r="U30" s="198"/>
    </row>
    <row r="31" spans="1:21" s="12" customFormat="1" x14ac:dyDescent="0.25">
      <c r="A31" s="214" t="s">
        <v>2959</v>
      </c>
      <c r="B31" s="64">
        <v>73.44</v>
      </c>
      <c r="C31" s="64">
        <v>74.34</v>
      </c>
      <c r="D31" s="64">
        <v>100.57</v>
      </c>
      <c r="E31" s="64">
        <v>0.38</v>
      </c>
      <c r="F31" s="64">
        <v>3.64</v>
      </c>
      <c r="G31" s="64">
        <v>207.92</v>
      </c>
      <c r="H31" s="64">
        <v>117.62</v>
      </c>
      <c r="I31" s="64">
        <v>1.54</v>
      </c>
      <c r="J31" s="64">
        <v>0.06</v>
      </c>
      <c r="K31" s="64">
        <v>226.98</v>
      </c>
      <c r="L31" s="64">
        <v>12.76</v>
      </c>
      <c r="M31" s="64">
        <v>97.88</v>
      </c>
      <c r="N31" s="64">
        <v>35.9</v>
      </c>
      <c r="O31" s="64">
        <v>0</v>
      </c>
      <c r="P31" s="64">
        <v>1.71</v>
      </c>
      <c r="Q31" s="64">
        <v>11.39</v>
      </c>
      <c r="R31" s="198"/>
      <c r="S31" s="198"/>
      <c r="T31" s="198"/>
      <c r="U31" s="198"/>
    </row>
    <row r="32" spans="1:21" s="12" customFormat="1" x14ac:dyDescent="0.25">
      <c r="A32" s="214" t="s">
        <v>2960</v>
      </c>
      <c r="B32" s="64">
        <v>74.680000000000007</v>
      </c>
      <c r="C32" s="64">
        <v>73.5</v>
      </c>
      <c r="D32" s="64">
        <v>101.1</v>
      </c>
      <c r="E32" s="64">
        <v>0.38</v>
      </c>
      <c r="F32" s="64">
        <v>3.19</v>
      </c>
      <c r="G32" s="64">
        <v>193.99</v>
      </c>
      <c r="H32" s="64">
        <v>99.35</v>
      </c>
      <c r="I32" s="64">
        <v>1.53</v>
      </c>
      <c r="J32" s="64">
        <v>0.13</v>
      </c>
      <c r="K32" s="64">
        <v>293.06</v>
      </c>
      <c r="L32" s="64">
        <v>12.7</v>
      </c>
      <c r="M32" s="64">
        <v>97.88</v>
      </c>
      <c r="N32" s="64">
        <v>35.799999999999997</v>
      </c>
      <c r="O32" s="64">
        <v>0</v>
      </c>
      <c r="P32" s="64">
        <v>1.67</v>
      </c>
      <c r="Q32" s="64">
        <v>11.43</v>
      </c>
      <c r="R32" s="198"/>
      <c r="S32" s="198"/>
      <c r="T32" s="198"/>
      <c r="U32" s="198"/>
    </row>
    <row r="33" spans="1:21" s="12" customFormat="1" x14ac:dyDescent="0.25">
      <c r="A33" s="214" t="s">
        <v>2961</v>
      </c>
      <c r="B33" s="64">
        <v>77.77</v>
      </c>
      <c r="C33" s="64">
        <v>71.62</v>
      </c>
      <c r="D33" s="64">
        <v>102.54</v>
      </c>
      <c r="E33" s="64">
        <v>0.4</v>
      </c>
      <c r="F33" s="64">
        <v>3.26</v>
      </c>
      <c r="G33" s="64">
        <v>189.75</v>
      </c>
      <c r="H33" s="64">
        <v>99.35</v>
      </c>
      <c r="I33" s="64">
        <v>1.48</v>
      </c>
      <c r="J33" s="64">
        <v>0.08</v>
      </c>
      <c r="K33" s="64">
        <v>260.54000000000002</v>
      </c>
      <c r="L33" s="64">
        <v>12.76</v>
      </c>
      <c r="M33" s="64">
        <v>97.88</v>
      </c>
      <c r="N33" s="64">
        <v>36.1</v>
      </c>
      <c r="O33" s="64">
        <v>0</v>
      </c>
      <c r="P33" s="64">
        <v>1.66</v>
      </c>
      <c r="Q33" s="64">
        <v>11.65</v>
      </c>
      <c r="R33" s="198"/>
      <c r="S33" s="198"/>
      <c r="T33" s="198"/>
      <c r="U33" s="198"/>
    </row>
    <row r="34" spans="1:21" s="12" customFormat="1" x14ac:dyDescent="0.25">
      <c r="A34" s="214" t="s">
        <v>2962</v>
      </c>
      <c r="B34" s="64">
        <v>82.36</v>
      </c>
      <c r="C34" s="64">
        <v>72.23</v>
      </c>
      <c r="D34" s="64">
        <v>106.55</v>
      </c>
      <c r="E34" s="64">
        <v>0.44</v>
      </c>
      <c r="F34" s="64">
        <v>3.14</v>
      </c>
      <c r="G34" s="64">
        <v>189.75</v>
      </c>
      <c r="H34" s="64">
        <v>99.35</v>
      </c>
      <c r="I34" s="64">
        <v>1.48</v>
      </c>
      <c r="J34" s="64">
        <v>0.11</v>
      </c>
      <c r="K34" s="64">
        <v>334.53</v>
      </c>
      <c r="L34" s="64">
        <v>12.65</v>
      </c>
      <c r="M34" s="64">
        <v>97.88</v>
      </c>
      <c r="N34" s="64">
        <v>37.799999999999997</v>
      </c>
      <c r="O34" s="64">
        <v>0</v>
      </c>
      <c r="P34" s="64">
        <v>1.64</v>
      </c>
      <c r="Q34" s="64">
        <v>11.88</v>
      </c>
      <c r="R34" s="198"/>
      <c r="S34" s="198"/>
      <c r="T34" s="198"/>
      <c r="U34" s="198"/>
    </row>
    <row r="35" spans="1:21" s="12" customFormat="1" x14ac:dyDescent="0.25">
      <c r="A35" s="214" t="s">
        <v>2963</v>
      </c>
      <c r="B35" s="64">
        <v>94.31</v>
      </c>
      <c r="C35" s="64">
        <v>72.94</v>
      </c>
      <c r="D35" s="64">
        <v>116.53</v>
      </c>
      <c r="E35" s="64">
        <v>0.44</v>
      </c>
      <c r="F35" s="64">
        <v>3.5</v>
      </c>
      <c r="G35" s="64">
        <v>189.75</v>
      </c>
      <c r="H35" s="64">
        <v>99.35</v>
      </c>
      <c r="I35" s="64">
        <v>1.5</v>
      </c>
      <c r="J35" s="64">
        <v>0.09</v>
      </c>
      <c r="K35" s="64">
        <v>340.74</v>
      </c>
      <c r="L35" s="64">
        <v>12.76</v>
      </c>
      <c r="M35" s="64">
        <v>97.88</v>
      </c>
      <c r="N35" s="64">
        <v>43.7</v>
      </c>
      <c r="O35" s="64">
        <v>0</v>
      </c>
      <c r="P35" s="64">
        <v>1.66</v>
      </c>
      <c r="Q35" s="64">
        <v>12.33</v>
      </c>
      <c r="R35" s="198"/>
      <c r="S35" s="198"/>
      <c r="T35" s="198"/>
      <c r="U35" s="198"/>
    </row>
    <row r="36" spans="1:21" s="12" customFormat="1" x14ac:dyDescent="0.25">
      <c r="A36" s="214" t="s">
        <v>2964</v>
      </c>
      <c r="B36" s="64">
        <v>100.28</v>
      </c>
      <c r="C36" s="64">
        <v>73.959999999999994</v>
      </c>
      <c r="D36" s="64">
        <v>121.88</v>
      </c>
      <c r="E36" s="64">
        <v>0.46</v>
      </c>
      <c r="F36" s="64">
        <v>3.15</v>
      </c>
      <c r="G36" s="64">
        <v>192.5</v>
      </c>
      <c r="H36" s="64">
        <v>104.7</v>
      </c>
      <c r="I36" s="64">
        <v>1.49</v>
      </c>
      <c r="J36" s="64">
        <v>0.21</v>
      </c>
      <c r="K36" s="64">
        <v>77.13</v>
      </c>
      <c r="L36" s="64">
        <v>13.32</v>
      </c>
      <c r="M36" s="64">
        <v>97.79</v>
      </c>
      <c r="N36" s="64">
        <v>56.5</v>
      </c>
      <c r="O36" s="64">
        <v>0</v>
      </c>
      <c r="P36" s="64">
        <v>1.66</v>
      </c>
      <c r="Q36" s="64">
        <v>12.96</v>
      </c>
      <c r="R36" s="198"/>
      <c r="S36" s="198"/>
      <c r="T36" s="198"/>
      <c r="U36" s="198"/>
    </row>
    <row r="37" spans="1:21" s="12" customFormat="1" x14ac:dyDescent="0.25">
      <c r="A37" s="214" t="s">
        <v>2965</v>
      </c>
      <c r="B37" s="64">
        <v>98.1</v>
      </c>
      <c r="C37" s="64">
        <v>74.52</v>
      </c>
      <c r="D37" s="64">
        <v>120.44</v>
      </c>
      <c r="E37" s="64">
        <v>0.43</v>
      </c>
      <c r="F37" s="64">
        <v>3.03</v>
      </c>
      <c r="G37" s="64">
        <v>193.34</v>
      </c>
      <c r="H37" s="64">
        <v>104.7</v>
      </c>
      <c r="I37" s="64">
        <v>1.47</v>
      </c>
      <c r="J37" s="64">
        <v>0.15</v>
      </c>
      <c r="K37" s="64">
        <v>102.36</v>
      </c>
      <c r="L37" s="64">
        <v>13.92</v>
      </c>
      <c r="M37" s="64">
        <v>95.21</v>
      </c>
      <c r="N37" s="64">
        <v>67</v>
      </c>
      <c r="O37" s="64">
        <v>0</v>
      </c>
      <c r="P37" s="64">
        <v>1.64</v>
      </c>
      <c r="Q37" s="64">
        <v>13.16</v>
      </c>
      <c r="R37" s="198"/>
      <c r="S37" s="198"/>
      <c r="T37" s="198"/>
      <c r="U37" s="198"/>
    </row>
    <row r="38" spans="1:21" s="12" customFormat="1" x14ac:dyDescent="0.25">
      <c r="A38" s="214" t="s">
        <v>2966</v>
      </c>
      <c r="B38" s="64">
        <v>92.99</v>
      </c>
      <c r="C38" s="64">
        <v>74.569999999999993</v>
      </c>
      <c r="D38" s="64">
        <v>116.37</v>
      </c>
      <c r="E38" s="64">
        <v>0.44</v>
      </c>
      <c r="F38" s="64">
        <v>2.8</v>
      </c>
      <c r="G38" s="64">
        <v>193.34</v>
      </c>
      <c r="H38" s="64">
        <v>104.7</v>
      </c>
      <c r="I38" s="64">
        <v>1.57</v>
      </c>
      <c r="J38" s="64">
        <v>0.57999999999999996</v>
      </c>
      <c r="K38" s="64">
        <v>101.13</v>
      </c>
      <c r="L38" s="64">
        <v>14.5</v>
      </c>
      <c r="M38" s="64">
        <v>90.64</v>
      </c>
      <c r="N38" s="64">
        <v>86.1</v>
      </c>
      <c r="O38" s="64">
        <v>0</v>
      </c>
      <c r="P38" s="64">
        <v>1.67</v>
      </c>
      <c r="Q38" s="64">
        <v>13.03</v>
      </c>
      <c r="R38" s="198"/>
      <c r="S38" s="198"/>
      <c r="T38" s="198"/>
      <c r="U38" s="198"/>
    </row>
    <row r="39" spans="1:21" s="12" customFormat="1" x14ac:dyDescent="0.25">
      <c r="A39" s="214" t="s">
        <v>2967</v>
      </c>
      <c r="B39" s="64">
        <v>87.01</v>
      </c>
      <c r="C39" s="64">
        <v>74.25</v>
      </c>
      <c r="D39" s="64">
        <v>111.4</v>
      </c>
      <c r="E39" s="64">
        <v>0.41</v>
      </c>
      <c r="F39" s="64">
        <v>2.95</v>
      </c>
      <c r="G39" s="64">
        <v>193.34</v>
      </c>
      <c r="H39" s="64">
        <v>104.7</v>
      </c>
      <c r="I39" s="64">
        <v>1.5</v>
      </c>
      <c r="J39" s="64">
        <v>0.73</v>
      </c>
      <c r="K39" s="64">
        <v>101.24</v>
      </c>
      <c r="L39" s="64">
        <v>14.98</v>
      </c>
      <c r="M39" s="64">
        <v>87.03</v>
      </c>
      <c r="N39" s="64">
        <v>123.2</v>
      </c>
      <c r="O39" s="64">
        <v>0</v>
      </c>
      <c r="P39" s="64">
        <v>1.61</v>
      </c>
      <c r="Q39" s="64">
        <v>12.73</v>
      </c>
      <c r="R39" s="198"/>
      <c r="S39" s="198"/>
      <c r="T39" s="198"/>
      <c r="U39" s="198"/>
    </row>
    <row r="40" spans="1:21" s="12" customFormat="1" x14ac:dyDescent="0.25">
      <c r="A40" s="214" t="s">
        <v>2968</v>
      </c>
      <c r="B40" s="64">
        <v>81.48</v>
      </c>
      <c r="C40" s="64">
        <v>74.33</v>
      </c>
      <c r="D40" s="64">
        <v>107.01</v>
      </c>
      <c r="E40" s="64">
        <v>0.2</v>
      </c>
      <c r="F40" s="64">
        <v>3.2</v>
      </c>
      <c r="G40" s="64">
        <v>122.78</v>
      </c>
      <c r="H40" s="64">
        <v>73.3</v>
      </c>
      <c r="I40" s="64">
        <v>1.52</v>
      </c>
      <c r="J40" s="64">
        <v>0.8</v>
      </c>
      <c r="K40" s="64">
        <v>99.04</v>
      </c>
      <c r="L40" s="64">
        <v>15.48</v>
      </c>
      <c r="M40" s="64">
        <v>83.49</v>
      </c>
      <c r="N40" s="64">
        <v>162.19999999999999</v>
      </c>
      <c r="O40" s="64">
        <v>0</v>
      </c>
      <c r="P40" s="64">
        <v>1.55</v>
      </c>
      <c r="Q40" s="64">
        <v>12.22</v>
      </c>
      <c r="R40" s="198"/>
      <c r="S40" s="198"/>
      <c r="T40" s="198"/>
      <c r="U40" s="198"/>
    </row>
    <row r="41" spans="1:21" s="12" customFormat="1" x14ac:dyDescent="0.25">
      <c r="A41" s="214" t="s">
        <v>2969</v>
      </c>
      <c r="B41" s="64">
        <v>76.16</v>
      </c>
      <c r="C41" s="64">
        <v>74.56</v>
      </c>
      <c r="D41" s="64">
        <v>102.87</v>
      </c>
      <c r="E41" s="64">
        <v>0.43</v>
      </c>
      <c r="F41" s="64">
        <v>3.12</v>
      </c>
      <c r="G41" s="64">
        <v>101.3</v>
      </c>
      <c r="H41" s="64">
        <v>73.3</v>
      </c>
      <c r="I41" s="64">
        <v>1.43</v>
      </c>
      <c r="J41" s="64">
        <v>0.36</v>
      </c>
      <c r="K41" s="64">
        <v>98.78</v>
      </c>
      <c r="L41" s="64">
        <v>16.149999999999999</v>
      </c>
      <c r="M41" s="64">
        <v>80.19</v>
      </c>
      <c r="N41" s="64">
        <v>198.6</v>
      </c>
      <c r="O41" s="64">
        <v>0</v>
      </c>
      <c r="P41" s="64">
        <v>1.49</v>
      </c>
      <c r="Q41" s="64">
        <v>11.82</v>
      </c>
      <c r="R41" s="198"/>
      <c r="S41" s="198"/>
      <c r="T41" s="198"/>
      <c r="U41" s="198"/>
    </row>
    <row r="42" spans="1:21" s="12" customFormat="1" x14ac:dyDescent="0.25">
      <c r="A42" s="214" t="s">
        <v>2970</v>
      </c>
      <c r="B42" s="64">
        <v>70.8</v>
      </c>
      <c r="C42" s="64">
        <v>75.14</v>
      </c>
      <c r="D42" s="64">
        <v>98.89</v>
      </c>
      <c r="E42" s="64">
        <v>0.5</v>
      </c>
      <c r="F42" s="64">
        <v>3.14</v>
      </c>
      <c r="G42" s="64">
        <v>101.3</v>
      </c>
      <c r="H42" s="64">
        <v>73.3</v>
      </c>
      <c r="I42" s="64">
        <v>1.45</v>
      </c>
      <c r="J42" s="64">
        <v>0.36</v>
      </c>
      <c r="K42" s="64">
        <v>131.79</v>
      </c>
      <c r="L42" s="64">
        <v>17.2</v>
      </c>
      <c r="M42" s="64">
        <v>74.430000000000007</v>
      </c>
      <c r="N42" s="64">
        <v>233.7</v>
      </c>
      <c r="O42" s="64">
        <v>0</v>
      </c>
      <c r="P42" s="64">
        <v>1.45</v>
      </c>
      <c r="Q42" s="64">
        <v>11.45</v>
      </c>
      <c r="R42" s="198"/>
      <c r="S42" s="198"/>
      <c r="T42" s="198"/>
      <c r="U42" s="198"/>
    </row>
    <row r="43" spans="1:21" s="12" customFormat="1" x14ac:dyDescent="0.25">
      <c r="A43" s="214" t="s">
        <v>2971</v>
      </c>
      <c r="B43" s="64">
        <v>65.69</v>
      </c>
      <c r="C43" s="64">
        <v>75.73</v>
      </c>
      <c r="D43" s="64">
        <v>95.12</v>
      </c>
      <c r="E43" s="64">
        <v>0.41</v>
      </c>
      <c r="F43" s="64">
        <v>3.21</v>
      </c>
      <c r="G43" s="64">
        <v>101.3</v>
      </c>
      <c r="H43" s="64">
        <v>73.3</v>
      </c>
      <c r="I43" s="64">
        <v>1.45</v>
      </c>
      <c r="J43" s="64">
        <v>0.4</v>
      </c>
      <c r="K43" s="64">
        <v>159.96</v>
      </c>
      <c r="L43" s="64">
        <v>17.89</v>
      </c>
      <c r="M43" s="64">
        <v>71.540000000000006</v>
      </c>
      <c r="N43" s="64">
        <v>274</v>
      </c>
      <c r="O43" s="64">
        <v>0</v>
      </c>
      <c r="P43" s="64">
        <v>1.39</v>
      </c>
      <c r="Q43" s="64">
        <v>11.06</v>
      </c>
      <c r="R43" s="198"/>
      <c r="S43" s="198"/>
      <c r="T43" s="198"/>
      <c r="U43" s="198"/>
    </row>
    <row r="44" spans="1:21" s="12" customFormat="1" x14ac:dyDescent="0.25">
      <c r="A44" s="214" t="s">
        <v>2972</v>
      </c>
      <c r="B44" s="64">
        <v>60.54</v>
      </c>
      <c r="C44" s="64">
        <v>77.22</v>
      </c>
      <c r="D44" s="64">
        <v>91.81</v>
      </c>
      <c r="E44" s="64">
        <v>0.36</v>
      </c>
      <c r="F44" s="64">
        <v>3.27</v>
      </c>
      <c r="G44" s="64">
        <v>110.88</v>
      </c>
      <c r="H44" s="64">
        <v>68.06</v>
      </c>
      <c r="I44" s="64">
        <v>1.5</v>
      </c>
      <c r="J44" s="64">
        <v>0.77</v>
      </c>
      <c r="K44" s="64">
        <v>148.08000000000001</v>
      </c>
      <c r="L44" s="64">
        <v>18.03</v>
      </c>
      <c r="M44" s="64">
        <v>71.58</v>
      </c>
      <c r="N44" s="64">
        <v>312.3</v>
      </c>
      <c r="O44" s="64">
        <v>0</v>
      </c>
      <c r="P44" s="64">
        <v>1.36</v>
      </c>
      <c r="Q44" s="64">
        <v>10.69</v>
      </c>
      <c r="R44" s="198"/>
      <c r="S44" s="198"/>
      <c r="T44" s="198"/>
      <c r="U44" s="198"/>
    </row>
    <row r="45" spans="1:21" s="12" customFormat="1" x14ac:dyDescent="0.25">
      <c r="A45" s="214" t="s">
        <v>2973</v>
      </c>
      <c r="B45" s="64">
        <v>54.95</v>
      </c>
      <c r="C45" s="64">
        <v>77.510000000000005</v>
      </c>
      <c r="D45" s="64">
        <v>87.49</v>
      </c>
      <c r="E45" s="64">
        <v>0.42</v>
      </c>
      <c r="F45" s="64">
        <v>3.11</v>
      </c>
      <c r="G45" s="64">
        <v>113.79</v>
      </c>
      <c r="H45" s="64">
        <v>68.06</v>
      </c>
      <c r="I45" s="64">
        <v>1.55</v>
      </c>
      <c r="J45" s="64">
        <v>0.78</v>
      </c>
      <c r="K45" s="64">
        <v>149.11000000000001</v>
      </c>
      <c r="L45" s="64">
        <v>18.41</v>
      </c>
      <c r="M45" s="64">
        <v>70.540000000000006</v>
      </c>
      <c r="N45" s="64">
        <v>348.8</v>
      </c>
      <c r="O45" s="64">
        <v>0</v>
      </c>
      <c r="P45" s="64">
        <v>1.31</v>
      </c>
      <c r="Q45" s="64">
        <v>10.33</v>
      </c>
      <c r="R45" s="198"/>
      <c r="S45" s="198"/>
      <c r="T45" s="198"/>
      <c r="U45" s="198"/>
    </row>
    <row r="46" spans="1:21" s="12" customFormat="1" x14ac:dyDescent="0.25">
      <c r="A46" s="214" t="s">
        <v>2974</v>
      </c>
      <c r="B46" s="64">
        <v>49.59</v>
      </c>
      <c r="C46" s="64">
        <v>77.8</v>
      </c>
      <c r="D46" s="64">
        <v>83.35</v>
      </c>
      <c r="E46" s="64">
        <v>0.37</v>
      </c>
      <c r="F46" s="64">
        <v>3.23</v>
      </c>
      <c r="G46" s="64">
        <v>113.79</v>
      </c>
      <c r="H46" s="64">
        <v>68.06</v>
      </c>
      <c r="I46" s="64">
        <v>1.48</v>
      </c>
      <c r="J46" s="64">
        <v>0.77</v>
      </c>
      <c r="K46" s="64">
        <v>135.5</v>
      </c>
      <c r="L46" s="64">
        <v>19.03</v>
      </c>
      <c r="M46" s="64">
        <v>65.47</v>
      </c>
      <c r="N46" s="64">
        <v>395.2</v>
      </c>
      <c r="O46" s="64">
        <v>0</v>
      </c>
      <c r="P46" s="64">
        <v>1.27</v>
      </c>
      <c r="Q46" s="64">
        <v>9.99</v>
      </c>
      <c r="R46" s="198"/>
      <c r="S46" s="198"/>
      <c r="T46" s="198"/>
      <c r="U46" s="198"/>
    </row>
    <row r="47" spans="1:21" s="12" customFormat="1" x14ac:dyDescent="0.25">
      <c r="A47" s="214" t="s">
        <v>2975</v>
      </c>
      <c r="B47" s="64">
        <v>44.38</v>
      </c>
      <c r="C47" s="64">
        <v>78.099999999999994</v>
      </c>
      <c r="D47" s="64">
        <v>79.33</v>
      </c>
      <c r="E47" s="64">
        <v>0.36</v>
      </c>
      <c r="F47" s="64">
        <v>3.07</v>
      </c>
      <c r="G47" s="64">
        <v>113.79</v>
      </c>
      <c r="H47" s="64">
        <v>68.06</v>
      </c>
      <c r="I47" s="64">
        <v>1.49</v>
      </c>
      <c r="J47" s="64">
        <v>0.48</v>
      </c>
      <c r="K47" s="64">
        <v>155.44999999999999</v>
      </c>
      <c r="L47" s="64">
        <v>19.66</v>
      </c>
      <c r="M47" s="64">
        <v>64.62</v>
      </c>
      <c r="N47" s="64">
        <v>426.1</v>
      </c>
      <c r="O47" s="64">
        <v>0</v>
      </c>
      <c r="P47" s="64">
        <v>1.22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4" t="s">
        <v>2976</v>
      </c>
      <c r="B48" s="64">
        <v>39.75</v>
      </c>
      <c r="C48" s="64">
        <v>79.27</v>
      </c>
      <c r="D48" s="64">
        <v>76.27</v>
      </c>
      <c r="E48" s="64">
        <v>0.3</v>
      </c>
      <c r="F48" s="64">
        <v>3.24</v>
      </c>
      <c r="G48" s="64">
        <v>93.34</v>
      </c>
      <c r="H48" s="64">
        <v>54.14</v>
      </c>
      <c r="I48" s="64">
        <v>1.53</v>
      </c>
      <c r="J48" s="64">
        <v>0.32</v>
      </c>
      <c r="K48" s="64">
        <v>157.30000000000001</v>
      </c>
      <c r="L48" s="64">
        <v>20.67</v>
      </c>
      <c r="M48" s="64">
        <v>60.28</v>
      </c>
      <c r="N48" s="64">
        <v>454</v>
      </c>
      <c r="O48" s="64">
        <v>0</v>
      </c>
      <c r="P48" s="64">
        <v>1.19</v>
      </c>
      <c r="Q48" s="64">
        <v>9.1999999999999993</v>
      </c>
      <c r="R48" s="198"/>
      <c r="S48" s="198"/>
      <c r="T48" s="198"/>
      <c r="U48" s="198"/>
    </row>
    <row r="49" spans="1:21" s="12" customFormat="1" x14ac:dyDescent="0.25">
      <c r="A49" s="214" t="s">
        <v>2977</v>
      </c>
      <c r="B49" s="64">
        <v>36.15</v>
      </c>
      <c r="C49" s="64">
        <v>80.23</v>
      </c>
      <c r="D49" s="64">
        <v>73.91</v>
      </c>
      <c r="E49" s="64">
        <v>0.35</v>
      </c>
      <c r="F49" s="64">
        <v>3.57</v>
      </c>
      <c r="G49" s="64">
        <v>86.72</v>
      </c>
      <c r="H49" s="64">
        <v>53.52</v>
      </c>
      <c r="I49" s="64">
        <v>1.47</v>
      </c>
      <c r="J49" s="64">
        <v>0.43</v>
      </c>
      <c r="K49" s="64">
        <v>136.66</v>
      </c>
      <c r="L49" s="64">
        <v>21.47</v>
      </c>
      <c r="M49" s="64">
        <v>55.45</v>
      </c>
      <c r="N49" s="64">
        <v>483.5</v>
      </c>
      <c r="O49" s="64">
        <v>0</v>
      </c>
      <c r="P49" s="64">
        <v>1.1499999999999999</v>
      </c>
      <c r="Q49" s="64">
        <v>8.93</v>
      </c>
      <c r="R49" s="198"/>
      <c r="S49" s="198"/>
      <c r="T49" s="198"/>
      <c r="U49" s="198"/>
    </row>
    <row r="50" spans="1:21" s="12" customFormat="1" x14ac:dyDescent="0.25">
      <c r="A50" s="214" t="s">
        <v>2978</v>
      </c>
      <c r="B50" s="64">
        <v>31.86</v>
      </c>
      <c r="C50" s="64">
        <v>80.87</v>
      </c>
      <c r="D50" s="64">
        <v>70.83</v>
      </c>
      <c r="E50" s="64">
        <v>0.32</v>
      </c>
      <c r="F50" s="64">
        <v>3.32</v>
      </c>
      <c r="G50" s="64">
        <v>86.72</v>
      </c>
      <c r="H50" s="64">
        <v>53.52</v>
      </c>
      <c r="I50" s="64">
        <v>1.55</v>
      </c>
      <c r="J50" s="64">
        <v>0.44</v>
      </c>
      <c r="K50" s="64">
        <v>133.79</v>
      </c>
      <c r="L50" s="64">
        <v>22.3</v>
      </c>
      <c r="M50" s="64">
        <v>52.61</v>
      </c>
      <c r="N50" s="64">
        <v>498.1</v>
      </c>
      <c r="O50" s="64">
        <v>0</v>
      </c>
      <c r="P50" s="64">
        <v>1.0900000000000001</v>
      </c>
      <c r="Q50" s="64">
        <v>8.73</v>
      </c>
      <c r="R50" s="198"/>
      <c r="S50" s="198"/>
      <c r="T50" s="198"/>
      <c r="U50" s="198"/>
    </row>
    <row r="51" spans="1:21" s="12" customFormat="1" x14ac:dyDescent="0.25">
      <c r="A51" s="214" t="s">
        <v>2979</v>
      </c>
      <c r="B51" s="64">
        <v>24.13</v>
      </c>
      <c r="C51" s="64">
        <v>83.32</v>
      </c>
      <c r="D51" s="64">
        <v>65.98</v>
      </c>
      <c r="E51" s="64">
        <v>0.26</v>
      </c>
      <c r="F51" s="64">
        <v>3.34</v>
      </c>
      <c r="G51" s="64">
        <v>86.72</v>
      </c>
      <c r="H51" s="64">
        <v>53.52</v>
      </c>
      <c r="I51" s="64">
        <v>1.44</v>
      </c>
      <c r="J51" s="64">
        <v>0.47</v>
      </c>
      <c r="K51" s="64">
        <v>99.87</v>
      </c>
      <c r="L51" s="64">
        <v>22.66</v>
      </c>
      <c r="M51" s="64">
        <v>52.43</v>
      </c>
      <c r="N51" s="64">
        <v>510.3</v>
      </c>
      <c r="O51" s="64">
        <v>0</v>
      </c>
      <c r="P51" s="64">
        <v>1.04</v>
      </c>
      <c r="Q51" s="64">
        <v>8.5299999999999994</v>
      </c>
      <c r="R51" s="198"/>
      <c r="S51" s="198"/>
      <c r="T51" s="198"/>
      <c r="U51" s="198"/>
    </row>
    <row r="52" spans="1:21" s="12" customFormat="1" x14ac:dyDescent="0.25">
      <c r="A52" s="214" t="s">
        <v>2980</v>
      </c>
      <c r="B52" s="64">
        <v>17.87</v>
      </c>
      <c r="C52" s="64">
        <v>84.59</v>
      </c>
      <c r="D52" s="64">
        <v>61.66</v>
      </c>
      <c r="E52" s="64">
        <v>0.27</v>
      </c>
      <c r="F52" s="64">
        <v>3.75</v>
      </c>
      <c r="G52" s="64">
        <v>57.37</v>
      </c>
      <c r="H52" s="64">
        <v>51.39</v>
      </c>
      <c r="I52" s="64">
        <v>1.49</v>
      </c>
      <c r="J52" s="64">
        <v>0.36</v>
      </c>
      <c r="K52" s="64">
        <v>109.67</v>
      </c>
      <c r="L52" s="64">
        <v>23.21</v>
      </c>
      <c r="M52" s="64">
        <v>48.49</v>
      </c>
      <c r="N52" s="64">
        <v>515.70000000000005</v>
      </c>
      <c r="O52" s="64">
        <v>0</v>
      </c>
      <c r="P52" s="64">
        <v>0.96</v>
      </c>
      <c r="Q52" s="64">
        <v>8.24</v>
      </c>
      <c r="R52" s="198"/>
      <c r="S52" s="198"/>
      <c r="T52" s="198"/>
      <c r="U52" s="198"/>
    </row>
    <row r="53" spans="1:21" s="12" customFormat="1" x14ac:dyDescent="0.25">
      <c r="A53" s="214" t="s">
        <v>2981</v>
      </c>
      <c r="B53" s="64">
        <v>10.95</v>
      </c>
      <c r="C53" s="64">
        <v>82.68</v>
      </c>
      <c r="D53" s="64">
        <v>55.06</v>
      </c>
      <c r="E53" s="64">
        <v>0.26</v>
      </c>
      <c r="F53" s="64">
        <v>5.32</v>
      </c>
      <c r="G53" s="64">
        <v>48.44</v>
      </c>
      <c r="H53" s="64">
        <v>50.74</v>
      </c>
      <c r="I53" s="64">
        <v>1.51</v>
      </c>
      <c r="J53" s="64">
        <v>0.24</v>
      </c>
      <c r="K53" s="64">
        <v>88.57</v>
      </c>
      <c r="L53" s="64">
        <v>24.14</v>
      </c>
      <c r="M53" s="64">
        <v>46.34</v>
      </c>
      <c r="N53" s="64">
        <v>531.29999999999995</v>
      </c>
      <c r="O53" s="64">
        <v>0</v>
      </c>
      <c r="P53" s="64">
        <v>0.86</v>
      </c>
      <c r="Q53" s="64">
        <v>7.98</v>
      </c>
      <c r="R53" s="198"/>
      <c r="S53" s="198"/>
      <c r="T53" s="198"/>
      <c r="U53" s="198"/>
    </row>
    <row r="54" spans="1:21" s="12" customFormat="1" x14ac:dyDescent="0.25">
      <c r="A54" s="214" t="s">
        <v>2982</v>
      </c>
      <c r="B54" s="64">
        <v>8.6199999999999992</v>
      </c>
      <c r="C54" s="64">
        <v>77.69</v>
      </c>
      <c r="D54" s="64">
        <v>50.43</v>
      </c>
      <c r="E54" s="64">
        <v>0.24</v>
      </c>
      <c r="F54" s="64">
        <v>5.27</v>
      </c>
      <c r="G54" s="64">
        <v>48.44</v>
      </c>
      <c r="H54" s="64">
        <v>50.74</v>
      </c>
      <c r="I54" s="64">
        <v>1.52</v>
      </c>
      <c r="J54" s="64">
        <v>0.41</v>
      </c>
      <c r="K54" s="64">
        <v>5.69</v>
      </c>
      <c r="L54" s="64">
        <v>24.82</v>
      </c>
      <c r="M54" s="64">
        <v>44.24</v>
      </c>
      <c r="N54" s="64">
        <v>540.9</v>
      </c>
      <c r="O54" s="64">
        <v>0</v>
      </c>
      <c r="P54" s="64">
        <v>0.8</v>
      </c>
      <c r="Q54" s="64">
        <v>7.68</v>
      </c>
      <c r="R54" s="198"/>
      <c r="S54" s="198"/>
      <c r="T54" s="198"/>
      <c r="U54" s="198"/>
    </row>
    <row r="55" spans="1:21" s="12" customFormat="1" x14ac:dyDescent="0.25">
      <c r="A55" s="214" t="s">
        <v>2983</v>
      </c>
      <c r="B55" s="64">
        <v>10.42</v>
      </c>
      <c r="C55" s="64">
        <v>72.400000000000006</v>
      </c>
      <c r="D55" s="64">
        <v>48.96</v>
      </c>
      <c r="E55" s="64">
        <v>0.26</v>
      </c>
      <c r="F55" s="64">
        <v>4.2300000000000004</v>
      </c>
      <c r="G55" s="64">
        <v>48.44</v>
      </c>
      <c r="H55" s="64">
        <v>50.74</v>
      </c>
      <c r="I55" s="64">
        <v>1.48</v>
      </c>
      <c r="J55" s="64">
        <v>0.26</v>
      </c>
      <c r="K55" s="64">
        <v>68.11</v>
      </c>
      <c r="L55" s="64">
        <v>25.71</v>
      </c>
      <c r="M55" s="64">
        <v>42.06</v>
      </c>
      <c r="N55" s="64">
        <v>532.70000000000005</v>
      </c>
      <c r="O55" s="64">
        <v>0</v>
      </c>
      <c r="P55" s="64">
        <v>0.8</v>
      </c>
      <c r="Q55" s="64">
        <v>7.47</v>
      </c>
      <c r="R55" s="198"/>
      <c r="S55" s="198"/>
      <c r="T55" s="198"/>
      <c r="U55" s="198"/>
    </row>
    <row r="56" spans="1:21" s="12" customFormat="1" x14ac:dyDescent="0.25">
      <c r="A56" s="214" t="s">
        <v>2984</v>
      </c>
      <c r="B56" s="64">
        <v>12.28</v>
      </c>
      <c r="C56" s="64">
        <v>68.290000000000006</v>
      </c>
      <c r="D56" s="64">
        <v>48.18</v>
      </c>
      <c r="E56" s="64">
        <v>0.04</v>
      </c>
      <c r="F56" s="64">
        <v>4.51</v>
      </c>
      <c r="G56" s="64">
        <v>70.52</v>
      </c>
      <c r="H56" s="64">
        <v>46.3</v>
      </c>
      <c r="I56" s="64">
        <v>1.52</v>
      </c>
      <c r="J56" s="64">
        <v>0.78</v>
      </c>
      <c r="K56" s="64">
        <v>338.2</v>
      </c>
      <c r="L56" s="64">
        <v>26.22</v>
      </c>
      <c r="M56" s="64">
        <v>45.11</v>
      </c>
      <c r="N56" s="64">
        <v>496.1</v>
      </c>
      <c r="O56" s="64">
        <v>0</v>
      </c>
      <c r="P56" s="64">
        <v>0.8</v>
      </c>
      <c r="Q56" s="64">
        <v>7.31</v>
      </c>
      <c r="R56" s="198"/>
      <c r="S56" s="198"/>
      <c r="T56" s="198"/>
      <c r="U56" s="198"/>
    </row>
    <row r="57" spans="1:21" s="12" customFormat="1" x14ac:dyDescent="0.25">
      <c r="A57" s="214" t="s">
        <v>2985</v>
      </c>
      <c r="B57" s="64">
        <v>13.69</v>
      </c>
      <c r="C57" s="64">
        <v>65.459999999999994</v>
      </c>
      <c r="D57" s="64">
        <v>47.76</v>
      </c>
      <c r="E57" s="64">
        <v>0.13</v>
      </c>
      <c r="F57" s="64">
        <v>4.04</v>
      </c>
      <c r="G57" s="64">
        <v>77.239999999999995</v>
      </c>
      <c r="H57" s="64">
        <v>46.3</v>
      </c>
      <c r="I57" s="64">
        <v>1.47</v>
      </c>
      <c r="J57" s="64">
        <v>0.76</v>
      </c>
      <c r="K57" s="64">
        <v>338.03</v>
      </c>
      <c r="L57" s="64">
        <v>25.78</v>
      </c>
      <c r="M57" s="64">
        <v>47.65</v>
      </c>
      <c r="N57" s="64">
        <v>467.6</v>
      </c>
      <c r="O57" s="64">
        <v>0</v>
      </c>
      <c r="P57" s="64">
        <v>0.81</v>
      </c>
      <c r="Q57" s="64">
        <v>7.27</v>
      </c>
      <c r="R57" s="198"/>
      <c r="S57" s="198"/>
      <c r="T57" s="198"/>
      <c r="U57" s="198"/>
    </row>
    <row r="58" spans="1:21" s="12" customFormat="1" x14ac:dyDescent="0.25">
      <c r="A58" s="214" t="s">
        <v>2986</v>
      </c>
      <c r="B58" s="64">
        <v>13.64</v>
      </c>
      <c r="C58" s="64">
        <v>66.48</v>
      </c>
      <c r="D58" s="64">
        <v>48.27</v>
      </c>
      <c r="E58" s="64">
        <v>0.11</v>
      </c>
      <c r="F58" s="64">
        <v>5.21</v>
      </c>
      <c r="G58" s="64">
        <v>77.239999999999995</v>
      </c>
      <c r="H58" s="64">
        <v>46.3</v>
      </c>
      <c r="I58" s="64">
        <v>1.49</v>
      </c>
      <c r="J58" s="64">
        <v>0.54</v>
      </c>
      <c r="K58" s="64">
        <v>335.2</v>
      </c>
      <c r="L58" s="64">
        <v>25.97</v>
      </c>
      <c r="M58" s="64">
        <v>45.35</v>
      </c>
      <c r="N58" s="64">
        <v>383.6</v>
      </c>
      <c r="O58" s="64">
        <v>0</v>
      </c>
      <c r="P58" s="64">
        <v>0.81</v>
      </c>
      <c r="Q58" s="64">
        <v>7.27</v>
      </c>
      <c r="R58" s="198"/>
      <c r="S58" s="198"/>
      <c r="T58" s="198"/>
      <c r="U58" s="198"/>
    </row>
    <row r="59" spans="1:21" s="12" customFormat="1" x14ac:dyDescent="0.25">
      <c r="A59" s="214" t="s">
        <v>2987</v>
      </c>
      <c r="B59" s="64">
        <v>14.22</v>
      </c>
      <c r="C59" s="64">
        <v>65.52</v>
      </c>
      <c r="D59" s="64">
        <v>48.21</v>
      </c>
      <c r="E59" s="64">
        <v>0.19</v>
      </c>
      <c r="F59" s="64">
        <v>4.54</v>
      </c>
      <c r="G59" s="64">
        <v>77.239999999999995</v>
      </c>
      <c r="H59" s="64">
        <v>46.3</v>
      </c>
      <c r="I59" s="64">
        <v>1.49</v>
      </c>
      <c r="J59" s="64">
        <v>0.48</v>
      </c>
      <c r="K59" s="64">
        <v>330.19</v>
      </c>
      <c r="L59" s="64">
        <v>25.31</v>
      </c>
      <c r="M59" s="64">
        <v>49.2</v>
      </c>
      <c r="N59" s="64">
        <v>401.2</v>
      </c>
      <c r="O59" s="64">
        <v>0</v>
      </c>
      <c r="P59" s="64">
        <v>0.81</v>
      </c>
      <c r="Q59" s="64">
        <v>7.26</v>
      </c>
      <c r="R59" s="198"/>
      <c r="S59" s="198"/>
      <c r="T59" s="198"/>
      <c r="U59" s="198"/>
    </row>
    <row r="60" spans="1:21" s="12" customFormat="1" x14ac:dyDescent="0.25">
      <c r="A60" s="214" t="s">
        <v>2988</v>
      </c>
      <c r="B60" s="64">
        <v>14.37</v>
      </c>
      <c r="C60" s="64">
        <v>63.49</v>
      </c>
      <c r="D60" s="64">
        <v>47.21</v>
      </c>
      <c r="E60" s="64">
        <v>0.13</v>
      </c>
      <c r="F60" s="64">
        <v>4.71</v>
      </c>
      <c r="G60" s="64">
        <v>82.79</v>
      </c>
      <c r="H60" s="64">
        <v>42.32</v>
      </c>
      <c r="I60" s="64">
        <v>1.48</v>
      </c>
      <c r="J60" s="64">
        <v>0.53</v>
      </c>
      <c r="K60" s="64">
        <v>113.81</v>
      </c>
      <c r="L60" s="64">
        <v>24.76</v>
      </c>
      <c r="M60" s="64">
        <v>42.07</v>
      </c>
      <c r="N60" s="64">
        <v>407</v>
      </c>
      <c r="O60" s="64">
        <v>0</v>
      </c>
      <c r="P60" s="64">
        <v>0.8</v>
      </c>
      <c r="Q60" s="64">
        <v>7.31</v>
      </c>
      <c r="R60" s="198"/>
      <c r="S60" s="198"/>
      <c r="T60" s="198"/>
      <c r="U60" s="198"/>
    </row>
    <row r="61" spans="1:21" s="12" customFormat="1" x14ac:dyDescent="0.25">
      <c r="A61" s="214" t="s">
        <v>2989</v>
      </c>
      <c r="B61" s="64">
        <v>13.17</v>
      </c>
      <c r="C61" s="64">
        <v>61.2</v>
      </c>
      <c r="D61" s="64">
        <v>44.99</v>
      </c>
      <c r="E61" s="64">
        <v>0.14000000000000001</v>
      </c>
      <c r="F61" s="64">
        <v>5.84</v>
      </c>
      <c r="G61" s="64">
        <v>84.48</v>
      </c>
      <c r="H61" s="64">
        <v>41.22</v>
      </c>
      <c r="I61" s="64">
        <v>1.54</v>
      </c>
      <c r="J61" s="64">
        <v>0.23</v>
      </c>
      <c r="K61" s="64">
        <v>87.18</v>
      </c>
      <c r="L61" s="64">
        <v>24.55</v>
      </c>
      <c r="M61" s="64">
        <v>42.27</v>
      </c>
      <c r="N61" s="64">
        <v>391.3</v>
      </c>
      <c r="O61" s="64">
        <v>0</v>
      </c>
      <c r="P61" s="64">
        <v>0.73</v>
      </c>
      <c r="Q61" s="64">
        <v>7.22</v>
      </c>
      <c r="R61" s="198"/>
      <c r="S61" s="198"/>
      <c r="T61" s="198"/>
      <c r="U61" s="198"/>
    </row>
    <row r="62" spans="1:21" s="12" customFormat="1" x14ac:dyDescent="0.25">
      <c r="A62" s="214" t="s">
        <v>2990</v>
      </c>
      <c r="B62" s="64">
        <v>11.93</v>
      </c>
      <c r="C62" s="64">
        <v>59.98</v>
      </c>
      <c r="D62" s="64">
        <v>43.31</v>
      </c>
      <c r="E62" s="64">
        <v>0.12</v>
      </c>
      <c r="F62" s="64">
        <v>6.82</v>
      </c>
      <c r="G62" s="64">
        <v>84.48</v>
      </c>
      <c r="H62" s="64">
        <v>41.22</v>
      </c>
      <c r="I62" s="64">
        <v>1.5</v>
      </c>
      <c r="J62" s="64">
        <v>0.41</v>
      </c>
      <c r="K62" s="64">
        <v>117.68</v>
      </c>
      <c r="L62" s="64">
        <v>24.15</v>
      </c>
      <c r="M62" s="64">
        <v>42.34</v>
      </c>
      <c r="N62" s="64">
        <v>378.4</v>
      </c>
      <c r="O62" s="64">
        <v>0</v>
      </c>
      <c r="P62" s="64">
        <v>0.72</v>
      </c>
      <c r="Q62" s="64">
        <v>6.98</v>
      </c>
      <c r="R62" s="198"/>
      <c r="S62" s="198"/>
      <c r="T62" s="198"/>
      <c r="U62" s="198"/>
    </row>
    <row r="63" spans="1:21" s="12" customFormat="1" x14ac:dyDescent="0.25">
      <c r="A63" s="214" t="s">
        <v>2991</v>
      </c>
      <c r="B63" s="64">
        <v>12.4</v>
      </c>
      <c r="C63" s="64">
        <v>58.62</v>
      </c>
      <c r="D63" s="64">
        <v>42.94</v>
      </c>
      <c r="E63" s="64">
        <v>0.41</v>
      </c>
      <c r="F63" s="64">
        <v>5.2</v>
      </c>
      <c r="G63" s="64">
        <v>84.48</v>
      </c>
      <c r="H63" s="64">
        <v>41.22</v>
      </c>
      <c r="I63" s="64">
        <v>1.6</v>
      </c>
      <c r="J63" s="64">
        <v>0.23</v>
      </c>
      <c r="K63" s="64">
        <v>4.26</v>
      </c>
      <c r="L63" s="64">
        <v>25.42</v>
      </c>
      <c r="M63" s="64">
        <v>40.76</v>
      </c>
      <c r="N63" s="64">
        <v>267.89999999999998</v>
      </c>
      <c r="O63" s="64">
        <v>0</v>
      </c>
      <c r="P63" s="64">
        <v>0.71</v>
      </c>
      <c r="Q63" s="64">
        <v>6.82</v>
      </c>
      <c r="R63" s="198"/>
      <c r="S63" s="198"/>
      <c r="T63" s="198"/>
      <c r="U63" s="198"/>
    </row>
    <row r="64" spans="1:21" s="12" customFormat="1" x14ac:dyDescent="0.25">
      <c r="A64" s="214" t="s">
        <v>2992</v>
      </c>
      <c r="B64" s="64">
        <v>13.35</v>
      </c>
      <c r="C64" s="64">
        <v>59.6</v>
      </c>
      <c r="D64" s="64">
        <v>44.24</v>
      </c>
      <c r="E64" s="64">
        <v>0.15</v>
      </c>
      <c r="F64" s="64">
        <v>4.33</v>
      </c>
      <c r="G64" s="64">
        <v>106.56</v>
      </c>
      <c r="H64" s="64">
        <v>51.36</v>
      </c>
      <c r="I64" s="64">
        <v>1.52</v>
      </c>
      <c r="J64" s="64">
        <v>0.79</v>
      </c>
      <c r="K64" s="64">
        <v>128.18</v>
      </c>
      <c r="L64" s="64">
        <v>23.96</v>
      </c>
      <c r="M64" s="64">
        <v>43.2</v>
      </c>
      <c r="N64" s="64">
        <v>249.7</v>
      </c>
      <c r="O64" s="64">
        <v>0</v>
      </c>
      <c r="P64" s="64">
        <v>0.7</v>
      </c>
      <c r="Q64" s="64">
        <v>6.74</v>
      </c>
      <c r="R64" s="198"/>
      <c r="S64" s="198"/>
      <c r="T64" s="198"/>
      <c r="U64" s="198"/>
    </row>
    <row r="65" spans="1:21" s="12" customFormat="1" x14ac:dyDescent="0.25">
      <c r="A65" s="214" t="s">
        <v>2993</v>
      </c>
      <c r="B65" s="64">
        <v>13.49</v>
      </c>
      <c r="C65" s="64">
        <v>58.04</v>
      </c>
      <c r="D65" s="64">
        <v>43.5</v>
      </c>
      <c r="E65" s="64">
        <v>0.13</v>
      </c>
      <c r="F65" s="64">
        <v>4.4400000000000004</v>
      </c>
      <c r="G65" s="64">
        <v>113.7</v>
      </c>
      <c r="H65" s="64">
        <v>51.36</v>
      </c>
      <c r="I65" s="64">
        <v>1.57</v>
      </c>
      <c r="J65" s="64">
        <v>0.4</v>
      </c>
      <c r="K65" s="64">
        <v>359.21</v>
      </c>
      <c r="L65" s="64">
        <v>24.25</v>
      </c>
      <c r="M65" s="64">
        <v>43.12</v>
      </c>
      <c r="N65" s="64">
        <v>227.6</v>
      </c>
      <c r="O65" s="64">
        <v>0</v>
      </c>
      <c r="P65" s="64">
        <v>0.7</v>
      </c>
      <c r="Q65" s="64">
        <v>6.71</v>
      </c>
      <c r="R65" s="198"/>
      <c r="S65" s="198"/>
      <c r="T65" s="198"/>
      <c r="U65" s="198"/>
    </row>
    <row r="66" spans="1:21" s="12" customFormat="1" x14ac:dyDescent="0.25">
      <c r="A66" s="214" t="s">
        <v>2994</v>
      </c>
      <c r="B66" s="64">
        <v>14</v>
      </c>
      <c r="C66" s="64">
        <v>58.69</v>
      </c>
      <c r="D66" s="64">
        <v>44.26</v>
      </c>
      <c r="E66" s="64">
        <v>0.11</v>
      </c>
      <c r="F66" s="64">
        <v>4.22</v>
      </c>
      <c r="G66" s="64">
        <v>113.7</v>
      </c>
      <c r="H66" s="64">
        <v>51.36</v>
      </c>
      <c r="I66" s="64">
        <v>1.5</v>
      </c>
      <c r="J66" s="64">
        <v>0.46</v>
      </c>
      <c r="K66" s="64">
        <v>0.88</v>
      </c>
      <c r="L66" s="64">
        <v>25.09</v>
      </c>
      <c r="M66" s="64">
        <v>40.92</v>
      </c>
      <c r="N66" s="64">
        <v>254.8</v>
      </c>
      <c r="O66" s="64">
        <v>0</v>
      </c>
      <c r="P66" s="64">
        <v>0.72</v>
      </c>
      <c r="Q66" s="64">
        <v>6.67</v>
      </c>
      <c r="R66" s="198"/>
      <c r="S66" s="198"/>
      <c r="T66" s="198"/>
      <c r="U66" s="198"/>
    </row>
    <row r="67" spans="1:21" s="12" customFormat="1" x14ac:dyDescent="0.25">
      <c r="A67" s="214" t="s">
        <v>2995</v>
      </c>
      <c r="B67" s="64">
        <v>14.34</v>
      </c>
      <c r="C67" s="64">
        <v>60.68</v>
      </c>
      <c r="D67" s="64">
        <v>45.63</v>
      </c>
      <c r="E67" s="64">
        <v>0.1</v>
      </c>
      <c r="F67" s="64">
        <v>3.88</v>
      </c>
      <c r="G67" s="64">
        <v>113.7</v>
      </c>
      <c r="H67" s="64">
        <v>51.36</v>
      </c>
      <c r="I67" s="64">
        <v>1.51</v>
      </c>
      <c r="J67" s="64">
        <v>0.34</v>
      </c>
      <c r="K67" s="64">
        <v>49.16</v>
      </c>
      <c r="L67" s="64">
        <v>24.38</v>
      </c>
      <c r="M67" s="64">
        <v>41.59</v>
      </c>
      <c r="N67" s="64">
        <v>222.9</v>
      </c>
      <c r="O67" s="64">
        <v>0</v>
      </c>
      <c r="P67" s="64">
        <v>0.73</v>
      </c>
      <c r="Q67" s="64">
        <v>6.67</v>
      </c>
      <c r="R67" s="198"/>
      <c r="S67" s="198"/>
      <c r="T67" s="198"/>
      <c r="U67" s="198"/>
    </row>
    <row r="68" spans="1:21" s="12" customFormat="1" x14ac:dyDescent="0.25">
      <c r="A68" s="214" t="s">
        <v>2996</v>
      </c>
      <c r="B68" s="64">
        <v>13.58</v>
      </c>
      <c r="C68" s="64">
        <v>62.32</v>
      </c>
      <c r="D68" s="64">
        <v>45.92</v>
      </c>
      <c r="E68" s="64">
        <v>0.14000000000000001</v>
      </c>
      <c r="F68" s="64">
        <v>4.84</v>
      </c>
      <c r="G68" s="64">
        <v>101.83</v>
      </c>
      <c r="H68" s="64">
        <v>46.37</v>
      </c>
      <c r="I68" s="64">
        <v>1.53</v>
      </c>
      <c r="J68" s="64">
        <v>0.6</v>
      </c>
      <c r="K68" s="64">
        <v>105.85</v>
      </c>
      <c r="L68" s="64">
        <v>23.95</v>
      </c>
      <c r="M68" s="64">
        <v>42.57</v>
      </c>
      <c r="N68" s="64">
        <v>213.5</v>
      </c>
      <c r="O68" s="64">
        <v>0</v>
      </c>
      <c r="P68" s="64">
        <v>0.71</v>
      </c>
      <c r="Q68" s="64">
        <v>6.69</v>
      </c>
      <c r="R68" s="198"/>
      <c r="S68" s="198"/>
      <c r="T68" s="198"/>
      <c r="U68" s="198"/>
    </row>
    <row r="69" spans="1:21" s="12" customFormat="1" x14ac:dyDescent="0.25">
      <c r="A69" s="214" t="s">
        <v>2997</v>
      </c>
      <c r="B69" s="64">
        <v>11.66</v>
      </c>
      <c r="C69" s="64">
        <v>62.44</v>
      </c>
      <c r="D69" s="64">
        <v>44.45</v>
      </c>
      <c r="E69" s="64">
        <v>0.14000000000000001</v>
      </c>
      <c r="F69" s="64">
        <v>5.89</v>
      </c>
      <c r="G69" s="64">
        <v>98.22</v>
      </c>
      <c r="H69" s="64">
        <v>46.37</v>
      </c>
      <c r="I69" s="64">
        <v>1.58</v>
      </c>
      <c r="J69" s="64">
        <v>1</v>
      </c>
      <c r="K69" s="64">
        <v>113.52</v>
      </c>
      <c r="L69" s="64">
        <v>23.38</v>
      </c>
      <c r="M69" s="64">
        <v>42.76</v>
      </c>
      <c r="N69" s="64">
        <v>206.4</v>
      </c>
      <c r="O69" s="64">
        <v>0</v>
      </c>
      <c r="P69" s="64">
        <v>0.68</v>
      </c>
      <c r="Q69" s="64">
        <v>6.56</v>
      </c>
      <c r="R69" s="198"/>
      <c r="S69" s="198"/>
      <c r="T69" s="198"/>
      <c r="U69" s="198"/>
    </row>
    <row r="70" spans="1:21" s="12" customFormat="1" x14ac:dyDescent="0.25">
      <c r="A70" s="214" t="s">
        <v>2998</v>
      </c>
      <c r="B70" s="64">
        <v>11.38</v>
      </c>
      <c r="C70" s="64">
        <v>60.42</v>
      </c>
      <c r="D70" s="64">
        <v>43.12</v>
      </c>
      <c r="E70" s="64">
        <v>0.08</v>
      </c>
      <c r="F70" s="64">
        <v>4.68</v>
      </c>
      <c r="G70" s="64">
        <v>98.22</v>
      </c>
      <c r="H70" s="64">
        <v>46.37</v>
      </c>
      <c r="I70" s="64">
        <v>1.48</v>
      </c>
      <c r="J70" s="64">
        <v>0.35</v>
      </c>
      <c r="K70" s="64">
        <v>97.09</v>
      </c>
      <c r="L70" s="64">
        <v>23.39</v>
      </c>
      <c r="M70" s="64">
        <v>42.87</v>
      </c>
      <c r="N70" s="64">
        <v>179</v>
      </c>
      <c r="O70" s="64">
        <v>0</v>
      </c>
      <c r="P70" s="64">
        <v>0.66</v>
      </c>
      <c r="Q70" s="64">
        <v>6.4</v>
      </c>
      <c r="R70" s="198"/>
      <c r="S70" s="198"/>
      <c r="T70" s="198"/>
      <c r="U70" s="198"/>
    </row>
    <row r="71" spans="1:21" s="12" customFormat="1" x14ac:dyDescent="0.25">
      <c r="A71" s="214" t="s">
        <v>2999</v>
      </c>
      <c r="B71" s="64">
        <v>12.16</v>
      </c>
      <c r="C71" s="64">
        <v>60.66</v>
      </c>
      <c r="D71" s="64">
        <v>43.88</v>
      </c>
      <c r="E71" s="64">
        <v>0.04</v>
      </c>
      <c r="F71" s="64">
        <v>4.43</v>
      </c>
      <c r="G71" s="64">
        <v>98.22</v>
      </c>
      <c r="H71" s="64">
        <v>46.37</v>
      </c>
      <c r="I71" s="64">
        <v>1.52</v>
      </c>
      <c r="J71" s="64">
        <v>0.28000000000000003</v>
      </c>
      <c r="K71" s="64">
        <v>86.9</v>
      </c>
      <c r="L71" s="64">
        <v>23.6</v>
      </c>
      <c r="M71" s="64">
        <v>43.02</v>
      </c>
      <c r="N71" s="64">
        <v>145.19999999999999</v>
      </c>
      <c r="O71" s="64">
        <v>0</v>
      </c>
      <c r="P71" s="64">
        <v>0.67</v>
      </c>
      <c r="Q71" s="64">
        <v>6.36</v>
      </c>
      <c r="R71" s="198"/>
      <c r="S71" s="198"/>
      <c r="T71" s="198"/>
      <c r="U71" s="198"/>
    </row>
    <row r="72" spans="1:21" s="12" customFormat="1" x14ac:dyDescent="0.25">
      <c r="A72" s="214" t="s">
        <v>3000</v>
      </c>
      <c r="B72" s="64">
        <v>12.63</v>
      </c>
      <c r="C72" s="64">
        <v>61.45</v>
      </c>
      <c r="D72" s="64">
        <v>44.69</v>
      </c>
      <c r="E72" s="6" t="s">
        <v>42</v>
      </c>
      <c r="F72" s="64">
        <v>4.66</v>
      </c>
      <c r="G72" s="64">
        <v>69.12</v>
      </c>
      <c r="H72" s="64">
        <v>45.54</v>
      </c>
      <c r="I72" s="64">
        <v>1.5</v>
      </c>
      <c r="J72" s="64">
        <v>0.22</v>
      </c>
      <c r="K72" s="64">
        <v>78.48</v>
      </c>
      <c r="L72" s="64">
        <v>23.15</v>
      </c>
      <c r="M72" s="64">
        <v>43.77</v>
      </c>
      <c r="N72" s="64">
        <v>125.5</v>
      </c>
      <c r="O72" s="64">
        <v>0</v>
      </c>
      <c r="P72" s="64">
        <v>0.67</v>
      </c>
      <c r="Q72" s="64">
        <v>6.58</v>
      </c>
      <c r="R72" s="198"/>
      <c r="S72" s="198"/>
      <c r="T72" s="198"/>
      <c r="U72" s="198"/>
    </row>
    <row r="73" spans="1:21" s="12" customFormat="1" x14ac:dyDescent="0.25">
      <c r="A73" s="214" t="s">
        <v>3001</v>
      </c>
      <c r="B73" s="64">
        <v>11.56</v>
      </c>
      <c r="C73" s="64">
        <v>63.88</v>
      </c>
      <c r="D73" s="64">
        <v>45.17</v>
      </c>
      <c r="E73" s="64">
        <v>0.13</v>
      </c>
      <c r="F73" s="64">
        <v>5.2</v>
      </c>
      <c r="G73" s="64">
        <v>60.27</v>
      </c>
      <c r="H73" s="64">
        <v>45.54</v>
      </c>
      <c r="I73" s="64">
        <v>1.48</v>
      </c>
      <c r="J73" s="64">
        <v>0.28000000000000003</v>
      </c>
      <c r="K73" s="64">
        <v>349.03</v>
      </c>
      <c r="L73" s="64">
        <v>20.7</v>
      </c>
      <c r="M73" s="64">
        <v>41.06</v>
      </c>
      <c r="N73" s="64">
        <v>91.1</v>
      </c>
      <c r="O73" s="64">
        <v>0</v>
      </c>
      <c r="P73" s="64">
        <v>0.67</v>
      </c>
      <c r="Q73" s="64">
        <v>6.72</v>
      </c>
      <c r="R73" s="198"/>
      <c r="S73" s="198"/>
      <c r="T73" s="198"/>
      <c r="U73" s="198"/>
    </row>
    <row r="74" spans="1:21" s="12" customFormat="1" x14ac:dyDescent="0.25">
      <c r="A74" s="214" t="s">
        <v>3002</v>
      </c>
      <c r="B74" s="64">
        <v>11.25</v>
      </c>
      <c r="C74" s="64">
        <v>67.64</v>
      </c>
      <c r="D74" s="64">
        <v>47</v>
      </c>
      <c r="E74" s="64">
        <v>0.24</v>
      </c>
      <c r="F74" s="64">
        <v>6.92</v>
      </c>
      <c r="G74" s="64">
        <v>60.27</v>
      </c>
      <c r="H74" s="64">
        <v>45.54</v>
      </c>
      <c r="I74" s="64">
        <v>1.49</v>
      </c>
      <c r="J74" s="64">
        <v>0.22</v>
      </c>
      <c r="K74" s="64">
        <v>89.25</v>
      </c>
      <c r="L74" s="64">
        <v>22.95</v>
      </c>
      <c r="M74" s="64">
        <v>45.32</v>
      </c>
      <c r="N74" s="64">
        <v>58</v>
      </c>
      <c r="O74" s="64">
        <v>0</v>
      </c>
      <c r="P74" s="64">
        <v>0.69</v>
      </c>
      <c r="Q74" s="64">
        <v>7.02</v>
      </c>
      <c r="R74" s="198"/>
      <c r="S74" s="198"/>
      <c r="T74" s="198"/>
      <c r="U74" s="198"/>
    </row>
    <row r="75" spans="1:21" s="12" customFormat="1" x14ac:dyDescent="0.25">
      <c r="A75" s="214" t="s">
        <v>3003</v>
      </c>
      <c r="B75" s="64">
        <v>8.34</v>
      </c>
      <c r="C75" s="64">
        <v>69.88</v>
      </c>
      <c r="D75" s="64">
        <v>45.9</v>
      </c>
      <c r="E75" s="64">
        <v>0.23</v>
      </c>
      <c r="F75" s="64">
        <v>11.76</v>
      </c>
      <c r="G75" s="64">
        <v>60.27</v>
      </c>
      <c r="H75" s="64">
        <v>45.54</v>
      </c>
      <c r="I75" s="64">
        <v>1.44</v>
      </c>
      <c r="J75" s="64">
        <v>0.24</v>
      </c>
      <c r="K75" s="64">
        <v>91.91</v>
      </c>
      <c r="L75" s="64">
        <v>22.49</v>
      </c>
      <c r="M75" s="64">
        <v>47.24</v>
      </c>
      <c r="N75" s="64">
        <v>52.7</v>
      </c>
      <c r="O75" s="64">
        <v>0</v>
      </c>
      <c r="P75" s="64">
        <v>0.64</v>
      </c>
      <c r="Q75" s="64">
        <v>7.14</v>
      </c>
      <c r="R75" s="198"/>
      <c r="S75" s="198"/>
      <c r="T75" s="198"/>
      <c r="U75" s="198"/>
    </row>
    <row r="76" spans="1:21" s="12" customFormat="1" x14ac:dyDescent="0.25">
      <c r="A76" s="214" t="s">
        <v>3004</v>
      </c>
      <c r="B76" s="64">
        <v>8.0399999999999991</v>
      </c>
      <c r="C76" s="64">
        <v>69.53</v>
      </c>
      <c r="D76" s="64">
        <v>45.46</v>
      </c>
      <c r="E76" s="64">
        <v>0.13</v>
      </c>
      <c r="F76" s="64">
        <v>6.86</v>
      </c>
      <c r="G76" s="64">
        <v>93.81</v>
      </c>
      <c r="H76" s="64">
        <v>49.22</v>
      </c>
      <c r="I76" s="64">
        <v>1.51</v>
      </c>
      <c r="J76" s="64">
        <v>0.19</v>
      </c>
      <c r="K76" s="64">
        <v>80.53</v>
      </c>
      <c r="L76" s="64">
        <v>22.25</v>
      </c>
      <c r="M76" s="64">
        <v>47.68</v>
      </c>
      <c r="N76" s="64">
        <v>40.200000000000003</v>
      </c>
      <c r="O76" s="64">
        <v>0</v>
      </c>
      <c r="P76" s="64">
        <v>0.63</v>
      </c>
      <c r="Q76" s="64">
        <v>7.16</v>
      </c>
      <c r="R76" s="198"/>
      <c r="S76" s="198"/>
      <c r="T76" s="198"/>
      <c r="U76" s="198"/>
    </row>
    <row r="77" spans="1:21" s="12" customFormat="1" x14ac:dyDescent="0.25">
      <c r="A77" s="214" t="s">
        <v>3005</v>
      </c>
      <c r="B77" s="64">
        <v>8.61</v>
      </c>
      <c r="C77" s="64">
        <v>68.56</v>
      </c>
      <c r="D77" s="64">
        <v>45.39</v>
      </c>
      <c r="E77" s="64">
        <v>0.15</v>
      </c>
      <c r="F77" s="64">
        <v>5.94</v>
      </c>
      <c r="G77" s="64">
        <v>104.02</v>
      </c>
      <c r="H77" s="64">
        <v>49.22</v>
      </c>
      <c r="I77" s="64">
        <v>1.52</v>
      </c>
      <c r="J77" s="64">
        <v>0.15</v>
      </c>
      <c r="K77" s="64">
        <v>65.459999999999994</v>
      </c>
      <c r="L77" s="64">
        <v>21.84</v>
      </c>
      <c r="M77" s="64">
        <v>49</v>
      </c>
      <c r="N77" s="64">
        <v>22.1</v>
      </c>
      <c r="O77" s="64">
        <v>0</v>
      </c>
      <c r="P77" s="64">
        <v>0.66</v>
      </c>
      <c r="Q77" s="64">
        <v>7.31</v>
      </c>
      <c r="R77" s="198"/>
      <c r="S77" s="198"/>
      <c r="T77" s="198"/>
      <c r="U77" s="198"/>
    </row>
    <row r="78" spans="1:21" s="12" customFormat="1" x14ac:dyDescent="0.25">
      <c r="A78" s="214" t="s">
        <v>3006</v>
      </c>
      <c r="B78" s="64">
        <v>8.4700000000000006</v>
      </c>
      <c r="C78" s="64">
        <v>70.48</v>
      </c>
      <c r="D78" s="64">
        <v>46.34</v>
      </c>
      <c r="E78" s="64">
        <v>0.16</v>
      </c>
      <c r="F78" s="64">
        <v>5.41</v>
      </c>
      <c r="G78" s="64">
        <v>104.02</v>
      </c>
      <c r="H78" s="64">
        <v>49.22</v>
      </c>
      <c r="I78" s="64">
        <v>1.54</v>
      </c>
      <c r="J78" s="64">
        <v>0.12</v>
      </c>
      <c r="K78" s="64">
        <v>77.78</v>
      </c>
      <c r="L78" s="64">
        <v>21.35</v>
      </c>
      <c r="M78" s="64">
        <v>51.83</v>
      </c>
      <c r="N78" s="64">
        <v>15.6</v>
      </c>
      <c r="O78" s="64">
        <v>0</v>
      </c>
      <c r="P78" s="64">
        <v>0.69</v>
      </c>
      <c r="Q78" s="64">
        <v>7.44</v>
      </c>
      <c r="R78" s="198"/>
      <c r="S78" s="198"/>
      <c r="T78" s="198"/>
      <c r="U78" s="198"/>
    </row>
    <row r="79" spans="1:21" s="12" customFormat="1" x14ac:dyDescent="0.25">
      <c r="A79" s="214" t="s">
        <v>3007</v>
      </c>
      <c r="B79" s="64">
        <v>10.5</v>
      </c>
      <c r="C79" s="64">
        <v>71.11</v>
      </c>
      <c r="D79" s="64">
        <v>48.31</v>
      </c>
      <c r="E79" s="64">
        <v>0.18</v>
      </c>
      <c r="F79" s="64">
        <v>3.97</v>
      </c>
      <c r="G79" s="64">
        <v>104.02</v>
      </c>
      <c r="H79" s="64">
        <v>49.22</v>
      </c>
      <c r="I79" s="64">
        <v>1.55</v>
      </c>
      <c r="J79" s="64">
        <v>0.04</v>
      </c>
      <c r="K79" s="64">
        <v>322.41000000000003</v>
      </c>
      <c r="L79" s="64">
        <v>20.54</v>
      </c>
      <c r="M79" s="64">
        <v>68.16</v>
      </c>
      <c r="N79" s="64">
        <v>13.5</v>
      </c>
      <c r="O79" s="64">
        <v>0</v>
      </c>
      <c r="P79" s="64">
        <v>0.72</v>
      </c>
      <c r="Q79" s="64">
        <v>7.43</v>
      </c>
      <c r="R79" s="198"/>
      <c r="S79" s="198"/>
      <c r="T79" s="198"/>
      <c r="U79" s="198"/>
    </row>
    <row r="80" spans="1:21" s="12" customFormat="1" x14ac:dyDescent="0.25">
      <c r="A80" s="214" t="s">
        <v>3008</v>
      </c>
      <c r="B80" s="64">
        <v>20.71</v>
      </c>
      <c r="C80" s="64">
        <v>61.86</v>
      </c>
      <c r="D80" s="64">
        <v>51.39</v>
      </c>
      <c r="E80" s="64">
        <v>0.18</v>
      </c>
      <c r="F80" s="64">
        <v>3.51</v>
      </c>
      <c r="G80" s="64">
        <v>114.75</v>
      </c>
      <c r="H80" s="64">
        <v>52.1</v>
      </c>
      <c r="I80" s="64">
        <v>1.49</v>
      </c>
      <c r="J80" s="64">
        <v>0.06</v>
      </c>
      <c r="K80" s="64">
        <v>15.83</v>
      </c>
      <c r="L80" s="64">
        <v>19.809999999999999</v>
      </c>
      <c r="M80" s="64">
        <v>76.67</v>
      </c>
      <c r="N80" s="64">
        <v>12.9</v>
      </c>
      <c r="O80" s="64">
        <v>0</v>
      </c>
      <c r="P80" s="64">
        <v>0.78</v>
      </c>
      <c r="Q80" s="64">
        <v>7.51</v>
      </c>
      <c r="R80" s="198"/>
      <c r="S80" s="198"/>
      <c r="T80" s="198"/>
      <c r="U80" s="198"/>
    </row>
    <row r="81" spans="1:26" s="12" customFormat="1" x14ac:dyDescent="0.25">
      <c r="A81" s="214" t="s">
        <v>3009</v>
      </c>
      <c r="B81" s="64">
        <v>43.79</v>
      </c>
      <c r="C81" s="64">
        <v>35.86</v>
      </c>
      <c r="D81" s="64">
        <v>55.56</v>
      </c>
      <c r="E81" s="64">
        <v>0.18</v>
      </c>
      <c r="F81" s="64">
        <v>3.37</v>
      </c>
      <c r="G81" s="64">
        <v>118.02</v>
      </c>
      <c r="H81" s="64">
        <v>52.1</v>
      </c>
      <c r="I81" s="64">
        <v>1.49</v>
      </c>
      <c r="J81" s="64">
        <v>0.16</v>
      </c>
      <c r="K81" s="64">
        <v>319.7</v>
      </c>
      <c r="L81" s="64">
        <v>19.329999999999998</v>
      </c>
      <c r="M81" s="64">
        <v>82.92</v>
      </c>
      <c r="N81" s="64">
        <v>12.9</v>
      </c>
      <c r="O81" s="64">
        <v>0</v>
      </c>
      <c r="P81" s="64">
        <v>0.77</v>
      </c>
      <c r="Q81" s="64">
        <v>7.62</v>
      </c>
      <c r="R81" s="198"/>
      <c r="S81" s="198"/>
      <c r="T81" s="198"/>
      <c r="U81" s="198"/>
    </row>
    <row r="82" spans="1:26" s="12" customFormat="1" x14ac:dyDescent="0.25">
      <c r="A82" s="214" t="s">
        <v>3010</v>
      </c>
      <c r="B82" s="64">
        <v>59.71</v>
      </c>
      <c r="C82" s="64">
        <v>17.350000000000001</v>
      </c>
      <c r="D82" s="64">
        <v>58.11</v>
      </c>
      <c r="E82" s="64">
        <v>0.15</v>
      </c>
      <c r="F82" s="64">
        <v>3.24</v>
      </c>
      <c r="G82" s="64">
        <v>118.02</v>
      </c>
      <c r="H82" s="64">
        <v>52.1</v>
      </c>
      <c r="I82" s="64">
        <v>1.5</v>
      </c>
      <c r="J82" s="64">
        <v>0.05</v>
      </c>
      <c r="K82" s="64">
        <v>4.96</v>
      </c>
      <c r="L82" s="64">
        <v>19.2</v>
      </c>
      <c r="M82" s="64">
        <v>79.22</v>
      </c>
      <c r="N82" s="64">
        <v>12.7</v>
      </c>
      <c r="O82" s="64">
        <v>0</v>
      </c>
      <c r="P82" s="64">
        <v>0.91</v>
      </c>
      <c r="Q82" s="64">
        <v>7.85</v>
      </c>
      <c r="R82" s="198"/>
      <c r="S82" s="198"/>
      <c r="T82" s="198"/>
      <c r="U82" s="198"/>
    </row>
    <row r="83" spans="1:26" s="12" customFormat="1" x14ac:dyDescent="0.25">
      <c r="A83" s="214" t="s">
        <v>3011</v>
      </c>
      <c r="B83" s="64">
        <v>72.58</v>
      </c>
      <c r="C83" s="64">
        <v>3.37</v>
      </c>
      <c r="D83" s="64">
        <v>60.71</v>
      </c>
      <c r="E83" s="64">
        <v>0.2</v>
      </c>
      <c r="F83" s="64">
        <v>2.98</v>
      </c>
      <c r="G83" s="64">
        <v>118.02</v>
      </c>
      <c r="H83" s="64">
        <v>52.1</v>
      </c>
      <c r="I83" s="64">
        <v>1.49</v>
      </c>
      <c r="J83" s="64">
        <v>0.04</v>
      </c>
      <c r="K83" s="64">
        <v>37.01</v>
      </c>
      <c r="L83" s="64">
        <v>18.98</v>
      </c>
      <c r="M83" s="64">
        <v>72.34</v>
      </c>
      <c r="N83" s="64">
        <v>12.9</v>
      </c>
      <c r="O83" s="64">
        <v>0</v>
      </c>
      <c r="P83" s="64">
        <v>1.1100000000000001</v>
      </c>
      <c r="Q83" s="64">
        <v>7.95</v>
      </c>
      <c r="R83" s="198"/>
      <c r="S83" s="198"/>
      <c r="T83" s="198"/>
      <c r="U83" s="198"/>
    </row>
    <row r="84" spans="1:26" s="12" customFormat="1" x14ac:dyDescent="0.25">
      <c r="A84" s="214" t="s">
        <v>3012</v>
      </c>
      <c r="B84" s="64">
        <v>87.43</v>
      </c>
      <c r="C84" s="64">
        <v>-9.9700000000000006</v>
      </c>
      <c r="D84" s="64">
        <v>65.25</v>
      </c>
      <c r="E84" s="64">
        <v>0.23</v>
      </c>
      <c r="F84" s="64">
        <v>2.95</v>
      </c>
      <c r="G84" s="64">
        <v>162.38</v>
      </c>
      <c r="H84" s="64">
        <v>67.41</v>
      </c>
      <c r="I84" s="64">
        <v>1.53</v>
      </c>
      <c r="J84" s="64">
        <v>0.04</v>
      </c>
      <c r="K84" s="64">
        <v>183.22</v>
      </c>
      <c r="L84" s="64">
        <v>18.59</v>
      </c>
      <c r="M84" s="64">
        <v>75.680000000000007</v>
      </c>
      <c r="N84" s="64">
        <v>13</v>
      </c>
      <c r="O84" s="64">
        <v>0</v>
      </c>
      <c r="P84" s="64">
        <v>1.1399999999999999</v>
      </c>
      <c r="Q84" s="64">
        <v>8.15</v>
      </c>
      <c r="R84" s="198"/>
      <c r="S84" s="198"/>
      <c r="T84" s="198"/>
      <c r="U84" s="198"/>
    </row>
    <row r="85" spans="1:26" s="12" customFormat="1" x14ac:dyDescent="0.25">
      <c r="A85" s="214" t="s">
        <v>3013</v>
      </c>
      <c r="B85" s="64">
        <v>103.79</v>
      </c>
      <c r="C85" s="64">
        <v>-24.77</v>
      </c>
      <c r="D85" s="64">
        <v>70.209999999999994</v>
      </c>
      <c r="E85" s="64">
        <v>0.23</v>
      </c>
      <c r="F85" s="64">
        <v>3.16</v>
      </c>
      <c r="G85" s="64">
        <v>175.88</v>
      </c>
      <c r="H85" s="64">
        <v>67.41</v>
      </c>
      <c r="I85" s="64">
        <v>1.55</v>
      </c>
      <c r="J85" s="64">
        <v>0.06</v>
      </c>
      <c r="K85" s="64">
        <v>124.3</v>
      </c>
      <c r="L85" s="64">
        <v>18.329999999999998</v>
      </c>
      <c r="M85" s="64">
        <v>75.540000000000006</v>
      </c>
      <c r="N85" s="64">
        <v>12.8</v>
      </c>
      <c r="O85" s="64">
        <v>0</v>
      </c>
      <c r="P85" s="64">
        <v>1.2</v>
      </c>
      <c r="Q85" s="64">
        <v>8.49</v>
      </c>
      <c r="R85" s="198"/>
      <c r="S85" s="198"/>
      <c r="T85" s="198"/>
      <c r="U85" s="198"/>
    </row>
    <row r="86" spans="1:26" s="12" customFormat="1" x14ac:dyDescent="0.25">
      <c r="A86" s="214" t="s">
        <v>3014</v>
      </c>
      <c r="B86" s="64">
        <v>114.47</v>
      </c>
      <c r="C86" s="64">
        <v>-31.11</v>
      </c>
      <c r="D86" s="64">
        <v>75.27</v>
      </c>
      <c r="E86" s="64">
        <v>0.3</v>
      </c>
      <c r="F86" s="64">
        <v>3.3</v>
      </c>
      <c r="G86" s="64">
        <v>175.88</v>
      </c>
      <c r="H86" s="64">
        <v>67.41</v>
      </c>
      <c r="I86" s="64">
        <v>1.48</v>
      </c>
      <c r="J86" s="64">
        <v>0.05</v>
      </c>
      <c r="K86" s="64">
        <v>2.46</v>
      </c>
      <c r="L86" s="64">
        <v>18.07</v>
      </c>
      <c r="M86" s="64">
        <v>79.17</v>
      </c>
      <c r="N86" s="64">
        <v>13.2</v>
      </c>
      <c r="O86" s="64">
        <v>0</v>
      </c>
      <c r="P86" s="64">
        <v>1.38</v>
      </c>
      <c r="Q86" s="64">
        <v>8.77</v>
      </c>
      <c r="R86" s="198"/>
      <c r="S86" s="198"/>
      <c r="T86" s="198"/>
      <c r="U86" s="198"/>
    </row>
    <row r="87" spans="1:26" s="12" customFormat="1" x14ac:dyDescent="0.25">
      <c r="A87" s="214" t="s">
        <v>3015</v>
      </c>
      <c r="B87" s="64">
        <v>125.24</v>
      </c>
      <c r="C87" s="64">
        <v>-35.83</v>
      </c>
      <c r="D87" s="64">
        <v>81.3</v>
      </c>
      <c r="E87" s="64">
        <v>0.26</v>
      </c>
      <c r="F87" s="64">
        <v>3.4</v>
      </c>
      <c r="G87" s="64">
        <v>175.88</v>
      </c>
      <c r="H87" s="64">
        <v>67.41</v>
      </c>
      <c r="I87" s="64">
        <v>1.46</v>
      </c>
      <c r="J87" s="64">
        <v>7.0000000000000007E-2</v>
      </c>
      <c r="K87" s="64">
        <v>343.29</v>
      </c>
      <c r="L87" s="64">
        <v>17.690000000000001</v>
      </c>
      <c r="M87" s="64">
        <v>80.73</v>
      </c>
      <c r="N87" s="64">
        <v>13.2</v>
      </c>
      <c r="O87" s="64">
        <v>0</v>
      </c>
      <c r="P87" s="64">
        <v>1.51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4" t="s">
        <v>3016</v>
      </c>
      <c r="B88" s="64">
        <v>135.26</v>
      </c>
      <c r="C88" s="64">
        <v>-35.909999999999997</v>
      </c>
      <c r="D88" s="64">
        <v>89.29</v>
      </c>
      <c r="E88" s="64">
        <v>0.17</v>
      </c>
      <c r="F88" s="64">
        <v>3.38</v>
      </c>
      <c r="G88" s="64">
        <v>201.28</v>
      </c>
      <c r="H88" s="64">
        <v>80.849999999999994</v>
      </c>
      <c r="I88" s="64">
        <v>1.52</v>
      </c>
      <c r="J88" s="64">
        <v>0.1</v>
      </c>
      <c r="K88" s="64">
        <v>334.62</v>
      </c>
      <c r="L88" s="64">
        <v>17.329999999999998</v>
      </c>
      <c r="M88" s="64">
        <v>86.63</v>
      </c>
      <c r="N88" s="64">
        <v>13.2</v>
      </c>
      <c r="O88" s="64">
        <v>0</v>
      </c>
      <c r="P88" s="64">
        <v>1.72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14" t="s">
        <v>3017</v>
      </c>
      <c r="B89" s="64">
        <v>141.72999999999999</v>
      </c>
      <c r="C89" s="64">
        <v>-30.16</v>
      </c>
      <c r="D89" s="64">
        <v>97.66</v>
      </c>
      <c r="E89" s="64">
        <v>0.36</v>
      </c>
      <c r="F89" s="64">
        <v>3.33</v>
      </c>
      <c r="G89" s="64">
        <v>209.01</v>
      </c>
      <c r="H89" s="64">
        <v>80.849999999999994</v>
      </c>
      <c r="I89" s="64">
        <v>1.48</v>
      </c>
      <c r="J89" s="64">
        <v>0.04</v>
      </c>
      <c r="K89" s="64">
        <v>117.86</v>
      </c>
      <c r="L89" s="64">
        <v>17.07</v>
      </c>
      <c r="M89" s="64">
        <v>86.8</v>
      </c>
      <c r="N89" s="64">
        <v>13.2</v>
      </c>
      <c r="O89" s="64">
        <v>0</v>
      </c>
      <c r="P89" s="64">
        <v>1.87</v>
      </c>
      <c r="Q89" s="64">
        <v>10.53</v>
      </c>
      <c r="R89" s="198"/>
      <c r="S89" s="198"/>
      <c r="T89" s="198"/>
      <c r="U89" s="198"/>
    </row>
    <row r="90" spans="1:26" s="12" customFormat="1" x14ac:dyDescent="0.25">
      <c r="A90" s="214" t="s">
        <v>3018</v>
      </c>
      <c r="B90" s="64">
        <v>147.33000000000001</v>
      </c>
      <c r="C90" s="64">
        <v>-20.399999999999999</v>
      </c>
      <c r="D90" s="64">
        <v>107.54</v>
      </c>
      <c r="E90" s="64">
        <v>0.38</v>
      </c>
      <c r="F90" s="64">
        <v>3.44</v>
      </c>
      <c r="G90" s="64">
        <v>209.01</v>
      </c>
      <c r="H90" s="64">
        <v>80.849999999999994</v>
      </c>
      <c r="I90" s="64">
        <v>1.37</v>
      </c>
      <c r="J90" s="64">
        <v>0.05</v>
      </c>
      <c r="K90" s="64">
        <v>119.83</v>
      </c>
      <c r="L90" s="64">
        <v>16.97</v>
      </c>
      <c r="M90" s="64">
        <v>88.41</v>
      </c>
      <c r="N90" s="64">
        <v>13.3</v>
      </c>
      <c r="O90" s="64">
        <v>0</v>
      </c>
      <c r="P90" s="64">
        <v>2.0099999999999998</v>
      </c>
      <c r="Q90" s="64">
        <v>11.41</v>
      </c>
      <c r="R90" s="198"/>
      <c r="S90" s="198"/>
      <c r="T90" s="198"/>
      <c r="U90" s="198"/>
    </row>
    <row r="91" spans="1:26" s="12" customFormat="1" x14ac:dyDescent="0.25">
      <c r="A91" s="214" t="s">
        <v>3019</v>
      </c>
      <c r="B91" s="64">
        <v>151.31</v>
      </c>
      <c r="C91" s="64">
        <v>-11.35</v>
      </c>
      <c r="D91" s="64">
        <v>115.72</v>
      </c>
      <c r="E91" s="64">
        <v>0.43</v>
      </c>
      <c r="F91" s="64">
        <v>3.44</v>
      </c>
      <c r="G91" s="64">
        <v>209.01</v>
      </c>
      <c r="H91" s="64">
        <v>80.849999999999994</v>
      </c>
      <c r="I91" s="64">
        <v>1.59</v>
      </c>
      <c r="J91" s="64">
        <v>0.1</v>
      </c>
      <c r="K91" s="64">
        <v>302.39</v>
      </c>
      <c r="L91" s="64">
        <v>17.059999999999999</v>
      </c>
      <c r="M91" s="64">
        <v>89.36</v>
      </c>
      <c r="N91" s="64">
        <v>13.2</v>
      </c>
      <c r="O91" s="64">
        <v>0</v>
      </c>
      <c r="P91" s="64">
        <v>2.14</v>
      </c>
      <c r="Q91" s="64">
        <v>12.19</v>
      </c>
      <c r="R91" s="198"/>
      <c r="S91" s="198"/>
      <c r="T91" s="198"/>
      <c r="U91" s="198"/>
    </row>
    <row r="92" spans="1:26" s="12" customFormat="1" x14ac:dyDescent="0.25">
      <c r="A92" s="214" t="s">
        <v>3020</v>
      </c>
      <c r="B92" s="64">
        <v>155.80000000000001</v>
      </c>
      <c r="C92" s="64">
        <v>-4.24</v>
      </c>
      <c r="D92" s="64">
        <v>123.25</v>
      </c>
      <c r="E92" s="64">
        <v>0.41</v>
      </c>
      <c r="F92" s="64">
        <v>3.24</v>
      </c>
      <c r="G92" s="64">
        <v>227.42</v>
      </c>
      <c r="H92" s="64">
        <v>88.05</v>
      </c>
      <c r="I92" s="64">
        <v>1.39</v>
      </c>
      <c r="J92" s="64">
        <v>0.1</v>
      </c>
      <c r="K92" s="64">
        <v>302.45</v>
      </c>
      <c r="L92" s="64">
        <v>16.98</v>
      </c>
      <c r="M92" s="64">
        <v>89.89</v>
      </c>
      <c r="N92" s="64">
        <v>13.5</v>
      </c>
      <c r="O92" s="64">
        <v>0</v>
      </c>
      <c r="P92" s="64">
        <v>2.31</v>
      </c>
      <c r="Q92" s="64">
        <v>12.75</v>
      </c>
      <c r="R92" s="198"/>
      <c r="S92" s="198"/>
      <c r="T92" s="198"/>
      <c r="U92" s="198"/>
    </row>
    <row r="93" spans="1:26" s="12" customFormat="1" x14ac:dyDescent="0.25">
      <c r="A93" s="214" t="s">
        <v>3021</v>
      </c>
      <c r="B93" s="64">
        <v>161.54</v>
      </c>
      <c r="C93" s="64">
        <v>3.12</v>
      </c>
      <c r="D93" s="64">
        <v>131.91</v>
      </c>
      <c r="E93" s="64">
        <v>0.43</v>
      </c>
      <c r="F93" s="64">
        <v>3.24</v>
      </c>
      <c r="G93" s="64">
        <v>233.37</v>
      </c>
      <c r="H93" s="64">
        <v>88.05</v>
      </c>
      <c r="I93" s="64">
        <v>1.45</v>
      </c>
      <c r="J93" s="64">
        <v>0.03</v>
      </c>
      <c r="K93" s="64">
        <v>81.73</v>
      </c>
      <c r="L93" s="64">
        <v>16.77</v>
      </c>
      <c r="M93" s="64">
        <v>89.79</v>
      </c>
      <c r="N93" s="64">
        <v>13.5</v>
      </c>
      <c r="O93" s="64">
        <v>0</v>
      </c>
      <c r="P93" s="64">
        <v>2.4500000000000002</v>
      </c>
      <c r="Q93" s="64">
        <v>13.47</v>
      </c>
      <c r="R93" s="198"/>
      <c r="S93" s="198"/>
      <c r="T93" s="198"/>
      <c r="U93" s="198"/>
    </row>
    <row r="94" spans="1:26" s="12" customFormat="1" x14ac:dyDescent="0.25">
      <c r="A94" s="214" t="s">
        <v>3022</v>
      </c>
      <c r="B94" s="64">
        <v>167.33</v>
      </c>
      <c r="C94" s="64">
        <v>10.16</v>
      </c>
      <c r="D94" s="64">
        <v>140.44</v>
      </c>
      <c r="E94" s="64">
        <v>0.41</v>
      </c>
      <c r="F94" s="64">
        <v>3.09</v>
      </c>
      <c r="G94" s="64">
        <v>233.37</v>
      </c>
      <c r="H94" s="64">
        <v>88.05</v>
      </c>
      <c r="I94" s="64">
        <v>1.5</v>
      </c>
      <c r="J94" s="64">
        <v>0.06</v>
      </c>
      <c r="K94" s="64">
        <v>352.35</v>
      </c>
      <c r="L94" s="64">
        <v>16.63</v>
      </c>
      <c r="M94" s="64">
        <v>90.56</v>
      </c>
      <c r="N94" s="64">
        <v>13.5</v>
      </c>
      <c r="O94" s="64">
        <v>0</v>
      </c>
      <c r="P94" s="64">
        <v>2.59</v>
      </c>
      <c r="Q94" s="64">
        <v>14.21</v>
      </c>
      <c r="R94" s="198"/>
      <c r="S94" s="198"/>
      <c r="T94" s="198"/>
      <c r="U94" s="198"/>
    </row>
    <row r="95" spans="1:26" s="12" customFormat="1" x14ac:dyDescent="0.25">
      <c r="A95" s="214" t="s">
        <v>3023</v>
      </c>
      <c r="B95" s="64">
        <v>171.1</v>
      </c>
      <c r="C95" s="64">
        <v>18.010000000000002</v>
      </c>
      <c r="D95" s="64">
        <v>147.79</v>
      </c>
      <c r="E95" s="64">
        <v>0.43</v>
      </c>
      <c r="F95" s="64">
        <v>3.04</v>
      </c>
      <c r="G95" s="64">
        <v>233.37</v>
      </c>
      <c r="H95" s="64">
        <v>88.05</v>
      </c>
      <c r="I95" s="64">
        <v>1.47</v>
      </c>
      <c r="J95" s="64">
        <v>0.08</v>
      </c>
      <c r="K95" s="64">
        <v>263.73</v>
      </c>
      <c r="L95" s="64">
        <v>16.57</v>
      </c>
      <c r="M95" s="64">
        <v>90.05</v>
      </c>
      <c r="N95" s="64">
        <v>13.5</v>
      </c>
      <c r="O95" s="64">
        <v>0</v>
      </c>
      <c r="P95" s="64">
        <v>2.69</v>
      </c>
      <c r="Q95" s="64">
        <v>14.92</v>
      </c>
      <c r="R95" s="198"/>
      <c r="S95" s="198"/>
      <c r="T95" s="198"/>
      <c r="U95" s="198"/>
    </row>
    <row r="96" spans="1:26" s="12" customFormat="1" x14ac:dyDescent="0.25">
      <c r="A96" s="214" t="s">
        <v>3024</v>
      </c>
      <c r="B96" s="64">
        <v>172.72</v>
      </c>
      <c r="C96" s="64">
        <v>25.74</v>
      </c>
      <c r="D96" s="64">
        <v>153.36000000000001</v>
      </c>
      <c r="E96" s="64">
        <v>0.53</v>
      </c>
      <c r="F96" s="64">
        <v>3.22</v>
      </c>
      <c r="G96" s="64">
        <v>231.27</v>
      </c>
      <c r="H96" s="64">
        <v>94.65</v>
      </c>
      <c r="I96" s="64">
        <v>1.49</v>
      </c>
      <c r="J96" s="64">
        <v>0.12</v>
      </c>
      <c r="K96" s="64">
        <v>323.91000000000003</v>
      </c>
      <c r="L96" s="64">
        <v>16.57</v>
      </c>
      <c r="M96" s="64">
        <v>92.58</v>
      </c>
      <c r="N96" s="64">
        <v>13.5</v>
      </c>
      <c r="O96" s="64">
        <v>0</v>
      </c>
      <c r="P96" s="64">
        <v>2.78</v>
      </c>
      <c r="Q96" s="64">
        <v>15.49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3025</v>
      </c>
      <c r="B97" s="64">
        <v>178.29</v>
      </c>
      <c r="C97" s="64">
        <v>33.1</v>
      </c>
      <c r="D97" s="64">
        <v>161.88</v>
      </c>
      <c r="E97" s="64">
        <v>0.61</v>
      </c>
      <c r="F97" s="64">
        <v>3.2</v>
      </c>
      <c r="G97" s="64">
        <v>230.63</v>
      </c>
      <c r="H97" s="64">
        <v>94.65</v>
      </c>
      <c r="I97" s="64">
        <v>1.44</v>
      </c>
      <c r="J97" s="64">
        <v>0.09</v>
      </c>
      <c r="K97" s="64">
        <v>342.41</v>
      </c>
      <c r="L97" s="64">
        <v>16.25</v>
      </c>
      <c r="M97" s="64">
        <v>95.61</v>
      </c>
      <c r="N97" s="64">
        <v>13.7</v>
      </c>
      <c r="O97" s="64">
        <v>0</v>
      </c>
      <c r="P97" s="64">
        <v>2.96</v>
      </c>
      <c r="Q97" s="64">
        <v>16.14</v>
      </c>
      <c r="R97" s="198"/>
      <c r="S97" s="198"/>
      <c r="T97" s="198"/>
      <c r="U97" s="198"/>
    </row>
    <row r="98" spans="1:33" s="12" customFormat="1" x14ac:dyDescent="0.25">
      <c r="A98" s="214" t="s">
        <v>3026</v>
      </c>
      <c r="B98" s="64">
        <v>183.78</v>
      </c>
      <c r="C98" s="64">
        <v>39.83</v>
      </c>
      <c r="D98" s="64">
        <v>170.01</v>
      </c>
      <c r="E98" s="64">
        <v>0.56000000000000005</v>
      </c>
      <c r="F98" s="64">
        <v>3.26</v>
      </c>
      <c r="G98" s="64">
        <v>230.63</v>
      </c>
      <c r="H98" s="64">
        <v>94.65</v>
      </c>
      <c r="I98" s="64">
        <v>1.55</v>
      </c>
      <c r="J98" s="64">
        <v>0.08</v>
      </c>
      <c r="K98" s="64">
        <v>278.51</v>
      </c>
      <c r="L98" s="64">
        <v>16.100000000000001</v>
      </c>
      <c r="M98" s="64">
        <v>93.15</v>
      </c>
      <c r="N98" s="64">
        <v>13.6</v>
      </c>
      <c r="O98" s="64">
        <v>0</v>
      </c>
      <c r="P98" s="64">
        <v>3.09</v>
      </c>
      <c r="Q98" s="64">
        <v>16.850000000000001</v>
      </c>
      <c r="R98" s="198"/>
      <c r="S98" s="198"/>
      <c r="T98" s="198"/>
      <c r="U98" s="198"/>
    </row>
    <row r="99" spans="1:33" s="12" customFormat="1" x14ac:dyDescent="0.25">
      <c r="A99" s="214" t="s">
        <v>3027</v>
      </c>
      <c r="B99" s="64">
        <v>187.36</v>
      </c>
      <c r="C99" s="64">
        <v>45.7</v>
      </c>
      <c r="D99" s="64">
        <v>176.11</v>
      </c>
      <c r="E99" s="64">
        <v>0.6</v>
      </c>
      <c r="F99" s="64">
        <v>3.52</v>
      </c>
      <c r="G99" s="64">
        <v>230.63</v>
      </c>
      <c r="H99" s="64">
        <v>94.65</v>
      </c>
      <c r="I99" s="64">
        <v>1.53</v>
      </c>
      <c r="J99" s="64">
        <v>0.09</v>
      </c>
      <c r="K99" s="64">
        <v>274.63</v>
      </c>
      <c r="L99" s="64">
        <v>16.03</v>
      </c>
      <c r="M99" s="64">
        <v>91.12</v>
      </c>
      <c r="N99" s="64">
        <v>13.7</v>
      </c>
      <c r="O99" s="64">
        <v>0</v>
      </c>
      <c r="P99" s="64">
        <v>3.16</v>
      </c>
      <c r="Q99" s="64">
        <v>17.43</v>
      </c>
      <c r="R99" s="198"/>
      <c r="S99" s="198"/>
      <c r="T99" s="198"/>
      <c r="U99" s="198"/>
    </row>
    <row r="100" spans="1:33" s="12" customFormat="1" x14ac:dyDescent="0.25">
      <c r="A100" s="214" t="s">
        <v>3028</v>
      </c>
      <c r="B100" s="64">
        <v>189.94</v>
      </c>
      <c r="C100" s="64">
        <v>49.44</v>
      </c>
      <c r="D100" s="64">
        <v>180.25</v>
      </c>
      <c r="E100" s="64">
        <v>0.59</v>
      </c>
      <c r="F100" s="64">
        <v>3.14</v>
      </c>
      <c r="G100" s="64">
        <v>235.93</v>
      </c>
      <c r="H100" s="64">
        <v>98.25</v>
      </c>
      <c r="I100" s="64">
        <v>1.37</v>
      </c>
      <c r="J100" s="64">
        <v>0.11</v>
      </c>
      <c r="K100" s="64">
        <v>309.91000000000003</v>
      </c>
      <c r="L100" s="64">
        <v>15.9</v>
      </c>
      <c r="M100" s="64">
        <v>95.07</v>
      </c>
      <c r="N100" s="64">
        <v>13.6</v>
      </c>
      <c r="O100" s="64">
        <v>0</v>
      </c>
      <c r="P100" s="64">
        <v>3.2</v>
      </c>
      <c r="Q100" s="64">
        <v>17.84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3029</v>
      </c>
      <c r="B101" s="64">
        <v>192.91</v>
      </c>
      <c r="C101" s="64">
        <v>50.68</v>
      </c>
      <c r="D101" s="64">
        <v>183.31</v>
      </c>
      <c r="E101" s="64">
        <v>0.56000000000000005</v>
      </c>
      <c r="F101" s="64">
        <v>3.18</v>
      </c>
      <c r="G101" s="64">
        <v>237.55</v>
      </c>
      <c r="H101" s="64">
        <v>98.25</v>
      </c>
      <c r="I101" s="64">
        <v>1.53</v>
      </c>
      <c r="J101" s="64">
        <v>0.11</v>
      </c>
      <c r="K101" s="64">
        <v>294.76</v>
      </c>
      <c r="L101" s="64">
        <v>15.69</v>
      </c>
      <c r="M101" s="64">
        <v>94.56</v>
      </c>
      <c r="N101" s="64">
        <v>13.7</v>
      </c>
      <c r="O101" s="64">
        <v>0</v>
      </c>
      <c r="P101" s="64">
        <v>3.26</v>
      </c>
      <c r="Q101" s="64">
        <v>18.28</v>
      </c>
      <c r="R101" s="198"/>
      <c r="S101" s="198"/>
      <c r="T101" s="198"/>
      <c r="U101" s="198"/>
    </row>
    <row r="102" spans="1:33" s="12" customFormat="1" x14ac:dyDescent="0.25">
      <c r="A102" s="214" t="s">
        <v>3030</v>
      </c>
      <c r="B102" s="64">
        <v>195.8</v>
      </c>
      <c r="C102" s="64">
        <v>52.91</v>
      </c>
      <c r="D102" s="64">
        <v>186.87</v>
      </c>
      <c r="E102" s="64">
        <v>0.57999999999999996</v>
      </c>
      <c r="F102" s="64">
        <v>3.33</v>
      </c>
      <c r="G102" s="64">
        <v>237.55</v>
      </c>
      <c r="H102" s="64">
        <v>98.25</v>
      </c>
      <c r="I102" s="64">
        <v>1.51</v>
      </c>
      <c r="J102" s="64">
        <v>0.09</v>
      </c>
      <c r="K102" s="64">
        <v>325.77</v>
      </c>
      <c r="L102" s="64">
        <v>15.5</v>
      </c>
      <c r="M102" s="64">
        <v>96.26</v>
      </c>
      <c r="N102" s="64">
        <v>13.7</v>
      </c>
      <c r="O102" s="64">
        <v>0</v>
      </c>
      <c r="P102" s="64">
        <v>3.32</v>
      </c>
      <c r="Q102" s="64">
        <v>18.59</v>
      </c>
      <c r="R102" s="198"/>
      <c r="S102" s="198"/>
      <c r="T102" s="198"/>
      <c r="U102" s="198"/>
    </row>
    <row r="103" spans="1:33" s="12" customFormat="1" x14ac:dyDescent="0.25">
      <c r="A103" s="214" t="s">
        <v>3031</v>
      </c>
      <c r="B103" s="64">
        <v>198.37</v>
      </c>
      <c r="C103" s="64">
        <v>55.31</v>
      </c>
      <c r="D103" s="64">
        <v>190.25</v>
      </c>
      <c r="E103" s="64">
        <v>0.6</v>
      </c>
      <c r="F103" s="64">
        <v>3.26</v>
      </c>
      <c r="G103" s="64">
        <v>237.55</v>
      </c>
      <c r="H103" s="64">
        <v>98.25</v>
      </c>
      <c r="I103" s="64">
        <v>1.48</v>
      </c>
      <c r="J103" s="64">
        <v>0.1</v>
      </c>
      <c r="K103" s="64">
        <v>252.77</v>
      </c>
      <c r="L103" s="64">
        <v>15.4</v>
      </c>
      <c r="M103" s="64">
        <v>96.09</v>
      </c>
      <c r="N103" s="64">
        <v>13.8</v>
      </c>
      <c r="O103" s="64">
        <v>0</v>
      </c>
      <c r="P103" s="64">
        <v>3.37</v>
      </c>
      <c r="Q103" s="64">
        <v>18.84</v>
      </c>
      <c r="R103" s="198"/>
      <c r="S103" s="198"/>
      <c r="T103" s="198"/>
      <c r="U103" s="198"/>
    </row>
    <row r="104" spans="1:33" s="12" customFormat="1" x14ac:dyDescent="0.25">
      <c r="A104" s="214" t="s">
        <v>3032</v>
      </c>
      <c r="B104" s="64">
        <v>197.61</v>
      </c>
      <c r="C104" s="64">
        <v>55.76</v>
      </c>
      <c r="D104" s="64">
        <v>189.89</v>
      </c>
      <c r="E104" s="64">
        <v>0.2</v>
      </c>
      <c r="F104" s="64">
        <v>3.16</v>
      </c>
      <c r="G104" s="64">
        <v>243.9</v>
      </c>
      <c r="H104" s="64">
        <v>99.99</v>
      </c>
      <c r="I104" s="64">
        <v>1.41</v>
      </c>
      <c r="J104" s="64">
        <v>0.12</v>
      </c>
      <c r="K104" s="64">
        <v>281.02</v>
      </c>
      <c r="L104" s="64">
        <v>15.43</v>
      </c>
      <c r="M104" s="64">
        <v>95.74</v>
      </c>
      <c r="N104" s="64">
        <v>13.7</v>
      </c>
      <c r="O104" s="64">
        <v>0</v>
      </c>
      <c r="P104" s="64">
        <v>3.35</v>
      </c>
      <c r="Q104" s="64">
        <v>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8.0399999999999991</v>
      </c>
      <c r="C106" s="67">
        <f>MIN(C9:C104)</f>
        <v>-35.909999999999997</v>
      </c>
      <c r="D106" s="67">
        <f t="shared" ref="D106:Q106" si="0">MIN(D9:D104)</f>
        <v>42.94</v>
      </c>
      <c r="E106" s="67">
        <f t="shared" si="0"/>
        <v>0.04</v>
      </c>
      <c r="F106" s="67">
        <f t="shared" si="0"/>
        <v>2.78</v>
      </c>
      <c r="G106" s="67">
        <f t="shared" si="0"/>
        <v>48.44</v>
      </c>
      <c r="H106" s="67">
        <f t="shared" si="0"/>
        <v>41.22</v>
      </c>
      <c r="I106" s="67">
        <f t="shared" si="0"/>
        <v>1.37</v>
      </c>
      <c r="J106" s="67">
        <f t="shared" si="0"/>
        <v>0.02</v>
      </c>
      <c r="K106" s="67">
        <f t="shared" si="0"/>
        <v>0.88</v>
      </c>
      <c r="L106" s="67">
        <f t="shared" si="0"/>
        <v>12.65</v>
      </c>
      <c r="M106" s="67">
        <f t="shared" si="0"/>
        <v>40.76</v>
      </c>
      <c r="N106" s="67">
        <f t="shared" si="0"/>
        <v>12.7</v>
      </c>
      <c r="O106" s="67">
        <f t="shared" si="0"/>
        <v>0</v>
      </c>
      <c r="P106" s="67">
        <f t="shared" si="0"/>
        <v>0.63</v>
      </c>
      <c r="Q106" s="67">
        <f t="shared" si="0"/>
        <v>6.36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198.37</v>
      </c>
      <c r="C107" s="66">
        <f t="shared" ref="C107:Q107" si="1">MAX(C9:C104)</f>
        <v>88.72</v>
      </c>
      <c r="D107" s="66">
        <f t="shared" si="1"/>
        <v>190.25</v>
      </c>
      <c r="E107" s="66">
        <f t="shared" si="1"/>
        <v>0.61</v>
      </c>
      <c r="F107" s="66">
        <f t="shared" si="1"/>
        <v>11.76</v>
      </c>
      <c r="G107" s="66">
        <f t="shared" si="1"/>
        <v>243.9</v>
      </c>
      <c r="H107" s="66">
        <f t="shared" si="1"/>
        <v>117.62</v>
      </c>
      <c r="I107" s="66">
        <f t="shared" si="1"/>
        <v>1.6</v>
      </c>
      <c r="J107" s="66">
        <f t="shared" si="1"/>
        <v>1</v>
      </c>
      <c r="K107" s="66">
        <f t="shared" si="1"/>
        <v>359.21</v>
      </c>
      <c r="L107" s="66">
        <f t="shared" si="1"/>
        <v>26.22</v>
      </c>
      <c r="M107" s="66">
        <f t="shared" si="1"/>
        <v>97.88</v>
      </c>
      <c r="N107" s="66">
        <f t="shared" si="1"/>
        <v>540.9</v>
      </c>
      <c r="O107" s="66">
        <f t="shared" si="1"/>
        <v>0</v>
      </c>
      <c r="P107" s="66">
        <f t="shared" si="1"/>
        <v>3.37</v>
      </c>
      <c r="Q107" s="66">
        <f t="shared" si="1"/>
        <v>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76.498124999999987</v>
      </c>
      <c r="C108" s="67">
        <f t="shared" ref="C108:Q108" si="2">AVERAGE(C9:C104)</f>
        <v>57.753854166666656</v>
      </c>
      <c r="D108" s="67">
        <f t="shared" si="2"/>
        <v>93.865104166666683</v>
      </c>
      <c r="E108" s="67">
        <f t="shared" si="2"/>
        <v>0.33463157894736839</v>
      </c>
      <c r="F108" s="67">
        <f t="shared" si="2"/>
        <v>3.7910416666666666</v>
      </c>
      <c r="G108" s="67">
        <f t="shared" si="2"/>
        <v>154.43843749999999</v>
      </c>
      <c r="H108" s="67">
        <f t="shared" si="2"/>
        <v>75.967291666666668</v>
      </c>
      <c r="I108" s="67">
        <f t="shared" si="2"/>
        <v>1.4971874999999999</v>
      </c>
      <c r="J108" s="67">
        <f t="shared" si="2"/>
        <v>0.2426041666666667</v>
      </c>
      <c r="K108" s="67">
        <f t="shared" si="2"/>
        <v>197.24843750000002</v>
      </c>
      <c r="L108" s="67">
        <f t="shared" si="2"/>
        <v>18.279166666666665</v>
      </c>
      <c r="M108" s="67">
        <f t="shared" si="2"/>
        <v>75.528854166666676</v>
      </c>
      <c r="N108" s="67">
        <f t="shared" si="2"/>
        <v>139.30208333333343</v>
      </c>
      <c r="O108" s="67">
        <f t="shared" si="2"/>
        <v>0</v>
      </c>
      <c r="P108" s="67">
        <f t="shared" si="2"/>
        <v>1.5991666666666662</v>
      </c>
      <c r="Q108" s="67">
        <f t="shared" si="2"/>
        <v>10.854895833333336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57.233114987603209</v>
      </c>
      <c r="C109" s="67">
        <f t="shared" ref="C109:Q109" si="3">STDEV(C9:C104)</f>
        <v>31.508930041457411</v>
      </c>
      <c r="D109" s="67">
        <f t="shared" si="3"/>
        <v>41.669186343332299</v>
      </c>
      <c r="E109" s="67">
        <f t="shared" si="3"/>
        <v>0.15189449394245219</v>
      </c>
      <c r="F109" s="67">
        <f t="shared" si="3"/>
        <v>1.2604564579770843</v>
      </c>
      <c r="G109" s="67">
        <f t="shared" si="3"/>
        <v>61.402673734483265</v>
      </c>
      <c r="H109" s="67">
        <f t="shared" si="3"/>
        <v>24.565214579249275</v>
      </c>
      <c r="I109" s="67">
        <f t="shared" si="3"/>
        <v>4.1919801250031086E-2</v>
      </c>
      <c r="J109" s="67">
        <f t="shared" si="3"/>
        <v>0.23269697843317572</v>
      </c>
      <c r="K109" s="67">
        <f t="shared" si="3"/>
        <v>112.47197107048609</v>
      </c>
      <c r="L109" s="67">
        <f t="shared" si="3"/>
        <v>4.2088732500620472</v>
      </c>
      <c r="M109" s="67">
        <f t="shared" si="3"/>
        <v>22.266192398710672</v>
      </c>
      <c r="N109" s="67">
        <f t="shared" si="3"/>
        <v>169.89420236021607</v>
      </c>
      <c r="O109" s="67">
        <f t="shared" si="3"/>
        <v>0</v>
      </c>
      <c r="P109" s="67">
        <f t="shared" si="3"/>
        <v>0.79198440530455905</v>
      </c>
      <c r="Q109" s="67">
        <f t="shared" si="3"/>
        <v>3.4155532786887317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3033</v>
      </c>
      <c r="B9" s="64">
        <v>194.71</v>
      </c>
      <c r="C9" s="64">
        <v>56.46</v>
      </c>
      <c r="D9" s="64">
        <v>187.95</v>
      </c>
      <c r="E9" s="64">
        <v>0.39</v>
      </c>
      <c r="F9" s="64">
        <v>3.28</v>
      </c>
      <c r="G9" s="64">
        <v>245.84</v>
      </c>
      <c r="H9" s="64">
        <v>99.99</v>
      </c>
      <c r="I9" s="64">
        <v>1.44</v>
      </c>
      <c r="J9" s="64">
        <v>0.12</v>
      </c>
      <c r="K9" s="64">
        <v>293.39999999999998</v>
      </c>
      <c r="L9" s="64">
        <v>15.14</v>
      </c>
      <c r="M9" s="64">
        <v>97.69</v>
      </c>
      <c r="N9" s="64">
        <v>13.9</v>
      </c>
      <c r="O9" s="64">
        <v>0</v>
      </c>
      <c r="P9" s="64">
        <v>3.33</v>
      </c>
      <c r="Q9" s="64">
        <v>19.03</v>
      </c>
      <c r="R9" s="198"/>
      <c r="S9" s="198"/>
      <c r="T9" s="198"/>
      <c r="U9" s="198"/>
    </row>
    <row r="10" spans="1:21" s="12" customFormat="1" x14ac:dyDescent="0.25">
      <c r="A10" s="214" t="s">
        <v>3034</v>
      </c>
      <c r="B10" s="64">
        <v>191.36</v>
      </c>
      <c r="C10" s="64">
        <v>57.38</v>
      </c>
      <c r="D10" s="64">
        <v>185.77</v>
      </c>
      <c r="E10" s="64">
        <v>0.44</v>
      </c>
      <c r="F10" s="64">
        <v>3.24</v>
      </c>
      <c r="G10" s="64">
        <v>245.84</v>
      </c>
      <c r="H10" s="64">
        <v>99.99</v>
      </c>
      <c r="I10" s="64">
        <v>1.52</v>
      </c>
      <c r="J10" s="64">
        <v>0.16</v>
      </c>
      <c r="K10" s="64">
        <v>185.84</v>
      </c>
      <c r="L10" s="64">
        <v>15.33</v>
      </c>
      <c r="M10" s="64">
        <v>96.04</v>
      </c>
      <c r="N10" s="64">
        <v>13.3</v>
      </c>
      <c r="O10" s="64">
        <v>0</v>
      </c>
      <c r="P10" s="64">
        <v>3.28</v>
      </c>
      <c r="Q10" s="64">
        <v>19.010000000000002</v>
      </c>
      <c r="R10" s="198"/>
      <c r="S10" s="198"/>
      <c r="T10" s="198"/>
      <c r="U10" s="198"/>
    </row>
    <row r="11" spans="1:21" s="12" customFormat="1" x14ac:dyDescent="0.25">
      <c r="A11" s="214" t="s">
        <v>3035</v>
      </c>
      <c r="B11" s="64">
        <v>185.62</v>
      </c>
      <c r="C11" s="64">
        <v>56.93</v>
      </c>
      <c r="D11" s="64">
        <v>180.92</v>
      </c>
      <c r="E11" s="64">
        <v>0.39</v>
      </c>
      <c r="F11" s="64">
        <v>3.26</v>
      </c>
      <c r="G11" s="64">
        <v>245.84</v>
      </c>
      <c r="H11" s="64">
        <v>99.99</v>
      </c>
      <c r="I11" s="64">
        <v>1.49</v>
      </c>
      <c r="J11" s="64">
        <v>7.0000000000000007E-2</v>
      </c>
      <c r="K11" s="64">
        <v>238.92</v>
      </c>
      <c r="L11" s="64">
        <v>15.46</v>
      </c>
      <c r="M11" s="64">
        <v>89.55</v>
      </c>
      <c r="N11" s="64">
        <v>13.9</v>
      </c>
      <c r="O11" s="64">
        <v>0</v>
      </c>
      <c r="P11" s="64">
        <v>3.19</v>
      </c>
      <c r="Q11" s="64">
        <v>18.77</v>
      </c>
      <c r="R11" s="198"/>
      <c r="S11" s="198"/>
      <c r="T11" s="198"/>
      <c r="U11" s="198"/>
    </row>
    <row r="12" spans="1:21" s="12" customFormat="1" x14ac:dyDescent="0.25">
      <c r="A12" s="214" t="s">
        <v>3036</v>
      </c>
      <c r="B12" s="64">
        <v>177.45</v>
      </c>
      <c r="C12" s="64">
        <v>54.96</v>
      </c>
      <c r="D12" s="64">
        <v>173.28</v>
      </c>
      <c r="E12" s="64">
        <v>0.42</v>
      </c>
      <c r="F12" s="64">
        <v>3.34</v>
      </c>
      <c r="G12" s="64">
        <v>223.66</v>
      </c>
      <c r="H12" s="64">
        <v>102.7</v>
      </c>
      <c r="I12" s="64">
        <v>1.55</v>
      </c>
      <c r="J12" s="64">
        <v>0.09</v>
      </c>
      <c r="K12" s="64">
        <v>229.35</v>
      </c>
      <c r="L12" s="64">
        <v>14.97</v>
      </c>
      <c r="M12" s="64">
        <v>89.7</v>
      </c>
      <c r="N12" s="64">
        <v>14</v>
      </c>
      <c r="O12" s="64">
        <v>0</v>
      </c>
      <c r="P12" s="64">
        <v>3.04</v>
      </c>
      <c r="Q12" s="64">
        <v>18.39</v>
      </c>
      <c r="R12" s="198"/>
      <c r="S12" s="198"/>
      <c r="T12" s="198"/>
      <c r="U12" s="198"/>
    </row>
    <row r="13" spans="1:21" s="12" customFormat="1" x14ac:dyDescent="0.25">
      <c r="A13" s="214" t="s">
        <v>3037</v>
      </c>
      <c r="B13" s="64">
        <v>168.89</v>
      </c>
      <c r="C13" s="64">
        <v>51.13</v>
      </c>
      <c r="D13" s="64">
        <v>164.3</v>
      </c>
      <c r="E13" s="64">
        <v>0.37</v>
      </c>
      <c r="F13" s="64">
        <v>3.44</v>
      </c>
      <c r="G13" s="64">
        <v>216.91</v>
      </c>
      <c r="H13" s="64">
        <v>102.7</v>
      </c>
      <c r="I13" s="64">
        <v>1.52</v>
      </c>
      <c r="J13" s="64">
        <v>0.08</v>
      </c>
      <c r="K13" s="64">
        <v>256.38</v>
      </c>
      <c r="L13" s="64">
        <v>14.89</v>
      </c>
      <c r="M13" s="64">
        <v>89.86</v>
      </c>
      <c r="N13" s="64">
        <v>13.9</v>
      </c>
      <c r="O13" s="64">
        <v>0</v>
      </c>
      <c r="P13" s="64">
        <v>2.56</v>
      </c>
      <c r="Q13" s="64">
        <v>17.739999999999998</v>
      </c>
      <c r="R13" s="198"/>
      <c r="S13" s="198"/>
      <c r="T13" s="198"/>
      <c r="U13" s="198"/>
    </row>
    <row r="14" spans="1:21" s="12" customFormat="1" x14ac:dyDescent="0.25">
      <c r="A14" s="214" t="s">
        <v>3038</v>
      </c>
      <c r="B14" s="64">
        <v>162.22999999999999</v>
      </c>
      <c r="C14" s="64">
        <v>47.01</v>
      </c>
      <c r="D14" s="64">
        <v>156.69</v>
      </c>
      <c r="E14" s="64">
        <v>0.31</v>
      </c>
      <c r="F14" s="64">
        <v>3.29</v>
      </c>
      <c r="G14" s="64">
        <v>216.91</v>
      </c>
      <c r="H14" s="64">
        <v>102.7</v>
      </c>
      <c r="I14" s="64">
        <v>1.58</v>
      </c>
      <c r="J14" s="64">
        <v>0.12</v>
      </c>
      <c r="K14" s="64">
        <v>306.45999999999998</v>
      </c>
      <c r="L14" s="64">
        <v>14.54</v>
      </c>
      <c r="M14" s="64">
        <v>95.07</v>
      </c>
      <c r="N14" s="64">
        <v>14.2</v>
      </c>
      <c r="O14" s="64">
        <v>0</v>
      </c>
      <c r="P14" s="64">
        <v>2.57</v>
      </c>
      <c r="Q14" s="64">
        <v>17</v>
      </c>
      <c r="R14" s="198"/>
      <c r="S14" s="198"/>
      <c r="T14" s="198"/>
      <c r="U14" s="198"/>
    </row>
    <row r="15" spans="1:21" s="12" customFormat="1" x14ac:dyDescent="0.25">
      <c r="A15" s="214" t="s">
        <v>3039</v>
      </c>
      <c r="B15" s="64">
        <v>156.97</v>
      </c>
      <c r="C15" s="64">
        <v>42.39</v>
      </c>
      <c r="D15" s="64">
        <v>149.91999999999999</v>
      </c>
      <c r="E15" s="64">
        <v>0.28999999999999998</v>
      </c>
      <c r="F15" s="64">
        <v>3.34</v>
      </c>
      <c r="G15" s="64">
        <v>216.91</v>
      </c>
      <c r="H15" s="64">
        <v>102.7</v>
      </c>
      <c r="I15" s="64">
        <v>1.47</v>
      </c>
      <c r="J15" s="64">
        <v>0.11</v>
      </c>
      <c r="K15" s="64">
        <v>299.02999999999997</v>
      </c>
      <c r="L15" s="64">
        <v>14.21</v>
      </c>
      <c r="M15" s="64">
        <v>97.41</v>
      </c>
      <c r="N15" s="64">
        <v>14.1</v>
      </c>
      <c r="O15" s="64">
        <v>0</v>
      </c>
      <c r="P15" s="64">
        <v>2.44</v>
      </c>
      <c r="Q15" s="64">
        <v>16.36</v>
      </c>
      <c r="R15" s="198"/>
      <c r="S15" s="198"/>
      <c r="T15" s="198"/>
      <c r="U15" s="198"/>
    </row>
    <row r="16" spans="1:21" s="12" customFormat="1" x14ac:dyDescent="0.25">
      <c r="A16" s="214" t="s">
        <v>3040</v>
      </c>
      <c r="B16" s="64">
        <v>150.65</v>
      </c>
      <c r="C16" s="64">
        <v>39.33</v>
      </c>
      <c r="D16" s="64">
        <v>143.16</v>
      </c>
      <c r="E16" s="64">
        <v>0.24</v>
      </c>
      <c r="F16" s="64">
        <v>3.12</v>
      </c>
      <c r="G16" s="64">
        <v>139.47</v>
      </c>
      <c r="H16" s="64">
        <v>92.08</v>
      </c>
      <c r="I16" s="64">
        <v>1.46</v>
      </c>
      <c r="J16" s="64">
        <v>0.08</v>
      </c>
      <c r="K16" s="64">
        <v>278.38</v>
      </c>
      <c r="L16" s="64">
        <v>13.99</v>
      </c>
      <c r="M16" s="64">
        <v>97.84</v>
      </c>
      <c r="N16" s="64">
        <v>14.1</v>
      </c>
      <c r="O16" s="64">
        <v>0</v>
      </c>
      <c r="P16" s="64">
        <v>2.3199999999999998</v>
      </c>
      <c r="Q16" s="64">
        <v>15.73</v>
      </c>
      <c r="R16" s="198"/>
      <c r="S16" s="198"/>
      <c r="T16" s="198"/>
      <c r="U16" s="198"/>
    </row>
    <row r="17" spans="1:21" s="12" customFormat="1" x14ac:dyDescent="0.25">
      <c r="A17" s="214" t="s">
        <v>3041</v>
      </c>
      <c r="B17" s="64">
        <v>144.11000000000001</v>
      </c>
      <c r="C17" s="64">
        <v>37.770000000000003</v>
      </c>
      <c r="D17" s="64">
        <v>137.05000000000001</v>
      </c>
      <c r="E17" s="64">
        <v>0.24</v>
      </c>
      <c r="F17" s="64">
        <v>3.19</v>
      </c>
      <c r="G17" s="64">
        <v>115.9</v>
      </c>
      <c r="H17" s="64">
        <v>92.08</v>
      </c>
      <c r="I17" s="64">
        <v>1.54</v>
      </c>
      <c r="J17" s="64">
        <v>0.14000000000000001</v>
      </c>
      <c r="K17" s="64">
        <v>299.10000000000002</v>
      </c>
      <c r="L17" s="64">
        <v>13.88</v>
      </c>
      <c r="M17" s="64">
        <v>97.85</v>
      </c>
      <c r="N17" s="64">
        <v>14.1</v>
      </c>
      <c r="O17" s="64">
        <v>0</v>
      </c>
      <c r="P17" s="64">
        <v>2.2000000000000002</v>
      </c>
      <c r="Q17" s="64">
        <v>15.18</v>
      </c>
      <c r="R17" s="198"/>
      <c r="S17" s="198"/>
      <c r="T17" s="198"/>
      <c r="U17" s="198"/>
    </row>
    <row r="18" spans="1:21" s="12" customFormat="1" x14ac:dyDescent="0.25">
      <c r="A18" s="214" t="s">
        <v>3042</v>
      </c>
      <c r="B18" s="64">
        <v>138.56</v>
      </c>
      <c r="C18" s="64">
        <v>36.950000000000003</v>
      </c>
      <c r="D18" s="64">
        <v>132.16</v>
      </c>
      <c r="E18" s="64">
        <v>0.26</v>
      </c>
      <c r="F18" s="64">
        <v>3.17</v>
      </c>
      <c r="G18" s="64">
        <v>115.9</v>
      </c>
      <c r="H18" s="64">
        <v>92.08</v>
      </c>
      <c r="I18" s="64">
        <v>1.57</v>
      </c>
      <c r="J18" s="64">
        <v>0.13</v>
      </c>
      <c r="K18" s="64">
        <v>299.08999999999997</v>
      </c>
      <c r="L18" s="64">
        <v>13.75</v>
      </c>
      <c r="M18" s="64">
        <v>97.85</v>
      </c>
      <c r="N18" s="64">
        <v>14.1</v>
      </c>
      <c r="O18" s="64">
        <v>0</v>
      </c>
      <c r="P18" s="64">
        <v>2.1</v>
      </c>
      <c r="Q18" s="64">
        <v>14.72</v>
      </c>
      <c r="R18" s="198"/>
      <c r="S18" s="198"/>
      <c r="T18" s="198"/>
      <c r="U18" s="198"/>
    </row>
    <row r="19" spans="1:21" s="12" customFormat="1" x14ac:dyDescent="0.25">
      <c r="A19" s="214" t="s">
        <v>3043</v>
      </c>
      <c r="B19" s="64">
        <v>133.04</v>
      </c>
      <c r="C19" s="64">
        <v>37.17</v>
      </c>
      <c r="D19" s="64">
        <v>127.84</v>
      </c>
      <c r="E19" s="64">
        <v>0.24</v>
      </c>
      <c r="F19" s="64">
        <v>3.1</v>
      </c>
      <c r="G19" s="64">
        <v>115.9</v>
      </c>
      <c r="H19" s="64">
        <v>92.08</v>
      </c>
      <c r="I19" s="64">
        <v>1.47</v>
      </c>
      <c r="J19" s="64">
        <v>7.0000000000000007E-2</v>
      </c>
      <c r="K19" s="64">
        <v>304.41000000000003</v>
      </c>
      <c r="L19" s="64">
        <v>13.63</v>
      </c>
      <c r="M19" s="64">
        <v>97.85</v>
      </c>
      <c r="N19" s="64">
        <v>14.1</v>
      </c>
      <c r="O19" s="64">
        <v>0</v>
      </c>
      <c r="P19" s="64">
        <v>2</v>
      </c>
      <c r="Q19" s="64">
        <v>14.36</v>
      </c>
      <c r="R19" s="198"/>
      <c r="S19" s="198"/>
      <c r="T19" s="198"/>
      <c r="U19" s="198"/>
    </row>
    <row r="20" spans="1:21" s="12" customFormat="1" x14ac:dyDescent="0.25">
      <c r="A20" s="214" t="s">
        <v>3044</v>
      </c>
      <c r="B20" s="64">
        <v>127.47</v>
      </c>
      <c r="C20" s="64">
        <v>36.4</v>
      </c>
      <c r="D20" s="64">
        <v>122.96</v>
      </c>
      <c r="E20" s="64">
        <v>0.24</v>
      </c>
      <c r="F20" s="64">
        <v>3.2</v>
      </c>
      <c r="G20" s="64">
        <v>135.5</v>
      </c>
      <c r="H20" s="64">
        <v>86.35</v>
      </c>
      <c r="I20" s="64">
        <v>1.5</v>
      </c>
      <c r="J20" s="64">
        <v>0.06</v>
      </c>
      <c r="K20" s="64">
        <v>243.34</v>
      </c>
      <c r="L20" s="64">
        <v>13.78</v>
      </c>
      <c r="M20" s="64">
        <v>97.85</v>
      </c>
      <c r="N20" s="64">
        <v>14</v>
      </c>
      <c r="O20" s="64">
        <v>0</v>
      </c>
      <c r="P20" s="64">
        <v>1.91</v>
      </c>
      <c r="Q20" s="64">
        <v>13.97</v>
      </c>
      <c r="R20" s="198"/>
      <c r="S20" s="198"/>
      <c r="T20" s="198"/>
      <c r="U20" s="198"/>
    </row>
    <row r="21" spans="1:21" s="12" customFormat="1" x14ac:dyDescent="0.25">
      <c r="A21" s="214" t="s">
        <v>3045</v>
      </c>
      <c r="B21" s="64">
        <v>121.53</v>
      </c>
      <c r="C21" s="64">
        <v>35.61</v>
      </c>
      <c r="D21" s="64">
        <v>117.76</v>
      </c>
      <c r="E21" s="64">
        <v>0.2</v>
      </c>
      <c r="F21" s="64">
        <v>3.19</v>
      </c>
      <c r="G21" s="64">
        <v>141.46</v>
      </c>
      <c r="H21" s="64">
        <v>86.35</v>
      </c>
      <c r="I21" s="64">
        <v>1.49</v>
      </c>
      <c r="J21" s="64">
        <v>0.13</v>
      </c>
      <c r="K21" s="64">
        <v>280.44</v>
      </c>
      <c r="L21" s="64">
        <v>13.84</v>
      </c>
      <c r="M21" s="64">
        <v>97.85</v>
      </c>
      <c r="N21" s="64">
        <v>14</v>
      </c>
      <c r="O21" s="64">
        <v>0</v>
      </c>
      <c r="P21" s="64">
        <v>1.83</v>
      </c>
      <c r="Q21" s="64">
        <v>13.57</v>
      </c>
      <c r="R21" s="198"/>
      <c r="S21" s="198"/>
      <c r="T21" s="198"/>
      <c r="U21" s="198"/>
    </row>
    <row r="22" spans="1:21" s="12" customFormat="1" x14ac:dyDescent="0.25">
      <c r="A22" s="214" t="s">
        <v>3046</v>
      </c>
      <c r="B22" s="64">
        <v>116.37</v>
      </c>
      <c r="C22" s="64">
        <v>35</v>
      </c>
      <c r="D22" s="64">
        <v>113.28</v>
      </c>
      <c r="E22" s="64">
        <v>0.23</v>
      </c>
      <c r="F22" s="64">
        <v>3.11</v>
      </c>
      <c r="G22" s="64">
        <v>141.46</v>
      </c>
      <c r="H22" s="64">
        <v>86.35</v>
      </c>
      <c r="I22" s="64">
        <v>1.47</v>
      </c>
      <c r="J22" s="64">
        <v>0.09</v>
      </c>
      <c r="K22" s="64">
        <v>286.56</v>
      </c>
      <c r="L22" s="64">
        <v>13.71</v>
      </c>
      <c r="M22" s="64">
        <v>97.35</v>
      </c>
      <c r="N22" s="64">
        <v>14.3</v>
      </c>
      <c r="O22" s="64">
        <v>0</v>
      </c>
      <c r="P22" s="64">
        <v>1.76</v>
      </c>
      <c r="Q22" s="64">
        <v>13.03</v>
      </c>
      <c r="R22" s="198"/>
      <c r="S22" s="198"/>
      <c r="T22" s="198"/>
      <c r="U22" s="198"/>
    </row>
    <row r="23" spans="1:21" s="12" customFormat="1" x14ac:dyDescent="0.25">
      <c r="A23" s="214" t="s">
        <v>3047</v>
      </c>
      <c r="B23" s="64">
        <v>111.69</v>
      </c>
      <c r="C23" s="64">
        <v>33.5</v>
      </c>
      <c r="D23" s="64">
        <v>108.7</v>
      </c>
      <c r="E23" s="64">
        <v>0.22</v>
      </c>
      <c r="F23" s="64">
        <v>3.23</v>
      </c>
      <c r="G23" s="64">
        <v>141.46</v>
      </c>
      <c r="H23" s="64">
        <v>86.35</v>
      </c>
      <c r="I23" s="64">
        <v>1.46</v>
      </c>
      <c r="J23" s="64">
        <v>7.0000000000000007E-2</v>
      </c>
      <c r="K23" s="64">
        <v>266.68</v>
      </c>
      <c r="L23" s="64">
        <v>13.64</v>
      </c>
      <c r="M23" s="64">
        <v>97.88</v>
      </c>
      <c r="N23" s="64">
        <v>14.1</v>
      </c>
      <c r="O23" s="64">
        <v>0</v>
      </c>
      <c r="P23" s="64">
        <v>1.69</v>
      </c>
      <c r="Q23" s="64">
        <v>12.54</v>
      </c>
      <c r="R23" s="198"/>
      <c r="S23" s="198"/>
      <c r="T23" s="198"/>
      <c r="U23" s="198"/>
    </row>
    <row r="24" spans="1:21" s="12" customFormat="1" x14ac:dyDescent="0.25">
      <c r="A24" s="214" t="s">
        <v>3048</v>
      </c>
      <c r="B24" s="64">
        <v>108.1</v>
      </c>
      <c r="C24" s="64">
        <v>34.08</v>
      </c>
      <c r="D24" s="64">
        <v>106.15</v>
      </c>
      <c r="E24" s="64">
        <v>0.16</v>
      </c>
      <c r="F24" s="64">
        <v>2.89</v>
      </c>
      <c r="G24" s="64">
        <v>116.4</v>
      </c>
      <c r="H24" s="64">
        <v>77.95</v>
      </c>
      <c r="I24" s="64">
        <v>1.53</v>
      </c>
      <c r="J24" s="64">
        <v>7.0000000000000007E-2</v>
      </c>
      <c r="K24" s="64">
        <v>344.08</v>
      </c>
      <c r="L24" s="64">
        <v>13.64</v>
      </c>
      <c r="M24" s="64">
        <v>97.37</v>
      </c>
      <c r="N24" s="64">
        <v>14.2</v>
      </c>
      <c r="O24" s="64">
        <v>0</v>
      </c>
      <c r="P24" s="64">
        <v>1.64</v>
      </c>
      <c r="Q24" s="64">
        <v>12.11</v>
      </c>
      <c r="R24" s="198"/>
      <c r="S24" s="198"/>
      <c r="T24" s="198"/>
      <c r="U24" s="198"/>
    </row>
    <row r="25" spans="1:21" s="12" customFormat="1" x14ac:dyDescent="0.25">
      <c r="A25" s="214" t="s">
        <v>3049</v>
      </c>
      <c r="B25" s="64">
        <v>105.54</v>
      </c>
      <c r="C25" s="64">
        <v>34.04</v>
      </c>
      <c r="D25" s="64">
        <v>104.07</v>
      </c>
      <c r="E25" s="64">
        <v>0.35</v>
      </c>
      <c r="F25" s="64">
        <v>3.08</v>
      </c>
      <c r="G25" s="64">
        <v>108.77</v>
      </c>
      <c r="H25" s="64">
        <v>77.95</v>
      </c>
      <c r="I25" s="64">
        <v>1.46</v>
      </c>
      <c r="J25" s="64">
        <v>0.1</v>
      </c>
      <c r="K25" s="64">
        <v>278.79000000000002</v>
      </c>
      <c r="L25" s="64">
        <v>13.61</v>
      </c>
      <c r="M25" s="64">
        <v>97.85</v>
      </c>
      <c r="N25" s="64">
        <v>14.2</v>
      </c>
      <c r="O25" s="64">
        <v>0</v>
      </c>
      <c r="P25" s="64">
        <v>1.59</v>
      </c>
      <c r="Q25" s="64">
        <v>11.87</v>
      </c>
      <c r="R25" s="198"/>
      <c r="S25" s="198"/>
      <c r="T25" s="198"/>
      <c r="U25" s="198"/>
    </row>
    <row r="26" spans="1:21" s="12" customFormat="1" x14ac:dyDescent="0.25">
      <c r="A26" s="214" t="s">
        <v>3050</v>
      </c>
      <c r="B26" s="64">
        <v>102.66</v>
      </c>
      <c r="C26" s="64">
        <v>34.47</v>
      </c>
      <c r="D26" s="64">
        <v>101.99</v>
      </c>
      <c r="E26" s="64">
        <v>0.37</v>
      </c>
      <c r="F26" s="64">
        <v>3.12</v>
      </c>
      <c r="G26" s="64">
        <v>108.77</v>
      </c>
      <c r="H26" s="64">
        <v>77.95</v>
      </c>
      <c r="I26" s="64">
        <v>1.44</v>
      </c>
      <c r="J26" s="64">
        <v>0.1</v>
      </c>
      <c r="K26" s="64">
        <v>260.87</v>
      </c>
      <c r="L26" s="64">
        <v>13.6</v>
      </c>
      <c r="M26" s="64">
        <v>97.86</v>
      </c>
      <c r="N26" s="64">
        <v>14.2</v>
      </c>
      <c r="O26" s="64">
        <v>0</v>
      </c>
      <c r="P26" s="64">
        <v>1.54</v>
      </c>
      <c r="Q26" s="64">
        <v>11.7</v>
      </c>
      <c r="R26" s="198"/>
      <c r="S26" s="198"/>
      <c r="T26" s="198"/>
      <c r="U26" s="198"/>
    </row>
    <row r="27" spans="1:21" s="12" customFormat="1" x14ac:dyDescent="0.25">
      <c r="A27" s="214" t="s">
        <v>3051</v>
      </c>
      <c r="B27" s="64">
        <v>99.66</v>
      </c>
      <c r="C27" s="64">
        <v>34.56</v>
      </c>
      <c r="D27" s="64">
        <v>99.63</v>
      </c>
      <c r="E27" s="64">
        <v>0.36</v>
      </c>
      <c r="F27" s="64">
        <v>3.17</v>
      </c>
      <c r="G27" s="64">
        <v>108.77</v>
      </c>
      <c r="H27" s="64">
        <v>77.95</v>
      </c>
      <c r="I27" s="64">
        <v>1.49</v>
      </c>
      <c r="J27" s="64">
        <v>7.0000000000000007E-2</v>
      </c>
      <c r="K27" s="64">
        <v>260.92</v>
      </c>
      <c r="L27" s="64">
        <v>13.5</v>
      </c>
      <c r="M27" s="64">
        <v>97.88</v>
      </c>
      <c r="N27" s="64">
        <v>14.3</v>
      </c>
      <c r="O27" s="64">
        <v>0</v>
      </c>
      <c r="P27" s="64">
        <v>1.51</v>
      </c>
      <c r="Q27" s="64">
        <v>11.5</v>
      </c>
      <c r="R27" s="198"/>
      <c r="S27" s="198"/>
      <c r="T27" s="198"/>
      <c r="U27" s="198"/>
    </row>
    <row r="28" spans="1:21" s="12" customFormat="1" x14ac:dyDescent="0.25">
      <c r="A28" s="214" t="s">
        <v>3052</v>
      </c>
      <c r="B28" s="64">
        <v>96.89</v>
      </c>
      <c r="C28" s="64">
        <v>34.93</v>
      </c>
      <c r="D28" s="64">
        <v>97.63</v>
      </c>
      <c r="E28" s="64">
        <v>0.37</v>
      </c>
      <c r="F28" s="64">
        <v>3.11</v>
      </c>
      <c r="G28" s="64">
        <v>144.30000000000001</v>
      </c>
      <c r="H28" s="64">
        <v>79.12</v>
      </c>
      <c r="I28" s="64">
        <v>1.5</v>
      </c>
      <c r="J28" s="64">
        <v>0.11</v>
      </c>
      <c r="K28" s="64">
        <v>288.73</v>
      </c>
      <c r="L28" s="64">
        <v>13.49</v>
      </c>
      <c r="M28" s="64">
        <v>97.88</v>
      </c>
      <c r="N28" s="64">
        <v>14.3</v>
      </c>
      <c r="O28" s="64">
        <v>0</v>
      </c>
      <c r="P28" s="64">
        <v>1.48</v>
      </c>
      <c r="Q28" s="64">
        <v>11.22</v>
      </c>
      <c r="R28" s="198"/>
      <c r="S28" s="198"/>
      <c r="T28" s="198"/>
      <c r="U28" s="198"/>
    </row>
    <row r="29" spans="1:21" s="12" customFormat="1" x14ac:dyDescent="0.25">
      <c r="A29" s="214" t="s">
        <v>3053</v>
      </c>
      <c r="B29" s="64">
        <v>96.19</v>
      </c>
      <c r="C29" s="64">
        <v>34.93</v>
      </c>
      <c r="D29" s="64">
        <v>97.06</v>
      </c>
      <c r="E29" s="64">
        <v>0.35</v>
      </c>
      <c r="F29" s="64">
        <v>3.39</v>
      </c>
      <c r="G29" s="64">
        <v>155.79</v>
      </c>
      <c r="H29" s="64">
        <v>79.12</v>
      </c>
      <c r="I29" s="64">
        <v>1.48</v>
      </c>
      <c r="J29" s="64">
        <v>0.05</v>
      </c>
      <c r="K29" s="64">
        <v>117.35</v>
      </c>
      <c r="L29" s="64">
        <v>13.33</v>
      </c>
      <c r="M29" s="64">
        <v>97.88</v>
      </c>
      <c r="N29" s="64">
        <v>14.4</v>
      </c>
      <c r="O29" s="64">
        <v>0</v>
      </c>
      <c r="P29" s="64">
        <v>1.47</v>
      </c>
      <c r="Q29" s="64">
        <v>11.09</v>
      </c>
      <c r="R29" s="198"/>
      <c r="S29" s="198"/>
      <c r="T29" s="198"/>
      <c r="U29" s="198"/>
    </row>
    <row r="30" spans="1:21" s="12" customFormat="1" x14ac:dyDescent="0.25">
      <c r="A30" s="214" t="s">
        <v>3054</v>
      </c>
      <c r="B30" s="64">
        <v>98.05</v>
      </c>
      <c r="C30" s="64">
        <v>35.770000000000003</v>
      </c>
      <c r="D30" s="64">
        <v>99.02</v>
      </c>
      <c r="E30" s="64">
        <v>0.35</v>
      </c>
      <c r="F30" s="64">
        <v>3.22</v>
      </c>
      <c r="G30" s="64">
        <v>155.79</v>
      </c>
      <c r="H30" s="64">
        <v>79.12</v>
      </c>
      <c r="I30" s="64">
        <v>1.54</v>
      </c>
      <c r="J30" s="64">
        <v>7.0000000000000007E-2</v>
      </c>
      <c r="K30" s="64">
        <v>276.92</v>
      </c>
      <c r="L30" s="64">
        <v>13.23</v>
      </c>
      <c r="M30" s="64">
        <v>97.88</v>
      </c>
      <c r="N30" s="64">
        <v>14.3</v>
      </c>
      <c r="O30" s="64">
        <v>0</v>
      </c>
      <c r="P30" s="64">
        <v>1.46</v>
      </c>
      <c r="Q30" s="64">
        <v>11.18</v>
      </c>
      <c r="R30" s="198"/>
      <c r="S30" s="198"/>
      <c r="T30" s="198"/>
      <c r="U30" s="198"/>
    </row>
    <row r="31" spans="1:21" s="12" customFormat="1" x14ac:dyDescent="0.25">
      <c r="A31" s="214" t="s">
        <v>3055</v>
      </c>
      <c r="B31" s="64">
        <v>101.8</v>
      </c>
      <c r="C31" s="64">
        <v>38.36</v>
      </c>
      <c r="D31" s="64">
        <v>103.45</v>
      </c>
      <c r="E31" s="64">
        <v>0.36</v>
      </c>
      <c r="F31" s="64">
        <v>3.18</v>
      </c>
      <c r="G31" s="64">
        <v>155.79</v>
      </c>
      <c r="H31" s="64">
        <v>79.12</v>
      </c>
      <c r="I31" s="64">
        <v>1.53</v>
      </c>
      <c r="J31" s="64">
        <v>7.0000000000000007E-2</v>
      </c>
      <c r="K31" s="64">
        <v>299.41000000000003</v>
      </c>
      <c r="L31" s="64">
        <v>13.13</v>
      </c>
      <c r="M31" s="64">
        <v>97.87</v>
      </c>
      <c r="N31" s="64">
        <v>14.4</v>
      </c>
      <c r="O31" s="64">
        <v>0</v>
      </c>
      <c r="P31" s="64">
        <v>1.47</v>
      </c>
      <c r="Q31" s="64">
        <v>11.4</v>
      </c>
      <c r="R31" s="198"/>
      <c r="S31" s="198"/>
      <c r="T31" s="198"/>
      <c r="U31" s="198"/>
    </row>
    <row r="32" spans="1:21" s="12" customFormat="1" x14ac:dyDescent="0.25">
      <c r="A32" s="214" t="s">
        <v>3056</v>
      </c>
      <c r="B32" s="64">
        <v>107.19</v>
      </c>
      <c r="C32" s="64">
        <v>41.45</v>
      </c>
      <c r="D32" s="64">
        <v>109.48</v>
      </c>
      <c r="E32" s="64">
        <v>0.35</v>
      </c>
      <c r="F32" s="64">
        <v>3</v>
      </c>
      <c r="G32" s="64">
        <v>155.79</v>
      </c>
      <c r="H32" s="64">
        <v>98.02</v>
      </c>
      <c r="I32" s="64">
        <v>1.47</v>
      </c>
      <c r="J32" s="64">
        <v>0.09</v>
      </c>
      <c r="K32" s="64">
        <v>271.20999999999998</v>
      </c>
      <c r="L32" s="64">
        <v>13.35</v>
      </c>
      <c r="M32" s="64">
        <v>97.55</v>
      </c>
      <c r="N32" s="64">
        <v>14.3</v>
      </c>
      <c r="O32" s="64">
        <v>0</v>
      </c>
      <c r="P32" s="64">
        <v>1.48</v>
      </c>
      <c r="Q32" s="64">
        <v>11.8</v>
      </c>
      <c r="R32" s="198"/>
      <c r="S32" s="198"/>
      <c r="T32" s="198"/>
      <c r="U32" s="198"/>
    </row>
    <row r="33" spans="1:21" s="12" customFormat="1" x14ac:dyDescent="0.25">
      <c r="A33" s="214" t="s">
        <v>3057</v>
      </c>
      <c r="B33" s="64">
        <v>114.29</v>
      </c>
      <c r="C33" s="64">
        <v>44.38</v>
      </c>
      <c r="D33" s="64">
        <v>116.79</v>
      </c>
      <c r="E33" s="64">
        <v>0.47</v>
      </c>
      <c r="F33" s="64">
        <v>3.04</v>
      </c>
      <c r="G33" s="64">
        <v>257.92</v>
      </c>
      <c r="H33" s="64">
        <v>98.02</v>
      </c>
      <c r="I33" s="64">
        <v>1.43</v>
      </c>
      <c r="J33" s="64">
        <v>0.11</v>
      </c>
      <c r="K33" s="64">
        <v>306.52999999999997</v>
      </c>
      <c r="L33" s="64">
        <v>13.22</v>
      </c>
      <c r="M33" s="64">
        <v>97.72</v>
      </c>
      <c r="N33" s="64">
        <v>14.5</v>
      </c>
      <c r="O33" s="64">
        <v>0</v>
      </c>
      <c r="P33" s="64">
        <v>1.5</v>
      </c>
      <c r="Q33" s="64">
        <v>12.41</v>
      </c>
      <c r="R33" s="198"/>
      <c r="S33" s="198"/>
      <c r="T33" s="198"/>
      <c r="U33" s="198"/>
    </row>
    <row r="34" spans="1:21" s="12" customFormat="1" x14ac:dyDescent="0.25">
      <c r="A34" s="214" t="s">
        <v>3058</v>
      </c>
      <c r="B34" s="64">
        <v>121.58</v>
      </c>
      <c r="C34" s="64">
        <v>47.9</v>
      </c>
      <c r="D34" s="64">
        <v>124.58</v>
      </c>
      <c r="E34" s="64">
        <v>0.42</v>
      </c>
      <c r="F34" s="64">
        <v>3.05</v>
      </c>
      <c r="G34" s="64">
        <v>257.92</v>
      </c>
      <c r="H34" s="64">
        <v>98.02</v>
      </c>
      <c r="I34" s="64">
        <v>1.49</v>
      </c>
      <c r="J34" s="64">
        <v>0.08</v>
      </c>
      <c r="K34" s="64">
        <v>289.64999999999998</v>
      </c>
      <c r="L34" s="64">
        <v>13.17</v>
      </c>
      <c r="M34" s="64">
        <v>97.53</v>
      </c>
      <c r="N34" s="64">
        <v>16</v>
      </c>
      <c r="O34" s="64">
        <v>0</v>
      </c>
      <c r="P34" s="64">
        <v>1.51</v>
      </c>
      <c r="Q34" s="64">
        <v>13.08</v>
      </c>
      <c r="R34" s="198"/>
      <c r="S34" s="198"/>
      <c r="T34" s="198"/>
      <c r="U34" s="198"/>
    </row>
    <row r="35" spans="1:21" s="12" customFormat="1" x14ac:dyDescent="0.25">
      <c r="A35" s="214" t="s">
        <v>3059</v>
      </c>
      <c r="B35" s="64">
        <v>130.18</v>
      </c>
      <c r="C35" s="64">
        <v>52.22</v>
      </c>
      <c r="D35" s="64">
        <v>133.86000000000001</v>
      </c>
      <c r="E35" s="64">
        <v>0.41</v>
      </c>
      <c r="F35" s="64">
        <v>3.2</v>
      </c>
      <c r="G35" s="64">
        <v>257.92</v>
      </c>
      <c r="H35" s="64">
        <v>98.02</v>
      </c>
      <c r="I35" s="64">
        <v>1.52</v>
      </c>
      <c r="J35" s="64">
        <v>0.13</v>
      </c>
      <c r="K35" s="64">
        <v>280.10000000000002</v>
      </c>
      <c r="L35" s="64">
        <v>13.26</v>
      </c>
      <c r="M35" s="64">
        <v>97.37</v>
      </c>
      <c r="N35" s="64">
        <v>20.5</v>
      </c>
      <c r="O35" s="64">
        <v>0</v>
      </c>
      <c r="P35" s="64">
        <v>1.52</v>
      </c>
      <c r="Q35" s="64">
        <v>13.73</v>
      </c>
      <c r="R35" s="198"/>
      <c r="S35" s="198"/>
      <c r="T35" s="198"/>
      <c r="U35" s="198"/>
    </row>
    <row r="36" spans="1:21" s="12" customFormat="1" x14ac:dyDescent="0.25">
      <c r="A36" s="214" t="s">
        <v>3060</v>
      </c>
      <c r="B36" s="64">
        <v>140.93</v>
      </c>
      <c r="C36" s="64">
        <v>54.9</v>
      </c>
      <c r="D36" s="64">
        <v>143.96</v>
      </c>
      <c r="E36" s="64">
        <v>0.41</v>
      </c>
      <c r="F36" s="64">
        <v>3.29</v>
      </c>
      <c r="G36" s="64">
        <v>257.51</v>
      </c>
      <c r="H36" s="64">
        <v>111.7</v>
      </c>
      <c r="I36" s="64">
        <v>1.51</v>
      </c>
      <c r="J36" s="64">
        <v>0.06</v>
      </c>
      <c r="K36" s="64">
        <v>267.38</v>
      </c>
      <c r="L36" s="64">
        <v>13.33</v>
      </c>
      <c r="M36" s="64">
        <v>97.45</v>
      </c>
      <c r="N36" s="64">
        <v>30.4</v>
      </c>
      <c r="O36" s="64">
        <v>0</v>
      </c>
      <c r="P36" s="64">
        <v>1.53</v>
      </c>
      <c r="Q36" s="64">
        <v>14.67</v>
      </c>
      <c r="R36" s="198"/>
      <c r="S36" s="198"/>
      <c r="T36" s="198"/>
      <c r="U36" s="198"/>
    </row>
    <row r="37" spans="1:21" s="12" customFormat="1" x14ac:dyDescent="0.25">
      <c r="A37" s="214" t="s">
        <v>3061</v>
      </c>
      <c r="B37" s="64">
        <v>152.85</v>
      </c>
      <c r="C37" s="64">
        <v>58.47</v>
      </c>
      <c r="D37" s="64">
        <v>155.49</v>
      </c>
      <c r="E37" s="64">
        <v>0.4</v>
      </c>
      <c r="F37" s="64">
        <v>3.24</v>
      </c>
      <c r="G37" s="64">
        <v>257.38</v>
      </c>
      <c r="H37" s="64">
        <v>111.7</v>
      </c>
      <c r="I37" s="64">
        <v>1.42</v>
      </c>
      <c r="J37" s="64">
        <v>0.12</v>
      </c>
      <c r="K37" s="64">
        <v>285.05</v>
      </c>
      <c r="L37" s="64">
        <v>13.56</v>
      </c>
      <c r="M37" s="64">
        <v>97.88</v>
      </c>
      <c r="N37" s="64">
        <v>41.6</v>
      </c>
      <c r="O37" s="64">
        <v>0</v>
      </c>
      <c r="P37" s="64">
        <v>1.57</v>
      </c>
      <c r="Q37" s="64">
        <v>15.58</v>
      </c>
      <c r="R37" s="198"/>
      <c r="S37" s="198"/>
      <c r="T37" s="198"/>
      <c r="U37" s="198"/>
    </row>
    <row r="38" spans="1:21" s="12" customFormat="1" x14ac:dyDescent="0.25">
      <c r="A38" s="214" t="s">
        <v>3062</v>
      </c>
      <c r="B38" s="64">
        <v>171.72</v>
      </c>
      <c r="C38" s="64">
        <v>60.6</v>
      </c>
      <c r="D38" s="64">
        <v>171.8</v>
      </c>
      <c r="E38" s="64">
        <v>0.44</v>
      </c>
      <c r="F38" s="64">
        <v>3.36</v>
      </c>
      <c r="G38" s="64">
        <v>257.38</v>
      </c>
      <c r="H38" s="64">
        <v>111.7</v>
      </c>
      <c r="I38" s="64">
        <v>1.46</v>
      </c>
      <c r="J38" s="64">
        <v>0.11</v>
      </c>
      <c r="K38" s="64">
        <v>336.44</v>
      </c>
      <c r="L38" s="64">
        <v>14.04</v>
      </c>
      <c r="M38" s="64">
        <v>97.88</v>
      </c>
      <c r="N38" s="64">
        <v>60.3</v>
      </c>
      <c r="O38" s="64">
        <v>0</v>
      </c>
      <c r="P38" s="64">
        <v>1.7</v>
      </c>
      <c r="Q38" s="64">
        <v>16.690000000000001</v>
      </c>
      <c r="R38" s="198"/>
      <c r="S38" s="198"/>
      <c r="T38" s="198"/>
      <c r="U38" s="198"/>
    </row>
    <row r="39" spans="1:21" s="12" customFormat="1" x14ac:dyDescent="0.25">
      <c r="A39" s="214" t="s">
        <v>3063</v>
      </c>
      <c r="B39" s="64">
        <v>191.16</v>
      </c>
      <c r="C39" s="64">
        <v>61.25</v>
      </c>
      <c r="D39" s="64">
        <v>187.75</v>
      </c>
      <c r="E39" s="64">
        <v>0.51</v>
      </c>
      <c r="F39" s="64">
        <v>3.36</v>
      </c>
      <c r="G39" s="64">
        <v>257.38</v>
      </c>
      <c r="H39" s="64">
        <v>111.7</v>
      </c>
      <c r="I39" s="64">
        <v>1.51</v>
      </c>
      <c r="J39" s="64">
        <v>0.12</v>
      </c>
      <c r="K39" s="64">
        <v>94.13</v>
      </c>
      <c r="L39" s="64">
        <v>14.78</v>
      </c>
      <c r="M39" s="64">
        <v>97.32</v>
      </c>
      <c r="N39" s="64">
        <v>86.3</v>
      </c>
      <c r="O39" s="64">
        <v>0</v>
      </c>
      <c r="P39" s="64">
        <v>1.78</v>
      </c>
      <c r="Q39" s="64">
        <v>17.989999999999998</v>
      </c>
      <c r="R39" s="198"/>
      <c r="S39" s="198"/>
      <c r="T39" s="198"/>
      <c r="U39" s="198"/>
    </row>
    <row r="40" spans="1:21" s="12" customFormat="1" x14ac:dyDescent="0.25">
      <c r="A40" s="214" t="s">
        <v>3064</v>
      </c>
      <c r="B40" s="64">
        <v>201.77</v>
      </c>
      <c r="C40" s="64">
        <v>59.83</v>
      </c>
      <c r="D40" s="64">
        <v>195.47</v>
      </c>
      <c r="E40" s="64">
        <v>0.28999999999999998</v>
      </c>
      <c r="F40" s="64">
        <v>3.21</v>
      </c>
      <c r="G40" s="64">
        <v>313.33</v>
      </c>
      <c r="H40" s="64">
        <v>120.14</v>
      </c>
      <c r="I40" s="64">
        <v>1.47</v>
      </c>
      <c r="J40" s="64">
        <v>0.51</v>
      </c>
      <c r="K40" s="64">
        <v>112.37</v>
      </c>
      <c r="L40" s="64">
        <v>16.12</v>
      </c>
      <c r="M40" s="64">
        <v>91.54</v>
      </c>
      <c r="N40" s="64">
        <v>118.4</v>
      </c>
      <c r="O40" s="64">
        <v>0</v>
      </c>
      <c r="P40" s="64">
        <v>1.83</v>
      </c>
      <c r="Q40" s="64">
        <v>19.21</v>
      </c>
      <c r="R40" s="198"/>
      <c r="S40" s="198"/>
      <c r="T40" s="198"/>
      <c r="U40" s="198"/>
    </row>
    <row r="41" spans="1:21" s="12" customFormat="1" x14ac:dyDescent="0.25">
      <c r="A41" s="214" t="s">
        <v>3065</v>
      </c>
      <c r="B41" s="64">
        <v>204.06</v>
      </c>
      <c r="C41" s="64">
        <v>55.5</v>
      </c>
      <c r="D41" s="64">
        <v>194.92</v>
      </c>
      <c r="E41" s="64">
        <v>0.42</v>
      </c>
      <c r="F41" s="64">
        <v>3.04</v>
      </c>
      <c r="G41" s="64">
        <v>330.36</v>
      </c>
      <c r="H41" s="64">
        <v>120.14</v>
      </c>
      <c r="I41" s="64">
        <v>1.45</v>
      </c>
      <c r="J41" s="64">
        <v>0.68</v>
      </c>
      <c r="K41" s="64">
        <v>108.72</v>
      </c>
      <c r="L41" s="64">
        <v>16.84</v>
      </c>
      <c r="M41" s="64">
        <v>86.7</v>
      </c>
      <c r="N41" s="64">
        <v>148.30000000000001</v>
      </c>
      <c r="O41" s="64">
        <v>0</v>
      </c>
      <c r="P41" s="64">
        <v>1.85</v>
      </c>
      <c r="Q41" s="64">
        <v>19.79</v>
      </c>
      <c r="R41" s="198"/>
      <c r="S41" s="198"/>
      <c r="T41" s="198"/>
      <c r="U41" s="198"/>
    </row>
    <row r="42" spans="1:21" s="12" customFormat="1" x14ac:dyDescent="0.25">
      <c r="A42" s="214" t="s">
        <v>3066</v>
      </c>
      <c r="B42" s="64">
        <v>201.69</v>
      </c>
      <c r="C42" s="64">
        <v>50.24</v>
      </c>
      <c r="D42" s="64">
        <v>190.11</v>
      </c>
      <c r="E42" s="64">
        <v>0.49</v>
      </c>
      <c r="F42" s="64">
        <v>3.27</v>
      </c>
      <c r="G42" s="64">
        <v>330.36</v>
      </c>
      <c r="H42" s="64">
        <v>120.14</v>
      </c>
      <c r="I42" s="64">
        <v>1.45</v>
      </c>
      <c r="J42" s="64">
        <v>0.75</v>
      </c>
      <c r="K42" s="64">
        <v>109.14</v>
      </c>
      <c r="L42" s="64">
        <v>17.43</v>
      </c>
      <c r="M42" s="64">
        <v>82.75</v>
      </c>
      <c r="N42" s="64">
        <v>181.9</v>
      </c>
      <c r="O42" s="64">
        <v>0</v>
      </c>
      <c r="P42" s="64">
        <v>1.85</v>
      </c>
      <c r="Q42" s="64">
        <v>19.739999999999998</v>
      </c>
      <c r="R42" s="198"/>
      <c r="S42" s="198"/>
      <c r="T42" s="198"/>
      <c r="U42" s="198"/>
    </row>
    <row r="43" spans="1:21" s="12" customFormat="1" x14ac:dyDescent="0.25">
      <c r="A43" s="214" t="s">
        <v>3067</v>
      </c>
      <c r="B43" s="64">
        <v>198.16</v>
      </c>
      <c r="C43" s="64">
        <v>43.92</v>
      </c>
      <c r="D43" s="64">
        <v>183.79</v>
      </c>
      <c r="E43" s="64">
        <v>0.55000000000000004</v>
      </c>
      <c r="F43" s="64">
        <v>3.36</v>
      </c>
      <c r="G43" s="64">
        <v>330.36</v>
      </c>
      <c r="H43" s="64">
        <v>120.14</v>
      </c>
      <c r="I43" s="64">
        <v>1.5</v>
      </c>
      <c r="J43" s="64">
        <v>0.28000000000000003</v>
      </c>
      <c r="K43" s="64">
        <v>115.49</v>
      </c>
      <c r="L43" s="64">
        <v>18.45</v>
      </c>
      <c r="M43" s="64">
        <v>76.84</v>
      </c>
      <c r="N43" s="64">
        <v>204.6</v>
      </c>
      <c r="O43" s="64">
        <v>0</v>
      </c>
      <c r="P43" s="64">
        <v>1.85</v>
      </c>
      <c r="Q43" s="64">
        <v>19.36</v>
      </c>
      <c r="R43" s="198"/>
      <c r="S43" s="198"/>
      <c r="T43" s="198"/>
      <c r="U43" s="198"/>
    </row>
    <row r="44" spans="1:21" s="12" customFormat="1" x14ac:dyDescent="0.25">
      <c r="A44" s="214" t="s">
        <v>3068</v>
      </c>
      <c r="B44" s="64">
        <v>194.21</v>
      </c>
      <c r="C44" s="64">
        <v>39.5</v>
      </c>
      <c r="D44" s="64">
        <v>178.18</v>
      </c>
      <c r="E44" s="64">
        <v>0.53</v>
      </c>
      <c r="F44" s="64">
        <v>3.28</v>
      </c>
      <c r="G44" s="64">
        <v>305.75</v>
      </c>
      <c r="H44" s="64">
        <v>136.69999999999999</v>
      </c>
      <c r="I44" s="64">
        <v>1.49</v>
      </c>
      <c r="J44" s="64">
        <v>1.1000000000000001</v>
      </c>
      <c r="K44" s="64">
        <v>111.09</v>
      </c>
      <c r="L44" s="64">
        <v>18.84</v>
      </c>
      <c r="M44" s="64">
        <v>73.290000000000006</v>
      </c>
      <c r="N44" s="64">
        <v>233.7</v>
      </c>
      <c r="O44" s="64">
        <v>0</v>
      </c>
      <c r="P44" s="64">
        <v>1.86</v>
      </c>
      <c r="Q44" s="64">
        <v>18.88</v>
      </c>
      <c r="R44" s="198"/>
      <c r="S44" s="198"/>
      <c r="T44" s="198"/>
      <c r="U44" s="198"/>
    </row>
    <row r="45" spans="1:21" s="12" customFormat="1" x14ac:dyDescent="0.25">
      <c r="A45" s="214" t="s">
        <v>3069</v>
      </c>
      <c r="B45" s="64">
        <v>187.95</v>
      </c>
      <c r="C45" s="64">
        <v>37.32</v>
      </c>
      <c r="D45" s="64">
        <v>171.96</v>
      </c>
      <c r="E45" s="64">
        <v>0.47</v>
      </c>
      <c r="F45" s="64">
        <v>3.41</v>
      </c>
      <c r="G45" s="64">
        <v>298.27</v>
      </c>
      <c r="H45" s="64">
        <v>136.69999999999999</v>
      </c>
      <c r="I45" s="64">
        <v>1.49</v>
      </c>
      <c r="J45" s="64">
        <v>1.1200000000000001</v>
      </c>
      <c r="K45" s="64">
        <v>110.84</v>
      </c>
      <c r="L45" s="64">
        <v>18.55</v>
      </c>
      <c r="M45" s="64">
        <v>71.900000000000006</v>
      </c>
      <c r="N45" s="64">
        <v>275.7</v>
      </c>
      <c r="O45" s="64">
        <v>0</v>
      </c>
      <c r="P45" s="64">
        <v>1.85</v>
      </c>
      <c r="Q45" s="64">
        <v>18.440000000000001</v>
      </c>
      <c r="R45" s="198"/>
      <c r="S45" s="198"/>
      <c r="T45" s="198"/>
      <c r="U45" s="198"/>
    </row>
    <row r="46" spans="1:21" s="12" customFormat="1" x14ac:dyDescent="0.25">
      <c r="A46" s="214" t="s">
        <v>3070</v>
      </c>
      <c r="B46" s="64">
        <v>178.9</v>
      </c>
      <c r="C46" s="64">
        <v>38.18</v>
      </c>
      <c r="D46" s="64">
        <v>165.19</v>
      </c>
      <c r="E46" s="64">
        <v>0.42</v>
      </c>
      <c r="F46" s="64">
        <v>3.56</v>
      </c>
      <c r="G46" s="64">
        <v>298.27</v>
      </c>
      <c r="H46" s="64">
        <v>136.69999999999999</v>
      </c>
      <c r="I46" s="64">
        <v>1.55</v>
      </c>
      <c r="J46" s="64">
        <v>0.77</v>
      </c>
      <c r="K46" s="64">
        <v>102.98</v>
      </c>
      <c r="L46" s="64">
        <v>19.190000000000001</v>
      </c>
      <c r="M46" s="64">
        <v>68.599999999999994</v>
      </c>
      <c r="N46" s="64">
        <v>308.60000000000002</v>
      </c>
      <c r="O46" s="64">
        <v>0</v>
      </c>
      <c r="P46" s="64">
        <v>1.83</v>
      </c>
      <c r="Q46" s="64">
        <v>17.8</v>
      </c>
      <c r="R46" s="198"/>
      <c r="S46" s="198"/>
      <c r="T46" s="198"/>
      <c r="U46" s="198"/>
    </row>
    <row r="47" spans="1:21" s="12" customFormat="1" x14ac:dyDescent="0.25">
      <c r="A47" s="214" t="s">
        <v>3071</v>
      </c>
      <c r="B47" s="64">
        <v>168.32</v>
      </c>
      <c r="C47" s="64">
        <v>40.9</v>
      </c>
      <c r="D47" s="64">
        <v>158.19999999999999</v>
      </c>
      <c r="E47" s="64">
        <v>0.46</v>
      </c>
      <c r="F47" s="64">
        <v>3.37</v>
      </c>
      <c r="G47" s="64">
        <v>298.27</v>
      </c>
      <c r="H47" s="64">
        <v>136.69999999999999</v>
      </c>
      <c r="I47" s="64">
        <v>1.51</v>
      </c>
      <c r="J47" s="64">
        <v>0.4</v>
      </c>
      <c r="K47" s="64">
        <v>124.29</v>
      </c>
      <c r="L47" s="64">
        <v>20.350000000000001</v>
      </c>
      <c r="M47" s="64">
        <v>62.19</v>
      </c>
      <c r="N47" s="64">
        <v>338.4</v>
      </c>
      <c r="O47" s="64">
        <v>0</v>
      </c>
      <c r="P47" s="64">
        <v>1.81</v>
      </c>
      <c r="Q47" s="64">
        <v>17.18</v>
      </c>
      <c r="R47" s="198"/>
      <c r="S47" s="198"/>
      <c r="T47" s="198"/>
      <c r="U47" s="198"/>
    </row>
    <row r="48" spans="1:21" s="12" customFormat="1" x14ac:dyDescent="0.25">
      <c r="A48" s="214" t="s">
        <v>3072</v>
      </c>
      <c r="B48" s="64">
        <v>148.18</v>
      </c>
      <c r="C48" s="64">
        <v>50.5</v>
      </c>
      <c r="D48" s="64">
        <v>147.34</v>
      </c>
      <c r="E48" s="64">
        <v>0.46</v>
      </c>
      <c r="F48" s="64">
        <v>3.11</v>
      </c>
      <c r="G48" s="64">
        <v>188.55</v>
      </c>
      <c r="H48" s="64">
        <v>121.44</v>
      </c>
      <c r="I48" s="64">
        <v>1.47</v>
      </c>
      <c r="J48" s="64">
        <v>0.28999999999999998</v>
      </c>
      <c r="K48" s="64">
        <v>161.68</v>
      </c>
      <c r="L48" s="64">
        <v>20.97</v>
      </c>
      <c r="M48" s="64">
        <v>60.91</v>
      </c>
      <c r="N48" s="64">
        <v>364.7</v>
      </c>
      <c r="O48" s="64">
        <v>0</v>
      </c>
      <c r="P48" s="64">
        <v>1.73</v>
      </c>
      <c r="Q48" s="64">
        <v>16.579999999999998</v>
      </c>
      <c r="R48" s="198"/>
      <c r="S48" s="198"/>
      <c r="T48" s="198"/>
      <c r="U48" s="198"/>
    </row>
    <row r="49" spans="1:21" s="12" customFormat="1" x14ac:dyDescent="0.25">
      <c r="A49" s="214" t="s">
        <v>3073</v>
      </c>
      <c r="B49" s="64">
        <v>130.16</v>
      </c>
      <c r="C49" s="64">
        <v>63.29</v>
      </c>
      <c r="D49" s="64">
        <v>139.94999999999999</v>
      </c>
      <c r="E49" s="64">
        <v>0.45</v>
      </c>
      <c r="F49" s="64">
        <v>3.03</v>
      </c>
      <c r="G49" s="64">
        <v>188.55</v>
      </c>
      <c r="H49" s="64">
        <v>121.44</v>
      </c>
      <c r="I49" s="64">
        <v>1.54</v>
      </c>
      <c r="J49" s="64">
        <v>0.5</v>
      </c>
      <c r="K49" s="64">
        <v>159.54</v>
      </c>
      <c r="L49" s="64">
        <v>21.28</v>
      </c>
      <c r="M49" s="64">
        <v>59.43</v>
      </c>
      <c r="N49" s="64">
        <v>396.5</v>
      </c>
      <c r="O49" s="64">
        <v>0</v>
      </c>
      <c r="P49" s="64">
        <v>1.69</v>
      </c>
      <c r="Q49" s="64">
        <v>15.77</v>
      </c>
      <c r="R49" s="198"/>
      <c r="S49" s="198"/>
      <c r="T49" s="198"/>
      <c r="U49" s="198"/>
    </row>
    <row r="50" spans="1:21" s="12" customFormat="1" x14ac:dyDescent="0.25">
      <c r="A50" s="214" t="s">
        <v>3074</v>
      </c>
      <c r="B50" s="64">
        <v>114.28</v>
      </c>
      <c r="C50" s="64">
        <v>71.47</v>
      </c>
      <c r="D50" s="64">
        <v>131.74</v>
      </c>
      <c r="E50" s="64">
        <v>0.41</v>
      </c>
      <c r="F50" s="64">
        <v>2.95</v>
      </c>
      <c r="G50" s="64">
        <v>188.55</v>
      </c>
      <c r="H50" s="64">
        <v>121.44</v>
      </c>
      <c r="I50" s="64">
        <v>1.61</v>
      </c>
      <c r="J50" s="64">
        <v>0.55000000000000004</v>
      </c>
      <c r="K50" s="64">
        <v>151.66999999999999</v>
      </c>
      <c r="L50" s="64">
        <v>21.71</v>
      </c>
      <c r="M50" s="64">
        <v>58.23</v>
      </c>
      <c r="N50" s="64">
        <v>420.1</v>
      </c>
      <c r="O50" s="64">
        <v>0</v>
      </c>
      <c r="P50" s="64">
        <v>1.61</v>
      </c>
      <c r="Q50" s="64">
        <v>14.92</v>
      </c>
      <c r="R50" s="198"/>
      <c r="S50" s="198"/>
      <c r="T50" s="198"/>
      <c r="U50" s="198"/>
    </row>
    <row r="51" spans="1:21" s="12" customFormat="1" x14ac:dyDescent="0.25">
      <c r="A51" s="214" t="s">
        <v>3075</v>
      </c>
      <c r="B51" s="64">
        <v>101.51</v>
      </c>
      <c r="C51" s="64">
        <v>76.8</v>
      </c>
      <c r="D51" s="64">
        <v>124.43</v>
      </c>
      <c r="E51" s="64">
        <v>0.42</v>
      </c>
      <c r="F51" s="64">
        <v>3.01</v>
      </c>
      <c r="G51" s="64">
        <v>188.55</v>
      </c>
      <c r="H51" s="64">
        <v>121.44</v>
      </c>
      <c r="I51" s="64">
        <v>1.54</v>
      </c>
      <c r="J51" s="64">
        <v>1.19</v>
      </c>
      <c r="K51" s="64">
        <v>143.19</v>
      </c>
      <c r="L51" s="64">
        <v>22.22</v>
      </c>
      <c r="M51" s="64">
        <v>56.5</v>
      </c>
      <c r="N51" s="64">
        <v>441.9</v>
      </c>
      <c r="O51" s="64">
        <v>0</v>
      </c>
      <c r="P51" s="64">
        <v>1.53</v>
      </c>
      <c r="Q51" s="64">
        <v>14.08</v>
      </c>
      <c r="R51" s="198"/>
      <c r="S51" s="198"/>
      <c r="T51" s="198"/>
      <c r="U51" s="198"/>
    </row>
    <row r="52" spans="1:21" s="12" customFormat="1" x14ac:dyDescent="0.25">
      <c r="A52" s="214" t="s">
        <v>3076</v>
      </c>
      <c r="B52" s="64">
        <v>88.57</v>
      </c>
      <c r="C52" s="64">
        <v>80.52</v>
      </c>
      <c r="D52" s="64">
        <v>116.11</v>
      </c>
      <c r="E52" s="64">
        <v>0.36</v>
      </c>
      <c r="F52" s="64">
        <v>3.09</v>
      </c>
      <c r="G52" s="64">
        <v>121.35</v>
      </c>
      <c r="H52" s="64">
        <v>80</v>
      </c>
      <c r="I52" s="64">
        <v>1.49</v>
      </c>
      <c r="J52" s="64">
        <v>0.72</v>
      </c>
      <c r="K52" s="64">
        <v>136.47</v>
      </c>
      <c r="L52" s="64">
        <v>22.47</v>
      </c>
      <c r="M52" s="64">
        <v>56.85</v>
      </c>
      <c r="N52" s="64">
        <v>449.8</v>
      </c>
      <c r="O52" s="64">
        <v>0</v>
      </c>
      <c r="P52" s="64">
        <v>1.45</v>
      </c>
      <c r="Q52" s="64">
        <v>13.25</v>
      </c>
      <c r="R52" s="198"/>
      <c r="S52" s="198"/>
      <c r="T52" s="198"/>
      <c r="U52" s="198"/>
    </row>
    <row r="53" spans="1:21" s="12" customFormat="1" x14ac:dyDescent="0.25">
      <c r="A53" s="214" t="s">
        <v>3077</v>
      </c>
      <c r="B53" s="64">
        <v>78</v>
      </c>
      <c r="C53" s="64">
        <v>83.54</v>
      </c>
      <c r="D53" s="64">
        <v>109.3</v>
      </c>
      <c r="E53" s="64">
        <v>0.34</v>
      </c>
      <c r="F53" s="64">
        <v>3.42</v>
      </c>
      <c r="G53" s="64">
        <v>100.9</v>
      </c>
      <c r="H53" s="64">
        <v>80</v>
      </c>
      <c r="I53" s="64">
        <v>1.41</v>
      </c>
      <c r="J53" s="64">
        <v>0.57999999999999996</v>
      </c>
      <c r="K53" s="64">
        <v>142.71</v>
      </c>
      <c r="L53" s="64">
        <v>23.66</v>
      </c>
      <c r="M53" s="64">
        <v>52.02</v>
      </c>
      <c r="N53" s="64">
        <v>467.1</v>
      </c>
      <c r="O53" s="64">
        <v>0</v>
      </c>
      <c r="P53" s="64">
        <v>1.38</v>
      </c>
      <c r="Q53" s="64">
        <v>12.54</v>
      </c>
      <c r="R53" s="198"/>
      <c r="S53" s="198"/>
      <c r="T53" s="198"/>
      <c r="U53" s="198"/>
    </row>
    <row r="54" spans="1:21" s="12" customFormat="1" x14ac:dyDescent="0.25">
      <c r="A54" s="214" t="s">
        <v>3078</v>
      </c>
      <c r="B54" s="64">
        <v>69.16</v>
      </c>
      <c r="C54" s="64">
        <v>85.33</v>
      </c>
      <c r="D54" s="64">
        <v>103.2</v>
      </c>
      <c r="E54" s="64">
        <v>0.32</v>
      </c>
      <c r="F54" s="64">
        <v>3.42</v>
      </c>
      <c r="G54" s="64">
        <v>100.9</v>
      </c>
      <c r="H54" s="64">
        <v>80</v>
      </c>
      <c r="I54" s="64">
        <v>1.48</v>
      </c>
      <c r="J54" s="64">
        <v>0.08</v>
      </c>
      <c r="K54" s="64">
        <v>141.12</v>
      </c>
      <c r="L54" s="64">
        <v>24.3</v>
      </c>
      <c r="M54" s="64">
        <v>48.74</v>
      </c>
      <c r="N54" s="64">
        <v>477.8</v>
      </c>
      <c r="O54" s="64">
        <v>0</v>
      </c>
      <c r="P54" s="64">
        <v>1.3</v>
      </c>
      <c r="Q54" s="64">
        <v>11.86</v>
      </c>
      <c r="R54" s="198"/>
      <c r="S54" s="198"/>
      <c r="T54" s="198"/>
      <c r="U54" s="198"/>
    </row>
    <row r="55" spans="1:21" s="12" customFormat="1" x14ac:dyDescent="0.25">
      <c r="A55" s="214" t="s">
        <v>3079</v>
      </c>
      <c r="B55" s="64">
        <v>59.5</v>
      </c>
      <c r="C55" s="64">
        <v>88.02</v>
      </c>
      <c r="D55" s="64">
        <v>96.94</v>
      </c>
      <c r="E55" s="64">
        <v>0.33</v>
      </c>
      <c r="F55" s="64">
        <v>3.36</v>
      </c>
      <c r="G55" s="64">
        <v>100.9</v>
      </c>
      <c r="H55" s="64">
        <v>80</v>
      </c>
      <c r="I55" s="64">
        <v>1.48</v>
      </c>
      <c r="J55" s="64">
        <v>0.21</v>
      </c>
      <c r="K55" s="64">
        <v>121.94</v>
      </c>
      <c r="L55" s="64">
        <v>24.63</v>
      </c>
      <c r="M55" s="64">
        <v>45.2</v>
      </c>
      <c r="N55" s="64">
        <v>476.4</v>
      </c>
      <c r="O55" s="64">
        <v>0</v>
      </c>
      <c r="P55" s="64">
        <v>1.24</v>
      </c>
      <c r="Q55" s="64">
        <v>11.23</v>
      </c>
      <c r="R55" s="198"/>
      <c r="S55" s="198"/>
      <c r="T55" s="198"/>
      <c r="U55" s="198"/>
    </row>
    <row r="56" spans="1:21" s="12" customFormat="1" x14ac:dyDescent="0.25">
      <c r="A56" s="214" t="s">
        <v>3080</v>
      </c>
      <c r="B56" s="64">
        <v>51.95</v>
      </c>
      <c r="C56" s="64">
        <v>89.13</v>
      </c>
      <c r="D56" s="64">
        <v>91.49</v>
      </c>
      <c r="E56" s="64">
        <v>0.21</v>
      </c>
      <c r="F56" s="64">
        <v>3.22</v>
      </c>
      <c r="G56" s="64">
        <v>60.16</v>
      </c>
      <c r="H56" s="64">
        <v>56.63</v>
      </c>
      <c r="I56" s="64">
        <v>1.52</v>
      </c>
      <c r="J56" s="64">
        <v>0.49</v>
      </c>
      <c r="K56" s="64">
        <v>75.760000000000005</v>
      </c>
      <c r="L56" s="64">
        <v>25.48</v>
      </c>
      <c r="M56" s="64">
        <v>43.87</v>
      </c>
      <c r="N56" s="64">
        <v>482.1</v>
      </c>
      <c r="O56" s="64">
        <v>0</v>
      </c>
      <c r="P56" s="64">
        <v>1.19</v>
      </c>
      <c r="Q56" s="64">
        <v>10.67</v>
      </c>
      <c r="R56" s="198"/>
      <c r="S56" s="198"/>
      <c r="T56" s="198"/>
      <c r="U56" s="198"/>
    </row>
    <row r="57" spans="1:21" s="12" customFormat="1" x14ac:dyDescent="0.25">
      <c r="A57" s="214" t="s">
        <v>3081</v>
      </c>
      <c r="B57" s="64">
        <v>45.13</v>
      </c>
      <c r="C57" s="64">
        <v>89.79</v>
      </c>
      <c r="D57" s="64">
        <v>86.39</v>
      </c>
      <c r="E57" s="64">
        <v>0.23</v>
      </c>
      <c r="F57" s="64">
        <v>3.52</v>
      </c>
      <c r="G57" s="64">
        <v>47.76</v>
      </c>
      <c r="H57" s="64">
        <v>56.63</v>
      </c>
      <c r="I57" s="64">
        <v>1.51</v>
      </c>
      <c r="J57" s="64">
        <v>0.17</v>
      </c>
      <c r="K57" s="64">
        <v>25.91</v>
      </c>
      <c r="L57" s="64">
        <v>25.02</v>
      </c>
      <c r="M57" s="64">
        <v>44.33</v>
      </c>
      <c r="N57" s="64">
        <v>489.8</v>
      </c>
      <c r="O57" s="64">
        <v>0</v>
      </c>
      <c r="P57" s="64">
        <v>1.1399999999999999</v>
      </c>
      <c r="Q57" s="64">
        <v>10.16</v>
      </c>
      <c r="R57" s="198"/>
      <c r="S57" s="198"/>
      <c r="T57" s="198"/>
      <c r="U57" s="198"/>
    </row>
    <row r="58" spans="1:21" s="12" customFormat="1" x14ac:dyDescent="0.25">
      <c r="A58" s="214" t="s">
        <v>3082</v>
      </c>
      <c r="B58" s="64">
        <v>38.130000000000003</v>
      </c>
      <c r="C58" s="64">
        <v>91.14</v>
      </c>
      <c r="D58" s="64">
        <v>81.52</v>
      </c>
      <c r="E58" s="64">
        <v>0.27</v>
      </c>
      <c r="F58" s="64">
        <v>3.47</v>
      </c>
      <c r="G58" s="64">
        <v>47.76</v>
      </c>
      <c r="H58" s="64">
        <v>56.63</v>
      </c>
      <c r="I58" s="64">
        <v>1.44</v>
      </c>
      <c r="J58" s="64">
        <v>1.0900000000000001</v>
      </c>
      <c r="K58" s="64">
        <v>113.83</v>
      </c>
      <c r="L58" s="64">
        <v>23.58</v>
      </c>
      <c r="M58" s="64">
        <v>48.74</v>
      </c>
      <c r="N58" s="64">
        <v>500.4</v>
      </c>
      <c r="O58" s="64">
        <v>0</v>
      </c>
      <c r="P58" s="64">
        <v>1.1000000000000001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4" t="s">
        <v>3083</v>
      </c>
      <c r="B59" s="64">
        <v>31.18</v>
      </c>
      <c r="C59" s="64">
        <v>91.47</v>
      </c>
      <c r="D59" s="64">
        <v>76.13</v>
      </c>
      <c r="E59" s="64">
        <v>0.16</v>
      </c>
      <c r="F59" s="64">
        <v>3.49</v>
      </c>
      <c r="G59" s="64">
        <v>47.76</v>
      </c>
      <c r="H59" s="64">
        <v>56.63</v>
      </c>
      <c r="I59" s="64">
        <v>1.52</v>
      </c>
      <c r="J59" s="64">
        <v>0.59</v>
      </c>
      <c r="K59" s="64">
        <v>113.06</v>
      </c>
      <c r="L59" s="64">
        <v>24.4</v>
      </c>
      <c r="M59" s="64">
        <v>46.56</v>
      </c>
      <c r="N59" s="64">
        <v>488.7</v>
      </c>
      <c r="O59" s="64">
        <v>0</v>
      </c>
      <c r="P59" s="64">
        <v>1.04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4" t="s">
        <v>3084</v>
      </c>
      <c r="B60" s="64">
        <v>25.77</v>
      </c>
      <c r="C60" s="64">
        <v>91.72</v>
      </c>
      <c r="D60" s="64">
        <v>71.930000000000007</v>
      </c>
      <c r="E60" s="64">
        <v>0.22</v>
      </c>
      <c r="F60" s="64">
        <v>3.32</v>
      </c>
      <c r="G60" s="64">
        <v>68.44</v>
      </c>
      <c r="H60" s="64">
        <v>37.770000000000003</v>
      </c>
      <c r="I60" s="64">
        <v>1.48</v>
      </c>
      <c r="J60" s="64">
        <v>0.35</v>
      </c>
      <c r="K60" s="64">
        <v>112.2</v>
      </c>
      <c r="L60" s="64">
        <v>25.03</v>
      </c>
      <c r="M60" s="64">
        <v>43.02</v>
      </c>
      <c r="N60" s="64">
        <v>497.2</v>
      </c>
      <c r="O60" s="64">
        <v>0</v>
      </c>
      <c r="P60" s="64">
        <v>1</v>
      </c>
      <c r="Q60" s="64">
        <v>8.7899999999999991</v>
      </c>
      <c r="R60" s="198"/>
      <c r="S60" s="198"/>
      <c r="T60" s="198"/>
      <c r="U60" s="198"/>
    </row>
    <row r="61" spans="1:21" s="12" customFormat="1" x14ac:dyDescent="0.25">
      <c r="A61" s="214" t="s">
        <v>3085</v>
      </c>
      <c r="B61" s="64">
        <v>20.92</v>
      </c>
      <c r="C61" s="64">
        <v>91.87</v>
      </c>
      <c r="D61" s="64">
        <v>68.12</v>
      </c>
      <c r="E61" s="64">
        <v>0.12</v>
      </c>
      <c r="F61" s="64">
        <v>3.69</v>
      </c>
      <c r="G61" s="64">
        <v>74.73</v>
      </c>
      <c r="H61" s="64">
        <v>37.770000000000003</v>
      </c>
      <c r="I61" s="64">
        <v>1.61</v>
      </c>
      <c r="J61" s="64">
        <v>0.18</v>
      </c>
      <c r="K61" s="64">
        <v>130.49</v>
      </c>
      <c r="L61" s="64">
        <v>24.68</v>
      </c>
      <c r="M61" s="64">
        <v>41.96</v>
      </c>
      <c r="N61" s="64">
        <v>457.2</v>
      </c>
      <c r="O61" s="64">
        <v>0</v>
      </c>
      <c r="P61" s="64">
        <v>0.98</v>
      </c>
      <c r="Q61" s="64">
        <v>8.4600000000000009</v>
      </c>
      <c r="R61" s="198"/>
      <c r="S61" s="198"/>
      <c r="T61" s="198"/>
      <c r="U61" s="198"/>
    </row>
    <row r="62" spans="1:21" s="12" customFormat="1" x14ac:dyDescent="0.25">
      <c r="A62" s="214" t="s">
        <v>3086</v>
      </c>
      <c r="B62" s="64">
        <v>16.23</v>
      </c>
      <c r="C62" s="64">
        <v>92.22</v>
      </c>
      <c r="D62" s="64">
        <v>64.56</v>
      </c>
      <c r="E62" s="64">
        <v>0.14000000000000001</v>
      </c>
      <c r="F62" s="64">
        <v>3.79</v>
      </c>
      <c r="G62" s="64">
        <v>74.73</v>
      </c>
      <c r="H62" s="64">
        <v>37.770000000000003</v>
      </c>
      <c r="I62" s="64">
        <v>1.48</v>
      </c>
      <c r="J62" s="64">
        <v>0.46</v>
      </c>
      <c r="K62" s="64">
        <v>338.51</v>
      </c>
      <c r="L62" s="64">
        <v>25.75</v>
      </c>
      <c r="M62" s="64">
        <v>40.86</v>
      </c>
      <c r="N62" s="64">
        <v>433.7</v>
      </c>
      <c r="O62" s="64">
        <v>0</v>
      </c>
      <c r="P62" s="64">
        <v>1</v>
      </c>
      <c r="Q62" s="64">
        <v>8.07</v>
      </c>
      <c r="R62" s="198"/>
      <c r="S62" s="198"/>
      <c r="T62" s="198"/>
      <c r="U62" s="198"/>
    </row>
    <row r="63" spans="1:21" s="12" customFormat="1" x14ac:dyDescent="0.25">
      <c r="A63" s="214" t="s">
        <v>3087</v>
      </c>
      <c r="B63" s="64">
        <v>13.79</v>
      </c>
      <c r="C63" s="64">
        <v>92.24</v>
      </c>
      <c r="D63" s="64">
        <v>62.61</v>
      </c>
      <c r="E63" s="64">
        <v>0.24</v>
      </c>
      <c r="F63" s="64">
        <v>3.86</v>
      </c>
      <c r="G63" s="64">
        <v>74.73</v>
      </c>
      <c r="H63" s="64">
        <v>37.770000000000003</v>
      </c>
      <c r="I63" s="64">
        <v>1.43</v>
      </c>
      <c r="J63" s="64">
        <v>0.21</v>
      </c>
      <c r="K63" s="64">
        <v>126.98</v>
      </c>
      <c r="L63" s="64">
        <v>25.79</v>
      </c>
      <c r="M63" s="64">
        <v>40.799999999999997</v>
      </c>
      <c r="N63" s="64">
        <v>414.6</v>
      </c>
      <c r="O63" s="64">
        <v>0</v>
      </c>
      <c r="P63" s="64">
        <v>0.98</v>
      </c>
      <c r="Q63" s="64">
        <v>7.73</v>
      </c>
      <c r="R63" s="198"/>
      <c r="S63" s="198"/>
      <c r="T63" s="198"/>
      <c r="U63" s="198"/>
    </row>
    <row r="64" spans="1:21" s="12" customFormat="1" x14ac:dyDescent="0.25">
      <c r="A64" s="214" t="s">
        <v>3088</v>
      </c>
      <c r="B64" s="64">
        <v>12.31</v>
      </c>
      <c r="C64" s="64">
        <v>90.88</v>
      </c>
      <c r="D64" s="64">
        <v>60.67</v>
      </c>
      <c r="E64" s="64">
        <v>0.13</v>
      </c>
      <c r="F64" s="64">
        <v>3.82</v>
      </c>
      <c r="G64" s="64">
        <v>73.13</v>
      </c>
      <c r="H64" s="64">
        <v>60.43</v>
      </c>
      <c r="I64" s="64">
        <v>1.54</v>
      </c>
      <c r="J64" s="64">
        <v>0.13</v>
      </c>
      <c r="K64" s="64">
        <v>329.7</v>
      </c>
      <c r="L64" s="64">
        <v>26.06</v>
      </c>
      <c r="M64" s="64">
        <v>39.14</v>
      </c>
      <c r="N64" s="64">
        <v>260.2</v>
      </c>
      <c r="O64" s="64">
        <v>0</v>
      </c>
      <c r="P64" s="64">
        <v>0.96</v>
      </c>
      <c r="Q64" s="64">
        <v>7.52</v>
      </c>
      <c r="R64" s="198"/>
      <c r="S64" s="198"/>
      <c r="T64" s="198"/>
      <c r="U64" s="198"/>
    </row>
    <row r="65" spans="1:21" s="12" customFormat="1" x14ac:dyDescent="0.25">
      <c r="A65" s="214" t="s">
        <v>3089</v>
      </c>
      <c r="B65" s="64">
        <v>10.72</v>
      </c>
      <c r="C65" s="64">
        <v>89.76</v>
      </c>
      <c r="D65" s="64">
        <v>58.78</v>
      </c>
      <c r="E65" s="64">
        <v>0.13</v>
      </c>
      <c r="F65" s="64">
        <v>3.81</v>
      </c>
      <c r="G65" s="64">
        <v>72.64</v>
      </c>
      <c r="H65" s="64">
        <v>60.43</v>
      </c>
      <c r="I65" s="64">
        <v>1.53</v>
      </c>
      <c r="J65" s="64">
        <v>0.93</v>
      </c>
      <c r="K65" s="64">
        <v>127.35</v>
      </c>
      <c r="L65" s="64">
        <v>24.36</v>
      </c>
      <c r="M65" s="64">
        <v>41.8</v>
      </c>
      <c r="N65" s="64">
        <v>224.6</v>
      </c>
      <c r="O65" s="64">
        <v>0</v>
      </c>
      <c r="P65" s="64">
        <v>0.93</v>
      </c>
      <c r="Q65" s="64">
        <v>7.43</v>
      </c>
      <c r="R65" s="198"/>
      <c r="S65" s="198"/>
      <c r="T65" s="198"/>
      <c r="U65" s="198"/>
    </row>
    <row r="66" spans="1:21" s="12" customFormat="1" x14ac:dyDescent="0.25">
      <c r="A66" s="214" t="s">
        <v>3090</v>
      </c>
      <c r="B66" s="64">
        <v>9.5399999999999991</v>
      </c>
      <c r="C66" s="64">
        <v>87.76</v>
      </c>
      <c r="D66" s="64">
        <v>56.72</v>
      </c>
      <c r="E66" s="64">
        <v>0.11</v>
      </c>
      <c r="F66" s="64">
        <v>3.81</v>
      </c>
      <c r="G66" s="64">
        <v>72.64</v>
      </c>
      <c r="H66" s="64">
        <v>60.43</v>
      </c>
      <c r="I66" s="64">
        <v>1.5</v>
      </c>
      <c r="J66" s="64">
        <v>1.06</v>
      </c>
      <c r="K66" s="64">
        <v>104.35</v>
      </c>
      <c r="L66" s="64">
        <v>23.73</v>
      </c>
      <c r="M66" s="64">
        <v>43.61</v>
      </c>
      <c r="N66" s="64">
        <v>205.2</v>
      </c>
      <c r="O66" s="64">
        <v>0</v>
      </c>
      <c r="P66" s="64">
        <v>0.9</v>
      </c>
      <c r="Q66" s="64">
        <v>7.34</v>
      </c>
      <c r="R66" s="198"/>
      <c r="S66" s="198"/>
      <c r="T66" s="198"/>
      <c r="U66" s="198"/>
    </row>
    <row r="67" spans="1:21" s="12" customFormat="1" x14ac:dyDescent="0.25">
      <c r="A67" s="214" t="s">
        <v>3091</v>
      </c>
      <c r="B67" s="64">
        <v>9.09</v>
      </c>
      <c r="C67" s="64">
        <v>85.16</v>
      </c>
      <c r="D67" s="64">
        <v>54.94</v>
      </c>
      <c r="E67" s="64">
        <v>0.12</v>
      </c>
      <c r="F67" s="64">
        <v>3.8</v>
      </c>
      <c r="G67" s="64">
        <v>72.64</v>
      </c>
      <c r="H67" s="64">
        <v>60.43</v>
      </c>
      <c r="I67" s="64">
        <v>1.5</v>
      </c>
      <c r="J67" s="64">
        <v>0.24</v>
      </c>
      <c r="K67" s="64">
        <v>102.17</v>
      </c>
      <c r="L67" s="64">
        <v>24.02</v>
      </c>
      <c r="M67" s="64">
        <v>43.43</v>
      </c>
      <c r="N67" s="64">
        <v>192.1</v>
      </c>
      <c r="O67" s="64">
        <v>0</v>
      </c>
      <c r="P67" s="64">
        <v>0.88</v>
      </c>
      <c r="Q67" s="64">
        <v>7.19</v>
      </c>
      <c r="R67" s="198"/>
      <c r="S67" s="198"/>
      <c r="T67" s="198"/>
      <c r="U67" s="198"/>
    </row>
    <row r="68" spans="1:21" s="12" customFormat="1" x14ac:dyDescent="0.25">
      <c r="A68" s="214" t="s">
        <v>3092</v>
      </c>
      <c r="B68" s="64">
        <v>8.8699999999999992</v>
      </c>
      <c r="C68" s="64">
        <v>83.79</v>
      </c>
      <c r="D68" s="64">
        <v>54</v>
      </c>
      <c r="E68" s="64">
        <v>0.14000000000000001</v>
      </c>
      <c r="F68" s="64">
        <v>3.85</v>
      </c>
      <c r="G68" s="64">
        <v>76.900000000000006</v>
      </c>
      <c r="H68" s="64">
        <v>50.04</v>
      </c>
      <c r="I68" s="64">
        <v>1.45</v>
      </c>
      <c r="J68" s="64">
        <v>0.62</v>
      </c>
      <c r="K68" s="64">
        <v>340.76</v>
      </c>
      <c r="L68" s="64">
        <v>24.7</v>
      </c>
      <c r="M68" s="64">
        <v>42.41</v>
      </c>
      <c r="N68" s="64">
        <v>179.3</v>
      </c>
      <c r="O68" s="64">
        <v>0</v>
      </c>
      <c r="P68" s="64">
        <v>0.86</v>
      </c>
      <c r="Q68" s="64">
        <v>7.11</v>
      </c>
      <c r="R68" s="198"/>
      <c r="S68" s="198"/>
      <c r="T68" s="198"/>
      <c r="U68" s="198"/>
    </row>
    <row r="69" spans="1:21" s="12" customFormat="1" x14ac:dyDescent="0.25">
      <c r="A69" s="214" t="s">
        <v>3093</v>
      </c>
      <c r="B69" s="64">
        <v>8.77</v>
      </c>
      <c r="C69" s="64">
        <v>83.78</v>
      </c>
      <c r="D69" s="64">
        <v>53.91</v>
      </c>
      <c r="E69" s="64">
        <v>0.1</v>
      </c>
      <c r="F69" s="64">
        <v>3.98</v>
      </c>
      <c r="G69" s="64">
        <v>78.2</v>
      </c>
      <c r="H69" s="64">
        <v>50.04</v>
      </c>
      <c r="I69" s="64">
        <v>1.44</v>
      </c>
      <c r="J69" s="64">
        <v>0.62</v>
      </c>
      <c r="K69" s="64">
        <v>340.57</v>
      </c>
      <c r="L69" s="64">
        <v>25.18</v>
      </c>
      <c r="M69" s="64">
        <v>42.02</v>
      </c>
      <c r="N69" s="64">
        <v>157.6</v>
      </c>
      <c r="O69" s="64">
        <v>0</v>
      </c>
      <c r="P69" s="64">
        <v>0.88</v>
      </c>
      <c r="Q69" s="64">
        <v>7.06</v>
      </c>
      <c r="R69" s="198"/>
      <c r="S69" s="198"/>
      <c r="T69" s="198"/>
      <c r="U69" s="198"/>
    </row>
    <row r="70" spans="1:21" s="12" customFormat="1" x14ac:dyDescent="0.25">
      <c r="A70" s="214" t="s">
        <v>3094</v>
      </c>
      <c r="B70" s="64">
        <v>8.83</v>
      </c>
      <c r="C70" s="64">
        <v>84.16</v>
      </c>
      <c r="D70" s="64">
        <v>54.17</v>
      </c>
      <c r="E70" s="64">
        <v>7.0000000000000007E-2</v>
      </c>
      <c r="F70" s="64">
        <v>3.83</v>
      </c>
      <c r="G70" s="64">
        <v>78.2</v>
      </c>
      <c r="H70" s="64">
        <v>50.04</v>
      </c>
      <c r="I70" s="64">
        <v>1.48</v>
      </c>
      <c r="J70" s="64">
        <v>0.96</v>
      </c>
      <c r="K70" s="64">
        <v>338.38</v>
      </c>
      <c r="L70" s="64">
        <v>25.12</v>
      </c>
      <c r="M70" s="64">
        <v>41.3</v>
      </c>
      <c r="N70" s="64">
        <v>143.19999999999999</v>
      </c>
      <c r="O70" s="64">
        <v>0</v>
      </c>
      <c r="P70" s="64">
        <v>0.88</v>
      </c>
      <c r="Q70" s="64">
        <v>7.11</v>
      </c>
      <c r="R70" s="198"/>
      <c r="S70" s="198"/>
      <c r="T70" s="198"/>
      <c r="U70" s="198"/>
    </row>
    <row r="71" spans="1:21" s="12" customFormat="1" x14ac:dyDescent="0.25">
      <c r="A71" s="214" t="s">
        <v>3095</v>
      </c>
      <c r="B71" s="64">
        <v>8.66</v>
      </c>
      <c r="C71" s="64">
        <v>84.82</v>
      </c>
      <c r="D71" s="64">
        <v>54.4</v>
      </c>
      <c r="E71" s="64">
        <v>0.08</v>
      </c>
      <c r="F71" s="64">
        <v>3.84</v>
      </c>
      <c r="G71" s="64">
        <v>78.2</v>
      </c>
      <c r="H71" s="64">
        <v>50.04</v>
      </c>
      <c r="I71" s="64">
        <v>1.43</v>
      </c>
      <c r="J71" s="64">
        <v>0.85</v>
      </c>
      <c r="K71" s="64">
        <v>333.6</v>
      </c>
      <c r="L71" s="64">
        <v>24.77</v>
      </c>
      <c r="M71" s="64">
        <v>41.79</v>
      </c>
      <c r="N71" s="64">
        <v>131.9</v>
      </c>
      <c r="O71" s="64">
        <v>0</v>
      </c>
      <c r="P71" s="64">
        <v>0.88</v>
      </c>
      <c r="Q71" s="64">
        <v>7.15</v>
      </c>
      <c r="R71" s="198"/>
      <c r="S71" s="198"/>
      <c r="T71" s="198"/>
      <c r="U71" s="198"/>
    </row>
    <row r="72" spans="1:21" s="12" customFormat="1" x14ac:dyDescent="0.25">
      <c r="A72" s="214" t="s">
        <v>3096</v>
      </c>
      <c r="B72" s="64">
        <v>8.66</v>
      </c>
      <c r="C72" s="64">
        <v>85.15</v>
      </c>
      <c r="D72" s="64">
        <v>54.58</v>
      </c>
      <c r="E72" s="64">
        <v>0.06</v>
      </c>
      <c r="F72" s="64">
        <v>3.45</v>
      </c>
      <c r="G72" s="64">
        <v>92.93</v>
      </c>
      <c r="H72" s="64">
        <v>59.83</v>
      </c>
      <c r="I72" s="64">
        <v>1.47</v>
      </c>
      <c r="J72" s="64">
        <v>0.6</v>
      </c>
      <c r="K72" s="64">
        <v>339.35</v>
      </c>
      <c r="L72" s="64">
        <v>24.52</v>
      </c>
      <c r="M72" s="64">
        <v>42.1</v>
      </c>
      <c r="N72" s="64">
        <v>125.2</v>
      </c>
      <c r="O72" s="64">
        <v>0</v>
      </c>
      <c r="P72" s="64">
        <v>0.89</v>
      </c>
      <c r="Q72" s="64">
        <v>7.14</v>
      </c>
      <c r="R72" s="198"/>
      <c r="S72" s="198"/>
      <c r="T72" s="198"/>
      <c r="U72" s="198"/>
    </row>
    <row r="73" spans="1:21" s="12" customFormat="1" x14ac:dyDescent="0.25">
      <c r="A73" s="214" t="s">
        <v>3097</v>
      </c>
      <c r="B73" s="64">
        <v>8.91</v>
      </c>
      <c r="C73" s="64">
        <v>85.46</v>
      </c>
      <c r="D73" s="64">
        <v>54.95</v>
      </c>
      <c r="E73" s="64">
        <v>0.14000000000000001</v>
      </c>
      <c r="F73" s="64">
        <v>3.55</v>
      </c>
      <c r="G73" s="64">
        <v>97.41</v>
      </c>
      <c r="H73" s="64">
        <v>59.83</v>
      </c>
      <c r="I73" s="64">
        <v>1.47</v>
      </c>
      <c r="J73" s="64">
        <v>0.75</v>
      </c>
      <c r="K73" s="64">
        <v>333.16</v>
      </c>
      <c r="L73" s="64">
        <v>24.13</v>
      </c>
      <c r="M73" s="64">
        <v>43.36</v>
      </c>
      <c r="N73" s="64">
        <v>117.2</v>
      </c>
      <c r="O73" s="64">
        <v>0</v>
      </c>
      <c r="P73" s="64">
        <v>0.9</v>
      </c>
      <c r="Q73" s="64">
        <v>7.18</v>
      </c>
      <c r="R73" s="198"/>
      <c r="S73" s="198"/>
      <c r="T73" s="198"/>
      <c r="U73" s="198"/>
    </row>
    <row r="74" spans="1:21" s="12" customFormat="1" x14ac:dyDescent="0.25">
      <c r="A74" s="214" t="s">
        <v>3098</v>
      </c>
      <c r="B74" s="64">
        <v>9.0399999999999991</v>
      </c>
      <c r="C74" s="64">
        <v>86.25</v>
      </c>
      <c r="D74" s="64">
        <v>55.49</v>
      </c>
      <c r="E74" s="64">
        <v>0.19</v>
      </c>
      <c r="F74" s="64">
        <v>3.58</v>
      </c>
      <c r="G74" s="64">
        <v>97.41</v>
      </c>
      <c r="H74" s="64">
        <v>59.83</v>
      </c>
      <c r="I74" s="64">
        <v>1.46</v>
      </c>
      <c r="J74" s="64">
        <v>0.72</v>
      </c>
      <c r="K74" s="64">
        <v>338.22</v>
      </c>
      <c r="L74" s="64">
        <v>23.65</v>
      </c>
      <c r="M74" s="64">
        <v>47.49</v>
      </c>
      <c r="N74" s="64">
        <v>101.3</v>
      </c>
      <c r="O74" s="64">
        <v>0</v>
      </c>
      <c r="P74" s="64">
        <v>0.92</v>
      </c>
      <c r="Q74" s="64">
        <v>7.26</v>
      </c>
      <c r="R74" s="198"/>
      <c r="S74" s="198"/>
      <c r="T74" s="198"/>
      <c r="U74" s="198"/>
    </row>
    <row r="75" spans="1:21" s="12" customFormat="1" x14ac:dyDescent="0.25">
      <c r="A75" s="214" t="s">
        <v>3099</v>
      </c>
      <c r="B75" s="64">
        <v>9.18</v>
      </c>
      <c r="C75" s="64">
        <v>87.36</v>
      </c>
      <c r="D75" s="64">
        <v>56.22</v>
      </c>
      <c r="E75" s="64">
        <v>0.15</v>
      </c>
      <c r="F75" s="64">
        <v>3.86</v>
      </c>
      <c r="G75" s="64">
        <v>97.41</v>
      </c>
      <c r="H75" s="64">
        <v>59.83</v>
      </c>
      <c r="I75" s="64">
        <v>1.49</v>
      </c>
      <c r="J75" s="64">
        <v>0.25</v>
      </c>
      <c r="K75" s="64">
        <v>347.37</v>
      </c>
      <c r="L75" s="64">
        <v>23.09</v>
      </c>
      <c r="M75" s="64">
        <v>49.7</v>
      </c>
      <c r="N75" s="64">
        <v>91.9</v>
      </c>
      <c r="O75" s="64">
        <v>0</v>
      </c>
      <c r="P75" s="64">
        <v>0.98</v>
      </c>
      <c r="Q75" s="64">
        <v>7.29</v>
      </c>
      <c r="R75" s="198"/>
      <c r="S75" s="198"/>
      <c r="T75" s="198"/>
      <c r="U75" s="198"/>
    </row>
    <row r="76" spans="1:21" s="12" customFormat="1" x14ac:dyDescent="0.25">
      <c r="A76" s="214" t="s">
        <v>3100</v>
      </c>
      <c r="B76" s="64">
        <v>9.2799999999999994</v>
      </c>
      <c r="C76" s="64">
        <v>87.27</v>
      </c>
      <c r="D76" s="64">
        <v>56.25</v>
      </c>
      <c r="E76" s="64">
        <v>0.12</v>
      </c>
      <c r="F76" s="64">
        <v>3.94</v>
      </c>
      <c r="G76" s="64">
        <v>120.74</v>
      </c>
      <c r="H76" s="64">
        <v>59.08</v>
      </c>
      <c r="I76" s="64">
        <v>1.54</v>
      </c>
      <c r="J76" s="64">
        <v>0.08</v>
      </c>
      <c r="K76" s="64">
        <v>66.14</v>
      </c>
      <c r="L76" s="64">
        <v>22.31</v>
      </c>
      <c r="M76" s="64">
        <v>52.18</v>
      </c>
      <c r="N76" s="64">
        <v>82.3</v>
      </c>
      <c r="O76" s="64">
        <v>0</v>
      </c>
      <c r="P76" s="64">
        <v>1.02</v>
      </c>
      <c r="Q76" s="64">
        <v>7.41</v>
      </c>
      <c r="R76" s="198"/>
      <c r="S76" s="198"/>
      <c r="T76" s="198"/>
      <c r="U76" s="198"/>
    </row>
    <row r="77" spans="1:21" s="12" customFormat="1" x14ac:dyDescent="0.25">
      <c r="A77" s="214" t="s">
        <v>3101</v>
      </c>
      <c r="B77" s="64">
        <v>8.92</v>
      </c>
      <c r="C77" s="64">
        <v>89.57</v>
      </c>
      <c r="D77" s="64">
        <v>57.24</v>
      </c>
      <c r="E77" s="64">
        <v>0.2</v>
      </c>
      <c r="F77" s="64">
        <v>3.89</v>
      </c>
      <c r="G77" s="64">
        <v>127.85</v>
      </c>
      <c r="H77" s="64">
        <v>59.08</v>
      </c>
      <c r="I77" s="64">
        <v>1.5</v>
      </c>
      <c r="J77" s="64">
        <v>0.19</v>
      </c>
      <c r="K77" s="64">
        <v>75.62</v>
      </c>
      <c r="L77" s="64">
        <v>21.74</v>
      </c>
      <c r="M77" s="64">
        <v>54.68</v>
      </c>
      <c r="N77" s="64">
        <v>72.900000000000006</v>
      </c>
      <c r="O77" s="64">
        <v>0</v>
      </c>
      <c r="P77" s="64">
        <v>1.01</v>
      </c>
      <c r="Q77" s="64">
        <v>7.43</v>
      </c>
      <c r="R77" s="198"/>
      <c r="S77" s="198"/>
      <c r="T77" s="198"/>
      <c r="U77" s="198"/>
    </row>
    <row r="78" spans="1:21" s="12" customFormat="1" x14ac:dyDescent="0.25">
      <c r="A78" s="214" t="s">
        <v>3102</v>
      </c>
      <c r="B78" s="64">
        <v>8.33</v>
      </c>
      <c r="C78" s="64">
        <v>91.03</v>
      </c>
      <c r="D78" s="64">
        <v>57.56</v>
      </c>
      <c r="E78" s="64">
        <v>0.19</v>
      </c>
      <c r="F78" s="64">
        <v>3.79</v>
      </c>
      <c r="G78" s="64">
        <v>127.85</v>
      </c>
      <c r="H78" s="64">
        <v>59.08</v>
      </c>
      <c r="I78" s="64">
        <v>1.45</v>
      </c>
      <c r="J78" s="64">
        <v>0.18</v>
      </c>
      <c r="K78" s="64">
        <v>76.34</v>
      </c>
      <c r="L78" s="64">
        <v>21.21</v>
      </c>
      <c r="M78" s="64">
        <v>57.39</v>
      </c>
      <c r="N78" s="64">
        <v>70</v>
      </c>
      <c r="O78" s="64">
        <v>0</v>
      </c>
      <c r="P78" s="64">
        <v>1.03</v>
      </c>
      <c r="Q78" s="64">
        <v>7.4</v>
      </c>
      <c r="R78" s="198"/>
      <c r="S78" s="198"/>
      <c r="T78" s="198"/>
      <c r="U78" s="198"/>
    </row>
    <row r="79" spans="1:21" s="12" customFormat="1" x14ac:dyDescent="0.25">
      <c r="A79" s="214" t="s">
        <v>3103</v>
      </c>
      <c r="B79" s="64">
        <v>8.7100000000000009</v>
      </c>
      <c r="C79" s="64">
        <v>92.68</v>
      </c>
      <c r="D79" s="64">
        <v>58.78</v>
      </c>
      <c r="E79" s="64">
        <v>0.1</v>
      </c>
      <c r="F79" s="64">
        <v>3.54</v>
      </c>
      <c r="G79" s="64">
        <v>127.85</v>
      </c>
      <c r="H79" s="64">
        <v>59.08</v>
      </c>
      <c r="I79" s="64">
        <v>1.51</v>
      </c>
      <c r="J79" s="64">
        <v>0.08</v>
      </c>
      <c r="K79" s="64">
        <v>73.81</v>
      </c>
      <c r="L79" s="64">
        <v>20.69</v>
      </c>
      <c r="M79" s="64">
        <v>60.36</v>
      </c>
      <c r="N79" s="64">
        <v>61.3</v>
      </c>
      <c r="O79" s="64">
        <v>0</v>
      </c>
      <c r="P79" s="64">
        <v>1.08</v>
      </c>
      <c r="Q79" s="64">
        <v>7.36</v>
      </c>
      <c r="R79" s="198"/>
      <c r="S79" s="198"/>
      <c r="T79" s="198"/>
      <c r="U79" s="198"/>
    </row>
    <row r="80" spans="1:21" s="12" customFormat="1" x14ac:dyDescent="0.25">
      <c r="A80" s="214" t="s">
        <v>3104</v>
      </c>
      <c r="B80" s="64">
        <v>8.77</v>
      </c>
      <c r="C80" s="64">
        <v>92.95</v>
      </c>
      <c r="D80" s="64">
        <v>58.98</v>
      </c>
      <c r="E80" s="64">
        <v>0.13</v>
      </c>
      <c r="F80" s="64">
        <v>3.53</v>
      </c>
      <c r="G80" s="64">
        <v>132.94999999999999</v>
      </c>
      <c r="H80" s="64">
        <v>72.05</v>
      </c>
      <c r="I80" s="64">
        <v>1.53</v>
      </c>
      <c r="J80" s="64">
        <v>7.0000000000000007E-2</v>
      </c>
      <c r="K80" s="64">
        <v>52.5</v>
      </c>
      <c r="L80" s="64">
        <v>20.260000000000002</v>
      </c>
      <c r="M80" s="64">
        <v>62.85</v>
      </c>
      <c r="N80" s="64">
        <v>60.5</v>
      </c>
      <c r="O80" s="64">
        <v>0</v>
      </c>
      <c r="P80" s="64">
        <v>1.1000000000000001</v>
      </c>
      <c r="Q80" s="64">
        <v>7.42</v>
      </c>
      <c r="R80" s="198"/>
      <c r="S80" s="198"/>
      <c r="T80" s="198"/>
      <c r="U80" s="198"/>
    </row>
    <row r="81" spans="1:26" s="12" customFormat="1" x14ac:dyDescent="0.25">
      <c r="A81" s="214" t="s">
        <v>3105</v>
      </c>
      <c r="B81" s="64">
        <v>11.42</v>
      </c>
      <c r="C81" s="64">
        <v>92.82</v>
      </c>
      <c r="D81" s="64">
        <v>61.03</v>
      </c>
      <c r="E81" s="64">
        <v>0.14000000000000001</v>
      </c>
      <c r="F81" s="64">
        <v>3.32</v>
      </c>
      <c r="G81" s="64">
        <v>134.51</v>
      </c>
      <c r="H81" s="64">
        <v>72.05</v>
      </c>
      <c r="I81" s="64">
        <v>1.51</v>
      </c>
      <c r="J81" s="64">
        <v>0.12</v>
      </c>
      <c r="K81" s="64">
        <v>90.62</v>
      </c>
      <c r="L81" s="64">
        <v>20.07</v>
      </c>
      <c r="M81" s="64">
        <v>67.650000000000006</v>
      </c>
      <c r="N81" s="64">
        <v>62.4</v>
      </c>
      <c r="O81" s="64">
        <v>0</v>
      </c>
      <c r="P81" s="64">
        <v>1.23</v>
      </c>
      <c r="Q81" s="64">
        <v>7.45</v>
      </c>
      <c r="R81" s="198"/>
      <c r="S81" s="198"/>
      <c r="T81" s="198"/>
      <c r="U81" s="198"/>
    </row>
    <row r="82" spans="1:26" s="12" customFormat="1" x14ac:dyDescent="0.25">
      <c r="A82" s="214" t="s">
        <v>3106</v>
      </c>
      <c r="B82" s="64">
        <v>14.72</v>
      </c>
      <c r="C82" s="64">
        <v>92.51</v>
      </c>
      <c r="D82" s="64">
        <v>63.51</v>
      </c>
      <c r="E82" s="64">
        <v>0.16</v>
      </c>
      <c r="F82" s="64">
        <v>3.2</v>
      </c>
      <c r="G82" s="64">
        <v>134.51</v>
      </c>
      <c r="H82" s="64">
        <v>72.05</v>
      </c>
      <c r="I82" s="64">
        <v>1.44</v>
      </c>
      <c r="J82" s="64">
        <v>0.13</v>
      </c>
      <c r="K82" s="64">
        <v>78.14</v>
      </c>
      <c r="L82" s="64">
        <v>20.02</v>
      </c>
      <c r="M82" s="64">
        <v>71.650000000000006</v>
      </c>
      <c r="N82" s="64">
        <v>63.2</v>
      </c>
      <c r="O82" s="64">
        <v>0</v>
      </c>
      <c r="P82" s="64">
        <v>1.31</v>
      </c>
      <c r="Q82" s="64">
        <v>7.66</v>
      </c>
      <c r="R82" s="198"/>
      <c r="S82" s="198"/>
      <c r="T82" s="198"/>
      <c r="U82" s="198"/>
    </row>
    <row r="83" spans="1:26" s="12" customFormat="1" x14ac:dyDescent="0.25">
      <c r="A83" s="214" t="s">
        <v>3107</v>
      </c>
      <c r="B83" s="64">
        <v>17.34</v>
      </c>
      <c r="C83" s="64">
        <v>92.11</v>
      </c>
      <c r="D83" s="64">
        <v>65.38</v>
      </c>
      <c r="E83" s="64">
        <v>0.15</v>
      </c>
      <c r="F83" s="64">
        <v>3.29</v>
      </c>
      <c r="G83" s="64">
        <v>134.51</v>
      </c>
      <c r="H83" s="64">
        <v>72.05</v>
      </c>
      <c r="I83" s="64">
        <v>1.49</v>
      </c>
      <c r="J83" s="64">
        <v>0.09</v>
      </c>
      <c r="K83" s="64">
        <v>243.79</v>
      </c>
      <c r="L83" s="64">
        <v>19.36</v>
      </c>
      <c r="M83" s="64">
        <v>71.61</v>
      </c>
      <c r="N83" s="64">
        <v>64</v>
      </c>
      <c r="O83" s="64">
        <v>0</v>
      </c>
      <c r="P83" s="64">
        <v>1.33</v>
      </c>
      <c r="Q83" s="64">
        <v>7.78</v>
      </c>
      <c r="R83" s="198"/>
      <c r="S83" s="198"/>
      <c r="T83" s="198"/>
      <c r="U83" s="198"/>
    </row>
    <row r="84" spans="1:26" s="12" customFormat="1" x14ac:dyDescent="0.25">
      <c r="A84" s="214" t="s">
        <v>3108</v>
      </c>
      <c r="B84" s="64">
        <v>21.56</v>
      </c>
      <c r="C84" s="64">
        <v>89.5</v>
      </c>
      <c r="D84" s="64">
        <v>67.33</v>
      </c>
      <c r="E84" s="64">
        <v>0.13</v>
      </c>
      <c r="F84" s="64">
        <v>3.15</v>
      </c>
      <c r="G84" s="64">
        <v>163.12</v>
      </c>
      <c r="H84" s="64">
        <v>80.7</v>
      </c>
      <c r="I84" s="64">
        <v>1.41</v>
      </c>
      <c r="J84" s="64">
        <v>0.09</v>
      </c>
      <c r="K84" s="64">
        <v>300.8</v>
      </c>
      <c r="L84" s="64">
        <v>18.829999999999998</v>
      </c>
      <c r="M84" s="64">
        <v>75.25</v>
      </c>
      <c r="N84" s="64">
        <v>65.099999999999994</v>
      </c>
      <c r="O84" s="64">
        <v>0</v>
      </c>
      <c r="P84" s="64">
        <v>1.4</v>
      </c>
      <c r="Q84" s="64">
        <v>7.89</v>
      </c>
      <c r="R84" s="198"/>
      <c r="S84" s="198"/>
      <c r="T84" s="198"/>
      <c r="U84" s="198"/>
    </row>
    <row r="85" spans="1:26" s="12" customFormat="1" x14ac:dyDescent="0.25">
      <c r="A85" s="214" t="s">
        <v>3109</v>
      </c>
      <c r="B85" s="64">
        <v>29.5</v>
      </c>
      <c r="C85" s="64">
        <v>84.9</v>
      </c>
      <c r="D85" s="64">
        <v>71.16</v>
      </c>
      <c r="E85" s="64">
        <v>0.18</v>
      </c>
      <c r="F85" s="64">
        <v>3.15</v>
      </c>
      <c r="G85" s="64">
        <v>171.83</v>
      </c>
      <c r="H85" s="64">
        <v>80.7</v>
      </c>
      <c r="I85" s="64">
        <v>1.51</v>
      </c>
      <c r="J85" s="64">
        <v>7.0000000000000007E-2</v>
      </c>
      <c r="K85" s="64">
        <v>303.81</v>
      </c>
      <c r="L85" s="64">
        <v>18.309999999999999</v>
      </c>
      <c r="M85" s="64">
        <v>78.2</v>
      </c>
      <c r="N85" s="64">
        <v>65.7</v>
      </c>
      <c r="O85" s="64">
        <v>0</v>
      </c>
      <c r="P85" s="64">
        <v>1.47</v>
      </c>
      <c r="Q85" s="64">
        <v>8.1300000000000008</v>
      </c>
      <c r="R85" s="198"/>
      <c r="S85" s="198"/>
      <c r="T85" s="198"/>
      <c r="U85" s="198"/>
    </row>
    <row r="86" spans="1:26" s="12" customFormat="1" x14ac:dyDescent="0.25">
      <c r="A86" s="214" t="s">
        <v>3110</v>
      </c>
      <c r="B86" s="64">
        <v>39.24</v>
      </c>
      <c r="C86" s="64">
        <v>79.95</v>
      </c>
      <c r="D86" s="64">
        <v>76.239999999999995</v>
      </c>
      <c r="E86" s="64">
        <v>0.14000000000000001</v>
      </c>
      <c r="F86" s="64">
        <v>3.4</v>
      </c>
      <c r="G86" s="64">
        <v>171.83</v>
      </c>
      <c r="H86" s="64">
        <v>80.7</v>
      </c>
      <c r="I86" s="64">
        <v>1.54</v>
      </c>
      <c r="J86" s="64">
        <v>0.08</v>
      </c>
      <c r="K86" s="64">
        <v>320.83</v>
      </c>
      <c r="L86" s="64">
        <v>18.07</v>
      </c>
      <c r="M86" s="64">
        <v>78.84</v>
      </c>
      <c r="N86" s="64">
        <v>66.3</v>
      </c>
      <c r="O86" s="64">
        <v>0</v>
      </c>
      <c r="P86" s="64">
        <v>1.6</v>
      </c>
      <c r="Q86" s="64">
        <v>8.48</v>
      </c>
      <c r="R86" s="198"/>
      <c r="S86" s="198"/>
      <c r="T86" s="198"/>
      <c r="U86" s="198"/>
    </row>
    <row r="87" spans="1:26" s="12" customFormat="1" x14ac:dyDescent="0.25">
      <c r="A87" s="214" t="s">
        <v>3111</v>
      </c>
      <c r="B87" s="64">
        <v>48.39</v>
      </c>
      <c r="C87" s="64">
        <v>76.349999999999994</v>
      </c>
      <c r="D87" s="64">
        <v>81.59</v>
      </c>
      <c r="E87" s="64">
        <v>0.14000000000000001</v>
      </c>
      <c r="F87" s="64">
        <v>3.31</v>
      </c>
      <c r="G87" s="64">
        <v>171.83</v>
      </c>
      <c r="H87" s="64">
        <v>80.7</v>
      </c>
      <c r="I87" s="64">
        <v>1.44</v>
      </c>
      <c r="J87" s="64">
        <v>0.11</v>
      </c>
      <c r="K87" s="64">
        <v>219.86</v>
      </c>
      <c r="L87" s="64">
        <v>18.25</v>
      </c>
      <c r="M87" s="64">
        <v>78</v>
      </c>
      <c r="N87" s="64">
        <v>66</v>
      </c>
      <c r="O87" s="64">
        <v>0</v>
      </c>
      <c r="P87" s="64">
        <v>1.68</v>
      </c>
      <c r="Q87" s="64">
        <v>8.9600000000000009</v>
      </c>
      <c r="R87" s="198"/>
      <c r="S87" s="198"/>
      <c r="T87" s="198"/>
      <c r="U87" s="198"/>
    </row>
    <row r="88" spans="1:26" s="12" customFormat="1" x14ac:dyDescent="0.25">
      <c r="A88" s="214" t="s">
        <v>3112</v>
      </c>
      <c r="B88" s="64">
        <v>54.15</v>
      </c>
      <c r="C88" s="64">
        <v>74.569999999999993</v>
      </c>
      <c r="D88" s="64">
        <v>85.22</v>
      </c>
      <c r="E88" s="64">
        <v>0.17</v>
      </c>
      <c r="F88" s="64">
        <v>3.25</v>
      </c>
      <c r="G88" s="64">
        <v>196.6</v>
      </c>
      <c r="H88" s="64">
        <v>87.99</v>
      </c>
      <c r="I88" s="64">
        <v>1.53</v>
      </c>
      <c r="J88" s="64">
        <v>0.05</v>
      </c>
      <c r="K88" s="64">
        <v>274.02</v>
      </c>
      <c r="L88" s="64">
        <v>18.29</v>
      </c>
      <c r="M88" s="64">
        <v>76.91</v>
      </c>
      <c r="N88" s="64">
        <v>67.099999999999994</v>
      </c>
      <c r="O88" s="64">
        <v>0</v>
      </c>
      <c r="P88" s="64">
        <v>1.75</v>
      </c>
      <c r="Q88" s="64">
        <v>9.3000000000000007</v>
      </c>
      <c r="R88" s="198"/>
      <c r="S88" s="198"/>
      <c r="T88" s="198"/>
      <c r="U88" s="198"/>
    </row>
    <row r="89" spans="1:26" s="12" customFormat="1" x14ac:dyDescent="0.25">
      <c r="A89" s="214" t="s">
        <v>3113</v>
      </c>
      <c r="B89" s="64">
        <v>57.39</v>
      </c>
      <c r="C89" s="64">
        <v>72.58</v>
      </c>
      <c r="D89" s="64">
        <v>86.72</v>
      </c>
      <c r="E89" s="64">
        <v>0.26</v>
      </c>
      <c r="F89" s="64">
        <v>3.4</v>
      </c>
      <c r="G89" s="64">
        <v>204.14</v>
      </c>
      <c r="H89" s="64">
        <v>87.99</v>
      </c>
      <c r="I89" s="64">
        <v>1.48</v>
      </c>
      <c r="J89" s="64">
        <v>0.13</v>
      </c>
      <c r="K89" s="64">
        <v>335.05</v>
      </c>
      <c r="L89" s="64">
        <v>17.91</v>
      </c>
      <c r="M89" s="64">
        <v>81.27</v>
      </c>
      <c r="N89" s="64">
        <v>67.400000000000006</v>
      </c>
      <c r="O89" s="64">
        <v>0</v>
      </c>
      <c r="P89" s="64">
        <v>1.83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4" t="s">
        <v>3114</v>
      </c>
      <c r="B90" s="64">
        <v>66.12</v>
      </c>
      <c r="C90" s="64">
        <v>73.12</v>
      </c>
      <c r="D90" s="64">
        <v>94.02</v>
      </c>
      <c r="E90" s="64">
        <v>0.28999999999999998</v>
      </c>
      <c r="F90" s="64">
        <v>3.22</v>
      </c>
      <c r="G90" s="64">
        <v>204.14</v>
      </c>
      <c r="H90" s="64">
        <v>87.99</v>
      </c>
      <c r="I90" s="64">
        <v>1.52</v>
      </c>
      <c r="J90" s="64">
        <v>7.0000000000000007E-2</v>
      </c>
      <c r="K90" s="64">
        <v>321.57</v>
      </c>
      <c r="L90" s="64">
        <v>17.43</v>
      </c>
      <c r="M90" s="64">
        <v>84.91</v>
      </c>
      <c r="N90" s="64">
        <v>67.7</v>
      </c>
      <c r="O90" s="64">
        <v>0</v>
      </c>
      <c r="P90" s="64">
        <v>2.0099999999999998</v>
      </c>
      <c r="Q90" s="64">
        <v>10.1</v>
      </c>
      <c r="R90" s="198"/>
      <c r="S90" s="198"/>
      <c r="T90" s="198"/>
      <c r="U90" s="198"/>
    </row>
    <row r="91" spans="1:26" s="12" customFormat="1" x14ac:dyDescent="0.25">
      <c r="A91" s="214" t="s">
        <v>3115</v>
      </c>
      <c r="B91" s="64">
        <v>73.819999999999993</v>
      </c>
      <c r="C91" s="64">
        <v>72.91</v>
      </c>
      <c r="D91" s="64">
        <v>100.09</v>
      </c>
      <c r="E91" s="64">
        <v>0.33</v>
      </c>
      <c r="F91" s="64">
        <v>3.1</v>
      </c>
      <c r="G91" s="64">
        <v>204.14</v>
      </c>
      <c r="H91" s="64">
        <v>87.99</v>
      </c>
      <c r="I91" s="64">
        <v>1.55</v>
      </c>
      <c r="J91" s="64">
        <v>0.05</v>
      </c>
      <c r="K91" s="64">
        <v>267.47000000000003</v>
      </c>
      <c r="L91" s="64">
        <v>17.2</v>
      </c>
      <c r="M91" s="64">
        <v>84.36</v>
      </c>
      <c r="N91" s="64">
        <v>68.3</v>
      </c>
      <c r="O91" s="64">
        <v>0</v>
      </c>
      <c r="P91" s="64">
        <v>2.13</v>
      </c>
      <c r="Q91" s="64">
        <v>10.58</v>
      </c>
      <c r="R91" s="198"/>
      <c r="S91" s="198"/>
      <c r="T91" s="198"/>
      <c r="U91" s="198"/>
    </row>
    <row r="92" spans="1:26" s="12" customFormat="1" x14ac:dyDescent="0.25">
      <c r="A92" s="214" t="s">
        <v>3116</v>
      </c>
      <c r="B92" s="64">
        <v>78.33</v>
      </c>
      <c r="C92" s="64">
        <v>72.38</v>
      </c>
      <c r="D92" s="64">
        <v>103.41</v>
      </c>
      <c r="E92" s="64">
        <v>0.33</v>
      </c>
      <c r="F92" s="64">
        <v>3.02</v>
      </c>
      <c r="G92" s="64">
        <v>204.14</v>
      </c>
      <c r="H92" s="64">
        <v>94.94</v>
      </c>
      <c r="I92" s="64">
        <v>1.45</v>
      </c>
      <c r="J92" s="64">
        <v>0.14000000000000001</v>
      </c>
      <c r="K92" s="64">
        <v>351.01</v>
      </c>
      <c r="L92" s="64">
        <v>17.149999999999999</v>
      </c>
      <c r="M92" s="64">
        <v>86.22</v>
      </c>
      <c r="N92" s="64">
        <v>68.7</v>
      </c>
      <c r="O92" s="64">
        <v>0</v>
      </c>
      <c r="P92" s="64">
        <v>2.2200000000000002</v>
      </c>
      <c r="Q92" s="64">
        <v>10.95</v>
      </c>
      <c r="R92" s="198"/>
      <c r="S92" s="198"/>
      <c r="T92" s="198"/>
      <c r="U92" s="198"/>
    </row>
    <row r="93" spans="1:26" s="12" customFormat="1" x14ac:dyDescent="0.25">
      <c r="A93" s="214" t="s">
        <v>3117</v>
      </c>
      <c r="B93" s="64">
        <v>83.5</v>
      </c>
      <c r="C93" s="64">
        <v>72.650000000000006</v>
      </c>
      <c r="D93" s="64">
        <v>107.7</v>
      </c>
      <c r="E93" s="64">
        <v>0.34</v>
      </c>
      <c r="F93" s="64">
        <v>3.09</v>
      </c>
      <c r="G93" s="64">
        <v>253.18</v>
      </c>
      <c r="H93" s="64">
        <v>94.94</v>
      </c>
      <c r="I93" s="64">
        <v>1.52</v>
      </c>
      <c r="J93" s="64">
        <v>0.09</v>
      </c>
      <c r="K93" s="64">
        <v>306.76</v>
      </c>
      <c r="L93" s="64">
        <v>16.93</v>
      </c>
      <c r="M93" s="64">
        <v>89.66</v>
      </c>
      <c r="N93" s="64">
        <v>67.8</v>
      </c>
      <c r="O93" s="64">
        <v>0</v>
      </c>
      <c r="P93" s="64">
        <v>2.33</v>
      </c>
      <c r="Q93" s="64">
        <v>11.43</v>
      </c>
      <c r="R93" s="198"/>
      <c r="S93" s="198"/>
      <c r="T93" s="198"/>
      <c r="U93" s="198"/>
    </row>
    <row r="94" spans="1:26" s="12" customFormat="1" x14ac:dyDescent="0.25">
      <c r="A94" s="214" t="s">
        <v>3118</v>
      </c>
      <c r="B94" s="64">
        <v>89.49</v>
      </c>
      <c r="C94" s="64">
        <v>73.790000000000006</v>
      </c>
      <c r="D94" s="64">
        <v>113.13</v>
      </c>
      <c r="E94" s="64">
        <v>0.35</v>
      </c>
      <c r="F94" s="64">
        <v>3.21</v>
      </c>
      <c r="G94" s="64">
        <v>253.18</v>
      </c>
      <c r="H94" s="64">
        <v>94.94</v>
      </c>
      <c r="I94" s="64">
        <v>1.5</v>
      </c>
      <c r="J94" s="64">
        <v>0.08</v>
      </c>
      <c r="K94" s="64">
        <v>276.7</v>
      </c>
      <c r="L94" s="64">
        <v>16.89</v>
      </c>
      <c r="M94" s="64">
        <v>89.42</v>
      </c>
      <c r="N94" s="64">
        <v>67.5</v>
      </c>
      <c r="O94" s="64">
        <v>0</v>
      </c>
      <c r="P94" s="64">
        <v>2.38</v>
      </c>
      <c r="Q94" s="64">
        <v>11.92</v>
      </c>
      <c r="R94" s="198"/>
      <c r="S94" s="198"/>
      <c r="T94" s="198"/>
      <c r="U94" s="198"/>
    </row>
    <row r="95" spans="1:26" s="12" customFormat="1" x14ac:dyDescent="0.25">
      <c r="A95" s="214" t="s">
        <v>3119</v>
      </c>
      <c r="B95" s="64">
        <v>95.8</v>
      </c>
      <c r="C95" s="64">
        <v>74.95</v>
      </c>
      <c r="D95" s="64">
        <v>118.84</v>
      </c>
      <c r="E95" s="64">
        <v>0.38</v>
      </c>
      <c r="F95" s="64">
        <v>3.27</v>
      </c>
      <c r="G95" s="64">
        <v>253.18</v>
      </c>
      <c r="H95" s="64">
        <v>94.94</v>
      </c>
      <c r="I95" s="64">
        <v>1.58</v>
      </c>
      <c r="J95" s="64">
        <v>0.1</v>
      </c>
      <c r="K95" s="64">
        <v>335.16</v>
      </c>
      <c r="L95" s="64">
        <v>16.8</v>
      </c>
      <c r="M95" s="64">
        <v>89.97</v>
      </c>
      <c r="N95" s="64">
        <v>67.5</v>
      </c>
      <c r="O95" s="64">
        <v>0</v>
      </c>
      <c r="P95" s="64">
        <v>2.4700000000000002</v>
      </c>
      <c r="Q95" s="64">
        <v>12.43</v>
      </c>
      <c r="R95" s="198"/>
      <c r="S95" s="198"/>
      <c r="T95" s="198"/>
      <c r="U95" s="198"/>
    </row>
    <row r="96" spans="1:26" s="12" customFormat="1" x14ac:dyDescent="0.25">
      <c r="A96" s="214" t="s">
        <v>3120</v>
      </c>
      <c r="B96" s="64">
        <v>101.04</v>
      </c>
      <c r="C96" s="64">
        <v>75.88</v>
      </c>
      <c r="D96" s="64">
        <v>123.55</v>
      </c>
      <c r="E96" s="64">
        <v>0.44</v>
      </c>
      <c r="F96" s="64">
        <v>3.22</v>
      </c>
      <c r="G96" s="64">
        <v>258.3</v>
      </c>
      <c r="H96" s="64">
        <v>108.74</v>
      </c>
      <c r="I96" s="64">
        <v>1.46</v>
      </c>
      <c r="J96" s="64">
        <v>0.16</v>
      </c>
      <c r="K96" s="64">
        <v>280.18</v>
      </c>
      <c r="L96" s="64">
        <v>16.61</v>
      </c>
      <c r="M96" s="64">
        <v>88.38</v>
      </c>
      <c r="N96" s="64">
        <v>67</v>
      </c>
      <c r="O96" s="64">
        <v>0</v>
      </c>
      <c r="P96" s="64">
        <v>2.52</v>
      </c>
      <c r="Q96" s="64">
        <v>12.96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3121</v>
      </c>
      <c r="B97" s="64">
        <v>105.67</v>
      </c>
      <c r="C97" s="64">
        <v>77.13</v>
      </c>
      <c r="D97" s="64">
        <v>127.95</v>
      </c>
      <c r="E97" s="64">
        <v>0.36</v>
      </c>
      <c r="F97" s="64">
        <v>3.3</v>
      </c>
      <c r="G97" s="64">
        <v>259.85000000000002</v>
      </c>
      <c r="H97" s="64">
        <v>108.74</v>
      </c>
      <c r="I97" s="64">
        <v>1.51</v>
      </c>
      <c r="J97" s="64">
        <v>0.1</v>
      </c>
      <c r="K97" s="64">
        <v>316.39</v>
      </c>
      <c r="L97" s="64">
        <v>16.5</v>
      </c>
      <c r="M97" s="64">
        <v>90.04</v>
      </c>
      <c r="N97" s="64">
        <v>66.5</v>
      </c>
      <c r="O97" s="64">
        <v>0</v>
      </c>
      <c r="P97" s="64">
        <v>2.59</v>
      </c>
      <c r="Q97" s="64">
        <v>13.44</v>
      </c>
      <c r="R97" s="198"/>
      <c r="S97" s="198"/>
      <c r="T97" s="198"/>
      <c r="U97" s="198"/>
    </row>
    <row r="98" spans="1:33" s="12" customFormat="1" x14ac:dyDescent="0.25">
      <c r="A98" s="214" t="s">
        <v>3122</v>
      </c>
      <c r="B98" s="64">
        <v>109.7</v>
      </c>
      <c r="C98" s="64">
        <v>77.91</v>
      </c>
      <c r="D98" s="64">
        <v>131.61000000000001</v>
      </c>
      <c r="E98" s="64">
        <v>0.38</v>
      </c>
      <c r="F98" s="64">
        <v>3.47</v>
      </c>
      <c r="G98" s="64">
        <v>259.85000000000002</v>
      </c>
      <c r="H98" s="64">
        <v>108.74</v>
      </c>
      <c r="I98" s="64">
        <v>1.48</v>
      </c>
      <c r="J98" s="64">
        <v>7.0000000000000007E-2</v>
      </c>
      <c r="K98" s="64">
        <v>273.24</v>
      </c>
      <c r="L98" s="64">
        <v>16.39</v>
      </c>
      <c r="M98" s="64">
        <v>88.05</v>
      </c>
      <c r="N98" s="64">
        <v>66.400000000000006</v>
      </c>
      <c r="O98" s="64">
        <v>0</v>
      </c>
      <c r="P98" s="64">
        <v>2.6</v>
      </c>
      <c r="Q98" s="64">
        <v>13.84</v>
      </c>
      <c r="R98" s="198"/>
      <c r="S98" s="198"/>
      <c r="T98" s="198"/>
      <c r="U98" s="198"/>
    </row>
    <row r="99" spans="1:33" s="12" customFormat="1" x14ac:dyDescent="0.25">
      <c r="A99" s="214" t="s">
        <v>3123</v>
      </c>
      <c r="B99" s="64">
        <v>114.74</v>
      </c>
      <c r="C99" s="64">
        <v>78.87</v>
      </c>
      <c r="D99" s="64">
        <v>136.18</v>
      </c>
      <c r="E99" s="64">
        <v>0.5</v>
      </c>
      <c r="F99" s="64">
        <v>3.44</v>
      </c>
      <c r="G99" s="64">
        <v>259.85000000000002</v>
      </c>
      <c r="H99" s="64">
        <v>108.74</v>
      </c>
      <c r="I99" s="64">
        <v>1.51</v>
      </c>
      <c r="J99" s="64">
        <v>0.09</v>
      </c>
      <c r="K99" s="64">
        <v>261.7</v>
      </c>
      <c r="L99" s="64">
        <v>16.16</v>
      </c>
      <c r="M99" s="64">
        <v>89.37</v>
      </c>
      <c r="N99" s="64">
        <v>66.400000000000006</v>
      </c>
      <c r="O99" s="64">
        <v>0</v>
      </c>
      <c r="P99" s="64">
        <v>2.64</v>
      </c>
      <c r="Q99" s="64">
        <v>14.17</v>
      </c>
      <c r="R99" s="198"/>
      <c r="S99" s="198"/>
      <c r="T99" s="198"/>
      <c r="U99" s="198"/>
    </row>
    <row r="100" spans="1:33" s="12" customFormat="1" x14ac:dyDescent="0.25">
      <c r="A100" s="214" t="s">
        <v>3124</v>
      </c>
      <c r="B100" s="64">
        <v>118.92</v>
      </c>
      <c r="C100" s="64">
        <v>79.319999999999993</v>
      </c>
      <c r="D100" s="64">
        <v>139.79</v>
      </c>
      <c r="E100" s="64">
        <v>0.43</v>
      </c>
      <c r="F100" s="64">
        <v>3.29</v>
      </c>
      <c r="G100" s="64">
        <v>219.77</v>
      </c>
      <c r="H100" s="64">
        <v>92.96</v>
      </c>
      <c r="I100" s="64">
        <v>1.53</v>
      </c>
      <c r="J100" s="64">
        <v>0.14000000000000001</v>
      </c>
      <c r="K100" s="64">
        <v>198.86</v>
      </c>
      <c r="L100" s="64">
        <v>16.53</v>
      </c>
      <c r="M100" s="64">
        <v>84.78</v>
      </c>
      <c r="N100" s="64">
        <v>65.400000000000006</v>
      </c>
      <c r="O100" s="64">
        <v>0</v>
      </c>
      <c r="P100" s="64">
        <v>2.6</v>
      </c>
      <c r="Q100" s="64">
        <v>14.58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3125</v>
      </c>
      <c r="B101" s="64">
        <v>116.34</v>
      </c>
      <c r="C101" s="64">
        <v>79.98</v>
      </c>
      <c r="D101" s="64">
        <v>138.08000000000001</v>
      </c>
      <c r="E101" s="64">
        <v>0.4</v>
      </c>
      <c r="F101" s="64">
        <v>3.33</v>
      </c>
      <c r="G101" s="64">
        <v>219.77</v>
      </c>
      <c r="H101" s="64">
        <v>92.96</v>
      </c>
      <c r="I101" s="64">
        <v>1.52</v>
      </c>
      <c r="J101" s="64">
        <v>0.08</v>
      </c>
      <c r="K101" s="64">
        <v>236.14</v>
      </c>
      <c r="L101" s="64">
        <v>16.87</v>
      </c>
      <c r="M101" s="64">
        <v>81.02</v>
      </c>
      <c r="N101" s="64">
        <v>65.400000000000006</v>
      </c>
      <c r="O101" s="64">
        <v>0</v>
      </c>
      <c r="P101" s="64">
        <v>2.5</v>
      </c>
      <c r="Q101" s="64">
        <v>14.72</v>
      </c>
      <c r="R101" s="198"/>
      <c r="S101" s="198"/>
      <c r="T101" s="198"/>
      <c r="U101" s="198"/>
    </row>
    <row r="102" spans="1:33" s="12" customFormat="1" x14ac:dyDescent="0.25">
      <c r="A102" s="214" t="s">
        <v>3126</v>
      </c>
      <c r="B102" s="64">
        <v>110.61</v>
      </c>
      <c r="C102" s="64">
        <v>79.87</v>
      </c>
      <c r="D102" s="64">
        <v>133.41999999999999</v>
      </c>
      <c r="E102" s="64">
        <v>0.4</v>
      </c>
      <c r="F102" s="64">
        <v>3.13</v>
      </c>
      <c r="G102" s="64">
        <v>219.77</v>
      </c>
      <c r="H102" s="64">
        <v>92.96</v>
      </c>
      <c r="I102" s="64">
        <v>1.39</v>
      </c>
      <c r="J102" s="64">
        <v>0.13</v>
      </c>
      <c r="K102" s="64">
        <v>311.79000000000002</v>
      </c>
      <c r="L102" s="64">
        <v>16.440000000000001</v>
      </c>
      <c r="M102" s="64">
        <v>83.96</v>
      </c>
      <c r="N102" s="64">
        <v>65.7</v>
      </c>
      <c r="O102" s="64">
        <v>0</v>
      </c>
      <c r="P102" s="64">
        <v>2.44</v>
      </c>
      <c r="Q102" s="64">
        <v>14.55</v>
      </c>
      <c r="R102" s="198"/>
      <c r="S102" s="198"/>
      <c r="T102" s="198"/>
      <c r="U102" s="198"/>
    </row>
    <row r="103" spans="1:33" s="12" customFormat="1" x14ac:dyDescent="0.25">
      <c r="A103" s="214" t="s">
        <v>3127</v>
      </c>
      <c r="B103" s="64">
        <v>106.41</v>
      </c>
      <c r="C103" s="64">
        <v>77.69</v>
      </c>
      <c r="D103" s="64">
        <v>128.85</v>
      </c>
      <c r="E103" s="64">
        <v>0.39</v>
      </c>
      <c r="F103" s="64">
        <v>3.48</v>
      </c>
      <c r="G103" s="64">
        <v>219.77</v>
      </c>
      <c r="H103" s="64">
        <v>92.96</v>
      </c>
      <c r="I103" s="64">
        <v>1.46</v>
      </c>
      <c r="J103" s="64">
        <v>0.2</v>
      </c>
      <c r="K103" s="64">
        <v>325.27</v>
      </c>
      <c r="L103" s="64">
        <v>15.83</v>
      </c>
      <c r="M103" s="64">
        <v>89.09</v>
      </c>
      <c r="N103" s="64">
        <v>67</v>
      </c>
      <c r="O103" s="64">
        <v>0</v>
      </c>
      <c r="P103" s="64">
        <v>2.36</v>
      </c>
      <c r="Q103" s="64">
        <v>14.2</v>
      </c>
      <c r="R103" s="198"/>
      <c r="S103" s="198"/>
      <c r="T103" s="198"/>
      <c r="U103" s="198"/>
    </row>
    <row r="104" spans="1:33" s="12" customFormat="1" x14ac:dyDescent="0.25">
      <c r="A104" s="214" t="s">
        <v>3128</v>
      </c>
      <c r="B104" s="64">
        <v>102.6</v>
      </c>
      <c r="C104" s="64">
        <v>74.41</v>
      </c>
      <c r="D104" s="64">
        <v>123.99</v>
      </c>
      <c r="E104" s="64">
        <v>0.23</v>
      </c>
      <c r="F104" s="64">
        <v>2.85</v>
      </c>
      <c r="G104" s="64">
        <v>180.12</v>
      </c>
      <c r="H104" s="64">
        <v>86.58</v>
      </c>
      <c r="I104" s="64">
        <v>1.49</v>
      </c>
      <c r="J104" s="64">
        <v>0.19</v>
      </c>
      <c r="K104" s="64">
        <v>321.23</v>
      </c>
      <c r="L104" s="64">
        <v>15.5</v>
      </c>
      <c r="M104" s="64">
        <v>91.27</v>
      </c>
      <c r="N104" s="64">
        <v>69.599999999999994</v>
      </c>
      <c r="O104" s="64">
        <v>0</v>
      </c>
      <c r="P104" s="64">
        <v>2.2999999999999998</v>
      </c>
      <c r="Q104" s="64">
        <v>13.95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8.33</v>
      </c>
      <c r="C106" s="67">
        <f>MIN(C9:C104)</f>
        <v>33.5</v>
      </c>
      <c r="D106" s="67">
        <f t="shared" ref="D106:Q106" si="0">MIN(D9:D104)</f>
        <v>53.91</v>
      </c>
      <c r="E106" s="67">
        <f t="shared" si="0"/>
        <v>0.06</v>
      </c>
      <c r="F106" s="67">
        <f t="shared" si="0"/>
        <v>2.85</v>
      </c>
      <c r="G106" s="67">
        <f t="shared" si="0"/>
        <v>47.76</v>
      </c>
      <c r="H106" s="67">
        <f t="shared" si="0"/>
        <v>37.770000000000003</v>
      </c>
      <c r="I106" s="67">
        <f t="shared" si="0"/>
        <v>1.39</v>
      </c>
      <c r="J106" s="67">
        <f t="shared" si="0"/>
        <v>0.05</v>
      </c>
      <c r="K106" s="67">
        <f t="shared" si="0"/>
        <v>25.91</v>
      </c>
      <c r="L106" s="67">
        <f t="shared" si="0"/>
        <v>13.13</v>
      </c>
      <c r="M106" s="67">
        <f t="shared" si="0"/>
        <v>39.14</v>
      </c>
      <c r="N106" s="67">
        <f t="shared" si="0"/>
        <v>13.3</v>
      </c>
      <c r="O106" s="67">
        <f t="shared" si="0"/>
        <v>0</v>
      </c>
      <c r="P106" s="67">
        <f t="shared" si="0"/>
        <v>0.86</v>
      </c>
      <c r="Q106" s="67">
        <f t="shared" si="0"/>
        <v>7.06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204.06</v>
      </c>
      <c r="C107" s="66">
        <f t="shared" ref="C107:Q107" si="1">MAX(C9:C104)</f>
        <v>92.95</v>
      </c>
      <c r="D107" s="66">
        <f t="shared" si="1"/>
        <v>195.47</v>
      </c>
      <c r="E107" s="66">
        <f t="shared" si="1"/>
        <v>0.55000000000000004</v>
      </c>
      <c r="F107" s="66">
        <f t="shared" si="1"/>
        <v>3.98</v>
      </c>
      <c r="G107" s="66">
        <f t="shared" si="1"/>
        <v>330.36</v>
      </c>
      <c r="H107" s="66">
        <f t="shared" si="1"/>
        <v>136.69999999999999</v>
      </c>
      <c r="I107" s="66">
        <f t="shared" si="1"/>
        <v>1.61</v>
      </c>
      <c r="J107" s="66">
        <f t="shared" si="1"/>
        <v>1.19</v>
      </c>
      <c r="K107" s="66">
        <f t="shared" si="1"/>
        <v>351.01</v>
      </c>
      <c r="L107" s="66">
        <f t="shared" si="1"/>
        <v>26.06</v>
      </c>
      <c r="M107" s="66">
        <f t="shared" si="1"/>
        <v>97.88</v>
      </c>
      <c r="N107" s="66">
        <f t="shared" si="1"/>
        <v>500.4</v>
      </c>
      <c r="O107" s="66">
        <f t="shared" si="1"/>
        <v>0</v>
      </c>
      <c r="P107" s="66">
        <f t="shared" si="1"/>
        <v>3.33</v>
      </c>
      <c r="Q107" s="66">
        <f t="shared" si="1"/>
        <v>19.79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90.732812500000009</v>
      </c>
      <c r="C108" s="67">
        <f t="shared" ref="C108:Q108" si="2">AVERAGE(C9:C104)</f>
        <v>67.069999999999965</v>
      </c>
      <c r="D108" s="67">
        <f t="shared" si="2"/>
        <v>110.42145833333332</v>
      </c>
      <c r="E108" s="67">
        <f t="shared" si="2"/>
        <v>0.29218749999999999</v>
      </c>
      <c r="F108" s="67">
        <f t="shared" si="2"/>
        <v>3.3459374999999998</v>
      </c>
      <c r="G108" s="67">
        <f t="shared" si="2"/>
        <v>171.13197916666664</v>
      </c>
      <c r="H108" s="67">
        <f t="shared" si="2"/>
        <v>85.999895833333298</v>
      </c>
      <c r="I108" s="67">
        <f t="shared" si="2"/>
        <v>1.4931250000000003</v>
      </c>
      <c r="J108" s="67">
        <f t="shared" si="2"/>
        <v>0.28270833333333334</v>
      </c>
      <c r="K108" s="67">
        <f t="shared" si="2"/>
        <v>225.8822916666667</v>
      </c>
      <c r="L108" s="67">
        <f t="shared" si="2"/>
        <v>18.496041666666667</v>
      </c>
      <c r="M108" s="67">
        <f t="shared" si="2"/>
        <v>74.980520833333344</v>
      </c>
      <c r="N108" s="67">
        <f t="shared" si="2"/>
        <v>141.11145833333336</v>
      </c>
      <c r="O108" s="67">
        <f t="shared" si="2"/>
        <v>0</v>
      </c>
      <c r="P108" s="67">
        <f t="shared" si="2"/>
        <v>1.6859374999999999</v>
      </c>
      <c r="Q108" s="67">
        <f t="shared" si="2"/>
        <v>12.225729166666666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62.018059520944576</v>
      </c>
      <c r="C109" s="67">
        <f t="shared" ref="C109:Q109" si="3">STDEV(C9:C104)</f>
        <v>20.92716678085425</v>
      </c>
      <c r="D109" s="67">
        <f t="shared" si="3"/>
        <v>41.780364438187064</v>
      </c>
      <c r="E109" s="67">
        <f t="shared" si="3"/>
        <v>0.12728090049798882</v>
      </c>
      <c r="F109" s="67">
        <f t="shared" si="3"/>
        <v>0.26126243359986967</v>
      </c>
      <c r="G109" s="67">
        <f t="shared" si="3"/>
        <v>76.908590508059547</v>
      </c>
      <c r="H109" s="67">
        <f t="shared" si="3"/>
        <v>24.12715489126191</v>
      </c>
      <c r="I109" s="67">
        <f t="shared" si="3"/>
        <v>4.2508513079270706E-2</v>
      </c>
      <c r="J109" s="67">
        <f t="shared" si="3"/>
        <v>0.30376749823253996</v>
      </c>
      <c r="K109" s="67">
        <f t="shared" si="3"/>
        <v>95.834702839718489</v>
      </c>
      <c r="L109" s="67">
        <f t="shared" si="3"/>
        <v>4.2388495160005695</v>
      </c>
      <c r="M109" s="67">
        <f t="shared" si="3"/>
        <v>21.36738588891669</v>
      </c>
      <c r="N109" s="67">
        <f t="shared" si="3"/>
        <v>157.11798307057873</v>
      </c>
      <c r="O109" s="67">
        <f t="shared" si="3"/>
        <v>0</v>
      </c>
      <c r="P109" s="67">
        <f t="shared" si="3"/>
        <v>0.60811629449602889</v>
      </c>
      <c r="Q109" s="67">
        <f t="shared" si="3"/>
        <v>3.8914334376372737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3129</v>
      </c>
      <c r="B9" s="64">
        <v>99.4</v>
      </c>
      <c r="C9" s="64">
        <v>73.540000000000006</v>
      </c>
      <c r="D9" s="64">
        <v>120.94</v>
      </c>
      <c r="E9" s="64">
        <v>0.39</v>
      </c>
      <c r="F9" s="64">
        <v>3.05</v>
      </c>
      <c r="G9" s="64">
        <v>168.05</v>
      </c>
      <c r="H9" s="64">
        <v>86.58</v>
      </c>
      <c r="I9" s="64">
        <v>1.48</v>
      </c>
      <c r="J9" s="64">
        <v>0.14000000000000001</v>
      </c>
      <c r="K9" s="64">
        <v>313.16000000000003</v>
      </c>
      <c r="L9" s="64">
        <v>15.28</v>
      </c>
      <c r="M9" s="64">
        <v>91.48</v>
      </c>
      <c r="N9" s="64">
        <v>68.7</v>
      </c>
      <c r="O9" s="64">
        <v>0</v>
      </c>
      <c r="P9" s="64">
        <v>2.2400000000000002</v>
      </c>
      <c r="Q9" s="64">
        <v>13.63</v>
      </c>
      <c r="R9" s="198"/>
      <c r="S9" s="198"/>
      <c r="T9" s="198"/>
      <c r="U9" s="198"/>
    </row>
    <row r="10" spans="1:21" s="12" customFormat="1" x14ac:dyDescent="0.25">
      <c r="A10" s="214" t="s">
        <v>3130</v>
      </c>
      <c r="B10" s="64">
        <v>96.33</v>
      </c>
      <c r="C10" s="64">
        <v>72.92</v>
      </c>
      <c r="D10" s="64">
        <v>118.13</v>
      </c>
      <c r="E10" s="64">
        <v>0.38</v>
      </c>
      <c r="F10" s="64">
        <v>3.12</v>
      </c>
      <c r="G10" s="64">
        <v>168.05</v>
      </c>
      <c r="H10" s="64">
        <v>86.58</v>
      </c>
      <c r="I10" s="64">
        <v>1.41</v>
      </c>
      <c r="J10" s="64">
        <v>0.15</v>
      </c>
      <c r="K10" s="64">
        <v>325.32</v>
      </c>
      <c r="L10" s="64">
        <v>15.2</v>
      </c>
      <c r="M10" s="64">
        <v>93.25</v>
      </c>
      <c r="N10" s="64">
        <v>69.099999999999994</v>
      </c>
      <c r="O10" s="64">
        <v>0</v>
      </c>
      <c r="P10" s="64">
        <v>2.16</v>
      </c>
      <c r="Q10" s="64">
        <v>13.25</v>
      </c>
      <c r="R10" s="198"/>
      <c r="S10" s="198"/>
      <c r="T10" s="198"/>
      <c r="U10" s="198"/>
    </row>
    <row r="11" spans="1:21" s="12" customFormat="1" x14ac:dyDescent="0.25">
      <c r="A11" s="214" t="s">
        <v>3131</v>
      </c>
      <c r="B11" s="64">
        <v>91.31</v>
      </c>
      <c r="C11" s="64">
        <v>73.459999999999994</v>
      </c>
      <c r="D11" s="64">
        <v>114.41</v>
      </c>
      <c r="E11" s="64">
        <v>0.36</v>
      </c>
      <c r="F11" s="64">
        <v>3.32</v>
      </c>
      <c r="G11" s="64">
        <v>168.05</v>
      </c>
      <c r="H11" s="64">
        <v>86.58</v>
      </c>
      <c r="I11" s="64">
        <v>1.47</v>
      </c>
      <c r="J11" s="64">
        <v>0.17</v>
      </c>
      <c r="K11" s="64">
        <v>312.72000000000003</v>
      </c>
      <c r="L11" s="64">
        <v>15.1</v>
      </c>
      <c r="M11" s="64">
        <v>93.06</v>
      </c>
      <c r="N11" s="64">
        <v>66.3</v>
      </c>
      <c r="O11" s="64">
        <v>0</v>
      </c>
      <c r="P11" s="64">
        <v>2.09</v>
      </c>
      <c r="Q11" s="64">
        <v>12.79</v>
      </c>
      <c r="R11" s="198"/>
      <c r="S11" s="198"/>
      <c r="T11" s="198"/>
      <c r="U11" s="198"/>
    </row>
    <row r="12" spans="1:21" s="12" customFormat="1" x14ac:dyDescent="0.25">
      <c r="A12" s="214" t="s">
        <v>3132</v>
      </c>
      <c r="B12" s="64">
        <v>85.8</v>
      </c>
      <c r="C12" s="64">
        <v>74.92</v>
      </c>
      <c r="D12" s="64">
        <v>110.8</v>
      </c>
      <c r="E12" s="64">
        <v>0.36</v>
      </c>
      <c r="F12" s="64">
        <v>3.25</v>
      </c>
      <c r="G12" s="64">
        <v>156.1</v>
      </c>
      <c r="H12" s="64">
        <v>78.650000000000006</v>
      </c>
      <c r="I12" s="64">
        <v>1.51</v>
      </c>
      <c r="J12" s="64">
        <v>0.15</v>
      </c>
      <c r="K12" s="64">
        <v>224.38</v>
      </c>
      <c r="L12" s="64">
        <v>15.27</v>
      </c>
      <c r="M12" s="64">
        <v>89.78</v>
      </c>
      <c r="N12" s="64">
        <v>64.8</v>
      </c>
      <c r="O12" s="64">
        <v>0</v>
      </c>
      <c r="P12" s="64">
        <v>2.02</v>
      </c>
      <c r="Q12" s="64">
        <v>12.48</v>
      </c>
      <c r="R12" s="198"/>
      <c r="S12" s="198"/>
      <c r="T12" s="198"/>
      <c r="U12" s="198"/>
    </row>
    <row r="13" spans="1:21" s="12" customFormat="1" x14ac:dyDescent="0.25">
      <c r="A13" s="214" t="s">
        <v>3133</v>
      </c>
      <c r="B13" s="64">
        <v>77.510000000000005</v>
      </c>
      <c r="C13" s="64">
        <v>78.42</v>
      </c>
      <c r="D13" s="64">
        <v>106.09</v>
      </c>
      <c r="E13" s="64">
        <v>0.33</v>
      </c>
      <c r="F13" s="64">
        <v>3.06</v>
      </c>
      <c r="G13" s="64">
        <v>152.46</v>
      </c>
      <c r="H13" s="64">
        <v>78.650000000000006</v>
      </c>
      <c r="I13" s="64">
        <v>1.58</v>
      </c>
      <c r="J13" s="64">
        <v>0.15</v>
      </c>
      <c r="K13" s="64">
        <v>285.73</v>
      </c>
      <c r="L13" s="64">
        <v>15.53</v>
      </c>
      <c r="M13" s="64">
        <v>87.01</v>
      </c>
      <c r="N13" s="64">
        <v>64.900000000000006</v>
      </c>
      <c r="O13" s="64">
        <v>0</v>
      </c>
      <c r="P13" s="64">
        <v>1.75</v>
      </c>
      <c r="Q13" s="64">
        <v>12.04</v>
      </c>
      <c r="R13" s="198"/>
      <c r="S13" s="198"/>
      <c r="T13" s="198"/>
      <c r="U13" s="198"/>
    </row>
    <row r="14" spans="1:21" s="12" customFormat="1" x14ac:dyDescent="0.25">
      <c r="A14" s="214" t="s">
        <v>3134</v>
      </c>
      <c r="B14" s="64">
        <v>70.09</v>
      </c>
      <c r="C14" s="64">
        <v>81.03</v>
      </c>
      <c r="D14" s="64">
        <v>101.57</v>
      </c>
      <c r="E14" s="64">
        <v>0.28000000000000003</v>
      </c>
      <c r="F14" s="64">
        <v>2.89</v>
      </c>
      <c r="G14" s="64">
        <v>152.46</v>
      </c>
      <c r="H14" s="64">
        <v>78.650000000000006</v>
      </c>
      <c r="I14" s="64">
        <v>1.47</v>
      </c>
      <c r="J14" s="64">
        <v>0.11</v>
      </c>
      <c r="K14" s="64">
        <v>286.77</v>
      </c>
      <c r="L14" s="64">
        <v>15.43</v>
      </c>
      <c r="M14" s="64">
        <v>88.08</v>
      </c>
      <c r="N14" s="64">
        <v>65.3</v>
      </c>
      <c r="O14" s="64">
        <v>0</v>
      </c>
      <c r="P14" s="64">
        <v>1.78</v>
      </c>
      <c r="Q14" s="64">
        <v>11.6</v>
      </c>
      <c r="R14" s="198"/>
      <c r="S14" s="198"/>
      <c r="T14" s="198"/>
      <c r="U14" s="198"/>
    </row>
    <row r="15" spans="1:21" s="12" customFormat="1" x14ac:dyDescent="0.25">
      <c r="A15" s="214" t="s">
        <v>3135</v>
      </c>
      <c r="B15" s="64">
        <v>64.27</v>
      </c>
      <c r="C15" s="64">
        <v>81.709999999999994</v>
      </c>
      <c r="D15" s="64">
        <v>97.29</v>
      </c>
      <c r="E15" s="64">
        <v>0.3</v>
      </c>
      <c r="F15" s="64">
        <v>3.01</v>
      </c>
      <c r="G15" s="64">
        <v>152.46</v>
      </c>
      <c r="H15" s="64">
        <v>78.650000000000006</v>
      </c>
      <c r="I15" s="64">
        <v>1.44</v>
      </c>
      <c r="J15" s="64">
        <v>0.01</v>
      </c>
      <c r="K15" s="64">
        <v>150.29</v>
      </c>
      <c r="L15" s="64">
        <v>15.3</v>
      </c>
      <c r="M15" s="64">
        <v>88.64</v>
      </c>
      <c r="N15" s="64">
        <v>65.900000000000006</v>
      </c>
      <c r="O15" s="64">
        <v>0</v>
      </c>
      <c r="P15" s="64">
        <v>1.7</v>
      </c>
      <c r="Q15" s="64">
        <v>11.2</v>
      </c>
      <c r="R15" s="198"/>
      <c r="S15" s="198"/>
      <c r="T15" s="198"/>
      <c r="U15" s="198"/>
    </row>
    <row r="16" spans="1:21" s="12" customFormat="1" x14ac:dyDescent="0.25">
      <c r="A16" s="214" t="s">
        <v>3136</v>
      </c>
      <c r="B16" s="64">
        <v>58.86</v>
      </c>
      <c r="C16" s="64">
        <v>82.75</v>
      </c>
      <c r="D16" s="64">
        <v>93.51</v>
      </c>
      <c r="E16" s="64">
        <v>0.3</v>
      </c>
      <c r="F16" s="64">
        <v>2.91</v>
      </c>
      <c r="G16" s="64">
        <v>122.94</v>
      </c>
      <c r="H16" s="64">
        <v>73.2</v>
      </c>
      <c r="I16" s="64">
        <v>1.53</v>
      </c>
      <c r="J16" s="64">
        <v>0.49</v>
      </c>
      <c r="K16" s="64">
        <v>161.19</v>
      </c>
      <c r="L16" s="64">
        <v>15.86</v>
      </c>
      <c r="M16" s="64">
        <v>80.900000000000006</v>
      </c>
      <c r="N16" s="64">
        <v>65.599999999999994</v>
      </c>
      <c r="O16" s="64">
        <v>0</v>
      </c>
      <c r="P16" s="64">
        <v>1.63</v>
      </c>
      <c r="Q16" s="64">
        <v>10.83</v>
      </c>
      <c r="R16" s="198"/>
      <c r="S16" s="198"/>
      <c r="T16" s="198"/>
      <c r="U16" s="198"/>
    </row>
    <row r="17" spans="1:21" s="12" customFormat="1" x14ac:dyDescent="0.25">
      <c r="A17" s="214" t="s">
        <v>3137</v>
      </c>
      <c r="B17" s="64">
        <v>51.94</v>
      </c>
      <c r="C17" s="64">
        <v>86.23</v>
      </c>
      <c r="D17" s="64">
        <v>89.89</v>
      </c>
      <c r="E17" s="64">
        <v>0.26</v>
      </c>
      <c r="F17" s="64">
        <v>3.18</v>
      </c>
      <c r="G17" s="64">
        <v>113.95</v>
      </c>
      <c r="H17" s="64">
        <v>73.2</v>
      </c>
      <c r="I17" s="64">
        <v>1.44</v>
      </c>
      <c r="J17" s="64">
        <v>0.44</v>
      </c>
      <c r="K17" s="64">
        <v>148.02000000000001</v>
      </c>
      <c r="L17" s="64">
        <v>16.02</v>
      </c>
      <c r="M17" s="64">
        <v>80.53</v>
      </c>
      <c r="N17" s="64">
        <v>67.7</v>
      </c>
      <c r="O17" s="64">
        <v>0</v>
      </c>
      <c r="P17" s="64">
        <v>1.55</v>
      </c>
      <c r="Q17" s="64">
        <v>10.47</v>
      </c>
      <c r="R17" s="198"/>
      <c r="S17" s="198"/>
      <c r="T17" s="198"/>
      <c r="U17" s="198"/>
    </row>
    <row r="18" spans="1:21" s="12" customFormat="1" x14ac:dyDescent="0.25">
      <c r="A18" s="214" t="s">
        <v>3138</v>
      </c>
      <c r="B18" s="64">
        <v>46.11</v>
      </c>
      <c r="C18" s="64">
        <v>87.44</v>
      </c>
      <c r="D18" s="64">
        <v>85.88</v>
      </c>
      <c r="E18" s="64">
        <v>0.26</v>
      </c>
      <c r="F18" s="64">
        <v>3.1</v>
      </c>
      <c r="G18" s="64">
        <v>113.95</v>
      </c>
      <c r="H18" s="64">
        <v>73.2</v>
      </c>
      <c r="I18" s="64">
        <v>1.46</v>
      </c>
      <c r="J18" s="64">
        <v>0.04</v>
      </c>
      <c r="K18" s="64">
        <v>256.82</v>
      </c>
      <c r="L18" s="64">
        <v>15.66</v>
      </c>
      <c r="M18" s="64">
        <v>83.52</v>
      </c>
      <c r="N18" s="64">
        <v>70.599999999999994</v>
      </c>
      <c r="O18" s="64">
        <v>0</v>
      </c>
      <c r="P18" s="64">
        <v>1.48</v>
      </c>
      <c r="Q18" s="64">
        <v>10.09</v>
      </c>
      <c r="R18" s="198"/>
      <c r="S18" s="198"/>
      <c r="T18" s="198"/>
      <c r="U18" s="198"/>
    </row>
    <row r="19" spans="1:21" s="12" customFormat="1" x14ac:dyDescent="0.25">
      <c r="A19" s="214" t="s">
        <v>3139</v>
      </c>
      <c r="B19" s="64">
        <v>41.5</v>
      </c>
      <c r="C19" s="64">
        <v>87.36</v>
      </c>
      <c r="D19" s="64">
        <v>82.14</v>
      </c>
      <c r="E19" s="64">
        <v>0.22</v>
      </c>
      <c r="F19" s="64">
        <v>3.23</v>
      </c>
      <c r="G19" s="64">
        <v>113.95</v>
      </c>
      <c r="H19" s="64">
        <v>73.2</v>
      </c>
      <c r="I19" s="64">
        <v>1.49</v>
      </c>
      <c r="J19" s="64">
        <v>0.08</v>
      </c>
      <c r="K19" s="64">
        <v>24.59</v>
      </c>
      <c r="L19" s="64">
        <v>15.43</v>
      </c>
      <c r="M19" s="64">
        <v>85.03</v>
      </c>
      <c r="N19" s="64">
        <v>73.5</v>
      </c>
      <c r="O19" s="64">
        <v>0</v>
      </c>
      <c r="P19" s="64">
        <v>1.42</v>
      </c>
      <c r="Q19" s="64">
        <v>9.75</v>
      </c>
      <c r="R19" s="198"/>
      <c r="S19" s="198"/>
      <c r="T19" s="198"/>
      <c r="U19" s="198"/>
    </row>
    <row r="20" spans="1:21" s="12" customFormat="1" x14ac:dyDescent="0.25">
      <c r="A20" s="214" t="s">
        <v>3140</v>
      </c>
      <c r="B20" s="64">
        <v>37.770000000000003</v>
      </c>
      <c r="C20" s="64">
        <v>86.84</v>
      </c>
      <c r="D20" s="64">
        <v>78.87</v>
      </c>
      <c r="E20" s="64">
        <v>0.28999999999999998</v>
      </c>
      <c r="F20" s="64">
        <v>3.26</v>
      </c>
      <c r="G20" s="64">
        <v>99.9</v>
      </c>
      <c r="H20" s="64">
        <v>68.489999999999995</v>
      </c>
      <c r="I20" s="64">
        <v>1.45</v>
      </c>
      <c r="J20" s="64">
        <v>0.2</v>
      </c>
      <c r="K20" s="64">
        <v>333.27</v>
      </c>
      <c r="L20" s="64">
        <v>14.96</v>
      </c>
      <c r="M20" s="64">
        <v>89.02</v>
      </c>
      <c r="N20" s="64">
        <v>75</v>
      </c>
      <c r="O20" s="64">
        <v>0</v>
      </c>
      <c r="P20" s="64">
        <v>1.35</v>
      </c>
      <c r="Q20" s="64">
        <v>9.43</v>
      </c>
      <c r="R20" s="198"/>
      <c r="S20" s="198"/>
      <c r="T20" s="198"/>
      <c r="U20" s="198"/>
    </row>
    <row r="21" spans="1:21" s="12" customFormat="1" x14ac:dyDescent="0.25">
      <c r="A21" s="214" t="s">
        <v>3141</v>
      </c>
      <c r="B21" s="64">
        <v>34.76</v>
      </c>
      <c r="C21" s="64">
        <v>85.51</v>
      </c>
      <c r="D21" s="64">
        <v>75.709999999999994</v>
      </c>
      <c r="E21" s="64">
        <v>0.19</v>
      </c>
      <c r="F21" s="64">
        <v>3.19</v>
      </c>
      <c r="G21" s="64">
        <v>95.63</v>
      </c>
      <c r="H21" s="64">
        <v>68.489999999999995</v>
      </c>
      <c r="I21" s="64">
        <v>1.57</v>
      </c>
      <c r="J21" s="64">
        <v>0.06</v>
      </c>
      <c r="K21" s="64">
        <v>199.03</v>
      </c>
      <c r="L21" s="64">
        <v>14.55</v>
      </c>
      <c r="M21" s="64">
        <v>92.41</v>
      </c>
      <c r="N21" s="64">
        <v>75.3</v>
      </c>
      <c r="O21" s="64">
        <v>0</v>
      </c>
      <c r="P21" s="64">
        <v>1.3</v>
      </c>
      <c r="Q21" s="64">
        <v>9.11</v>
      </c>
      <c r="R21" s="198"/>
      <c r="S21" s="198"/>
      <c r="T21" s="198"/>
      <c r="U21" s="198"/>
    </row>
    <row r="22" spans="1:21" s="12" customFormat="1" x14ac:dyDescent="0.25">
      <c r="A22" s="214" t="s">
        <v>3142</v>
      </c>
      <c r="B22" s="64">
        <v>31.9</v>
      </c>
      <c r="C22" s="64">
        <v>84.69</v>
      </c>
      <c r="D22" s="64">
        <v>72.97</v>
      </c>
      <c r="E22" s="64">
        <v>0.23</v>
      </c>
      <c r="F22" s="64">
        <v>3.04</v>
      </c>
      <c r="G22" s="64">
        <v>95.63</v>
      </c>
      <c r="H22" s="64">
        <v>68.489999999999995</v>
      </c>
      <c r="I22" s="64">
        <v>1.5</v>
      </c>
      <c r="J22" s="64">
        <v>0.05</v>
      </c>
      <c r="K22" s="64">
        <v>114.54</v>
      </c>
      <c r="L22" s="64">
        <v>14.37</v>
      </c>
      <c r="M22" s="64">
        <v>92.66</v>
      </c>
      <c r="N22" s="64">
        <v>75.3</v>
      </c>
      <c r="O22" s="64">
        <v>0</v>
      </c>
      <c r="P22" s="64">
        <v>1.24</v>
      </c>
      <c r="Q22" s="64">
        <v>8.81</v>
      </c>
      <c r="R22" s="198"/>
      <c r="S22" s="198"/>
      <c r="T22" s="198"/>
      <c r="U22" s="198"/>
    </row>
    <row r="23" spans="1:21" s="12" customFormat="1" x14ac:dyDescent="0.25">
      <c r="A23" s="214" t="s">
        <v>3143</v>
      </c>
      <c r="B23" s="64">
        <v>29.95</v>
      </c>
      <c r="C23" s="64">
        <v>83.75</v>
      </c>
      <c r="D23" s="64">
        <v>70.88</v>
      </c>
      <c r="E23" s="64">
        <v>0.2</v>
      </c>
      <c r="F23" s="64">
        <v>2.92</v>
      </c>
      <c r="G23" s="64">
        <v>95.63</v>
      </c>
      <c r="H23" s="64">
        <v>68.489999999999995</v>
      </c>
      <c r="I23" s="64">
        <v>1.48</v>
      </c>
      <c r="J23" s="64">
        <v>0.08</v>
      </c>
      <c r="K23" s="64">
        <v>274.07</v>
      </c>
      <c r="L23" s="64">
        <v>14.21</v>
      </c>
      <c r="M23" s="64">
        <v>94.82</v>
      </c>
      <c r="N23" s="64">
        <v>74.900000000000006</v>
      </c>
      <c r="O23" s="64">
        <v>0</v>
      </c>
      <c r="P23" s="64">
        <v>1.19</v>
      </c>
      <c r="Q23" s="64">
        <v>8.56</v>
      </c>
      <c r="R23" s="198"/>
      <c r="S23" s="198"/>
      <c r="T23" s="198"/>
      <c r="U23" s="198"/>
    </row>
    <row r="24" spans="1:21" s="12" customFormat="1" x14ac:dyDescent="0.25">
      <c r="A24" s="214" t="s">
        <v>3144</v>
      </c>
      <c r="B24" s="64">
        <v>29.01</v>
      </c>
      <c r="C24" s="64">
        <v>82.56</v>
      </c>
      <c r="D24" s="64">
        <v>69.48</v>
      </c>
      <c r="E24" s="64">
        <v>0.12</v>
      </c>
      <c r="F24" s="64">
        <v>3.25</v>
      </c>
      <c r="G24" s="64">
        <v>94.55</v>
      </c>
      <c r="H24" s="64">
        <v>62.53</v>
      </c>
      <c r="I24" s="64">
        <v>1.43</v>
      </c>
      <c r="J24" s="64">
        <v>0.05</v>
      </c>
      <c r="K24" s="64">
        <v>268.17</v>
      </c>
      <c r="L24" s="64">
        <v>14.09</v>
      </c>
      <c r="M24" s="64">
        <v>96.72</v>
      </c>
      <c r="N24" s="64">
        <v>74.5</v>
      </c>
      <c r="O24" s="64">
        <v>0</v>
      </c>
      <c r="P24" s="64">
        <v>1.1499999999999999</v>
      </c>
      <c r="Q24" s="64">
        <v>8.4600000000000009</v>
      </c>
      <c r="R24" s="198"/>
      <c r="S24" s="198"/>
      <c r="T24" s="198"/>
      <c r="U24" s="198"/>
    </row>
    <row r="25" spans="1:21" s="12" customFormat="1" x14ac:dyDescent="0.25">
      <c r="A25" s="214" t="s">
        <v>3145</v>
      </c>
      <c r="B25" s="64">
        <v>28.13</v>
      </c>
      <c r="C25" s="64">
        <v>80.78</v>
      </c>
      <c r="D25" s="64">
        <v>67.790000000000006</v>
      </c>
      <c r="E25" s="64">
        <v>0.21</v>
      </c>
      <c r="F25" s="64">
        <v>3.15</v>
      </c>
      <c r="G25" s="64">
        <v>94.22</v>
      </c>
      <c r="H25" s="64">
        <v>62.53</v>
      </c>
      <c r="I25" s="64">
        <v>1.49</v>
      </c>
      <c r="J25" s="64">
        <v>7.0000000000000007E-2</v>
      </c>
      <c r="K25" s="64">
        <v>271.24</v>
      </c>
      <c r="L25" s="64">
        <v>13.96</v>
      </c>
      <c r="M25" s="64">
        <v>97.39</v>
      </c>
      <c r="N25" s="64">
        <v>74.5</v>
      </c>
      <c r="O25" s="64">
        <v>0</v>
      </c>
      <c r="P25" s="64">
        <v>1.1200000000000001</v>
      </c>
      <c r="Q25" s="64">
        <v>8.34</v>
      </c>
      <c r="R25" s="198"/>
      <c r="S25" s="198"/>
      <c r="T25" s="198"/>
      <c r="U25" s="198"/>
    </row>
    <row r="26" spans="1:21" s="12" customFormat="1" x14ac:dyDescent="0.25">
      <c r="A26" s="214" t="s">
        <v>3146</v>
      </c>
      <c r="B26" s="64">
        <v>29.03</v>
      </c>
      <c r="C26" s="64">
        <v>78.09</v>
      </c>
      <c r="D26" s="64">
        <v>67.02</v>
      </c>
      <c r="E26" s="64">
        <v>0.21</v>
      </c>
      <c r="F26" s="64">
        <v>3.21</v>
      </c>
      <c r="G26" s="64">
        <v>94.22</v>
      </c>
      <c r="H26" s="64">
        <v>62.53</v>
      </c>
      <c r="I26" s="64">
        <v>1.5</v>
      </c>
      <c r="J26" s="64">
        <v>0.06</v>
      </c>
      <c r="K26" s="64">
        <v>345.14</v>
      </c>
      <c r="L26" s="64">
        <v>13.87</v>
      </c>
      <c r="M26" s="64">
        <v>97.83</v>
      </c>
      <c r="N26" s="64">
        <v>74.900000000000006</v>
      </c>
      <c r="O26" s="64">
        <v>0</v>
      </c>
      <c r="P26" s="64">
        <v>1.0900000000000001</v>
      </c>
      <c r="Q26" s="64">
        <v>8.32</v>
      </c>
      <c r="R26" s="198"/>
      <c r="S26" s="198"/>
      <c r="T26" s="198"/>
      <c r="U26" s="198"/>
    </row>
    <row r="27" spans="1:21" s="12" customFormat="1" x14ac:dyDescent="0.25">
      <c r="A27" s="214" t="s">
        <v>3147</v>
      </c>
      <c r="B27" s="64">
        <v>33.159999999999997</v>
      </c>
      <c r="C27" s="64">
        <v>72.84</v>
      </c>
      <c r="D27" s="64">
        <v>67.44</v>
      </c>
      <c r="E27" s="64">
        <v>0.2</v>
      </c>
      <c r="F27" s="64">
        <v>3.36</v>
      </c>
      <c r="G27" s="64">
        <v>94.22</v>
      </c>
      <c r="H27" s="64">
        <v>62.53</v>
      </c>
      <c r="I27" s="64">
        <v>1.46</v>
      </c>
      <c r="J27" s="64">
        <v>0.02</v>
      </c>
      <c r="K27" s="64">
        <v>141.36000000000001</v>
      </c>
      <c r="L27" s="64">
        <v>13.74</v>
      </c>
      <c r="M27" s="64">
        <v>97.85</v>
      </c>
      <c r="N27" s="64">
        <v>74.3</v>
      </c>
      <c r="O27" s="64">
        <v>0</v>
      </c>
      <c r="P27" s="64">
        <v>1.06</v>
      </c>
      <c r="Q27" s="64">
        <v>8.3699999999999992</v>
      </c>
      <c r="R27" s="198"/>
      <c r="S27" s="198"/>
      <c r="T27" s="198"/>
      <c r="U27" s="198"/>
    </row>
    <row r="28" spans="1:21" s="12" customFormat="1" x14ac:dyDescent="0.25">
      <c r="A28" s="214" t="s">
        <v>3148</v>
      </c>
      <c r="B28" s="64">
        <v>36.869999999999997</v>
      </c>
      <c r="C28" s="64">
        <v>68.89</v>
      </c>
      <c r="D28" s="64">
        <v>68.23</v>
      </c>
      <c r="E28" s="64">
        <v>0.23</v>
      </c>
      <c r="F28" s="64">
        <v>3.3</v>
      </c>
      <c r="G28" s="64">
        <v>98.69</v>
      </c>
      <c r="H28" s="64">
        <v>60.29</v>
      </c>
      <c r="I28" s="64">
        <v>1.45</v>
      </c>
      <c r="J28" s="64">
        <v>0.1</v>
      </c>
      <c r="K28" s="64">
        <v>327.58999999999997</v>
      </c>
      <c r="L28" s="64">
        <v>13.67</v>
      </c>
      <c r="M28" s="64">
        <v>97.85</v>
      </c>
      <c r="N28" s="64">
        <v>73.900000000000006</v>
      </c>
      <c r="O28" s="64">
        <v>0</v>
      </c>
      <c r="P28" s="64">
        <v>1.04</v>
      </c>
      <c r="Q28" s="64">
        <v>8.44</v>
      </c>
      <c r="R28" s="198"/>
      <c r="S28" s="198"/>
      <c r="T28" s="198"/>
      <c r="U28" s="198"/>
    </row>
    <row r="29" spans="1:21" s="12" customFormat="1" x14ac:dyDescent="0.25">
      <c r="A29" s="214" t="s">
        <v>3149</v>
      </c>
      <c r="B29" s="64">
        <v>40.79</v>
      </c>
      <c r="C29" s="64">
        <v>65.55</v>
      </c>
      <c r="D29" s="64">
        <v>69.53</v>
      </c>
      <c r="E29" s="64">
        <v>0.22</v>
      </c>
      <c r="F29" s="64">
        <v>3.41</v>
      </c>
      <c r="G29" s="64">
        <v>100.05</v>
      </c>
      <c r="H29" s="64">
        <v>60.29</v>
      </c>
      <c r="I29" s="64">
        <v>1.48</v>
      </c>
      <c r="J29" s="64">
        <v>0.04</v>
      </c>
      <c r="K29" s="64">
        <v>234.84</v>
      </c>
      <c r="L29" s="64">
        <v>13.67</v>
      </c>
      <c r="M29" s="64">
        <v>97.85</v>
      </c>
      <c r="N29" s="64">
        <v>74.099999999999994</v>
      </c>
      <c r="O29" s="64">
        <v>0</v>
      </c>
      <c r="P29" s="64">
        <v>1.02</v>
      </c>
      <c r="Q29" s="64">
        <v>8.57</v>
      </c>
      <c r="R29" s="198"/>
      <c r="S29" s="198"/>
      <c r="T29" s="198"/>
      <c r="U29" s="198"/>
    </row>
    <row r="30" spans="1:21" s="12" customFormat="1" x14ac:dyDescent="0.25">
      <c r="A30" s="214" t="s">
        <v>3150</v>
      </c>
      <c r="B30" s="64">
        <v>46.17</v>
      </c>
      <c r="C30" s="64">
        <v>62.23</v>
      </c>
      <c r="D30" s="64">
        <v>72.010000000000005</v>
      </c>
      <c r="E30" s="64">
        <v>0.23</v>
      </c>
      <c r="F30" s="64">
        <v>3.34</v>
      </c>
      <c r="G30" s="64">
        <v>100.05</v>
      </c>
      <c r="H30" s="64">
        <v>60.29</v>
      </c>
      <c r="I30" s="64">
        <v>1.52</v>
      </c>
      <c r="J30" s="64">
        <v>0.1</v>
      </c>
      <c r="K30" s="64">
        <v>257.5</v>
      </c>
      <c r="L30" s="64">
        <v>13.64</v>
      </c>
      <c r="M30" s="64">
        <v>97.86</v>
      </c>
      <c r="N30" s="64">
        <v>74.3</v>
      </c>
      <c r="O30" s="64">
        <v>0</v>
      </c>
      <c r="P30" s="64">
        <v>1.02</v>
      </c>
      <c r="Q30" s="64">
        <v>8.7899999999999991</v>
      </c>
      <c r="R30" s="198"/>
      <c r="S30" s="198"/>
      <c r="T30" s="198"/>
      <c r="U30" s="198"/>
    </row>
    <row r="31" spans="1:21" s="12" customFormat="1" x14ac:dyDescent="0.25">
      <c r="A31" s="214" t="s">
        <v>3151</v>
      </c>
      <c r="B31" s="64">
        <v>53.44</v>
      </c>
      <c r="C31" s="64">
        <v>59.67</v>
      </c>
      <c r="D31" s="64">
        <v>76.430000000000007</v>
      </c>
      <c r="E31" s="64">
        <v>0.2</v>
      </c>
      <c r="F31" s="64">
        <v>3.34</v>
      </c>
      <c r="G31" s="64">
        <v>100.05</v>
      </c>
      <c r="H31" s="64">
        <v>60.29</v>
      </c>
      <c r="I31" s="64">
        <v>1.55</v>
      </c>
      <c r="J31" s="64">
        <v>0.09</v>
      </c>
      <c r="K31" s="64">
        <v>303.88</v>
      </c>
      <c r="L31" s="64">
        <v>13.81</v>
      </c>
      <c r="M31" s="64">
        <v>97.88</v>
      </c>
      <c r="N31" s="64">
        <v>74</v>
      </c>
      <c r="O31" s="64">
        <v>0</v>
      </c>
      <c r="P31" s="64">
        <v>1.02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4" t="s">
        <v>3152</v>
      </c>
      <c r="B32" s="64">
        <v>60.78</v>
      </c>
      <c r="C32" s="64">
        <v>58.88</v>
      </c>
      <c r="D32" s="64">
        <v>81.88</v>
      </c>
      <c r="E32" s="64">
        <v>0.24</v>
      </c>
      <c r="F32" s="64">
        <v>3.33</v>
      </c>
      <c r="G32" s="64">
        <v>126.55</v>
      </c>
      <c r="H32" s="64">
        <v>69.98</v>
      </c>
      <c r="I32" s="64">
        <v>1.56</v>
      </c>
      <c r="J32" s="64">
        <v>7.0000000000000007E-2</v>
      </c>
      <c r="K32" s="64">
        <v>264.12</v>
      </c>
      <c r="L32" s="64">
        <v>13.66</v>
      </c>
      <c r="M32" s="64">
        <v>97.88</v>
      </c>
      <c r="N32" s="64">
        <v>74</v>
      </c>
      <c r="O32" s="64">
        <v>0</v>
      </c>
      <c r="P32" s="64">
        <v>1.01</v>
      </c>
      <c r="Q32" s="64">
        <v>9.41</v>
      </c>
      <c r="R32" s="198"/>
      <c r="S32" s="198"/>
      <c r="T32" s="198"/>
      <c r="U32" s="198"/>
    </row>
    <row r="33" spans="1:21" s="12" customFormat="1" x14ac:dyDescent="0.25">
      <c r="A33" s="214" t="s">
        <v>3153</v>
      </c>
      <c r="B33" s="64">
        <v>67.53</v>
      </c>
      <c r="C33" s="64">
        <v>59.09</v>
      </c>
      <c r="D33" s="64">
        <v>87.41</v>
      </c>
      <c r="E33" s="64">
        <v>0.19</v>
      </c>
      <c r="F33" s="64">
        <v>3.64</v>
      </c>
      <c r="G33" s="64">
        <v>134.61000000000001</v>
      </c>
      <c r="H33" s="64">
        <v>69.98</v>
      </c>
      <c r="I33" s="64">
        <v>1.55</v>
      </c>
      <c r="J33" s="64">
        <v>0.14000000000000001</v>
      </c>
      <c r="K33" s="64">
        <v>307.51</v>
      </c>
      <c r="L33" s="64">
        <v>13.53</v>
      </c>
      <c r="M33" s="64">
        <v>97.88</v>
      </c>
      <c r="N33" s="64">
        <v>74</v>
      </c>
      <c r="O33" s="64">
        <v>0</v>
      </c>
      <c r="P33" s="64">
        <v>1.01</v>
      </c>
      <c r="Q33" s="64">
        <v>9.9</v>
      </c>
      <c r="R33" s="198"/>
      <c r="S33" s="198"/>
      <c r="T33" s="198"/>
      <c r="U33" s="198"/>
    </row>
    <row r="34" spans="1:21" s="12" customFormat="1" x14ac:dyDescent="0.25">
      <c r="A34" s="214" t="s">
        <v>3154</v>
      </c>
      <c r="B34" s="64">
        <v>76.34</v>
      </c>
      <c r="C34" s="64">
        <v>60.34</v>
      </c>
      <c r="D34" s="64">
        <v>95.17</v>
      </c>
      <c r="E34" s="64">
        <v>0.22</v>
      </c>
      <c r="F34" s="64">
        <v>3.63</v>
      </c>
      <c r="G34" s="64">
        <v>134.61000000000001</v>
      </c>
      <c r="H34" s="64">
        <v>69.98</v>
      </c>
      <c r="I34" s="64">
        <v>1.52</v>
      </c>
      <c r="J34" s="64">
        <v>0.1</v>
      </c>
      <c r="K34" s="64">
        <v>270.39999999999998</v>
      </c>
      <c r="L34" s="64">
        <v>13.65</v>
      </c>
      <c r="M34" s="64">
        <v>97.88</v>
      </c>
      <c r="N34" s="64">
        <v>75.400000000000006</v>
      </c>
      <c r="O34" s="64">
        <v>0</v>
      </c>
      <c r="P34" s="64">
        <v>1.02</v>
      </c>
      <c r="Q34" s="64">
        <v>10.5</v>
      </c>
      <c r="R34" s="198"/>
      <c r="S34" s="198"/>
      <c r="T34" s="198"/>
      <c r="U34" s="198"/>
    </row>
    <row r="35" spans="1:21" s="12" customFormat="1" x14ac:dyDescent="0.25">
      <c r="A35" s="214" t="s">
        <v>3155</v>
      </c>
      <c r="B35" s="64">
        <v>85.59</v>
      </c>
      <c r="C35" s="64">
        <v>60.91</v>
      </c>
      <c r="D35" s="64">
        <v>102.9</v>
      </c>
      <c r="E35" s="64">
        <v>0.26</v>
      </c>
      <c r="F35" s="64">
        <v>3.51</v>
      </c>
      <c r="G35" s="64">
        <v>134.61000000000001</v>
      </c>
      <c r="H35" s="64">
        <v>69.98</v>
      </c>
      <c r="I35" s="64">
        <v>1.47</v>
      </c>
      <c r="J35" s="64">
        <v>0.03</v>
      </c>
      <c r="K35" s="64">
        <v>301.20999999999998</v>
      </c>
      <c r="L35" s="64">
        <v>13.59</v>
      </c>
      <c r="M35" s="64">
        <v>97.88</v>
      </c>
      <c r="N35" s="64">
        <v>81.400000000000006</v>
      </c>
      <c r="O35" s="64">
        <v>0</v>
      </c>
      <c r="P35" s="64">
        <v>1.04</v>
      </c>
      <c r="Q35" s="64">
        <v>11.27</v>
      </c>
      <c r="R35" s="198"/>
      <c r="S35" s="198"/>
      <c r="T35" s="198"/>
      <c r="U35" s="198"/>
    </row>
    <row r="36" spans="1:21" s="12" customFormat="1" x14ac:dyDescent="0.25">
      <c r="A36" s="214" t="s">
        <v>3156</v>
      </c>
      <c r="B36" s="64">
        <v>92.7</v>
      </c>
      <c r="C36" s="64">
        <v>62.68</v>
      </c>
      <c r="D36" s="64">
        <v>109.58</v>
      </c>
      <c r="E36" s="64">
        <v>0.3</v>
      </c>
      <c r="F36" s="64">
        <v>3.4</v>
      </c>
      <c r="G36" s="64">
        <v>153.36000000000001</v>
      </c>
      <c r="H36" s="64">
        <v>68.44</v>
      </c>
      <c r="I36" s="64">
        <v>1.53</v>
      </c>
      <c r="J36" s="64">
        <v>0.1</v>
      </c>
      <c r="K36" s="64">
        <v>245.53</v>
      </c>
      <c r="L36" s="64">
        <v>13.73</v>
      </c>
      <c r="M36" s="64">
        <v>97.87</v>
      </c>
      <c r="N36" s="64">
        <v>101.3</v>
      </c>
      <c r="O36" s="64">
        <v>0</v>
      </c>
      <c r="P36" s="64">
        <v>1.06</v>
      </c>
      <c r="Q36" s="64">
        <v>11.98</v>
      </c>
      <c r="R36" s="198"/>
      <c r="S36" s="198"/>
      <c r="T36" s="198"/>
      <c r="U36" s="198"/>
    </row>
    <row r="37" spans="1:21" s="12" customFormat="1" x14ac:dyDescent="0.25">
      <c r="A37" s="214" t="s">
        <v>3157</v>
      </c>
      <c r="B37" s="64">
        <v>95.94</v>
      </c>
      <c r="C37" s="64">
        <v>65.209999999999994</v>
      </c>
      <c r="D37" s="64">
        <v>113.57</v>
      </c>
      <c r="E37" s="64">
        <v>0.28999999999999998</v>
      </c>
      <c r="F37" s="64">
        <v>3.1</v>
      </c>
      <c r="G37" s="64">
        <v>159.07</v>
      </c>
      <c r="H37" s="64">
        <v>68.44</v>
      </c>
      <c r="I37" s="64">
        <v>1.49</v>
      </c>
      <c r="J37" s="64">
        <v>0.14000000000000001</v>
      </c>
      <c r="K37" s="64">
        <v>342.25</v>
      </c>
      <c r="L37" s="64">
        <v>14.47</v>
      </c>
      <c r="M37" s="64">
        <v>97.85</v>
      </c>
      <c r="N37" s="64">
        <v>118</v>
      </c>
      <c r="O37" s="64">
        <v>0</v>
      </c>
      <c r="P37" s="64">
        <v>1.04</v>
      </c>
      <c r="Q37" s="64">
        <v>12.45</v>
      </c>
      <c r="R37" s="198"/>
      <c r="S37" s="198"/>
      <c r="T37" s="198"/>
      <c r="U37" s="198"/>
    </row>
    <row r="38" spans="1:21" s="12" customFormat="1" x14ac:dyDescent="0.25">
      <c r="A38" s="214" t="s">
        <v>3158</v>
      </c>
      <c r="B38" s="64">
        <v>101.05</v>
      </c>
      <c r="C38" s="64">
        <v>68.239999999999995</v>
      </c>
      <c r="D38" s="64">
        <v>119.34</v>
      </c>
      <c r="E38" s="64">
        <v>0.28999999999999998</v>
      </c>
      <c r="F38" s="64">
        <v>3.21</v>
      </c>
      <c r="G38" s="64">
        <v>159.07</v>
      </c>
      <c r="H38" s="64">
        <v>68.44</v>
      </c>
      <c r="I38" s="64">
        <v>1.44</v>
      </c>
      <c r="J38" s="64">
        <v>0.04</v>
      </c>
      <c r="K38" s="64">
        <v>326.48</v>
      </c>
      <c r="L38" s="64">
        <v>14.87</v>
      </c>
      <c r="M38" s="64">
        <v>97.57</v>
      </c>
      <c r="N38" s="64">
        <v>124.3</v>
      </c>
      <c r="O38" s="64">
        <v>0</v>
      </c>
      <c r="P38" s="64">
        <v>1.1100000000000001</v>
      </c>
      <c r="Q38" s="64">
        <v>12.89</v>
      </c>
      <c r="R38" s="198"/>
      <c r="S38" s="198"/>
      <c r="T38" s="198"/>
      <c r="U38" s="198"/>
    </row>
    <row r="39" spans="1:21" s="12" customFormat="1" x14ac:dyDescent="0.25">
      <c r="A39" s="214" t="s">
        <v>3159</v>
      </c>
      <c r="B39" s="64">
        <v>106.72</v>
      </c>
      <c r="C39" s="64">
        <v>71.25</v>
      </c>
      <c r="D39" s="64">
        <v>125.55</v>
      </c>
      <c r="E39" s="64">
        <v>0.37</v>
      </c>
      <c r="F39" s="64">
        <v>3.25</v>
      </c>
      <c r="G39" s="64">
        <v>159.07</v>
      </c>
      <c r="H39" s="64">
        <v>68.44</v>
      </c>
      <c r="I39" s="64">
        <v>1.51</v>
      </c>
      <c r="J39" s="64">
        <v>0.06</v>
      </c>
      <c r="K39" s="64">
        <v>223.06</v>
      </c>
      <c r="L39" s="64">
        <v>15.39</v>
      </c>
      <c r="M39" s="64">
        <v>95.53</v>
      </c>
      <c r="N39" s="64">
        <v>138.30000000000001</v>
      </c>
      <c r="O39" s="64">
        <v>0</v>
      </c>
      <c r="P39" s="64">
        <v>1.1599999999999999</v>
      </c>
      <c r="Q39" s="64">
        <v>13.29</v>
      </c>
      <c r="R39" s="198"/>
      <c r="S39" s="198"/>
      <c r="T39" s="198"/>
      <c r="U39" s="198"/>
    </row>
    <row r="40" spans="1:21" s="12" customFormat="1" x14ac:dyDescent="0.25">
      <c r="A40" s="214" t="s">
        <v>3160</v>
      </c>
      <c r="B40" s="64">
        <v>111.45</v>
      </c>
      <c r="C40" s="64">
        <v>74.13</v>
      </c>
      <c r="D40" s="64">
        <v>130.93</v>
      </c>
      <c r="E40" s="64">
        <v>0.13</v>
      </c>
      <c r="F40" s="64">
        <v>3.05</v>
      </c>
      <c r="G40" s="64">
        <v>161.66999999999999</v>
      </c>
      <c r="H40" s="64">
        <v>76.47</v>
      </c>
      <c r="I40" s="64">
        <v>1.49</v>
      </c>
      <c r="J40" s="64">
        <v>0.23</v>
      </c>
      <c r="K40" s="64">
        <v>134.93</v>
      </c>
      <c r="L40" s="64">
        <v>16.41</v>
      </c>
      <c r="M40" s="64">
        <v>87.25</v>
      </c>
      <c r="N40" s="64">
        <v>177.6</v>
      </c>
      <c r="O40" s="64">
        <v>0</v>
      </c>
      <c r="P40" s="64">
        <v>1.2</v>
      </c>
      <c r="Q40" s="64">
        <v>13.68</v>
      </c>
      <c r="R40" s="198"/>
      <c r="S40" s="198"/>
      <c r="T40" s="198"/>
      <c r="U40" s="198"/>
    </row>
    <row r="41" spans="1:21" s="12" customFormat="1" x14ac:dyDescent="0.25">
      <c r="A41" s="214" t="s">
        <v>3161</v>
      </c>
      <c r="B41" s="64">
        <v>112.92</v>
      </c>
      <c r="C41" s="64">
        <v>76.2</v>
      </c>
      <c r="D41" s="64">
        <v>133.25</v>
      </c>
      <c r="E41" s="64">
        <v>0.24</v>
      </c>
      <c r="F41" s="64">
        <v>3.05</v>
      </c>
      <c r="G41" s="64">
        <v>162.47</v>
      </c>
      <c r="H41" s="64">
        <v>76.47</v>
      </c>
      <c r="I41" s="64">
        <v>1.57</v>
      </c>
      <c r="J41" s="64">
        <v>0.43</v>
      </c>
      <c r="K41" s="64">
        <v>148.30000000000001</v>
      </c>
      <c r="L41" s="64">
        <v>17.190000000000001</v>
      </c>
      <c r="M41" s="64">
        <v>81.349999999999994</v>
      </c>
      <c r="N41" s="64">
        <v>211.1</v>
      </c>
      <c r="O41" s="64">
        <v>0</v>
      </c>
      <c r="P41" s="64">
        <v>1.22</v>
      </c>
      <c r="Q41" s="64">
        <v>14.06</v>
      </c>
      <c r="R41" s="198"/>
      <c r="S41" s="198"/>
      <c r="T41" s="198"/>
      <c r="U41" s="198"/>
    </row>
    <row r="42" spans="1:21" s="12" customFormat="1" x14ac:dyDescent="0.25">
      <c r="A42" s="214" t="s">
        <v>3162</v>
      </c>
      <c r="B42" s="64">
        <v>108.2</v>
      </c>
      <c r="C42" s="64">
        <v>78.260000000000005</v>
      </c>
      <c r="D42" s="64">
        <v>130.61000000000001</v>
      </c>
      <c r="E42" s="64">
        <v>0.23</v>
      </c>
      <c r="F42" s="64">
        <v>3.52</v>
      </c>
      <c r="G42" s="64">
        <v>162.47</v>
      </c>
      <c r="H42" s="64">
        <v>76.47</v>
      </c>
      <c r="I42" s="64">
        <v>1.53</v>
      </c>
      <c r="J42" s="64">
        <v>0.45</v>
      </c>
      <c r="K42" s="64">
        <v>145.69999999999999</v>
      </c>
      <c r="L42" s="64">
        <v>17.84</v>
      </c>
      <c r="M42" s="64">
        <v>77.39</v>
      </c>
      <c r="N42" s="64">
        <v>253.3</v>
      </c>
      <c r="O42" s="64">
        <v>0</v>
      </c>
      <c r="P42" s="64">
        <v>1.21</v>
      </c>
      <c r="Q42" s="64">
        <v>14.06</v>
      </c>
      <c r="R42" s="198"/>
      <c r="S42" s="198"/>
      <c r="T42" s="198"/>
      <c r="U42" s="198"/>
    </row>
    <row r="43" spans="1:21" s="12" customFormat="1" x14ac:dyDescent="0.25">
      <c r="A43" s="214" t="s">
        <v>3163</v>
      </c>
      <c r="B43" s="64">
        <v>100.6</v>
      </c>
      <c r="C43" s="64">
        <v>80.34</v>
      </c>
      <c r="D43" s="64">
        <v>125.65</v>
      </c>
      <c r="E43" s="64">
        <v>0.24</v>
      </c>
      <c r="F43" s="64">
        <v>3.25</v>
      </c>
      <c r="G43" s="64">
        <v>162.47</v>
      </c>
      <c r="H43" s="64">
        <v>76.47</v>
      </c>
      <c r="I43" s="64">
        <v>1.5</v>
      </c>
      <c r="J43" s="64">
        <v>0.44</v>
      </c>
      <c r="K43" s="64">
        <v>104.54</v>
      </c>
      <c r="L43" s="64">
        <v>18.309999999999999</v>
      </c>
      <c r="M43" s="64">
        <v>74.72</v>
      </c>
      <c r="N43" s="64">
        <v>261.39999999999998</v>
      </c>
      <c r="O43" s="64">
        <v>0</v>
      </c>
      <c r="P43" s="64">
        <v>1.2</v>
      </c>
      <c r="Q43" s="64">
        <v>13.76</v>
      </c>
      <c r="R43" s="198"/>
      <c r="S43" s="198"/>
      <c r="T43" s="198"/>
      <c r="U43" s="198"/>
    </row>
    <row r="44" spans="1:21" s="12" customFormat="1" x14ac:dyDescent="0.25">
      <c r="A44" s="214" t="s">
        <v>3164</v>
      </c>
      <c r="B44" s="64">
        <v>93.93</v>
      </c>
      <c r="C44" s="64">
        <v>82.47</v>
      </c>
      <c r="D44" s="64">
        <v>121.48</v>
      </c>
      <c r="E44" s="64">
        <v>0.26</v>
      </c>
      <c r="F44" s="64">
        <v>3.15</v>
      </c>
      <c r="G44" s="64">
        <v>155.01</v>
      </c>
      <c r="H44" s="64">
        <v>72.13</v>
      </c>
      <c r="I44" s="64">
        <v>1.57</v>
      </c>
      <c r="J44" s="64">
        <v>0.53</v>
      </c>
      <c r="K44" s="64">
        <v>104.28</v>
      </c>
      <c r="L44" s="64">
        <v>18.91</v>
      </c>
      <c r="M44" s="64">
        <v>72.2</v>
      </c>
      <c r="N44" s="64">
        <v>294.5</v>
      </c>
      <c r="O44" s="64">
        <v>0</v>
      </c>
      <c r="P44" s="64">
        <v>1.19</v>
      </c>
      <c r="Q44" s="64">
        <v>13.39</v>
      </c>
      <c r="R44" s="198"/>
      <c r="S44" s="198"/>
      <c r="T44" s="198"/>
      <c r="U44" s="198"/>
    </row>
    <row r="45" spans="1:21" s="12" customFormat="1" x14ac:dyDescent="0.25">
      <c r="A45" s="214" t="s">
        <v>3165</v>
      </c>
      <c r="B45" s="64">
        <v>86.74</v>
      </c>
      <c r="C45" s="64">
        <v>84.53</v>
      </c>
      <c r="D45" s="64">
        <v>116.86</v>
      </c>
      <c r="E45" s="64">
        <v>0.23</v>
      </c>
      <c r="F45" s="64">
        <v>3.34</v>
      </c>
      <c r="G45" s="64">
        <v>152.75</v>
      </c>
      <c r="H45" s="64">
        <v>72.13</v>
      </c>
      <c r="I45" s="64">
        <v>1.51</v>
      </c>
      <c r="J45" s="64">
        <v>0.54</v>
      </c>
      <c r="K45" s="64">
        <v>149.37</v>
      </c>
      <c r="L45" s="64">
        <v>19.54</v>
      </c>
      <c r="M45" s="64">
        <v>69.040000000000006</v>
      </c>
      <c r="N45" s="64">
        <v>332.8</v>
      </c>
      <c r="O45" s="64">
        <v>0</v>
      </c>
      <c r="P45" s="64">
        <v>1.18</v>
      </c>
      <c r="Q45" s="64">
        <v>12.94</v>
      </c>
      <c r="R45" s="198"/>
      <c r="S45" s="198"/>
      <c r="T45" s="198"/>
      <c r="U45" s="198"/>
    </row>
    <row r="46" spans="1:21" s="12" customFormat="1" x14ac:dyDescent="0.25">
      <c r="A46" s="214" t="s">
        <v>3166</v>
      </c>
      <c r="B46" s="64">
        <v>78.88</v>
      </c>
      <c r="C46" s="64">
        <v>87.3</v>
      </c>
      <c r="D46" s="64">
        <v>112.08</v>
      </c>
      <c r="E46" s="64">
        <v>0.18</v>
      </c>
      <c r="F46" s="64">
        <v>3.37</v>
      </c>
      <c r="G46" s="64">
        <v>152.75</v>
      </c>
      <c r="H46" s="64">
        <v>72.13</v>
      </c>
      <c r="I46" s="64">
        <v>1.5</v>
      </c>
      <c r="J46" s="64">
        <v>0.41</v>
      </c>
      <c r="K46" s="64">
        <v>129.91</v>
      </c>
      <c r="L46" s="64">
        <v>20.71</v>
      </c>
      <c r="M46" s="64">
        <v>64.260000000000005</v>
      </c>
      <c r="N46" s="64">
        <v>376.9</v>
      </c>
      <c r="O46" s="64">
        <v>0</v>
      </c>
      <c r="P46" s="64">
        <v>1.1599999999999999</v>
      </c>
      <c r="Q46" s="64">
        <v>12.51</v>
      </c>
      <c r="R46" s="198"/>
      <c r="S46" s="198"/>
      <c r="T46" s="198"/>
      <c r="U46" s="198"/>
    </row>
    <row r="47" spans="1:21" s="12" customFormat="1" x14ac:dyDescent="0.25">
      <c r="A47" s="214" t="s">
        <v>3167</v>
      </c>
      <c r="B47" s="64">
        <v>71.06</v>
      </c>
      <c r="C47" s="64">
        <v>89.46</v>
      </c>
      <c r="D47" s="64">
        <v>107</v>
      </c>
      <c r="E47" s="64">
        <v>0.14000000000000001</v>
      </c>
      <c r="F47" s="64">
        <v>3.21</v>
      </c>
      <c r="G47" s="64">
        <v>152.75</v>
      </c>
      <c r="H47" s="64">
        <v>72.13</v>
      </c>
      <c r="I47" s="64">
        <v>1.48</v>
      </c>
      <c r="J47" s="64">
        <v>0.46</v>
      </c>
      <c r="K47" s="64">
        <v>113.65</v>
      </c>
      <c r="L47" s="64">
        <v>20.74</v>
      </c>
      <c r="M47" s="64">
        <v>62.26</v>
      </c>
      <c r="N47" s="64">
        <v>392.8</v>
      </c>
      <c r="O47" s="64">
        <v>0</v>
      </c>
      <c r="P47" s="64">
        <v>1.1299999999999999</v>
      </c>
      <c r="Q47" s="64">
        <v>12.05</v>
      </c>
      <c r="R47" s="198"/>
      <c r="S47" s="198"/>
      <c r="T47" s="198"/>
      <c r="U47" s="198"/>
    </row>
    <row r="48" spans="1:21" s="12" customFormat="1" x14ac:dyDescent="0.25">
      <c r="A48" s="214" t="s">
        <v>3168</v>
      </c>
      <c r="B48" s="64">
        <v>63.61</v>
      </c>
      <c r="C48" s="64">
        <v>91.74</v>
      </c>
      <c r="D48" s="64">
        <v>102.29</v>
      </c>
      <c r="E48" s="64">
        <v>0.12</v>
      </c>
      <c r="F48" s="64">
        <v>3.26</v>
      </c>
      <c r="G48" s="64">
        <v>130.94999999999999</v>
      </c>
      <c r="H48" s="64">
        <v>72.83</v>
      </c>
      <c r="I48" s="64">
        <v>1.53</v>
      </c>
      <c r="J48" s="64">
        <v>0.23</v>
      </c>
      <c r="K48" s="64">
        <v>151.80000000000001</v>
      </c>
      <c r="L48" s="64">
        <v>22.16</v>
      </c>
      <c r="M48" s="64">
        <v>56.38</v>
      </c>
      <c r="N48" s="64">
        <v>402.3</v>
      </c>
      <c r="O48" s="64">
        <v>0</v>
      </c>
      <c r="P48" s="64">
        <v>1.1000000000000001</v>
      </c>
      <c r="Q48" s="64">
        <v>11.67</v>
      </c>
      <c r="R48" s="198"/>
      <c r="S48" s="198"/>
      <c r="T48" s="198"/>
      <c r="U48" s="198"/>
    </row>
    <row r="49" spans="1:21" s="12" customFormat="1" x14ac:dyDescent="0.25">
      <c r="A49" s="214" t="s">
        <v>3169</v>
      </c>
      <c r="B49" s="64">
        <v>56.41</v>
      </c>
      <c r="C49" s="64">
        <v>94.31</v>
      </c>
      <c r="D49" s="64">
        <v>97.93</v>
      </c>
      <c r="E49" s="64">
        <v>0.14000000000000001</v>
      </c>
      <c r="F49" s="64">
        <v>3.41</v>
      </c>
      <c r="G49" s="64">
        <v>124.31</v>
      </c>
      <c r="H49" s="64">
        <v>72.83</v>
      </c>
      <c r="I49" s="64">
        <v>1.58</v>
      </c>
      <c r="J49" s="64">
        <v>0.16</v>
      </c>
      <c r="K49" s="64">
        <v>352</v>
      </c>
      <c r="L49" s="64">
        <v>23.59</v>
      </c>
      <c r="M49" s="64">
        <v>51.62</v>
      </c>
      <c r="N49" s="64">
        <v>413.4</v>
      </c>
      <c r="O49" s="64">
        <v>0</v>
      </c>
      <c r="P49" s="64">
        <v>1.0900000000000001</v>
      </c>
      <c r="Q49" s="64">
        <v>11.2</v>
      </c>
      <c r="R49" s="198"/>
      <c r="S49" s="198"/>
      <c r="T49" s="198"/>
      <c r="U49" s="198"/>
    </row>
    <row r="50" spans="1:21" s="12" customFormat="1" x14ac:dyDescent="0.25">
      <c r="A50" s="214" t="s">
        <v>3170</v>
      </c>
      <c r="B50" s="64">
        <v>51.05</v>
      </c>
      <c r="C50" s="64">
        <v>96.28</v>
      </c>
      <c r="D50" s="64">
        <v>94.72</v>
      </c>
      <c r="E50" s="64">
        <v>0.06</v>
      </c>
      <c r="F50" s="64">
        <v>3.33</v>
      </c>
      <c r="G50" s="64">
        <v>124.31</v>
      </c>
      <c r="H50" s="64">
        <v>72.83</v>
      </c>
      <c r="I50" s="64">
        <v>1.46</v>
      </c>
      <c r="J50" s="64">
        <v>0.44</v>
      </c>
      <c r="K50" s="64">
        <v>346.51</v>
      </c>
      <c r="L50" s="64">
        <v>25.48</v>
      </c>
      <c r="M50" s="64">
        <v>45.86</v>
      </c>
      <c r="N50" s="64">
        <v>435.6</v>
      </c>
      <c r="O50" s="64">
        <v>0</v>
      </c>
      <c r="P50" s="64">
        <v>1.1000000000000001</v>
      </c>
      <c r="Q50" s="64">
        <v>10.8</v>
      </c>
      <c r="R50" s="198"/>
      <c r="S50" s="198"/>
      <c r="T50" s="198"/>
      <c r="U50" s="198"/>
    </row>
    <row r="51" spans="1:21" s="12" customFormat="1" x14ac:dyDescent="0.25">
      <c r="A51" s="214" t="s">
        <v>3171</v>
      </c>
      <c r="B51" s="64">
        <v>47.49</v>
      </c>
      <c r="C51" s="64">
        <v>96.83</v>
      </c>
      <c r="D51" s="64">
        <v>92.17</v>
      </c>
      <c r="E51" s="64">
        <v>0.06</v>
      </c>
      <c r="F51" s="64">
        <v>3.42</v>
      </c>
      <c r="G51" s="64">
        <v>124.31</v>
      </c>
      <c r="H51" s="64">
        <v>72.83</v>
      </c>
      <c r="I51" s="64">
        <v>1.48</v>
      </c>
      <c r="J51" s="64">
        <v>0.28999999999999998</v>
      </c>
      <c r="K51" s="64">
        <v>122.62</v>
      </c>
      <c r="L51" s="64">
        <v>24.85</v>
      </c>
      <c r="M51" s="64">
        <v>46.53</v>
      </c>
      <c r="N51" s="64">
        <v>463.8</v>
      </c>
      <c r="O51" s="64">
        <v>0</v>
      </c>
      <c r="P51" s="64">
        <v>1.1000000000000001</v>
      </c>
      <c r="Q51" s="64">
        <v>10.46</v>
      </c>
      <c r="R51" s="198"/>
      <c r="S51" s="198"/>
      <c r="T51" s="198"/>
      <c r="U51" s="198"/>
    </row>
    <row r="52" spans="1:21" s="12" customFormat="1" x14ac:dyDescent="0.25">
      <c r="A52" s="214" t="s">
        <v>3172</v>
      </c>
      <c r="B52" s="64">
        <v>43.47</v>
      </c>
      <c r="C52" s="64">
        <v>97.59</v>
      </c>
      <c r="D52" s="64">
        <v>89.36</v>
      </c>
      <c r="E52" s="64">
        <v>0.13</v>
      </c>
      <c r="F52" s="64">
        <v>3.13</v>
      </c>
      <c r="G52" s="64">
        <v>123.11</v>
      </c>
      <c r="H52" s="64">
        <v>70.03</v>
      </c>
      <c r="I52" s="64">
        <v>1.52</v>
      </c>
      <c r="J52" s="64">
        <v>0.51</v>
      </c>
      <c r="K52" s="64">
        <v>336.5</v>
      </c>
      <c r="L52" s="64">
        <v>26.29</v>
      </c>
      <c r="M52" s="64">
        <v>42.62</v>
      </c>
      <c r="N52" s="64">
        <v>462</v>
      </c>
      <c r="O52" s="64">
        <v>0</v>
      </c>
      <c r="P52" s="64">
        <v>1.1000000000000001</v>
      </c>
      <c r="Q52" s="64">
        <v>10.220000000000001</v>
      </c>
      <c r="R52" s="198"/>
      <c r="S52" s="198"/>
      <c r="T52" s="198"/>
      <c r="U52" s="198"/>
    </row>
    <row r="53" spans="1:21" s="12" customFormat="1" x14ac:dyDescent="0.25">
      <c r="A53" s="214" t="s">
        <v>3173</v>
      </c>
      <c r="B53" s="64">
        <v>38.76</v>
      </c>
      <c r="C53" s="64">
        <v>99.77</v>
      </c>
      <c r="D53" s="64">
        <v>86.79</v>
      </c>
      <c r="E53" s="64">
        <v>0.14000000000000001</v>
      </c>
      <c r="F53" s="64">
        <v>3.41</v>
      </c>
      <c r="G53" s="64">
        <v>122.75</v>
      </c>
      <c r="H53" s="64">
        <v>70.03</v>
      </c>
      <c r="I53" s="64">
        <v>1.56</v>
      </c>
      <c r="J53" s="64">
        <v>0.38</v>
      </c>
      <c r="K53" s="64">
        <v>332.18</v>
      </c>
      <c r="L53" s="64">
        <v>26.69</v>
      </c>
      <c r="M53" s="64">
        <v>41.59</v>
      </c>
      <c r="N53" s="64">
        <v>471.9</v>
      </c>
      <c r="O53" s="64">
        <v>0</v>
      </c>
      <c r="P53" s="64">
        <v>1.1000000000000001</v>
      </c>
      <c r="Q53" s="64">
        <v>10.029999999999999</v>
      </c>
      <c r="R53" s="198"/>
      <c r="S53" s="198"/>
      <c r="T53" s="198"/>
      <c r="U53" s="198"/>
    </row>
    <row r="54" spans="1:21" s="12" customFormat="1" x14ac:dyDescent="0.25">
      <c r="A54" s="214" t="s">
        <v>3174</v>
      </c>
      <c r="B54" s="64">
        <v>35.369999999999997</v>
      </c>
      <c r="C54" s="64">
        <v>100.35</v>
      </c>
      <c r="D54" s="64">
        <v>84.39</v>
      </c>
      <c r="E54" s="64">
        <v>0.11</v>
      </c>
      <c r="F54" s="64">
        <v>3.32</v>
      </c>
      <c r="G54" s="64">
        <v>122.75</v>
      </c>
      <c r="H54" s="64">
        <v>70.03</v>
      </c>
      <c r="I54" s="64">
        <v>1.55</v>
      </c>
      <c r="J54" s="64">
        <v>0.3</v>
      </c>
      <c r="K54" s="64">
        <v>138.25</v>
      </c>
      <c r="L54" s="64">
        <v>26.15</v>
      </c>
      <c r="M54" s="64">
        <v>41.86</v>
      </c>
      <c r="N54" s="64">
        <v>486.1</v>
      </c>
      <c r="O54" s="64">
        <v>0</v>
      </c>
      <c r="P54" s="64">
        <v>1.0900000000000001</v>
      </c>
      <c r="Q54" s="64">
        <v>9.8699999999999992</v>
      </c>
      <c r="R54" s="198"/>
      <c r="S54" s="198"/>
      <c r="T54" s="198"/>
      <c r="U54" s="198"/>
    </row>
    <row r="55" spans="1:21" s="12" customFormat="1" x14ac:dyDescent="0.25">
      <c r="A55" s="214" t="s">
        <v>3175</v>
      </c>
      <c r="B55" s="64">
        <v>31.95</v>
      </c>
      <c r="C55" s="64">
        <v>100.57</v>
      </c>
      <c r="D55" s="64">
        <v>81.77</v>
      </c>
      <c r="E55" s="64">
        <v>0.1</v>
      </c>
      <c r="F55" s="64">
        <v>3.26</v>
      </c>
      <c r="G55" s="64">
        <v>122.75</v>
      </c>
      <c r="H55" s="64">
        <v>70.03</v>
      </c>
      <c r="I55" s="64">
        <v>1.46</v>
      </c>
      <c r="J55" s="64">
        <v>0.5</v>
      </c>
      <c r="K55" s="64">
        <v>349.77</v>
      </c>
      <c r="L55" s="64">
        <v>27.01</v>
      </c>
      <c r="M55" s="64">
        <v>39.89</v>
      </c>
      <c r="N55" s="64">
        <v>489.8</v>
      </c>
      <c r="O55" s="64">
        <v>0</v>
      </c>
      <c r="P55" s="64">
        <v>1.06</v>
      </c>
      <c r="Q55" s="64">
        <v>9.67</v>
      </c>
      <c r="R55" s="198"/>
      <c r="S55" s="198"/>
      <c r="T55" s="198"/>
      <c r="U55" s="198"/>
    </row>
    <row r="56" spans="1:21" s="12" customFormat="1" x14ac:dyDescent="0.25">
      <c r="A56" s="214" t="s">
        <v>3176</v>
      </c>
      <c r="B56" s="64">
        <v>28.84</v>
      </c>
      <c r="C56" s="64">
        <v>100.86</v>
      </c>
      <c r="D56" s="64">
        <v>79.430000000000007</v>
      </c>
      <c r="E56" s="64">
        <v>0.14000000000000001</v>
      </c>
      <c r="F56" s="64">
        <v>3.22</v>
      </c>
      <c r="G56" s="64">
        <v>113.74</v>
      </c>
      <c r="H56" s="64">
        <v>65.77</v>
      </c>
      <c r="I56" s="64">
        <v>1.55</v>
      </c>
      <c r="J56" s="64">
        <v>0.22</v>
      </c>
      <c r="K56" s="64">
        <v>77.489999999999995</v>
      </c>
      <c r="L56" s="64">
        <v>25.58</v>
      </c>
      <c r="M56" s="64">
        <v>44.22</v>
      </c>
      <c r="N56" s="64">
        <v>480.6</v>
      </c>
      <c r="O56" s="64">
        <v>0</v>
      </c>
      <c r="P56" s="64">
        <v>1.08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4" t="s">
        <v>3177</v>
      </c>
      <c r="B57" s="64">
        <v>26.13</v>
      </c>
      <c r="C57" s="64">
        <v>100.89</v>
      </c>
      <c r="D57" s="64">
        <v>77.28</v>
      </c>
      <c r="E57" s="64">
        <v>0.23</v>
      </c>
      <c r="F57" s="64">
        <v>3.43</v>
      </c>
      <c r="G57" s="64">
        <v>111</v>
      </c>
      <c r="H57" s="64">
        <v>65.77</v>
      </c>
      <c r="I57" s="64">
        <v>1.56</v>
      </c>
      <c r="J57" s="64">
        <v>0.09</v>
      </c>
      <c r="K57" s="64">
        <v>7.43</v>
      </c>
      <c r="L57" s="64">
        <v>26.85</v>
      </c>
      <c r="M57" s="64">
        <v>39.86</v>
      </c>
      <c r="N57" s="64">
        <v>473.4</v>
      </c>
      <c r="O57" s="64">
        <v>0</v>
      </c>
      <c r="P57" s="64">
        <v>1.08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14" t="s">
        <v>3178</v>
      </c>
      <c r="B58" s="64">
        <v>22.59</v>
      </c>
      <c r="C58" s="64">
        <v>101.83</v>
      </c>
      <c r="D58" s="64">
        <v>74.959999999999994</v>
      </c>
      <c r="E58" s="64">
        <v>0.27</v>
      </c>
      <c r="F58" s="64">
        <v>3.57</v>
      </c>
      <c r="G58" s="64">
        <v>111</v>
      </c>
      <c r="H58" s="64">
        <v>65.77</v>
      </c>
      <c r="I58" s="64">
        <v>1.46</v>
      </c>
      <c r="J58" s="64">
        <v>0.24</v>
      </c>
      <c r="K58" s="64">
        <v>131.69999999999999</v>
      </c>
      <c r="L58" s="64">
        <v>25.25</v>
      </c>
      <c r="M58" s="64">
        <v>43.64</v>
      </c>
      <c r="N58" s="64">
        <v>476.8</v>
      </c>
      <c r="O58" s="64">
        <v>0</v>
      </c>
      <c r="P58" s="64">
        <v>1.07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4" t="s">
        <v>3179</v>
      </c>
      <c r="B59" s="64">
        <v>18.649999999999999</v>
      </c>
      <c r="C59" s="64">
        <v>102.99</v>
      </c>
      <c r="D59" s="64">
        <v>72.44</v>
      </c>
      <c r="E59" s="64">
        <v>0.24</v>
      </c>
      <c r="F59" s="64">
        <v>3.47</v>
      </c>
      <c r="G59" s="64">
        <v>111</v>
      </c>
      <c r="H59" s="64">
        <v>65.77</v>
      </c>
      <c r="I59" s="64">
        <v>1.45</v>
      </c>
      <c r="J59" s="64">
        <v>0.59</v>
      </c>
      <c r="K59" s="64">
        <v>128.55000000000001</v>
      </c>
      <c r="L59" s="64">
        <v>25.18</v>
      </c>
      <c r="M59" s="64">
        <v>44.05</v>
      </c>
      <c r="N59" s="64">
        <v>411.2</v>
      </c>
      <c r="O59" s="64">
        <v>0</v>
      </c>
      <c r="P59" s="64">
        <v>1.04</v>
      </c>
      <c r="Q59" s="64">
        <v>8.89</v>
      </c>
      <c r="R59" s="198"/>
      <c r="S59" s="198"/>
      <c r="T59" s="198"/>
      <c r="U59" s="198"/>
    </row>
    <row r="60" spans="1:21" s="12" customFormat="1" x14ac:dyDescent="0.25">
      <c r="A60" s="214" t="s">
        <v>3180</v>
      </c>
      <c r="B60" s="64">
        <v>15.8</v>
      </c>
      <c r="C60" s="64">
        <v>102.5</v>
      </c>
      <c r="D60" s="64">
        <v>69.89</v>
      </c>
      <c r="E60" s="64">
        <v>0.28000000000000003</v>
      </c>
      <c r="F60" s="64">
        <v>3.61</v>
      </c>
      <c r="G60" s="64">
        <v>107.29</v>
      </c>
      <c r="H60" s="64">
        <v>61.45</v>
      </c>
      <c r="I60" s="64">
        <v>1.48</v>
      </c>
      <c r="J60" s="64">
        <v>0.7</v>
      </c>
      <c r="K60" s="64">
        <v>152.47</v>
      </c>
      <c r="L60" s="64">
        <v>24.13</v>
      </c>
      <c r="M60" s="64">
        <v>45.52</v>
      </c>
      <c r="N60" s="64">
        <v>409.6</v>
      </c>
      <c r="O60" s="64">
        <v>0</v>
      </c>
      <c r="P60" s="64">
        <v>1.04</v>
      </c>
      <c r="Q60" s="64">
        <v>8.68</v>
      </c>
      <c r="R60" s="198"/>
      <c r="S60" s="198"/>
      <c r="T60" s="198"/>
      <c r="U60" s="198"/>
    </row>
    <row r="61" spans="1:21" s="12" customFormat="1" x14ac:dyDescent="0.25">
      <c r="A61" s="214" t="s">
        <v>3181</v>
      </c>
      <c r="B61" s="64">
        <v>13.37</v>
      </c>
      <c r="C61" s="64">
        <v>101.81</v>
      </c>
      <c r="D61" s="64">
        <v>67.55</v>
      </c>
      <c r="E61" s="64">
        <v>0.28000000000000003</v>
      </c>
      <c r="F61" s="64">
        <v>3.71</v>
      </c>
      <c r="G61" s="64">
        <v>106.16</v>
      </c>
      <c r="H61" s="64">
        <v>61.45</v>
      </c>
      <c r="I61" s="64">
        <v>1.57</v>
      </c>
      <c r="J61" s="64">
        <v>0.77</v>
      </c>
      <c r="K61" s="64">
        <v>117.59</v>
      </c>
      <c r="L61" s="64">
        <v>24.13</v>
      </c>
      <c r="M61" s="64">
        <v>46.19</v>
      </c>
      <c r="N61" s="64">
        <v>400.2</v>
      </c>
      <c r="O61" s="64">
        <v>0</v>
      </c>
      <c r="P61" s="64">
        <v>1.01</v>
      </c>
      <c r="Q61" s="64">
        <v>8.5</v>
      </c>
      <c r="R61" s="198"/>
      <c r="S61" s="198"/>
      <c r="T61" s="198"/>
      <c r="U61" s="198"/>
    </row>
    <row r="62" spans="1:21" s="12" customFormat="1" x14ac:dyDescent="0.25">
      <c r="A62" s="214" t="s">
        <v>3182</v>
      </c>
      <c r="B62" s="64">
        <v>11.63</v>
      </c>
      <c r="C62" s="64">
        <v>100.22</v>
      </c>
      <c r="D62" s="64">
        <v>65.28</v>
      </c>
      <c r="E62" s="64">
        <v>0.27</v>
      </c>
      <c r="F62" s="64">
        <v>3.41</v>
      </c>
      <c r="G62" s="64">
        <v>106.16</v>
      </c>
      <c r="H62" s="64">
        <v>61.45</v>
      </c>
      <c r="I62" s="64">
        <v>1.4</v>
      </c>
      <c r="J62" s="64">
        <v>0.23</v>
      </c>
      <c r="K62" s="64">
        <v>73.180000000000007</v>
      </c>
      <c r="L62" s="64">
        <v>24.47</v>
      </c>
      <c r="M62" s="64">
        <v>45.55</v>
      </c>
      <c r="N62" s="64">
        <v>369.8</v>
      </c>
      <c r="O62" s="64">
        <v>0</v>
      </c>
      <c r="P62" s="64">
        <v>1.07</v>
      </c>
      <c r="Q62" s="64">
        <v>8.2799999999999994</v>
      </c>
      <c r="R62" s="198"/>
      <c r="S62" s="198"/>
      <c r="T62" s="198"/>
      <c r="U62" s="198"/>
    </row>
    <row r="63" spans="1:21" s="12" customFormat="1" x14ac:dyDescent="0.25">
      <c r="A63" s="214" t="s">
        <v>3183</v>
      </c>
      <c r="B63" s="64">
        <v>10.24</v>
      </c>
      <c r="C63" s="64">
        <v>98.82</v>
      </c>
      <c r="D63" s="64">
        <v>63.39</v>
      </c>
      <c r="E63" s="64">
        <v>0.28000000000000003</v>
      </c>
      <c r="F63" s="64">
        <v>3.69</v>
      </c>
      <c r="G63" s="64">
        <v>106.16</v>
      </c>
      <c r="H63" s="64">
        <v>61.45</v>
      </c>
      <c r="I63" s="64">
        <v>1.48</v>
      </c>
      <c r="J63" s="64">
        <v>0.09</v>
      </c>
      <c r="K63" s="64">
        <v>331.24</v>
      </c>
      <c r="L63" s="64">
        <v>25.4</v>
      </c>
      <c r="M63" s="64">
        <v>42.79</v>
      </c>
      <c r="N63" s="64">
        <v>346.2</v>
      </c>
      <c r="O63" s="64">
        <v>0</v>
      </c>
      <c r="P63" s="64">
        <v>1.07</v>
      </c>
      <c r="Q63" s="64">
        <v>8.16</v>
      </c>
      <c r="R63" s="198"/>
      <c r="S63" s="198"/>
      <c r="T63" s="198"/>
      <c r="U63" s="198"/>
    </row>
    <row r="64" spans="1:21" s="12" customFormat="1" x14ac:dyDescent="0.25">
      <c r="A64" s="214" t="s">
        <v>3184</v>
      </c>
      <c r="B64" s="64">
        <v>8.34</v>
      </c>
      <c r="C64" s="64">
        <v>97.33</v>
      </c>
      <c r="D64" s="64">
        <v>61.04</v>
      </c>
      <c r="E64" s="64">
        <v>0.27</v>
      </c>
      <c r="F64" s="64">
        <v>4.07</v>
      </c>
      <c r="G64" s="64">
        <v>109.71</v>
      </c>
      <c r="H64" s="64">
        <v>63.8</v>
      </c>
      <c r="I64" s="64">
        <v>1.46</v>
      </c>
      <c r="J64" s="64">
        <v>0.54</v>
      </c>
      <c r="K64" s="64">
        <v>139.38999999999999</v>
      </c>
      <c r="L64" s="64">
        <v>25.23</v>
      </c>
      <c r="M64" s="64">
        <v>41.67</v>
      </c>
      <c r="N64" s="64">
        <v>264.10000000000002</v>
      </c>
      <c r="O64" s="64">
        <v>0</v>
      </c>
      <c r="P64" s="64">
        <v>1.04</v>
      </c>
      <c r="Q64" s="64">
        <v>8.17</v>
      </c>
      <c r="R64" s="198"/>
      <c r="S64" s="198"/>
      <c r="T64" s="198"/>
      <c r="U64" s="198"/>
    </row>
    <row r="65" spans="1:21" s="12" customFormat="1" x14ac:dyDescent="0.25">
      <c r="A65" s="214" t="s">
        <v>3185</v>
      </c>
      <c r="B65" s="64">
        <v>6.59</v>
      </c>
      <c r="C65" s="64">
        <v>96.69</v>
      </c>
      <c r="D65" s="64">
        <v>59.29</v>
      </c>
      <c r="E65" s="64">
        <v>0.24</v>
      </c>
      <c r="F65" s="64">
        <v>4.29</v>
      </c>
      <c r="G65" s="64">
        <v>110.79</v>
      </c>
      <c r="H65" s="64">
        <v>63.8</v>
      </c>
      <c r="I65" s="64">
        <v>1.47</v>
      </c>
      <c r="J65" s="64">
        <v>0.68</v>
      </c>
      <c r="K65" s="64">
        <v>106.29</v>
      </c>
      <c r="L65" s="64">
        <v>24.33</v>
      </c>
      <c r="M65" s="64">
        <v>44.37</v>
      </c>
      <c r="N65" s="64">
        <v>215.3</v>
      </c>
      <c r="O65" s="64">
        <v>0</v>
      </c>
      <c r="P65" s="64">
        <v>1.02</v>
      </c>
      <c r="Q65" s="64">
        <v>7.91</v>
      </c>
      <c r="R65" s="198"/>
      <c r="S65" s="198"/>
      <c r="T65" s="198"/>
      <c r="U65" s="198"/>
    </row>
    <row r="66" spans="1:21" s="12" customFormat="1" x14ac:dyDescent="0.25">
      <c r="A66" s="214" t="s">
        <v>3186</v>
      </c>
      <c r="B66" s="64">
        <v>5.56</v>
      </c>
      <c r="C66" s="64">
        <v>95.13</v>
      </c>
      <c r="D66" s="64">
        <v>57.61</v>
      </c>
      <c r="E66" s="64">
        <v>0.18</v>
      </c>
      <c r="F66" s="64">
        <v>4.7300000000000004</v>
      </c>
      <c r="G66" s="64">
        <v>110.79</v>
      </c>
      <c r="H66" s="64">
        <v>63.8</v>
      </c>
      <c r="I66" s="64">
        <v>1.5</v>
      </c>
      <c r="J66" s="64">
        <v>0.75</v>
      </c>
      <c r="K66" s="64">
        <v>108.33</v>
      </c>
      <c r="L66" s="64">
        <v>23.94</v>
      </c>
      <c r="M66" s="64">
        <v>45.22</v>
      </c>
      <c r="N66" s="64">
        <v>198.4</v>
      </c>
      <c r="O66" s="64">
        <v>0</v>
      </c>
      <c r="P66" s="64">
        <v>1</v>
      </c>
      <c r="Q66" s="64">
        <v>7.63</v>
      </c>
      <c r="R66" s="198"/>
      <c r="S66" s="198"/>
      <c r="T66" s="198"/>
      <c r="U66" s="198"/>
    </row>
    <row r="67" spans="1:21" s="12" customFormat="1" x14ac:dyDescent="0.25">
      <c r="A67" s="214" t="s">
        <v>3187</v>
      </c>
      <c r="B67" s="64">
        <v>4.83</v>
      </c>
      <c r="C67" s="64">
        <v>93</v>
      </c>
      <c r="D67" s="64">
        <v>55.84</v>
      </c>
      <c r="E67" s="64">
        <v>0.23</v>
      </c>
      <c r="F67" s="64">
        <v>4.71</v>
      </c>
      <c r="G67" s="64">
        <v>110.79</v>
      </c>
      <c r="H67" s="64">
        <v>63.8</v>
      </c>
      <c r="I67" s="64">
        <v>1.52</v>
      </c>
      <c r="J67" s="64">
        <v>0.44</v>
      </c>
      <c r="K67" s="64">
        <v>108.72</v>
      </c>
      <c r="L67" s="64">
        <v>24.01</v>
      </c>
      <c r="M67" s="64">
        <v>44.67</v>
      </c>
      <c r="N67" s="64">
        <v>182.5</v>
      </c>
      <c r="O67" s="64">
        <v>0</v>
      </c>
      <c r="P67" s="64">
        <v>0.97</v>
      </c>
      <c r="Q67" s="64">
        <v>7.45</v>
      </c>
      <c r="R67" s="198"/>
      <c r="S67" s="198"/>
      <c r="T67" s="198"/>
      <c r="U67" s="198"/>
    </row>
    <row r="68" spans="1:21" s="12" customFormat="1" x14ac:dyDescent="0.25">
      <c r="A68" s="214" t="s">
        <v>3188</v>
      </c>
      <c r="B68" s="64">
        <v>4.42</v>
      </c>
      <c r="C68" s="64">
        <v>91.3</v>
      </c>
      <c r="D68" s="64">
        <v>54.58</v>
      </c>
      <c r="E68" s="64">
        <v>0.18</v>
      </c>
      <c r="F68" s="64">
        <v>4.7300000000000004</v>
      </c>
      <c r="G68" s="64">
        <v>106.7</v>
      </c>
      <c r="H68" s="64">
        <v>63.05</v>
      </c>
      <c r="I68" s="64">
        <v>1.56</v>
      </c>
      <c r="J68" s="64">
        <v>0.37</v>
      </c>
      <c r="K68" s="64">
        <v>338.82</v>
      </c>
      <c r="L68" s="64">
        <v>24.79</v>
      </c>
      <c r="M68" s="64">
        <v>44.1</v>
      </c>
      <c r="N68" s="64">
        <v>157.6</v>
      </c>
      <c r="O68" s="64">
        <v>0</v>
      </c>
      <c r="P68" s="64">
        <v>0.97</v>
      </c>
      <c r="Q68" s="64">
        <v>7.3</v>
      </c>
      <c r="R68" s="198"/>
      <c r="S68" s="198"/>
      <c r="T68" s="198"/>
      <c r="U68" s="198"/>
    </row>
    <row r="69" spans="1:21" s="12" customFormat="1" x14ac:dyDescent="0.25">
      <c r="A69" s="214" t="s">
        <v>3189</v>
      </c>
      <c r="B69" s="64">
        <v>4.5</v>
      </c>
      <c r="C69" s="64">
        <v>91.78</v>
      </c>
      <c r="D69" s="64">
        <v>54.9</v>
      </c>
      <c r="E69" s="64">
        <v>0.25</v>
      </c>
      <c r="F69" s="64">
        <v>4.63</v>
      </c>
      <c r="G69" s="64">
        <v>105.46</v>
      </c>
      <c r="H69" s="64">
        <v>63.05</v>
      </c>
      <c r="I69" s="64">
        <v>1.5</v>
      </c>
      <c r="J69" s="64">
        <v>0.49</v>
      </c>
      <c r="K69" s="64">
        <v>115.94</v>
      </c>
      <c r="L69" s="64">
        <v>24.52</v>
      </c>
      <c r="M69" s="64">
        <v>45</v>
      </c>
      <c r="N69" s="64">
        <v>140.19999999999999</v>
      </c>
      <c r="O69" s="64">
        <v>0</v>
      </c>
      <c r="P69" s="64">
        <v>1.01</v>
      </c>
      <c r="Q69" s="64">
        <v>7.22</v>
      </c>
      <c r="R69" s="198"/>
      <c r="S69" s="198"/>
      <c r="T69" s="198"/>
      <c r="U69" s="198"/>
    </row>
    <row r="70" spans="1:21" s="12" customFormat="1" x14ac:dyDescent="0.25">
      <c r="A70" s="214" t="s">
        <v>3190</v>
      </c>
      <c r="B70" s="64">
        <v>4.3600000000000003</v>
      </c>
      <c r="C70" s="64">
        <v>91.8</v>
      </c>
      <c r="D70" s="64">
        <v>54.8</v>
      </c>
      <c r="E70" s="64">
        <v>0.24</v>
      </c>
      <c r="F70" s="64">
        <v>4.79</v>
      </c>
      <c r="G70" s="64">
        <v>105.46</v>
      </c>
      <c r="H70" s="64">
        <v>63.05</v>
      </c>
      <c r="I70" s="64">
        <v>1.5</v>
      </c>
      <c r="J70" s="64">
        <v>0.51</v>
      </c>
      <c r="K70" s="64">
        <v>103.6</v>
      </c>
      <c r="L70" s="64">
        <v>23.63</v>
      </c>
      <c r="M70" s="64">
        <v>47.13</v>
      </c>
      <c r="N70" s="64">
        <v>126.1</v>
      </c>
      <c r="O70" s="64">
        <v>0</v>
      </c>
      <c r="P70" s="64">
        <v>1</v>
      </c>
      <c r="Q70" s="64">
        <v>7.22</v>
      </c>
      <c r="R70" s="198"/>
      <c r="S70" s="198"/>
      <c r="T70" s="198"/>
      <c r="U70" s="198"/>
    </row>
    <row r="71" spans="1:21" s="12" customFormat="1" x14ac:dyDescent="0.25">
      <c r="A71" s="214" t="s">
        <v>3191</v>
      </c>
      <c r="B71" s="64">
        <v>4.2</v>
      </c>
      <c r="C71" s="64">
        <v>91.33</v>
      </c>
      <c r="D71" s="64">
        <v>54.42</v>
      </c>
      <c r="E71" s="64">
        <v>0.25</v>
      </c>
      <c r="F71" s="64">
        <v>4.95</v>
      </c>
      <c r="G71" s="64">
        <v>105.46</v>
      </c>
      <c r="H71" s="64">
        <v>63.05</v>
      </c>
      <c r="I71" s="64">
        <v>1.52</v>
      </c>
      <c r="J71" s="64">
        <v>0.48</v>
      </c>
      <c r="K71" s="64">
        <v>95.53</v>
      </c>
      <c r="L71" s="64">
        <v>23.54</v>
      </c>
      <c r="M71" s="64">
        <v>45.98</v>
      </c>
      <c r="N71" s="64">
        <v>110.8</v>
      </c>
      <c r="O71" s="64">
        <v>0</v>
      </c>
      <c r="P71" s="64">
        <v>1</v>
      </c>
      <c r="Q71" s="64">
        <v>7.19</v>
      </c>
      <c r="R71" s="198"/>
      <c r="S71" s="198"/>
      <c r="T71" s="198"/>
      <c r="U71" s="198"/>
    </row>
    <row r="72" spans="1:21" s="12" customFormat="1" x14ac:dyDescent="0.25">
      <c r="A72" s="214" t="s">
        <v>3192</v>
      </c>
      <c r="B72" s="64">
        <v>4.22</v>
      </c>
      <c r="C72" s="64">
        <v>91.27</v>
      </c>
      <c r="D72" s="64">
        <v>54.4</v>
      </c>
      <c r="E72" s="64">
        <v>0.14000000000000001</v>
      </c>
      <c r="F72" s="64">
        <v>4.7300000000000004</v>
      </c>
      <c r="G72" s="64">
        <v>119.4</v>
      </c>
      <c r="H72" s="64">
        <v>67.7</v>
      </c>
      <c r="I72" s="64">
        <v>1.48</v>
      </c>
      <c r="J72" s="64">
        <v>0.39</v>
      </c>
      <c r="K72" s="64">
        <v>353.51</v>
      </c>
      <c r="L72" s="64">
        <v>23.49</v>
      </c>
      <c r="M72" s="64">
        <v>46.72</v>
      </c>
      <c r="N72" s="64">
        <v>96.2</v>
      </c>
      <c r="O72" s="64">
        <v>0</v>
      </c>
      <c r="P72" s="64">
        <v>1.01</v>
      </c>
      <c r="Q72" s="64">
        <v>7.18</v>
      </c>
      <c r="R72" s="198"/>
      <c r="S72" s="198"/>
      <c r="T72" s="198"/>
      <c r="U72" s="198"/>
    </row>
    <row r="73" spans="1:21" s="12" customFormat="1" x14ac:dyDescent="0.25">
      <c r="A73" s="214" t="s">
        <v>3193</v>
      </c>
      <c r="B73" s="64">
        <v>4.5199999999999996</v>
      </c>
      <c r="C73" s="64">
        <v>91.97</v>
      </c>
      <c r="D73" s="64">
        <v>55.03</v>
      </c>
      <c r="E73" s="64">
        <v>0.18</v>
      </c>
      <c r="F73" s="64">
        <v>4.5</v>
      </c>
      <c r="G73" s="64">
        <v>123.64</v>
      </c>
      <c r="H73" s="64">
        <v>67.7</v>
      </c>
      <c r="I73" s="64">
        <v>1.45</v>
      </c>
      <c r="J73" s="64">
        <v>0.78</v>
      </c>
      <c r="K73" s="64">
        <v>346.13</v>
      </c>
      <c r="L73" s="64">
        <v>23.58</v>
      </c>
      <c r="M73" s="64">
        <v>44.21</v>
      </c>
      <c r="N73" s="64">
        <v>86.2</v>
      </c>
      <c r="O73" s="64">
        <v>0</v>
      </c>
      <c r="P73" s="64">
        <v>1.02</v>
      </c>
      <c r="Q73" s="64">
        <v>7.18</v>
      </c>
      <c r="R73" s="198"/>
      <c r="S73" s="198"/>
      <c r="T73" s="198"/>
      <c r="U73" s="198"/>
    </row>
    <row r="74" spans="1:21" s="12" customFormat="1" x14ac:dyDescent="0.25">
      <c r="A74" s="214" t="s">
        <v>3194</v>
      </c>
      <c r="B74" s="64">
        <v>4.99</v>
      </c>
      <c r="C74" s="64">
        <v>93.05</v>
      </c>
      <c r="D74" s="64">
        <v>56</v>
      </c>
      <c r="E74" s="64">
        <v>0.13</v>
      </c>
      <c r="F74" s="64">
        <v>4.42</v>
      </c>
      <c r="G74" s="64">
        <v>123.64</v>
      </c>
      <c r="H74" s="64">
        <v>67.7</v>
      </c>
      <c r="I74" s="64">
        <v>1.53</v>
      </c>
      <c r="J74" s="64">
        <v>0.89</v>
      </c>
      <c r="K74" s="64">
        <v>347.34</v>
      </c>
      <c r="L74" s="64">
        <v>23.28</v>
      </c>
      <c r="M74" s="64">
        <v>45.16</v>
      </c>
      <c r="N74" s="64">
        <v>76.3</v>
      </c>
      <c r="O74" s="64">
        <v>0</v>
      </c>
      <c r="P74" s="64">
        <v>1.03</v>
      </c>
      <c r="Q74" s="64">
        <v>7.23</v>
      </c>
      <c r="R74" s="198"/>
      <c r="S74" s="198"/>
      <c r="T74" s="198"/>
      <c r="U74" s="198"/>
    </row>
    <row r="75" spans="1:21" s="12" customFormat="1" x14ac:dyDescent="0.25">
      <c r="A75" s="214" t="s">
        <v>3195</v>
      </c>
      <c r="B75" s="64">
        <v>5.47</v>
      </c>
      <c r="C75" s="64">
        <v>94.41</v>
      </c>
      <c r="D75" s="64">
        <v>57.13</v>
      </c>
      <c r="E75" s="64">
        <v>0.16</v>
      </c>
      <c r="F75" s="64">
        <v>4.2</v>
      </c>
      <c r="G75" s="64">
        <v>123.64</v>
      </c>
      <c r="H75" s="64">
        <v>67.7</v>
      </c>
      <c r="I75" s="64">
        <v>1.5</v>
      </c>
      <c r="J75" s="64">
        <v>0.4</v>
      </c>
      <c r="K75" s="64">
        <v>338.4</v>
      </c>
      <c r="L75" s="64">
        <v>22.84</v>
      </c>
      <c r="M75" s="64">
        <v>48.98</v>
      </c>
      <c r="N75" s="64">
        <v>65</v>
      </c>
      <c r="O75" s="64">
        <v>0</v>
      </c>
      <c r="P75" s="64">
        <v>1.07</v>
      </c>
      <c r="Q75" s="64">
        <v>7.25</v>
      </c>
      <c r="R75" s="198"/>
      <c r="S75" s="198"/>
      <c r="T75" s="198"/>
      <c r="U75" s="198"/>
    </row>
    <row r="76" spans="1:21" s="12" customFormat="1" x14ac:dyDescent="0.25">
      <c r="A76" s="214" t="s">
        <v>3196</v>
      </c>
      <c r="B76" s="64">
        <v>6.33</v>
      </c>
      <c r="C76" s="64">
        <v>96.43</v>
      </c>
      <c r="D76" s="64">
        <v>58.94</v>
      </c>
      <c r="E76" s="64">
        <v>0.16</v>
      </c>
      <c r="F76" s="64">
        <v>3.67</v>
      </c>
      <c r="G76" s="64">
        <v>126.58</v>
      </c>
      <c r="H76" s="64">
        <v>61.23</v>
      </c>
      <c r="I76" s="64">
        <v>1.5</v>
      </c>
      <c r="J76" s="64">
        <v>0.3</v>
      </c>
      <c r="K76" s="64">
        <v>326.56</v>
      </c>
      <c r="L76" s="64">
        <v>21.95</v>
      </c>
      <c r="M76" s="64">
        <v>59.99</v>
      </c>
      <c r="N76" s="64">
        <v>56.4</v>
      </c>
      <c r="O76" s="64">
        <v>0</v>
      </c>
      <c r="P76" s="64">
        <v>1.0900000000000001</v>
      </c>
      <c r="Q76" s="64">
        <v>7.32</v>
      </c>
      <c r="R76" s="198"/>
      <c r="S76" s="198"/>
      <c r="T76" s="198"/>
      <c r="U76" s="198"/>
    </row>
    <row r="77" spans="1:21" s="12" customFormat="1" x14ac:dyDescent="0.25">
      <c r="A77" s="214" t="s">
        <v>3197</v>
      </c>
      <c r="B77" s="64">
        <v>7.93</v>
      </c>
      <c r="C77" s="64">
        <v>98.5</v>
      </c>
      <c r="D77" s="64">
        <v>61.36</v>
      </c>
      <c r="E77" s="64">
        <v>0.2</v>
      </c>
      <c r="F77" s="64">
        <v>3.45</v>
      </c>
      <c r="G77" s="64">
        <v>127.48</v>
      </c>
      <c r="H77" s="64">
        <v>61.23</v>
      </c>
      <c r="I77" s="64">
        <v>1.48</v>
      </c>
      <c r="J77" s="64">
        <v>0.1</v>
      </c>
      <c r="K77" s="64">
        <v>65.44</v>
      </c>
      <c r="L77" s="64">
        <v>21.44</v>
      </c>
      <c r="M77" s="64">
        <v>59.62</v>
      </c>
      <c r="N77" s="64">
        <v>49.3</v>
      </c>
      <c r="O77" s="64">
        <v>0</v>
      </c>
      <c r="P77" s="64">
        <v>1.1399999999999999</v>
      </c>
      <c r="Q77" s="64">
        <v>7.45</v>
      </c>
      <c r="R77" s="198"/>
      <c r="S77" s="198"/>
      <c r="T77" s="198"/>
      <c r="U77" s="198"/>
    </row>
    <row r="78" spans="1:21" s="12" customFormat="1" x14ac:dyDescent="0.25">
      <c r="A78" s="214" t="s">
        <v>3198</v>
      </c>
      <c r="B78" s="64">
        <v>8.81</v>
      </c>
      <c r="C78" s="64">
        <v>100.16</v>
      </c>
      <c r="D78" s="64">
        <v>62.99</v>
      </c>
      <c r="E78" s="64">
        <v>0.16</v>
      </c>
      <c r="F78" s="64">
        <v>3.18</v>
      </c>
      <c r="G78" s="64">
        <v>127.48</v>
      </c>
      <c r="H78" s="64">
        <v>61.23</v>
      </c>
      <c r="I78" s="64">
        <v>1.41</v>
      </c>
      <c r="J78" s="64">
        <v>0.16</v>
      </c>
      <c r="K78" s="64">
        <v>79.78</v>
      </c>
      <c r="L78" s="64">
        <v>20.93</v>
      </c>
      <c r="M78" s="64">
        <v>61.09</v>
      </c>
      <c r="N78" s="64">
        <v>45.5</v>
      </c>
      <c r="O78" s="64">
        <v>0</v>
      </c>
      <c r="P78" s="64">
        <v>1.2</v>
      </c>
      <c r="Q78" s="64">
        <v>7.62</v>
      </c>
      <c r="R78" s="198"/>
      <c r="S78" s="198"/>
      <c r="T78" s="198"/>
      <c r="U78" s="198"/>
    </row>
    <row r="79" spans="1:21" s="12" customFormat="1" x14ac:dyDescent="0.25">
      <c r="A79" s="214" t="s">
        <v>3199</v>
      </c>
      <c r="B79" s="64">
        <v>9.43</v>
      </c>
      <c r="C79" s="64">
        <v>100.05</v>
      </c>
      <c r="D79" s="64">
        <v>63.43</v>
      </c>
      <c r="E79" s="64">
        <v>0.18</v>
      </c>
      <c r="F79" s="64">
        <v>3.53</v>
      </c>
      <c r="G79" s="64">
        <v>127.48</v>
      </c>
      <c r="H79" s="64">
        <v>61.23</v>
      </c>
      <c r="I79" s="64">
        <v>1.51</v>
      </c>
      <c r="J79" s="64">
        <v>0.21</v>
      </c>
      <c r="K79" s="64">
        <v>80.2</v>
      </c>
      <c r="L79" s="64">
        <v>20.53</v>
      </c>
      <c r="M79" s="64">
        <v>64.28</v>
      </c>
      <c r="N79" s="64">
        <v>53</v>
      </c>
      <c r="O79" s="64">
        <v>0</v>
      </c>
      <c r="P79" s="64">
        <v>1.19</v>
      </c>
      <c r="Q79" s="64">
        <v>7.66</v>
      </c>
      <c r="R79" s="198"/>
      <c r="S79" s="198"/>
      <c r="T79" s="198"/>
      <c r="U79" s="198"/>
    </row>
    <row r="80" spans="1:21" s="12" customFormat="1" x14ac:dyDescent="0.25">
      <c r="A80" s="214" t="s">
        <v>3200</v>
      </c>
      <c r="B80" s="64">
        <v>9.75</v>
      </c>
      <c r="C80" s="64">
        <v>99.41</v>
      </c>
      <c r="D80" s="64">
        <v>63.32</v>
      </c>
      <c r="E80" s="64">
        <v>0.17</v>
      </c>
      <c r="F80" s="64">
        <v>3.14</v>
      </c>
      <c r="G80" s="64">
        <v>129.29</v>
      </c>
      <c r="H80" s="64">
        <v>65.760000000000005</v>
      </c>
      <c r="I80" s="64">
        <v>1.47</v>
      </c>
      <c r="J80" s="64">
        <v>0.16</v>
      </c>
      <c r="K80" s="64">
        <v>75.83</v>
      </c>
      <c r="L80" s="64">
        <v>20.059999999999999</v>
      </c>
      <c r="M80" s="64">
        <v>68.319999999999993</v>
      </c>
      <c r="N80" s="64">
        <v>55.1</v>
      </c>
      <c r="O80" s="64">
        <v>0</v>
      </c>
      <c r="P80" s="64">
        <v>1.23</v>
      </c>
      <c r="Q80" s="64">
        <v>7.68</v>
      </c>
      <c r="R80" s="198"/>
      <c r="S80" s="198"/>
      <c r="T80" s="198"/>
      <c r="U80" s="198"/>
    </row>
    <row r="81" spans="1:26" s="12" customFormat="1" x14ac:dyDescent="0.25">
      <c r="A81" s="214" t="s">
        <v>3201</v>
      </c>
      <c r="B81" s="64">
        <v>10.59</v>
      </c>
      <c r="C81" s="64">
        <v>98.52</v>
      </c>
      <c r="D81" s="64">
        <v>63.51</v>
      </c>
      <c r="E81" s="64">
        <v>0.16</v>
      </c>
      <c r="F81" s="64">
        <v>3.35</v>
      </c>
      <c r="G81" s="64">
        <v>129.84</v>
      </c>
      <c r="H81" s="64">
        <v>65.760000000000005</v>
      </c>
      <c r="I81" s="64">
        <v>1.52</v>
      </c>
      <c r="J81" s="64">
        <v>0.17</v>
      </c>
      <c r="K81" s="64">
        <v>77.95</v>
      </c>
      <c r="L81" s="64">
        <v>19.96</v>
      </c>
      <c r="M81" s="64">
        <v>66.650000000000006</v>
      </c>
      <c r="N81" s="64">
        <v>53.4</v>
      </c>
      <c r="O81" s="64">
        <v>0</v>
      </c>
      <c r="P81" s="64">
        <v>1.29</v>
      </c>
      <c r="Q81" s="64">
        <v>7.74</v>
      </c>
      <c r="R81" s="198"/>
      <c r="S81" s="198"/>
      <c r="T81" s="198"/>
      <c r="U81" s="198"/>
    </row>
    <row r="82" spans="1:26" s="12" customFormat="1" x14ac:dyDescent="0.25">
      <c r="A82" s="214" t="s">
        <v>3202</v>
      </c>
      <c r="B82" s="64">
        <v>11.97</v>
      </c>
      <c r="C82" s="64">
        <v>97.63</v>
      </c>
      <c r="D82" s="64">
        <v>64.13</v>
      </c>
      <c r="E82" s="64">
        <v>0.16</v>
      </c>
      <c r="F82" s="64">
        <v>3.3</v>
      </c>
      <c r="G82" s="64">
        <v>129.84</v>
      </c>
      <c r="H82" s="64">
        <v>65.760000000000005</v>
      </c>
      <c r="I82" s="64">
        <v>1.48</v>
      </c>
      <c r="J82" s="64">
        <v>0.12</v>
      </c>
      <c r="K82" s="64">
        <v>72.959999999999994</v>
      </c>
      <c r="L82" s="64">
        <v>19.670000000000002</v>
      </c>
      <c r="M82" s="64">
        <v>62.08</v>
      </c>
      <c r="N82" s="64">
        <v>54.4</v>
      </c>
      <c r="O82" s="64">
        <v>0</v>
      </c>
      <c r="P82" s="64">
        <v>1.32</v>
      </c>
      <c r="Q82" s="64">
        <v>7.89</v>
      </c>
      <c r="R82" s="198"/>
      <c r="S82" s="198"/>
      <c r="T82" s="198"/>
      <c r="U82" s="198"/>
    </row>
    <row r="83" spans="1:26" s="12" customFormat="1" x14ac:dyDescent="0.25">
      <c r="A83" s="214" t="s">
        <v>3203</v>
      </c>
      <c r="B83" s="64">
        <v>12.37</v>
      </c>
      <c r="C83" s="64">
        <v>97.27</v>
      </c>
      <c r="D83" s="64">
        <v>64.239999999999995</v>
      </c>
      <c r="E83" s="64">
        <v>0.19</v>
      </c>
      <c r="F83" s="64">
        <v>3.34</v>
      </c>
      <c r="G83" s="64">
        <v>129.84</v>
      </c>
      <c r="H83" s="64">
        <v>65.760000000000005</v>
      </c>
      <c r="I83" s="64">
        <v>1.49</v>
      </c>
      <c r="J83" s="64">
        <v>0.14000000000000001</v>
      </c>
      <c r="K83" s="64">
        <v>93.8</v>
      </c>
      <c r="L83" s="64">
        <v>19.350000000000001</v>
      </c>
      <c r="M83" s="64">
        <v>63.04</v>
      </c>
      <c r="N83" s="64">
        <v>54.1</v>
      </c>
      <c r="O83" s="64">
        <v>0</v>
      </c>
      <c r="P83" s="64">
        <v>1.33</v>
      </c>
      <c r="Q83" s="64">
        <v>7.96</v>
      </c>
      <c r="R83" s="198"/>
      <c r="S83" s="198"/>
      <c r="T83" s="198"/>
      <c r="U83" s="198"/>
    </row>
    <row r="84" spans="1:26" s="12" customFormat="1" x14ac:dyDescent="0.25">
      <c r="A84" s="214" t="s">
        <v>3204</v>
      </c>
      <c r="B84" s="64">
        <v>12.3</v>
      </c>
      <c r="C84" s="64">
        <v>96.86</v>
      </c>
      <c r="D84" s="64">
        <v>63.96</v>
      </c>
      <c r="E84" s="64">
        <v>0.19</v>
      </c>
      <c r="F84" s="64">
        <v>3.51</v>
      </c>
      <c r="G84" s="64">
        <v>138.58000000000001</v>
      </c>
      <c r="H84" s="64">
        <v>68.099999999999994</v>
      </c>
      <c r="I84" s="64">
        <v>1.54</v>
      </c>
      <c r="J84" s="64">
        <v>0.15</v>
      </c>
      <c r="K84" s="64">
        <v>101.77</v>
      </c>
      <c r="L84" s="64">
        <v>19.2</v>
      </c>
      <c r="M84" s="64">
        <v>64.239999999999995</v>
      </c>
      <c r="N84" s="64">
        <v>54.6</v>
      </c>
      <c r="O84" s="64">
        <v>0</v>
      </c>
      <c r="P84" s="64">
        <v>1.33</v>
      </c>
      <c r="Q84" s="64">
        <v>7.99</v>
      </c>
      <c r="R84" s="198"/>
      <c r="S84" s="198"/>
      <c r="T84" s="198"/>
      <c r="U84" s="198"/>
    </row>
    <row r="85" spans="1:26" s="12" customFormat="1" x14ac:dyDescent="0.25">
      <c r="A85" s="214" t="s">
        <v>3205</v>
      </c>
      <c r="B85" s="64">
        <v>12.58</v>
      </c>
      <c r="C85" s="64">
        <v>96.08</v>
      </c>
      <c r="D85" s="64">
        <v>63.76</v>
      </c>
      <c r="E85" s="64">
        <v>0.15</v>
      </c>
      <c r="F85" s="64">
        <v>3.38</v>
      </c>
      <c r="G85" s="64">
        <v>141.24</v>
      </c>
      <c r="H85" s="64">
        <v>68.099999999999994</v>
      </c>
      <c r="I85" s="64">
        <v>1.5</v>
      </c>
      <c r="J85" s="64">
        <v>0.06</v>
      </c>
      <c r="K85" s="64">
        <v>31.03</v>
      </c>
      <c r="L85" s="64">
        <v>19.010000000000002</v>
      </c>
      <c r="M85" s="64">
        <v>65.989999999999995</v>
      </c>
      <c r="N85" s="64">
        <v>55.5</v>
      </c>
      <c r="O85" s="64">
        <v>0</v>
      </c>
      <c r="P85" s="64">
        <v>1.38</v>
      </c>
      <c r="Q85" s="64">
        <v>8</v>
      </c>
      <c r="R85" s="198"/>
      <c r="S85" s="198"/>
      <c r="T85" s="198"/>
      <c r="U85" s="198"/>
    </row>
    <row r="86" spans="1:26" s="12" customFormat="1" x14ac:dyDescent="0.25">
      <c r="A86" s="214" t="s">
        <v>3206</v>
      </c>
      <c r="B86" s="64">
        <v>13.24</v>
      </c>
      <c r="C86" s="64">
        <v>95.53</v>
      </c>
      <c r="D86" s="64">
        <v>63.99</v>
      </c>
      <c r="E86" s="64">
        <v>0.24</v>
      </c>
      <c r="F86" s="64">
        <v>3.37</v>
      </c>
      <c r="G86" s="64">
        <v>141.24</v>
      </c>
      <c r="H86" s="64">
        <v>68.099999999999994</v>
      </c>
      <c r="I86" s="64">
        <v>1.42</v>
      </c>
      <c r="J86" s="64">
        <v>7.0000000000000007E-2</v>
      </c>
      <c r="K86" s="64">
        <v>309.11</v>
      </c>
      <c r="L86" s="64">
        <v>18.59</v>
      </c>
      <c r="M86" s="64">
        <v>68.900000000000006</v>
      </c>
      <c r="N86" s="64">
        <v>58</v>
      </c>
      <c r="O86" s="64">
        <v>0</v>
      </c>
      <c r="P86" s="64">
        <v>1.41</v>
      </c>
      <c r="Q86" s="64">
        <v>8.01</v>
      </c>
      <c r="R86" s="198"/>
      <c r="S86" s="198"/>
      <c r="T86" s="198"/>
      <c r="U86" s="198"/>
    </row>
    <row r="87" spans="1:26" s="12" customFormat="1" x14ac:dyDescent="0.25">
      <c r="A87" s="214" t="s">
        <v>3207</v>
      </c>
      <c r="B87" s="64">
        <v>15.26</v>
      </c>
      <c r="C87" s="64">
        <v>94.23</v>
      </c>
      <c r="D87" s="64">
        <v>64.89</v>
      </c>
      <c r="E87" s="64">
        <v>0.23</v>
      </c>
      <c r="F87" s="64">
        <v>3.43</v>
      </c>
      <c r="G87" s="64">
        <v>141.24</v>
      </c>
      <c r="H87" s="64">
        <v>68.099999999999994</v>
      </c>
      <c r="I87" s="64">
        <v>1.53</v>
      </c>
      <c r="J87" s="64">
        <v>0.1</v>
      </c>
      <c r="K87" s="64">
        <v>326.86</v>
      </c>
      <c r="L87" s="64">
        <v>18.11</v>
      </c>
      <c r="M87" s="64">
        <v>74.3</v>
      </c>
      <c r="N87" s="64">
        <v>57</v>
      </c>
      <c r="O87" s="64">
        <v>0</v>
      </c>
      <c r="P87" s="64">
        <v>1.55</v>
      </c>
      <c r="Q87" s="64">
        <v>8.06</v>
      </c>
      <c r="R87" s="198"/>
      <c r="S87" s="198"/>
      <c r="T87" s="198"/>
      <c r="U87" s="198"/>
    </row>
    <row r="88" spans="1:26" s="12" customFormat="1" x14ac:dyDescent="0.25">
      <c r="A88" s="214" t="s">
        <v>3208</v>
      </c>
      <c r="B88" s="64">
        <v>20.59</v>
      </c>
      <c r="C88" s="64">
        <v>92.05</v>
      </c>
      <c r="D88" s="64">
        <v>67.959999999999994</v>
      </c>
      <c r="E88" s="64">
        <v>0.04</v>
      </c>
      <c r="F88" s="64">
        <v>3.29</v>
      </c>
      <c r="G88" s="64">
        <v>142.68</v>
      </c>
      <c r="H88" s="64">
        <v>74.47</v>
      </c>
      <c r="I88" s="64">
        <v>1.51</v>
      </c>
      <c r="J88" s="64">
        <v>0.08</v>
      </c>
      <c r="K88" s="64">
        <v>321.79000000000002</v>
      </c>
      <c r="L88" s="64">
        <v>17.82</v>
      </c>
      <c r="M88" s="64">
        <v>73.64</v>
      </c>
      <c r="N88" s="64">
        <v>56</v>
      </c>
      <c r="O88" s="64">
        <v>0</v>
      </c>
      <c r="P88" s="64">
        <v>1.5</v>
      </c>
      <c r="Q88" s="64">
        <v>8.23</v>
      </c>
      <c r="R88" s="198"/>
      <c r="S88" s="198"/>
      <c r="T88" s="198"/>
      <c r="U88" s="198"/>
    </row>
    <row r="89" spans="1:26" s="12" customFormat="1" x14ac:dyDescent="0.25">
      <c r="A89" s="214" t="s">
        <v>3209</v>
      </c>
      <c r="B89" s="64">
        <v>25.26</v>
      </c>
      <c r="C89" s="64">
        <v>89.69</v>
      </c>
      <c r="D89" s="64">
        <v>70.400000000000006</v>
      </c>
      <c r="E89" s="64">
        <v>0.09</v>
      </c>
      <c r="F89" s="64">
        <v>3.27</v>
      </c>
      <c r="G89" s="64">
        <v>143.12</v>
      </c>
      <c r="H89" s="64">
        <v>74.47</v>
      </c>
      <c r="I89" s="64">
        <v>1.5</v>
      </c>
      <c r="J89" s="64">
        <v>0.11</v>
      </c>
      <c r="K89" s="64">
        <v>308.24</v>
      </c>
      <c r="L89" s="64">
        <v>17.79</v>
      </c>
      <c r="M89" s="64">
        <v>74.099999999999994</v>
      </c>
      <c r="N89" s="64">
        <v>55.3</v>
      </c>
      <c r="O89" s="64">
        <v>0</v>
      </c>
      <c r="P89" s="64">
        <v>1.62</v>
      </c>
      <c r="Q89" s="64">
        <v>8.5</v>
      </c>
      <c r="R89" s="198"/>
      <c r="S89" s="198"/>
      <c r="T89" s="198"/>
      <c r="U89" s="198"/>
    </row>
    <row r="90" spans="1:26" s="12" customFormat="1" x14ac:dyDescent="0.25">
      <c r="A90" s="214" t="s">
        <v>3210</v>
      </c>
      <c r="B90" s="64">
        <v>30.42</v>
      </c>
      <c r="C90" s="64">
        <v>88.24</v>
      </c>
      <c r="D90" s="64">
        <v>73.739999999999995</v>
      </c>
      <c r="E90" s="64">
        <v>0.12</v>
      </c>
      <c r="F90" s="64">
        <v>3.31</v>
      </c>
      <c r="G90" s="64">
        <v>143.12</v>
      </c>
      <c r="H90" s="64">
        <v>74.47</v>
      </c>
      <c r="I90" s="64">
        <v>1.48</v>
      </c>
      <c r="J90" s="64">
        <v>0.1</v>
      </c>
      <c r="K90" s="64">
        <v>316.62</v>
      </c>
      <c r="L90" s="64">
        <v>17.45</v>
      </c>
      <c r="M90" s="64">
        <v>77.05</v>
      </c>
      <c r="N90" s="64">
        <v>55.2</v>
      </c>
      <c r="O90" s="64">
        <v>0</v>
      </c>
      <c r="P90" s="64">
        <v>1.64</v>
      </c>
      <c r="Q90" s="64">
        <v>8.75</v>
      </c>
      <c r="R90" s="198"/>
      <c r="S90" s="198"/>
      <c r="T90" s="198"/>
      <c r="U90" s="198"/>
    </row>
    <row r="91" spans="1:26" s="12" customFormat="1" x14ac:dyDescent="0.25">
      <c r="A91" s="214" t="s">
        <v>3211</v>
      </c>
      <c r="B91" s="64">
        <v>36.83</v>
      </c>
      <c r="C91" s="64">
        <v>85.55</v>
      </c>
      <c r="D91" s="64">
        <v>77.400000000000006</v>
      </c>
      <c r="E91" s="64">
        <v>0.16</v>
      </c>
      <c r="F91" s="64">
        <v>3.2</v>
      </c>
      <c r="G91" s="64">
        <v>143.12</v>
      </c>
      <c r="H91" s="64">
        <v>74.47</v>
      </c>
      <c r="I91" s="64">
        <v>1.53</v>
      </c>
      <c r="J91" s="64">
        <v>0.09</v>
      </c>
      <c r="K91" s="64">
        <v>286.77</v>
      </c>
      <c r="L91" s="64">
        <v>17.46</v>
      </c>
      <c r="M91" s="64">
        <v>77.11</v>
      </c>
      <c r="N91" s="64">
        <v>55.7</v>
      </c>
      <c r="O91" s="64">
        <v>0</v>
      </c>
      <c r="P91" s="64">
        <v>1.73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4" t="s">
        <v>3212</v>
      </c>
      <c r="B92" s="64">
        <v>41.87</v>
      </c>
      <c r="C92" s="64">
        <v>86</v>
      </c>
      <c r="D92" s="64">
        <v>81.69</v>
      </c>
      <c r="E92" s="64">
        <v>0.2</v>
      </c>
      <c r="F92" s="64">
        <v>3.27</v>
      </c>
      <c r="G92" s="64">
        <v>156</v>
      </c>
      <c r="H92" s="64">
        <v>89.82</v>
      </c>
      <c r="I92" s="64">
        <v>1.48</v>
      </c>
      <c r="J92" s="64">
        <v>0.05</v>
      </c>
      <c r="K92" s="64">
        <v>134.11000000000001</v>
      </c>
      <c r="L92" s="64">
        <v>17.41</v>
      </c>
      <c r="M92" s="64">
        <v>76.7</v>
      </c>
      <c r="N92" s="64">
        <v>55.1</v>
      </c>
      <c r="O92" s="64">
        <v>0</v>
      </c>
      <c r="P92" s="64">
        <v>1.77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3213</v>
      </c>
      <c r="B93" s="64">
        <v>45.88</v>
      </c>
      <c r="C93" s="64">
        <v>88.51</v>
      </c>
      <c r="D93" s="64">
        <v>86.28</v>
      </c>
      <c r="E93" s="64">
        <v>0.21</v>
      </c>
      <c r="F93" s="64">
        <v>3.2</v>
      </c>
      <c r="G93" s="64">
        <v>159.91999999999999</v>
      </c>
      <c r="H93" s="64">
        <v>89.82</v>
      </c>
      <c r="I93" s="64">
        <v>1.46</v>
      </c>
      <c r="J93" s="64">
        <v>0.14000000000000001</v>
      </c>
      <c r="K93" s="64">
        <v>315.3</v>
      </c>
      <c r="L93" s="64">
        <v>17.350000000000001</v>
      </c>
      <c r="M93" s="64">
        <v>78.69</v>
      </c>
      <c r="N93" s="64">
        <v>54.9</v>
      </c>
      <c r="O93" s="64">
        <v>0</v>
      </c>
      <c r="P93" s="64">
        <v>1.81</v>
      </c>
      <c r="Q93" s="64">
        <v>9.94</v>
      </c>
      <c r="R93" s="198"/>
      <c r="S93" s="198"/>
      <c r="T93" s="198"/>
      <c r="U93" s="198"/>
    </row>
    <row r="94" spans="1:26" s="12" customFormat="1" x14ac:dyDescent="0.25">
      <c r="A94" s="214" t="s">
        <v>3214</v>
      </c>
      <c r="B94" s="64">
        <v>52.72</v>
      </c>
      <c r="C94" s="64">
        <v>90.37</v>
      </c>
      <c r="D94" s="64">
        <v>92.8</v>
      </c>
      <c r="E94" s="64">
        <v>0.17</v>
      </c>
      <c r="F94" s="64">
        <v>3.07</v>
      </c>
      <c r="G94" s="64">
        <v>159.91999999999999</v>
      </c>
      <c r="H94" s="64">
        <v>89.82</v>
      </c>
      <c r="I94" s="64">
        <v>1.57</v>
      </c>
      <c r="J94" s="64">
        <v>0.05</v>
      </c>
      <c r="K94" s="64">
        <v>332.91</v>
      </c>
      <c r="L94" s="64">
        <v>17.16</v>
      </c>
      <c r="M94" s="64">
        <v>79.31</v>
      </c>
      <c r="N94" s="64">
        <v>54.7</v>
      </c>
      <c r="O94" s="64">
        <v>0</v>
      </c>
      <c r="P94" s="64">
        <v>1.92</v>
      </c>
      <c r="Q94" s="64">
        <v>10.28</v>
      </c>
      <c r="R94" s="198"/>
      <c r="S94" s="198"/>
      <c r="T94" s="198"/>
      <c r="U94" s="198"/>
    </row>
    <row r="95" spans="1:26" s="12" customFormat="1" x14ac:dyDescent="0.25">
      <c r="A95" s="214" t="s">
        <v>3215</v>
      </c>
      <c r="B95" s="64">
        <v>56.28</v>
      </c>
      <c r="C95" s="64">
        <v>92.03</v>
      </c>
      <c r="D95" s="64">
        <v>96.57</v>
      </c>
      <c r="E95" s="64">
        <v>0.21</v>
      </c>
      <c r="F95" s="64">
        <v>3.1</v>
      </c>
      <c r="G95" s="64">
        <v>159.91999999999999</v>
      </c>
      <c r="H95" s="64">
        <v>89.82</v>
      </c>
      <c r="I95" s="64">
        <v>1.44</v>
      </c>
      <c r="J95" s="64">
        <v>0.1</v>
      </c>
      <c r="K95" s="64">
        <v>134.54</v>
      </c>
      <c r="L95" s="64">
        <v>17.39</v>
      </c>
      <c r="M95" s="64">
        <v>75.87</v>
      </c>
      <c r="N95" s="64">
        <v>54</v>
      </c>
      <c r="O95" s="64">
        <v>0</v>
      </c>
      <c r="P95" s="64">
        <v>1.94</v>
      </c>
      <c r="Q95" s="64">
        <v>10.65</v>
      </c>
      <c r="R95" s="198"/>
      <c r="S95" s="198"/>
      <c r="T95" s="198"/>
      <c r="U95" s="198"/>
    </row>
    <row r="96" spans="1:26" s="12" customFormat="1" x14ac:dyDescent="0.25">
      <c r="A96" s="214" t="s">
        <v>3216</v>
      </c>
      <c r="B96" s="64">
        <v>53.22</v>
      </c>
      <c r="C96" s="64">
        <v>96.07</v>
      </c>
      <c r="D96" s="64">
        <v>96.34</v>
      </c>
      <c r="E96" s="64">
        <v>0.22</v>
      </c>
      <c r="F96" s="64">
        <v>3.14</v>
      </c>
      <c r="G96" s="64">
        <v>166.1</v>
      </c>
      <c r="H96" s="64">
        <v>93.38</v>
      </c>
      <c r="I96" s="64">
        <v>1.54</v>
      </c>
      <c r="J96" s="64">
        <v>0.13</v>
      </c>
      <c r="K96" s="64">
        <v>329.57</v>
      </c>
      <c r="L96" s="64">
        <v>17.690000000000001</v>
      </c>
      <c r="M96" s="64">
        <v>74.87</v>
      </c>
      <c r="N96" s="64">
        <v>56.1</v>
      </c>
      <c r="O96" s="64">
        <v>0</v>
      </c>
      <c r="P96" s="64">
        <v>1.93</v>
      </c>
      <c r="Q96" s="64">
        <v>10.72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3217</v>
      </c>
      <c r="B97" s="64">
        <v>49.93</v>
      </c>
      <c r="C97" s="64">
        <v>99.41</v>
      </c>
      <c r="D97" s="64">
        <v>95.55</v>
      </c>
      <c r="E97" s="64">
        <v>0.21</v>
      </c>
      <c r="F97" s="64">
        <v>3.25</v>
      </c>
      <c r="G97" s="64">
        <v>167.97</v>
      </c>
      <c r="H97" s="64">
        <v>93.38</v>
      </c>
      <c r="I97" s="64">
        <v>1.51</v>
      </c>
      <c r="J97" s="64">
        <v>0.08</v>
      </c>
      <c r="K97" s="64">
        <v>69.849999999999994</v>
      </c>
      <c r="L97" s="64">
        <v>17.739999999999998</v>
      </c>
      <c r="M97" s="64">
        <v>72.81</v>
      </c>
      <c r="N97" s="64">
        <v>58</v>
      </c>
      <c r="O97" s="64">
        <v>0</v>
      </c>
      <c r="P97" s="64">
        <v>1.94</v>
      </c>
      <c r="Q97" s="64">
        <v>10.69</v>
      </c>
      <c r="R97" s="198"/>
      <c r="S97" s="198"/>
      <c r="T97" s="198"/>
      <c r="U97" s="198"/>
    </row>
    <row r="98" spans="1:33" s="12" customFormat="1" x14ac:dyDescent="0.25">
      <c r="A98" s="214" t="s">
        <v>3218</v>
      </c>
      <c r="B98" s="64">
        <v>45.76</v>
      </c>
      <c r="C98" s="64">
        <v>102.18</v>
      </c>
      <c r="D98" s="64">
        <v>93.73</v>
      </c>
      <c r="E98" s="64">
        <v>0.19</v>
      </c>
      <c r="F98" s="64">
        <v>3.22</v>
      </c>
      <c r="G98" s="64">
        <v>167.97</v>
      </c>
      <c r="H98" s="64">
        <v>93.38</v>
      </c>
      <c r="I98" s="64">
        <v>1.52</v>
      </c>
      <c r="J98" s="64">
        <v>0.32</v>
      </c>
      <c r="K98" s="64">
        <v>106.63</v>
      </c>
      <c r="L98" s="64">
        <v>18.059999999999999</v>
      </c>
      <c r="M98" s="64">
        <v>70.290000000000006</v>
      </c>
      <c r="N98" s="64">
        <v>57.4</v>
      </c>
      <c r="O98" s="64">
        <v>0</v>
      </c>
      <c r="P98" s="64">
        <v>1.9</v>
      </c>
      <c r="Q98" s="64">
        <v>10.57</v>
      </c>
      <c r="R98" s="198"/>
      <c r="S98" s="198"/>
      <c r="T98" s="198"/>
      <c r="U98" s="198"/>
    </row>
    <row r="99" spans="1:33" s="12" customFormat="1" x14ac:dyDescent="0.25">
      <c r="A99" s="214" t="s">
        <v>3219</v>
      </c>
      <c r="B99" s="64">
        <v>42.1</v>
      </c>
      <c r="C99" s="64">
        <v>103.42</v>
      </c>
      <c r="D99" s="64">
        <v>91.48</v>
      </c>
      <c r="E99" s="64">
        <v>0.19</v>
      </c>
      <c r="F99" s="64">
        <v>3.28</v>
      </c>
      <c r="G99" s="64">
        <v>167.97</v>
      </c>
      <c r="H99" s="64">
        <v>93.38</v>
      </c>
      <c r="I99" s="64">
        <v>1.5</v>
      </c>
      <c r="J99" s="64">
        <v>0.02</v>
      </c>
      <c r="K99" s="64">
        <v>100.41</v>
      </c>
      <c r="L99" s="64">
        <v>17.87</v>
      </c>
      <c r="M99" s="64">
        <v>71.94</v>
      </c>
      <c r="N99" s="64">
        <v>59.6</v>
      </c>
      <c r="O99" s="64">
        <v>0</v>
      </c>
      <c r="P99" s="64">
        <v>1.86</v>
      </c>
      <c r="Q99" s="64">
        <v>10.27</v>
      </c>
      <c r="R99" s="198"/>
      <c r="S99" s="198"/>
      <c r="T99" s="198"/>
      <c r="U99" s="198"/>
    </row>
    <row r="100" spans="1:33" s="12" customFormat="1" x14ac:dyDescent="0.25">
      <c r="A100" s="214" t="s">
        <v>3220</v>
      </c>
      <c r="B100" s="64">
        <v>40.76</v>
      </c>
      <c r="C100" s="64">
        <v>102.57</v>
      </c>
      <c r="D100" s="64">
        <v>89.94</v>
      </c>
      <c r="E100" s="64">
        <v>0.18</v>
      </c>
      <c r="F100" s="64">
        <v>3.05</v>
      </c>
      <c r="G100" s="64">
        <v>158.71</v>
      </c>
      <c r="H100" s="64">
        <v>92.49</v>
      </c>
      <c r="I100" s="64">
        <v>1.47</v>
      </c>
      <c r="J100" s="64">
        <v>0.17</v>
      </c>
      <c r="K100" s="64">
        <v>316.3</v>
      </c>
      <c r="L100" s="64">
        <v>17.2</v>
      </c>
      <c r="M100" s="64">
        <v>79.06</v>
      </c>
      <c r="N100" s="64">
        <v>60</v>
      </c>
      <c r="O100" s="64">
        <v>0</v>
      </c>
      <c r="P100" s="64">
        <v>1.83</v>
      </c>
      <c r="Q100" s="64">
        <v>10.1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3221</v>
      </c>
      <c r="B101" s="64">
        <v>42.05</v>
      </c>
      <c r="C101" s="64">
        <v>100.77</v>
      </c>
      <c r="D101" s="64">
        <v>89.98</v>
      </c>
      <c r="E101" s="64">
        <v>0.17</v>
      </c>
      <c r="F101" s="64">
        <v>3.19</v>
      </c>
      <c r="G101" s="64">
        <v>155.9</v>
      </c>
      <c r="H101" s="64">
        <v>92.49</v>
      </c>
      <c r="I101" s="64">
        <v>1.6</v>
      </c>
      <c r="J101" s="64">
        <v>0.16</v>
      </c>
      <c r="K101" s="64">
        <v>317.57</v>
      </c>
      <c r="L101" s="64">
        <v>16.68</v>
      </c>
      <c r="M101" s="64">
        <v>83.07</v>
      </c>
      <c r="N101" s="64">
        <v>61.4</v>
      </c>
      <c r="O101" s="64">
        <v>0</v>
      </c>
      <c r="P101" s="64">
        <v>1.82</v>
      </c>
      <c r="Q101" s="64">
        <v>10.039999999999999</v>
      </c>
      <c r="R101" s="198"/>
      <c r="S101" s="198"/>
      <c r="T101" s="198"/>
      <c r="U101" s="198"/>
    </row>
    <row r="102" spans="1:33" s="12" customFormat="1" x14ac:dyDescent="0.25">
      <c r="A102" s="214" t="s">
        <v>3222</v>
      </c>
      <c r="B102" s="64">
        <v>42.34</v>
      </c>
      <c r="C102" s="64">
        <v>99</v>
      </c>
      <c r="D102" s="64">
        <v>89.23</v>
      </c>
      <c r="E102" s="64">
        <v>0.15</v>
      </c>
      <c r="F102" s="64">
        <v>3.4</v>
      </c>
      <c r="G102" s="64">
        <v>155.9</v>
      </c>
      <c r="H102" s="64">
        <v>92.49</v>
      </c>
      <c r="I102" s="64">
        <v>1.57</v>
      </c>
      <c r="J102" s="64">
        <v>0.15</v>
      </c>
      <c r="K102" s="64">
        <v>285.68</v>
      </c>
      <c r="L102" s="64">
        <v>16.18</v>
      </c>
      <c r="M102" s="64">
        <v>85.71</v>
      </c>
      <c r="N102" s="64">
        <v>61.8</v>
      </c>
      <c r="O102" s="64">
        <v>0</v>
      </c>
      <c r="P102" s="64">
        <v>1.81</v>
      </c>
      <c r="Q102" s="64">
        <v>10.050000000000001</v>
      </c>
      <c r="R102" s="198"/>
      <c r="S102" s="198"/>
      <c r="T102" s="198"/>
      <c r="U102" s="198"/>
    </row>
    <row r="103" spans="1:33" s="12" customFormat="1" x14ac:dyDescent="0.25">
      <c r="A103" s="214" t="s">
        <v>3223</v>
      </c>
      <c r="B103" s="64">
        <v>41.68</v>
      </c>
      <c r="C103" s="64">
        <v>97.81</v>
      </c>
      <c r="D103" s="64">
        <v>88.05</v>
      </c>
      <c r="E103" s="64">
        <v>0.14000000000000001</v>
      </c>
      <c r="F103" s="64">
        <v>3.36</v>
      </c>
      <c r="G103" s="64">
        <v>155.9</v>
      </c>
      <c r="H103" s="64">
        <v>92.49</v>
      </c>
      <c r="I103" s="64">
        <v>1.47</v>
      </c>
      <c r="J103" s="64">
        <v>0.14000000000000001</v>
      </c>
      <c r="K103" s="64">
        <v>298.72000000000003</v>
      </c>
      <c r="L103" s="64">
        <v>16.12</v>
      </c>
      <c r="M103" s="64">
        <v>85.94</v>
      </c>
      <c r="N103" s="64">
        <v>59.8</v>
      </c>
      <c r="O103" s="64">
        <v>0</v>
      </c>
      <c r="P103" s="64">
        <v>1.8</v>
      </c>
      <c r="Q103" s="64">
        <v>9.99</v>
      </c>
      <c r="R103" s="198"/>
      <c r="S103" s="198"/>
      <c r="T103" s="198"/>
      <c r="U103" s="198"/>
    </row>
    <row r="104" spans="1:33" s="12" customFormat="1" x14ac:dyDescent="0.25">
      <c r="A104" s="214" t="s">
        <v>3224</v>
      </c>
      <c r="B104" s="64">
        <v>43.4</v>
      </c>
      <c r="C104" s="64">
        <v>96.3</v>
      </c>
      <c r="D104" s="64">
        <v>88.59</v>
      </c>
      <c r="E104" s="64">
        <v>0.01</v>
      </c>
      <c r="F104" s="64">
        <v>3.16</v>
      </c>
      <c r="G104" s="64">
        <v>165.96</v>
      </c>
      <c r="H104" s="64">
        <v>88.12</v>
      </c>
      <c r="I104" s="64">
        <v>1.48</v>
      </c>
      <c r="J104" s="64">
        <v>0.12</v>
      </c>
      <c r="K104" s="64">
        <v>316.8</v>
      </c>
      <c r="L104" s="64">
        <v>15.72</v>
      </c>
      <c r="M104" s="64">
        <v>91.02</v>
      </c>
      <c r="N104" s="64">
        <v>59.5</v>
      </c>
      <c r="O104" s="64">
        <v>0</v>
      </c>
      <c r="P104" s="64">
        <v>1.77</v>
      </c>
      <c r="Q104" s="64">
        <v>9.9700000000000006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</v>
      </c>
      <c r="C106" s="67">
        <f>MIN(C9:C104)</f>
        <v>58.88</v>
      </c>
      <c r="D106" s="67">
        <f t="shared" ref="D106:Q106" si="0">MIN(D9:D104)</f>
        <v>54.4</v>
      </c>
      <c r="E106" s="67">
        <f t="shared" si="0"/>
        <v>0.01</v>
      </c>
      <c r="F106" s="67">
        <f t="shared" si="0"/>
        <v>2.89</v>
      </c>
      <c r="G106" s="67">
        <f t="shared" si="0"/>
        <v>94.22</v>
      </c>
      <c r="H106" s="67">
        <f t="shared" si="0"/>
        <v>60.29</v>
      </c>
      <c r="I106" s="67">
        <f t="shared" si="0"/>
        <v>1.4</v>
      </c>
      <c r="J106" s="67">
        <f t="shared" si="0"/>
        <v>0.01</v>
      </c>
      <c r="K106" s="67">
        <f t="shared" si="0"/>
        <v>7.43</v>
      </c>
      <c r="L106" s="67">
        <f t="shared" si="0"/>
        <v>13.53</v>
      </c>
      <c r="M106" s="67">
        <f t="shared" si="0"/>
        <v>39.86</v>
      </c>
      <c r="N106" s="67">
        <f t="shared" si="0"/>
        <v>45.5</v>
      </c>
      <c r="O106" s="67">
        <f t="shared" si="0"/>
        <v>0</v>
      </c>
      <c r="P106" s="67">
        <f t="shared" si="0"/>
        <v>0.97</v>
      </c>
      <c r="Q106" s="67">
        <f t="shared" si="0"/>
        <v>7.18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112.92</v>
      </c>
      <c r="C107" s="66">
        <f t="shared" ref="C107:Q107" si="1">MAX(C9:C104)</f>
        <v>103.42</v>
      </c>
      <c r="D107" s="66">
        <f t="shared" si="1"/>
        <v>133.25</v>
      </c>
      <c r="E107" s="66">
        <f t="shared" si="1"/>
        <v>0.39</v>
      </c>
      <c r="F107" s="66">
        <f t="shared" si="1"/>
        <v>4.95</v>
      </c>
      <c r="G107" s="66">
        <f t="shared" si="1"/>
        <v>168.05</v>
      </c>
      <c r="H107" s="66">
        <f t="shared" si="1"/>
        <v>93.38</v>
      </c>
      <c r="I107" s="66">
        <f t="shared" si="1"/>
        <v>1.6</v>
      </c>
      <c r="J107" s="66">
        <f t="shared" si="1"/>
        <v>0.89</v>
      </c>
      <c r="K107" s="66">
        <f t="shared" si="1"/>
        <v>353.51</v>
      </c>
      <c r="L107" s="66">
        <f t="shared" si="1"/>
        <v>27.01</v>
      </c>
      <c r="M107" s="66">
        <f t="shared" si="1"/>
        <v>97.88</v>
      </c>
      <c r="N107" s="66">
        <f t="shared" si="1"/>
        <v>489.8</v>
      </c>
      <c r="O107" s="66">
        <f t="shared" si="1"/>
        <v>0</v>
      </c>
      <c r="P107" s="66">
        <f t="shared" si="1"/>
        <v>2.2400000000000002</v>
      </c>
      <c r="Q107" s="66">
        <f t="shared" si="1"/>
        <v>14.06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42.536874999999988</v>
      </c>
      <c r="C108" s="67">
        <f t="shared" ref="C108:Q108" si="2">AVERAGE(C9:C104)</f>
        <v>87.890937500000007</v>
      </c>
      <c r="D108" s="67">
        <f t="shared" si="2"/>
        <v>83.26249999999996</v>
      </c>
      <c r="E108" s="67">
        <f t="shared" si="2"/>
        <v>0.20760416666666678</v>
      </c>
      <c r="F108" s="67">
        <f t="shared" si="2"/>
        <v>3.4448958333333315</v>
      </c>
      <c r="G108" s="67">
        <f t="shared" si="2"/>
        <v>131.79260416666668</v>
      </c>
      <c r="H108" s="67">
        <f t="shared" si="2"/>
        <v>71.959374999999994</v>
      </c>
      <c r="I108" s="67">
        <f t="shared" si="2"/>
        <v>1.4993749999999997</v>
      </c>
      <c r="J108" s="67">
        <f t="shared" si="2"/>
        <v>0.24197916666666677</v>
      </c>
      <c r="K108" s="67">
        <f t="shared" si="2"/>
        <v>213.07541666666677</v>
      </c>
      <c r="L108" s="67">
        <f t="shared" si="2"/>
        <v>18.994166666666665</v>
      </c>
      <c r="M108" s="67">
        <f t="shared" si="2"/>
        <v>71.325937499999995</v>
      </c>
      <c r="N108" s="67">
        <f t="shared" si="2"/>
        <v>156.84062500000002</v>
      </c>
      <c r="O108" s="67">
        <f t="shared" si="2"/>
        <v>0</v>
      </c>
      <c r="P108" s="67">
        <f t="shared" si="2"/>
        <v>1.3203125000000002</v>
      </c>
      <c r="Q108" s="67">
        <f t="shared" si="2"/>
        <v>9.7357291666666654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31.049123703627455</v>
      </c>
      <c r="C109" s="67">
        <f t="shared" ref="C109:Q109" si="3">STDEV(C9:C104)</f>
        <v>12.300911740117344</v>
      </c>
      <c r="D109" s="67">
        <f t="shared" si="3"/>
        <v>21.235473400099288</v>
      </c>
      <c r="E109" s="67">
        <f t="shared" si="3"/>
        <v>7.264542281617134E-2</v>
      </c>
      <c r="F109" s="67">
        <f t="shared" si="3"/>
        <v>0.46507270465384642</v>
      </c>
      <c r="G109" s="67">
        <f t="shared" si="3"/>
        <v>23.401666213498192</v>
      </c>
      <c r="H109" s="67">
        <f t="shared" si="3"/>
        <v>9.7054552009625592</v>
      </c>
      <c r="I109" s="67">
        <f t="shared" si="3"/>
        <v>4.2866070498705659E-2</v>
      </c>
      <c r="J109" s="67">
        <f t="shared" si="3"/>
        <v>0.20782391226413746</v>
      </c>
      <c r="K109" s="67">
        <f t="shared" si="3"/>
        <v>105.41243355123231</v>
      </c>
      <c r="L109" s="67">
        <f t="shared" si="3"/>
        <v>4.1921489694971763</v>
      </c>
      <c r="M109" s="67">
        <f t="shared" si="3"/>
        <v>19.999461812660204</v>
      </c>
      <c r="N109" s="67">
        <f t="shared" si="3"/>
        <v>145.27456152738401</v>
      </c>
      <c r="O109" s="67">
        <f t="shared" si="3"/>
        <v>0</v>
      </c>
      <c r="P109" s="67">
        <f t="shared" si="3"/>
        <v>0.34192166885352437</v>
      </c>
      <c r="Q109" s="67">
        <f t="shared" si="3"/>
        <v>1.9309287347048352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V39" sqref="V39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01-12-2023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01-12-2023 00:15</v>
      </c>
      <c r="B9" s="61">
        <f>'01'!B108</f>
        <v>9.3739583333333325</v>
      </c>
      <c r="C9" s="61">
        <f>'01'!C108</f>
        <v>49.440312500000005</v>
      </c>
      <c r="D9" s="61">
        <f>'01'!D108</f>
        <v>35.448541666666671</v>
      </c>
      <c r="E9" s="61">
        <f>'01'!E108</f>
        <v>2.2047916666666656</v>
      </c>
      <c r="F9" s="61">
        <f>'01'!F108</f>
        <v>3.4156249999999999</v>
      </c>
      <c r="G9" s="99">
        <f>'01'!$G$108</f>
        <v>59.285303030303069</v>
      </c>
      <c r="H9" s="61">
        <f>'01'!H108</f>
        <v>32.530757575757569</v>
      </c>
      <c r="I9" s="61">
        <f>'01'!I108</f>
        <v>1.4990624999999993</v>
      </c>
      <c r="J9" s="61">
        <f>'01'!J108</f>
        <v>0.4993749999999999</v>
      </c>
      <c r="K9" s="61">
        <f>'01'!K108</f>
        <v>98.938437499999949</v>
      </c>
      <c r="L9" s="61">
        <f>'01'!L108</f>
        <v>22.630208333333339</v>
      </c>
      <c r="M9" s="61">
        <f>'01'!M108</f>
        <v>65.524062500000028</v>
      </c>
      <c r="N9" s="61">
        <f>'01'!N108</f>
        <v>172.56041666666667</v>
      </c>
      <c r="O9" s="61">
        <f>'01'!O108</f>
        <v>0</v>
      </c>
      <c r="P9" s="202">
        <f>'01'!P108</f>
        <v>0.90854166666666669</v>
      </c>
      <c r="Q9" s="61">
        <f>'01'!Q108</f>
        <v>5.1427083333333288</v>
      </c>
      <c r="R9" s="118"/>
      <c r="S9" s="118"/>
      <c r="T9" s="118"/>
      <c r="U9" s="118"/>
    </row>
    <row r="10" spans="1:21" x14ac:dyDescent="0.25">
      <c r="A10" s="94" t="str">
        <f>'02'!$B$2</f>
        <v>02-12-2023 00:15</v>
      </c>
      <c r="B10" s="61">
        <f>'02'!B108</f>
        <v>5.258387096774193</v>
      </c>
      <c r="C10" s="61">
        <f>'02'!C108</f>
        <v>42.478924731182786</v>
      </c>
      <c r="D10" s="61">
        <f>'02'!D108</f>
        <v>28.306559139784948</v>
      </c>
      <c r="E10" s="61">
        <f>'02'!E108</f>
        <v>2.16</v>
      </c>
      <c r="F10" s="61">
        <f>'02'!F108</f>
        <v>4.640833333333334</v>
      </c>
      <c r="G10" s="61">
        <f>'02'!G108</f>
        <v>57.786781609195444</v>
      </c>
      <c r="H10" s="61">
        <f>'02'!H108</f>
        <v>30.461494252873575</v>
      </c>
      <c r="I10" s="61">
        <f>'02'!I108</f>
        <v>1.4988541666666666</v>
      </c>
      <c r="J10" s="61">
        <f>'02'!J108</f>
        <v>0.89739583333333328</v>
      </c>
      <c r="K10" s="61">
        <f>'02'!K108</f>
        <v>134.3182291666667</v>
      </c>
      <c r="L10" s="61">
        <f>'02'!L108</f>
        <v>22.613645833333326</v>
      </c>
      <c r="M10" s="61">
        <f>'02'!M108</f>
        <v>65.119062499999984</v>
      </c>
      <c r="N10" s="61">
        <f>'02'!N108</f>
        <v>174.59895833333337</v>
      </c>
      <c r="O10" s="61">
        <f>'02'!O108</f>
        <v>0</v>
      </c>
      <c r="P10" s="202">
        <f>'02'!P108</f>
        <v>0.72437499999999988</v>
      </c>
      <c r="Q10" s="61">
        <f>'02'!Q108</f>
        <v>5.0958333333333279</v>
      </c>
      <c r="R10" s="118"/>
      <c r="S10" s="118"/>
      <c r="T10" s="118"/>
      <c r="U10" s="118"/>
    </row>
    <row r="11" spans="1:21" x14ac:dyDescent="0.25">
      <c r="A11" s="94" t="str">
        <f>'03'!$B$2</f>
        <v>03-12-2023 00:15</v>
      </c>
      <c r="B11" s="61">
        <f>'03'!B108</f>
        <v>5.144166666666667</v>
      </c>
      <c r="C11" s="61">
        <f>'03'!C108</f>
        <v>44.207708333333329</v>
      </c>
      <c r="D11" s="61">
        <f>'03'!D108</f>
        <v>29.168645833333333</v>
      </c>
      <c r="E11" s="61">
        <f>'03'!E108</f>
        <v>2.1748958333333315</v>
      </c>
      <c r="F11" s="61">
        <f>'03'!F108</f>
        <v>3.7445833333333347</v>
      </c>
      <c r="G11" s="61">
        <f>'03'!G108</f>
        <v>60.175625000000018</v>
      </c>
      <c r="H11" s="61">
        <f>'03'!H108</f>
        <v>29.206562499999993</v>
      </c>
      <c r="I11" s="61">
        <f>'03'!I108</f>
        <v>1.5044791666666664</v>
      </c>
      <c r="J11" s="61">
        <f>'03'!J108</f>
        <v>0.77729166666666671</v>
      </c>
      <c r="K11" s="61">
        <f>'03'!K108</f>
        <v>132.44645833333331</v>
      </c>
      <c r="L11" s="61">
        <f>'03'!L108</f>
        <v>21.853333333333339</v>
      </c>
      <c r="M11" s="61">
        <f>'03'!M108</f>
        <v>65.949687500000024</v>
      </c>
      <c r="N11" s="61">
        <f>'03'!N108</f>
        <v>156.34270833333338</v>
      </c>
      <c r="O11" s="61">
        <f>'03'!O108</f>
        <v>0</v>
      </c>
      <c r="P11" s="202">
        <f>'03'!P108</f>
        <v>0.75937500000000002</v>
      </c>
      <c r="Q11" s="61">
        <f>'03'!Q108</f>
        <v>5.1889583333333231</v>
      </c>
      <c r="R11" s="118"/>
      <c r="S11" s="118"/>
      <c r="T11" s="118"/>
      <c r="U11" s="118"/>
    </row>
    <row r="12" spans="1:21" x14ac:dyDescent="0.25">
      <c r="A12" s="94" t="str">
        <f>'04'!$B$2</f>
        <v>04-12-2023 00:15</v>
      </c>
      <c r="B12" s="61">
        <f>'04'!B108</f>
        <v>10.257708333333335</v>
      </c>
      <c r="C12" s="61">
        <f>'04'!C108</f>
        <v>51.012500000000017</v>
      </c>
      <c r="D12" s="61">
        <f>'04'!D108</f>
        <v>37.123125000000009</v>
      </c>
      <c r="E12" s="61">
        <f>'04'!E108</f>
        <v>3.9904301075268807</v>
      </c>
      <c r="F12" s="61">
        <f>'04'!F108</f>
        <v>6.5321875000000018</v>
      </c>
      <c r="G12" s="61">
        <f>'04'!G108</f>
        <v>72.553958333333341</v>
      </c>
      <c r="H12" s="61">
        <f>'04'!H108</f>
        <v>33.293437499999989</v>
      </c>
      <c r="I12" s="61">
        <f>'04'!I108</f>
        <v>1.4949999999999999</v>
      </c>
      <c r="J12" s="61">
        <f>'04'!J108</f>
        <v>0.35999999999999993</v>
      </c>
      <c r="K12" s="61">
        <f>'04'!K108</f>
        <v>169.65322916666665</v>
      </c>
      <c r="L12" s="61">
        <f>'04'!L108</f>
        <v>20.976250000000011</v>
      </c>
      <c r="M12" s="61">
        <f>'04'!M108</f>
        <v>71.260312500000012</v>
      </c>
      <c r="N12" s="61">
        <f>'04'!N108</f>
        <v>84.73541666666668</v>
      </c>
      <c r="O12" s="61">
        <f>'04'!O108</f>
        <v>0</v>
      </c>
      <c r="P12" s="202">
        <f>'04'!P108</f>
        <v>0.88277777777777766</v>
      </c>
      <c r="Q12" s="61">
        <f>'04'!Q108</f>
        <v>5.1569473684210525</v>
      </c>
      <c r="R12" s="118"/>
      <c r="S12" s="118"/>
      <c r="T12" s="118"/>
      <c r="U12" s="118"/>
    </row>
    <row r="13" spans="1:21" x14ac:dyDescent="0.25">
      <c r="A13" s="94" t="str">
        <f>'05'!$B$2</f>
        <v>05-12-2023 00:15</v>
      </c>
      <c r="B13" s="61">
        <f>'05'!B108</f>
        <v>16.728020833333328</v>
      </c>
      <c r="C13" s="61">
        <f>'05'!C108</f>
        <v>44.619895833333317</v>
      </c>
      <c r="D13" s="61">
        <f>'05'!D108</f>
        <v>38.685312499999995</v>
      </c>
      <c r="E13" s="61">
        <f>'05'!E108</f>
        <v>2.328749999999999</v>
      </c>
      <c r="F13" s="61">
        <f>'05'!F108</f>
        <v>9.8115624999999973</v>
      </c>
      <c r="G13" s="61">
        <f>'05'!G108</f>
        <v>23.494062499999988</v>
      </c>
      <c r="H13" s="61">
        <f>'05'!H108</f>
        <v>14.09958333333333</v>
      </c>
      <c r="I13" s="61">
        <f>'05'!I108</f>
        <v>1.4922916666666675</v>
      </c>
      <c r="J13" s="61">
        <f>'05'!J108</f>
        <v>0.4352083333333332</v>
      </c>
      <c r="K13" s="61">
        <f>'05'!K108</f>
        <v>218.50000000000014</v>
      </c>
      <c r="L13" s="61">
        <f>'05'!L108</f>
        <v>16.749166666666664</v>
      </c>
      <c r="M13" s="61">
        <f>'05'!M108</f>
        <v>96.949895833333343</v>
      </c>
      <c r="N13" s="61">
        <f>'05'!N108</f>
        <v>51.10729166666669</v>
      </c>
      <c r="O13" s="61">
        <f>'05'!O108</f>
        <v>6.6666666666666666E-2</v>
      </c>
      <c r="P13" s="202">
        <f>'05'!P108</f>
        <v>0.51093750000000004</v>
      </c>
      <c r="Q13" s="61">
        <f>'05'!Q108</f>
        <v>5.7254166666666677</v>
      </c>
      <c r="R13" s="118"/>
      <c r="S13" s="118"/>
      <c r="T13" s="118"/>
      <c r="U13" s="118"/>
    </row>
    <row r="14" spans="1:21" x14ac:dyDescent="0.25">
      <c r="A14" s="94" t="str">
        <f>'06'!$B$2</f>
        <v>06-12-2023 00:15</v>
      </c>
      <c r="B14" s="61">
        <f>'06'!B108</f>
        <v>17.326250000000002</v>
      </c>
      <c r="C14" s="61">
        <f>'06'!C108</f>
        <v>40.639687499999987</v>
      </c>
      <c r="D14" s="61">
        <f>'06'!D108</f>
        <v>36.9684375</v>
      </c>
      <c r="E14" s="61">
        <f>'06'!E108</f>
        <v>2.218645833333333</v>
      </c>
      <c r="F14" s="61">
        <f>'06'!F108</f>
        <v>5.7617708333333306</v>
      </c>
      <c r="G14" s="61">
        <f>'06'!G108</f>
        <v>14.541770833333324</v>
      </c>
      <c r="H14" s="61">
        <f>'06'!H108</f>
        <v>6.4163541666666655</v>
      </c>
      <c r="I14" s="61">
        <f>'06'!I108</f>
        <v>1.5009375000000007</v>
      </c>
      <c r="J14" s="61">
        <f>'06'!J108</f>
        <v>0.45604166666666685</v>
      </c>
      <c r="K14" s="61">
        <f>'06'!K108</f>
        <v>127.40302083333343</v>
      </c>
      <c r="L14" s="61">
        <f>'06'!L108</f>
        <v>16.439687499999998</v>
      </c>
      <c r="M14" s="61">
        <f>'06'!M108</f>
        <v>97.777500000000018</v>
      </c>
      <c r="N14" s="61">
        <f>'06'!N108</f>
        <v>51.61666666666671</v>
      </c>
      <c r="O14" s="61">
        <f>'06'!O108</f>
        <v>5.4166666666666689E-2</v>
      </c>
      <c r="P14" s="202">
        <f>'06'!P108</f>
        <v>0.34802083333333328</v>
      </c>
      <c r="Q14" s="61">
        <f>'06'!Q108</f>
        <v>6.1035416666666649</v>
      </c>
      <c r="R14" s="118"/>
      <c r="S14" s="118"/>
      <c r="T14" s="118"/>
      <c r="U14" s="118"/>
    </row>
    <row r="15" spans="1:21" x14ac:dyDescent="0.25">
      <c r="A15" s="94" t="str">
        <f>'07'!$B$2</f>
        <v>07-12-2023 00:15</v>
      </c>
      <c r="B15" s="61">
        <f>'07'!B108</f>
        <v>33.509687500000013</v>
      </c>
      <c r="C15" s="61">
        <f>'07'!C108</f>
        <v>40.303541666666675</v>
      </c>
      <c r="D15" s="61">
        <f>'07'!D108</f>
        <v>49.760729166666664</v>
      </c>
      <c r="E15" s="61">
        <f>'07'!E108</f>
        <v>2.2831250000000001</v>
      </c>
      <c r="F15" s="61">
        <f>'07'!F108</f>
        <v>4.1807291666666666</v>
      </c>
      <c r="G15" s="100">
        <f>'07'!$G$108</f>
        <v>26.193625000000008</v>
      </c>
      <c r="H15" s="61">
        <f>'07'!H108</f>
        <v>12.400874999999999</v>
      </c>
      <c r="I15" s="61">
        <f>'07'!I108</f>
        <v>1.5041666666666667</v>
      </c>
      <c r="J15" s="61">
        <f>'07'!J108</f>
        <v>0.48031250000000009</v>
      </c>
      <c r="K15" s="61">
        <f>'07'!K108</f>
        <v>236.32739583333327</v>
      </c>
      <c r="L15" s="61">
        <f>'07'!L108</f>
        <v>16.560937500000009</v>
      </c>
      <c r="M15" s="61">
        <f>'07'!M108</f>
        <v>98.153958333333279</v>
      </c>
      <c r="N15" s="61">
        <f>'07'!N108</f>
        <v>47.705208333333324</v>
      </c>
      <c r="O15" s="61">
        <f>'07'!O108</f>
        <v>8.333333333333337E-2</v>
      </c>
      <c r="P15" s="202">
        <f>'07'!P108</f>
        <v>0.79625000000000001</v>
      </c>
      <c r="Q15" s="61">
        <f>'07'!Q108</f>
        <v>7.1467368421052599</v>
      </c>
      <c r="R15" s="118"/>
      <c r="S15" s="118"/>
      <c r="T15" s="118"/>
      <c r="U15" s="118"/>
    </row>
    <row r="16" spans="1:21" x14ac:dyDescent="0.25">
      <c r="A16" s="94" t="str">
        <f>'08'!$B$2</f>
        <v>08-12-2023 00:15</v>
      </c>
      <c r="B16" s="61">
        <f>'08'!B108</f>
        <v>25.542708333333334</v>
      </c>
      <c r="C16" s="61">
        <f>'08'!C108</f>
        <v>43.401874999999997</v>
      </c>
      <c r="D16" s="61">
        <f>'08'!D108</f>
        <v>45.081145833333345</v>
      </c>
      <c r="E16" s="61">
        <f>'08'!E108</f>
        <v>7.3867708333333324</v>
      </c>
      <c r="F16" s="61">
        <f>'08'!F108</f>
        <v>4.4745833333333342</v>
      </c>
      <c r="G16" s="100">
        <f>'08'!$G$108</f>
        <v>43.858749999999993</v>
      </c>
      <c r="H16" s="61">
        <f>'08'!H108</f>
        <v>23.251562500000009</v>
      </c>
      <c r="I16" s="61">
        <f>'08'!I108</f>
        <v>1.4991666666666665</v>
      </c>
      <c r="J16" s="61">
        <f>'08'!J108</f>
        <v>0.3249999999999999</v>
      </c>
      <c r="K16" s="61">
        <f>'08'!K108</f>
        <v>231.15302083333327</v>
      </c>
      <c r="L16" s="61">
        <f>'08'!L108</f>
        <v>18.498854166666668</v>
      </c>
      <c r="M16" s="61">
        <f>'08'!M108</f>
        <v>88.366041666666675</v>
      </c>
      <c r="N16" s="61">
        <f>'08'!N108</f>
        <v>118.17708333333333</v>
      </c>
      <c r="O16" s="61">
        <f>'08'!O108</f>
        <v>0</v>
      </c>
      <c r="P16" s="202">
        <f>'08'!P108</f>
        <v>0.58416666666666683</v>
      </c>
      <c r="Q16" s="61">
        <f>'08'!Q108</f>
        <v>6.8864210526315794</v>
      </c>
      <c r="R16" s="118"/>
      <c r="S16" s="118"/>
      <c r="T16" s="118"/>
      <c r="U16" s="118"/>
    </row>
    <row r="17" spans="1:21" x14ac:dyDescent="0.25">
      <c r="A17" s="94" t="str">
        <f>'09'!$B$2</f>
        <v>09-12-2023 00:15</v>
      </c>
      <c r="B17" s="61">
        <f>'09'!B108</f>
        <v>31.620937500000011</v>
      </c>
      <c r="C17" s="61">
        <f>'09'!C108</f>
        <v>46.988333333333316</v>
      </c>
      <c r="D17" s="61">
        <f>'09'!D108</f>
        <v>51.935312500000009</v>
      </c>
      <c r="E17" s="61">
        <f>'09'!E108</f>
        <v>0.74479166666666663</v>
      </c>
      <c r="F17" s="61">
        <f>'09'!F108</f>
        <v>7.5912499999999978</v>
      </c>
      <c r="G17" s="100">
        <f>'09'!$G$108</f>
        <v>94.509270833333332</v>
      </c>
      <c r="H17" s="61">
        <f>'09'!H108</f>
        <v>31.170520833333342</v>
      </c>
      <c r="I17" s="61">
        <f>'09'!I108</f>
        <v>1.5018750000000001</v>
      </c>
      <c r="J17" s="61">
        <f>'09'!J108</f>
        <v>0.3966666666666665</v>
      </c>
      <c r="K17" s="61">
        <f>'09'!K108</f>
        <v>236.58447916666663</v>
      </c>
      <c r="L17" s="61">
        <f>'09'!L108</f>
        <v>19.799062499999998</v>
      </c>
      <c r="M17" s="61">
        <f>'09'!M108</f>
        <v>74.483333333333363</v>
      </c>
      <c r="N17" s="61">
        <f>'09'!N108</f>
        <v>158.82499999999996</v>
      </c>
      <c r="O17" s="61">
        <f>'09'!O108</f>
        <v>0</v>
      </c>
      <c r="P17" s="202">
        <f>'09'!P108</f>
        <v>1.0282291666666667</v>
      </c>
      <c r="Q17" s="61">
        <f>'09'!Q108</f>
        <v>4.9705208333333308</v>
      </c>
      <c r="R17" s="118"/>
      <c r="S17" s="118"/>
      <c r="T17" s="118"/>
      <c r="U17" s="118"/>
    </row>
    <row r="18" spans="1:21" x14ac:dyDescent="0.25">
      <c r="A18" s="94" t="str">
        <f>'10'!$B$2</f>
        <v>10-12-2023 00:15</v>
      </c>
      <c r="B18" s="61">
        <f>'10'!B108</f>
        <v>42.030208333333327</v>
      </c>
      <c r="C18" s="61">
        <f>'10'!C108</f>
        <v>49.00364583333333</v>
      </c>
      <c r="D18" s="61">
        <f>'10'!D108</f>
        <v>61.395729166666676</v>
      </c>
      <c r="E18" s="61">
        <f>'10'!E108</f>
        <v>0.47406249999999989</v>
      </c>
      <c r="F18" s="61">
        <f>'10'!F108</f>
        <v>6.932708333333335</v>
      </c>
      <c r="G18" s="101">
        <f>'10'!$G$108</f>
        <v>97.058333333333408</v>
      </c>
      <c r="H18" s="61">
        <f>'10'!H108</f>
        <v>47.069375000000001</v>
      </c>
      <c r="I18" s="61">
        <f>'10'!I108</f>
        <v>1.5048958333333327</v>
      </c>
      <c r="J18" s="61">
        <f>'10'!J108</f>
        <v>0.27145833333333336</v>
      </c>
      <c r="K18" s="61">
        <f>'10'!K108</f>
        <v>157.16385416666665</v>
      </c>
      <c r="L18" s="61">
        <f>'10'!L108</f>
        <v>18.786041666666666</v>
      </c>
      <c r="M18" s="61">
        <f>'10'!M108</f>
        <v>64.443958333333327</v>
      </c>
      <c r="N18" s="61">
        <f>'10'!N108</f>
        <v>182.10937500000009</v>
      </c>
      <c r="O18" s="61">
        <f>'10'!O108</f>
        <v>0</v>
      </c>
      <c r="P18" s="202">
        <f>'10'!P108</f>
        <v>0.82916666666666694</v>
      </c>
      <c r="Q18" s="61">
        <f>'10'!Q108</f>
        <v>7.8220224719101159</v>
      </c>
      <c r="R18" s="118"/>
      <c r="S18" s="118"/>
      <c r="T18" s="118"/>
      <c r="U18" s="118"/>
    </row>
    <row r="19" spans="1:21" x14ac:dyDescent="0.25">
      <c r="A19" s="94" t="str">
        <f>'11'!$B$2</f>
        <v>11-12-2023 00:15</v>
      </c>
      <c r="B19" s="61">
        <f>'11'!B108</f>
        <v>22.959166666666665</v>
      </c>
      <c r="C19" s="61">
        <f>'11'!C108</f>
        <v>54.399895833333346</v>
      </c>
      <c r="D19" s="61">
        <f>'11'!D108</f>
        <v>49.079166666666652</v>
      </c>
      <c r="E19" s="61">
        <f>'11'!E108</f>
        <v>0.68541666666666667</v>
      </c>
      <c r="F19" s="61">
        <f>'11'!F108</f>
        <v>8.4338541666666647</v>
      </c>
      <c r="G19" s="99">
        <f>'11'!$G$108</f>
        <v>102.5909375</v>
      </c>
      <c r="H19" s="61">
        <f>'11'!H108</f>
        <v>46.510312499999991</v>
      </c>
      <c r="I19" s="61">
        <f>'11'!I108</f>
        <v>1.4939583333333337</v>
      </c>
      <c r="J19" s="61">
        <f>'11'!J108</f>
        <v>0.2409375</v>
      </c>
      <c r="K19" s="61">
        <f>'11'!K108</f>
        <v>187.04145833333337</v>
      </c>
      <c r="L19" s="61">
        <f>'11'!L108</f>
        <v>18.83625000000001</v>
      </c>
      <c r="M19" s="61">
        <f>'11'!M108</f>
        <v>64.818125000000023</v>
      </c>
      <c r="N19" s="61">
        <f>'11'!N108</f>
        <v>177.61041666666665</v>
      </c>
      <c r="O19" s="61">
        <f>'11'!O108</f>
        <v>0</v>
      </c>
      <c r="P19" s="202">
        <f>'11'!P108</f>
        <v>0.90364583333333337</v>
      </c>
      <c r="Q19" s="61">
        <f>'11'!Q108</f>
        <v>4.8839325842696635</v>
      </c>
      <c r="R19" s="118"/>
      <c r="S19" s="118"/>
      <c r="T19" s="118"/>
      <c r="U19" s="118"/>
    </row>
    <row r="20" spans="1:21" x14ac:dyDescent="0.25">
      <c r="A20" s="94" t="str">
        <f>'12'!$B$2</f>
        <v>12-12-2023 00:15</v>
      </c>
      <c r="B20" s="61">
        <f>'12'!B108</f>
        <v>28.10083333333333</v>
      </c>
      <c r="C20" s="61">
        <f>'12'!C108</f>
        <v>56.11177083333336</v>
      </c>
      <c r="D20" s="61">
        <f>'12'!D108</f>
        <v>54.147916666666674</v>
      </c>
      <c r="E20" s="61">
        <f>'12'!E108</f>
        <v>0.47354166666666653</v>
      </c>
      <c r="F20" s="61">
        <f>'12'!F108</f>
        <v>8.2864583333333357</v>
      </c>
      <c r="G20" s="101">
        <f>'12'!$G$108</f>
        <v>109.47666666666663</v>
      </c>
      <c r="H20" s="61">
        <f>'12'!H108</f>
        <v>51.171249999999993</v>
      </c>
      <c r="I20" s="61">
        <f>'12'!I108</f>
        <v>1.5039583333333335</v>
      </c>
      <c r="J20" s="61">
        <f>'12'!J108</f>
        <v>0.2364583333333333</v>
      </c>
      <c r="K20" s="61">
        <f>'12'!K108</f>
        <v>173.6725000000001</v>
      </c>
      <c r="L20" s="61">
        <f>'12'!L108</f>
        <v>18.801562499999992</v>
      </c>
      <c r="M20" s="61">
        <f>'12'!M108</f>
        <v>65.404166666666683</v>
      </c>
      <c r="N20" s="61">
        <f>'12'!N108</f>
        <v>172.66770833333337</v>
      </c>
      <c r="O20" s="61">
        <f>'12'!O108</f>
        <v>0</v>
      </c>
      <c r="P20" s="202">
        <f>'12'!P108</f>
        <v>0.88072916666666645</v>
      </c>
      <c r="Q20" s="61">
        <f>'12'!Q108</f>
        <v>5.2015789473684206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13-12-2023 00:15</v>
      </c>
      <c r="B21" s="91">
        <f>'13'!B108</f>
        <v>25.859895833333322</v>
      </c>
      <c r="C21" s="91">
        <f>'13'!C108</f>
        <v>62.305937499999992</v>
      </c>
      <c r="D21" s="91">
        <f>'13'!D108</f>
        <v>55.769374999999997</v>
      </c>
      <c r="E21" s="91">
        <f>'13'!E108</f>
        <v>0.5709375000000001</v>
      </c>
      <c r="F21" s="91">
        <f>'13'!F108</f>
        <v>10.889791666666676</v>
      </c>
      <c r="G21" s="100">
        <f>'13'!$G$108</f>
        <v>110.78031250000004</v>
      </c>
      <c r="H21" s="91">
        <f>'13'!H108</f>
        <v>49.450208333333315</v>
      </c>
      <c r="I21" s="91">
        <f>'13'!I108</f>
        <v>1.4957291666666672</v>
      </c>
      <c r="J21" s="91">
        <f>'13'!J108</f>
        <v>0.27187499999999998</v>
      </c>
      <c r="K21" s="91">
        <f>'13'!K108</f>
        <v>223.07500000000007</v>
      </c>
      <c r="L21" s="91">
        <f>'13'!L108</f>
        <v>18.904062499999998</v>
      </c>
      <c r="M21" s="91">
        <f>'13'!M108</f>
        <v>67.426770833333322</v>
      </c>
      <c r="N21" s="91">
        <f>'13'!N108</f>
        <v>156.8947916666668</v>
      </c>
      <c r="O21" s="91">
        <f>'13'!O108</f>
        <v>0</v>
      </c>
      <c r="P21" s="203">
        <f>'13'!P108</f>
        <v>1.0096874999999998</v>
      </c>
      <c r="Q21" s="91">
        <f>'13'!Q108</f>
        <v>4.7717894736842137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14-12-2023 00:15</v>
      </c>
      <c r="B22" s="90">
        <f>'14'!B108</f>
        <v>19.806770833333335</v>
      </c>
      <c r="C22" s="90">
        <f>'14'!C108</f>
        <v>61.88614583333333</v>
      </c>
      <c r="D22" s="90">
        <f>'14'!D108</f>
        <v>50.683333333333344</v>
      </c>
      <c r="E22" s="90">
        <f>'14'!E108</f>
        <v>1.5208333333333324</v>
      </c>
      <c r="F22" s="90">
        <f>'14'!F108</f>
        <v>11.874375000000001</v>
      </c>
      <c r="G22" s="100">
        <f>'14'!$G$108</f>
        <v>105.92739583333336</v>
      </c>
      <c r="H22" s="100">
        <f>'14'!$G$108</f>
        <v>105.92739583333336</v>
      </c>
      <c r="I22" s="90">
        <f>'14'!I108</f>
        <v>1.5017708333333335</v>
      </c>
      <c r="J22" s="90">
        <f>'14'!J108</f>
        <v>0.34374999999999978</v>
      </c>
      <c r="K22" s="90">
        <f>'14'!K108</f>
        <v>215.88718750000007</v>
      </c>
      <c r="L22" s="90">
        <f>'14'!L108</f>
        <v>18.976458333333337</v>
      </c>
      <c r="M22" s="90">
        <f>'14'!M108</f>
        <v>61.442083333333329</v>
      </c>
      <c r="N22" s="90">
        <f>'14'!N108</f>
        <v>170.20104166666667</v>
      </c>
      <c r="O22" s="90">
        <f>'14'!O108</f>
        <v>0</v>
      </c>
      <c r="P22" s="204">
        <f>'14'!P108</f>
        <v>0.96572916666666664</v>
      </c>
      <c r="Q22" s="90">
        <f>'14'!Q108</f>
        <v>4.8449999999999989</v>
      </c>
      <c r="R22" s="206"/>
      <c r="S22" s="206"/>
      <c r="T22" s="206"/>
      <c r="U22" s="206"/>
    </row>
    <row r="23" spans="1:21" x14ac:dyDescent="0.25">
      <c r="A23" s="94" t="str">
        <f>'15'!$B$2</f>
        <v>15-12-2023 00:15</v>
      </c>
      <c r="B23" s="61">
        <f>'15'!B108</f>
        <v>27.442812499999999</v>
      </c>
      <c r="C23" s="61">
        <f>'15'!C108</f>
        <v>62.470416666666694</v>
      </c>
      <c r="D23" s="61">
        <f>'15'!D108</f>
        <v>57.128645833333344</v>
      </c>
      <c r="E23" s="61">
        <f>'15'!E108</f>
        <v>1.4113541666666665</v>
      </c>
      <c r="F23" s="61">
        <f>'15'!F108</f>
        <v>9.3503125000000011</v>
      </c>
      <c r="G23" s="100">
        <f>'15'!$G$108</f>
        <v>120.98569892473111</v>
      </c>
      <c r="H23" s="61">
        <f>'15'!H108</f>
        <v>52.24806451612902</v>
      </c>
      <c r="I23" s="61">
        <f>'15'!I108</f>
        <v>1.5022916666666664</v>
      </c>
      <c r="J23" s="61">
        <f>'15'!J108</f>
        <v>0.28020833333333334</v>
      </c>
      <c r="K23" s="61">
        <f>'15'!K108</f>
        <v>168.05229166666655</v>
      </c>
      <c r="L23" s="61">
        <f>'15'!L108</f>
        <v>17.95645833333333</v>
      </c>
      <c r="M23" s="61">
        <f>'15'!M108</f>
        <v>60.554999999999986</v>
      </c>
      <c r="N23" s="61">
        <f>'15'!N108</f>
        <v>181.80625000000001</v>
      </c>
      <c r="O23" s="61">
        <f>'15'!O108</f>
        <v>0</v>
      </c>
      <c r="P23" s="202">
        <f>'15'!P108</f>
        <v>1.2022916666666668</v>
      </c>
      <c r="Q23" s="61">
        <f>'15'!Q108</f>
        <v>3.8071739130434801</v>
      </c>
      <c r="R23" s="118"/>
      <c r="S23" s="118"/>
      <c r="T23" s="118"/>
      <c r="U23" s="118"/>
    </row>
    <row r="24" spans="1:21" x14ac:dyDescent="0.25">
      <c r="A24" s="94" t="str">
        <f>'16'!$B$2</f>
        <v>16-12-2023 00:15</v>
      </c>
      <c r="B24" s="61">
        <f>'16'!B108</f>
        <v>67.166666666666686</v>
      </c>
      <c r="C24" s="61">
        <f>'16'!C108</f>
        <v>71.005053763440841</v>
      </c>
      <c r="D24" s="61">
        <f>'16'!D108</f>
        <v>93.69569892473119</v>
      </c>
      <c r="E24" s="61">
        <f>'16'!E108</f>
        <v>1.7240625000000005</v>
      </c>
      <c r="F24" s="61">
        <f>'16'!F108</f>
        <v>9.7751041666666669</v>
      </c>
      <c r="G24" s="100">
        <f>'16'!$G$108</f>
        <v>153.63999999999996</v>
      </c>
      <c r="H24" s="61">
        <f>'16'!H108</f>
        <v>64.015543478260881</v>
      </c>
      <c r="I24" s="61">
        <f>'16'!I108</f>
        <v>1.4949999999999994</v>
      </c>
      <c r="J24" s="61">
        <f>'16'!J108</f>
        <v>0.29020833333333335</v>
      </c>
      <c r="K24" s="61">
        <f>'16'!K108</f>
        <v>204.45302083333331</v>
      </c>
      <c r="L24" s="61">
        <f>'16'!L108</f>
        <v>17.3784375</v>
      </c>
      <c r="M24" s="61">
        <f>'16'!M108</f>
        <v>60.383437499999985</v>
      </c>
      <c r="N24" s="61">
        <f>'16'!N108</f>
        <v>190.421875</v>
      </c>
      <c r="O24" s="61">
        <f>'16'!O108</f>
        <v>0</v>
      </c>
      <c r="P24" s="202">
        <f>'16'!P108</f>
        <v>1.4743617021276596</v>
      </c>
      <c r="Q24" s="61">
        <f>'16'!Q108</f>
        <v>10.403404255319149</v>
      </c>
      <c r="R24" s="118"/>
      <c r="S24" s="118"/>
      <c r="T24" s="118"/>
      <c r="U24" s="118"/>
    </row>
    <row r="25" spans="1:21" x14ac:dyDescent="0.25">
      <c r="A25" s="94" t="str">
        <f>'17'!$B$2</f>
        <v>17-12-2023 00:15</v>
      </c>
      <c r="B25" s="61">
        <f>'17'!B108</f>
        <v>32.878958333333337</v>
      </c>
      <c r="C25" s="61">
        <f>'17'!C108</f>
        <v>66.376979166666658</v>
      </c>
      <c r="D25" s="61">
        <f>'17'!D108</f>
        <v>63.644583333333337</v>
      </c>
      <c r="E25" s="61">
        <f>'17'!E108</f>
        <v>1.1546875000000003</v>
      </c>
      <c r="F25" s="61">
        <f>'17'!F108</f>
        <v>10.793750000000003</v>
      </c>
      <c r="G25" s="101">
        <f>'17'!$G$108</f>
        <v>112.76906250000012</v>
      </c>
      <c r="H25" s="61">
        <f>'17'!H108</f>
        <v>54.423854166666722</v>
      </c>
      <c r="I25" s="61">
        <f>'17'!I108</f>
        <v>1.5040625000000001</v>
      </c>
      <c r="J25" s="61">
        <f>'17'!J108</f>
        <v>0.34812500000000002</v>
      </c>
      <c r="K25" s="61">
        <f>'17'!K108</f>
        <v>188.3977083333333</v>
      </c>
      <c r="L25" s="61">
        <f>'17'!L108</f>
        <v>17.496354166666666</v>
      </c>
      <c r="M25" s="61">
        <f>'17'!M108</f>
        <v>57.681666666666651</v>
      </c>
      <c r="N25" s="61">
        <f>'17'!N108</f>
        <v>178.08125000000004</v>
      </c>
      <c r="O25" s="61">
        <f>'17'!O108</f>
        <v>0</v>
      </c>
      <c r="P25" s="202">
        <f>'17'!P108</f>
        <v>1.0846874999999996</v>
      </c>
      <c r="Q25" s="61">
        <f>'17'!Q108</f>
        <v>7.7395555555555529</v>
      </c>
      <c r="R25" s="118"/>
      <c r="S25" s="118"/>
      <c r="T25" s="118"/>
      <c r="U25" s="118"/>
    </row>
    <row r="26" spans="1:21" x14ac:dyDescent="0.25">
      <c r="A26" s="94" t="str">
        <f>'18'!$B$2</f>
        <v>18-12-2023 00:15</v>
      </c>
      <c r="B26" s="61">
        <f>'18'!B108</f>
        <v>31.436666666666667</v>
      </c>
      <c r="C26" s="61">
        <f>'18'!C108</f>
        <v>71.694687499999972</v>
      </c>
      <c r="D26" s="61">
        <f>'18'!D108</f>
        <v>65.42239583333334</v>
      </c>
      <c r="E26" s="61">
        <f>'18'!E108</f>
        <v>2.7579166666666679</v>
      </c>
      <c r="F26" s="61">
        <f>'18'!F108</f>
        <v>16.729479166666664</v>
      </c>
      <c r="G26" s="99">
        <f>'18'!$G$108</f>
        <v>104.06312500000003</v>
      </c>
      <c r="H26" s="61">
        <f>'18'!H108</f>
        <v>47.587395833333346</v>
      </c>
      <c r="I26" s="61">
        <f>'18'!I108</f>
        <v>1.4998958333333337</v>
      </c>
      <c r="J26" s="61">
        <f>'18'!J108</f>
        <v>0.44864583333333347</v>
      </c>
      <c r="K26" s="61">
        <f>'18'!K108</f>
        <v>254.11010416666667</v>
      </c>
      <c r="L26" s="61">
        <f>'18'!L108</f>
        <v>17.154583333333324</v>
      </c>
      <c r="M26" s="61">
        <f>'18'!M108</f>
        <v>54.730625000000011</v>
      </c>
      <c r="N26" s="61">
        <f>'18'!N108</f>
        <v>184.10625000000007</v>
      </c>
      <c r="O26" s="61">
        <f>'18'!O108</f>
        <v>0</v>
      </c>
      <c r="P26" s="202">
        <f>'18'!P108</f>
        <v>1.1030208333333331</v>
      </c>
      <c r="Q26" s="61">
        <f>'18'!Q108</f>
        <v>7.1608791208791196</v>
      </c>
      <c r="R26" s="118"/>
      <c r="S26" s="118"/>
      <c r="T26" s="118"/>
      <c r="U26" s="118"/>
    </row>
    <row r="27" spans="1:21" x14ac:dyDescent="0.25">
      <c r="A27" s="94" t="str">
        <f>'19'!$B$2</f>
        <v>19-12-2023 00:15</v>
      </c>
      <c r="B27" s="61">
        <f>'19'!B108</f>
        <v>29.592812500000008</v>
      </c>
      <c r="C27" s="61">
        <f>'19'!C108</f>
        <v>72.856770833333343</v>
      </c>
      <c r="D27" s="61">
        <f>'19'!D108</f>
        <v>64.58520833333337</v>
      </c>
      <c r="E27" s="61">
        <f>'19'!E108</f>
        <v>4.9737500000000008</v>
      </c>
      <c r="F27" s="61">
        <f>'19'!F108</f>
        <v>14.618854166666663</v>
      </c>
      <c r="G27" s="61">
        <f>'19'!G108</f>
        <v>112.44499999999999</v>
      </c>
      <c r="H27" s="61">
        <f>'19'!H108</f>
        <v>54.081979166666692</v>
      </c>
      <c r="I27" s="61">
        <f>'19'!I108</f>
        <v>1.499583333333333</v>
      </c>
      <c r="J27" s="61">
        <f>'19'!J108</f>
        <v>0.49645833333333328</v>
      </c>
      <c r="K27" s="61">
        <f>'19'!K108</f>
        <v>260.97510416666671</v>
      </c>
      <c r="L27" s="61">
        <f>'19'!L108</f>
        <v>16.684374999999996</v>
      </c>
      <c r="M27" s="61">
        <f>'19'!M108</f>
        <v>43.972812499999982</v>
      </c>
      <c r="N27" s="61">
        <f>'19'!N108</f>
        <v>213.12812499999987</v>
      </c>
      <c r="O27" s="61">
        <f>'19'!O108</f>
        <v>0</v>
      </c>
      <c r="P27" s="202">
        <f>'19'!P108</f>
        <v>1.1852083333333332</v>
      </c>
      <c r="Q27" s="61">
        <f>'19'!Q108</f>
        <v>6.1835789473684217</v>
      </c>
      <c r="R27" s="118"/>
      <c r="S27" s="118"/>
      <c r="T27" s="118"/>
      <c r="U27" s="118"/>
    </row>
    <row r="28" spans="1:21" x14ac:dyDescent="0.25">
      <c r="A28" s="94" t="str">
        <f>'20'!$B$2</f>
        <v>20-12-2023 00:15</v>
      </c>
      <c r="B28" s="61">
        <f>'20'!B108</f>
        <v>44.545729166666661</v>
      </c>
      <c r="C28" s="61">
        <f>'20'!C108</f>
        <v>80.20354166666668</v>
      </c>
      <c r="D28" s="61">
        <f>'20'!D108</f>
        <v>80.630833333333342</v>
      </c>
      <c r="E28" s="61">
        <f>'20'!E108</f>
        <v>5.7711458333333345</v>
      </c>
      <c r="F28" s="61">
        <f>'20'!F108</f>
        <v>11.513020833333336</v>
      </c>
      <c r="G28" s="61">
        <f>'20'!G108</f>
        <v>123.88031250000004</v>
      </c>
      <c r="H28" s="61">
        <f>'20'!H108</f>
        <v>56.322187500000005</v>
      </c>
      <c r="I28" s="61">
        <f>'20'!I108</f>
        <v>1.4958333333333329</v>
      </c>
      <c r="J28" s="61">
        <f>'20'!J108</f>
        <v>0.37479166666666702</v>
      </c>
      <c r="K28" s="61">
        <f>'20'!K108</f>
        <v>237.93937499999993</v>
      </c>
      <c r="L28" s="61">
        <f>'20'!L108</f>
        <v>16.036562499999999</v>
      </c>
      <c r="M28" s="61">
        <f>'20'!M108</f>
        <v>50.155000000000001</v>
      </c>
      <c r="N28" s="61">
        <f>'20'!N108</f>
        <v>208.03645833333334</v>
      </c>
      <c r="O28" s="61">
        <f>'20'!O108</f>
        <v>0</v>
      </c>
      <c r="P28" s="202">
        <f>'20'!P108</f>
        <v>1.5503125000000004</v>
      </c>
      <c r="Q28" s="61">
        <f>'20'!Q108</f>
        <v>5.180212765957446</v>
      </c>
      <c r="R28" s="118"/>
      <c r="S28" s="118"/>
      <c r="T28" s="118"/>
      <c r="U28" s="118"/>
    </row>
    <row r="29" spans="1:21" x14ac:dyDescent="0.25">
      <c r="A29" s="94" t="str">
        <f>'21'!$B$2</f>
        <v>21-12-2023 00:15</v>
      </c>
      <c r="B29" s="61">
        <f>'21'!B108</f>
        <v>87.484895833333326</v>
      </c>
      <c r="C29" s="61">
        <f>'21'!C108</f>
        <v>83.806770833333388</v>
      </c>
      <c r="D29" s="61">
        <f>'21'!D108</f>
        <v>117.05427083333332</v>
      </c>
      <c r="E29" s="61">
        <f>'21'!E108</f>
        <v>2.6168749999999994</v>
      </c>
      <c r="F29" s="61">
        <f>'21'!F108</f>
        <v>9.4073958333333376</v>
      </c>
      <c r="G29" s="61">
        <f>'21'!G108</f>
        <v>145.96395833333347</v>
      </c>
      <c r="H29" s="61">
        <f>'21'!H108</f>
        <v>73.440104166666615</v>
      </c>
      <c r="I29" s="61">
        <f>'21'!I108</f>
        <v>1.5024999999999997</v>
      </c>
      <c r="J29" s="61">
        <f>'21'!J108</f>
        <v>0.28979166666666673</v>
      </c>
      <c r="K29" s="61">
        <f>'21'!K108</f>
        <v>180.82958333333329</v>
      </c>
      <c r="L29" s="61">
        <f>'21'!L108</f>
        <v>15.862500000000002</v>
      </c>
      <c r="M29" s="61">
        <f>'21'!M108</f>
        <v>57.820208333333348</v>
      </c>
      <c r="N29" s="61">
        <f>'21'!N108</f>
        <v>205.48854166666669</v>
      </c>
      <c r="O29" s="61">
        <f>'21'!O108</f>
        <v>0</v>
      </c>
      <c r="P29" s="202">
        <f>'21'!P108</f>
        <v>1.704270833333333</v>
      </c>
      <c r="Q29" s="61">
        <f>'21'!Q108</f>
        <v>13.127777777777784</v>
      </c>
      <c r="R29" s="118"/>
      <c r="S29" s="118"/>
      <c r="T29" s="118"/>
      <c r="U29" s="118"/>
    </row>
    <row r="30" spans="1:21" x14ac:dyDescent="0.25">
      <c r="A30" s="94" t="str">
        <f>'22'!$B$2</f>
        <v>22-12-2023 00:15</v>
      </c>
      <c r="B30" s="61">
        <f>'22'!B108</f>
        <v>57.924895833333345</v>
      </c>
      <c r="C30" s="61">
        <f>'22'!C108</f>
        <v>85.894479166666656</v>
      </c>
      <c r="D30" s="61">
        <f>'22'!D108</f>
        <v>94.500625000000028</v>
      </c>
      <c r="E30" s="61">
        <f>'22'!E108</f>
        <v>1.4995833333333339</v>
      </c>
      <c r="F30" s="61">
        <f>'22'!F108</f>
        <v>9.9102083333333315</v>
      </c>
      <c r="G30" s="61">
        <f>'22'!G108</f>
        <v>154.81187500000001</v>
      </c>
      <c r="H30" s="61">
        <f>'22'!H108</f>
        <v>93.35458333333338</v>
      </c>
      <c r="I30" s="61">
        <f>'22'!I108</f>
        <v>1.4934374999999998</v>
      </c>
      <c r="J30" s="61">
        <f>'22'!J108</f>
        <v>0.2447916666666666</v>
      </c>
      <c r="K30" s="61">
        <f>'22'!K108</f>
        <v>224.45499999999996</v>
      </c>
      <c r="L30" s="61">
        <f>'22'!L108</f>
        <v>16.528020833333326</v>
      </c>
      <c r="M30" s="61">
        <f>'22'!M108</f>
        <v>61.464687499999989</v>
      </c>
      <c r="N30" s="61">
        <f>'22'!N108</f>
        <v>198.97708333333344</v>
      </c>
      <c r="O30" s="61">
        <f>'22'!O108</f>
        <v>0</v>
      </c>
      <c r="P30" s="202">
        <f>'22'!P108</f>
        <v>1.6813541666666667</v>
      </c>
      <c r="Q30" s="61">
        <f>'22'!Q108</f>
        <v>9.8531395348837219</v>
      </c>
      <c r="R30" s="118"/>
      <c r="S30" s="118"/>
      <c r="T30" s="118"/>
      <c r="U30" s="118"/>
    </row>
    <row r="31" spans="1:21" x14ac:dyDescent="0.25">
      <c r="A31" s="94" t="str">
        <f>'23'!$B$2</f>
        <v>23-12-2023 00:15</v>
      </c>
      <c r="B31" s="61">
        <f>'23'!B108</f>
        <v>24.546458333333344</v>
      </c>
      <c r="C31" s="61">
        <f>'23'!C108</f>
        <v>75.786041666666662</v>
      </c>
      <c r="D31" s="61">
        <f>'23'!D108</f>
        <v>62.155104166666696</v>
      </c>
      <c r="E31" s="61">
        <f>'23'!E108</f>
        <v>1.2166666666666663</v>
      </c>
      <c r="F31" s="61">
        <f>'23'!F108</f>
        <v>13.023229166666669</v>
      </c>
      <c r="G31" s="61">
        <f>'23'!G108</f>
        <v>129.12312499999999</v>
      </c>
      <c r="H31" s="61">
        <f>'23'!H108</f>
        <v>72.204791666666637</v>
      </c>
      <c r="I31" s="61">
        <f>'23'!I108</f>
        <v>1.5041666666666664</v>
      </c>
      <c r="J31" s="61">
        <f>'23'!J108</f>
        <v>0.46062500000000001</v>
      </c>
      <c r="K31" s="61">
        <f>'23'!K108</f>
        <v>136.99625000000003</v>
      </c>
      <c r="L31" s="61">
        <f>'23'!L108</f>
        <v>16.931250000000002</v>
      </c>
      <c r="M31" s="61">
        <f>'23'!M108</f>
        <v>62.78885416666666</v>
      </c>
      <c r="N31" s="61">
        <f>'23'!N108</f>
        <v>163.94062500000004</v>
      </c>
      <c r="O31" s="61">
        <f>'23'!O108</f>
        <v>0</v>
      </c>
      <c r="P31" s="202">
        <f>'23'!P108</f>
        <v>1.0119791666666673</v>
      </c>
      <c r="Q31" s="61">
        <f>'23'!Q108</f>
        <v>8.3836458333333326</v>
      </c>
      <c r="R31" s="118"/>
      <c r="S31" s="207"/>
      <c r="T31" s="118"/>
      <c r="U31" s="118"/>
    </row>
    <row r="32" spans="1:21" x14ac:dyDescent="0.25">
      <c r="A32" s="94" t="str">
        <f>'24'!$B$2</f>
        <v>24-12-2023 00:15</v>
      </c>
      <c r="B32" s="61">
        <f>'24'!B108</f>
        <v>44.467604166666661</v>
      </c>
      <c r="C32" s="61">
        <f>'24'!C108</f>
        <v>79.762291666666655</v>
      </c>
      <c r="D32" s="61">
        <f>'24'!D108</f>
        <v>80.324895833333343</v>
      </c>
      <c r="E32" s="61">
        <f>'24'!E108</f>
        <v>1.3518750000000006</v>
      </c>
      <c r="F32" s="61">
        <f>'24'!F108</f>
        <v>10.073437499999995</v>
      </c>
      <c r="G32" s="61">
        <f>'24'!G108</f>
        <v>154.82760416666665</v>
      </c>
      <c r="H32" s="61">
        <f>'24'!H108</f>
        <v>76.999375000000015</v>
      </c>
      <c r="I32" s="61">
        <f>'24'!I108</f>
        <v>1.5023958333333332</v>
      </c>
      <c r="J32" s="61">
        <f>'24'!J108</f>
        <v>0.2674999999999999</v>
      </c>
      <c r="K32" s="61">
        <f>'24'!K108</f>
        <v>202.21937500000001</v>
      </c>
      <c r="L32" s="61">
        <f>'24'!L108</f>
        <v>17.064479166666668</v>
      </c>
      <c r="M32" s="61">
        <f>'24'!M108</f>
        <v>75.428437499999987</v>
      </c>
      <c r="N32" s="61">
        <f>'24'!N108</f>
        <v>175.42604166666672</v>
      </c>
      <c r="O32" s="61">
        <f>'24'!O108</f>
        <v>0</v>
      </c>
      <c r="P32" s="202">
        <f>'24'!P108</f>
        <v>1.9132291666666665</v>
      </c>
      <c r="Q32" s="61">
        <f>'24'!Q108</f>
        <v>6.3382142857142894</v>
      </c>
      <c r="R32" s="118"/>
      <c r="S32" s="118"/>
      <c r="T32" s="118"/>
      <c r="U32" s="118"/>
    </row>
    <row r="33" spans="1:21" x14ac:dyDescent="0.25">
      <c r="A33" s="94" t="str">
        <f>'25'!$B$2</f>
        <v>25-12-2023 00:15</v>
      </c>
      <c r="B33" s="61">
        <f>'25'!B108</f>
        <v>88.514479166666675</v>
      </c>
      <c r="C33" s="61">
        <f>'25'!C108</f>
        <v>89.455729166666629</v>
      </c>
      <c r="D33" s="61">
        <f>'25'!D108</f>
        <v>120.99645833333334</v>
      </c>
      <c r="E33" s="61">
        <f>'25'!E108</f>
        <v>1.0063541666666669</v>
      </c>
      <c r="F33" s="61">
        <f>'25'!F108</f>
        <v>7.0624999999999973</v>
      </c>
      <c r="G33" s="61">
        <f>'25'!G108</f>
        <v>178.5414583333334</v>
      </c>
      <c r="H33" s="61">
        <f>'25'!H108</f>
        <v>91.756666666666604</v>
      </c>
      <c r="I33" s="61">
        <f>'25'!I108</f>
        <v>1.4985416666666664</v>
      </c>
      <c r="J33" s="61">
        <f>'25'!J108</f>
        <v>0.20718750000000008</v>
      </c>
      <c r="K33" s="61">
        <f>'25'!K108</f>
        <v>218.25781250000009</v>
      </c>
      <c r="L33" s="61">
        <f>'25'!L108</f>
        <v>17.878541666666674</v>
      </c>
      <c r="M33" s="61">
        <f>'25'!M108</f>
        <v>77.24635416666662</v>
      </c>
      <c r="N33" s="61">
        <f>'25'!N108</f>
        <v>162.25312500000007</v>
      </c>
      <c r="O33" s="61">
        <f>'25'!O108</f>
        <v>0</v>
      </c>
      <c r="P33" s="202">
        <f>'25'!P108</f>
        <v>2.2298958333333325</v>
      </c>
      <c r="Q33" s="61">
        <f>'25'!Q108</f>
        <v>13.972500000000002</v>
      </c>
      <c r="R33" s="118"/>
      <c r="S33" s="207"/>
      <c r="T33" s="118"/>
      <c r="U33" s="118"/>
    </row>
    <row r="34" spans="1:21" x14ac:dyDescent="0.25">
      <c r="A34" s="94" t="str">
        <f>'26'!$B$2</f>
        <v>26-12-2023 00:15</v>
      </c>
      <c r="B34" s="61">
        <f>'26'!B108</f>
        <v>74.717173913043482</v>
      </c>
      <c r="C34" s="61">
        <f>'26'!C108</f>
        <v>90.51532608695652</v>
      </c>
      <c r="D34" s="61">
        <f>'26'!D108</f>
        <v>110.5853260869565</v>
      </c>
      <c r="E34" s="61">
        <f>'26'!E108</f>
        <v>1.0215957446808508</v>
      </c>
      <c r="F34" s="61">
        <f>'26'!F108</f>
        <v>10.050208333333336</v>
      </c>
      <c r="G34" s="61">
        <f>'26'!G108</f>
        <v>183.21795698924723</v>
      </c>
      <c r="H34" s="61">
        <f>'26'!H108</f>
        <v>91.477526881720451</v>
      </c>
      <c r="I34" s="61">
        <f>'26'!I108</f>
        <v>1.5027083333333335</v>
      </c>
      <c r="J34" s="61">
        <f>'26'!J108</f>
        <v>0.19291666666666663</v>
      </c>
      <c r="K34" s="61">
        <f>'26'!K108</f>
        <v>227.93916666666675</v>
      </c>
      <c r="L34" s="61">
        <f>'26'!L108</f>
        <v>18.708125000000006</v>
      </c>
      <c r="M34" s="61">
        <f>'26'!M108</f>
        <v>74.392916666666608</v>
      </c>
      <c r="N34" s="61">
        <f>'26'!N108</f>
        <v>148.51041666666671</v>
      </c>
      <c r="O34" s="61">
        <f>'26'!O108</f>
        <v>0</v>
      </c>
      <c r="P34" s="202">
        <f>'26'!P108</f>
        <v>1.6713076923076919</v>
      </c>
      <c r="Q34" s="61">
        <f>'26'!Q108</f>
        <v>11.692183908045974</v>
      </c>
      <c r="R34" s="118"/>
      <c r="S34" s="118"/>
      <c r="T34" s="118"/>
      <c r="U34" s="118"/>
    </row>
    <row r="35" spans="1:21" x14ac:dyDescent="0.25">
      <c r="A35" s="94" t="str">
        <f>'27'!$B$2</f>
        <v>27-12-2023 00:15</v>
      </c>
      <c r="B35" s="61">
        <f>'27'!B108</f>
        <v>65.742499999999978</v>
      </c>
      <c r="C35" s="61">
        <f>'27'!C108</f>
        <v>88.709166666666704</v>
      </c>
      <c r="D35" s="61">
        <f>'27'!D108</f>
        <v>102.32302083333332</v>
      </c>
      <c r="E35" s="61">
        <f>'27'!E108</f>
        <v>1.254791666666667</v>
      </c>
      <c r="F35" s="61">
        <f>'27'!F108</f>
        <v>9.0196874999999999</v>
      </c>
      <c r="G35" s="61">
        <f>'27'!G108</f>
        <v>175.33875000000003</v>
      </c>
      <c r="H35" s="61">
        <f>'27'!H108</f>
        <v>84.896666666666633</v>
      </c>
      <c r="I35" s="61">
        <f>'27'!I108</f>
        <v>1.4950000000000001</v>
      </c>
      <c r="J35" s="61">
        <f>'27'!J108</f>
        <v>0.22750000000000001</v>
      </c>
      <c r="K35" s="61">
        <f>'27'!K108</f>
        <v>235.16364583333333</v>
      </c>
      <c r="L35" s="61">
        <f>'27'!L108</f>
        <v>19.011354166666667</v>
      </c>
      <c r="M35" s="61">
        <f>'27'!M108</f>
        <v>71.224895833333335</v>
      </c>
      <c r="N35" s="61">
        <f>'27'!N108</f>
        <v>154.30416666666667</v>
      </c>
      <c r="O35" s="61">
        <f>'27'!O108</f>
        <v>0</v>
      </c>
      <c r="P35" s="202">
        <f>'27'!P108</f>
        <v>2.0636458333333336</v>
      </c>
      <c r="Q35" s="61">
        <f>'27'!Q108</f>
        <v>9.4492631578947393</v>
      </c>
      <c r="R35" s="118"/>
      <c r="S35" s="118"/>
      <c r="T35" s="118"/>
      <c r="U35" s="118"/>
    </row>
    <row r="36" spans="1:21" x14ac:dyDescent="0.25">
      <c r="A36" s="94" t="str">
        <f>'28'!$B$2</f>
        <v>28-12-2023 00:15</v>
      </c>
      <c r="B36" s="61">
        <f>'28'!B108</f>
        <v>67.10979166666668</v>
      </c>
      <c r="C36" s="61">
        <f>'28'!C108</f>
        <v>85.738541666666663</v>
      </c>
      <c r="D36" s="61">
        <f>'28'!D108</f>
        <v>101.78020833333335</v>
      </c>
      <c r="E36" s="61">
        <f>'28'!E108</f>
        <v>0.43343749999999986</v>
      </c>
      <c r="F36" s="61">
        <f>'28'!F108</f>
        <v>3.8587500000000001</v>
      </c>
      <c r="G36" s="61">
        <f>'28'!G108</f>
        <v>156.26145833333337</v>
      </c>
      <c r="H36" s="61">
        <f>'28'!H108</f>
        <v>88.837187500000027</v>
      </c>
      <c r="I36" s="61">
        <f>'28'!I108</f>
        <v>1.4962500000000001</v>
      </c>
      <c r="J36" s="61">
        <f>'28'!J108</f>
        <v>0.20739583333333333</v>
      </c>
      <c r="K36" s="61">
        <f>'28'!K108</f>
        <v>200.00895833333334</v>
      </c>
      <c r="L36" s="61">
        <f>'28'!L108</f>
        <v>18.545520833333342</v>
      </c>
      <c r="M36" s="61">
        <f>'28'!M108</f>
        <v>71.283437499999991</v>
      </c>
      <c r="N36" s="61">
        <f>'28'!N108</f>
        <v>152.30416666666667</v>
      </c>
      <c r="O36" s="61">
        <f>'28'!O108</f>
        <v>0</v>
      </c>
      <c r="P36" s="202">
        <f>'28'!P108</f>
        <v>1.3984375</v>
      </c>
      <c r="Q36" s="61">
        <f>'28'!Q108</f>
        <v>13.799999999999999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29-12-2023 00:15</v>
      </c>
      <c r="B37" s="61">
        <f>'29'!B108</f>
        <v>76.498124999999987</v>
      </c>
      <c r="C37" s="61">
        <f>'29'!C108</f>
        <v>57.753854166666656</v>
      </c>
      <c r="D37" s="61">
        <f>'29'!D108</f>
        <v>93.865104166666683</v>
      </c>
      <c r="E37" s="61">
        <f>'29'!E108</f>
        <v>0.33463157894736839</v>
      </c>
      <c r="F37" s="61">
        <f>'29'!F108</f>
        <v>3.7910416666666666</v>
      </c>
      <c r="G37" s="61">
        <f>'29'!G108</f>
        <v>154.43843749999999</v>
      </c>
      <c r="H37" s="61">
        <f>'29'!H108</f>
        <v>75.967291666666668</v>
      </c>
      <c r="I37" s="61">
        <f>'29'!I108</f>
        <v>1.4971874999999999</v>
      </c>
      <c r="J37" s="61">
        <f>'29'!J108</f>
        <v>0.2426041666666667</v>
      </c>
      <c r="K37" s="61">
        <f>'29'!K108</f>
        <v>197.24843750000002</v>
      </c>
      <c r="L37" s="61">
        <f>'29'!L108</f>
        <v>18.279166666666665</v>
      </c>
      <c r="M37" s="61">
        <f>'29'!M108</f>
        <v>75.528854166666676</v>
      </c>
      <c r="N37" s="61">
        <f>'29'!N108</f>
        <v>139.30208333333343</v>
      </c>
      <c r="O37" s="61">
        <f>'29'!O108</f>
        <v>0</v>
      </c>
      <c r="P37" s="202">
        <f>'29'!P108</f>
        <v>1.5991666666666662</v>
      </c>
      <c r="Q37" s="61">
        <f>'29'!Q108</f>
        <v>10.854895833333336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30-12-2023 00:15</v>
      </c>
      <c r="B38" s="61">
        <f>'30'!B108</f>
        <v>90.732812500000009</v>
      </c>
      <c r="C38" s="61">
        <f>'30'!C108</f>
        <v>67.069999999999965</v>
      </c>
      <c r="D38" s="61">
        <f>'30'!D108</f>
        <v>110.42145833333332</v>
      </c>
      <c r="E38" s="61">
        <f>'30'!E108</f>
        <v>0.29218749999999999</v>
      </c>
      <c r="F38" s="61">
        <f>'30'!F108</f>
        <v>3.3459374999999998</v>
      </c>
      <c r="G38" s="61">
        <f>'30'!G108</f>
        <v>171.13197916666664</v>
      </c>
      <c r="H38" s="61">
        <f>'30'!H108</f>
        <v>85.999895833333298</v>
      </c>
      <c r="I38" s="61">
        <f>'30'!I108</f>
        <v>1.4931250000000003</v>
      </c>
      <c r="J38" s="61">
        <f>'30'!J108</f>
        <v>0.28270833333333334</v>
      </c>
      <c r="K38" s="61">
        <f>'30'!K108</f>
        <v>225.8822916666667</v>
      </c>
      <c r="L38" s="61">
        <f>'30'!L108</f>
        <v>18.496041666666667</v>
      </c>
      <c r="M38" s="61">
        <f>'30'!M108</f>
        <v>74.980520833333344</v>
      </c>
      <c r="N38" s="61">
        <f>'30'!N108</f>
        <v>141.11145833333336</v>
      </c>
      <c r="O38" s="61">
        <f>'30'!O108</f>
        <v>0</v>
      </c>
      <c r="P38" s="202">
        <f>'30'!P108</f>
        <v>1.6859374999999999</v>
      </c>
      <c r="Q38" s="61">
        <f>'30'!Q108</f>
        <v>12.225729166666666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31-12-2023 00:15</v>
      </c>
      <c r="B39" s="61">
        <f>'31'!B109</f>
        <v>31.049123703627455</v>
      </c>
      <c r="C39" s="61">
        <f>'31'!C109</f>
        <v>12.300911740117344</v>
      </c>
      <c r="D39" s="61">
        <f>'31'!D109</f>
        <v>21.235473400099288</v>
      </c>
      <c r="E39" s="61">
        <f>'31'!E109</f>
        <v>7.264542281617134E-2</v>
      </c>
      <c r="F39" s="61">
        <f>'31'!F109</f>
        <v>0.46507270465384642</v>
      </c>
      <c r="G39" s="61">
        <f>'31'!G109</f>
        <v>23.401666213498192</v>
      </c>
      <c r="H39" s="61">
        <f>'31'!H109</f>
        <v>9.7054552009625592</v>
      </c>
      <c r="I39" s="61">
        <f>'31'!I109</f>
        <v>4.2866070498705659E-2</v>
      </c>
      <c r="J39" s="61">
        <f>'31'!J109</f>
        <v>0.20782391226413746</v>
      </c>
      <c r="K39" s="61">
        <f>'31'!K109</f>
        <v>105.41243355123231</v>
      </c>
      <c r="L39" s="61">
        <f>'31'!L109</f>
        <v>4.1921489694971763</v>
      </c>
      <c r="M39" s="61">
        <f>'31'!M109</f>
        <v>19.999461812660204</v>
      </c>
      <c r="N39" s="61">
        <f>'31'!N109</f>
        <v>145.27456152738401</v>
      </c>
      <c r="O39" s="61">
        <f>'31'!O109</f>
        <v>0</v>
      </c>
      <c r="P39" s="61">
        <f>'31'!P109</f>
        <v>0.34192166885352437</v>
      </c>
      <c r="Q39" s="61">
        <f>'31'!Q109</f>
        <v>1.9309287347048352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5.144166666666667</v>
      </c>
      <c r="C41" s="16">
        <f t="shared" si="0"/>
        <v>40.303541666666675</v>
      </c>
      <c r="D41" s="16">
        <f t="shared" si="0"/>
        <v>28.306559139784948</v>
      </c>
      <c r="E41" s="16">
        <f t="shared" si="0"/>
        <v>0.29218749999999999</v>
      </c>
      <c r="F41" s="16">
        <f t="shared" si="0"/>
        <v>3.3459374999999998</v>
      </c>
      <c r="G41" s="16">
        <f t="shared" si="0"/>
        <v>14.541770833333324</v>
      </c>
      <c r="H41" s="16">
        <f t="shared" si="0"/>
        <v>6.4163541666666655</v>
      </c>
      <c r="I41" s="16">
        <f t="shared" si="0"/>
        <v>1.4922916666666675</v>
      </c>
      <c r="J41" s="16">
        <f t="shared" si="0"/>
        <v>0.19291666666666663</v>
      </c>
      <c r="K41" s="16">
        <f t="shared" si="0"/>
        <v>98.938437499999949</v>
      </c>
      <c r="L41" s="16">
        <f t="shared" si="0"/>
        <v>15.862500000000002</v>
      </c>
      <c r="M41" s="16">
        <f t="shared" si="0"/>
        <v>43.972812499999982</v>
      </c>
      <c r="N41" s="16">
        <f t="shared" si="0"/>
        <v>47.705208333333324</v>
      </c>
      <c r="O41" s="16">
        <f t="shared" si="0"/>
        <v>0</v>
      </c>
      <c r="P41" s="16">
        <f t="shared" si="0"/>
        <v>0.34802083333333328</v>
      </c>
      <c r="Q41" s="16">
        <f t="shared" si="0"/>
        <v>3.8071739130434801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90.732812500000009</v>
      </c>
      <c r="C42" s="16">
        <f t="shared" si="1"/>
        <v>90.51532608695652</v>
      </c>
      <c r="D42" s="16">
        <f t="shared" si="1"/>
        <v>120.99645833333334</v>
      </c>
      <c r="E42" s="16">
        <f t="shared" si="1"/>
        <v>7.3867708333333324</v>
      </c>
      <c r="F42" s="16">
        <f t="shared" si="1"/>
        <v>16.729479166666664</v>
      </c>
      <c r="G42" s="16">
        <f t="shared" si="1"/>
        <v>183.21795698924723</v>
      </c>
      <c r="H42" s="16">
        <f t="shared" si="1"/>
        <v>105.92739583333336</v>
      </c>
      <c r="I42" s="16">
        <f t="shared" si="1"/>
        <v>1.5048958333333327</v>
      </c>
      <c r="J42" s="16">
        <f t="shared" si="1"/>
        <v>0.89739583333333328</v>
      </c>
      <c r="K42" s="16">
        <f t="shared" si="1"/>
        <v>260.97510416666671</v>
      </c>
      <c r="L42" s="16">
        <f t="shared" si="1"/>
        <v>22.630208333333339</v>
      </c>
      <c r="M42" s="16">
        <f t="shared" si="1"/>
        <v>98.153958333333279</v>
      </c>
      <c r="N42" s="16">
        <f t="shared" si="1"/>
        <v>213.12812499999987</v>
      </c>
      <c r="O42" s="16">
        <f t="shared" si="1"/>
        <v>8.333333333333337E-2</v>
      </c>
      <c r="P42" s="16">
        <f t="shared" si="1"/>
        <v>2.2298958333333325</v>
      </c>
      <c r="Q42" s="16">
        <f t="shared" si="1"/>
        <v>13.972500000000002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40.144036061438364</v>
      </c>
      <c r="C43" s="16">
        <f t="shared" si="2"/>
        <v>63.863327513830448</v>
      </c>
      <c r="D43" s="16">
        <f t="shared" si="2"/>
        <v>68.088905582826868</v>
      </c>
      <c r="E43" s="16">
        <f t="shared" si="2"/>
        <v>1.9345969143718367</v>
      </c>
      <c r="F43" s="16">
        <f t="shared" si="2"/>
        <v>8.2964409722222232</v>
      </c>
      <c r="G43" s="16">
        <f t="shared" si="2"/>
        <v>110.3224198240048</v>
      </c>
      <c r="H43" s="16">
        <f t="shared" si="2"/>
        <v>55.885760112380268</v>
      </c>
      <c r="I43" s="16">
        <f t="shared" si="2"/>
        <v>1.4992708333333331</v>
      </c>
      <c r="J43" s="16">
        <f t="shared" si="2"/>
        <v>0.36177430555555551</v>
      </c>
      <c r="K43" s="16">
        <f t="shared" si="2"/>
        <v>196.83641319444445</v>
      </c>
      <c r="L43" s="16">
        <f t="shared" si="2"/>
        <v>18.347909722222219</v>
      </c>
      <c r="M43" s="16">
        <f t="shared" si="2"/>
        <v>69.2252222222222</v>
      </c>
      <c r="N43" s="16">
        <f t="shared" si="2"/>
        <v>155.745</v>
      </c>
      <c r="O43" s="16">
        <f t="shared" si="2"/>
        <v>6.8055555555555569E-3</v>
      </c>
      <c r="P43" s="16">
        <f t="shared" si="2"/>
        <v>1.1896912946293265</v>
      </c>
      <c r="Q43" s="16">
        <f t="shared" si="2"/>
        <v>7.6371187320943319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25.938111786662269</v>
      </c>
      <c r="C44" s="16">
        <f t="shared" si="3"/>
        <v>16.626739932174186</v>
      </c>
      <c r="D44" s="16">
        <f t="shared" si="3"/>
        <v>28.013107354355554</v>
      </c>
      <c r="E44" s="16">
        <f t="shared" si="3"/>
        <v>1.6661347434997069</v>
      </c>
      <c r="F44" s="16">
        <f t="shared" si="3"/>
        <v>3.4894677100723084</v>
      </c>
      <c r="G44" s="16">
        <f t="shared" si="3"/>
        <v>48.343837152750403</v>
      </c>
      <c r="H44" s="16">
        <f t="shared" si="3"/>
        <v>27.086414394986527</v>
      </c>
      <c r="I44" s="16">
        <f t="shared" si="3"/>
        <v>3.9440342152171877E-3</v>
      </c>
      <c r="J44" s="16">
        <f t="shared" si="3"/>
        <v>0.16042177808352914</v>
      </c>
      <c r="K44" s="16">
        <f t="shared" si="3"/>
        <v>41.38212868702815</v>
      </c>
      <c r="L44" s="16">
        <f t="shared" si="3"/>
        <v>1.7998259744969298</v>
      </c>
      <c r="M44" s="16">
        <f t="shared" si="3"/>
        <v>13.026901634675641</v>
      </c>
      <c r="N44" s="16">
        <f t="shared" si="3"/>
        <v>44.271583782009984</v>
      </c>
      <c r="O44" s="16">
        <f t="shared" si="3"/>
        <v>2.1118262299589866E-2</v>
      </c>
      <c r="P44" s="16">
        <f t="shared" si="3"/>
        <v>0.47372655475990449</v>
      </c>
      <c r="Q44" s="16">
        <f t="shared" si="3"/>
        <v>3.0261112666755037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H109" sqref="H10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1" t="s">
        <v>242</v>
      </c>
      <c r="E1" s="221"/>
      <c r="F1" s="221"/>
      <c r="G1" s="221"/>
      <c r="H1" s="221"/>
      <c r="I1" s="221"/>
      <c r="J1" s="222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5" t="s">
        <v>1</v>
      </c>
      <c r="H5" s="225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45262.46875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201.13</v>
      </c>
      <c r="I8" s="60">
        <v>0</v>
      </c>
      <c r="J8" s="61">
        <f>F8/H8</f>
        <v>0.99438174315119576</v>
      </c>
      <c r="K8" s="61">
        <f>(H8-F8)*100/F8</f>
        <v>0.56499999999999773</v>
      </c>
      <c r="L8" s="60" t="s">
        <v>67</v>
      </c>
      <c r="M8" s="78" t="s">
        <v>216</v>
      </c>
      <c r="O8" s="63">
        <v>45262.460416666669</v>
      </c>
      <c r="P8" s="64" t="s">
        <v>70</v>
      </c>
      <c r="Q8" s="64">
        <v>4614.46</v>
      </c>
      <c r="R8" s="64">
        <v>3509.76</v>
      </c>
      <c r="S8" s="77" t="s">
        <v>245</v>
      </c>
      <c r="T8" s="77">
        <v>825.52</v>
      </c>
      <c r="U8" s="86">
        <v>0.89239999999999997</v>
      </c>
      <c r="V8" s="86">
        <v>0.90269999999999995</v>
      </c>
      <c r="W8" s="60" t="s">
        <v>67</v>
      </c>
      <c r="X8" s="78" t="s">
        <v>216</v>
      </c>
    </row>
    <row r="9" spans="2:24" ht="15.75" x14ac:dyDescent="0.25">
      <c r="B9" s="63">
        <v>45286.541666666664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199.35</v>
      </c>
      <c r="I9" s="60">
        <v>0</v>
      </c>
      <c r="J9" s="61">
        <f t="shared" ref="J9:J14" si="0">F9/H9</f>
        <v>1.0032605969400552</v>
      </c>
      <c r="K9" s="61">
        <f t="shared" ref="K9:K14" si="1">(H9-F9)*100/F9</f>
        <v>-0.32500000000000284</v>
      </c>
      <c r="L9" s="60" t="s">
        <v>67</v>
      </c>
      <c r="M9" s="62" t="s">
        <v>216</v>
      </c>
      <c r="O9" s="63">
        <v>45276.444444444445</v>
      </c>
      <c r="P9" s="64" t="s">
        <v>70</v>
      </c>
      <c r="Q9" s="64">
        <v>4509.76</v>
      </c>
      <c r="R9" s="64">
        <v>3605.26</v>
      </c>
      <c r="S9" s="77" t="s">
        <v>245</v>
      </c>
      <c r="T9" s="77">
        <v>831.24</v>
      </c>
      <c r="U9" s="86">
        <v>0.90269999999999995</v>
      </c>
      <c r="V9" s="86">
        <v>0.91010000000000002</v>
      </c>
      <c r="W9" s="60" t="s">
        <v>67</v>
      </c>
      <c r="X9" s="62" t="s">
        <v>216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>
        <v>45286.490972222222</v>
      </c>
      <c r="P10" s="64" t="s">
        <v>70</v>
      </c>
      <c r="Q10" s="64">
        <v>4434.8100000000004</v>
      </c>
      <c r="R10" s="64">
        <v>3367.32</v>
      </c>
      <c r="S10" s="77" t="s">
        <v>245</v>
      </c>
      <c r="T10" s="77">
        <v>843.01</v>
      </c>
      <c r="U10" s="86">
        <v>0.90269999999999995</v>
      </c>
      <c r="V10" s="86">
        <v>0.89410000000000001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4" t="s">
        <v>25</v>
      </c>
      <c r="D21" s="224"/>
      <c r="E21" s="224"/>
      <c r="F21" s="224"/>
      <c r="G21" s="224"/>
      <c r="H21" s="224"/>
      <c r="I21" s="45">
        <f>COUNT(B8:B20)</f>
        <v>2</v>
      </c>
      <c r="J21" s="46"/>
      <c r="K21" s="46"/>
      <c r="L21" s="47"/>
      <c r="M21" s="48"/>
      <c r="O21" s="80"/>
      <c r="P21" s="226" t="s">
        <v>84</v>
      </c>
      <c r="Q21" s="226"/>
      <c r="R21" s="226"/>
      <c r="S21" s="226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3" t="s">
        <v>2</v>
      </c>
      <c r="H24" s="223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2936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45262.518055555556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200.7</v>
      </c>
      <c r="I27" s="60">
        <v>0</v>
      </c>
      <c r="J27" s="61">
        <f>F27/H27</f>
        <v>0.99651220727453915</v>
      </c>
      <c r="K27" s="61">
        <f>(H27-F27)*100/F27</f>
        <v>0.34999999999999432</v>
      </c>
      <c r="L27" s="60" t="s">
        <v>67</v>
      </c>
      <c r="M27" s="78" t="s">
        <v>216</v>
      </c>
      <c r="O27" s="63">
        <v>45262.460416666669</v>
      </c>
      <c r="P27" s="64" t="s">
        <v>71</v>
      </c>
      <c r="Q27" s="64">
        <v>5942.12</v>
      </c>
      <c r="R27" s="64">
        <v>4586.4399999999996</v>
      </c>
      <c r="S27" s="77" t="s">
        <v>244</v>
      </c>
      <c r="T27" s="77">
        <v>837.58</v>
      </c>
      <c r="U27" s="86">
        <v>0.95550000000000002</v>
      </c>
      <c r="V27" s="86">
        <v>0.96619999999999995</v>
      </c>
      <c r="W27" s="60" t="s">
        <v>67</v>
      </c>
      <c r="X27" s="78" t="s">
        <v>216</v>
      </c>
    </row>
    <row r="28" spans="2:24" s="24" customFormat="1" ht="15.75" x14ac:dyDescent="0.25">
      <c r="B28" s="63">
        <v>45276.440972222219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200.14500000000001</v>
      </c>
      <c r="I28" s="60">
        <v>0</v>
      </c>
      <c r="J28" s="61">
        <f t="shared" ref="J28:J33" si="2">F28/H28</f>
        <v>0.99927552524419794</v>
      </c>
      <c r="K28" s="61">
        <f t="shared" ref="K28:K33" si="3">(H28-F28)*100/F28</f>
        <v>7.2500000000005116E-2</v>
      </c>
      <c r="L28" s="60" t="s">
        <v>67</v>
      </c>
      <c r="M28" s="62" t="s">
        <v>240</v>
      </c>
      <c r="O28" s="63">
        <v>45276.444444444445</v>
      </c>
      <c r="P28" s="64" t="s">
        <v>71</v>
      </c>
      <c r="Q28" s="64">
        <v>5841.23</v>
      </c>
      <c r="R28" s="64">
        <v>4613.16</v>
      </c>
      <c r="S28" s="77" t="s">
        <v>244</v>
      </c>
      <c r="T28" s="77">
        <v>839.14</v>
      </c>
      <c r="U28" s="86">
        <v>0.96619999999999995</v>
      </c>
      <c r="V28" s="86">
        <v>0.96009999999999995</v>
      </c>
      <c r="W28" s="60" t="s">
        <v>67</v>
      </c>
      <c r="X28" s="62" t="s">
        <v>216</v>
      </c>
    </row>
    <row r="29" spans="2:24" s="24" customFormat="1" ht="15.75" x14ac:dyDescent="0.25">
      <c r="B29" s="63">
        <v>45286.473611111112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198.54</v>
      </c>
      <c r="I29" s="60">
        <v>0</v>
      </c>
      <c r="J29" s="61">
        <f t="shared" si="2"/>
        <v>1.0073536818777074</v>
      </c>
      <c r="K29" s="61">
        <f t="shared" si="3"/>
        <v>-0.73000000000000398</v>
      </c>
      <c r="L29" s="60" t="s">
        <v>67</v>
      </c>
      <c r="M29" s="62" t="s">
        <v>241</v>
      </c>
      <c r="O29" s="63">
        <v>45286.490972222222</v>
      </c>
      <c r="P29" s="64" t="s">
        <v>71</v>
      </c>
      <c r="Q29" s="64">
        <v>5961.38</v>
      </c>
      <c r="R29" s="64">
        <v>4585.99</v>
      </c>
      <c r="S29" s="77" t="s">
        <v>244</v>
      </c>
      <c r="T29" s="77">
        <v>860</v>
      </c>
      <c r="U29" s="86">
        <v>0.96619999999999995</v>
      </c>
      <c r="V29" s="86">
        <v>0.9516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6" t="s">
        <v>85</v>
      </c>
      <c r="Q40" s="226"/>
      <c r="R40" s="226"/>
      <c r="S40" s="226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4" t="s">
        <v>26</v>
      </c>
      <c r="E41" s="224"/>
      <c r="F41" s="224"/>
      <c r="G41" s="224"/>
      <c r="H41" s="224"/>
      <c r="I41" s="224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3" t="s">
        <v>23</v>
      </c>
      <c r="H44" s="223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4" t="s">
        <v>27</v>
      </c>
      <c r="E61" s="224"/>
      <c r="F61" s="224"/>
      <c r="G61" s="224"/>
      <c r="H61" s="224"/>
      <c r="I61" s="224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3" t="s">
        <v>3</v>
      </c>
      <c r="H64" s="223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45262.64166666667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5.0030000000000001</v>
      </c>
      <c r="I67" s="60">
        <v>0</v>
      </c>
      <c r="J67" s="61">
        <f>F67/H67</f>
        <v>0.99940035978412955</v>
      </c>
      <c r="K67" s="61">
        <f>(H67-F67)*100/F67</f>
        <v>6.0000000000002274E-2</v>
      </c>
      <c r="L67" s="60" t="s">
        <v>67</v>
      </c>
      <c r="M67" s="78" t="s">
        <v>240</v>
      </c>
    </row>
    <row r="68" spans="2:13" ht="15.75" x14ac:dyDescent="0.25">
      <c r="B68" s="63">
        <v>45276.493055555555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4.9859999999999998</v>
      </c>
      <c r="I68" s="60">
        <v>0</v>
      </c>
      <c r="J68" s="61">
        <f t="shared" ref="J68:J73" si="4">F68/H68</f>
        <v>1.0028078620136383</v>
      </c>
      <c r="K68" s="61">
        <f t="shared" ref="K68:K73" si="5">(H68-F68)*100/F68</f>
        <v>-0.28000000000000469</v>
      </c>
      <c r="L68" s="60" t="s">
        <v>67</v>
      </c>
      <c r="M68" s="62" t="s">
        <v>241</v>
      </c>
    </row>
    <row r="69" spans="2:13" ht="15.75" x14ac:dyDescent="0.25">
      <c r="B69" s="63">
        <v>45286.5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4.7850000000000001</v>
      </c>
      <c r="I69" s="60">
        <v>0</v>
      </c>
      <c r="J69" s="61">
        <f t="shared" si="4"/>
        <v>1.044932079414838</v>
      </c>
      <c r="K69" s="61">
        <f t="shared" si="5"/>
        <v>-4.2999999999999972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4" t="s">
        <v>28</v>
      </c>
      <c r="E81" s="224"/>
      <c r="F81" s="224"/>
      <c r="G81" s="224"/>
      <c r="H81" s="224"/>
      <c r="I81" s="224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3" t="s">
        <v>24</v>
      </c>
      <c r="H84" s="223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4" t="s">
        <v>29</v>
      </c>
      <c r="E101" s="224"/>
      <c r="F101" s="224"/>
      <c r="G101" s="224"/>
      <c r="H101" s="224"/>
      <c r="I101" s="224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5" t="s">
        <v>4</v>
      </c>
      <c r="H104" s="225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45262.612500000003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323.8</v>
      </c>
      <c r="I107" s="60">
        <f>G107-E107</f>
        <v>0</v>
      </c>
      <c r="J107" s="61">
        <f>F107/H107</f>
        <v>0.9882643607164916</v>
      </c>
      <c r="K107" s="61">
        <f>(H107-F107)*100/F107</f>
        <v>1.1875000000000036</v>
      </c>
      <c r="L107" s="60" t="s">
        <v>67</v>
      </c>
      <c r="M107" s="62" t="s">
        <v>240</v>
      </c>
    </row>
    <row r="108" spans="2:13" ht="15.75" x14ac:dyDescent="0.25">
      <c r="B108" s="63">
        <v>45286.763888888891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321.14999999999998</v>
      </c>
      <c r="I108" s="60">
        <f>G108-E108</f>
        <v>0</v>
      </c>
      <c r="J108" s="61">
        <f>F108/H108</f>
        <v>0.99641911879184186</v>
      </c>
      <c r="K108" s="61">
        <f>(H108-F108)*100/F108</f>
        <v>0.35937499999999289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4" t="s">
        <v>69</v>
      </c>
      <c r="D119" s="224"/>
      <c r="E119" s="224"/>
      <c r="F119" s="224"/>
      <c r="G119" s="224"/>
      <c r="H119" s="224"/>
      <c r="I119" s="52">
        <f>COUNT(B107:B118)</f>
        <v>2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7" t="s">
        <v>243</v>
      </c>
      <c r="C2" s="227"/>
      <c r="D2" s="228">
        <v>45017</v>
      </c>
      <c r="E2" s="228"/>
    </row>
    <row r="3" spans="1:5" x14ac:dyDescent="0.25">
      <c r="B3" s="227" t="s">
        <v>21</v>
      </c>
      <c r="C3" s="227"/>
      <c r="D3" s="228"/>
      <c r="E3" s="228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9" t="s">
        <v>22</v>
      </c>
      <c r="C44" s="229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0" t="s">
        <v>220</v>
      </c>
      <c r="C2" s="230"/>
      <c r="D2" s="230"/>
      <c r="E2" s="230"/>
      <c r="F2" s="231">
        <v>44713</v>
      </c>
      <c r="G2" s="232"/>
      <c r="H2" s="232"/>
    </row>
    <row r="3" spans="2:24" s="12" customFormat="1" ht="15" customHeight="1" x14ac:dyDescent="0.25">
      <c r="B3" s="230"/>
      <c r="C3" s="230"/>
      <c r="D3" s="230"/>
      <c r="E3" s="230"/>
      <c r="F3" s="232"/>
      <c r="G3" s="232"/>
      <c r="H3" s="232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3" t="s">
        <v>4</v>
      </c>
      <c r="C12" s="235" t="s">
        <v>133</v>
      </c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127"/>
      <c r="U12" s="125"/>
    </row>
    <row r="13" spans="2:24" ht="15" customHeight="1" x14ac:dyDescent="0.25">
      <c r="B13" s="234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4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4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4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34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4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7" t="s">
        <v>2</v>
      </c>
      <c r="C25" s="239" t="s">
        <v>133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1"/>
      <c r="S25" s="188"/>
      <c r="T25" s="189"/>
    </row>
    <row r="26" spans="2:28" ht="15" customHeight="1" x14ac:dyDescent="0.3">
      <c r="B26" s="237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7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7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8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5" t="s">
        <v>3</v>
      </c>
      <c r="C36" s="247" t="s">
        <v>133</v>
      </c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8"/>
    </row>
    <row r="37" spans="2:25" ht="15.75" customHeight="1" x14ac:dyDescent="0.25">
      <c r="B37" s="246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6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6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6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9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0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0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0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7" t="s">
        <v>184</v>
      </c>
      <c r="C61" s="239" t="s">
        <v>133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1"/>
      <c r="S61" s="166"/>
      <c r="T61" s="167"/>
    </row>
    <row r="62" spans="2:20" ht="15.75" x14ac:dyDescent="0.3">
      <c r="B62" s="237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1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8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7" t="s">
        <v>201</v>
      </c>
      <c r="C69" s="239" t="s">
        <v>133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1"/>
      <c r="S69" s="166"/>
      <c r="T69" s="167"/>
    </row>
    <row r="70" spans="2:20" ht="15.75" x14ac:dyDescent="0.3">
      <c r="B70" s="237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7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8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2" t="s">
        <v>24</v>
      </c>
      <c r="C77" s="241" t="s">
        <v>133</v>
      </c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177"/>
      <c r="S77" s="177"/>
      <c r="T77" s="178"/>
    </row>
    <row r="78" spans="2:20" x14ac:dyDescent="0.25">
      <c r="B78" s="243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3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3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3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3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3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2024-08-28T14:09:48Z</dcterms:modified>
</cp:coreProperties>
</file>