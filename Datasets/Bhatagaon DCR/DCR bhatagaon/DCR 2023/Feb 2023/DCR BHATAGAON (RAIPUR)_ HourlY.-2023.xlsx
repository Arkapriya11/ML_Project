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29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MONTHLY 31" sheetId="39" r:id="rId32"/>
  </sheets>
  <definedNames/>
  <calcPr calcId="124519"/>
</workbook>
</file>

<file path=xl/calcChain.xml><?xml version="1.0" encoding="utf-8"?>
<calcChain xmlns="http://schemas.openxmlformats.org/spreadsheetml/2006/main">
  <c r="B2" i="28" l="1"/>
</calcChain>
</file>

<file path=xl/sharedStrings.xml><?xml version="1.0" encoding="utf-8"?>
<sst xmlns="http://schemas.openxmlformats.org/spreadsheetml/2006/main" count="2744" uniqueCount="758">
  <si>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</si>
  <si>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</si>
  <si>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</si>
  <si>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</si>
  <si>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</si>
  <si>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</si>
  <si>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</si>
  <si>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</si>
  <si>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</si>
  <si>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</si>
  <si>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</si>
  <si>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</si>
  <si>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</si>
  <si>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</si>
  <si>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</si>
  <si>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</si>
  <si>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</si>
  <si>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</si>
  <si>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</si>
  <si>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</si>
  <si>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</si>
  <si>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</si>
  <si>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</si>
  <si>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</si>
  <si>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</si>
  <si>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</si>
  <si>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</si>
  <si>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</si>
  <si>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</si>
  <si>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</si>
  <si>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</si>
  <si>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</si>
  <si>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</si>
  <si>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</si>
  <si>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</si>
  <si>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</si>
  <si>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</si>
  <si>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</si>
  <si>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</si>
  <si>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</si>
  <si>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</si>
  <si>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</si>
  <si>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</si>
  <si>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</si>
  <si>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</si>
  <si>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</si>
  <si>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</si>
  <si>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</si>
  <si>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</si>
  <si>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</si>
  <si>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</si>
  <si>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</si>
  <si>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</si>
  <si>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</si>
  <si>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</si>
  <si>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</si>
  <si>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</si>
  <si>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</si>
  <si>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</si>
  <si>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</si>
  <si>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</si>
  <si>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</si>
  <si>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</si>
  <si>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</si>
  <si>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</si>
  <si>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</si>
  <si>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</si>
  <si>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</si>
  <si>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</si>
  <si>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</si>
  <si>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</si>
  <si>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</si>
  <si>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</si>
  <si>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</si>
  <si>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</si>
  <si>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</si>
  <si>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</si>
  <si>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</si>
  <si>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</si>
  <si>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</si>
  <si>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</si>
  <si>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</si>
  <si>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</si>
  <si>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</si>
  <si>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</si>
  <si>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01-02-2024 24:00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</si>
  <si>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</si>
  <si>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</si>
  <si>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</si>
  <si>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</si>
  <si>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</si>
  <si>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</si>
  <si>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</si>
  <si>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</si>
  <si>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</si>
  <si>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</si>
  <si>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</si>
  <si>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</si>
  <si>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</si>
  <si>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</si>
  <si>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</si>
  <si>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</si>
  <si>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</si>
  <si>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</si>
  <si>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</si>
  <si>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</si>
  <si>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</si>
  <si>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</si>
  <si>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</si>
  <si>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02-02-2024 24:00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</si>
  <si>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</si>
  <si>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</si>
  <si>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</si>
  <si>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</si>
  <si>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</si>
  <si>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</si>
  <si>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</si>
  <si>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</si>
  <si>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</si>
  <si>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</si>
  <si>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</si>
  <si>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</si>
  <si>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</si>
  <si>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</si>
  <si>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</si>
  <si>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</si>
  <si>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</si>
  <si>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</si>
  <si>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</si>
  <si>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</si>
  <si>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</si>
  <si>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</si>
  <si>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</si>
  <si>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03-02-2024 24:00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</si>
  <si>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</si>
  <si>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</si>
  <si>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</si>
  <si>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</si>
  <si>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</si>
  <si>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</si>
  <si>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</si>
  <si>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</si>
  <si>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</si>
  <si>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</si>
  <si>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</si>
  <si>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</si>
  <si>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</si>
  <si>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</si>
  <si>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</si>
  <si>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</si>
  <si>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</si>
  <si>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</si>
  <si>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</si>
  <si>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</si>
  <si>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</si>
  <si>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</si>
  <si>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</si>
  <si>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04-02-2024 24:00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</si>
  <si>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</si>
  <si>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</si>
  <si>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</si>
  <si>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</si>
  <si>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</si>
  <si>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</si>
  <si>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</si>
  <si>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</si>
  <si>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</si>
  <si>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</si>
  <si>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</si>
  <si>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</si>
  <si>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</si>
  <si>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</si>
  <si>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</si>
  <si>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</si>
  <si>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</si>
  <si>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</si>
  <si>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</si>
  <si>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</si>
  <si>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</si>
  <si>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</si>
  <si>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</si>
  <si>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05-02-2024 24:00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</si>
  <si>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</si>
  <si>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</si>
  <si>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</si>
  <si>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</si>
  <si>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</si>
  <si>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</si>
  <si>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</si>
  <si>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</si>
  <si>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</si>
  <si>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</si>
  <si>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</si>
  <si>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</si>
  <si>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</si>
  <si>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</si>
  <si>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</si>
  <si>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</si>
  <si>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</si>
  <si>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</si>
  <si>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</si>
  <si>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</si>
  <si>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</si>
  <si>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</si>
  <si>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</si>
  <si>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06-02-2024 24:00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</si>
  <si>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</si>
  <si>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</si>
  <si>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</si>
  <si>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</si>
  <si>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</si>
  <si>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</si>
  <si>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</si>
  <si>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</si>
  <si>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</si>
  <si>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</si>
  <si>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</si>
  <si>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</si>
  <si>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</si>
  <si>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</si>
  <si>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</si>
  <si>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</si>
  <si>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</si>
  <si>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</si>
  <si>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</si>
  <si>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</si>
  <si>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</si>
  <si>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</si>
  <si>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</si>
  <si>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07-02-2024 24:00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</si>
  <si>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</si>
  <si>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</si>
  <si>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</si>
  <si>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</si>
  <si>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</si>
  <si>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</si>
  <si>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</si>
  <si>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</si>
  <si>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</si>
  <si>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</si>
  <si>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</si>
  <si>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</si>
  <si>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</si>
  <si>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</si>
  <si>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</si>
  <si>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</si>
  <si>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</si>
  <si>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</si>
  <si>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</si>
  <si>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</si>
  <si>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</si>
  <si>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</si>
  <si>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</si>
  <si>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08-02-2024 24:00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</si>
  <si>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</si>
  <si>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</si>
  <si>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</si>
  <si>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</si>
  <si>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</si>
  <si>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</si>
  <si>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</si>
  <si>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</si>
  <si>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</si>
  <si>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</si>
  <si>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</si>
  <si>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</si>
  <si>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</si>
  <si>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</si>
  <si>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</si>
  <si>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</si>
  <si>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</si>
  <si>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</si>
  <si>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</si>
  <si>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</si>
  <si>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</si>
  <si>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</si>
  <si>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</si>
  <si>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09-02-2024 24:00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</si>
  <si>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</si>
  <si>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</si>
  <si>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</si>
  <si>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</si>
  <si>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</si>
  <si>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</si>
  <si>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</si>
  <si>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</si>
  <si>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</si>
  <si>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</si>
  <si>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</si>
  <si>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</si>
  <si>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</si>
  <si>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</si>
  <si>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</si>
  <si>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</si>
  <si>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</si>
  <si>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</si>
  <si>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</si>
  <si>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</si>
  <si>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</si>
  <si>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</si>
  <si>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</si>
  <si>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10-02-2024 24:00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</si>
  <si>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</si>
  <si>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</si>
  <si>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</si>
  <si>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</si>
  <si>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</si>
  <si>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</si>
  <si>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</si>
  <si>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</si>
  <si>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</si>
  <si>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</si>
  <si>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</si>
  <si>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</si>
  <si>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</si>
  <si>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</si>
  <si>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</si>
  <si>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</si>
  <si>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</si>
  <si>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</si>
  <si>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</si>
  <si>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</si>
  <si>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</si>
  <si>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</si>
  <si>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</si>
  <si>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11-02-2024 24:00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</si>
  <si>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</si>
  <si>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</si>
  <si>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</si>
  <si>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</si>
  <si>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</si>
  <si>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</si>
  <si>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</si>
  <si>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</si>
  <si>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</si>
  <si>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</si>
  <si>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</si>
  <si>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</si>
  <si>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</si>
  <si>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</si>
  <si>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</si>
  <si>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</si>
  <si>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</si>
  <si>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</si>
  <si>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</si>
  <si>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</si>
  <si>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</si>
  <si>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</si>
  <si>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</si>
  <si>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12-02-2024 24:00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</si>
  <si>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</si>
  <si>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</si>
  <si>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</si>
  <si>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</si>
  <si>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</si>
  <si>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</si>
  <si>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</si>
  <si>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</si>
  <si>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</si>
  <si>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</si>
  <si>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</si>
  <si>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</si>
  <si>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</si>
  <si>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</si>
  <si>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</si>
  <si>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</si>
  <si>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</si>
  <si>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</si>
  <si>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</si>
  <si>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</si>
  <si>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</si>
  <si>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</si>
  <si>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</si>
  <si>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13-02-2024 24:00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</si>
  <si>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</si>
  <si>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</si>
  <si>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</si>
  <si>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</si>
  <si>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</si>
  <si>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</si>
  <si>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</si>
  <si>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</si>
  <si>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</si>
  <si>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</si>
  <si>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</si>
  <si>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</si>
  <si>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</si>
  <si>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</si>
  <si>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</si>
  <si>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</si>
  <si>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</si>
  <si>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</si>
  <si>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</si>
  <si>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</si>
  <si>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</si>
  <si>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</si>
  <si>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</si>
  <si>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14-02-2024 24:00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</si>
  <si>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</si>
  <si>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</si>
  <si>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</si>
  <si>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</si>
  <si>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</si>
  <si>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</si>
  <si>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</si>
  <si>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</si>
  <si>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</si>
  <si>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</si>
  <si>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</si>
  <si>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</si>
  <si>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</si>
  <si>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</si>
  <si>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</si>
  <si>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</si>
  <si>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</si>
  <si>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</si>
  <si>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</si>
  <si>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</si>
  <si>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</si>
  <si>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</si>
  <si>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</si>
  <si>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15-02-2024 24:00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</si>
  <si>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</si>
  <si>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</si>
  <si>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</si>
  <si>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</si>
  <si>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</si>
  <si>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</si>
  <si>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</si>
  <si>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</si>
  <si>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</si>
  <si>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</si>
  <si>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</si>
  <si>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</si>
  <si>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</si>
  <si>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</si>
  <si>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</si>
  <si>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</si>
  <si>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</si>
  <si>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</si>
  <si>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</si>
  <si>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</si>
  <si>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</si>
  <si>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</si>
  <si>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</si>
  <si>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16-02-2024 24:00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</si>
  <si>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</si>
  <si>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</si>
  <si>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</si>
  <si>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</si>
  <si>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</si>
  <si>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</si>
  <si>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</si>
  <si>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</si>
  <si>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</si>
  <si>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</si>
  <si>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</si>
  <si>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</si>
  <si>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</si>
  <si>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</si>
  <si>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</si>
  <si>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</si>
  <si>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</si>
  <si>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</si>
  <si>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</si>
  <si>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</si>
  <si>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</si>
  <si>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</si>
  <si>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</si>
  <si>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17-02-2024 24:00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</si>
  <si>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</si>
  <si>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</si>
  <si>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</si>
  <si>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</si>
  <si>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</si>
  <si>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</si>
  <si>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</si>
  <si>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</si>
  <si>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</si>
  <si>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</si>
  <si>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</si>
  <si>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</si>
  <si>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</si>
  <si>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</si>
  <si>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</si>
  <si>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</si>
  <si>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</si>
  <si>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</si>
  <si>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</si>
  <si>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</si>
  <si>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</si>
  <si>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</si>
  <si>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</si>
  <si>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18-02-2024 24:00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</si>
  <si>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</si>
  <si>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</si>
  <si>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</si>
  <si>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</si>
  <si>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</si>
  <si>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</si>
  <si>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</si>
  <si>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</si>
  <si>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</si>
  <si>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</si>
  <si>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</si>
  <si>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</si>
  <si>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</si>
  <si>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</si>
  <si>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</si>
  <si>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</si>
  <si>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</si>
  <si>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</si>
  <si>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</si>
  <si>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</si>
  <si>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</si>
  <si>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</si>
  <si>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</si>
  <si>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19-02-2024 24:00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</si>
  <si>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</si>
  <si>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</si>
  <si>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</si>
  <si>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</si>
  <si>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</si>
  <si>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</si>
  <si>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</si>
  <si>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</si>
  <si>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</si>
  <si>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</si>
  <si>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</si>
  <si>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</si>
  <si>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</si>
  <si>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</si>
  <si>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</si>
  <si>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</si>
  <si>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</si>
  <si>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</si>
  <si>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</si>
  <si>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</si>
  <si>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</si>
  <si>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</si>
  <si>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</si>
  <si>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20-02-2024 24:00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</si>
  <si>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</si>
  <si>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</si>
  <si>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</si>
  <si>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</si>
  <si>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</si>
  <si>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</si>
  <si>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</si>
  <si>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</si>
  <si>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</si>
  <si>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</si>
  <si>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</si>
  <si>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</si>
  <si>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</si>
  <si>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</si>
  <si>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</si>
  <si>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</si>
  <si>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</si>
  <si>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</si>
  <si>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</si>
  <si>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</si>
  <si>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</si>
  <si>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</si>
  <si>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</si>
  <si>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21-02-2024 24:00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</si>
  <si>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</si>
  <si>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</si>
  <si>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</si>
  <si>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</si>
  <si>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</si>
  <si>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</si>
  <si>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</si>
  <si>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</si>
  <si>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</si>
  <si>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</si>
  <si>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</si>
  <si>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</si>
  <si>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</si>
  <si>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</si>
  <si>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</si>
  <si>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</si>
  <si>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</si>
  <si>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</si>
  <si>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</si>
  <si>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</si>
  <si>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</si>
  <si>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</si>
  <si>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</si>
  <si>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22-02-2024 24:00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</si>
  <si>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</si>
  <si>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</si>
  <si>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</si>
  <si>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</si>
  <si>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</si>
  <si>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</si>
  <si>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</si>
  <si>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</si>
  <si>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</si>
  <si>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</si>
  <si>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</si>
  <si>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</si>
  <si>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</si>
  <si>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</si>
  <si>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</si>
  <si>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</si>
  <si>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</si>
  <si>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</si>
  <si>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</si>
  <si>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</si>
  <si>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</si>
  <si>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</si>
  <si>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</si>
  <si>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23-02-2024 24:00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</si>
  <si>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</si>
  <si>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</si>
  <si>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</si>
  <si>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</si>
  <si>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</si>
  <si>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</si>
  <si>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</si>
  <si>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</si>
  <si>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</si>
  <si>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</si>
  <si>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</si>
  <si>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</si>
  <si>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</si>
  <si>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</si>
  <si>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</si>
  <si>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</si>
  <si>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</si>
  <si>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</si>
  <si>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</si>
  <si>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</si>
  <si>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</si>
  <si>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</si>
  <si>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</si>
  <si>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24-02-2024 24:00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</si>
  <si>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</si>
  <si>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</si>
  <si>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</si>
  <si>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</si>
  <si>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</si>
  <si>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</si>
  <si>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</si>
  <si>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</si>
  <si>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</si>
  <si>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</si>
  <si>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</si>
  <si>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</si>
  <si>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</si>
  <si>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</si>
  <si>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</si>
  <si>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</si>
  <si>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</si>
  <si>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</si>
  <si>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</si>
  <si>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</si>
  <si>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</si>
  <si>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</si>
  <si>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</si>
  <si>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25-02-2024 24:00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</si>
  <si>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</si>
  <si>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</si>
  <si>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</si>
  <si>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</si>
  <si>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</si>
  <si>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</si>
  <si>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</si>
  <si>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</si>
  <si>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</si>
  <si>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</si>
  <si>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</si>
  <si>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</si>
  <si>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</si>
  <si>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</si>
  <si>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</si>
  <si>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</si>
  <si>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</si>
  <si>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</si>
  <si>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</si>
  <si>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</si>
  <si>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</si>
  <si>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</si>
  <si>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</si>
  <si>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26-02-2024 24:00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</si>
  <si>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</si>
  <si>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</si>
  <si>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</si>
  <si>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</si>
  <si>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</si>
  <si>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</si>
  <si>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</si>
  <si>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</si>
  <si>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</si>
  <si>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</si>
  <si>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</si>
  <si>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</si>
  <si>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</si>
  <si>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</si>
  <si>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</si>
  <si>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</si>
  <si>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</si>
  <si>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</si>
  <si>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</si>
  <si>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</si>
  <si>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</si>
  <si>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</si>
  <si>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</si>
  <si>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27-02-2024 24:00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</si>
  <si>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</si>
  <si>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</si>
  <si>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</si>
  <si>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</si>
  <si>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</si>
  <si>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</si>
  <si>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</si>
  <si>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</si>
  <si>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</si>
  <si>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</si>
  <si>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</si>
  <si>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</si>
  <si>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</si>
  <si>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</si>
  <si>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</si>
  <si>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</si>
  <si>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</si>
  <si>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</si>
  <si>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</si>
  <si>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</si>
  <si>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</si>
  <si>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</si>
  <si>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</si>
  <si>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28-02-2024 24:00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</si>
  <si>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</si>
  <si>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</si>
  <si>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</si>
  <si>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</si>
  <si>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</si>
  <si>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</si>
  <si>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</si>
  <si>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</si>
  <si>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</si>
  <si>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</si>
  <si>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</si>
  <si>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</si>
  <si>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</si>
  <si>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</si>
  <si>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</si>
  <si>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</si>
  <si>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</si>
  <si>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</si>
  <si>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</si>
  <si>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</si>
  <si>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</si>
  <si>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</si>
  <si>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</si>
  <si>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29-02-2024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</si>
</sst>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9" Type="http://schemas.openxmlformats.org/officeDocument/2006/relationships/worksheet" Target="worksheets/sheet27.xml" /><Relationship Id="rId18" Type="http://schemas.openxmlformats.org/officeDocument/2006/relationships/worksheet" Target="worksheets/sheet16.xml" /><Relationship Id="rId8" Type="http://schemas.openxmlformats.org/officeDocument/2006/relationships/worksheet" Target="worksheets/sheet6.xml" /><Relationship Id="rId33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24" Type="http://schemas.openxmlformats.org/officeDocument/2006/relationships/worksheet" Target="worksheets/sheet22.xml" /><Relationship Id="rId32" Type="http://schemas.openxmlformats.org/officeDocument/2006/relationships/worksheet" Target="worksheets/sheet30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21" Type="http://schemas.openxmlformats.org/officeDocument/2006/relationships/worksheet" Target="worksheets/sheet1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3" Type="http://schemas.openxmlformats.org/officeDocument/2006/relationships/worksheet" Target="worksheets/sheet11.xml" /><Relationship Id="rId26" Type="http://schemas.openxmlformats.org/officeDocument/2006/relationships/worksheet" Target="worksheets/sheet24.xml" /><Relationship Id="rId34" Type="http://schemas.openxmlformats.org/officeDocument/2006/relationships/calcChain" Target="calcChain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735b91-b407-428f-955a-b171666ad36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20.80</v>
      </c>
      <c r="C9" s="54">
        <v>61.42</v>
      </c>
      <c r="D9" s="54">
        <v>49.23</v>
      </c>
      <c r="E9" s="54">
        <v>0.30</v>
      </c>
      <c r="F9" s="54">
        <v>3.16</v>
      </c>
      <c r="G9" s="54">
        <v>101.84</v>
      </c>
      <c r="H9" s="54">
        <v>44.16</v>
      </c>
      <c r="I9" s="54">
        <v>1.56</v>
      </c>
      <c r="J9" s="54">
        <v>0.51</v>
      </c>
      <c r="K9" s="54">
        <v>305.32</v>
      </c>
      <c r="L9" s="54">
        <v>18.239999999999998</v>
      </c>
      <c r="M9" s="54">
        <v>82.79</v>
      </c>
      <c r="N9" s="54">
        <v>59.30</v>
      </c>
      <c r="O9" s="54">
        <v>0</v>
      </c>
      <c r="P9" s="54">
        <v>1.06</v>
      </c>
      <c r="Q9" s="54">
        <v>8.19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18.13</v>
      </c>
      <c r="C10" s="54">
        <v>59.97</v>
      </c>
      <c r="D10" s="54">
        <v>48.28</v>
      </c>
      <c r="E10" s="54">
        <v>0.28000000000000003</v>
      </c>
      <c r="F10" s="54">
        <v>3.26</v>
      </c>
      <c r="G10" s="54">
        <v>101.84</v>
      </c>
      <c r="H10" s="54">
        <v>44.16</v>
      </c>
      <c r="I10" s="54">
        <v>1.55</v>
      </c>
      <c r="J10" s="54">
        <v>0.68</v>
      </c>
      <c r="K10" s="54">
        <v>275.33</v>
      </c>
      <c r="L10" s="54">
        <v>18.190000000000001</v>
      </c>
      <c r="M10" s="54">
        <v>78.510000000000005</v>
      </c>
      <c r="N10" s="54">
        <v>59</v>
      </c>
      <c r="O10" s="54">
        <v>0</v>
      </c>
      <c r="P10" s="54">
        <v>0.96</v>
      </c>
      <c r="Q10" s="54">
        <v>8.14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11.71</v>
      </c>
      <c r="C11" s="54">
        <v>58.38</v>
      </c>
      <c r="D11" s="54">
        <v>42.25</v>
      </c>
      <c r="E11" s="54">
        <v>0.28000000000000003</v>
      </c>
      <c r="F11" s="54">
        <v>3.26</v>
      </c>
      <c r="G11" s="54">
        <v>88.97</v>
      </c>
      <c r="H11" s="54">
        <v>39.86</v>
      </c>
      <c r="I11" s="54">
        <v>1.55</v>
      </c>
      <c r="J11" s="54">
        <v>0.34</v>
      </c>
      <c r="K11" s="54">
        <v>306.20</v>
      </c>
      <c r="L11" s="54">
        <v>17.829999999999998</v>
      </c>
      <c r="M11" s="54">
        <v>81.5</v>
      </c>
      <c r="N11" s="54">
        <v>59</v>
      </c>
      <c r="O11" s="54">
        <v>0</v>
      </c>
      <c r="P11" s="54">
        <v>0.86</v>
      </c>
      <c r="Q11" s="54">
        <v>7.61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8.49</v>
      </c>
      <c r="C12" s="54">
        <v>55.30</v>
      </c>
      <c r="D12" s="54">
        <v>37.97</v>
      </c>
      <c r="E12" s="54">
        <v>0.21</v>
      </c>
      <c r="F12" s="54">
        <v>3.36</v>
      </c>
      <c r="G12" s="54">
        <v>74.36</v>
      </c>
      <c r="H12" s="54">
        <v>38.31</v>
      </c>
      <c r="I12" s="54">
        <v>1.56</v>
      </c>
      <c r="J12" s="54">
        <v>0.67</v>
      </c>
      <c r="K12" s="54">
        <v>335.14</v>
      </c>
      <c r="L12" s="54">
        <v>16.89</v>
      </c>
      <c r="M12" s="54">
        <v>89.63</v>
      </c>
      <c r="N12" s="54">
        <v>59</v>
      </c>
      <c r="O12" s="54">
        <v>0</v>
      </c>
      <c r="P12" s="54">
        <v>0.76</v>
      </c>
      <c r="Q12" s="54">
        <v>7.17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9.52</v>
      </c>
      <c r="C13" s="54">
        <v>54.5</v>
      </c>
      <c r="D13" s="54">
        <v>38.36</v>
      </c>
      <c r="E13" s="54">
        <v>0.19</v>
      </c>
      <c r="F13" s="54">
        <v>3.07</v>
      </c>
      <c r="G13" s="54">
        <v>69.53</v>
      </c>
      <c r="H13" s="54">
        <v>35.32</v>
      </c>
      <c r="I13" s="54">
        <v>1.53</v>
      </c>
      <c r="J13" s="54">
        <v>0.30</v>
      </c>
      <c r="K13" s="54">
        <v>329.68</v>
      </c>
      <c r="L13" s="54">
        <v>16.54</v>
      </c>
      <c r="M13" s="54">
        <v>91.77</v>
      </c>
      <c r="N13" s="54">
        <v>59</v>
      </c>
      <c r="O13" s="54">
        <v>0</v>
      </c>
      <c r="P13" s="54">
        <v>0.76</v>
      </c>
      <c r="Q13" s="54">
        <v>7.17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21.33</v>
      </c>
      <c r="C14" s="54">
        <v>53.57</v>
      </c>
      <c r="D14" s="54">
        <v>47.22</v>
      </c>
      <c r="E14" s="54">
        <v>0.25</v>
      </c>
      <c r="F14" s="54">
        <v>3.23</v>
      </c>
      <c r="G14" s="54">
        <v>123.09</v>
      </c>
      <c r="H14" s="54">
        <v>48.34</v>
      </c>
      <c r="I14" s="54">
        <v>1.52</v>
      </c>
      <c r="J14" s="54">
        <v>0.24</v>
      </c>
      <c r="K14" s="54">
        <v>322.75</v>
      </c>
      <c r="L14" s="54">
        <v>15.85</v>
      </c>
      <c r="M14" s="54">
        <v>96.58</v>
      </c>
      <c r="N14" s="54">
        <v>59</v>
      </c>
      <c r="O14" s="54">
        <v>0</v>
      </c>
      <c r="P14" s="54">
        <v>0.90</v>
      </c>
      <c r="Q14" s="54">
        <v>8.07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36.15</v>
      </c>
      <c r="C15" s="54">
        <v>53.32</v>
      </c>
      <c r="D15" s="54">
        <v>58.96</v>
      </c>
      <c r="E15" s="54">
        <v>0.25</v>
      </c>
      <c r="F15" s="54">
        <v>3.22</v>
      </c>
      <c r="G15" s="54">
        <v>148.13</v>
      </c>
      <c r="H15" s="54">
        <v>64.67</v>
      </c>
      <c r="I15" s="54">
        <v>1.51</v>
      </c>
      <c r="J15" s="54">
        <v>0.05</v>
      </c>
      <c r="K15" s="54">
        <v>248.72</v>
      </c>
      <c r="L15" s="54">
        <v>15.65</v>
      </c>
      <c r="M15" s="54">
        <v>98.56</v>
      </c>
      <c r="N15" s="54">
        <v>78.30</v>
      </c>
      <c r="O15" s="54">
        <v>0</v>
      </c>
      <c r="P15" s="54">
        <v>1.04</v>
      </c>
      <c r="Q15" s="54">
        <v>8.99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46.42</v>
      </c>
      <c r="C16" s="54">
        <v>53.29</v>
      </c>
      <c r="D16" s="54">
        <v>66.5</v>
      </c>
      <c r="E16" s="54">
        <v>0.28999999999999998</v>
      </c>
      <c r="F16" s="54">
        <v>3.18</v>
      </c>
      <c r="G16" s="54">
        <v>179.71</v>
      </c>
      <c r="H16" s="54">
        <v>72.53</v>
      </c>
      <c r="I16" s="54">
        <v>1.54</v>
      </c>
      <c r="J16" s="54">
        <v>0.75</v>
      </c>
      <c r="K16" s="54">
        <v>251.99</v>
      </c>
      <c r="L16" s="54">
        <v>18.059999999999999</v>
      </c>
      <c r="M16" s="54">
        <v>95.81</v>
      </c>
      <c r="N16" s="54">
        <v>197.5</v>
      </c>
      <c r="O16" s="54">
        <v>0</v>
      </c>
      <c r="P16" s="54">
        <v>1.1599999999999999</v>
      </c>
      <c r="Q16" s="54">
        <v>9.8800000000000008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45.49</v>
      </c>
      <c r="C17" s="54">
        <v>56.10</v>
      </c>
      <c r="D17" s="54">
        <v>66.64</v>
      </c>
      <c r="E17" s="54">
        <v>0.37</v>
      </c>
      <c r="F17" s="54">
        <v>3.02</v>
      </c>
      <c r="G17" s="54">
        <v>183.19</v>
      </c>
      <c r="H17" s="54">
        <v>75.44</v>
      </c>
      <c r="I17" s="54">
        <v>1.57</v>
      </c>
      <c r="J17" s="54">
        <v>0.55000000000000004</v>
      </c>
      <c r="K17" s="54">
        <v>155.04</v>
      </c>
      <c r="L17" s="54">
        <v>20.22</v>
      </c>
      <c r="M17" s="54">
        <v>77.75</v>
      </c>
      <c r="N17" s="54">
        <v>306.10000000000002</v>
      </c>
      <c r="O17" s="54">
        <v>0</v>
      </c>
      <c r="P17" s="54">
        <v>1.26</v>
      </c>
      <c r="Q17" s="54">
        <v>9.89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38.82</v>
      </c>
      <c r="C18" s="54">
        <v>62.61</v>
      </c>
      <c r="D18" s="54">
        <v>63.80</v>
      </c>
      <c r="E18" s="54">
        <v>0.35</v>
      </c>
      <c r="F18" s="54">
        <v>3.09</v>
      </c>
      <c r="G18" s="54">
        <v>183.19</v>
      </c>
      <c r="H18" s="54">
        <v>75.44</v>
      </c>
      <c r="I18" s="54">
        <v>1.55</v>
      </c>
      <c r="J18" s="54">
        <v>0.62</v>
      </c>
      <c r="K18" s="54">
        <v>346.42</v>
      </c>
      <c r="L18" s="54">
        <v>27.07</v>
      </c>
      <c r="M18" s="54">
        <v>66.319999999999993</v>
      </c>
      <c r="N18" s="54">
        <v>504.10</v>
      </c>
      <c r="O18" s="54">
        <v>0</v>
      </c>
      <c r="P18" s="54">
        <v>1.25</v>
      </c>
      <c r="Q18" s="54">
        <v>9.64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26.79</v>
      </c>
      <c r="C19" s="54">
        <v>71.53</v>
      </c>
      <c r="D19" s="54">
        <v>57.55</v>
      </c>
      <c r="E19" s="54">
        <v>0.30</v>
      </c>
      <c r="F19" s="54">
        <v>3.26</v>
      </c>
      <c r="G19" s="54">
        <v>148.47</v>
      </c>
      <c r="H19" s="54">
        <v>64.680000000000007</v>
      </c>
      <c r="I19" s="54">
        <v>1.59</v>
      </c>
      <c r="J19" s="54">
        <v>0.80</v>
      </c>
      <c r="K19" s="54">
        <v>330.94</v>
      </c>
      <c r="L19" s="54">
        <v>29.25</v>
      </c>
      <c r="M19" s="54">
        <v>42.98</v>
      </c>
      <c r="N19" s="54">
        <v>592.20000000000005</v>
      </c>
      <c r="O19" s="54">
        <v>0</v>
      </c>
      <c r="P19" s="54">
        <v>1.22</v>
      </c>
      <c r="Q19" s="54">
        <v>8.85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16.70</v>
      </c>
      <c r="C20" s="54">
        <v>74.70</v>
      </c>
      <c r="D20" s="54">
        <v>54.52</v>
      </c>
      <c r="E20" s="54">
        <v>0.28999999999999998</v>
      </c>
      <c r="F20" s="54">
        <v>3.71</v>
      </c>
      <c r="G20" s="54">
        <v>122.64</v>
      </c>
      <c r="H20" s="54">
        <v>54.43</v>
      </c>
      <c r="I20" s="54">
        <v>1.55</v>
      </c>
      <c r="J20" s="54">
        <v>0.46</v>
      </c>
      <c r="K20" s="54">
        <v>339.32</v>
      </c>
      <c r="L20" s="54">
        <v>28.80</v>
      </c>
      <c r="M20" s="54">
        <v>42.64</v>
      </c>
      <c r="N20" s="54">
        <v>642.20000000000005</v>
      </c>
      <c r="O20" s="54">
        <v>0</v>
      </c>
      <c r="P20" s="54">
        <v>1.22</v>
      </c>
      <c r="Q20" s="54">
        <v>8.5299999999999994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9.2799999999999994</v>
      </c>
      <c r="C21" s="54">
        <v>74.41</v>
      </c>
      <c r="D21" s="54">
        <v>49.07</v>
      </c>
      <c r="E21" s="54">
        <v>0.16</v>
      </c>
      <c r="F21" s="54">
        <v>4.6900000000000004</v>
      </c>
      <c r="G21" s="54">
        <v>103.59</v>
      </c>
      <c r="H21" s="54">
        <v>49.58</v>
      </c>
      <c r="I21" s="54">
        <v>1.58</v>
      </c>
      <c r="J21" s="54">
        <v>0.57999999999999996</v>
      </c>
      <c r="K21" s="54">
        <v>343.79</v>
      </c>
      <c r="L21" s="54">
        <v>28.71</v>
      </c>
      <c r="M21" s="54">
        <v>41.06</v>
      </c>
      <c r="N21" s="54">
        <v>651.29999999999995</v>
      </c>
      <c r="O21" s="54">
        <v>0</v>
      </c>
      <c r="P21" s="54">
        <v>1.1599999999999999</v>
      </c>
      <c r="Q21" s="54">
        <v>8.23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3.67</v>
      </c>
      <c r="C22" s="54">
        <v>72.70</v>
      </c>
      <c r="D22" s="54">
        <v>43.71</v>
      </c>
      <c r="E22" s="54">
        <v>0.28000000000000003</v>
      </c>
      <c r="F22" s="54">
        <v>5.43</v>
      </c>
      <c r="G22" s="54">
        <v>95.35</v>
      </c>
      <c r="H22" s="54">
        <v>43.56</v>
      </c>
      <c r="I22" s="54">
        <v>1.56</v>
      </c>
      <c r="J22" s="54">
        <v>0.83</v>
      </c>
      <c r="K22" s="54">
        <v>328.05</v>
      </c>
      <c r="L22" s="54">
        <v>29.39</v>
      </c>
      <c r="M22" s="54">
        <v>41.85</v>
      </c>
      <c r="N22" s="54">
        <v>599.90</v>
      </c>
      <c r="O22" s="54">
        <v>0</v>
      </c>
      <c r="P22" s="54">
        <v>0.96</v>
      </c>
      <c r="Q22" s="54">
        <v>7.83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2.31</v>
      </c>
      <c r="C23" s="54">
        <v>66.88</v>
      </c>
      <c r="D23" s="54">
        <v>39.409999999999997</v>
      </c>
      <c r="E23" s="54">
        <v>0.14000000000000001</v>
      </c>
      <c r="F23" s="54">
        <v>6.35</v>
      </c>
      <c r="G23" s="54">
        <v>84.18</v>
      </c>
      <c r="H23" s="54">
        <v>40.840000000000003</v>
      </c>
      <c r="I23" s="54">
        <v>1.5</v>
      </c>
      <c r="J23" s="54">
        <v>0.39</v>
      </c>
      <c r="K23" s="54">
        <v>356.89</v>
      </c>
      <c r="L23" s="54">
        <v>27.21</v>
      </c>
      <c r="M23" s="54">
        <v>41.59</v>
      </c>
      <c r="N23" s="54">
        <v>500.20</v>
      </c>
      <c r="O23" s="54">
        <v>0</v>
      </c>
      <c r="P23" s="54">
        <v>0.83</v>
      </c>
      <c r="Q23" s="54">
        <v>7.53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2.3199999999999998</v>
      </c>
      <c r="C24" s="54">
        <v>58.82</v>
      </c>
      <c r="D24" s="54">
        <v>34.81</v>
      </c>
      <c r="E24" s="54">
        <v>0.16</v>
      </c>
      <c r="F24" s="54">
        <v>5.36</v>
      </c>
      <c r="G24" s="54">
        <v>68.290000000000006</v>
      </c>
      <c r="H24" s="54">
        <v>32.76</v>
      </c>
      <c r="I24" s="54">
        <v>1.55</v>
      </c>
      <c r="J24" s="54">
        <v>0.34</v>
      </c>
      <c r="K24" s="54">
        <v>338.35</v>
      </c>
      <c r="L24" s="54">
        <v>26.65</v>
      </c>
      <c r="M24" s="54">
        <v>44.44</v>
      </c>
      <c r="N24" s="54">
        <v>255.90</v>
      </c>
      <c r="O24" s="54">
        <v>0</v>
      </c>
      <c r="P24" s="54">
        <v>0.66</v>
      </c>
      <c r="Q24" s="54">
        <v>7.01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3.98</v>
      </c>
      <c r="C25" s="54">
        <v>58.98</v>
      </c>
      <c r="D25" s="54">
        <v>36.39</v>
      </c>
      <c r="E25" s="54">
        <v>0.26</v>
      </c>
      <c r="F25" s="54">
        <v>4.57</v>
      </c>
      <c r="G25" s="54">
        <v>55.76</v>
      </c>
      <c r="H25" s="54">
        <v>30.91</v>
      </c>
      <c r="I25" s="54">
        <v>1.58</v>
      </c>
      <c r="J25" s="54">
        <v>0.39</v>
      </c>
      <c r="K25" s="54">
        <v>344.81</v>
      </c>
      <c r="L25" s="54">
        <v>25.99</v>
      </c>
      <c r="M25" s="54">
        <v>46.68</v>
      </c>
      <c r="N25" s="54">
        <v>155.10</v>
      </c>
      <c r="O25" s="54">
        <v>0</v>
      </c>
      <c r="P25" s="54">
        <v>0.59</v>
      </c>
      <c r="Q25" s="54">
        <v>6.94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9.42</v>
      </c>
      <c r="C26" s="54">
        <v>63.01</v>
      </c>
      <c r="D26" s="54">
        <v>42.98</v>
      </c>
      <c r="E26" s="54">
        <v>0.30</v>
      </c>
      <c r="F26" s="54">
        <v>3.75</v>
      </c>
      <c r="G26" s="54">
        <v>42.10</v>
      </c>
      <c r="H26" s="54">
        <v>28.18</v>
      </c>
      <c r="I26" s="54">
        <v>1.56</v>
      </c>
      <c r="J26" s="54">
        <v>0.52</v>
      </c>
      <c r="K26" s="54">
        <v>349.59</v>
      </c>
      <c r="L26" s="54">
        <v>24.64</v>
      </c>
      <c r="M26" s="54">
        <v>66.05</v>
      </c>
      <c r="N26" s="54">
        <v>89.5</v>
      </c>
      <c r="O26" s="54">
        <v>0</v>
      </c>
      <c r="P26" s="54">
        <v>0.69</v>
      </c>
      <c r="Q26" s="54">
        <v>7.28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20.38</v>
      </c>
      <c r="C27" s="54">
        <v>64.44</v>
      </c>
      <c r="D27" s="54">
        <v>51.68</v>
      </c>
      <c r="E27" s="54">
        <v>0.30</v>
      </c>
      <c r="F27" s="54">
        <v>3.37</v>
      </c>
      <c r="G27" s="54">
        <v>72.099999999999994</v>
      </c>
      <c r="H27" s="54">
        <v>26.59</v>
      </c>
      <c r="I27" s="54">
        <v>1.54</v>
      </c>
      <c r="J27" s="54">
        <v>0.19</v>
      </c>
      <c r="K27" s="54">
        <v>335.44</v>
      </c>
      <c r="L27" s="54">
        <v>22.28</v>
      </c>
      <c r="M27" s="54">
        <v>72.62</v>
      </c>
      <c r="N27" s="54">
        <v>57.90</v>
      </c>
      <c r="O27" s="54">
        <v>0</v>
      </c>
      <c r="P27" s="54">
        <v>1.07</v>
      </c>
      <c r="Q27" s="54">
        <v>8.24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30.39</v>
      </c>
      <c r="C28" s="54">
        <v>62.26</v>
      </c>
      <c r="D28" s="54">
        <v>58.88</v>
      </c>
      <c r="E28" s="54">
        <v>0.36</v>
      </c>
      <c r="F28" s="54">
        <v>2.95</v>
      </c>
      <c r="G28" s="54">
        <v>102.61</v>
      </c>
      <c r="H28" s="54">
        <v>36.06</v>
      </c>
      <c r="I28" s="54">
        <v>1.61</v>
      </c>
      <c r="J28" s="54">
        <v>0.070000000000000007</v>
      </c>
      <c r="K28" s="54">
        <v>338.95</v>
      </c>
      <c r="L28" s="54">
        <v>21.12</v>
      </c>
      <c r="M28" s="54">
        <v>73.489999999999995</v>
      </c>
      <c r="N28" s="54">
        <v>57.80</v>
      </c>
      <c r="O28" s="54">
        <v>0</v>
      </c>
      <c r="P28" s="54">
        <v>1.29</v>
      </c>
      <c r="Q28" s="54">
        <v>8.94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51.97</v>
      </c>
      <c r="C29" s="54">
        <v>61.12</v>
      </c>
      <c r="D29" s="54">
        <v>75.430000000000007</v>
      </c>
      <c r="E29" s="54">
        <v>0.33</v>
      </c>
      <c r="F29" s="54">
        <v>2.96</v>
      </c>
      <c r="G29" s="54">
        <v>129.52000000000001</v>
      </c>
      <c r="H29" s="54">
        <v>45.56</v>
      </c>
      <c r="I29" s="54">
        <v>1.51</v>
      </c>
      <c r="J29" s="54">
        <v>0.12</v>
      </c>
      <c r="K29" s="54">
        <v>325.24</v>
      </c>
      <c r="L29" s="54">
        <v>20.13</v>
      </c>
      <c r="M29" s="54">
        <v>83.54</v>
      </c>
      <c r="N29" s="54">
        <v>57.80</v>
      </c>
      <c r="O29" s="54">
        <v>0</v>
      </c>
      <c r="P29" s="54">
        <v>1.66</v>
      </c>
      <c r="Q29" s="54">
        <v>10.28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88.48</v>
      </c>
      <c r="C30" s="54">
        <v>59.92</v>
      </c>
      <c r="D30" s="54">
        <v>104.64</v>
      </c>
      <c r="E30" s="54">
        <v>0.43</v>
      </c>
      <c r="F30" s="54">
        <v>3.44</v>
      </c>
      <c r="G30" s="54">
        <v>179.03</v>
      </c>
      <c r="H30" s="54">
        <v>54.18</v>
      </c>
      <c r="I30" s="54">
        <v>1.5</v>
      </c>
      <c r="J30" s="54">
        <v>0.13</v>
      </c>
      <c r="K30" s="54">
        <v>295.32</v>
      </c>
      <c r="L30" s="54">
        <v>19.43</v>
      </c>
      <c r="M30" s="54">
        <v>84.33</v>
      </c>
      <c r="N30" s="54">
        <v>57.90</v>
      </c>
      <c r="O30" s="54">
        <v>0</v>
      </c>
      <c r="P30" s="54">
        <v>1.95</v>
      </c>
      <c r="Q30" s="54">
        <v>12.79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99.17</v>
      </c>
      <c r="C31" s="54">
        <v>60.23</v>
      </c>
      <c r="D31" s="54">
        <v>113.30</v>
      </c>
      <c r="E31" s="54">
        <v>0.52</v>
      </c>
      <c r="F31" s="54">
        <v>3.13</v>
      </c>
      <c r="G31" s="54">
        <v>179.03</v>
      </c>
      <c r="H31" s="54">
        <v>57.37</v>
      </c>
      <c r="I31" s="54">
        <v>1.54</v>
      </c>
      <c r="J31" s="54">
        <v>0.16</v>
      </c>
      <c r="K31" s="54">
        <v>331.80</v>
      </c>
      <c r="L31" s="54">
        <v>19.100000000000001</v>
      </c>
      <c r="M31" s="54">
        <v>88.59</v>
      </c>
      <c r="N31" s="54">
        <v>58.10</v>
      </c>
      <c r="O31" s="54">
        <v>0</v>
      </c>
      <c r="P31" s="54">
        <v>2.14</v>
      </c>
      <c r="Q31" s="54">
        <v>13.92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96.25</v>
      </c>
      <c r="C32" s="54">
        <v>58.36</v>
      </c>
      <c r="D32" s="54">
        <v>110.02</v>
      </c>
      <c r="E32" s="54">
        <v>0.56000000000000005</v>
      </c>
      <c r="F32" s="54">
        <v>3.06</v>
      </c>
      <c r="G32" s="54">
        <v>175.14</v>
      </c>
      <c r="H32" s="54">
        <v>57.37</v>
      </c>
      <c r="I32" s="54">
        <v>1.55</v>
      </c>
      <c r="J32" s="54">
        <v>0.20</v>
      </c>
      <c r="K32" s="54">
        <v>314.52999999999997</v>
      </c>
      <c r="L32" s="54">
        <v>18.670000000000002</v>
      </c>
      <c r="M32" s="54">
        <v>89.82</v>
      </c>
      <c r="N32" s="54">
        <v>58.30</v>
      </c>
      <c r="O32" s="54">
        <v>0</v>
      </c>
      <c r="P32" s="54">
        <v>2.0699999999999998</v>
      </c>
      <c r="Q32" s="54">
        <v>13.82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2.3100000000000001</v>
      </c>
      <c r="C34" s="28">
        <f t="shared" si="0"/>
        <v>53.289999999999999</v>
      </c>
      <c r="D34" s="28">
        <f t="shared" si="0"/>
        <v>34.810000000000002</v>
      </c>
      <c r="E34" s="28">
        <f t="shared" si="0"/>
        <v>0.14000000000000001</v>
      </c>
      <c r="F34" s="28">
        <f t="shared" si="0"/>
        <v>2.9500000000000002</v>
      </c>
      <c r="G34" s="28">
        <f t="shared" si="0"/>
        <v>42.100000000000001</v>
      </c>
      <c r="H34" s="28">
        <f t="shared" si="0"/>
        <v>26.59</v>
      </c>
      <c r="I34" s="28">
        <f t="shared" si="0"/>
        <v>1.5</v>
      </c>
      <c r="J34" s="28">
        <f t="shared" si="0"/>
        <v>0.050000000000000003</v>
      </c>
      <c r="K34" s="28">
        <f t="shared" si="0"/>
        <v>155.03999999999999</v>
      </c>
      <c r="L34" s="28">
        <f t="shared" si="0"/>
        <v>15.65</v>
      </c>
      <c r="M34" s="28">
        <f t="shared" si="0"/>
        <v>41.060000000000002</v>
      </c>
      <c r="N34" s="28">
        <f t="shared" si="0"/>
        <v>57.799999999999997</v>
      </c>
      <c r="O34" s="28">
        <f t="shared" si="0"/>
        <v>0</v>
      </c>
      <c r="P34" s="28">
        <f t="shared" si="0"/>
        <v>0.58999999999999997</v>
      </c>
      <c r="Q34" s="28">
        <f t="shared" si="0"/>
        <v>6.9400000000000004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99.170000000000002</v>
      </c>
      <c r="C35" s="29">
        <f t="shared" si="1"/>
        <v>74.700000000000003</v>
      </c>
      <c r="D35" s="29">
        <f t="shared" si="1"/>
        <v>113.3</v>
      </c>
      <c r="E35" s="29">
        <f t="shared" si="1"/>
        <v>0.56000000000000005</v>
      </c>
      <c r="F35" s="29">
        <f t="shared" si="1"/>
        <v>6.3499999999999996</v>
      </c>
      <c r="G35" s="29">
        <f t="shared" si="1"/>
        <v>183.19</v>
      </c>
      <c r="H35" s="29">
        <f t="shared" si="1"/>
        <v>75.439999999999998</v>
      </c>
      <c r="I35" s="29">
        <f t="shared" si="1"/>
        <v>1.6100000000000001</v>
      </c>
      <c r="J35" s="29">
        <f t="shared" si="1"/>
        <v>0.82999999999999996</v>
      </c>
      <c r="K35" s="29">
        <f t="shared" si="1"/>
        <v>356.88999999999999</v>
      </c>
      <c r="L35" s="29">
        <f t="shared" si="1"/>
        <v>29.390000000000001</v>
      </c>
      <c r="M35" s="29">
        <f t="shared" si="1"/>
        <v>98.560000000000002</v>
      </c>
      <c r="N35" s="29">
        <f t="shared" si="1"/>
        <v>651.29999999999995</v>
      </c>
      <c r="O35" s="29">
        <f t="shared" si="1"/>
        <v>0</v>
      </c>
      <c r="P35" s="29">
        <f t="shared" si="1"/>
        <v>2.1400000000000001</v>
      </c>
      <c r="Q35" s="29">
        <f t="shared" si="1"/>
        <v>13.92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29.915416666666669</v>
      </c>
      <c r="C36" s="28">
        <f t="shared" si="2"/>
        <v>61.4925</v>
      </c>
      <c r="D36" s="28">
        <f t="shared" si="2"/>
        <v>57.983333333333327</v>
      </c>
      <c r="E36" s="28">
        <f t="shared" si="2"/>
        <v>0.29833333333333334</v>
      </c>
      <c r="F36" s="28">
        <f t="shared" si="2"/>
        <v>3.6616666666666666</v>
      </c>
      <c r="G36" s="28">
        <f t="shared" si="2"/>
        <v>117.15250000000002</v>
      </c>
      <c r="H36" s="28">
        <f t="shared" si="2"/>
        <v>48.345833333333324</v>
      </c>
      <c r="I36" s="28">
        <f t="shared" si="2"/>
        <v>1.5483333333333331</v>
      </c>
      <c r="J36" s="28">
        <f t="shared" si="2"/>
        <v>0.4120833333333333</v>
      </c>
      <c r="K36" s="28">
        <f t="shared" si="2"/>
        <v>314.56708333333336</v>
      </c>
      <c r="L36" s="28">
        <f t="shared" si="2"/>
        <v>21.912916666666664</v>
      </c>
      <c r="M36" s="28">
        <f t="shared" si="2"/>
        <v>71.620833333333309</v>
      </c>
      <c r="N36" s="28">
        <f t="shared" si="2"/>
        <v>219.76666666666668</v>
      </c>
      <c r="O36" s="28">
        <f t="shared" si="2"/>
        <v>0</v>
      </c>
      <c r="P36" s="28">
        <f t="shared" si="2"/>
        <v>1.1466666666666667</v>
      </c>
      <c r="Q36" s="28">
        <f t="shared" si="2"/>
        <v>8.9558333333333326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28.933549051030809</v>
      </c>
      <c r="C37" s="28">
        <f t="shared" si="3" ref="C37:Q37">STDEV(C9:C32)</f>
        <v>6.4678289146795684</v>
      </c>
      <c r="D37" s="28">
        <f t="shared" si="3"/>
        <v>22.515934003677739</v>
      </c>
      <c r="E37" s="28">
        <f t="shared" si="3"/>
        <v>0.10166726063024414</v>
      </c>
      <c r="F37" s="28">
        <f t="shared" si="3"/>
        <v>0.91929872453274819</v>
      </c>
      <c r="G37" s="28">
        <f t="shared" si="3"/>
        <v>45.182578813751505</v>
      </c>
      <c r="H37" s="28">
        <f t="shared" si="3"/>
        <v>14.542417691664664</v>
      </c>
      <c r="I37" s="28">
        <f t="shared" si="3"/>
        <v>0.027610122067454022</v>
      </c>
      <c r="J37" s="28">
        <f t="shared" si="3"/>
        <v>0.23920119177154534</v>
      </c>
      <c r="K37" s="28">
        <f t="shared" si="3"/>
        <v>44.406757562449073</v>
      </c>
      <c r="L37" s="28">
        <f t="shared" si="3"/>
        <v>4.7770952418049557</v>
      </c>
      <c r="M37" s="28">
        <f t="shared" si="3"/>
        <v>20.53736021237286</v>
      </c>
      <c r="N37" s="28">
        <f t="shared" si="3"/>
        <v>225.52748153503646</v>
      </c>
      <c r="O37" s="28">
        <f t="shared" si="3"/>
        <v>0</v>
      </c>
      <c r="P37" s="28">
        <f t="shared" si="3"/>
        <v>0.42708991688103493</v>
      </c>
      <c r="Q37" s="28">
        <f t="shared" si="3"/>
        <v>2.0040240315027709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9f970d-f93d-4977-8cf8-e75b3db5e63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93.28</v>
      </c>
      <c r="C9" s="54">
        <v>57.43</v>
      </c>
      <c r="D9" s="54">
        <v>107.15</v>
      </c>
      <c r="E9" s="54">
        <v>0.32</v>
      </c>
      <c r="F9" s="54">
        <v>3.20</v>
      </c>
      <c r="G9" s="54">
        <v>131.77000000000001</v>
      </c>
      <c r="H9" s="54">
        <v>51.49</v>
      </c>
      <c r="I9" s="54">
        <v>1.52</v>
      </c>
      <c r="J9" s="54">
        <v>0.11</v>
      </c>
      <c r="K9" s="54">
        <v>351.82</v>
      </c>
      <c r="L9" s="54">
        <v>17.72</v>
      </c>
      <c r="M9" s="54">
        <v>95.79</v>
      </c>
      <c r="N9" s="54">
        <v>58.20</v>
      </c>
      <c r="O9" s="54">
        <v>0</v>
      </c>
      <c r="P9" s="54">
        <v>1.91</v>
      </c>
      <c r="Q9" s="54">
        <v>13.59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82.15</v>
      </c>
      <c r="C10" s="54">
        <v>55.13</v>
      </c>
      <c r="D10" s="54">
        <v>95.65</v>
      </c>
      <c r="E10" s="54">
        <v>0.28999999999999998</v>
      </c>
      <c r="F10" s="54">
        <v>3.21</v>
      </c>
      <c r="G10" s="54">
        <v>118.79</v>
      </c>
      <c r="H10" s="54">
        <v>45.89</v>
      </c>
      <c r="I10" s="54">
        <v>1.57</v>
      </c>
      <c r="J10" s="54">
        <v>0.13</v>
      </c>
      <c r="K10" s="54">
        <v>350.64</v>
      </c>
      <c r="L10" s="54">
        <v>17.489999999999998</v>
      </c>
      <c r="M10" s="54">
        <v>95.58</v>
      </c>
      <c r="N10" s="54">
        <v>58.30</v>
      </c>
      <c r="O10" s="54">
        <v>0</v>
      </c>
      <c r="P10" s="54">
        <v>1.54</v>
      </c>
      <c r="Q10" s="54">
        <v>12.78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72.05</v>
      </c>
      <c r="C11" s="54">
        <v>55.25</v>
      </c>
      <c r="D11" s="54">
        <v>88.92</v>
      </c>
      <c r="E11" s="54">
        <v>0.31</v>
      </c>
      <c r="F11" s="54">
        <v>3.26</v>
      </c>
      <c r="G11" s="54">
        <v>85.22</v>
      </c>
      <c r="H11" s="54">
        <v>42.07</v>
      </c>
      <c r="I11" s="54">
        <v>1.52</v>
      </c>
      <c r="J11" s="54">
        <v>0.070000000000000007</v>
      </c>
      <c r="K11" s="54">
        <v>255.22</v>
      </c>
      <c r="L11" s="54">
        <v>17.559999999999999</v>
      </c>
      <c r="M11" s="54">
        <v>92.57</v>
      </c>
      <c r="N11" s="54">
        <v>58.40</v>
      </c>
      <c r="O11" s="54">
        <v>0</v>
      </c>
      <c r="P11" s="54">
        <v>1.39</v>
      </c>
      <c r="Q11" s="54">
        <v>12.40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62.69</v>
      </c>
      <c r="C12" s="54">
        <v>54.26</v>
      </c>
      <c r="D12" s="54">
        <v>80.86</v>
      </c>
      <c r="E12" s="54">
        <v>0.28999999999999998</v>
      </c>
      <c r="F12" s="54">
        <v>3.24</v>
      </c>
      <c r="G12" s="54">
        <v>78.760000000000005</v>
      </c>
      <c r="H12" s="54">
        <v>35.39</v>
      </c>
      <c r="I12" s="54">
        <v>1.57</v>
      </c>
      <c r="J12" s="54">
        <v>0.17</v>
      </c>
      <c r="K12" s="54">
        <v>354.88</v>
      </c>
      <c r="L12" s="54">
        <v>17.28</v>
      </c>
      <c r="M12" s="54">
        <v>97.87</v>
      </c>
      <c r="N12" s="54">
        <v>58.60</v>
      </c>
      <c r="O12" s="54">
        <v>0</v>
      </c>
      <c r="P12" s="54">
        <v>1.22</v>
      </c>
      <c r="Q12" s="54">
        <v>11.70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57.30</v>
      </c>
      <c r="C13" s="54">
        <v>52.72</v>
      </c>
      <c r="D13" s="54">
        <v>75.69</v>
      </c>
      <c r="E13" s="54">
        <v>0.35</v>
      </c>
      <c r="F13" s="54">
        <v>3.39</v>
      </c>
      <c r="G13" s="54">
        <v>79.53</v>
      </c>
      <c r="H13" s="54">
        <v>35.39</v>
      </c>
      <c r="I13" s="54">
        <v>1.5</v>
      </c>
      <c r="J13" s="54">
        <v>0.45</v>
      </c>
      <c r="K13" s="54">
        <v>351.94</v>
      </c>
      <c r="L13" s="54">
        <v>17.82</v>
      </c>
      <c r="M13" s="54">
        <v>93.76</v>
      </c>
      <c r="N13" s="54">
        <v>58.80</v>
      </c>
      <c r="O13" s="54">
        <v>0</v>
      </c>
      <c r="P13" s="54">
        <v>1.1100000000000001</v>
      </c>
      <c r="Q13" s="54">
        <v>11.31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51.34</v>
      </c>
      <c r="C14" s="54">
        <v>50.80</v>
      </c>
      <c r="D14" s="54">
        <v>69.62</v>
      </c>
      <c r="E14" s="54">
        <v>0.28000000000000003</v>
      </c>
      <c r="F14" s="54">
        <v>3.43</v>
      </c>
      <c r="G14" s="54">
        <v>89.21</v>
      </c>
      <c r="H14" s="54">
        <v>36.93</v>
      </c>
      <c r="I14" s="54">
        <v>1.58</v>
      </c>
      <c r="J14" s="54">
        <v>0.27</v>
      </c>
      <c r="K14" s="54">
        <v>112.06</v>
      </c>
      <c r="L14" s="54">
        <v>18</v>
      </c>
      <c r="M14" s="54">
        <v>86.43</v>
      </c>
      <c r="N14" s="54">
        <v>59</v>
      </c>
      <c r="O14" s="54">
        <v>0</v>
      </c>
      <c r="P14" s="54">
        <v>1.03</v>
      </c>
      <c r="Q14" s="54">
        <v>10.65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43.26</v>
      </c>
      <c r="C15" s="54">
        <v>52.53</v>
      </c>
      <c r="D15" s="54">
        <v>63.92</v>
      </c>
      <c r="E15" s="54">
        <v>0.26</v>
      </c>
      <c r="F15" s="54">
        <v>3.18</v>
      </c>
      <c r="G15" s="54">
        <v>98.06</v>
      </c>
      <c r="H15" s="54">
        <v>36.93</v>
      </c>
      <c r="I15" s="54">
        <v>1.5</v>
      </c>
      <c r="J15" s="54">
        <v>0.57999999999999996</v>
      </c>
      <c r="K15" s="54">
        <v>338.03</v>
      </c>
      <c r="L15" s="54">
        <v>17.510000000000002</v>
      </c>
      <c r="M15" s="54">
        <v>93.07</v>
      </c>
      <c r="N15" s="54">
        <v>62.60</v>
      </c>
      <c r="O15" s="54">
        <v>0</v>
      </c>
      <c r="P15" s="54">
        <v>0.95</v>
      </c>
      <c r="Q15" s="54">
        <v>10.029999999999999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38.72</v>
      </c>
      <c r="C16" s="54">
        <v>52.39</v>
      </c>
      <c r="D16" s="54">
        <v>60.28</v>
      </c>
      <c r="E16" s="54">
        <v>0.24</v>
      </c>
      <c r="F16" s="54">
        <v>3.39</v>
      </c>
      <c r="G16" s="54">
        <v>98.06</v>
      </c>
      <c r="H16" s="54">
        <v>36.479999999999997</v>
      </c>
      <c r="I16" s="54">
        <v>1.51</v>
      </c>
      <c r="J16" s="54">
        <v>0.91</v>
      </c>
      <c r="K16" s="54">
        <v>345.14</v>
      </c>
      <c r="L16" s="54">
        <v>18.809999999999999</v>
      </c>
      <c r="M16" s="54">
        <v>92.69</v>
      </c>
      <c r="N16" s="54">
        <v>185</v>
      </c>
      <c r="O16" s="54">
        <v>0</v>
      </c>
      <c r="P16" s="54">
        <v>0.93</v>
      </c>
      <c r="Q16" s="54">
        <v>9.51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44.39</v>
      </c>
      <c r="C17" s="54">
        <v>56.83</v>
      </c>
      <c r="D17" s="54">
        <v>67.61</v>
      </c>
      <c r="E17" s="54">
        <v>0.32</v>
      </c>
      <c r="F17" s="54">
        <v>3.28</v>
      </c>
      <c r="G17" s="54">
        <v>130.94999999999999</v>
      </c>
      <c r="H17" s="54">
        <v>40.42</v>
      </c>
      <c r="I17" s="54">
        <v>1.56</v>
      </c>
      <c r="J17" s="54">
        <v>0.97</v>
      </c>
      <c r="K17" s="54">
        <v>347.07</v>
      </c>
      <c r="L17" s="54">
        <v>23.05</v>
      </c>
      <c r="M17" s="54">
        <v>77.900000000000006</v>
      </c>
      <c r="N17" s="54">
        <v>404.20</v>
      </c>
      <c r="O17" s="54">
        <v>0</v>
      </c>
      <c r="P17" s="54">
        <v>1.05</v>
      </c>
      <c r="Q17" s="54">
        <v>10.210000000000001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44.20</v>
      </c>
      <c r="C18" s="54">
        <v>59.94</v>
      </c>
      <c r="D18" s="54">
        <v>68.16</v>
      </c>
      <c r="E18" s="54">
        <v>0.35</v>
      </c>
      <c r="F18" s="54">
        <v>3.48</v>
      </c>
      <c r="G18" s="54">
        <v>143.62</v>
      </c>
      <c r="H18" s="54">
        <v>49.09</v>
      </c>
      <c r="I18" s="54">
        <v>1.56</v>
      </c>
      <c r="J18" s="54">
        <v>0.70</v>
      </c>
      <c r="K18" s="54">
        <v>340.82</v>
      </c>
      <c r="L18" s="54">
        <v>27.30</v>
      </c>
      <c r="M18" s="54">
        <v>66.099999999999994</v>
      </c>
      <c r="N18" s="54">
        <v>549.70000000000005</v>
      </c>
      <c r="O18" s="54">
        <v>0</v>
      </c>
      <c r="P18" s="54">
        <v>1.08</v>
      </c>
      <c r="Q18" s="54">
        <v>10.32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40.75</v>
      </c>
      <c r="C19" s="54">
        <v>66.48</v>
      </c>
      <c r="D19" s="54">
        <v>67.16</v>
      </c>
      <c r="E19" s="54">
        <v>0.32</v>
      </c>
      <c r="F19" s="54">
        <v>3.25</v>
      </c>
      <c r="G19" s="54">
        <v>143.62</v>
      </c>
      <c r="H19" s="54">
        <v>49.09</v>
      </c>
      <c r="I19" s="54">
        <v>1.58</v>
      </c>
      <c r="J19" s="54">
        <v>0.56999999999999995</v>
      </c>
      <c r="K19" s="54">
        <v>344.31</v>
      </c>
      <c r="L19" s="54">
        <v>29.30</v>
      </c>
      <c r="M19" s="54">
        <v>46.76</v>
      </c>
      <c r="N19" s="54">
        <v>639.29999999999995</v>
      </c>
      <c r="O19" s="54">
        <v>0</v>
      </c>
      <c r="P19" s="54">
        <v>1.1000000000000001</v>
      </c>
      <c r="Q19" s="54">
        <v>10.27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32.53</v>
      </c>
      <c r="C20" s="54">
        <v>67.290000000000006</v>
      </c>
      <c r="D20" s="54">
        <v>63.78</v>
      </c>
      <c r="E20" s="54">
        <v>0.30</v>
      </c>
      <c r="F20" s="54">
        <v>3.46</v>
      </c>
      <c r="G20" s="54">
        <v>130.36000000000001</v>
      </c>
      <c r="H20" s="54">
        <v>47.5</v>
      </c>
      <c r="I20" s="54">
        <v>1.55</v>
      </c>
      <c r="J20" s="54">
        <v>0.74</v>
      </c>
      <c r="K20" s="54">
        <v>341.34</v>
      </c>
      <c r="L20" s="54">
        <v>29.04</v>
      </c>
      <c r="M20" s="54">
        <v>51.68</v>
      </c>
      <c r="N20" s="54">
        <v>667.10</v>
      </c>
      <c r="O20" s="54">
        <v>0</v>
      </c>
      <c r="P20" s="54">
        <v>1.08</v>
      </c>
      <c r="Q20" s="54">
        <v>10.029999999999999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16.98</v>
      </c>
      <c r="C21" s="54">
        <v>74.180000000000007</v>
      </c>
      <c r="D21" s="54">
        <v>53.08</v>
      </c>
      <c r="E21" s="54">
        <v>0.31</v>
      </c>
      <c r="F21" s="54">
        <v>3.66</v>
      </c>
      <c r="G21" s="54">
        <v>99.21</v>
      </c>
      <c r="H21" s="54">
        <v>44.60</v>
      </c>
      <c r="I21" s="54">
        <v>1.56</v>
      </c>
      <c r="J21" s="54">
        <v>0.79</v>
      </c>
      <c r="K21" s="54">
        <v>333.73</v>
      </c>
      <c r="L21" s="54">
        <v>28.18</v>
      </c>
      <c r="M21" s="54">
        <v>46.72</v>
      </c>
      <c r="N21" s="54">
        <v>448.10</v>
      </c>
      <c r="O21" s="54">
        <v>0</v>
      </c>
      <c r="P21" s="54">
        <v>1</v>
      </c>
      <c r="Q21" s="54">
        <v>8.99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9.58</v>
      </c>
      <c r="C22" s="54">
        <v>75.760000000000005</v>
      </c>
      <c r="D22" s="54">
        <v>49.91</v>
      </c>
      <c r="E22" s="54">
        <v>0.41</v>
      </c>
      <c r="F22" s="54">
        <v>4.45</v>
      </c>
      <c r="G22" s="54">
        <v>86.14</v>
      </c>
      <c r="H22" s="54">
        <v>38.840000000000003</v>
      </c>
      <c r="I22" s="54">
        <v>1.55</v>
      </c>
      <c r="J22" s="54">
        <v>1.43</v>
      </c>
      <c r="K22" s="54">
        <v>179.44</v>
      </c>
      <c r="L22" s="54">
        <v>26.01</v>
      </c>
      <c r="M22" s="54">
        <v>58.39</v>
      </c>
      <c r="N22" s="54">
        <v>326.80</v>
      </c>
      <c r="O22" s="54">
        <v>0</v>
      </c>
      <c r="P22" s="54">
        <v>0.89</v>
      </c>
      <c r="Q22" s="54">
        <v>8.39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2.98</v>
      </c>
      <c r="C23" s="54">
        <v>70.84</v>
      </c>
      <c r="D23" s="54">
        <v>42.13</v>
      </c>
      <c r="E23" s="54">
        <v>0.28000000000000003</v>
      </c>
      <c r="F23" s="54">
        <v>4.8499999999999996</v>
      </c>
      <c r="G23" s="54">
        <v>86.14</v>
      </c>
      <c r="H23" s="54">
        <v>38.25</v>
      </c>
      <c r="I23" s="54">
        <v>1.58</v>
      </c>
      <c r="J23" s="54">
        <v>1.34</v>
      </c>
      <c r="K23" s="54">
        <v>164.93</v>
      </c>
      <c r="L23" s="54">
        <v>24.20</v>
      </c>
      <c r="M23" s="54">
        <v>57.38</v>
      </c>
      <c r="N23" s="54">
        <v>231.5</v>
      </c>
      <c r="O23" s="54">
        <v>0</v>
      </c>
      <c r="P23" s="54">
        <v>0.81</v>
      </c>
      <c r="Q23" s="54">
        <v>7.91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2.39</v>
      </c>
      <c r="C24" s="54">
        <v>64.13</v>
      </c>
      <c r="D24" s="54">
        <v>37.83</v>
      </c>
      <c r="E24" s="54">
        <v>0.22</v>
      </c>
      <c r="F24" s="54">
        <v>4.9800000000000004</v>
      </c>
      <c r="G24" s="54">
        <v>75.849999999999994</v>
      </c>
      <c r="H24" s="54">
        <v>38.25</v>
      </c>
      <c r="I24" s="54">
        <v>1.52</v>
      </c>
      <c r="J24" s="54">
        <v>1.20</v>
      </c>
      <c r="K24" s="54">
        <v>181.89</v>
      </c>
      <c r="L24" s="54">
        <v>23.89</v>
      </c>
      <c r="M24" s="54">
        <v>63.35</v>
      </c>
      <c r="N24" s="54">
        <v>260</v>
      </c>
      <c r="O24" s="54">
        <v>0</v>
      </c>
      <c r="P24" s="54">
        <v>0.73</v>
      </c>
      <c r="Q24" s="54">
        <v>7.69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2.48</v>
      </c>
      <c r="C25" s="54">
        <v>61.94</v>
      </c>
      <c r="D25" s="54">
        <v>36.61</v>
      </c>
      <c r="E25" s="54">
        <v>0.23</v>
      </c>
      <c r="F25" s="54">
        <v>4.26</v>
      </c>
      <c r="G25" s="54">
        <v>83.06</v>
      </c>
      <c r="H25" s="54">
        <v>36.46</v>
      </c>
      <c r="I25" s="54">
        <v>1.55</v>
      </c>
      <c r="J25" s="54">
        <v>0.71</v>
      </c>
      <c r="K25" s="54">
        <v>205.64</v>
      </c>
      <c r="L25" s="54">
        <v>23.37</v>
      </c>
      <c r="M25" s="54">
        <v>65.91</v>
      </c>
      <c r="N25" s="54">
        <v>156.80000000000001</v>
      </c>
      <c r="O25" s="54">
        <v>0</v>
      </c>
      <c r="P25" s="54">
        <v>0.73</v>
      </c>
      <c r="Q25" s="54">
        <v>7.77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3.56</v>
      </c>
      <c r="C26" s="54">
        <v>61.11</v>
      </c>
      <c r="D26" s="54">
        <v>37.14</v>
      </c>
      <c r="E26" s="54">
        <v>0.20</v>
      </c>
      <c r="F26" s="54">
        <v>4.03</v>
      </c>
      <c r="G26" s="54">
        <v>83.06</v>
      </c>
      <c r="H26" s="54">
        <v>35.93</v>
      </c>
      <c r="I26" s="54">
        <v>1.55</v>
      </c>
      <c r="J26" s="54">
        <v>0.32</v>
      </c>
      <c r="K26" s="54">
        <v>172.61</v>
      </c>
      <c r="L26" s="54">
        <v>22.44</v>
      </c>
      <c r="M26" s="54">
        <v>75.27</v>
      </c>
      <c r="N26" s="54">
        <v>90</v>
      </c>
      <c r="O26" s="54">
        <v>0</v>
      </c>
      <c r="P26" s="54">
        <v>0.73</v>
      </c>
      <c r="Q26" s="54">
        <v>7.80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5.21</v>
      </c>
      <c r="C27" s="54">
        <v>61.09</v>
      </c>
      <c r="D27" s="54">
        <v>37.69</v>
      </c>
      <c r="E27" s="54">
        <v>0.18</v>
      </c>
      <c r="F27" s="54">
        <v>3.36</v>
      </c>
      <c r="G27" s="54">
        <v>70.680000000000007</v>
      </c>
      <c r="H27" s="54">
        <v>35.61</v>
      </c>
      <c r="I27" s="54">
        <v>1.61</v>
      </c>
      <c r="J27" s="54">
        <v>0.36</v>
      </c>
      <c r="K27" s="54">
        <v>238.29</v>
      </c>
      <c r="L27" s="54">
        <v>21.11</v>
      </c>
      <c r="M27" s="54">
        <v>76.569999999999993</v>
      </c>
      <c r="N27" s="54">
        <v>61.80</v>
      </c>
      <c r="O27" s="54">
        <v>0</v>
      </c>
      <c r="P27" s="54">
        <v>0.74</v>
      </c>
      <c r="Q27" s="54">
        <v>7.79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12.59</v>
      </c>
      <c r="C28" s="54">
        <v>59.85</v>
      </c>
      <c r="D28" s="54">
        <v>42.13</v>
      </c>
      <c r="E28" s="54">
        <v>0.22</v>
      </c>
      <c r="F28" s="54">
        <v>3.42</v>
      </c>
      <c r="G28" s="54">
        <v>70.11</v>
      </c>
      <c r="H28" s="54">
        <v>35.61</v>
      </c>
      <c r="I28" s="54">
        <v>1.62</v>
      </c>
      <c r="J28" s="54">
        <v>0.12</v>
      </c>
      <c r="K28" s="54">
        <v>277.19</v>
      </c>
      <c r="L28" s="54">
        <v>20.41</v>
      </c>
      <c r="M28" s="54">
        <v>87.53</v>
      </c>
      <c r="N28" s="54">
        <v>62</v>
      </c>
      <c r="O28" s="54">
        <v>0</v>
      </c>
      <c r="P28" s="54">
        <v>0.80</v>
      </c>
      <c r="Q28" s="54">
        <v>7.92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31.82</v>
      </c>
      <c r="C29" s="54">
        <v>55.13</v>
      </c>
      <c r="D29" s="54">
        <v>54.14</v>
      </c>
      <c r="E29" s="54">
        <v>0.18</v>
      </c>
      <c r="F29" s="54">
        <v>3.37</v>
      </c>
      <c r="G29" s="54">
        <v>75.72</v>
      </c>
      <c r="H29" s="54">
        <v>31.97</v>
      </c>
      <c r="I29" s="54">
        <v>1.51</v>
      </c>
      <c r="J29" s="54">
        <v>0.17</v>
      </c>
      <c r="K29" s="54">
        <v>347.17</v>
      </c>
      <c r="L29" s="54">
        <v>19.03</v>
      </c>
      <c r="M29" s="54">
        <v>94.25</v>
      </c>
      <c r="N29" s="54">
        <v>61.70</v>
      </c>
      <c r="O29" s="54">
        <v>0</v>
      </c>
      <c r="P29" s="54">
        <v>1.02</v>
      </c>
      <c r="Q29" s="54">
        <v>8.74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42.05</v>
      </c>
      <c r="C30" s="54">
        <v>51.37</v>
      </c>
      <c r="D30" s="54">
        <v>62.01</v>
      </c>
      <c r="E30" s="54">
        <v>0.19</v>
      </c>
      <c r="F30" s="54">
        <v>3.04</v>
      </c>
      <c r="G30" s="54">
        <v>82.49</v>
      </c>
      <c r="H30" s="54">
        <v>32.86</v>
      </c>
      <c r="I30" s="54">
        <v>1.52</v>
      </c>
      <c r="J30" s="54">
        <v>0.11</v>
      </c>
      <c r="K30" s="54">
        <v>298.80</v>
      </c>
      <c r="L30" s="54">
        <v>18.510000000000002</v>
      </c>
      <c r="M30" s="54">
        <v>96.5</v>
      </c>
      <c r="N30" s="54">
        <v>61.20</v>
      </c>
      <c r="O30" s="54">
        <v>0</v>
      </c>
      <c r="P30" s="54">
        <v>1.1299999999999999</v>
      </c>
      <c r="Q30" s="54">
        <v>9.6999999999999993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39.82</v>
      </c>
      <c r="C31" s="54">
        <v>55.44</v>
      </c>
      <c r="D31" s="54">
        <v>62.35</v>
      </c>
      <c r="E31" s="54">
        <v>0.23</v>
      </c>
      <c r="F31" s="54">
        <v>3.32</v>
      </c>
      <c r="G31" s="54">
        <v>82.49</v>
      </c>
      <c r="H31" s="54">
        <v>32.86</v>
      </c>
      <c r="I31" s="54">
        <v>1.54</v>
      </c>
      <c r="J31" s="54">
        <v>0.51</v>
      </c>
      <c r="K31" s="54">
        <v>348.34</v>
      </c>
      <c r="L31" s="54">
        <v>18.25</v>
      </c>
      <c r="M31" s="54">
        <v>95.56</v>
      </c>
      <c r="N31" s="54">
        <v>61.30</v>
      </c>
      <c r="O31" s="54">
        <v>0</v>
      </c>
      <c r="P31" s="54">
        <v>1.1100000000000001</v>
      </c>
      <c r="Q31" s="54">
        <v>9.81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35.5</v>
      </c>
      <c r="C32" s="54">
        <v>56.46</v>
      </c>
      <c r="D32" s="54">
        <v>59.99</v>
      </c>
      <c r="E32" s="54">
        <v>0.22</v>
      </c>
      <c r="F32" s="54">
        <v>3.32</v>
      </c>
      <c r="G32" s="54">
        <v>70.59</v>
      </c>
      <c r="H32" s="54">
        <v>30.18</v>
      </c>
      <c r="I32" s="54">
        <v>1.52</v>
      </c>
      <c r="J32" s="54">
        <v>0.62</v>
      </c>
      <c r="K32" s="54">
        <v>350.71</v>
      </c>
      <c r="L32" s="54">
        <v>18.34</v>
      </c>
      <c r="M32" s="54">
        <v>92.22</v>
      </c>
      <c r="N32" s="54">
        <v>61.90</v>
      </c>
      <c r="O32" s="54">
        <v>0</v>
      </c>
      <c r="P32" s="54">
        <v>1.04</v>
      </c>
      <c r="Q32" s="54">
        <v>9.8000000000000007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50.799999999999997</v>
      </c>
      <c r="D34" s="28">
        <f t="shared" si="0"/>
        <v>36.609999999999999</v>
      </c>
      <c r="E34" s="28">
        <f t="shared" si="0"/>
        <v>0.17999999999999999</v>
      </c>
      <c r="F34" s="28">
        <f t="shared" si="0"/>
        <v>3.04</v>
      </c>
      <c r="G34" s="28">
        <f t="shared" si="0"/>
        <v>70.109999999999999</v>
      </c>
      <c r="H34" s="28">
        <f t="shared" si="0"/>
        <v>30.18</v>
      </c>
      <c r="I34" s="28">
        <f t="shared" si="0"/>
        <v>1.5</v>
      </c>
      <c r="J34" s="28">
        <f t="shared" si="0"/>
        <v>0.070000000000000007</v>
      </c>
      <c r="K34" s="28">
        <f t="shared" si="0"/>
        <v>112.06</v>
      </c>
      <c r="L34" s="28">
        <f t="shared" si="0"/>
        <v>17.280000000000001</v>
      </c>
      <c r="M34" s="28">
        <f t="shared" si="0"/>
        <v>46.719999999999999</v>
      </c>
      <c r="N34" s="28">
        <f t="shared" si="0"/>
        <v>58.200000000000003</v>
      </c>
      <c r="O34" s="28">
        <f t="shared" si="0"/>
        <v>0</v>
      </c>
      <c r="P34" s="28">
        <f t="shared" si="0"/>
        <v>0.72999999999999998</v>
      </c>
      <c r="Q34" s="28">
        <f t="shared" si="0"/>
        <v>7.6900000000000004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93.280000000000001</v>
      </c>
      <c r="C35" s="29">
        <f t="shared" si="1"/>
        <v>75.760000000000005</v>
      </c>
      <c r="D35" s="29">
        <f t="shared" si="1"/>
        <v>107.15000000000001</v>
      </c>
      <c r="E35" s="29">
        <f t="shared" si="1"/>
        <v>0.40999999999999998</v>
      </c>
      <c r="F35" s="29">
        <f t="shared" si="1"/>
        <v>4.9800000000000004</v>
      </c>
      <c r="G35" s="29">
        <f t="shared" si="1"/>
        <v>143.62</v>
      </c>
      <c r="H35" s="29">
        <f t="shared" si="1"/>
        <v>51.490000000000002</v>
      </c>
      <c r="I35" s="29">
        <f t="shared" si="1"/>
        <v>1.6200000000000001</v>
      </c>
      <c r="J35" s="29">
        <f t="shared" si="1"/>
        <v>1.4299999999999999</v>
      </c>
      <c r="K35" s="29">
        <f t="shared" si="1"/>
        <v>354.88</v>
      </c>
      <c r="L35" s="29">
        <f t="shared" si="1"/>
        <v>29.300000000000001</v>
      </c>
      <c r="M35" s="29">
        <f t="shared" si="1"/>
        <v>97.870000000000005</v>
      </c>
      <c r="N35" s="29">
        <f t="shared" si="1"/>
        <v>667.10000000000002</v>
      </c>
      <c r="O35" s="29">
        <f t="shared" si="1"/>
        <v>0</v>
      </c>
      <c r="P35" s="29">
        <f t="shared" si="1"/>
        <v>1.9099999999999999</v>
      </c>
      <c r="Q35" s="29">
        <f t="shared" si="1"/>
        <v>13.59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36.150833333333345</v>
      </c>
      <c r="C36" s="28">
        <f t="shared" si="2"/>
        <v>59.514583333333327</v>
      </c>
      <c r="D36" s="28">
        <f t="shared" si="2"/>
        <v>61.825416666666676</v>
      </c>
      <c r="E36" s="28">
        <f t="shared" si="2"/>
        <v>0.27083333333333331</v>
      </c>
      <c r="F36" s="28">
        <f t="shared" si="2"/>
        <v>3.5762499999999999</v>
      </c>
      <c r="G36" s="28">
        <f t="shared" si="2"/>
        <v>95.562083333333305</v>
      </c>
      <c r="H36" s="28">
        <f t="shared" si="2"/>
        <v>39.087083333333339</v>
      </c>
      <c r="I36" s="28">
        <f t="shared" si="2"/>
        <v>1.5479166666666668</v>
      </c>
      <c r="J36" s="28">
        <f t="shared" si="2"/>
        <v>0.55624999999999991</v>
      </c>
      <c r="K36" s="28">
        <f t="shared" si="2"/>
        <v>288.83375000000001</v>
      </c>
      <c r="L36" s="28">
        <f t="shared" si="2"/>
        <v>21.442499999999999</v>
      </c>
      <c r="M36" s="28">
        <f t="shared" si="2"/>
        <v>79.160416666666663</v>
      </c>
      <c r="N36" s="28">
        <f t="shared" si="2"/>
        <v>197.59583333333333</v>
      </c>
      <c r="O36" s="28">
        <f t="shared" si="2"/>
        <v>0</v>
      </c>
      <c r="P36" s="28">
        <f t="shared" si="2"/>
        <v>1.0466666666666664</v>
      </c>
      <c r="Q36" s="28">
        <f t="shared" si="2"/>
        <v>9.7962500000000006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25.845883856406228</v>
      </c>
      <c r="C37" s="28">
        <f t="shared" si="3" ref="C37:Q37">STDEV(C9:C32)</f>
        <v>7.09700792996406</v>
      </c>
      <c r="D37" s="28">
        <f t="shared" si="3"/>
        <v>18.790589453041466</v>
      </c>
      <c r="E37" s="28">
        <f t="shared" si="3"/>
        <v>0.060499131626298816</v>
      </c>
      <c r="F37" s="28">
        <f t="shared" si="3"/>
        <v>0.53254771168168025</v>
      </c>
      <c r="G37" s="28">
        <f t="shared" si="3"/>
        <v>23.911092383019234</v>
      </c>
      <c r="H37" s="28">
        <f t="shared" si="3"/>
        <v>5.9181588493945059</v>
      </c>
      <c r="I37" s="28">
        <f t="shared" si="3"/>
        <v>0.032966276136664911</v>
      </c>
      <c r="J37" s="28">
        <f t="shared" si="3"/>
        <v>0.40220925226639886</v>
      </c>
      <c r="K37" s="28">
        <f t="shared" si="3"/>
        <v>78.239635280363586</v>
      </c>
      <c r="L37" s="28">
        <f t="shared" si="3"/>
        <v>4.0944195851341929</v>
      </c>
      <c r="M37" s="28">
        <f t="shared" si="3"/>
        <v>17.61808223269411</v>
      </c>
      <c r="N37" s="28">
        <f t="shared" si="3"/>
        <v>200.56485122548628</v>
      </c>
      <c r="O37" s="28">
        <f t="shared" si="3"/>
        <v>0</v>
      </c>
      <c r="P37" s="28">
        <f t="shared" si="3"/>
        <v>0.27339518564933235</v>
      </c>
      <c r="Q37" s="28">
        <f t="shared" si="3"/>
        <v>1.6806256922323031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7d6e37-c42d-49b3-b16b-ede2c04299f6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35.17</v>
      </c>
      <c r="C9" s="54">
        <v>55.44</v>
      </c>
      <c r="D9" s="54">
        <v>58.94</v>
      </c>
      <c r="E9" s="54">
        <v>0.38</v>
      </c>
      <c r="F9" s="54">
        <v>3.18</v>
      </c>
      <c r="G9" s="54">
        <v>82.37</v>
      </c>
      <c r="H9" s="54">
        <v>34.270000000000003</v>
      </c>
      <c r="I9" s="54">
        <v>1.53</v>
      </c>
      <c r="J9" s="54">
        <v>0.12</v>
      </c>
      <c r="K9" s="54">
        <v>312.56</v>
      </c>
      <c r="L9" s="54">
        <v>17.739999999999998</v>
      </c>
      <c r="M9" s="54">
        <v>98.07</v>
      </c>
      <c r="N9" s="54">
        <v>62.20</v>
      </c>
      <c r="O9" s="54">
        <v>0</v>
      </c>
      <c r="P9" s="54">
        <v>1.03</v>
      </c>
      <c r="Q9" s="54">
        <v>9.73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38.19</v>
      </c>
      <c r="C10" s="54">
        <v>54.25</v>
      </c>
      <c r="D10" s="54">
        <v>60.18</v>
      </c>
      <c r="E10" s="54">
        <v>0.42</v>
      </c>
      <c r="F10" s="54">
        <v>3.25</v>
      </c>
      <c r="G10" s="54">
        <v>98.20</v>
      </c>
      <c r="H10" s="54">
        <v>42.31</v>
      </c>
      <c r="I10" s="54">
        <v>1.53</v>
      </c>
      <c r="J10" s="54">
        <v>0.30</v>
      </c>
      <c r="K10" s="54">
        <v>358.69</v>
      </c>
      <c r="L10" s="54">
        <v>17.61</v>
      </c>
      <c r="M10" s="54">
        <v>99.27</v>
      </c>
      <c r="N10" s="54">
        <v>62</v>
      </c>
      <c r="O10" s="54">
        <v>0</v>
      </c>
      <c r="P10" s="54">
        <v>1.03</v>
      </c>
      <c r="Q10" s="54">
        <v>9.77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33.06</v>
      </c>
      <c r="C11" s="54">
        <v>56.27</v>
      </c>
      <c r="D11" s="54">
        <v>56.93</v>
      </c>
      <c r="E11" s="54">
        <v>0.36</v>
      </c>
      <c r="F11" s="54">
        <v>3.31</v>
      </c>
      <c r="G11" s="54">
        <v>98.20</v>
      </c>
      <c r="H11" s="54">
        <v>42.31</v>
      </c>
      <c r="I11" s="54">
        <v>1.52</v>
      </c>
      <c r="J11" s="54">
        <v>0.57999999999999996</v>
      </c>
      <c r="K11" s="54">
        <v>349.11</v>
      </c>
      <c r="L11" s="54">
        <v>17.78</v>
      </c>
      <c r="M11" s="54">
        <v>65.58</v>
      </c>
      <c r="N11" s="54">
        <v>62.5</v>
      </c>
      <c r="O11" s="54">
        <v>0</v>
      </c>
      <c r="P11" s="54">
        <v>0.97</v>
      </c>
      <c r="Q11" s="54">
        <v>9.52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24.76</v>
      </c>
      <c r="C12" s="54">
        <v>55.95</v>
      </c>
      <c r="D12" s="54">
        <v>51.28</v>
      </c>
      <c r="E12" s="54">
        <v>0.39</v>
      </c>
      <c r="F12" s="54">
        <v>3.07</v>
      </c>
      <c r="G12" s="54">
        <v>83.98</v>
      </c>
      <c r="H12" s="54">
        <v>41.33</v>
      </c>
      <c r="I12" s="54">
        <v>1.54</v>
      </c>
      <c r="J12" s="54">
        <v>0.26</v>
      </c>
      <c r="K12" s="54">
        <v>82.58</v>
      </c>
      <c r="L12" s="54">
        <v>16.690000000000001</v>
      </c>
      <c r="M12" s="54">
        <v>68.45</v>
      </c>
      <c r="N12" s="54">
        <v>62.60</v>
      </c>
      <c r="O12" s="54">
        <v>0</v>
      </c>
      <c r="P12" s="54">
        <v>0.87</v>
      </c>
      <c r="Q12" s="54">
        <v>8.73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24.45</v>
      </c>
      <c r="C13" s="54">
        <v>54.62</v>
      </c>
      <c r="D13" s="54">
        <v>49.62</v>
      </c>
      <c r="E13" s="54">
        <v>0.19</v>
      </c>
      <c r="F13" s="54">
        <v>3.14</v>
      </c>
      <c r="G13" s="54">
        <v>81.72</v>
      </c>
      <c r="H13" s="54">
        <v>36.950000000000003</v>
      </c>
      <c r="I13" s="54">
        <v>1.52</v>
      </c>
      <c r="J13" s="54">
        <v>0.19</v>
      </c>
      <c r="K13" s="54">
        <v>348.29</v>
      </c>
      <c r="L13" s="54">
        <v>15.83</v>
      </c>
      <c r="M13" s="54">
        <v>82.34</v>
      </c>
      <c r="N13" s="54">
        <v>62.80</v>
      </c>
      <c r="O13" s="54">
        <v>0</v>
      </c>
      <c r="P13" s="54">
        <v>0.78</v>
      </c>
      <c r="Q13" s="54">
        <v>8.2100000000000009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29.83</v>
      </c>
      <c r="C14" s="54">
        <v>54.24</v>
      </c>
      <c r="D14" s="54">
        <v>54.48</v>
      </c>
      <c r="E14" s="54">
        <v>0.18</v>
      </c>
      <c r="F14" s="54">
        <v>3.24</v>
      </c>
      <c r="G14" s="54">
        <v>86.58</v>
      </c>
      <c r="H14" s="54">
        <v>34.81</v>
      </c>
      <c r="I14" s="54">
        <v>1.52</v>
      </c>
      <c r="J14" s="54">
        <v>0.13</v>
      </c>
      <c r="K14" s="54">
        <v>357.10</v>
      </c>
      <c r="L14" s="54">
        <v>15.04</v>
      </c>
      <c r="M14" s="54">
        <v>82.88</v>
      </c>
      <c r="N14" s="54">
        <v>62.5</v>
      </c>
      <c r="O14" s="54">
        <v>0</v>
      </c>
      <c r="P14" s="54">
        <v>0.76</v>
      </c>
      <c r="Q14" s="54">
        <v>8.73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46.80</v>
      </c>
      <c r="C15" s="54">
        <v>56.06</v>
      </c>
      <c r="D15" s="54">
        <v>69.11</v>
      </c>
      <c r="E15" s="54">
        <v>0.20</v>
      </c>
      <c r="F15" s="54">
        <v>3.28</v>
      </c>
      <c r="G15" s="54">
        <v>97.02</v>
      </c>
      <c r="H15" s="54">
        <v>36.96</v>
      </c>
      <c r="I15" s="54">
        <v>1.55</v>
      </c>
      <c r="J15" s="54">
        <v>0.17</v>
      </c>
      <c r="K15" s="54">
        <v>350.5</v>
      </c>
      <c r="L15" s="54">
        <v>14.26</v>
      </c>
      <c r="M15" s="54">
        <v>87.62</v>
      </c>
      <c r="N15" s="54">
        <v>85.40</v>
      </c>
      <c r="O15" s="54">
        <v>0</v>
      </c>
      <c r="P15" s="54">
        <v>0.85</v>
      </c>
      <c r="Q15" s="54">
        <v>9.73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55.69</v>
      </c>
      <c r="C16" s="54">
        <v>57.70</v>
      </c>
      <c r="D16" s="54">
        <v>77.150000000000006</v>
      </c>
      <c r="E16" s="54">
        <v>0.23</v>
      </c>
      <c r="F16" s="54">
        <v>3.25</v>
      </c>
      <c r="G16" s="54">
        <v>128.16999999999999</v>
      </c>
      <c r="H16" s="54">
        <v>45.32</v>
      </c>
      <c r="I16" s="54">
        <v>1.52</v>
      </c>
      <c r="J16" s="54">
        <v>0.64</v>
      </c>
      <c r="K16" s="54">
        <v>351.34</v>
      </c>
      <c r="L16" s="54">
        <v>19.46</v>
      </c>
      <c r="M16" s="54">
        <v>84.45</v>
      </c>
      <c r="N16" s="54">
        <v>265.60000000000002</v>
      </c>
      <c r="O16" s="54">
        <v>0</v>
      </c>
      <c r="P16" s="54">
        <v>1</v>
      </c>
      <c r="Q16" s="54">
        <v>10.77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56.71</v>
      </c>
      <c r="C17" s="54">
        <v>60.86</v>
      </c>
      <c r="D17" s="54">
        <v>78.03</v>
      </c>
      <c r="E17" s="54">
        <v>0.33</v>
      </c>
      <c r="F17" s="54">
        <v>3.30</v>
      </c>
      <c r="G17" s="54">
        <v>151.57</v>
      </c>
      <c r="H17" s="54">
        <v>52.33</v>
      </c>
      <c r="I17" s="54">
        <v>1.57</v>
      </c>
      <c r="J17" s="54">
        <v>0.51</v>
      </c>
      <c r="K17" s="54">
        <v>343.69</v>
      </c>
      <c r="L17" s="54">
        <v>23.89</v>
      </c>
      <c r="M17" s="54">
        <v>48.67</v>
      </c>
      <c r="N17" s="54">
        <v>502.60</v>
      </c>
      <c r="O17" s="54">
        <v>0</v>
      </c>
      <c r="P17" s="18" t="s">
        <v>12</v>
      </c>
      <c r="Q17" s="54">
        <v>10.84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50.06</v>
      </c>
      <c r="C18" s="54">
        <v>63.55</v>
      </c>
      <c r="D18" s="54">
        <v>75.12</v>
      </c>
      <c r="E18" s="54">
        <v>0.33</v>
      </c>
      <c r="F18" s="54">
        <v>3.28</v>
      </c>
      <c r="G18" s="54">
        <v>151.57</v>
      </c>
      <c r="H18" s="54">
        <v>52.33</v>
      </c>
      <c r="I18" s="54">
        <v>1.57</v>
      </c>
      <c r="J18" s="54">
        <v>1.05</v>
      </c>
      <c r="K18" s="54">
        <v>114.04</v>
      </c>
      <c r="L18" s="54">
        <v>23.11</v>
      </c>
      <c r="M18" s="54">
        <v>38.72</v>
      </c>
      <c r="N18" s="54">
        <v>704.70</v>
      </c>
      <c r="O18" s="54">
        <v>0</v>
      </c>
      <c r="P18" s="18" t="s">
        <v>12</v>
      </c>
      <c r="Q18" s="54">
        <v>10.54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34.26</v>
      </c>
      <c r="C19" s="54">
        <v>72.599999999999994</v>
      </c>
      <c r="D19" s="54">
        <v>63.18</v>
      </c>
      <c r="E19" s="54">
        <v>0.34</v>
      </c>
      <c r="F19" s="54">
        <v>4.3600000000000003</v>
      </c>
      <c r="G19" s="54">
        <v>111.26</v>
      </c>
      <c r="H19" s="54">
        <v>42.30</v>
      </c>
      <c r="I19" s="54">
        <v>1.58</v>
      </c>
      <c r="J19" s="54">
        <v>1.06</v>
      </c>
      <c r="K19" s="54">
        <v>110.18</v>
      </c>
      <c r="L19" s="54">
        <v>26.06</v>
      </c>
      <c r="M19" s="54">
        <v>35.06</v>
      </c>
      <c r="N19" s="54">
        <v>792.40</v>
      </c>
      <c r="O19" s="54">
        <v>0</v>
      </c>
      <c r="P19" s="54">
        <v>0.90</v>
      </c>
      <c r="Q19" s="54">
        <v>9.48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8.35</v>
      </c>
      <c r="C20" s="54">
        <v>73.70</v>
      </c>
      <c r="D20" s="54">
        <v>48.01</v>
      </c>
      <c r="E20" s="54">
        <v>0.30</v>
      </c>
      <c r="F20" s="54">
        <v>6.08</v>
      </c>
      <c r="G20" s="18" t="s">
        <v>12</v>
      </c>
      <c r="H20" s="18" t="s">
        <v>12</v>
      </c>
      <c r="I20" s="54">
        <v>1.51</v>
      </c>
      <c r="J20" s="54">
        <v>0.90</v>
      </c>
      <c r="K20" s="54">
        <v>350.22</v>
      </c>
      <c r="L20" s="54">
        <v>29.33</v>
      </c>
      <c r="M20" s="54">
        <v>27.38</v>
      </c>
      <c r="N20" s="54">
        <v>839.20</v>
      </c>
      <c r="O20" s="54">
        <v>0</v>
      </c>
      <c r="P20" s="54">
        <v>0.67</v>
      </c>
      <c r="Q20" s="54">
        <v>7.88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3.80</v>
      </c>
      <c r="C21" s="54">
        <v>69.099999999999994</v>
      </c>
      <c r="D21" s="54">
        <v>41.83</v>
      </c>
      <c r="E21" s="54">
        <v>0.37</v>
      </c>
      <c r="F21" s="54">
        <v>6.07</v>
      </c>
      <c r="G21" s="54">
        <v>38.51</v>
      </c>
      <c r="H21" s="54">
        <v>38.01</v>
      </c>
      <c r="I21" s="54">
        <v>1.60</v>
      </c>
      <c r="J21" s="54">
        <v>0.61</v>
      </c>
      <c r="K21" s="54">
        <v>322.63</v>
      </c>
      <c r="L21" s="54">
        <v>30.17</v>
      </c>
      <c r="M21" s="54">
        <v>23.87</v>
      </c>
      <c r="N21" s="54">
        <v>846.90</v>
      </c>
      <c r="O21" s="54">
        <v>0</v>
      </c>
      <c r="P21" s="54">
        <v>0.53</v>
      </c>
      <c r="Q21" s="54">
        <v>7.14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4.13</v>
      </c>
      <c r="C22" s="54">
        <v>66.13</v>
      </c>
      <c r="D22" s="54">
        <v>40.28</v>
      </c>
      <c r="E22" s="54">
        <v>0.37</v>
      </c>
      <c r="F22" s="54">
        <v>4.20</v>
      </c>
      <c r="G22" s="54">
        <v>48.24</v>
      </c>
      <c r="H22" s="54">
        <v>38.869999999999997</v>
      </c>
      <c r="I22" s="54">
        <v>1.57</v>
      </c>
      <c r="J22" s="54">
        <v>0.59</v>
      </c>
      <c r="K22" s="54">
        <v>349.79</v>
      </c>
      <c r="L22" s="54">
        <v>30</v>
      </c>
      <c r="M22" s="54">
        <v>25.77</v>
      </c>
      <c r="N22" s="54">
        <v>794.60</v>
      </c>
      <c r="O22" s="54">
        <v>0</v>
      </c>
      <c r="P22" s="54">
        <v>0.49</v>
      </c>
      <c r="Q22" s="54">
        <v>7.26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5.70</v>
      </c>
      <c r="C23" s="54">
        <v>63.5</v>
      </c>
      <c r="D23" s="54">
        <v>40.07</v>
      </c>
      <c r="E23" s="54">
        <v>0.42</v>
      </c>
      <c r="F23" s="54">
        <v>4.07</v>
      </c>
      <c r="G23" s="54">
        <v>56.44</v>
      </c>
      <c r="H23" s="54">
        <v>38.869999999999997</v>
      </c>
      <c r="I23" s="54">
        <v>1.53</v>
      </c>
      <c r="J23" s="54">
        <v>1.1100000000000001</v>
      </c>
      <c r="K23" s="54">
        <v>342.08</v>
      </c>
      <c r="L23" s="54">
        <v>29.20</v>
      </c>
      <c r="M23" s="54">
        <v>25.34</v>
      </c>
      <c r="N23" s="54">
        <v>596.29999999999995</v>
      </c>
      <c r="O23" s="54">
        <v>0</v>
      </c>
      <c r="P23" s="54">
        <v>0.49</v>
      </c>
      <c r="Q23" s="54">
        <v>7.49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10.54</v>
      </c>
      <c r="C24" s="54">
        <v>57.70</v>
      </c>
      <c r="D24" s="54">
        <v>40.61</v>
      </c>
      <c r="E24" s="54">
        <v>0.40</v>
      </c>
      <c r="F24" s="54">
        <v>5.19</v>
      </c>
      <c r="G24" s="54">
        <v>56.44</v>
      </c>
      <c r="H24" s="54">
        <v>37.89</v>
      </c>
      <c r="I24" s="54">
        <v>1.55</v>
      </c>
      <c r="J24" s="54">
        <v>0.82</v>
      </c>
      <c r="K24" s="54">
        <v>322.97000000000003</v>
      </c>
      <c r="L24" s="54">
        <v>28.60</v>
      </c>
      <c r="M24" s="54">
        <v>25.79</v>
      </c>
      <c r="N24" s="54">
        <v>288.39999999999998</v>
      </c>
      <c r="O24" s="54">
        <v>0</v>
      </c>
      <c r="P24" s="54">
        <v>0.48</v>
      </c>
      <c r="Q24" s="54">
        <v>7.64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6.91</v>
      </c>
      <c r="C25" s="54">
        <v>60.08</v>
      </c>
      <c r="D25" s="54">
        <v>38.94</v>
      </c>
      <c r="E25" s="54">
        <v>0.13</v>
      </c>
      <c r="F25" s="54">
        <v>4.34</v>
      </c>
      <c r="G25" s="54">
        <v>54.54</v>
      </c>
      <c r="H25" s="54">
        <v>30.60</v>
      </c>
      <c r="I25" s="54">
        <v>1.51</v>
      </c>
      <c r="J25" s="54">
        <v>1.1299999999999999</v>
      </c>
      <c r="K25" s="54">
        <v>338.36</v>
      </c>
      <c r="L25" s="54">
        <v>25.70</v>
      </c>
      <c r="M25" s="54">
        <v>28.09</v>
      </c>
      <c r="N25" s="54">
        <v>117.90</v>
      </c>
      <c r="O25" s="54">
        <v>0</v>
      </c>
      <c r="P25" s="54">
        <v>0.44</v>
      </c>
      <c r="Q25" s="54">
        <v>7.42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7.80</v>
      </c>
      <c r="C26" s="54">
        <v>63.5</v>
      </c>
      <c r="D26" s="54">
        <v>41.95</v>
      </c>
      <c r="E26" s="54">
        <v>0.08</v>
      </c>
      <c r="F26" s="54">
        <v>4.01</v>
      </c>
      <c r="G26" s="54">
        <v>49.75</v>
      </c>
      <c r="H26" s="54">
        <v>21.66</v>
      </c>
      <c r="I26" s="54">
        <v>1.51</v>
      </c>
      <c r="J26" s="54">
        <v>0.56999999999999995</v>
      </c>
      <c r="K26" s="54">
        <v>335.69</v>
      </c>
      <c r="L26" s="54">
        <v>24.30</v>
      </c>
      <c r="M26" s="54">
        <v>46.85</v>
      </c>
      <c r="N26" s="54">
        <v>84.70</v>
      </c>
      <c r="O26" s="54">
        <v>0</v>
      </c>
      <c r="P26" s="54">
        <v>0.49</v>
      </c>
      <c r="Q26" s="54">
        <v>7.54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19.95</v>
      </c>
      <c r="C27" s="54">
        <v>65.680000000000007</v>
      </c>
      <c r="D27" s="54">
        <v>52.89</v>
      </c>
      <c r="E27" s="54">
        <v>0.06</v>
      </c>
      <c r="F27" s="54">
        <v>3.42</v>
      </c>
      <c r="G27" s="54">
        <v>51.75</v>
      </c>
      <c r="H27" s="54">
        <v>21.27</v>
      </c>
      <c r="I27" s="54">
        <v>1.53</v>
      </c>
      <c r="J27" s="54">
        <v>0.04</v>
      </c>
      <c r="K27" s="54">
        <v>278.99</v>
      </c>
      <c r="L27" s="54">
        <v>21.5</v>
      </c>
      <c r="M27" s="54">
        <v>48.80</v>
      </c>
      <c r="N27" s="54">
        <v>59.5</v>
      </c>
      <c r="O27" s="54">
        <v>0</v>
      </c>
      <c r="P27" s="54">
        <v>0.72</v>
      </c>
      <c r="Q27" s="54">
        <v>8.1300000000000008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46.31</v>
      </c>
      <c r="C28" s="54">
        <v>67.180000000000007</v>
      </c>
      <c r="D28" s="54">
        <v>74.86</v>
      </c>
      <c r="E28" s="54">
        <v>0.14000000000000001</v>
      </c>
      <c r="F28" s="54">
        <v>3.23</v>
      </c>
      <c r="G28" s="54">
        <v>200.93</v>
      </c>
      <c r="H28" s="54">
        <v>27.93</v>
      </c>
      <c r="I28" s="54">
        <v>1.55</v>
      </c>
      <c r="J28" s="54">
        <v>0.08</v>
      </c>
      <c r="K28" s="54">
        <v>333.34</v>
      </c>
      <c r="L28" s="54">
        <v>19.12</v>
      </c>
      <c r="M28" s="54">
        <v>69.010000000000005</v>
      </c>
      <c r="N28" s="54">
        <v>59.20</v>
      </c>
      <c r="O28" s="54">
        <v>0</v>
      </c>
      <c r="P28" s="54">
        <v>1.04</v>
      </c>
      <c r="Q28" s="54">
        <v>10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77.790000000000006</v>
      </c>
      <c r="C29" s="54">
        <v>67.80</v>
      </c>
      <c r="D29" s="54">
        <v>100.44</v>
      </c>
      <c r="E29" s="54">
        <v>0.28999999999999998</v>
      </c>
      <c r="F29" s="54">
        <v>3.28</v>
      </c>
      <c r="G29" s="54">
        <v>200.93</v>
      </c>
      <c r="H29" s="54">
        <v>31.66</v>
      </c>
      <c r="I29" s="54">
        <v>1.57</v>
      </c>
      <c r="J29" s="54">
        <v>0.20</v>
      </c>
      <c r="K29" s="54">
        <v>335.05</v>
      </c>
      <c r="L29" s="54">
        <v>18.68</v>
      </c>
      <c r="M29" s="54">
        <v>72.209999999999994</v>
      </c>
      <c r="N29" s="54">
        <v>59.5</v>
      </c>
      <c r="O29" s="54">
        <v>0</v>
      </c>
      <c r="P29" s="54">
        <v>1.54</v>
      </c>
      <c r="Q29" s="54">
        <v>12.20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143.78</v>
      </c>
      <c r="C30" s="54">
        <v>69.98</v>
      </c>
      <c r="D30" s="54">
        <v>154.57</v>
      </c>
      <c r="E30" s="54">
        <v>0.43</v>
      </c>
      <c r="F30" s="54">
        <v>3.21</v>
      </c>
      <c r="G30" s="54">
        <v>211.82</v>
      </c>
      <c r="H30" s="54">
        <v>41.88</v>
      </c>
      <c r="I30" s="54">
        <v>1.55</v>
      </c>
      <c r="J30" s="54">
        <v>0.13</v>
      </c>
      <c r="K30" s="54">
        <v>328.70</v>
      </c>
      <c r="L30" s="54">
        <v>17.55</v>
      </c>
      <c r="M30" s="54">
        <v>74.52</v>
      </c>
      <c r="N30" s="54">
        <v>59.40</v>
      </c>
      <c r="O30" s="54">
        <v>0</v>
      </c>
      <c r="P30" s="54">
        <v>2.16</v>
      </c>
      <c r="Q30" s="54">
        <v>16.07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217.62</v>
      </c>
      <c r="C31" s="54">
        <v>71.11</v>
      </c>
      <c r="D31" s="54">
        <v>214.16</v>
      </c>
      <c r="E31" s="54">
        <v>0.61</v>
      </c>
      <c r="F31" s="54">
        <v>3.12</v>
      </c>
      <c r="G31" s="54">
        <v>235.72</v>
      </c>
      <c r="H31" s="54">
        <v>55.37</v>
      </c>
      <c r="I31" s="54">
        <v>1.56</v>
      </c>
      <c r="J31" s="54">
        <v>0.13</v>
      </c>
      <c r="K31" s="54">
        <v>297.99</v>
      </c>
      <c r="L31" s="54">
        <v>17.41</v>
      </c>
      <c r="M31" s="54">
        <v>82.01</v>
      </c>
      <c r="N31" s="54">
        <v>59.80</v>
      </c>
      <c r="O31" s="54">
        <v>0</v>
      </c>
      <c r="P31" s="54">
        <v>2.76</v>
      </c>
      <c r="Q31" s="54">
        <v>21.42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232.73</v>
      </c>
      <c r="C32" s="54">
        <v>70.27</v>
      </c>
      <c r="D32" s="54">
        <v>225.47</v>
      </c>
      <c r="E32" s="54">
        <v>0.69</v>
      </c>
      <c r="F32" s="54">
        <v>3.08</v>
      </c>
      <c r="G32" s="54">
        <v>235.72</v>
      </c>
      <c r="H32" s="54">
        <v>56.54</v>
      </c>
      <c r="I32" s="54">
        <v>1.58</v>
      </c>
      <c r="J32" s="54">
        <v>0.16</v>
      </c>
      <c r="K32" s="54">
        <v>306.82</v>
      </c>
      <c r="L32" s="54">
        <v>16.77</v>
      </c>
      <c r="M32" s="54">
        <v>79.33</v>
      </c>
      <c r="N32" s="54">
        <v>60</v>
      </c>
      <c r="O32" s="54">
        <v>0</v>
      </c>
      <c r="P32" s="54">
        <v>2.92</v>
      </c>
      <c r="Q32" s="54">
        <v>23.33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3.7999999999999998</v>
      </c>
      <c r="C34" s="28">
        <f t="shared" si="0"/>
        <v>54.240000000000002</v>
      </c>
      <c r="D34" s="28">
        <f t="shared" si="0"/>
        <v>38.939999999999998</v>
      </c>
      <c r="E34" s="28">
        <f t="shared" si="0"/>
        <v>0.059999999999999998</v>
      </c>
      <c r="F34" s="28">
        <f t="shared" si="0"/>
        <v>3.0699999999999998</v>
      </c>
      <c r="G34" s="28">
        <f t="shared" si="0"/>
        <v>38.509999999999998</v>
      </c>
      <c r="H34" s="28">
        <f t="shared" si="0"/>
        <v>21.27</v>
      </c>
      <c r="I34" s="28">
        <f t="shared" si="0"/>
        <v>1.51</v>
      </c>
      <c r="J34" s="28">
        <f t="shared" si="0"/>
        <v>0.040000000000000001</v>
      </c>
      <c r="K34" s="28">
        <f t="shared" si="0"/>
        <v>82.579999999999998</v>
      </c>
      <c r="L34" s="28">
        <f t="shared" si="0"/>
        <v>14.26</v>
      </c>
      <c r="M34" s="28">
        <f t="shared" si="0"/>
        <v>23.870000000000001</v>
      </c>
      <c r="N34" s="28">
        <f t="shared" si="0"/>
        <v>59.200000000000003</v>
      </c>
      <c r="O34" s="28">
        <f t="shared" si="0"/>
        <v>0</v>
      </c>
      <c r="P34" s="28">
        <f t="shared" si="0"/>
        <v>0.44</v>
      </c>
      <c r="Q34" s="28">
        <f t="shared" si="0"/>
        <v>7.1399999999999997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232.72999999999999</v>
      </c>
      <c r="C35" s="29">
        <f t="shared" si="1"/>
        <v>73.700000000000003</v>
      </c>
      <c r="D35" s="29">
        <f t="shared" si="1"/>
        <v>225.47</v>
      </c>
      <c r="E35" s="29">
        <f t="shared" si="1"/>
        <v>0.68999999999999995</v>
      </c>
      <c r="F35" s="29">
        <f t="shared" si="1"/>
        <v>6.0800000000000001</v>
      </c>
      <c r="G35" s="29">
        <f t="shared" si="1"/>
        <v>235.72</v>
      </c>
      <c r="H35" s="29">
        <f t="shared" si="1"/>
        <v>56.539999999999999</v>
      </c>
      <c r="I35" s="29">
        <f t="shared" si="1"/>
        <v>1.6000000000000001</v>
      </c>
      <c r="J35" s="29">
        <f t="shared" si="1"/>
        <v>1.1299999999999999</v>
      </c>
      <c r="K35" s="29">
        <f t="shared" si="1"/>
        <v>358.69</v>
      </c>
      <c r="L35" s="29">
        <f t="shared" si="1"/>
        <v>30.170000000000002</v>
      </c>
      <c r="M35" s="29">
        <f t="shared" si="1"/>
        <v>99.269999999999996</v>
      </c>
      <c r="N35" s="29">
        <f t="shared" si="1"/>
        <v>846.89999999999998</v>
      </c>
      <c r="O35" s="29">
        <f t="shared" si="1"/>
        <v>0</v>
      </c>
      <c r="P35" s="29">
        <f t="shared" si="1"/>
        <v>2.9199999999999999</v>
      </c>
      <c r="Q35" s="29">
        <f t="shared" si="1"/>
        <v>23.329999999999998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50.599583333333328</v>
      </c>
      <c r="C36" s="28">
        <f t="shared" si="2"/>
        <v>62.802916666666675</v>
      </c>
      <c r="D36" s="28">
        <f t="shared" si="2"/>
        <v>75.337500000000006</v>
      </c>
      <c r="E36" s="28">
        <f t="shared" si="2"/>
        <v>0.3183333333333333</v>
      </c>
      <c r="F36" s="28">
        <f t="shared" si="2"/>
        <v>3.7483333333333335</v>
      </c>
      <c r="G36" s="28">
        <f t="shared" si="2"/>
        <v>113.54043478260868</v>
      </c>
      <c r="H36" s="28">
        <f t="shared" si="2"/>
        <v>39.207391304347816</v>
      </c>
      <c r="I36" s="28">
        <f t="shared" si="2"/>
        <v>1.5445833333333336</v>
      </c>
      <c r="J36" s="28">
        <f t="shared" si="2"/>
        <v>0.47833333333333344</v>
      </c>
      <c r="K36" s="28">
        <f t="shared" si="2"/>
        <v>305.02958333333328</v>
      </c>
      <c r="L36" s="28">
        <f t="shared" si="2"/>
        <v>21.491666666666671</v>
      </c>
      <c r="M36" s="28">
        <f t="shared" si="2"/>
        <v>59.169999999999995</v>
      </c>
      <c r="N36" s="28">
        <f t="shared" si="2"/>
        <v>277.11249999999995</v>
      </c>
      <c r="O36" s="28">
        <f t="shared" si="2"/>
        <v>0</v>
      </c>
      <c r="P36" s="28">
        <f t="shared" si="2"/>
        <v>1.041818181818182</v>
      </c>
      <c r="Q36" s="28">
        <f t="shared" si="2"/>
        <v>10.398749999999998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61.774667136447135</v>
      </c>
      <c r="C37" s="28">
        <f t="shared" si="3" ref="C37:Q37">STDEV(C9:C32)</f>
        <v>6.4662686499729132</v>
      </c>
      <c r="D37" s="28">
        <f t="shared" si="3"/>
        <v>51.041836995870774</v>
      </c>
      <c r="E37" s="28">
        <f t="shared" si="3"/>
        <v>0.15167662015435765</v>
      </c>
      <c r="F37" s="28">
        <f t="shared" si="3"/>
        <v>0.89618838599281303</v>
      </c>
      <c r="G37" s="28">
        <f t="shared" si="3"/>
        <v>63.964308831940258</v>
      </c>
      <c r="H37" s="28">
        <f t="shared" si="3"/>
        <v>9.3639372145536992</v>
      </c>
      <c r="I37" s="28">
        <f t="shared" si="3"/>
        <v>0.025872457517039538</v>
      </c>
      <c r="J37" s="28">
        <f t="shared" si="3"/>
        <v>0.36941395028702756</v>
      </c>
      <c r="K37" s="28">
        <f t="shared" si="3"/>
        <v>80.808654857130591</v>
      </c>
      <c r="L37" s="28">
        <f t="shared" si="3"/>
        <v>5.2669112032754226</v>
      </c>
      <c r="M37" s="28">
        <f t="shared" si="3"/>
        <v>25.701022649252554</v>
      </c>
      <c r="N37" s="28">
        <f t="shared" si="3"/>
        <v>307.11396172940505</v>
      </c>
      <c r="O37" s="28">
        <f t="shared" si="3"/>
        <v>0</v>
      </c>
      <c r="P37" s="28">
        <f t="shared" si="3"/>
        <v>0.70084735355640226</v>
      </c>
      <c r="Q37" s="28">
        <f t="shared" si="3"/>
        <v>4.1856372560376611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6177aa-4745-4f50-ad94-f37ab25789e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226.53</v>
      </c>
      <c r="C9" s="54">
        <v>65.760000000000005</v>
      </c>
      <c r="D9" s="54">
        <v>218.60</v>
      </c>
      <c r="E9" s="54">
        <v>0.43</v>
      </c>
      <c r="F9" s="54">
        <v>3.07</v>
      </c>
      <c r="G9" s="54">
        <v>203.44</v>
      </c>
      <c r="H9" s="54">
        <v>56.54</v>
      </c>
      <c r="I9" s="54">
        <v>1.53</v>
      </c>
      <c r="J9" s="54">
        <v>0.12</v>
      </c>
      <c r="K9" s="54">
        <v>333.94</v>
      </c>
      <c r="L9" s="54">
        <v>15.61</v>
      </c>
      <c r="M9" s="54">
        <v>81.17</v>
      </c>
      <c r="N9" s="54">
        <v>60.10</v>
      </c>
      <c r="O9" s="54">
        <v>0</v>
      </c>
      <c r="P9" s="54">
        <v>2.82</v>
      </c>
      <c r="Q9" s="54">
        <v>23.08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196.70</v>
      </c>
      <c r="C10" s="54">
        <v>61.91</v>
      </c>
      <c r="D10" s="54">
        <v>192.55</v>
      </c>
      <c r="E10" s="54">
        <v>0.37</v>
      </c>
      <c r="F10" s="54">
        <v>3.07</v>
      </c>
      <c r="G10" s="54">
        <v>148.86000000000001</v>
      </c>
      <c r="H10" s="54">
        <v>52.70</v>
      </c>
      <c r="I10" s="54">
        <v>1.58</v>
      </c>
      <c r="J10" s="54">
        <v>0.10</v>
      </c>
      <c r="K10" s="54">
        <v>247.70</v>
      </c>
      <c r="L10" s="54">
        <v>15.60</v>
      </c>
      <c r="M10" s="54">
        <v>83.42</v>
      </c>
      <c r="N10" s="54">
        <v>60.10</v>
      </c>
      <c r="O10" s="54">
        <v>0</v>
      </c>
      <c r="P10" s="54">
        <v>2.23</v>
      </c>
      <c r="Q10" s="54">
        <v>21.12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172.62</v>
      </c>
      <c r="C11" s="54">
        <v>59.68</v>
      </c>
      <c r="D11" s="54">
        <v>172.01</v>
      </c>
      <c r="E11" s="54">
        <v>0.36</v>
      </c>
      <c r="F11" s="54">
        <v>3.11</v>
      </c>
      <c r="G11" s="54">
        <v>183</v>
      </c>
      <c r="H11" s="54">
        <v>59.48</v>
      </c>
      <c r="I11" s="54">
        <v>1.55</v>
      </c>
      <c r="J11" s="54">
        <v>0.16</v>
      </c>
      <c r="K11" s="54">
        <v>296.95</v>
      </c>
      <c r="L11" s="54">
        <v>14.56</v>
      </c>
      <c r="M11" s="54">
        <v>91.86</v>
      </c>
      <c r="N11" s="54">
        <v>59.80</v>
      </c>
      <c r="O11" s="54">
        <v>0</v>
      </c>
      <c r="P11" s="54">
        <v>2.16</v>
      </c>
      <c r="Q11" s="54">
        <v>19.16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161.53</v>
      </c>
      <c r="C12" s="54">
        <v>59.11</v>
      </c>
      <c r="D12" s="54">
        <v>162.80000000000001</v>
      </c>
      <c r="E12" s="54">
        <v>0.33</v>
      </c>
      <c r="F12" s="54">
        <v>3</v>
      </c>
      <c r="G12" s="54">
        <v>183</v>
      </c>
      <c r="H12" s="54">
        <v>60.09</v>
      </c>
      <c r="I12" s="54">
        <v>1.52</v>
      </c>
      <c r="J12" s="54">
        <v>0.11</v>
      </c>
      <c r="K12" s="54">
        <v>292.02</v>
      </c>
      <c r="L12" s="54">
        <v>14.38</v>
      </c>
      <c r="M12" s="54">
        <v>92.53</v>
      </c>
      <c r="N12" s="54">
        <v>59.40</v>
      </c>
      <c r="O12" s="54">
        <v>0</v>
      </c>
      <c r="P12" s="54">
        <v>2.12</v>
      </c>
      <c r="Q12" s="54">
        <v>18.5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157.11000000000001</v>
      </c>
      <c r="C13" s="54">
        <v>57.88</v>
      </c>
      <c r="D13" s="54">
        <v>158.58000000000001</v>
      </c>
      <c r="E13" s="54">
        <v>0.52</v>
      </c>
      <c r="F13" s="54">
        <v>3.36</v>
      </c>
      <c r="G13" s="54">
        <v>166.28</v>
      </c>
      <c r="H13" s="54">
        <v>60.09</v>
      </c>
      <c r="I13" s="54">
        <v>1.56</v>
      </c>
      <c r="J13" s="54">
        <v>0.16</v>
      </c>
      <c r="K13" s="54">
        <v>310.64999999999998</v>
      </c>
      <c r="L13" s="54">
        <v>14.49</v>
      </c>
      <c r="M13" s="54">
        <v>83.45</v>
      </c>
      <c r="N13" s="54">
        <v>59.70</v>
      </c>
      <c r="O13" s="54">
        <v>0</v>
      </c>
      <c r="P13" s="54">
        <v>2</v>
      </c>
      <c r="Q13" s="54">
        <v>18.21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138.71</v>
      </c>
      <c r="C14" s="54">
        <v>57.27</v>
      </c>
      <c r="D14" s="54">
        <v>143.47999999999999</v>
      </c>
      <c r="E14" s="54">
        <v>0.49</v>
      </c>
      <c r="F14" s="54">
        <v>3.06</v>
      </c>
      <c r="G14" s="54">
        <v>163.56</v>
      </c>
      <c r="H14" s="54">
        <v>58.05</v>
      </c>
      <c r="I14" s="54">
        <v>1.63</v>
      </c>
      <c r="J14" s="54">
        <v>0.18</v>
      </c>
      <c r="K14" s="54">
        <v>299.67</v>
      </c>
      <c r="L14" s="54">
        <v>13.78</v>
      </c>
      <c r="M14" s="54">
        <v>92.74</v>
      </c>
      <c r="N14" s="54">
        <v>59.70</v>
      </c>
      <c r="O14" s="54">
        <v>0</v>
      </c>
      <c r="P14" s="54">
        <v>1.81</v>
      </c>
      <c r="Q14" s="54">
        <v>14.21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148.04</v>
      </c>
      <c r="C15" s="54">
        <v>55.44</v>
      </c>
      <c r="D15" s="54">
        <v>149.96</v>
      </c>
      <c r="E15" s="54">
        <v>0.46</v>
      </c>
      <c r="F15" s="54">
        <v>3.20</v>
      </c>
      <c r="G15" s="54">
        <v>133.62</v>
      </c>
      <c r="H15" s="54">
        <v>51.65</v>
      </c>
      <c r="I15" s="54">
        <v>1.57</v>
      </c>
      <c r="J15" s="54">
        <v>0.12</v>
      </c>
      <c r="K15" s="54">
        <v>294.83</v>
      </c>
      <c r="L15" s="54">
        <v>13.82</v>
      </c>
      <c r="M15" s="54">
        <v>96.51</v>
      </c>
      <c r="N15" s="54">
        <v>82</v>
      </c>
      <c r="O15" s="54">
        <v>0</v>
      </c>
      <c r="P15" s="54">
        <v>1.61</v>
      </c>
      <c r="Q15" s="54">
        <v>16.75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157.55000000000001</v>
      </c>
      <c r="C16" s="54">
        <v>56.88</v>
      </c>
      <c r="D16" s="54">
        <v>158.09</v>
      </c>
      <c r="E16" s="54">
        <v>0.44</v>
      </c>
      <c r="F16" s="54">
        <v>3.21</v>
      </c>
      <c r="G16" s="54">
        <v>139.02000000000001</v>
      </c>
      <c r="H16" s="54">
        <v>51.65</v>
      </c>
      <c r="I16" s="54">
        <v>1.5</v>
      </c>
      <c r="J16" s="54">
        <v>0.11</v>
      </c>
      <c r="K16" s="54">
        <v>288.35000000000002</v>
      </c>
      <c r="L16" s="54">
        <v>19.22</v>
      </c>
      <c r="M16" s="54">
        <v>92.87</v>
      </c>
      <c r="N16" s="54">
        <v>276.30</v>
      </c>
      <c r="O16" s="54">
        <v>0</v>
      </c>
      <c r="P16" s="54">
        <v>1.61</v>
      </c>
      <c r="Q16" s="54">
        <v>17.59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150.44</v>
      </c>
      <c r="C17" s="54">
        <v>63.98</v>
      </c>
      <c r="D17" s="54">
        <v>153.28</v>
      </c>
      <c r="E17" s="54">
        <v>0.55000000000000004</v>
      </c>
      <c r="F17" s="54">
        <v>3.35</v>
      </c>
      <c r="G17" s="54">
        <v>150.31</v>
      </c>
      <c r="H17" s="54">
        <v>51.61</v>
      </c>
      <c r="I17" s="54">
        <v>1.60</v>
      </c>
      <c r="J17" s="54">
        <v>0.81</v>
      </c>
      <c r="K17" s="54">
        <v>351.60</v>
      </c>
      <c r="L17" s="54">
        <v>22.63</v>
      </c>
      <c r="M17" s="54">
        <v>57.89</v>
      </c>
      <c r="N17" s="54">
        <v>488.70</v>
      </c>
      <c r="O17" s="54">
        <v>0</v>
      </c>
      <c r="P17" s="54">
        <v>1.57</v>
      </c>
      <c r="Q17" s="54">
        <v>17.41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123.5</v>
      </c>
      <c r="C18" s="54">
        <v>71.260000000000005</v>
      </c>
      <c r="D18" s="54">
        <v>136.11000000000001</v>
      </c>
      <c r="E18" s="54">
        <v>0.47</v>
      </c>
      <c r="F18" s="54">
        <v>3.49</v>
      </c>
      <c r="G18" s="54">
        <v>150.31</v>
      </c>
      <c r="H18" s="54">
        <v>50.99</v>
      </c>
      <c r="I18" s="54">
        <v>1.55</v>
      </c>
      <c r="J18" s="54">
        <v>0.62</v>
      </c>
      <c r="K18" s="54">
        <v>155.93</v>
      </c>
      <c r="L18" s="54">
        <v>25.22</v>
      </c>
      <c r="M18" s="54">
        <v>50.40</v>
      </c>
      <c r="N18" s="54">
        <v>684.90</v>
      </c>
      <c r="O18" s="54">
        <v>0</v>
      </c>
      <c r="P18" s="54">
        <v>1.5</v>
      </c>
      <c r="Q18" s="54">
        <v>16.170000000000002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88.20</v>
      </c>
      <c r="C19" s="54">
        <v>73.400000000000006</v>
      </c>
      <c r="D19" s="54">
        <v>111.45</v>
      </c>
      <c r="E19" s="54">
        <v>0.41</v>
      </c>
      <c r="F19" s="54">
        <v>3.18</v>
      </c>
      <c r="G19" s="54">
        <v>117.67</v>
      </c>
      <c r="H19" s="54">
        <v>48.52</v>
      </c>
      <c r="I19" s="54">
        <v>1.56</v>
      </c>
      <c r="J19" s="54">
        <v>0.53</v>
      </c>
      <c r="K19" s="54">
        <v>334.30</v>
      </c>
      <c r="L19" s="54">
        <v>27.97</v>
      </c>
      <c r="M19" s="54">
        <v>34.67</v>
      </c>
      <c r="N19" s="54">
        <v>789.80</v>
      </c>
      <c r="O19" s="54">
        <v>0</v>
      </c>
      <c r="P19" s="54">
        <v>1.29</v>
      </c>
      <c r="Q19" s="54">
        <v>14.20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62.53</v>
      </c>
      <c r="C20" s="54">
        <v>74.849999999999994</v>
      </c>
      <c r="D20" s="54">
        <v>91.72</v>
      </c>
      <c r="E20" s="54">
        <v>0.37</v>
      </c>
      <c r="F20" s="54">
        <v>3.36</v>
      </c>
      <c r="G20" s="54">
        <v>78.56</v>
      </c>
      <c r="H20" s="54">
        <v>40.54</v>
      </c>
      <c r="I20" s="54">
        <v>1.53</v>
      </c>
      <c r="J20" s="54">
        <v>0.64</v>
      </c>
      <c r="K20" s="54">
        <v>349.74</v>
      </c>
      <c r="L20" s="54">
        <v>29.31</v>
      </c>
      <c r="M20" s="54">
        <v>30.02</v>
      </c>
      <c r="N20" s="54">
        <v>838</v>
      </c>
      <c r="O20" s="54">
        <v>0</v>
      </c>
      <c r="P20" s="54">
        <v>1.1000000000000001</v>
      </c>
      <c r="Q20" s="54">
        <v>12.33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39.840000000000003</v>
      </c>
      <c r="C21" s="54">
        <v>76.03</v>
      </c>
      <c r="D21" s="54">
        <v>73.91</v>
      </c>
      <c r="E21" s="54">
        <v>0.17</v>
      </c>
      <c r="F21" s="54">
        <v>3.39</v>
      </c>
      <c r="G21" s="54">
        <v>49.5</v>
      </c>
      <c r="H21" s="54">
        <v>35.74</v>
      </c>
      <c r="I21" s="54">
        <v>1.52</v>
      </c>
      <c r="J21" s="54">
        <v>0.69</v>
      </c>
      <c r="K21" s="54">
        <v>341.49</v>
      </c>
      <c r="L21" s="54">
        <v>31.42</v>
      </c>
      <c r="M21" s="54">
        <v>23.42</v>
      </c>
      <c r="N21" s="54">
        <v>840</v>
      </c>
      <c r="O21" s="54">
        <v>0</v>
      </c>
      <c r="P21" s="54">
        <v>0.93</v>
      </c>
      <c r="Q21" s="54">
        <v>10.67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19.46</v>
      </c>
      <c r="C22" s="54">
        <v>77.05</v>
      </c>
      <c r="D22" s="54">
        <v>58.73</v>
      </c>
      <c r="E22" s="54">
        <v>0.08</v>
      </c>
      <c r="F22" s="54">
        <v>3.71</v>
      </c>
      <c r="G22" s="54">
        <v>48.24</v>
      </c>
      <c r="H22" s="54">
        <v>35.74</v>
      </c>
      <c r="I22" s="54">
        <v>1.57</v>
      </c>
      <c r="J22" s="54">
        <v>0.79</v>
      </c>
      <c r="K22" s="54">
        <v>350.71</v>
      </c>
      <c r="L22" s="54">
        <v>31.44</v>
      </c>
      <c r="M22" s="54">
        <v>20.94</v>
      </c>
      <c r="N22" s="54">
        <v>771.20</v>
      </c>
      <c r="O22" s="54">
        <v>0</v>
      </c>
      <c r="P22" s="54">
        <v>0.82</v>
      </c>
      <c r="Q22" s="54">
        <v>9.07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7.67</v>
      </c>
      <c r="C23" s="54">
        <v>73.56</v>
      </c>
      <c r="D23" s="54">
        <v>47.39</v>
      </c>
      <c r="E23" s="54">
        <v>0.04</v>
      </c>
      <c r="F23" s="54">
        <v>4.2699999999999996</v>
      </c>
      <c r="G23" s="54">
        <v>35.200000000000003</v>
      </c>
      <c r="H23" s="54">
        <v>27.60</v>
      </c>
      <c r="I23" s="54">
        <v>1.51</v>
      </c>
      <c r="J23" s="54">
        <v>0.41</v>
      </c>
      <c r="K23" s="54">
        <v>355.87</v>
      </c>
      <c r="L23" s="54">
        <v>29.92</v>
      </c>
      <c r="M23" s="54">
        <v>22.22</v>
      </c>
      <c r="N23" s="54">
        <v>672.90</v>
      </c>
      <c r="O23" s="54">
        <v>0</v>
      </c>
      <c r="P23" s="54">
        <v>0.72</v>
      </c>
      <c r="Q23" s="54">
        <v>7.47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2.95</v>
      </c>
      <c r="C24" s="54">
        <v>65.78</v>
      </c>
      <c r="D24" s="54">
        <v>39.32</v>
      </c>
      <c r="E24" s="54">
        <v>0.05</v>
      </c>
      <c r="F24" s="54">
        <v>4.88</v>
      </c>
      <c r="G24" s="54">
        <v>37.090000000000003</v>
      </c>
      <c r="H24" s="54">
        <v>23.93</v>
      </c>
      <c r="I24" s="54">
        <v>1.5</v>
      </c>
      <c r="J24" s="54">
        <v>0.59</v>
      </c>
      <c r="K24" s="54">
        <v>178.80</v>
      </c>
      <c r="L24" s="54">
        <v>28.08</v>
      </c>
      <c r="M24" s="54">
        <v>23.44</v>
      </c>
      <c r="N24" s="54">
        <v>302.10000000000002</v>
      </c>
      <c r="O24" s="54">
        <v>0</v>
      </c>
      <c r="P24" s="54">
        <v>0.61</v>
      </c>
      <c r="Q24" s="54">
        <v>4.84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2.75</v>
      </c>
      <c r="C25" s="54">
        <v>56.15</v>
      </c>
      <c r="D25" s="54">
        <v>33.49</v>
      </c>
      <c r="E25" s="54">
        <v>0.17</v>
      </c>
      <c r="F25" s="54">
        <v>4.5</v>
      </c>
      <c r="G25" s="54">
        <v>37.090000000000003</v>
      </c>
      <c r="H25" s="54">
        <v>21.35</v>
      </c>
      <c r="I25" s="54">
        <v>1.53</v>
      </c>
      <c r="J25" s="54">
        <v>0.11</v>
      </c>
      <c r="K25" s="54">
        <v>218.87</v>
      </c>
      <c r="L25" s="54">
        <v>26.31</v>
      </c>
      <c r="M25" s="54">
        <v>25.59</v>
      </c>
      <c r="N25" s="54">
        <v>131.80000000000001</v>
      </c>
      <c r="O25" s="54">
        <v>0</v>
      </c>
      <c r="P25" s="54">
        <v>0.5</v>
      </c>
      <c r="Q25" s="54">
        <v>12.02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4.3600000000000003</v>
      </c>
      <c r="C26" s="54">
        <v>54.56</v>
      </c>
      <c r="D26" s="54">
        <v>34.25</v>
      </c>
      <c r="E26" s="54">
        <v>0.20</v>
      </c>
      <c r="F26" s="54">
        <v>4.08</v>
      </c>
      <c r="G26" s="54">
        <v>48.42</v>
      </c>
      <c r="H26" s="54">
        <v>21.39</v>
      </c>
      <c r="I26" s="54">
        <v>1.48</v>
      </c>
      <c r="J26" s="54">
        <v>0.12</v>
      </c>
      <c r="K26" s="54">
        <v>231.88</v>
      </c>
      <c r="L26" s="54">
        <v>25.37</v>
      </c>
      <c r="M26" s="54">
        <v>47.02</v>
      </c>
      <c r="N26" s="54">
        <v>91.60</v>
      </c>
      <c r="O26" s="54">
        <v>0</v>
      </c>
      <c r="P26" s="54">
        <v>0.53</v>
      </c>
      <c r="Q26" s="54">
        <v>12.31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20.61</v>
      </c>
      <c r="C27" s="54">
        <v>60.94</v>
      </c>
      <c r="D27" s="54">
        <v>50.80</v>
      </c>
      <c r="E27" s="54">
        <v>0.23</v>
      </c>
      <c r="F27" s="54">
        <v>3.27</v>
      </c>
      <c r="G27" s="54">
        <v>72.75</v>
      </c>
      <c r="H27" s="54">
        <v>24.71</v>
      </c>
      <c r="I27" s="54">
        <v>1.49</v>
      </c>
      <c r="J27" s="54">
        <v>0.05</v>
      </c>
      <c r="K27" s="54">
        <v>306.58</v>
      </c>
      <c r="L27" s="54">
        <v>22.04</v>
      </c>
      <c r="M27" s="54">
        <v>59.12</v>
      </c>
      <c r="N27" s="54">
        <v>64.80</v>
      </c>
      <c r="O27" s="54">
        <v>0</v>
      </c>
      <c r="P27" s="54">
        <v>0.81</v>
      </c>
      <c r="Q27" s="54">
        <v>11.87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48.31</v>
      </c>
      <c r="C28" s="54">
        <v>69.430000000000007</v>
      </c>
      <c r="D28" s="54">
        <v>77.70</v>
      </c>
      <c r="E28" s="54">
        <v>0.25</v>
      </c>
      <c r="F28" s="54">
        <v>3.24</v>
      </c>
      <c r="G28" s="54">
        <v>170.05</v>
      </c>
      <c r="H28" s="54">
        <v>31.32</v>
      </c>
      <c r="I28" s="54">
        <v>1.58</v>
      </c>
      <c r="J28" s="54">
        <v>0.11</v>
      </c>
      <c r="K28" s="54">
        <v>275.04000000000002</v>
      </c>
      <c r="L28" s="54">
        <v>21.03</v>
      </c>
      <c r="M28" s="54">
        <v>52.70</v>
      </c>
      <c r="N28" s="54">
        <v>64.30</v>
      </c>
      <c r="O28" s="54">
        <v>0</v>
      </c>
      <c r="P28" s="54">
        <v>0.99</v>
      </c>
      <c r="Q28" s="54">
        <v>13.79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63.34</v>
      </c>
      <c r="C29" s="54">
        <v>72.41</v>
      </c>
      <c r="D29" s="54">
        <v>91.40</v>
      </c>
      <c r="E29" s="54">
        <v>0.23</v>
      </c>
      <c r="F29" s="54">
        <v>3.05</v>
      </c>
      <c r="G29" s="54">
        <v>170.05</v>
      </c>
      <c r="H29" s="54">
        <v>31.32</v>
      </c>
      <c r="I29" s="54">
        <v>1.51</v>
      </c>
      <c r="J29" s="54">
        <v>0.11</v>
      </c>
      <c r="K29" s="54">
        <v>328.32</v>
      </c>
      <c r="L29" s="54">
        <v>20.010000000000002</v>
      </c>
      <c r="M29" s="54">
        <v>56.57</v>
      </c>
      <c r="N29" s="54">
        <v>64.400000000000006</v>
      </c>
      <c r="O29" s="54">
        <v>0</v>
      </c>
      <c r="P29" s="54">
        <v>1.22</v>
      </c>
      <c r="Q29" s="54">
        <v>13.94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101.07</v>
      </c>
      <c r="C30" s="54">
        <v>76.05</v>
      </c>
      <c r="D30" s="54">
        <v>123.67</v>
      </c>
      <c r="E30" s="54">
        <v>0.37</v>
      </c>
      <c r="F30" s="54">
        <v>3.36</v>
      </c>
      <c r="G30" s="54">
        <v>139.54</v>
      </c>
      <c r="H30" s="54">
        <v>36.08</v>
      </c>
      <c r="I30" s="54">
        <v>1.51</v>
      </c>
      <c r="J30" s="54">
        <v>0.11</v>
      </c>
      <c r="K30" s="54">
        <v>278.55</v>
      </c>
      <c r="L30" s="54">
        <v>19.149999999999999</v>
      </c>
      <c r="M30" s="54">
        <v>59.20</v>
      </c>
      <c r="N30" s="54">
        <v>64.400000000000006</v>
      </c>
      <c r="O30" s="54">
        <v>0</v>
      </c>
      <c r="P30" s="54">
        <v>1.55</v>
      </c>
      <c r="Q30" s="54">
        <v>15.87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112.24</v>
      </c>
      <c r="C31" s="54">
        <v>76.48</v>
      </c>
      <c r="D31" s="54">
        <v>132.72</v>
      </c>
      <c r="E31" s="54">
        <v>0.36</v>
      </c>
      <c r="F31" s="54">
        <v>3.12</v>
      </c>
      <c r="G31" s="54">
        <v>139.54</v>
      </c>
      <c r="H31" s="54">
        <v>38.92</v>
      </c>
      <c r="I31" s="54">
        <v>1.52</v>
      </c>
      <c r="J31" s="54">
        <v>0.19</v>
      </c>
      <c r="K31" s="54">
        <v>320.73</v>
      </c>
      <c r="L31" s="54">
        <v>18.41</v>
      </c>
      <c r="M31" s="54">
        <v>61.66</v>
      </c>
      <c r="N31" s="54">
        <v>64.599999999999994</v>
      </c>
      <c r="O31" s="54">
        <v>0</v>
      </c>
      <c r="P31" s="54">
        <v>1.64</v>
      </c>
      <c r="Q31" s="54">
        <v>16.63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108.68</v>
      </c>
      <c r="C32" s="54">
        <v>74.75</v>
      </c>
      <c r="D32" s="54">
        <v>129.05000000000001</v>
      </c>
      <c r="E32" s="54">
        <v>0.37</v>
      </c>
      <c r="F32" s="54">
        <v>3.28</v>
      </c>
      <c r="G32" s="54">
        <v>121.26</v>
      </c>
      <c r="H32" s="54">
        <v>38.92</v>
      </c>
      <c r="I32" s="54">
        <v>1.54</v>
      </c>
      <c r="J32" s="54">
        <v>0.28999999999999998</v>
      </c>
      <c r="K32" s="54">
        <v>328.96</v>
      </c>
      <c r="L32" s="54">
        <v>18.03</v>
      </c>
      <c r="M32" s="54">
        <v>65.13</v>
      </c>
      <c r="N32" s="54">
        <v>64.80</v>
      </c>
      <c r="O32" s="54">
        <v>0</v>
      </c>
      <c r="P32" s="54">
        <v>1.56</v>
      </c>
      <c r="Q32" s="54">
        <v>16.45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2.75</v>
      </c>
      <c r="C34" s="28">
        <f t="shared" si="0"/>
        <v>54.560000000000002</v>
      </c>
      <c r="D34" s="28">
        <f t="shared" si="0"/>
        <v>33.490000000000002</v>
      </c>
      <c r="E34" s="28">
        <f t="shared" si="0"/>
        <v>0.040000000000000001</v>
      </c>
      <c r="F34" s="28">
        <f t="shared" si="0"/>
        <v>3</v>
      </c>
      <c r="G34" s="28">
        <f t="shared" si="0"/>
        <v>35.200000000000003</v>
      </c>
      <c r="H34" s="28">
        <f t="shared" si="0"/>
        <v>21.350000000000001</v>
      </c>
      <c r="I34" s="28">
        <f t="shared" si="0"/>
        <v>1.48</v>
      </c>
      <c r="J34" s="28">
        <f t="shared" si="0"/>
        <v>0.050000000000000003</v>
      </c>
      <c r="K34" s="28">
        <f t="shared" si="0"/>
        <v>155.93000000000001</v>
      </c>
      <c r="L34" s="28">
        <f t="shared" si="0"/>
        <v>13.779999999999999</v>
      </c>
      <c r="M34" s="28">
        <f t="shared" si="0"/>
        <v>20.940000000000001</v>
      </c>
      <c r="N34" s="28">
        <f t="shared" si="0"/>
        <v>59.399999999999999</v>
      </c>
      <c r="O34" s="28">
        <f t="shared" si="0"/>
        <v>0</v>
      </c>
      <c r="P34" s="28">
        <f t="shared" si="0"/>
        <v>0.5</v>
      </c>
      <c r="Q34" s="28">
        <f t="shared" si="0"/>
        <v>4.8399999999999999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226.53</v>
      </c>
      <c r="C35" s="29">
        <f t="shared" si="1"/>
        <v>77.049999999999997</v>
      </c>
      <c r="D35" s="29">
        <f t="shared" si="1"/>
        <v>218.59999999999999</v>
      </c>
      <c r="E35" s="29">
        <f t="shared" si="1"/>
        <v>0.55000000000000004</v>
      </c>
      <c r="F35" s="29">
        <f t="shared" si="1"/>
        <v>4.8799999999999999</v>
      </c>
      <c r="G35" s="29">
        <f t="shared" si="1"/>
        <v>203.44</v>
      </c>
      <c r="H35" s="29">
        <f t="shared" si="1"/>
        <v>60.090000000000003</v>
      </c>
      <c r="I35" s="29">
        <f t="shared" si="1"/>
        <v>1.6299999999999999</v>
      </c>
      <c r="J35" s="29">
        <f t="shared" si="1"/>
        <v>0.81000000000000005</v>
      </c>
      <c r="K35" s="29">
        <f t="shared" si="1"/>
        <v>355.87</v>
      </c>
      <c r="L35" s="29">
        <f t="shared" si="1"/>
        <v>31.440000000000001</v>
      </c>
      <c r="M35" s="29">
        <f t="shared" si="1"/>
        <v>96.510000000000005</v>
      </c>
      <c r="N35" s="29">
        <f t="shared" si="1"/>
        <v>840</v>
      </c>
      <c r="O35" s="29">
        <f t="shared" si="1"/>
        <v>0</v>
      </c>
      <c r="P35" s="29">
        <f t="shared" si="1"/>
        <v>2.8199999999999998</v>
      </c>
      <c r="Q35" s="29">
        <f t="shared" si="1"/>
        <v>23.079999999999998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96.447499999999977</v>
      </c>
      <c r="C36" s="28">
        <f t="shared" si="2"/>
        <v>66.275416666666672</v>
      </c>
      <c r="D36" s="28">
        <f t="shared" si="2"/>
        <v>114.21083333333335</v>
      </c>
      <c r="E36" s="28">
        <f t="shared" si="2"/>
        <v>0.32166666666666671</v>
      </c>
      <c r="F36" s="28">
        <f t="shared" si="2"/>
        <v>3.4420833333333332</v>
      </c>
      <c r="G36" s="28">
        <f t="shared" si="2"/>
        <v>120.265</v>
      </c>
      <c r="H36" s="28">
        <f t="shared" si="2"/>
        <v>42.03875</v>
      </c>
      <c r="I36" s="28">
        <f t="shared" si="2"/>
        <v>1.5391666666666668</v>
      </c>
      <c r="J36" s="28">
        <f t="shared" si="2"/>
        <v>0.30125000000000007</v>
      </c>
      <c r="K36" s="28">
        <f t="shared" si="2"/>
        <v>294.64499999999992</v>
      </c>
      <c r="L36" s="28">
        <f t="shared" si="2"/>
        <v>21.575000000000003</v>
      </c>
      <c r="M36" s="28">
        <f t="shared" si="2"/>
        <v>58.522500000000001</v>
      </c>
      <c r="N36" s="28">
        <f t="shared" si="2"/>
        <v>279.80833333333334</v>
      </c>
      <c r="O36" s="28">
        <f t="shared" si="2"/>
        <v>0</v>
      </c>
      <c r="P36" s="28">
        <f t="shared" si="2"/>
        <v>1.4041666666666666</v>
      </c>
      <c r="Q36" s="28">
        <f t="shared" si="2"/>
        <v>14.735833333333332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67.994854105164578</v>
      </c>
      <c r="C37" s="28">
        <f t="shared" si="3" ref="C37:Q37">STDEV(C9:C32)</f>
        <v>8.0154714413773984</v>
      </c>
      <c r="D37" s="28">
        <f t="shared" si="3"/>
        <v>53.363397968585353</v>
      </c>
      <c r="E37" s="28">
        <f t="shared" si="3"/>
        <v>0.14760896245520258</v>
      </c>
      <c r="F37" s="28">
        <f t="shared" si="3"/>
        <v>0.49557151167960184</v>
      </c>
      <c r="G37" s="28">
        <f t="shared" si="3"/>
        <v>54.401293862490419</v>
      </c>
      <c r="H37" s="28">
        <f t="shared" si="3"/>
        <v>13.174607761672206</v>
      </c>
      <c r="I37" s="28">
        <f t="shared" si="3"/>
        <v>0.036821150191829646</v>
      </c>
      <c r="J37" s="28">
        <f t="shared" si="3"/>
        <v>0.25550142516406738</v>
      </c>
      <c r="K37" s="28">
        <f t="shared" si="3"/>
        <v>54.029101256718377</v>
      </c>
      <c r="L37" s="28">
        <f t="shared" si="3"/>
        <v>6.0378393774450414</v>
      </c>
      <c r="M37" s="28">
        <f t="shared" si="3"/>
        <v>26.181303028322912</v>
      </c>
      <c r="N37" s="28">
        <f t="shared" si="3"/>
        <v>306.06987397263259</v>
      </c>
      <c r="O37" s="28">
        <f t="shared" si="3"/>
        <v>0</v>
      </c>
      <c r="P37" s="28">
        <f t="shared" si="3"/>
        <v>0.60516556603861871</v>
      </c>
      <c r="Q37" s="28">
        <f t="shared" si="3"/>
        <v>4.2432759254743413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ca170c-fe6f-4a5d-aa8b-a0d78ecfab1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101.36</v>
      </c>
      <c r="C9" s="54">
        <v>70.680000000000007</v>
      </c>
      <c r="D9" s="54">
        <v>120.94</v>
      </c>
      <c r="E9" s="54">
        <v>0.24</v>
      </c>
      <c r="F9" s="54">
        <v>3.26</v>
      </c>
      <c r="G9" s="54">
        <v>91.14</v>
      </c>
      <c r="H9" s="54">
        <v>35.51</v>
      </c>
      <c r="I9" s="54">
        <v>1.52</v>
      </c>
      <c r="J9" s="54">
        <v>0.38</v>
      </c>
      <c r="K9" s="54">
        <v>308.56</v>
      </c>
      <c r="L9" s="54">
        <v>18.12</v>
      </c>
      <c r="M9" s="54">
        <v>67.05</v>
      </c>
      <c r="N9" s="54">
        <v>64.400000000000006</v>
      </c>
      <c r="O9" s="54">
        <v>0</v>
      </c>
      <c r="P9" s="54">
        <v>1.5</v>
      </c>
      <c r="Q9" s="54">
        <v>15.71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83.30</v>
      </c>
      <c r="C10" s="54">
        <v>66.80</v>
      </c>
      <c r="D10" s="54">
        <v>104.31</v>
      </c>
      <c r="E10" s="54">
        <v>0.23</v>
      </c>
      <c r="F10" s="54">
        <v>3.19</v>
      </c>
      <c r="G10" s="54">
        <v>91.14</v>
      </c>
      <c r="H10" s="54">
        <v>31.96</v>
      </c>
      <c r="I10" s="54">
        <v>1.54</v>
      </c>
      <c r="J10" s="54">
        <v>0.12</v>
      </c>
      <c r="K10" s="54">
        <v>332.91</v>
      </c>
      <c r="L10" s="54">
        <v>17.68</v>
      </c>
      <c r="M10" s="54">
        <v>80.53</v>
      </c>
      <c r="N10" s="54">
        <v>65</v>
      </c>
      <c r="O10" s="54">
        <v>0</v>
      </c>
      <c r="P10" s="54">
        <v>1.22</v>
      </c>
      <c r="Q10" s="54">
        <v>14.39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66.180000000000007</v>
      </c>
      <c r="C11" s="54">
        <v>62.25</v>
      </c>
      <c r="D11" s="54">
        <v>88.08</v>
      </c>
      <c r="E11" s="54">
        <v>0.19</v>
      </c>
      <c r="F11" s="54">
        <v>3.17</v>
      </c>
      <c r="G11" s="54">
        <v>55.97</v>
      </c>
      <c r="H11" s="54">
        <v>30.76</v>
      </c>
      <c r="I11" s="54">
        <v>1.58</v>
      </c>
      <c r="J11" s="54">
        <v>0.14000000000000001</v>
      </c>
      <c r="K11" s="54">
        <v>282.95</v>
      </c>
      <c r="L11" s="54">
        <v>16.55</v>
      </c>
      <c r="M11" s="54">
        <v>79.34</v>
      </c>
      <c r="N11" s="54">
        <v>65</v>
      </c>
      <c r="O11" s="54">
        <v>0</v>
      </c>
      <c r="P11" s="54">
        <v>1.08</v>
      </c>
      <c r="Q11" s="54">
        <v>12.88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50.67</v>
      </c>
      <c r="C12" s="54">
        <v>58.95</v>
      </c>
      <c r="D12" s="54">
        <v>73.81</v>
      </c>
      <c r="E12" s="54">
        <v>0.13</v>
      </c>
      <c r="F12" s="54">
        <v>3.10</v>
      </c>
      <c r="G12" s="54">
        <v>48.89</v>
      </c>
      <c r="H12" s="54">
        <v>25.08</v>
      </c>
      <c r="I12" s="54">
        <v>1.52</v>
      </c>
      <c r="J12" s="54">
        <v>0.16</v>
      </c>
      <c r="K12" s="54">
        <v>355.48</v>
      </c>
      <c r="L12" s="54">
        <v>15.51</v>
      </c>
      <c r="M12" s="54">
        <v>89.36</v>
      </c>
      <c r="N12" s="54">
        <v>65.099999999999994</v>
      </c>
      <c r="O12" s="54">
        <v>0</v>
      </c>
      <c r="P12" s="54">
        <v>0.92</v>
      </c>
      <c r="Q12" s="54">
        <v>11.36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43.39</v>
      </c>
      <c r="C13" s="54">
        <v>58</v>
      </c>
      <c r="D13" s="54">
        <v>67.36</v>
      </c>
      <c r="E13" s="54">
        <v>0.17</v>
      </c>
      <c r="F13" s="54">
        <v>3.23</v>
      </c>
      <c r="G13" s="54">
        <v>48.89</v>
      </c>
      <c r="H13" s="54">
        <v>23.21</v>
      </c>
      <c r="I13" s="54">
        <v>1.55</v>
      </c>
      <c r="J13" s="54">
        <v>0.18</v>
      </c>
      <c r="K13" s="54">
        <v>301.95999999999998</v>
      </c>
      <c r="L13" s="54">
        <v>15.19</v>
      </c>
      <c r="M13" s="54">
        <v>84.97</v>
      </c>
      <c r="N13" s="54">
        <v>65</v>
      </c>
      <c r="O13" s="54">
        <v>0</v>
      </c>
      <c r="P13" s="54">
        <v>0.82</v>
      </c>
      <c r="Q13" s="54">
        <v>10.40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52.38</v>
      </c>
      <c r="C14" s="54">
        <v>58.65</v>
      </c>
      <c r="D14" s="54">
        <v>75.02</v>
      </c>
      <c r="E14" s="54">
        <v>0.18</v>
      </c>
      <c r="F14" s="54">
        <v>3.05</v>
      </c>
      <c r="G14" s="54">
        <v>80.08</v>
      </c>
      <c r="H14" s="54">
        <v>23.92</v>
      </c>
      <c r="I14" s="54">
        <v>1.53</v>
      </c>
      <c r="J14" s="54">
        <v>0.12</v>
      </c>
      <c r="K14" s="54">
        <v>305.01</v>
      </c>
      <c r="L14" s="54">
        <v>15.22</v>
      </c>
      <c r="M14" s="54">
        <v>86.87</v>
      </c>
      <c r="N14" s="54">
        <v>65</v>
      </c>
      <c r="O14" s="54">
        <v>0</v>
      </c>
      <c r="P14" s="54">
        <v>0.76</v>
      </c>
      <c r="Q14" s="54">
        <v>10.53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59.58</v>
      </c>
      <c r="C15" s="54">
        <v>60.74</v>
      </c>
      <c r="D15" s="54">
        <v>81.849999999999994</v>
      </c>
      <c r="E15" s="54">
        <v>0.24</v>
      </c>
      <c r="F15" s="54">
        <v>3.29</v>
      </c>
      <c r="G15" s="54">
        <v>82.05</v>
      </c>
      <c r="H15" s="54">
        <v>23.92</v>
      </c>
      <c r="I15" s="54">
        <v>1.54</v>
      </c>
      <c r="J15" s="54">
        <v>0.42</v>
      </c>
      <c r="K15" s="54">
        <v>211.39</v>
      </c>
      <c r="L15" s="54">
        <v>16.02</v>
      </c>
      <c r="M15" s="54">
        <v>82.75</v>
      </c>
      <c r="N15" s="54">
        <v>88.60</v>
      </c>
      <c r="O15" s="54">
        <v>0</v>
      </c>
      <c r="P15" s="54">
        <v>0.74</v>
      </c>
      <c r="Q15" s="54">
        <v>11.31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57.07</v>
      </c>
      <c r="C16" s="54">
        <v>61.58</v>
      </c>
      <c r="D16" s="54">
        <v>79.959999999999994</v>
      </c>
      <c r="E16" s="54">
        <v>0.27</v>
      </c>
      <c r="F16" s="54">
        <v>3.12</v>
      </c>
      <c r="G16" s="54">
        <v>82.05</v>
      </c>
      <c r="H16" s="54">
        <v>26.06</v>
      </c>
      <c r="I16" s="54">
        <v>1.51</v>
      </c>
      <c r="J16" s="54">
        <v>1.07</v>
      </c>
      <c r="K16" s="54">
        <v>177.16</v>
      </c>
      <c r="L16" s="54">
        <v>18.13</v>
      </c>
      <c r="M16" s="54">
        <v>79.44</v>
      </c>
      <c r="N16" s="54">
        <v>291.39999999999998</v>
      </c>
      <c r="O16" s="54">
        <v>0</v>
      </c>
      <c r="P16" s="54">
        <v>0.75</v>
      </c>
      <c r="Q16" s="54">
        <v>11.16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48.77</v>
      </c>
      <c r="C17" s="54">
        <v>62.13</v>
      </c>
      <c r="D17" s="54">
        <v>73.739999999999995</v>
      </c>
      <c r="E17" s="54">
        <v>0.22</v>
      </c>
      <c r="F17" s="54">
        <v>3.33</v>
      </c>
      <c r="G17" s="54">
        <v>59.94</v>
      </c>
      <c r="H17" s="54">
        <v>26.06</v>
      </c>
      <c r="I17" s="54">
        <v>1.51</v>
      </c>
      <c r="J17" s="54">
        <v>0.72</v>
      </c>
      <c r="K17" s="54">
        <v>213.80</v>
      </c>
      <c r="L17" s="54">
        <v>21.82</v>
      </c>
      <c r="M17" s="54">
        <v>64.37</v>
      </c>
      <c r="N17" s="54">
        <v>508</v>
      </c>
      <c r="O17" s="54">
        <v>0</v>
      </c>
      <c r="P17" s="54">
        <v>0.72</v>
      </c>
      <c r="Q17" s="54">
        <v>10.46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34.94</v>
      </c>
      <c r="C18" s="54">
        <v>64.45</v>
      </c>
      <c r="D18" s="54">
        <v>62.62</v>
      </c>
      <c r="E18" s="54">
        <v>0.18</v>
      </c>
      <c r="F18" s="54">
        <v>3.18</v>
      </c>
      <c r="G18" s="54">
        <v>48.85</v>
      </c>
      <c r="H18" s="54">
        <v>22.31</v>
      </c>
      <c r="I18" s="54">
        <v>1.5</v>
      </c>
      <c r="J18" s="54">
        <v>0.36</v>
      </c>
      <c r="K18" s="54">
        <v>343.08</v>
      </c>
      <c r="L18" s="54">
        <v>28.66</v>
      </c>
      <c r="M18" s="54">
        <v>46.73</v>
      </c>
      <c r="N18" s="54">
        <v>670.40</v>
      </c>
      <c r="O18" s="54">
        <v>0</v>
      </c>
      <c r="P18" s="54">
        <v>0.67</v>
      </c>
      <c r="Q18" s="54">
        <v>9.36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23.43</v>
      </c>
      <c r="C19" s="54">
        <v>73.069999999999993</v>
      </c>
      <c r="D19" s="54">
        <v>55.78</v>
      </c>
      <c r="E19" s="54">
        <v>0.21</v>
      </c>
      <c r="F19" s="54">
        <v>4.54</v>
      </c>
      <c r="G19" s="54">
        <v>45.02</v>
      </c>
      <c r="H19" s="54">
        <v>22.03</v>
      </c>
      <c r="I19" s="54">
        <v>1.54</v>
      </c>
      <c r="J19" s="54">
        <v>0.33</v>
      </c>
      <c r="K19" s="54">
        <v>347.15</v>
      </c>
      <c r="L19" s="54">
        <v>29.82</v>
      </c>
      <c r="M19" s="54">
        <v>43.79</v>
      </c>
      <c r="N19" s="54">
        <v>766.90</v>
      </c>
      <c r="O19" s="54">
        <v>0</v>
      </c>
      <c r="P19" s="54">
        <v>0.67</v>
      </c>
      <c r="Q19" s="54">
        <v>8.7100000000000009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4.1500000000000004</v>
      </c>
      <c r="C20" s="54">
        <v>69.45</v>
      </c>
      <c r="D20" s="54">
        <v>42.30</v>
      </c>
      <c r="E20" s="54">
        <v>0.23</v>
      </c>
      <c r="F20" s="54">
        <v>7.29</v>
      </c>
      <c r="G20" s="54">
        <v>70.150000000000006</v>
      </c>
      <c r="H20" s="54">
        <v>23.16</v>
      </c>
      <c r="I20" s="54">
        <v>1.52</v>
      </c>
      <c r="J20" s="54">
        <v>0.57999999999999996</v>
      </c>
      <c r="K20" s="54">
        <v>343.63</v>
      </c>
      <c r="L20" s="54">
        <v>31.66</v>
      </c>
      <c r="M20" s="54">
        <v>39.979999999999997</v>
      </c>
      <c r="N20" s="54">
        <v>796.10</v>
      </c>
      <c r="O20" s="54">
        <v>0</v>
      </c>
      <c r="P20" s="54">
        <v>0.63</v>
      </c>
      <c r="Q20" s="54">
        <v>7.25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1.91</v>
      </c>
      <c r="C21" s="54">
        <v>56.36</v>
      </c>
      <c r="D21" s="54">
        <v>33.28</v>
      </c>
      <c r="E21" s="54">
        <v>0.32</v>
      </c>
      <c r="F21" s="54">
        <v>16.96</v>
      </c>
      <c r="G21" s="54">
        <v>70.150000000000006</v>
      </c>
      <c r="H21" s="54">
        <v>23.16</v>
      </c>
      <c r="I21" s="54">
        <v>1.55</v>
      </c>
      <c r="J21" s="54">
        <v>0.34</v>
      </c>
      <c r="K21" s="54">
        <v>358.56</v>
      </c>
      <c r="L21" s="54">
        <v>29.48</v>
      </c>
      <c r="M21" s="54">
        <v>36.74</v>
      </c>
      <c r="N21" s="54">
        <v>807.5</v>
      </c>
      <c r="O21" s="54">
        <v>0</v>
      </c>
      <c r="P21" s="54">
        <v>0.60</v>
      </c>
      <c r="Q21" s="54">
        <v>5.46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1.64</v>
      </c>
      <c r="C22" s="54">
        <v>57.20</v>
      </c>
      <c r="D22" s="54">
        <v>33.520000000000003</v>
      </c>
      <c r="E22" s="54">
        <v>0.40</v>
      </c>
      <c r="F22" s="54">
        <v>9.11</v>
      </c>
      <c r="G22" s="54">
        <v>58.95</v>
      </c>
      <c r="H22" s="54">
        <v>21.15</v>
      </c>
      <c r="I22" s="54">
        <v>1.51</v>
      </c>
      <c r="J22" s="54">
        <v>0.32</v>
      </c>
      <c r="K22" s="54">
        <v>353.17</v>
      </c>
      <c r="L22" s="54">
        <v>30.11</v>
      </c>
      <c r="M22" s="54">
        <v>34.979999999999997</v>
      </c>
      <c r="N22" s="54">
        <v>741.10</v>
      </c>
      <c r="O22" s="54">
        <v>0</v>
      </c>
      <c r="P22" s="54">
        <v>0.65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1.91</v>
      </c>
      <c r="C23" s="54">
        <v>55.68</v>
      </c>
      <c r="D23" s="54">
        <v>32.909999999999997</v>
      </c>
      <c r="E23" s="54">
        <v>0.31</v>
      </c>
      <c r="F23" s="54">
        <v>7.41</v>
      </c>
      <c r="G23" s="54">
        <v>58.95</v>
      </c>
      <c r="H23" s="54">
        <v>22.12</v>
      </c>
      <c r="I23" s="54">
        <v>1.53</v>
      </c>
      <c r="J23" s="54">
        <v>0.33</v>
      </c>
      <c r="K23" s="54">
        <v>344.02</v>
      </c>
      <c r="L23" s="54">
        <v>30.09</v>
      </c>
      <c r="M23" s="54">
        <v>34.5</v>
      </c>
      <c r="N23" s="54">
        <v>621.29999999999995</v>
      </c>
      <c r="O23" s="54">
        <v>0</v>
      </c>
      <c r="P23" s="54">
        <v>0.59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5.40</v>
      </c>
      <c r="C24" s="54">
        <v>55.30</v>
      </c>
      <c r="D24" s="54">
        <v>33.51</v>
      </c>
      <c r="E24" s="54">
        <v>0.28000000000000003</v>
      </c>
      <c r="F24" s="54">
        <v>8.01</v>
      </c>
      <c r="G24" s="54">
        <v>51.75</v>
      </c>
      <c r="H24" s="54">
        <v>22.12</v>
      </c>
      <c r="I24" s="54">
        <v>1.53</v>
      </c>
      <c r="J24" s="54">
        <v>0.18</v>
      </c>
      <c r="K24" s="54">
        <v>347.87</v>
      </c>
      <c r="L24" s="54">
        <v>28.68</v>
      </c>
      <c r="M24" s="54">
        <v>38.630000000000003</v>
      </c>
      <c r="N24" s="54">
        <v>338.10</v>
      </c>
      <c r="O24" s="54">
        <v>0</v>
      </c>
      <c r="P24" s="54">
        <v>0.61</v>
      </c>
      <c r="Q24" s="54">
        <v>5.39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5.38</v>
      </c>
      <c r="C25" s="54">
        <v>51.42</v>
      </c>
      <c r="D25" s="54">
        <v>32.299999999999997</v>
      </c>
      <c r="E25" s="54">
        <v>0.14000000000000001</v>
      </c>
      <c r="F25" s="54">
        <v>5.5</v>
      </c>
      <c r="G25" s="54">
        <v>50.18</v>
      </c>
      <c r="H25" s="54">
        <v>15.67</v>
      </c>
      <c r="I25" s="54">
        <v>1.54</v>
      </c>
      <c r="J25" s="54">
        <v>0.24</v>
      </c>
      <c r="K25" s="54">
        <v>26.52</v>
      </c>
      <c r="L25" s="54">
        <v>27.77</v>
      </c>
      <c r="M25" s="54">
        <v>40.82</v>
      </c>
      <c r="N25" s="54">
        <v>157.19999999999999</v>
      </c>
      <c r="O25" s="54">
        <v>0</v>
      </c>
      <c r="P25" s="54">
        <v>0.59</v>
      </c>
      <c r="Q25" s="54">
        <v>6.29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3.76</v>
      </c>
      <c r="C26" s="54">
        <v>58.75</v>
      </c>
      <c r="D26" s="54">
        <v>36.08</v>
      </c>
      <c r="E26" s="54">
        <v>0.15</v>
      </c>
      <c r="F26" s="54">
        <v>6.88</v>
      </c>
      <c r="G26" s="54">
        <v>52.27</v>
      </c>
      <c r="H26" s="54">
        <v>18.55</v>
      </c>
      <c r="I26" s="54">
        <v>1.55</v>
      </c>
      <c r="J26" s="54">
        <v>0.20</v>
      </c>
      <c r="K26" s="54">
        <v>350.07</v>
      </c>
      <c r="L26" s="54">
        <v>26.79</v>
      </c>
      <c r="M26" s="54">
        <v>59.48</v>
      </c>
      <c r="N26" s="54">
        <v>92.40</v>
      </c>
      <c r="O26" s="54">
        <v>0</v>
      </c>
      <c r="P26" s="54">
        <v>0.62</v>
      </c>
      <c r="Q26" s="54">
        <v>6.47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6.43</v>
      </c>
      <c r="C27" s="54">
        <v>65.72</v>
      </c>
      <c r="D27" s="54">
        <v>41.86</v>
      </c>
      <c r="E27" s="54">
        <v>0.15</v>
      </c>
      <c r="F27" s="54">
        <v>4.04</v>
      </c>
      <c r="G27" s="54">
        <v>58.58</v>
      </c>
      <c r="H27" s="54">
        <v>22.66</v>
      </c>
      <c r="I27" s="54">
        <v>1.54</v>
      </c>
      <c r="J27" s="54">
        <v>0.18</v>
      </c>
      <c r="K27" s="54">
        <v>354.84</v>
      </c>
      <c r="L27" s="54">
        <v>24.77</v>
      </c>
      <c r="M27" s="54">
        <v>60.98</v>
      </c>
      <c r="N27" s="54">
        <v>64.400000000000006</v>
      </c>
      <c r="O27" s="54">
        <v>0</v>
      </c>
      <c r="P27" s="54">
        <v>0.74</v>
      </c>
      <c r="Q27" s="54">
        <v>6.94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8.82</v>
      </c>
      <c r="C28" s="54">
        <v>69.30</v>
      </c>
      <c r="D28" s="54">
        <v>45.97</v>
      </c>
      <c r="E28" s="54">
        <v>0.15</v>
      </c>
      <c r="F28" s="54">
        <v>3.60</v>
      </c>
      <c r="G28" s="54">
        <v>65.150000000000006</v>
      </c>
      <c r="H28" s="54">
        <v>23.57</v>
      </c>
      <c r="I28" s="54">
        <v>1.54</v>
      </c>
      <c r="J28" s="54">
        <v>0.11</v>
      </c>
      <c r="K28" s="54">
        <v>348.80</v>
      </c>
      <c r="L28" s="54">
        <v>24.41</v>
      </c>
      <c r="M28" s="54">
        <v>55.45</v>
      </c>
      <c r="N28" s="54">
        <v>64.30</v>
      </c>
      <c r="O28" s="54">
        <v>0</v>
      </c>
      <c r="P28" s="54">
        <v>1.02</v>
      </c>
      <c r="Q28" s="54">
        <v>7.29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13.31</v>
      </c>
      <c r="C29" s="54">
        <v>68.89</v>
      </c>
      <c r="D29" s="54">
        <v>48.41</v>
      </c>
      <c r="E29" s="54">
        <v>0.39</v>
      </c>
      <c r="F29" s="54">
        <v>3.27</v>
      </c>
      <c r="G29" s="54">
        <v>72.23</v>
      </c>
      <c r="H29" s="54">
        <v>25.37</v>
      </c>
      <c r="I29" s="54">
        <v>1.54</v>
      </c>
      <c r="J29" s="54">
        <v>0.13</v>
      </c>
      <c r="K29" s="54">
        <v>320.11</v>
      </c>
      <c r="L29" s="54">
        <v>23.90</v>
      </c>
      <c r="M29" s="54">
        <v>61.67</v>
      </c>
      <c r="N29" s="54">
        <v>64.599999999999994</v>
      </c>
      <c r="O29" s="54">
        <v>0</v>
      </c>
      <c r="P29" s="54">
        <v>1.07</v>
      </c>
      <c r="Q29" s="54">
        <v>7.72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19.809999999999999</v>
      </c>
      <c r="C30" s="54">
        <v>66.53</v>
      </c>
      <c r="D30" s="54">
        <v>52.55</v>
      </c>
      <c r="E30" s="54">
        <v>0.37</v>
      </c>
      <c r="F30" s="54">
        <v>3.29</v>
      </c>
      <c r="G30" s="54">
        <v>74.010000000000005</v>
      </c>
      <c r="H30" s="54">
        <v>26.37</v>
      </c>
      <c r="I30" s="54">
        <v>1.52</v>
      </c>
      <c r="J30" s="54">
        <v>0.09</v>
      </c>
      <c r="K30" s="54">
        <v>311.32</v>
      </c>
      <c r="L30" s="54">
        <v>22.38</v>
      </c>
      <c r="M30" s="54">
        <v>72.17</v>
      </c>
      <c r="N30" s="54">
        <v>64.70</v>
      </c>
      <c r="O30" s="54">
        <v>0</v>
      </c>
      <c r="P30" s="54">
        <v>1.0900000000000001</v>
      </c>
      <c r="Q30" s="54">
        <v>8.14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30.01</v>
      </c>
      <c r="C31" s="54">
        <v>64.92</v>
      </c>
      <c r="D31" s="54">
        <v>59.44</v>
      </c>
      <c r="E31" s="54">
        <v>0.46</v>
      </c>
      <c r="F31" s="54">
        <v>3.17</v>
      </c>
      <c r="G31" s="54">
        <v>85.01</v>
      </c>
      <c r="H31" s="54">
        <v>28.09</v>
      </c>
      <c r="I31" s="54">
        <v>1.53</v>
      </c>
      <c r="J31" s="54">
        <v>0.38</v>
      </c>
      <c r="K31" s="54">
        <v>298.49</v>
      </c>
      <c r="L31" s="54">
        <v>21.32</v>
      </c>
      <c r="M31" s="54">
        <v>78.88</v>
      </c>
      <c r="N31" s="54">
        <v>64.599999999999994</v>
      </c>
      <c r="O31" s="54">
        <v>0</v>
      </c>
      <c r="P31" s="54">
        <v>1.18</v>
      </c>
      <c r="Q31" s="54">
        <v>8.9600000000000009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28.61</v>
      </c>
      <c r="C32" s="54">
        <v>59.85</v>
      </c>
      <c r="D32" s="54">
        <v>56.57</v>
      </c>
      <c r="E32" s="54">
        <v>0.39</v>
      </c>
      <c r="F32" s="54">
        <v>3.29</v>
      </c>
      <c r="G32" s="54">
        <v>85.01</v>
      </c>
      <c r="H32" s="54">
        <v>28.73</v>
      </c>
      <c r="I32" s="54">
        <v>1.54</v>
      </c>
      <c r="J32" s="54">
        <v>0.14000000000000001</v>
      </c>
      <c r="K32" s="54">
        <v>308.02</v>
      </c>
      <c r="L32" s="54">
        <v>21.12</v>
      </c>
      <c r="M32" s="54">
        <v>80.790000000000006</v>
      </c>
      <c r="N32" s="54">
        <v>64.80</v>
      </c>
      <c r="O32" s="54">
        <v>0</v>
      </c>
      <c r="P32" s="54">
        <v>1.05</v>
      </c>
      <c r="Q32" s="54">
        <v>8.8699999999999992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1.6399999999999999</v>
      </c>
      <c r="C34" s="28">
        <f t="shared" si="0"/>
        <v>51.420000000000002</v>
      </c>
      <c r="D34" s="28">
        <f t="shared" si="0"/>
        <v>32.299999999999997</v>
      </c>
      <c r="E34" s="28">
        <f t="shared" si="0"/>
        <v>0.13</v>
      </c>
      <c r="F34" s="28">
        <f t="shared" si="0"/>
        <v>3.0499999999999998</v>
      </c>
      <c r="G34" s="28">
        <f t="shared" si="0"/>
        <v>45.020000000000003</v>
      </c>
      <c r="H34" s="28">
        <f t="shared" si="0"/>
        <v>15.67</v>
      </c>
      <c r="I34" s="28">
        <f t="shared" si="0"/>
        <v>1.5</v>
      </c>
      <c r="J34" s="28">
        <f t="shared" si="0"/>
        <v>0.089999999999999997</v>
      </c>
      <c r="K34" s="28">
        <f t="shared" si="0"/>
        <v>26.52</v>
      </c>
      <c r="L34" s="28">
        <f t="shared" si="0"/>
        <v>15.19</v>
      </c>
      <c r="M34" s="28">
        <f t="shared" si="0"/>
        <v>34.5</v>
      </c>
      <c r="N34" s="28">
        <f t="shared" si="0"/>
        <v>64.299999999999997</v>
      </c>
      <c r="O34" s="28">
        <f t="shared" si="0"/>
        <v>0</v>
      </c>
      <c r="P34" s="28">
        <f t="shared" si="0"/>
        <v>0.58999999999999997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101.36</v>
      </c>
      <c r="C35" s="29">
        <f t="shared" si="1"/>
        <v>73.069999999999993</v>
      </c>
      <c r="D35" s="29">
        <f t="shared" si="1"/>
        <v>120.94</v>
      </c>
      <c r="E35" s="29">
        <f t="shared" si="1"/>
        <v>0.46000000000000002</v>
      </c>
      <c r="F35" s="29">
        <f t="shared" si="1"/>
        <v>16.960000000000001</v>
      </c>
      <c r="G35" s="29">
        <f t="shared" si="1"/>
        <v>91.140000000000001</v>
      </c>
      <c r="H35" s="29">
        <f t="shared" si="1"/>
        <v>35.509999999999998</v>
      </c>
      <c r="I35" s="29">
        <f t="shared" si="1"/>
        <v>1.5800000000000001</v>
      </c>
      <c r="J35" s="29">
        <f t="shared" si="1"/>
        <v>1.0700000000000001</v>
      </c>
      <c r="K35" s="29">
        <f t="shared" si="1"/>
        <v>358.56</v>
      </c>
      <c r="L35" s="29">
        <f t="shared" si="1"/>
        <v>31.66</v>
      </c>
      <c r="M35" s="29">
        <f t="shared" si="1"/>
        <v>89.359999999999999</v>
      </c>
      <c r="N35" s="29">
        <f t="shared" si="1"/>
        <v>807.5</v>
      </c>
      <c r="O35" s="29">
        <f t="shared" si="1"/>
        <v>0</v>
      </c>
      <c r="P35" s="29">
        <f t="shared" si="1"/>
        <v>1.5</v>
      </c>
      <c r="Q35" s="29">
        <f t="shared" si="1"/>
        <v>15.710000000000001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31.342083333333317</v>
      </c>
      <c r="C36" s="28">
        <f t="shared" si="2"/>
        <v>62.361250000000005</v>
      </c>
      <c r="D36" s="28">
        <f t="shared" si="2"/>
        <v>59.673749999999991</v>
      </c>
      <c r="E36" s="28">
        <f t="shared" si="2"/>
        <v>0.25</v>
      </c>
      <c r="F36" s="28">
        <f t="shared" si="2"/>
        <v>4.9283333333333337</v>
      </c>
      <c r="G36" s="28">
        <f t="shared" si="2"/>
        <v>66.100416666666661</v>
      </c>
      <c r="H36" s="28">
        <f t="shared" si="2"/>
        <v>24.647500000000008</v>
      </c>
      <c r="I36" s="28">
        <f t="shared" si="2"/>
        <v>1.5325000000000004</v>
      </c>
      <c r="J36" s="28">
        <f t="shared" si="2"/>
        <v>0.30083333333333329</v>
      </c>
      <c r="K36" s="28">
        <f t="shared" si="2"/>
        <v>301.86958333333331</v>
      </c>
      <c r="L36" s="28">
        <f t="shared" si="2"/>
        <v>23.133333333333336</v>
      </c>
      <c r="M36" s="28">
        <f t="shared" si="2"/>
        <v>62.511249999999997</v>
      </c>
      <c r="N36" s="28">
        <f t="shared" si="2"/>
        <v>277.32916666666671</v>
      </c>
      <c r="O36" s="28">
        <f t="shared" si="2"/>
        <v>0</v>
      </c>
      <c r="P36" s="28">
        <f t="shared" si="2"/>
        <v>0.84541666666666659</v>
      </c>
      <c r="Q36" s="28">
        <f t="shared" si="2"/>
        <v>8.9779166666666672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28.493220853414421</v>
      </c>
      <c r="C37" s="28">
        <f t="shared" si="3" ref="C37:Q37">STDEV(C9:C32)</f>
        <v>5.6264896095245227</v>
      </c>
      <c r="D37" s="28">
        <f t="shared" si="3"/>
        <v>24.005484122066417</v>
      </c>
      <c r="E37" s="28">
        <f t="shared" si="3"/>
        <v>0.095507796176201143</v>
      </c>
      <c r="F37" s="28">
        <f t="shared" si="3"/>
        <v>3.1742724831213605</v>
      </c>
      <c r="G37" s="28">
        <f t="shared" si="3"/>
        <v>14.878595796052801</v>
      </c>
      <c r="H37" s="28">
        <f t="shared" si="3"/>
        <v>4.236353282061633</v>
      </c>
      <c r="I37" s="28">
        <f t="shared" si="3"/>
        <v>0.017257638510425534</v>
      </c>
      <c r="J37" s="28">
        <f t="shared" si="3"/>
        <v>0.22686745156524812</v>
      </c>
      <c r="K37" s="28">
        <f t="shared" si="3"/>
        <v>76.498510157653428</v>
      </c>
      <c r="L37" s="28">
        <f t="shared" si="3"/>
        <v>5.607265214737537</v>
      </c>
      <c r="M37" s="28">
        <f t="shared" si="3"/>
        <v>18.949521804795868</v>
      </c>
      <c r="N37" s="28">
        <f t="shared" si="3"/>
        <v>292.02879024115089</v>
      </c>
      <c r="O37" s="28">
        <f t="shared" si="3"/>
        <v>0</v>
      </c>
      <c r="P37" s="28">
        <f t="shared" si="3"/>
        <v>0.24864815663322606</v>
      </c>
      <c r="Q37" s="28">
        <f t="shared" si="3"/>
        <v>2.8892604427079793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296039-e4da-4cb2-bb25-037940b69b3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23.43</v>
      </c>
      <c r="C9" s="54">
        <v>59.58</v>
      </c>
      <c r="D9" s="54">
        <v>52.32</v>
      </c>
      <c r="E9" s="54">
        <v>0.35</v>
      </c>
      <c r="F9" s="54">
        <v>3.11</v>
      </c>
      <c r="G9" s="54">
        <v>71.19</v>
      </c>
      <c r="H9" s="54">
        <v>28.73</v>
      </c>
      <c r="I9" s="54">
        <v>1.54</v>
      </c>
      <c r="J9" s="54">
        <v>0.28000000000000003</v>
      </c>
      <c r="K9" s="54">
        <v>316.67</v>
      </c>
      <c r="L9" s="54">
        <v>20.28</v>
      </c>
      <c r="M9" s="54">
        <v>80.78</v>
      </c>
      <c r="N9" s="54">
        <v>64.599999999999994</v>
      </c>
      <c r="O9" s="54">
        <v>0</v>
      </c>
      <c r="P9" s="54">
        <v>0.96</v>
      </c>
      <c r="Q9" s="54">
        <v>8.39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17.14</v>
      </c>
      <c r="C10" s="54">
        <v>56.87</v>
      </c>
      <c r="D10" s="54">
        <v>45.78</v>
      </c>
      <c r="E10" s="54">
        <v>0.37</v>
      </c>
      <c r="F10" s="54">
        <v>3.28</v>
      </c>
      <c r="G10" s="54">
        <v>63.85</v>
      </c>
      <c r="H10" s="54">
        <v>25.71</v>
      </c>
      <c r="I10" s="54">
        <v>1.55</v>
      </c>
      <c r="J10" s="54">
        <v>0.08</v>
      </c>
      <c r="K10" s="54">
        <v>292.77</v>
      </c>
      <c r="L10" s="54">
        <v>19.77</v>
      </c>
      <c r="M10" s="54">
        <v>82</v>
      </c>
      <c r="N10" s="54">
        <v>64.599999999999994</v>
      </c>
      <c r="O10" s="54">
        <v>0</v>
      </c>
      <c r="P10" s="54">
        <v>0.80</v>
      </c>
      <c r="Q10" s="54">
        <v>7.94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12.04</v>
      </c>
      <c r="C11" s="54">
        <v>54.41</v>
      </c>
      <c r="D11" s="54">
        <v>40.08</v>
      </c>
      <c r="E11" s="54">
        <v>0.32</v>
      </c>
      <c r="F11" s="54">
        <v>3.57</v>
      </c>
      <c r="G11" s="54">
        <v>54.22</v>
      </c>
      <c r="H11" s="54">
        <v>23.70</v>
      </c>
      <c r="I11" s="54">
        <v>1.57</v>
      </c>
      <c r="J11" s="54">
        <v>0.16</v>
      </c>
      <c r="K11" s="54">
        <v>230.58</v>
      </c>
      <c r="L11" s="54">
        <v>19.20</v>
      </c>
      <c r="M11" s="54">
        <v>86.70</v>
      </c>
      <c r="N11" s="54">
        <v>64.70</v>
      </c>
      <c r="O11" s="54">
        <v>0</v>
      </c>
      <c r="P11" s="54">
        <v>0.71</v>
      </c>
      <c r="Q11" s="54">
        <v>7.48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13.13</v>
      </c>
      <c r="C12" s="54">
        <v>54.82</v>
      </c>
      <c r="D12" s="54">
        <v>41.36</v>
      </c>
      <c r="E12" s="54">
        <v>0.30</v>
      </c>
      <c r="F12" s="54">
        <v>3.39</v>
      </c>
      <c r="G12" s="54">
        <v>54.22</v>
      </c>
      <c r="H12" s="54">
        <v>22.75</v>
      </c>
      <c r="I12" s="54">
        <v>1.57</v>
      </c>
      <c r="J12" s="54">
        <v>0.10</v>
      </c>
      <c r="K12" s="54">
        <v>309.45999999999998</v>
      </c>
      <c r="L12" s="54">
        <v>18.54</v>
      </c>
      <c r="M12" s="54">
        <v>93.91</v>
      </c>
      <c r="N12" s="54">
        <v>64.900000000000006</v>
      </c>
      <c r="O12" s="54">
        <v>0</v>
      </c>
      <c r="P12" s="54">
        <v>0.62</v>
      </c>
      <c r="Q12" s="54">
        <v>7.60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20.55</v>
      </c>
      <c r="C13" s="54">
        <v>54.95</v>
      </c>
      <c r="D13" s="54">
        <v>47.38</v>
      </c>
      <c r="E13" s="54">
        <v>0.20</v>
      </c>
      <c r="F13" s="54">
        <v>3.20</v>
      </c>
      <c r="G13" s="54">
        <v>59.81</v>
      </c>
      <c r="H13" s="54">
        <v>23.23</v>
      </c>
      <c r="I13" s="54">
        <v>1.57</v>
      </c>
      <c r="J13" s="54">
        <v>0.16</v>
      </c>
      <c r="K13" s="54">
        <v>343.36</v>
      </c>
      <c r="L13" s="54">
        <v>17.72</v>
      </c>
      <c r="M13" s="54">
        <v>97.84</v>
      </c>
      <c r="N13" s="54">
        <v>64.70</v>
      </c>
      <c r="O13" s="54">
        <v>0</v>
      </c>
      <c r="P13" s="54">
        <v>0.61</v>
      </c>
      <c r="Q13" s="54">
        <v>8.09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24.42</v>
      </c>
      <c r="C14" s="54">
        <v>55.01</v>
      </c>
      <c r="D14" s="54">
        <v>49.88</v>
      </c>
      <c r="E14" s="54">
        <v>0.18</v>
      </c>
      <c r="F14" s="54">
        <v>3.28</v>
      </c>
      <c r="G14" s="54">
        <v>59.81</v>
      </c>
      <c r="H14" s="54">
        <v>23.23</v>
      </c>
      <c r="I14" s="54">
        <v>1.56</v>
      </c>
      <c r="J14" s="54">
        <v>0.15</v>
      </c>
      <c r="K14" s="54">
        <v>343.29</v>
      </c>
      <c r="L14" s="54">
        <v>18.11</v>
      </c>
      <c r="M14" s="54">
        <v>95.40</v>
      </c>
      <c r="N14" s="54">
        <v>64.5</v>
      </c>
      <c r="O14" s="54">
        <v>0</v>
      </c>
      <c r="P14" s="54">
        <v>0.57999999999999996</v>
      </c>
      <c r="Q14" s="54">
        <v>8.51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35.42</v>
      </c>
      <c r="C15" s="54">
        <v>52.56</v>
      </c>
      <c r="D15" s="54">
        <v>57.80</v>
      </c>
      <c r="E15" s="54">
        <v>0.23</v>
      </c>
      <c r="F15" s="54">
        <v>3.32</v>
      </c>
      <c r="G15" s="54">
        <v>82.20</v>
      </c>
      <c r="H15" s="54">
        <v>28.88</v>
      </c>
      <c r="I15" s="54">
        <v>1.56</v>
      </c>
      <c r="J15" s="54">
        <v>0.12</v>
      </c>
      <c r="K15" s="54">
        <v>259.63</v>
      </c>
      <c r="L15" s="54">
        <v>18.12</v>
      </c>
      <c r="M15" s="54">
        <v>97.81</v>
      </c>
      <c r="N15" s="54">
        <v>85.40</v>
      </c>
      <c r="O15" s="54">
        <v>0</v>
      </c>
      <c r="P15" s="54">
        <v>0.65</v>
      </c>
      <c r="Q15" s="54">
        <v>8.75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62.22</v>
      </c>
      <c r="C16" s="54">
        <v>56.46</v>
      </c>
      <c r="D16" s="54">
        <v>81.70</v>
      </c>
      <c r="E16" s="54">
        <v>0.21</v>
      </c>
      <c r="F16" s="54">
        <v>3.17</v>
      </c>
      <c r="G16" s="54">
        <v>112.25</v>
      </c>
      <c r="H16" s="54">
        <v>38.75</v>
      </c>
      <c r="I16" s="54">
        <v>1.60</v>
      </c>
      <c r="J16" s="54">
        <v>0.10</v>
      </c>
      <c r="K16" s="54">
        <v>341.51</v>
      </c>
      <c r="L16" s="54">
        <v>21.39</v>
      </c>
      <c r="M16" s="54">
        <v>96.58</v>
      </c>
      <c r="N16" s="54">
        <v>220.5</v>
      </c>
      <c r="O16" s="54">
        <v>0</v>
      </c>
      <c r="P16" s="54">
        <v>0.85</v>
      </c>
      <c r="Q16" s="54">
        <v>10.77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62.06</v>
      </c>
      <c r="C17" s="54">
        <v>59.16</v>
      </c>
      <c r="D17" s="54">
        <v>81.86</v>
      </c>
      <c r="E17" s="54">
        <v>0.18</v>
      </c>
      <c r="F17" s="54">
        <v>3.27</v>
      </c>
      <c r="G17" s="54">
        <v>112.25</v>
      </c>
      <c r="H17" s="54">
        <v>38.75</v>
      </c>
      <c r="I17" s="54">
        <v>1.56</v>
      </c>
      <c r="J17" s="54">
        <v>0.17</v>
      </c>
      <c r="K17" s="54">
        <v>333.15</v>
      </c>
      <c r="L17" s="54">
        <v>23.95</v>
      </c>
      <c r="M17" s="54">
        <v>71.92</v>
      </c>
      <c r="N17" s="54">
        <v>416.30</v>
      </c>
      <c r="O17" s="54">
        <v>0</v>
      </c>
      <c r="P17" s="54">
        <v>0.87</v>
      </c>
      <c r="Q17" s="54">
        <v>10.96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45.69</v>
      </c>
      <c r="C18" s="54">
        <v>68.17</v>
      </c>
      <c r="D18" s="54">
        <v>70.52</v>
      </c>
      <c r="E18" s="54">
        <v>0.23</v>
      </c>
      <c r="F18" s="54">
        <v>3.63</v>
      </c>
      <c r="G18" s="54">
        <v>103.02</v>
      </c>
      <c r="H18" s="54">
        <v>34.28</v>
      </c>
      <c r="I18" s="54">
        <v>1.53</v>
      </c>
      <c r="J18" s="54">
        <v>0.28999999999999998</v>
      </c>
      <c r="K18" s="54">
        <v>351.65</v>
      </c>
      <c r="L18" s="54">
        <v>25.73</v>
      </c>
      <c r="M18" s="54">
        <v>63.15</v>
      </c>
      <c r="N18" s="54">
        <v>610.79999999999995</v>
      </c>
      <c r="O18" s="54">
        <v>0</v>
      </c>
      <c r="P18" s="54">
        <v>0.85</v>
      </c>
      <c r="Q18" s="54">
        <v>10.29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15.36</v>
      </c>
      <c r="C19" s="54">
        <v>70.05</v>
      </c>
      <c r="D19" s="54">
        <v>51.62</v>
      </c>
      <c r="E19" s="54">
        <v>0.15</v>
      </c>
      <c r="F19" s="54">
        <v>8.49</v>
      </c>
      <c r="G19" s="54">
        <v>78.319999999999993</v>
      </c>
      <c r="H19" s="54">
        <v>33.99</v>
      </c>
      <c r="I19" s="54">
        <v>1.58</v>
      </c>
      <c r="J19" s="54">
        <v>0.36</v>
      </c>
      <c r="K19" s="54">
        <v>312.24</v>
      </c>
      <c r="L19" s="54">
        <v>27.36</v>
      </c>
      <c r="M19" s="54">
        <v>59.18</v>
      </c>
      <c r="N19" s="54">
        <v>706.30</v>
      </c>
      <c r="O19" s="54">
        <v>0</v>
      </c>
      <c r="P19" s="54">
        <v>0.69</v>
      </c>
      <c r="Q19" s="54">
        <v>8.94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2.41</v>
      </c>
      <c r="C20" s="54">
        <v>56.74</v>
      </c>
      <c r="D20" s="54">
        <v>33.89</v>
      </c>
      <c r="E20" s="54">
        <v>0.19</v>
      </c>
      <c r="F20" s="54">
        <v>9.66</v>
      </c>
      <c r="G20" s="54">
        <v>70.28</v>
      </c>
      <c r="H20" s="54">
        <v>27.21</v>
      </c>
      <c r="I20" s="54">
        <v>1.55</v>
      </c>
      <c r="J20" s="54">
        <v>0.40</v>
      </c>
      <c r="K20" s="54">
        <v>22.11</v>
      </c>
      <c r="L20" s="54">
        <v>29.01</v>
      </c>
      <c r="M20" s="54">
        <v>54.09</v>
      </c>
      <c r="N20" s="54">
        <v>761.10</v>
      </c>
      <c r="O20" s="54">
        <v>0</v>
      </c>
      <c r="P20" s="54">
        <v>0.46</v>
      </c>
      <c r="Q20" s="54">
        <v>7.48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2.09</v>
      </c>
      <c r="C21" s="54">
        <v>49.49</v>
      </c>
      <c r="D21" s="54">
        <v>29.42</v>
      </c>
      <c r="E21" s="54">
        <v>0.12</v>
      </c>
      <c r="F21" s="54">
        <v>12.24</v>
      </c>
      <c r="G21" s="54">
        <v>68.16</v>
      </c>
      <c r="H21" s="54">
        <v>25.75</v>
      </c>
      <c r="I21" s="54">
        <v>1.52</v>
      </c>
      <c r="J21" s="54">
        <v>0.38</v>
      </c>
      <c r="K21" s="54">
        <v>354.65</v>
      </c>
      <c r="L21" s="54">
        <v>30.23</v>
      </c>
      <c r="M21" s="54">
        <v>44.81</v>
      </c>
      <c r="N21" s="54">
        <v>786.10</v>
      </c>
      <c r="O21" s="54">
        <v>0</v>
      </c>
      <c r="P21" s="54">
        <v>0.39</v>
      </c>
      <c r="Q21" s="54">
        <v>6.5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1.80</v>
      </c>
      <c r="C22" s="54">
        <v>50.21</v>
      </c>
      <c r="D22" s="54">
        <v>29.80</v>
      </c>
      <c r="E22" s="54">
        <v>0.28999999999999998</v>
      </c>
      <c r="F22" s="54">
        <v>12</v>
      </c>
      <c r="G22" s="54">
        <v>68.16</v>
      </c>
      <c r="H22" s="54">
        <v>25.32</v>
      </c>
      <c r="I22" s="54">
        <v>1.53</v>
      </c>
      <c r="J22" s="54">
        <v>0.42</v>
      </c>
      <c r="K22" s="54">
        <v>358.34</v>
      </c>
      <c r="L22" s="54">
        <v>30.75</v>
      </c>
      <c r="M22" s="54">
        <v>38.69</v>
      </c>
      <c r="N22" s="54">
        <v>734.90</v>
      </c>
      <c r="O22" s="54">
        <v>0</v>
      </c>
      <c r="P22" s="54">
        <v>0.39</v>
      </c>
      <c r="Q22" s="54">
        <v>5.32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1.43</v>
      </c>
      <c r="C23" s="54">
        <v>52.48</v>
      </c>
      <c r="D23" s="54">
        <v>30.76</v>
      </c>
      <c r="E23" s="54">
        <v>0.11</v>
      </c>
      <c r="F23" s="54">
        <v>19.309999999999999</v>
      </c>
      <c r="G23" s="54">
        <v>61.78</v>
      </c>
      <c r="H23" s="54">
        <v>25.63</v>
      </c>
      <c r="I23" s="54">
        <v>1.52</v>
      </c>
      <c r="J23" s="54">
        <v>0.33</v>
      </c>
      <c r="K23" s="54">
        <v>356.30</v>
      </c>
      <c r="L23" s="54">
        <v>29.78</v>
      </c>
      <c r="M23" s="54">
        <v>38.85</v>
      </c>
      <c r="N23" s="54">
        <v>609.10</v>
      </c>
      <c r="O23" s="54">
        <v>0</v>
      </c>
      <c r="P23" s="54">
        <v>0.44</v>
      </c>
      <c r="Q23" s="54">
        <v>5.40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1.70</v>
      </c>
      <c r="C24" s="54">
        <v>51.23</v>
      </c>
      <c r="D24" s="54">
        <v>30.28</v>
      </c>
      <c r="E24" s="54">
        <v>0.10</v>
      </c>
      <c r="F24" s="54">
        <v>7.58</v>
      </c>
      <c r="G24" s="54">
        <v>61.21</v>
      </c>
      <c r="H24" s="54">
        <v>25.63</v>
      </c>
      <c r="I24" s="54">
        <v>1.54</v>
      </c>
      <c r="J24" s="54">
        <v>0.28999999999999998</v>
      </c>
      <c r="K24" s="54">
        <v>357.72</v>
      </c>
      <c r="L24" s="54">
        <v>29.21</v>
      </c>
      <c r="M24" s="54">
        <v>39.590000000000003</v>
      </c>
      <c r="N24" s="54">
        <v>315.5</v>
      </c>
      <c r="O24" s="54">
        <v>0</v>
      </c>
      <c r="P24" s="54">
        <v>0.45</v>
      </c>
      <c r="Q24" s="54">
        <v>5.27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2.08</v>
      </c>
      <c r="C25" s="54">
        <v>54.43</v>
      </c>
      <c r="D25" s="54">
        <v>32.340000000000003</v>
      </c>
      <c r="E25" s="54">
        <v>0.24</v>
      </c>
      <c r="F25" s="54">
        <v>6.24</v>
      </c>
      <c r="G25" s="54">
        <v>50.20</v>
      </c>
      <c r="H25" s="54">
        <v>24.62</v>
      </c>
      <c r="I25" s="54">
        <v>1.5</v>
      </c>
      <c r="J25" s="54">
        <v>0.22</v>
      </c>
      <c r="K25" s="54">
        <v>358.82</v>
      </c>
      <c r="L25" s="54">
        <v>28.42</v>
      </c>
      <c r="M25" s="54">
        <v>41.86</v>
      </c>
      <c r="N25" s="54">
        <v>154.30000000000001</v>
      </c>
      <c r="O25" s="54">
        <v>0</v>
      </c>
      <c r="P25" s="54">
        <v>0.48</v>
      </c>
      <c r="Q25" s="54">
        <v>5.64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3.65</v>
      </c>
      <c r="C26" s="54">
        <v>58.20</v>
      </c>
      <c r="D26" s="54">
        <v>35.69</v>
      </c>
      <c r="E26" s="54">
        <v>0.23</v>
      </c>
      <c r="F26" s="54">
        <v>5.88</v>
      </c>
      <c r="G26" s="54">
        <v>49.62</v>
      </c>
      <c r="H26" s="54">
        <v>21.17</v>
      </c>
      <c r="I26" s="54">
        <v>1.53</v>
      </c>
      <c r="J26" s="54">
        <v>0.17</v>
      </c>
      <c r="K26" s="54">
        <v>346.74</v>
      </c>
      <c r="L26" s="54">
        <v>27.5</v>
      </c>
      <c r="M26" s="54">
        <v>54.05</v>
      </c>
      <c r="N26" s="54">
        <v>90.10</v>
      </c>
      <c r="O26" s="54">
        <v>0</v>
      </c>
      <c r="P26" s="54">
        <v>0.66</v>
      </c>
      <c r="Q26" s="54">
        <v>6.65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8.8000000000000007</v>
      </c>
      <c r="C27" s="54">
        <v>58.35</v>
      </c>
      <c r="D27" s="54">
        <v>39.54</v>
      </c>
      <c r="E27" s="54">
        <v>0.23</v>
      </c>
      <c r="F27" s="54">
        <v>3.64</v>
      </c>
      <c r="G27" s="54">
        <v>55.40</v>
      </c>
      <c r="H27" s="54">
        <v>23.27</v>
      </c>
      <c r="I27" s="54">
        <v>1.51</v>
      </c>
      <c r="J27" s="54">
        <v>0.22</v>
      </c>
      <c r="K27" s="54">
        <v>329.07</v>
      </c>
      <c r="L27" s="54">
        <v>25.05</v>
      </c>
      <c r="M27" s="54">
        <v>65.739999999999995</v>
      </c>
      <c r="N27" s="54">
        <v>62.60</v>
      </c>
      <c r="O27" s="54">
        <v>0</v>
      </c>
      <c r="P27" s="54">
        <v>1</v>
      </c>
      <c r="Q27" s="54">
        <v>7.21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17.38</v>
      </c>
      <c r="C28" s="54">
        <v>58.60</v>
      </c>
      <c r="D28" s="54">
        <v>45.72</v>
      </c>
      <c r="E28" s="54">
        <v>0.26</v>
      </c>
      <c r="F28" s="54">
        <v>3.39</v>
      </c>
      <c r="G28" s="54">
        <v>68.80</v>
      </c>
      <c r="H28" s="54">
        <v>26.67</v>
      </c>
      <c r="I28" s="54">
        <v>1.56</v>
      </c>
      <c r="J28" s="54">
        <v>0.38</v>
      </c>
      <c r="K28" s="54">
        <v>298.82</v>
      </c>
      <c r="L28" s="54">
        <v>23.70</v>
      </c>
      <c r="M28" s="54">
        <v>66.900000000000006</v>
      </c>
      <c r="N28" s="54">
        <v>62.5</v>
      </c>
      <c r="O28" s="54">
        <v>0</v>
      </c>
      <c r="P28" s="54">
        <v>1.1100000000000001</v>
      </c>
      <c r="Q28" s="54">
        <v>7.89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35.43</v>
      </c>
      <c r="C29" s="54">
        <v>60.19</v>
      </c>
      <c r="D29" s="54">
        <v>61.46</v>
      </c>
      <c r="E29" s="54">
        <v>0.16</v>
      </c>
      <c r="F29" s="54">
        <v>3.31</v>
      </c>
      <c r="G29" s="54">
        <v>88.82</v>
      </c>
      <c r="H29" s="54">
        <v>27.21</v>
      </c>
      <c r="I29" s="54">
        <v>1.52</v>
      </c>
      <c r="J29" s="54">
        <v>0.30</v>
      </c>
      <c r="K29" s="54">
        <v>331.70</v>
      </c>
      <c r="L29" s="54">
        <v>23.22</v>
      </c>
      <c r="M29" s="54">
        <v>74.430000000000007</v>
      </c>
      <c r="N29" s="54">
        <v>62.90</v>
      </c>
      <c r="O29" s="54">
        <v>0</v>
      </c>
      <c r="P29" s="54">
        <v>1.34</v>
      </c>
      <c r="Q29" s="54">
        <v>8.7200000000000006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66.930000000000007</v>
      </c>
      <c r="C30" s="54">
        <v>63.04</v>
      </c>
      <c r="D30" s="54">
        <v>87.76</v>
      </c>
      <c r="E30" s="54">
        <v>0.25</v>
      </c>
      <c r="F30" s="54">
        <v>3.33</v>
      </c>
      <c r="G30" s="54">
        <v>120.03</v>
      </c>
      <c r="H30" s="54">
        <v>35.81</v>
      </c>
      <c r="I30" s="54">
        <v>1.55</v>
      </c>
      <c r="J30" s="54">
        <v>1.26</v>
      </c>
      <c r="K30" s="54">
        <v>345.60</v>
      </c>
      <c r="L30" s="54">
        <v>22.27</v>
      </c>
      <c r="M30" s="54">
        <v>78.25</v>
      </c>
      <c r="N30" s="54">
        <v>62.70</v>
      </c>
      <c r="O30" s="54">
        <v>0</v>
      </c>
      <c r="P30" s="54">
        <v>1.80</v>
      </c>
      <c r="Q30" s="54">
        <v>11.36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63.65</v>
      </c>
      <c r="C31" s="54">
        <v>63.44</v>
      </c>
      <c r="D31" s="54">
        <v>86.70</v>
      </c>
      <c r="E31" s="54">
        <v>0.23</v>
      </c>
      <c r="F31" s="54">
        <v>3.34</v>
      </c>
      <c r="G31" s="54">
        <v>120.03</v>
      </c>
      <c r="H31" s="54">
        <v>38.68</v>
      </c>
      <c r="I31" s="54">
        <v>1.51</v>
      </c>
      <c r="J31" s="54">
        <v>0.56999999999999995</v>
      </c>
      <c r="K31" s="54">
        <v>352.81</v>
      </c>
      <c r="L31" s="54">
        <v>22.10</v>
      </c>
      <c r="M31" s="54">
        <v>60.54</v>
      </c>
      <c r="N31" s="54">
        <v>62.90</v>
      </c>
      <c r="O31" s="54">
        <v>0</v>
      </c>
      <c r="P31" s="54">
        <v>1.77</v>
      </c>
      <c r="Q31" s="54">
        <v>11.39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54.33</v>
      </c>
      <c r="C32" s="54">
        <v>60.23</v>
      </c>
      <c r="D32" s="54">
        <v>77.150000000000006</v>
      </c>
      <c r="E32" s="54">
        <v>0.20</v>
      </c>
      <c r="F32" s="54">
        <v>3.13</v>
      </c>
      <c r="G32" s="54">
        <v>111.46</v>
      </c>
      <c r="H32" s="54">
        <v>38.68</v>
      </c>
      <c r="I32" s="54">
        <v>1.53</v>
      </c>
      <c r="J32" s="54">
        <v>0.85</v>
      </c>
      <c r="K32" s="54">
        <v>348.69</v>
      </c>
      <c r="L32" s="54">
        <v>21.35</v>
      </c>
      <c r="M32" s="54">
        <v>70.510000000000005</v>
      </c>
      <c r="N32" s="54">
        <v>63.30</v>
      </c>
      <c r="O32" s="54">
        <v>0</v>
      </c>
      <c r="P32" s="54">
        <v>1.58</v>
      </c>
      <c r="Q32" s="54">
        <v>10.66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1.4299999999999999</v>
      </c>
      <c r="C34" s="28">
        <f t="shared" si="0"/>
        <v>49.490000000000002</v>
      </c>
      <c r="D34" s="28">
        <f t="shared" si="0"/>
        <v>29.420000000000002</v>
      </c>
      <c r="E34" s="28">
        <f t="shared" si="0"/>
        <v>0.10000000000000001</v>
      </c>
      <c r="F34" s="28">
        <f t="shared" si="0"/>
        <v>3.1099999999999999</v>
      </c>
      <c r="G34" s="28">
        <f t="shared" si="0"/>
        <v>49.619999999999997</v>
      </c>
      <c r="H34" s="28">
        <f t="shared" si="0"/>
        <v>21.170000000000002</v>
      </c>
      <c r="I34" s="28">
        <f t="shared" si="0"/>
        <v>1.5</v>
      </c>
      <c r="J34" s="28">
        <f t="shared" si="0"/>
        <v>0.080000000000000002</v>
      </c>
      <c r="K34" s="28">
        <f t="shared" si="0"/>
        <v>22.109999999999999</v>
      </c>
      <c r="L34" s="28">
        <f t="shared" si="0"/>
        <v>17.719999999999999</v>
      </c>
      <c r="M34" s="28">
        <f t="shared" si="0"/>
        <v>38.689999999999998</v>
      </c>
      <c r="N34" s="28">
        <f t="shared" si="0"/>
        <v>62.5</v>
      </c>
      <c r="O34" s="28">
        <f t="shared" si="0"/>
        <v>0</v>
      </c>
      <c r="P34" s="28">
        <f t="shared" si="0"/>
        <v>0.39000000000000001</v>
      </c>
      <c r="Q34" s="28">
        <f t="shared" si="0"/>
        <v>5.2699999999999996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66.930000000000007</v>
      </c>
      <c r="C35" s="29">
        <f t="shared" si="1"/>
        <v>70.049999999999997</v>
      </c>
      <c r="D35" s="29">
        <f t="shared" si="1"/>
        <v>87.760000000000005</v>
      </c>
      <c r="E35" s="29">
        <f t="shared" si="1"/>
        <v>0.37</v>
      </c>
      <c r="F35" s="29">
        <f t="shared" si="1"/>
        <v>19.309999999999999</v>
      </c>
      <c r="G35" s="29">
        <f t="shared" si="1"/>
        <v>120.03</v>
      </c>
      <c r="H35" s="29">
        <f t="shared" si="1"/>
        <v>38.75</v>
      </c>
      <c r="I35" s="29">
        <f t="shared" si="1"/>
        <v>1.6000000000000001</v>
      </c>
      <c r="J35" s="29">
        <f t="shared" si="1"/>
        <v>1.26</v>
      </c>
      <c r="K35" s="29">
        <f t="shared" si="1"/>
        <v>358.81999999999999</v>
      </c>
      <c r="L35" s="29">
        <f t="shared" si="1"/>
        <v>30.75</v>
      </c>
      <c r="M35" s="29">
        <f t="shared" si="1"/>
        <v>97.840000000000003</v>
      </c>
      <c r="N35" s="29">
        <f t="shared" si="1"/>
        <v>786.10000000000002</v>
      </c>
      <c r="O35" s="29">
        <f t="shared" si="1"/>
        <v>0</v>
      </c>
      <c r="P35" s="29">
        <f t="shared" si="1"/>
        <v>1.8</v>
      </c>
      <c r="Q35" s="29">
        <f t="shared" si="1"/>
        <v>11.390000000000001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24.714166666666667</v>
      </c>
      <c r="C36" s="28">
        <f t="shared" si="2"/>
        <v>57.444583333333327</v>
      </c>
      <c r="D36" s="28">
        <f t="shared" si="2"/>
        <v>51.700416666666676</v>
      </c>
      <c r="E36" s="28">
        <f t="shared" si="2"/>
        <v>0.22208333333333341</v>
      </c>
      <c r="F36" s="28">
        <f t="shared" si="2"/>
        <v>5.6150000000000011</v>
      </c>
      <c r="G36" s="28">
        <f t="shared" si="2"/>
        <v>76.878749999999982</v>
      </c>
      <c r="H36" s="28">
        <f t="shared" si="2"/>
        <v>28.652083333333326</v>
      </c>
      <c r="I36" s="28">
        <f t="shared" si="2"/>
        <v>1.5441666666666667</v>
      </c>
      <c r="J36" s="28">
        <f t="shared" si="2"/>
        <v>0.32333333333333331</v>
      </c>
      <c r="K36" s="28">
        <f t="shared" si="2"/>
        <v>316.48666666666668</v>
      </c>
      <c r="L36" s="28">
        <f t="shared" si="2"/>
        <v>23.864999999999998</v>
      </c>
      <c r="M36" s="28">
        <f t="shared" si="2"/>
        <v>68.899166666666659</v>
      </c>
      <c r="N36" s="28">
        <f t="shared" si="2"/>
        <v>260.63749999999999</v>
      </c>
      <c r="O36" s="28">
        <f t="shared" si="2"/>
        <v>0</v>
      </c>
      <c r="P36" s="28">
        <f t="shared" si="2"/>
        <v>0.83583333333333343</v>
      </c>
      <c r="Q36" s="28">
        <f t="shared" si="2"/>
        <v>8.2170833333333331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22.816966211603354</v>
      </c>
      <c r="C37" s="28">
        <f t="shared" si="3" ref="C37:Q37">STDEV(C9:C32)</f>
        <v>5.1439352041077386</v>
      </c>
      <c r="D37" s="28">
        <f t="shared" si="3"/>
        <v>19.531383770556364</v>
      </c>
      <c r="E37" s="28">
        <f t="shared" si="3"/>
        <v>0.07040128251466804</v>
      </c>
      <c r="F37" s="28">
        <f t="shared" si="3"/>
        <v>4.089895289400558</v>
      </c>
      <c r="G37" s="28">
        <f t="shared" si="3"/>
        <v>23.535925234212446</v>
      </c>
      <c r="H37" s="28">
        <f t="shared" si="3"/>
        <v>5.8622261531789057</v>
      </c>
      <c r="I37" s="28">
        <f t="shared" si="3"/>
        <v>0.025007245326916373</v>
      </c>
      <c r="J37" s="28">
        <f t="shared" si="3"/>
        <v>0.26336726987342168</v>
      </c>
      <c r="K37" s="28">
        <f t="shared" si="3"/>
        <v>70.583837580115983</v>
      </c>
      <c r="L37" s="28">
        <f t="shared" si="3"/>
        <v>4.3298167447916827</v>
      </c>
      <c r="M37" s="28">
        <f t="shared" si="3"/>
        <v>19.960865607410497</v>
      </c>
      <c r="N37" s="28">
        <f t="shared" si="3"/>
        <v>276.57300602742032</v>
      </c>
      <c r="O37" s="28">
        <f t="shared" si="3"/>
        <v>0</v>
      </c>
      <c r="P37" s="28">
        <f t="shared" si="3"/>
        <v>0.4153146179513284</v>
      </c>
      <c r="Q37" s="28">
        <f t="shared" si="3"/>
        <v>1.9243033277270598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98a18d-b7bd-4cec-9ec6-c10580e08e5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40.33</v>
      </c>
      <c r="C9" s="54">
        <v>60.52</v>
      </c>
      <c r="D9" s="54">
        <v>66.349999999999994</v>
      </c>
      <c r="E9" s="54">
        <v>0.37</v>
      </c>
      <c r="F9" s="54">
        <v>3.36</v>
      </c>
      <c r="G9" s="54">
        <v>90.61</v>
      </c>
      <c r="H9" s="54">
        <v>33.86</v>
      </c>
      <c r="I9" s="54">
        <v>1.53</v>
      </c>
      <c r="J9" s="54">
        <v>1.06</v>
      </c>
      <c r="K9" s="54">
        <v>346.52</v>
      </c>
      <c r="L9" s="54">
        <v>19.809999999999999</v>
      </c>
      <c r="M9" s="54">
        <v>75.930000000000007</v>
      </c>
      <c r="N9" s="54">
        <v>62.90</v>
      </c>
      <c r="O9" s="54">
        <v>0</v>
      </c>
      <c r="P9" s="54">
        <v>1.27</v>
      </c>
      <c r="Q9" s="54">
        <v>9.8000000000000007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28.67</v>
      </c>
      <c r="C10" s="54">
        <v>59.78</v>
      </c>
      <c r="D10" s="54">
        <v>56.63</v>
      </c>
      <c r="E10" s="54">
        <v>0.30</v>
      </c>
      <c r="F10" s="54">
        <v>3.38</v>
      </c>
      <c r="G10" s="54">
        <v>69.790000000000006</v>
      </c>
      <c r="H10" s="54">
        <v>25.93</v>
      </c>
      <c r="I10" s="54">
        <v>1.53</v>
      </c>
      <c r="J10" s="54">
        <v>0.87</v>
      </c>
      <c r="K10" s="54">
        <v>351.38</v>
      </c>
      <c r="L10" s="54">
        <v>19.02</v>
      </c>
      <c r="M10" s="54">
        <v>80.569999999999993</v>
      </c>
      <c r="N10" s="54">
        <v>63.10</v>
      </c>
      <c r="O10" s="54">
        <v>0</v>
      </c>
      <c r="P10" s="54">
        <v>0.94</v>
      </c>
      <c r="Q10" s="54">
        <v>9.11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21.14</v>
      </c>
      <c r="C11" s="54">
        <v>57.84</v>
      </c>
      <c r="D11" s="54">
        <v>49.52</v>
      </c>
      <c r="E11" s="54">
        <v>0.28000000000000003</v>
      </c>
      <c r="F11" s="54">
        <v>3.25</v>
      </c>
      <c r="G11" s="54">
        <v>53.06</v>
      </c>
      <c r="H11" s="54">
        <v>24.43</v>
      </c>
      <c r="I11" s="54">
        <v>1.58</v>
      </c>
      <c r="J11" s="54">
        <v>0.28999999999999998</v>
      </c>
      <c r="K11" s="54">
        <v>82.39</v>
      </c>
      <c r="L11" s="54">
        <v>18.39</v>
      </c>
      <c r="M11" s="54">
        <v>82.66</v>
      </c>
      <c r="N11" s="54">
        <v>63</v>
      </c>
      <c r="O11" s="54">
        <v>0</v>
      </c>
      <c r="P11" s="54">
        <v>0.81</v>
      </c>
      <c r="Q11" s="54">
        <v>8.43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16.54</v>
      </c>
      <c r="C12" s="54">
        <v>50.85</v>
      </c>
      <c r="D12" s="54">
        <v>41.87</v>
      </c>
      <c r="E12" s="54">
        <v>0.26</v>
      </c>
      <c r="F12" s="54">
        <v>3.36</v>
      </c>
      <c r="G12" s="54">
        <v>49.66</v>
      </c>
      <c r="H12" s="54">
        <v>23.72</v>
      </c>
      <c r="I12" s="54">
        <v>1.54</v>
      </c>
      <c r="J12" s="54">
        <v>0.28000000000000003</v>
      </c>
      <c r="K12" s="54">
        <v>35</v>
      </c>
      <c r="L12" s="54">
        <v>18.04</v>
      </c>
      <c r="M12" s="54">
        <v>85.92</v>
      </c>
      <c r="N12" s="54">
        <v>63</v>
      </c>
      <c r="O12" s="54">
        <v>0</v>
      </c>
      <c r="P12" s="54">
        <v>0.68</v>
      </c>
      <c r="Q12" s="54">
        <v>7.81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14.18</v>
      </c>
      <c r="C13" s="54">
        <v>49.90</v>
      </c>
      <c r="D13" s="54">
        <v>39.409999999999997</v>
      </c>
      <c r="E13" s="54">
        <v>0.23</v>
      </c>
      <c r="F13" s="54">
        <v>3.09</v>
      </c>
      <c r="G13" s="54">
        <v>49.66</v>
      </c>
      <c r="H13" s="54">
        <v>24.38</v>
      </c>
      <c r="I13" s="54">
        <v>1.52</v>
      </c>
      <c r="J13" s="54">
        <v>0.44</v>
      </c>
      <c r="K13" s="54">
        <v>352.57</v>
      </c>
      <c r="L13" s="54">
        <v>17.899999999999999</v>
      </c>
      <c r="M13" s="54">
        <v>86.02</v>
      </c>
      <c r="N13" s="54">
        <v>63.5</v>
      </c>
      <c r="O13" s="54">
        <v>0</v>
      </c>
      <c r="P13" s="54">
        <v>0.59</v>
      </c>
      <c r="Q13" s="54">
        <v>7.42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15.45</v>
      </c>
      <c r="C14" s="54">
        <v>49.63</v>
      </c>
      <c r="D14" s="54">
        <v>40.42</v>
      </c>
      <c r="E14" s="54">
        <v>0.21</v>
      </c>
      <c r="F14" s="54">
        <v>3.07</v>
      </c>
      <c r="G14" s="54">
        <v>52.60</v>
      </c>
      <c r="H14" s="54">
        <v>24.88</v>
      </c>
      <c r="I14" s="54">
        <v>1.52</v>
      </c>
      <c r="J14" s="54">
        <v>0.5</v>
      </c>
      <c r="K14" s="54">
        <v>355.38</v>
      </c>
      <c r="L14" s="54">
        <v>17.53</v>
      </c>
      <c r="M14" s="54">
        <v>86.5</v>
      </c>
      <c r="N14" s="54">
        <v>63.60</v>
      </c>
      <c r="O14" s="54">
        <v>0</v>
      </c>
      <c r="P14" s="54">
        <v>0.51</v>
      </c>
      <c r="Q14" s="54">
        <v>7.40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20.02</v>
      </c>
      <c r="C15" s="54">
        <v>51.09</v>
      </c>
      <c r="D15" s="54">
        <v>44.90</v>
      </c>
      <c r="E15" s="54">
        <v>0.19</v>
      </c>
      <c r="F15" s="54">
        <v>3.19</v>
      </c>
      <c r="G15" s="54">
        <v>56.73</v>
      </c>
      <c r="H15" s="54">
        <v>24.88</v>
      </c>
      <c r="I15" s="54">
        <v>1.52</v>
      </c>
      <c r="J15" s="54">
        <v>0.37</v>
      </c>
      <c r="K15" s="54">
        <v>355.38</v>
      </c>
      <c r="L15" s="54">
        <v>17.53</v>
      </c>
      <c r="M15" s="54">
        <v>87.92</v>
      </c>
      <c r="N15" s="54">
        <v>84.90</v>
      </c>
      <c r="O15" s="54">
        <v>0</v>
      </c>
      <c r="P15" s="54">
        <v>0.49</v>
      </c>
      <c r="Q15" s="54">
        <v>7.76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23.53</v>
      </c>
      <c r="C16" s="54">
        <v>51.31</v>
      </c>
      <c r="D16" s="54">
        <v>47.66</v>
      </c>
      <c r="E16" s="54">
        <v>0.18</v>
      </c>
      <c r="F16" s="54">
        <v>3.23</v>
      </c>
      <c r="G16" s="54">
        <v>57.76</v>
      </c>
      <c r="H16" s="54">
        <v>24.37</v>
      </c>
      <c r="I16" s="54">
        <v>1.56</v>
      </c>
      <c r="J16" s="54">
        <v>0.91</v>
      </c>
      <c r="K16" s="54">
        <v>103.97</v>
      </c>
      <c r="L16" s="54">
        <v>18.54</v>
      </c>
      <c r="M16" s="54">
        <v>88.38</v>
      </c>
      <c r="N16" s="54">
        <v>228.60</v>
      </c>
      <c r="O16" s="54">
        <v>0</v>
      </c>
      <c r="P16" s="54">
        <v>0.46</v>
      </c>
      <c r="Q16" s="54">
        <v>8.17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27.07</v>
      </c>
      <c r="C17" s="54">
        <v>51.74</v>
      </c>
      <c r="D17" s="54">
        <v>50.91</v>
      </c>
      <c r="E17" s="54">
        <v>0.31</v>
      </c>
      <c r="F17" s="54">
        <v>3.37</v>
      </c>
      <c r="G17" s="54">
        <v>57.76</v>
      </c>
      <c r="H17" s="54">
        <v>24.13</v>
      </c>
      <c r="I17" s="54">
        <v>1.55</v>
      </c>
      <c r="J17" s="54">
        <v>0.74</v>
      </c>
      <c r="K17" s="54">
        <v>113.68</v>
      </c>
      <c r="L17" s="54">
        <v>20.65</v>
      </c>
      <c r="M17" s="54">
        <v>76.459999999999994</v>
      </c>
      <c r="N17" s="54">
        <v>430.30</v>
      </c>
      <c r="O17" s="54">
        <v>0</v>
      </c>
      <c r="P17" s="54">
        <v>0.47</v>
      </c>
      <c r="Q17" s="54">
        <v>8.49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28.66</v>
      </c>
      <c r="C18" s="54">
        <v>53.07</v>
      </c>
      <c r="D18" s="54">
        <v>52.70</v>
      </c>
      <c r="E18" s="54">
        <v>0.28999999999999998</v>
      </c>
      <c r="F18" s="54">
        <v>3.23</v>
      </c>
      <c r="G18" s="54">
        <v>59.43</v>
      </c>
      <c r="H18" s="54">
        <v>25.65</v>
      </c>
      <c r="I18" s="54">
        <v>1.55</v>
      </c>
      <c r="J18" s="54">
        <v>0.83</v>
      </c>
      <c r="K18" s="54">
        <v>359.79</v>
      </c>
      <c r="L18" s="54">
        <v>26.64</v>
      </c>
      <c r="M18" s="54">
        <v>62.46</v>
      </c>
      <c r="N18" s="54">
        <v>563.29999999999995</v>
      </c>
      <c r="O18" s="54">
        <v>0</v>
      </c>
      <c r="P18" s="54">
        <v>0.5</v>
      </c>
      <c r="Q18" s="54">
        <v>8.65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28.49</v>
      </c>
      <c r="C19" s="54">
        <v>55.10</v>
      </c>
      <c r="D19" s="54">
        <v>52.08</v>
      </c>
      <c r="E19" s="54">
        <v>0.32</v>
      </c>
      <c r="F19" s="54">
        <v>3.12</v>
      </c>
      <c r="G19" s="54">
        <v>64.680000000000007</v>
      </c>
      <c r="H19" s="54">
        <v>25.65</v>
      </c>
      <c r="I19" s="54">
        <v>1.49</v>
      </c>
      <c r="J19" s="54">
        <v>0.61</v>
      </c>
      <c r="K19" s="54">
        <v>351.34</v>
      </c>
      <c r="L19" s="54">
        <v>27.46</v>
      </c>
      <c r="M19" s="54">
        <v>48.14</v>
      </c>
      <c r="N19" s="54">
        <v>705.10</v>
      </c>
      <c r="O19" s="54">
        <v>0</v>
      </c>
      <c r="P19" s="54">
        <v>0.54</v>
      </c>
      <c r="Q19" s="54">
        <v>8.5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25.06</v>
      </c>
      <c r="C20" s="54">
        <v>58.5</v>
      </c>
      <c r="D20" s="54">
        <v>50.93</v>
      </c>
      <c r="E20" s="54">
        <v>0.30</v>
      </c>
      <c r="F20" s="54">
        <v>3.22</v>
      </c>
      <c r="G20" s="54">
        <v>64.680000000000007</v>
      </c>
      <c r="H20" s="54">
        <v>25.73</v>
      </c>
      <c r="I20" s="54">
        <v>1.56</v>
      </c>
      <c r="J20" s="54">
        <v>0.74</v>
      </c>
      <c r="K20" s="54">
        <v>119.06</v>
      </c>
      <c r="L20" s="54">
        <v>26.84</v>
      </c>
      <c r="M20" s="54">
        <v>51.51</v>
      </c>
      <c r="N20" s="54">
        <v>741.5</v>
      </c>
      <c r="O20" s="54">
        <v>0</v>
      </c>
      <c r="P20" s="54">
        <v>0.56000000000000005</v>
      </c>
      <c r="Q20" s="54">
        <v>8.35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16.559999999999999</v>
      </c>
      <c r="C21" s="54">
        <v>60.63</v>
      </c>
      <c r="D21" s="54">
        <v>46.23</v>
      </c>
      <c r="E21" s="54">
        <v>0.24</v>
      </c>
      <c r="F21" s="54">
        <v>3.48</v>
      </c>
      <c r="G21" s="54">
        <v>62.84</v>
      </c>
      <c r="H21" s="54">
        <v>27.62</v>
      </c>
      <c r="I21" s="54">
        <v>1.56</v>
      </c>
      <c r="J21" s="54">
        <v>0.79</v>
      </c>
      <c r="K21" s="54">
        <v>346.27</v>
      </c>
      <c r="L21" s="54">
        <v>27.66</v>
      </c>
      <c r="M21" s="54">
        <v>50.67</v>
      </c>
      <c r="N21" s="54">
        <v>636.40</v>
      </c>
      <c r="O21" s="54">
        <v>0</v>
      </c>
      <c r="P21" s="54">
        <v>0.59</v>
      </c>
      <c r="Q21" s="54">
        <v>7.96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10.96</v>
      </c>
      <c r="C22" s="54">
        <v>63.38</v>
      </c>
      <c r="D22" s="54">
        <v>43.45</v>
      </c>
      <c r="E22" s="54">
        <v>0.36</v>
      </c>
      <c r="F22" s="54">
        <v>3.43</v>
      </c>
      <c r="G22" s="54">
        <v>73.66</v>
      </c>
      <c r="H22" s="54">
        <v>29.88</v>
      </c>
      <c r="I22" s="54">
        <v>1.55</v>
      </c>
      <c r="J22" s="54">
        <v>0.99</v>
      </c>
      <c r="K22" s="54">
        <v>348.59</v>
      </c>
      <c r="L22" s="54">
        <v>29.43</v>
      </c>
      <c r="M22" s="54">
        <v>52.39</v>
      </c>
      <c r="N22" s="54">
        <v>623.70000000000005</v>
      </c>
      <c r="O22" s="54">
        <v>0</v>
      </c>
      <c r="P22" s="54">
        <v>0.62</v>
      </c>
      <c r="Q22" s="54">
        <v>7.59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8.73</v>
      </c>
      <c r="C23" s="54">
        <v>64.12</v>
      </c>
      <c r="D23" s="54">
        <v>43</v>
      </c>
      <c r="E23" s="54">
        <v>0.23</v>
      </c>
      <c r="F23" s="54">
        <v>4</v>
      </c>
      <c r="G23" s="54">
        <v>77.819999999999993</v>
      </c>
      <c r="H23" s="54">
        <v>31.79</v>
      </c>
      <c r="I23" s="54">
        <v>1.53</v>
      </c>
      <c r="J23" s="54">
        <v>0.92</v>
      </c>
      <c r="K23" s="54">
        <v>339.68</v>
      </c>
      <c r="L23" s="54">
        <v>30.37</v>
      </c>
      <c r="M23" s="54">
        <v>41.27</v>
      </c>
      <c r="N23" s="54">
        <v>614.10</v>
      </c>
      <c r="O23" s="54">
        <v>0</v>
      </c>
      <c r="P23" s="54">
        <v>0.63</v>
      </c>
      <c r="Q23" s="54">
        <v>7.62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6.03</v>
      </c>
      <c r="C24" s="54">
        <v>63.10</v>
      </c>
      <c r="D24" s="54">
        <v>40.299999999999997</v>
      </c>
      <c r="E24" s="54">
        <v>0.23</v>
      </c>
      <c r="F24" s="54">
        <v>4.28</v>
      </c>
      <c r="G24" s="54">
        <v>77.819999999999993</v>
      </c>
      <c r="H24" s="54">
        <v>31.79</v>
      </c>
      <c r="I24" s="54">
        <v>1.55</v>
      </c>
      <c r="J24" s="54">
        <v>0.34</v>
      </c>
      <c r="K24" s="54">
        <v>300.19</v>
      </c>
      <c r="L24" s="54">
        <v>27.81</v>
      </c>
      <c r="M24" s="54">
        <v>46.07</v>
      </c>
      <c r="N24" s="54">
        <v>291.30</v>
      </c>
      <c r="O24" s="54">
        <v>0</v>
      </c>
      <c r="P24" s="54">
        <v>0.59</v>
      </c>
      <c r="Q24" s="54">
        <v>7.52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3.34</v>
      </c>
      <c r="C25" s="54">
        <v>60.31</v>
      </c>
      <c r="D25" s="54">
        <v>36.60</v>
      </c>
      <c r="E25" s="54">
        <v>0.25</v>
      </c>
      <c r="F25" s="54">
        <v>4.37</v>
      </c>
      <c r="G25" s="54">
        <v>66.88</v>
      </c>
      <c r="H25" s="54">
        <v>27.40</v>
      </c>
      <c r="I25" s="54">
        <v>1.52</v>
      </c>
      <c r="J25" s="54">
        <v>0.16</v>
      </c>
      <c r="K25" s="54">
        <v>349.52</v>
      </c>
      <c r="L25" s="54">
        <v>26.35</v>
      </c>
      <c r="M25" s="54">
        <v>47.47</v>
      </c>
      <c r="N25" s="54">
        <v>155.90</v>
      </c>
      <c r="O25" s="54">
        <v>0</v>
      </c>
      <c r="P25" s="54">
        <v>0.62</v>
      </c>
      <c r="Q25" s="54">
        <v>7.29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2.80</v>
      </c>
      <c r="C26" s="54">
        <v>56.58</v>
      </c>
      <c r="D26" s="54">
        <v>33.840000000000003</v>
      </c>
      <c r="E26" s="54">
        <v>0.27</v>
      </c>
      <c r="F26" s="54">
        <v>4.5599999999999996</v>
      </c>
      <c r="G26" s="54">
        <v>67.05</v>
      </c>
      <c r="H26" s="54">
        <v>26.75</v>
      </c>
      <c r="I26" s="54">
        <v>1.52</v>
      </c>
      <c r="J26" s="54">
        <v>0.070000000000000007</v>
      </c>
      <c r="K26" s="54">
        <v>349.76</v>
      </c>
      <c r="L26" s="54">
        <v>25.44</v>
      </c>
      <c r="M26" s="54">
        <v>68.75</v>
      </c>
      <c r="N26" s="54">
        <v>97</v>
      </c>
      <c r="O26" s="54">
        <v>0</v>
      </c>
      <c r="P26" s="54">
        <v>0.66</v>
      </c>
      <c r="Q26" s="54">
        <v>7.02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3.39</v>
      </c>
      <c r="C27" s="54">
        <v>59.82</v>
      </c>
      <c r="D27" s="54">
        <v>36.380000000000003</v>
      </c>
      <c r="E27" s="54">
        <v>0.22</v>
      </c>
      <c r="F27" s="54">
        <v>4.1399999999999997</v>
      </c>
      <c r="G27" s="54">
        <v>76.38</v>
      </c>
      <c r="H27" s="54">
        <v>31.13</v>
      </c>
      <c r="I27" s="54">
        <v>1.52</v>
      </c>
      <c r="J27" s="54">
        <v>0.13</v>
      </c>
      <c r="K27" s="54">
        <v>350.05</v>
      </c>
      <c r="L27" s="54">
        <v>22.86</v>
      </c>
      <c r="M27" s="54">
        <v>73.59</v>
      </c>
      <c r="N27" s="54">
        <v>66.20</v>
      </c>
      <c r="O27" s="54">
        <v>0</v>
      </c>
      <c r="P27" s="54">
        <v>0.76</v>
      </c>
      <c r="Q27" s="54">
        <v>7.08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6.59</v>
      </c>
      <c r="C28" s="54">
        <v>63.64</v>
      </c>
      <c r="D28" s="54">
        <v>41.01</v>
      </c>
      <c r="E28" s="54">
        <v>0.25</v>
      </c>
      <c r="F28" s="54">
        <v>3.54</v>
      </c>
      <c r="G28" s="54">
        <v>84.61</v>
      </c>
      <c r="H28" s="54">
        <v>31.34</v>
      </c>
      <c r="I28" s="54">
        <v>1.60</v>
      </c>
      <c r="J28" s="54">
        <v>0.15</v>
      </c>
      <c r="K28" s="54">
        <v>300.81</v>
      </c>
      <c r="L28" s="54">
        <v>22.46</v>
      </c>
      <c r="M28" s="54">
        <v>74.08</v>
      </c>
      <c r="N28" s="54">
        <v>66.30</v>
      </c>
      <c r="O28" s="54">
        <v>0</v>
      </c>
      <c r="P28" s="54">
        <v>0.88</v>
      </c>
      <c r="Q28" s="54">
        <v>7.39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25.69</v>
      </c>
      <c r="C29" s="54">
        <v>68.13</v>
      </c>
      <c r="D29" s="54">
        <v>58.42</v>
      </c>
      <c r="E29" s="54">
        <v>0.11</v>
      </c>
      <c r="F29" s="54">
        <v>3.17</v>
      </c>
      <c r="G29" s="54">
        <v>103.68</v>
      </c>
      <c r="H29" s="54">
        <v>33.659999999999997</v>
      </c>
      <c r="I29" s="54">
        <v>1.57</v>
      </c>
      <c r="J29" s="54">
        <v>0.10</v>
      </c>
      <c r="K29" s="54">
        <v>310.97000000000003</v>
      </c>
      <c r="L29" s="54">
        <v>20.76</v>
      </c>
      <c r="M29" s="54">
        <v>84.53</v>
      </c>
      <c r="N29" s="54">
        <v>66.30</v>
      </c>
      <c r="O29" s="54">
        <v>0</v>
      </c>
      <c r="P29" s="54">
        <v>1.39</v>
      </c>
      <c r="Q29" s="54">
        <v>8.81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47.86</v>
      </c>
      <c r="C30" s="54">
        <v>66.87</v>
      </c>
      <c r="D30" s="54">
        <v>75.47</v>
      </c>
      <c r="E30" s="54">
        <v>0.15</v>
      </c>
      <c r="F30" s="54">
        <v>3.08</v>
      </c>
      <c r="G30" s="54">
        <v>122.60</v>
      </c>
      <c r="H30" s="54">
        <v>41.18</v>
      </c>
      <c r="I30" s="54">
        <v>1.54</v>
      </c>
      <c r="J30" s="54">
        <v>0.11</v>
      </c>
      <c r="K30" s="54">
        <v>347.16</v>
      </c>
      <c r="L30" s="54">
        <v>19.89</v>
      </c>
      <c r="M30" s="54">
        <v>88.60</v>
      </c>
      <c r="N30" s="54">
        <v>66.30</v>
      </c>
      <c r="O30" s="54">
        <v>0</v>
      </c>
      <c r="P30" s="54">
        <v>1.65</v>
      </c>
      <c r="Q30" s="54">
        <v>10.29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54.95</v>
      </c>
      <c r="C31" s="54">
        <v>66.09</v>
      </c>
      <c r="D31" s="54">
        <v>80.75</v>
      </c>
      <c r="E31" s="54">
        <v>0.22</v>
      </c>
      <c r="F31" s="54">
        <v>3.20</v>
      </c>
      <c r="G31" s="54">
        <v>122.60</v>
      </c>
      <c r="H31" s="54">
        <v>41.18</v>
      </c>
      <c r="I31" s="54">
        <v>1.51</v>
      </c>
      <c r="J31" s="54">
        <v>1.05</v>
      </c>
      <c r="K31" s="54">
        <v>349.24</v>
      </c>
      <c r="L31" s="54">
        <v>20.49</v>
      </c>
      <c r="M31" s="54">
        <v>88.97</v>
      </c>
      <c r="N31" s="54">
        <v>66.20</v>
      </c>
      <c r="O31" s="54">
        <v>0</v>
      </c>
      <c r="P31" s="54">
        <v>1.68</v>
      </c>
      <c r="Q31" s="54">
        <v>11.25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52.10</v>
      </c>
      <c r="C32" s="54">
        <v>64.95</v>
      </c>
      <c r="D32" s="54">
        <v>78.27</v>
      </c>
      <c r="E32" s="54">
        <v>0.23</v>
      </c>
      <c r="F32" s="54">
        <v>3.30</v>
      </c>
      <c r="G32" s="54">
        <v>122.43</v>
      </c>
      <c r="H32" s="54">
        <v>40.90</v>
      </c>
      <c r="I32" s="54">
        <v>1.61</v>
      </c>
      <c r="J32" s="54">
        <v>1.52</v>
      </c>
      <c r="K32" s="54">
        <v>349.77</v>
      </c>
      <c r="L32" s="54">
        <v>20.05</v>
      </c>
      <c r="M32" s="54">
        <v>60.10</v>
      </c>
      <c r="N32" s="54">
        <v>66.80</v>
      </c>
      <c r="O32" s="54">
        <v>0</v>
      </c>
      <c r="P32" s="54">
        <v>1.52</v>
      </c>
      <c r="Q32" s="54">
        <v>11.21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2.7999999999999998</v>
      </c>
      <c r="C34" s="28">
        <f t="shared" si="0"/>
        <v>49.630000000000003</v>
      </c>
      <c r="D34" s="28">
        <f t="shared" si="0"/>
        <v>33.840000000000003</v>
      </c>
      <c r="E34" s="28">
        <f t="shared" si="0"/>
        <v>0.11</v>
      </c>
      <c r="F34" s="28">
        <f t="shared" si="0"/>
        <v>3.0699999999999998</v>
      </c>
      <c r="G34" s="28">
        <f t="shared" si="0"/>
        <v>49.659999999999997</v>
      </c>
      <c r="H34" s="28">
        <f t="shared" si="0"/>
        <v>23.719999999999999</v>
      </c>
      <c r="I34" s="28">
        <f t="shared" si="0"/>
        <v>1.49</v>
      </c>
      <c r="J34" s="28">
        <f t="shared" si="0"/>
        <v>0.070000000000000007</v>
      </c>
      <c r="K34" s="28">
        <f t="shared" si="0"/>
        <v>35</v>
      </c>
      <c r="L34" s="28">
        <f t="shared" si="0"/>
        <v>17.530000000000001</v>
      </c>
      <c r="M34" s="28">
        <f t="shared" si="0"/>
        <v>41.270000000000003</v>
      </c>
      <c r="N34" s="28">
        <f t="shared" si="0"/>
        <v>62.899999999999999</v>
      </c>
      <c r="O34" s="28">
        <f t="shared" si="0"/>
        <v>0</v>
      </c>
      <c r="P34" s="28">
        <f t="shared" si="0"/>
        <v>0.46000000000000002</v>
      </c>
      <c r="Q34" s="28">
        <f t="shared" si="0"/>
        <v>7.0199999999999996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54.950000000000003</v>
      </c>
      <c r="C35" s="29">
        <f t="shared" si="1"/>
        <v>68.129999999999995</v>
      </c>
      <c r="D35" s="29">
        <f t="shared" si="1"/>
        <v>80.75</v>
      </c>
      <c r="E35" s="29">
        <f t="shared" si="1"/>
        <v>0.37</v>
      </c>
      <c r="F35" s="29">
        <f t="shared" si="1"/>
        <v>4.5599999999999996</v>
      </c>
      <c r="G35" s="29">
        <f t="shared" si="1"/>
        <v>122.59999999999999</v>
      </c>
      <c r="H35" s="29">
        <f t="shared" si="1"/>
        <v>41.18</v>
      </c>
      <c r="I35" s="29">
        <f t="shared" si="1"/>
        <v>1.6100000000000001</v>
      </c>
      <c r="J35" s="29">
        <f t="shared" si="1"/>
        <v>1.52</v>
      </c>
      <c r="K35" s="29">
        <f t="shared" si="1"/>
        <v>359.79000000000002</v>
      </c>
      <c r="L35" s="29">
        <f t="shared" si="1"/>
        <v>30.370000000000001</v>
      </c>
      <c r="M35" s="29">
        <f t="shared" si="1"/>
        <v>88.969999999999999</v>
      </c>
      <c r="N35" s="29">
        <f t="shared" si="1"/>
        <v>741.5</v>
      </c>
      <c r="O35" s="29">
        <f t="shared" si="1"/>
        <v>0</v>
      </c>
      <c r="P35" s="29">
        <f t="shared" si="1"/>
        <v>1.6799999999999999</v>
      </c>
      <c r="Q35" s="29">
        <f t="shared" si="1"/>
        <v>11.25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22.005833333333328</v>
      </c>
      <c r="C36" s="28">
        <f t="shared" si="2"/>
        <v>58.622916666666676</v>
      </c>
      <c r="D36" s="28">
        <f t="shared" si="2"/>
        <v>50.295833333333327</v>
      </c>
      <c r="E36" s="28">
        <f t="shared" si="2"/>
        <v>0.25000000000000006</v>
      </c>
      <c r="F36" s="28">
        <f t="shared" si="2"/>
        <v>3.4758333333333336</v>
      </c>
      <c r="G36" s="28">
        <f t="shared" si="2"/>
        <v>74.366249999999994</v>
      </c>
      <c r="H36" s="28">
        <f t="shared" si="2"/>
        <v>29.259583333333328</v>
      </c>
      <c r="I36" s="28">
        <f t="shared" si="2"/>
        <v>1.5429166666666665</v>
      </c>
      <c r="J36" s="28">
        <f t="shared" si="2"/>
        <v>0.5820833333333334</v>
      </c>
      <c r="K36" s="28">
        <f t="shared" si="2"/>
        <v>290.35291666666666</v>
      </c>
      <c r="L36" s="28">
        <f t="shared" si="2"/>
        <v>22.579999999999998</v>
      </c>
      <c r="M36" s="28">
        <f t="shared" si="2"/>
        <v>70.373333333333321</v>
      </c>
      <c r="N36" s="28">
        <f t="shared" si="2"/>
        <v>247.88750000000005</v>
      </c>
      <c r="O36" s="28">
        <f t="shared" si="2"/>
        <v>0</v>
      </c>
      <c r="P36" s="28">
        <f t="shared" si="2"/>
        <v>0.80874999999999997</v>
      </c>
      <c r="Q36" s="28">
        <f t="shared" si="2"/>
        <v>8.3716666666666661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15.03647967492701</v>
      </c>
      <c r="C37" s="28">
        <f t="shared" si="3" ref="C37:Q37">STDEV(C9:C32)</f>
        <v>5.8552187640908366</v>
      </c>
      <c r="D37" s="28">
        <f t="shared" si="3"/>
        <v>13.18074020375337</v>
      </c>
      <c r="E37" s="28">
        <f t="shared" si="3"/>
        <v>0.061219491070707829</v>
      </c>
      <c r="F37" s="28">
        <f t="shared" si="3"/>
        <v>0.44268859077888745</v>
      </c>
      <c r="G37" s="28">
        <f t="shared" si="3"/>
        <v>22.750839604669384</v>
      </c>
      <c r="H37" s="28">
        <f t="shared" si="3"/>
        <v>5.5548173211199865</v>
      </c>
      <c r="I37" s="28">
        <f t="shared" si="3"/>
        <v>0.028357832545289282</v>
      </c>
      <c r="J37" s="28">
        <f t="shared" si="3"/>
        <v>0.39271606256569319</v>
      </c>
      <c r="K37" s="28">
        <f t="shared" si="3"/>
        <v>106.70892572907685</v>
      </c>
      <c r="L37" s="28">
        <f t="shared" si="3"/>
        <v>4.2451117668494325</v>
      </c>
      <c r="M37" s="28">
        <f t="shared" si="3"/>
        <v>16.548872723113206</v>
      </c>
      <c r="N37" s="28">
        <f t="shared" si="3"/>
        <v>253.173293997369</v>
      </c>
      <c r="O37" s="28">
        <f t="shared" si="3"/>
        <v>0</v>
      </c>
      <c r="P37" s="28">
        <f t="shared" si="3"/>
        <v>0.3895405599242357</v>
      </c>
      <c r="Q37" s="28">
        <f t="shared" si="3"/>
        <v>1.2012698595079818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5b8458-0068-43b4-82fc-ff9774c88d9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36.47</v>
      </c>
      <c r="C9" s="54">
        <v>61.28</v>
      </c>
      <c r="D9" s="54">
        <v>63.71</v>
      </c>
      <c r="E9" s="54">
        <v>0.20</v>
      </c>
      <c r="F9" s="54">
        <v>3.36</v>
      </c>
      <c r="G9" s="54">
        <v>99.19</v>
      </c>
      <c r="H9" s="54">
        <v>38.99</v>
      </c>
      <c r="I9" s="54">
        <v>1.58</v>
      </c>
      <c r="J9" s="54">
        <v>0.91</v>
      </c>
      <c r="K9" s="54">
        <v>356.83</v>
      </c>
      <c r="L9" s="54">
        <v>19.05</v>
      </c>
      <c r="M9" s="54">
        <v>45.66</v>
      </c>
      <c r="N9" s="54">
        <v>66.80</v>
      </c>
      <c r="O9" s="54">
        <v>0</v>
      </c>
      <c r="P9" s="54">
        <v>1.1599999999999999</v>
      </c>
      <c r="Q9" s="54">
        <v>9.85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22.58</v>
      </c>
      <c r="C10" s="54">
        <v>58.95</v>
      </c>
      <c r="D10" s="54">
        <v>51.29</v>
      </c>
      <c r="E10" s="54">
        <v>0.16</v>
      </c>
      <c r="F10" s="54">
        <v>3.40</v>
      </c>
      <c r="G10" s="54">
        <v>59.83</v>
      </c>
      <c r="H10" s="54">
        <v>28.98</v>
      </c>
      <c r="I10" s="54">
        <v>1.58</v>
      </c>
      <c r="J10" s="54">
        <v>0.96</v>
      </c>
      <c r="K10" s="54">
        <v>350.82</v>
      </c>
      <c r="L10" s="54">
        <v>18.22</v>
      </c>
      <c r="M10" s="54">
        <v>45.05</v>
      </c>
      <c r="N10" s="54">
        <v>66.70</v>
      </c>
      <c r="O10" s="54">
        <v>0</v>
      </c>
      <c r="P10" s="54">
        <v>0.85</v>
      </c>
      <c r="Q10" s="54">
        <v>8.31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15.5</v>
      </c>
      <c r="C11" s="54">
        <v>58.11</v>
      </c>
      <c r="D11" s="54">
        <v>45.15</v>
      </c>
      <c r="E11" s="54">
        <v>0.15</v>
      </c>
      <c r="F11" s="54">
        <v>3.40</v>
      </c>
      <c r="G11" s="54">
        <v>53.49</v>
      </c>
      <c r="H11" s="54">
        <v>17.100000000000001</v>
      </c>
      <c r="I11" s="54">
        <v>1.56</v>
      </c>
      <c r="J11" s="54">
        <v>0.75</v>
      </c>
      <c r="K11" s="54">
        <v>349.61</v>
      </c>
      <c r="L11" s="54">
        <v>17.579999999999998</v>
      </c>
      <c r="M11" s="54">
        <v>47.70</v>
      </c>
      <c r="N11" s="54">
        <v>67.099999999999994</v>
      </c>
      <c r="O11" s="54">
        <v>0</v>
      </c>
      <c r="P11" s="54">
        <v>0.69</v>
      </c>
      <c r="Q11" s="54">
        <v>7.43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12.71</v>
      </c>
      <c r="C12" s="54">
        <v>57.12</v>
      </c>
      <c r="D12" s="54">
        <v>42.37</v>
      </c>
      <c r="E12" s="54">
        <v>0.11</v>
      </c>
      <c r="F12" s="54">
        <v>3.36</v>
      </c>
      <c r="G12" s="54">
        <v>44.08</v>
      </c>
      <c r="H12" s="54">
        <v>9.89</v>
      </c>
      <c r="I12" s="54">
        <v>1.53</v>
      </c>
      <c r="J12" s="54">
        <v>0.30</v>
      </c>
      <c r="K12" s="54">
        <v>349.57</v>
      </c>
      <c r="L12" s="54">
        <v>16.940000000000001</v>
      </c>
      <c r="M12" s="54">
        <v>48.04</v>
      </c>
      <c r="N12" s="54">
        <v>67.20</v>
      </c>
      <c r="O12" s="54">
        <v>0</v>
      </c>
      <c r="P12" s="54">
        <v>0.56000000000000005</v>
      </c>
      <c r="Q12" s="54">
        <v>6.99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11.58</v>
      </c>
      <c r="C13" s="54">
        <v>55.65</v>
      </c>
      <c r="D13" s="54">
        <v>40.33</v>
      </c>
      <c r="E13" s="54">
        <v>0.16</v>
      </c>
      <c r="F13" s="54">
        <v>3.46</v>
      </c>
      <c r="G13" s="54">
        <v>44.08</v>
      </c>
      <c r="H13" s="54">
        <v>9.89</v>
      </c>
      <c r="I13" s="54">
        <v>1.62</v>
      </c>
      <c r="J13" s="54">
        <v>1.19</v>
      </c>
      <c r="K13" s="54">
        <v>349.97</v>
      </c>
      <c r="L13" s="54">
        <v>17.09</v>
      </c>
      <c r="M13" s="54">
        <v>44.99</v>
      </c>
      <c r="N13" s="54">
        <v>67.900000000000006</v>
      </c>
      <c r="O13" s="54">
        <v>0</v>
      </c>
      <c r="P13" s="54">
        <v>0.48</v>
      </c>
      <c r="Q13" s="54">
        <v>6.88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10.08</v>
      </c>
      <c r="C14" s="54">
        <v>56.32</v>
      </c>
      <c r="D14" s="54">
        <v>39.71</v>
      </c>
      <c r="E14" s="54">
        <v>0.18</v>
      </c>
      <c r="F14" s="54">
        <v>3.60</v>
      </c>
      <c r="G14" s="54">
        <v>36.90</v>
      </c>
      <c r="H14" s="54">
        <v>6.97</v>
      </c>
      <c r="I14" s="54">
        <v>1.61</v>
      </c>
      <c r="J14" s="54">
        <v>0.97</v>
      </c>
      <c r="K14" s="54">
        <v>349.5</v>
      </c>
      <c r="L14" s="54">
        <v>16.559999999999999</v>
      </c>
      <c r="M14" s="54">
        <v>47.74</v>
      </c>
      <c r="N14" s="54">
        <v>66.80</v>
      </c>
      <c r="O14" s="54">
        <v>0</v>
      </c>
      <c r="P14" s="54">
        <v>0.40</v>
      </c>
      <c r="Q14" s="54">
        <v>6.81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10.01</v>
      </c>
      <c r="C15" s="54">
        <v>56.57</v>
      </c>
      <c r="D15" s="54">
        <v>39.880000000000003</v>
      </c>
      <c r="E15" s="54">
        <v>0.12</v>
      </c>
      <c r="F15" s="54">
        <v>3.73</v>
      </c>
      <c r="G15" s="54">
        <v>46.92</v>
      </c>
      <c r="H15" s="54">
        <v>15.58</v>
      </c>
      <c r="I15" s="54">
        <v>1.58</v>
      </c>
      <c r="J15" s="54">
        <v>0.97</v>
      </c>
      <c r="K15" s="54">
        <v>349.25</v>
      </c>
      <c r="L15" s="54">
        <v>15.83</v>
      </c>
      <c r="M15" s="54">
        <v>47.78</v>
      </c>
      <c r="N15" s="54">
        <v>90.20</v>
      </c>
      <c r="O15" s="54">
        <v>0</v>
      </c>
      <c r="P15" s="54">
        <v>0.38</v>
      </c>
      <c r="Q15" s="54">
        <v>6.75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10.27</v>
      </c>
      <c r="C16" s="54">
        <v>58.46</v>
      </c>
      <c r="D16" s="54">
        <v>41.15</v>
      </c>
      <c r="E16" s="54">
        <v>0.30</v>
      </c>
      <c r="F16" s="54">
        <v>3.63</v>
      </c>
      <c r="G16" s="54">
        <v>51.57</v>
      </c>
      <c r="H16" s="54">
        <v>19.93</v>
      </c>
      <c r="I16" s="54">
        <v>1.53</v>
      </c>
      <c r="J16" s="54">
        <v>1.1000000000000001</v>
      </c>
      <c r="K16" s="54">
        <v>352.48</v>
      </c>
      <c r="L16" s="54">
        <v>18.53</v>
      </c>
      <c r="M16" s="54">
        <v>45.21</v>
      </c>
      <c r="N16" s="54">
        <v>282.89999999999998</v>
      </c>
      <c r="O16" s="54">
        <v>0</v>
      </c>
      <c r="P16" s="54">
        <v>0.44</v>
      </c>
      <c r="Q16" s="54">
        <v>6.68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14.79</v>
      </c>
      <c r="C17" s="54">
        <v>61.22</v>
      </c>
      <c r="D17" s="54">
        <v>46.29</v>
      </c>
      <c r="E17" s="54">
        <v>0.49</v>
      </c>
      <c r="F17" s="54">
        <v>3.38</v>
      </c>
      <c r="G17" s="54">
        <v>63.79</v>
      </c>
      <c r="H17" s="54">
        <v>22.69</v>
      </c>
      <c r="I17" s="54">
        <v>1.54</v>
      </c>
      <c r="J17" s="54">
        <v>1.34</v>
      </c>
      <c r="K17" s="54">
        <v>349.81</v>
      </c>
      <c r="L17" s="54">
        <v>21.54</v>
      </c>
      <c r="M17" s="54">
        <v>34.99</v>
      </c>
      <c r="N17" s="54">
        <v>445.20</v>
      </c>
      <c r="O17" s="54">
        <v>0</v>
      </c>
      <c r="P17" s="54">
        <v>0.48</v>
      </c>
      <c r="Q17" s="54">
        <v>6.15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14.79</v>
      </c>
      <c r="C18" s="54">
        <v>63.83</v>
      </c>
      <c r="D18" s="54">
        <v>47.18</v>
      </c>
      <c r="E18" s="54">
        <v>0.43</v>
      </c>
      <c r="F18" s="54">
        <v>3.5</v>
      </c>
      <c r="G18" s="54">
        <v>70.05</v>
      </c>
      <c r="H18" s="54">
        <v>26.52</v>
      </c>
      <c r="I18" s="54">
        <v>1.54</v>
      </c>
      <c r="J18" s="54">
        <v>1.35</v>
      </c>
      <c r="K18" s="54">
        <v>349.81</v>
      </c>
      <c r="L18" s="54">
        <v>23.62</v>
      </c>
      <c r="M18" s="54">
        <v>28.87</v>
      </c>
      <c r="N18" s="54">
        <v>687.70</v>
      </c>
      <c r="O18" s="54">
        <v>0</v>
      </c>
      <c r="P18" s="54">
        <v>0.5</v>
      </c>
      <c r="Q18" s="54">
        <v>11.57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11.57</v>
      </c>
      <c r="C19" s="54">
        <v>64.63</v>
      </c>
      <c r="D19" s="54">
        <v>44.89</v>
      </c>
      <c r="E19" s="54">
        <v>0.57999999999999996</v>
      </c>
      <c r="F19" s="54">
        <v>4.67</v>
      </c>
      <c r="G19" s="54">
        <v>70.05</v>
      </c>
      <c r="H19" s="54">
        <v>26.52</v>
      </c>
      <c r="I19" s="54">
        <v>1.49</v>
      </c>
      <c r="J19" s="54">
        <v>1.22</v>
      </c>
      <c r="K19" s="54">
        <v>355.63</v>
      </c>
      <c r="L19" s="54">
        <v>27.40</v>
      </c>
      <c r="M19" s="54">
        <v>20.62</v>
      </c>
      <c r="N19" s="54">
        <v>776.30</v>
      </c>
      <c r="O19" s="54">
        <v>0</v>
      </c>
      <c r="P19" s="54">
        <v>0.51</v>
      </c>
      <c r="Q19" s="54">
        <v>15.86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8.3699999999999992</v>
      </c>
      <c r="C20" s="54">
        <v>71.69</v>
      </c>
      <c r="D20" s="54">
        <v>46.85</v>
      </c>
      <c r="E20" s="54">
        <v>0.54</v>
      </c>
      <c r="F20" s="54">
        <v>4.33</v>
      </c>
      <c r="G20" s="54">
        <v>55.92</v>
      </c>
      <c r="H20" s="54">
        <v>24.06</v>
      </c>
      <c r="I20" s="54">
        <v>1.51</v>
      </c>
      <c r="J20" s="54">
        <v>1.26</v>
      </c>
      <c r="K20" s="54">
        <v>356.90</v>
      </c>
      <c r="L20" s="54">
        <v>28.20</v>
      </c>
      <c r="M20" s="54">
        <v>20.97</v>
      </c>
      <c r="N20" s="54">
        <v>811.5</v>
      </c>
      <c r="O20" s="54">
        <v>0</v>
      </c>
      <c r="P20" s="54">
        <v>0.56000000000000005</v>
      </c>
      <c r="Q20" s="54">
        <v>14.20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7.51</v>
      </c>
      <c r="C21" s="54">
        <v>71.78</v>
      </c>
      <c r="D21" s="54">
        <v>46.14</v>
      </c>
      <c r="E21" s="54">
        <v>0.85</v>
      </c>
      <c r="F21" s="54">
        <v>6.85</v>
      </c>
      <c r="G21" s="54">
        <v>74.31</v>
      </c>
      <c r="H21" s="54">
        <v>22.52</v>
      </c>
      <c r="I21" s="54">
        <v>1.61</v>
      </c>
      <c r="J21" s="54">
        <v>1.91</v>
      </c>
      <c r="K21" s="54">
        <v>347.91</v>
      </c>
      <c r="L21" s="54">
        <v>28.73</v>
      </c>
      <c r="M21" s="54">
        <v>20</v>
      </c>
      <c r="N21" s="54">
        <v>816.20</v>
      </c>
      <c r="O21" s="54">
        <v>0</v>
      </c>
      <c r="P21" s="54">
        <v>0.56999999999999995</v>
      </c>
      <c r="Q21" s="54">
        <v>10.94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5.49</v>
      </c>
      <c r="C22" s="54">
        <v>68.39</v>
      </c>
      <c r="D22" s="54">
        <v>42.12</v>
      </c>
      <c r="E22" s="54">
        <v>0.43</v>
      </c>
      <c r="F22" s="54">
        <v>4.54</v>
      </c>
      <c r="G22" s="54">
        <v>74.31</v>
      </c>
      <c r="H22" s="54">
        <v>23.96</v>
      </c>
      <c r="I22" s="54">
        <v>1.54</v>
      </c>
      <c r="J22" s="54">
        <v>1.83</v>
      </c>
      <c r="K22" s="54">
        <v>341.28</v>
      </c>
      <c r="L22" s="54">
        <v>28.41</v>
      </c>
      <c r="M22" s="54">
        <v>21.38</v>
      </c>
      <c r="N22" s="54">
        <v>797.60</v>
      </c>
      <c r="O22" s="54">
        <v>0</v>
      </c>
      <c r="P22" s="54">
        <v>0.49</v>
      </c>
      <c r="Q22" s="54">
        <v>8.7100000000000009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6.23</v>
      </c>
      <c r="C23" s="54">
        <v>65.28</v>
      </c>
      <c r="D23" s="54">
        <v>41.66</v>
      </c>
      <c r="E23" s="54">
        <v>0.38</v>
      </c>
      <c r="F23" s="54">
        <v>4.6500000000000004</v>
      </c>
      <c r="G23" s="54">
        <v>70.44</v>
      </c>
      <c r="H23" s="54">
        <v>23.96</v>
      </c>
      <c r="I23" s="54">
        <v>1.56</v>
      </c>
      <c r="J23" s="54">
        <v>1.47</v>
      </c>
      <c r="K23" s="54">
        <v>345.80</v>
      </c>
      <c r="L23" s="54">
        <v>27.98</v>
      </c>
      <c r="M23" s="54">
        <v>23.14</v>
      </c>
      <c r="N23" s="54">
        <v>644.29999999999995</v>
      </c>
      <c r="O23" s="54">
        <v>0</v>
      </c>
      <c r="P23" s="54">
        <v>0.48</v>
      </c>
      <c r="Q23" s="54">
        <v>7.68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5.21</v>
      </c>
      <c r="C24" s="54">
        <v>63.20</v>
      </c>
      <c r="D24" s="54">
        <v>39.71</v>
      </c>
      <c r="E24" s="54">
        <v>0.28999999999999998</v>
      </c>
      <c r="F24" s="54">
        <v>5.85</v>
      </c>
      <c r="G24" s="54">
        <v>70.44</v>
      </c>
      <c r="H24" s="54">
        <v>21.67</v>
      </c>
      <c r="I24" s="54">
        <v>1.61</v>
      </c>
      <c r="J24" s="54">
        <v>1.17</v>
      </c>
      <c r="K24" s="54">
        <v>344.96</v>
      </c>
      <c r="L24" s="54">
        <v>25.96</v>
      </c>
      <c r="M24" s="54">
        <v>26.31</v>
      </c>
      <c r="N24" s="54">
        <v>287.20</v>
      </c>
      <c r="O24" s="54">
        <v>0</v>
      </c>
      <c r="P24" s="54">
        <v>0.46</v>
      </c>
      <c r="Q24" s="54">
        <v>7.22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5.45</v>
      </c>
      <c r="C25" s="54">
        <v>62.16</v>
      </c>
      <c r="D25" s="54">
        <v>39.32</v>
      </c>
      <c r="E25" s="54">
        <v>0.19</v>
      </c>
      <c r="F25" s="54">
        <v>5</v>
      </c>
      <c r="G25" s="54">
        <v>59.44</v>
      </c>
      <c r="H25" s="54">
        <v>18.940000000000001</v>
      </c>
      <c r="I25" s="54">
        <v>1.56</v>
      </c>
      <c r="J25" s="54">
        <v>0.80</v>
      </c>
      <c r="K25" s="54">
        <v>344.30</v>
      </c>
      <c r="L25" s="54">
        <v>23.87</v>
      </c>
      <c r="M25" s="54">
        <v>30.35</v>
      </c>
      <c r="N25" s="54">
        <v>135.19999999999999</v>
      </c>
      <c r="O25" s="54">
        <v>0</v>
      </c>
      <c r="P25" s="54">
        <v>0.48</v>
      </c>
      <c r="Q25" s="54">
        <v>6.83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8.92</v>
      </c>
      <c r="C26" s="54">
        <v>65.150000000000006</v>
      </c>
      <c r="D26" s="54">
        <v>43.55</v>
      </c>
      <c r="E26" s="54">
        <v>0.19</v>
      </c>
      <c r="F26" s="54">
        <v>3.71</v>
      </c>
      <c r="G26" s="54">
        <v>40.85</v>
      </c>
      <c r="H26" s="54">
        <v>15.93</v>
      </c>
      <c r="I26" s="54">
        <v>1.58</v>
      </c>
      <c r="J26" s="54">
        <v>0.59</v>
      </c>
      <c r="K26" s="54">
        <v>341.15</v>
      </c>
      <c r="L26" s="54">
        <v>22.60</v>
      </c>
      <c r="M26" s="54">
        <v>46.61</v>
      </c>
      <c r="N26" s="54">
        <v>88.30</v>
      </c>
      <c r="O26" s="54">
        <v>0</v>
      </c>
      <c r="P26" s="54">
        <v>0.59</v>
      </c>
      <c r="Q26" s="54">
        <v>7.15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19.559999999999999</v>
      </c>
      <c r="C27" s="54">
        <v>65.47</v>
      </c>
      <c r="D27" s="54">
        <v>52.47</v>
      </c>
      <c r="E27" s="54">
        <v>0.24</v>
      </c>
      <c r="F27" s="54">
        <v>3.34</v>
      </c>
      <c r="G27" s="54">
        <v>69.180000000000007</v>
      </c>
      <c r="H27" s="54">
        <v>16.559999999999999</v>
      </c>
      <c r="I27" s="54">
        <v>1.57</v>
      </c>
      <c r="J27" s="54">
        <v>0.070000000000000007</v>
      </c>
      <c r="K27" s="54">
        <v>331.90</v>
      </c>
      <c r="L27" s="54">
        <v>19.940000000000001</v>
      </c>
      <c r="M27" s="54">
        <v>51.49</v>
      </c>
      <c r="N27" s="54">
        <v>59</v>
      </c>
      <c r="O27" s="54">
        <v>0</v>
      </c>
      <c r="P27" s="54">
        <v>0.77</v>
      </c>
      <c r="Q27" s="54">
        <v>7.68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41.26</v>
      </c>
      <c r="C28" s="54">
        <v>66.489999999999995</v>
      </c>
      <c r="D28" s="54">
        <v>70.239999999999995</v>
      </c>
      <c r="E28" s="54">
        <v>0.28999999999999998</v>
      </c>
      <c r="F28" s="54">
        <v>3.20</v>
      </c>
      <c r="G28" s="54">
        <v>95.09</v>
      </c>
      <c r="H28" s="54">
        <v>21.96</v>
      </c>
      <c r="I28" s="54">
        <v>1.51</v>
      </c>
      <c r="J28" s="54">
        <v>0.13</v>
      </c>
      <c r="K28" s="54">
        <v>315</v>
      </c>
      <c r="L28" s="54">
        <v>18.64</v>
      </c>
      <c r="M28" s="54">
        <v>56.03</v>
      </c>
      <c r="N28" s="54">
        <v>58.60</v>
      </c>
      <c r="O28" s="54">
        <v>0</v>
      </c>
      <c r="P28" s="54">
        <v>0.91</v>
      </c>
      <c r="Q28" s="54">
        <v>9.2200000000000006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69.39</v>
      </c>
      <c r="C29" s="54">
        <v>66.19</v>
      </c>
      <c r="D29" s="54">
        <v>92.79</v>
      </c>
      <c r="E29" s="54">
        <v>0.34</v>
      </c>
      <c r="F29" s="54">
        <v>3.35</v>
      </c>
      <c r="G29" s="54">
        <v>117.05</v>
      </c>
      <c r="H29" s="54">
        <v>28.75</v>
      </c>
      <c r="I29" s="54">
        <v>1.57</v>
      </c>
      <c r="J29" s="54">
        <v>0.10</v>
      </c>
      <c r="K29" s="54">
        <v>359.32</v>
      </c>
      <c r="L29" s="54">
        <v>17.75</v>
      </c>
      <c r="M29" s="54">
        <v>61.72</v>
      </c>
      <c r="N29" s="54">
        <v>58.80</v>
      </c>
      <c r="O29" s="54">
        <v>0</v>
      </c>
      <c r="P29" s="54">
        <v>1.28</v>
      </c>
      <c r="Q29" s="54">
        <v>11.04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103.93</v>
      </c>
      <c r="C30" s="54">
        <v>66.55</v>
      </c>
      <c r="D30" s="54">
        <v>120.72</v>
      </c>
      <c r="E30" s="54">
        <v>0.34</v>
      </c>
      <c r="F30" s="54">
        <v>3.13</v>
      </c>
      <c r="G30" s="54">
        <v>132.93</v>
      </c>
      <c r="H30" s="54">
        <v>32.93</v>
      </c>
      <c r="I30" s="54">
        <v>1.54</v>
      </c>
      <c r="J30" s="54">
        <v>0.14000000000000001</v>
      </c>
      <c r="K30" s="54">
        <v>330.21</v>
      </c>
      <c r="L30" s="54">
        <v>16.920000000000002</v>
      </c>
      <c r="M30" s="54">
        <v>71.25</v>
      </c>
      <c r="N30" s="54">
        <v>56.80</v>
      </c>
      <c r="O30" s="54">
        <v>0</v>
      </c>
      <c r="P30" s="54">
        <v>1.84</v>
      </c>
      <c r="Q30" s="54">
        <v>13.37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115.83</v>
      </c>
      <c r="C31" s="54">
        <v>66.489999999999995</v>
      </c>
      <c r="D31" s="54">
        <v>130.13999999999999</v>
      </c>
      <c r="E31" s="54">
        <v>0.46</v>
      </c>
      <c r="F31" s="54">
        <v>3.37</v>
      </c>
      <c r="G31" s="54">
        <v>132.93</v>
      </c>
      <c r="H31" s="54">
        <v>38.46</v>
      </c>
      <c r="I31" s="54">
        <v>1.55</v>
      </c>
      <c r="J31" s="54">
        <v>0.55000000000000004</v>
      </c>
      <c r="K31" s="54">
        <v>335.74</v>
      </c>
      <c r="L31" s="54">
        <v>16.54</v>
      </c>
      <c r="M31" s="54">
        <v>69.849999999999994</v>
      </c>
      <c r="N31" s="54">
        <v>56.5</v>
      </c>
      <c r="O31" s="54">
        <v>0</v>
      </c>
      <c r="P31" s="54">
        <v>2.11</v>
      </c>
      <c r="Q31" s="54">
        <v>14.72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111.75</v>
      </c>
      <c r="C32" s="54">
        <v>66.38</v>
      </c>
      <c r="D32" s="54">
        <v>126.89</v>
      </c>
      <c r="E32" s="54">
        <v>0.36</v>
      </c>
      <c r="F32" s="54">
        <v>3.26</v>
      </c>
      <c r="G32" s="54">
        <v>127.23</v>
      </c>
      <c r="H32" s="54">
        <v>38.46</v>
      </c>
      <c r="I32" s="54">
        <v>1.57</v>
      </c>
      <c r="J32" s="54">
        <v>1.1100000000000001</v>
      </c>
      <c r="K32" s="54">
        <v>358.44</v>
      </c>
      <c r="L32" s="54">
        <v>16.27</v>
      </c>
      <c r="M32" s="54">
        <v>59.57</v>
      </c>
      <c r="N32" s="54">
        <v>56.90</v>
      </c>
      <c r="O32" s="54">
        <v>0</v>
      </c>
      <c r="P32" s="54">
        <v>2.09</v>
      </c>
      <c r="Q32" s="54">
        <v>14.67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5.21</v>
      </c>
      <c r="C34" s="28">
        <f t="shared" si="0"/>
        <v>55.649999999999999</v>
      </c>
      <c r="D34" s="28">
        <f t="shared" si="0"/>
        <v>39.32</v>
      </c>
      <c r="E34" s="28">
        <f t="shared" si="0"/>
        <v>0.11</v>
      </c>
      <c r="F34" s="28">
        <f t="shared" si="0"/>
        <v>3.1299999999999999</v>
      </c>
      <c r="G34" s="28">
        <f t="shared" si="0"/>
        <v>36.899999999999999</v>
      </c>
      <c r="H34" s="28">
        <f t="shared" si="0"/>
        <v>6.9699999999999998</v>
      </c>
      <c r="I34" s="28">
        <f t="shared" si="0"/>
        <v>1.49</v>
      </c>
      <c r="J34" s="28">
        <f t="shared" si="0"/>
        <v>0.070000000000000007</v>
      </c>
      <c r="K34" s="28">
        <f t="shared" si="0"/>
        <v>315</v>
      </c>
      <c r="L34" s="28">
        <f t="shared" si="0"/>
        <v>15.83</v>
      </c>
      <c r="M34" s="28">
        <f t="shared" si="0"/>
        <v>20</v>
      </c>
      <c r="N34" s="28">
        <f t="shared" si="0"/>
        <v>56.5</v>
      </c>
      <c r="O34" s="28">
        <f t="shared" si="0"/>
        <v>0</v>
      </c>
      <c r="P34" s="28">
        <f t="shared" si="0"/>
        <v>0.38</v>
      </c>
      <c r="Q34" s="28">
        <f t="shared" si="0"/>
        <v>6.1500000000000004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115.83</v>
      </c>
      <c r="C35" s="29">
        <f t="shared" si="1"/>
        <v>71.780000000000001</v>
      </c>
      <c r="D35" s="29">
        <f t="shared" si="1"/>
        <v>130.13999999999999</v>
      </c>
      <c r="E35" s="29">
        <f t="shared" si="1"/>
        <v>0.84999999999999998</v>
      </c>
      <c r="F35" s="29">
        <f t="shared" si="1"/>
        <v>6.8499999999999996</v>
      </c>
      <c r="G35" s="29">
        <f t="shared" si="1"/>
        <v>132.93000000000001</v>
      </c>
      <c r="H35" s="29">
        <f t="shared" si="1"/>
        <v>38.990000000000002</v>
      </c>
      <c r="I35" s="29">
        <f t="shared" si="1"/>
        <v>1.6200000000000001</v>
      </c>
      <c r="J35" s="29">
        <f t="shared" si="1"/>
        <v>1.9099999999999999</v>
      </c>
      <c r="K35" s="29">
        <f t="shared" si="1"/>
        <v>359.31999999999999</v>
      </c>
      <c r="L35" s="29">
        <f t="shared" si="1"/>
        <v>28.73</v>
      </c>
      <c r="M35" s="29">
        <f t="shared" si="1"/>
        <v>71.25</v>
      </c>
      <c r="N35" s="29">
        <f t="shared" si="1"/>
        <v>816.20000000000005</v>
      </c>
      <c r="O35" s="29">
        <f t="shared" si="1"/>
        <v>0</v>
      </c>
      <c r="P35" s="29">
        <f t="shared" si="1"/>
        <v>2.1099999999999999</v>
      </c>
      <c r="Q35" s="29">
        <f t="shared" si="1"/>
        <v>15.859999999999999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28.302083333333332</v>
      </c>
      <c r="C36" s="28">
        <f t="shared" si="2"/>
        <v>63.223333333333336</v>
      </c>
      <c r="D36" s="28">
        <f t="shared" si="2"/>
        <v>58.106249999999996</v>
      </c>
      <c r="E36" s="28">
        <f t="shared" si="2"/>
        <v>0.32416666666666671</v>
      </c>
      <c r="F36" s="28">
        <f t="shared" si="2"/>
        <v>3.9195833333333332</v>
      </c>
      <c r="G36" s="28">
        <f t="shared" si="2"/>
        <v>73.336249999999993</v>
      </c>
      <c r="H36" s="28">
        <f t="shared" si="2"/>
        <v>22.967500000000001</v>
      </c>
      <c r="I36" s="28">
        <f t="shared" si="2"/>
        <v>1.5599999999999996</v>
      </c>
      <c r="J36" s="28">
        <f t="shared" si="2"/>
        <v>0.9245833333333332</v>
      </c>
      <c r="K36" s="28">
        <f t="shared" si="2"/>
        <v>346.50791666666663</v>
      </c>
      <c r="L36" s="28">
        <f t="shared" si="2"/>
        <v>21.007083333333338</v>
      </c>
      <c r="M36" s="28">
        <f t="shared" si="2"/>
        <v>42.305</v>
      </c>
      <c r="N36" s="28">
        <f t="shared" si="2"/>
        <v>275.48750000000001</v>
      </c>
      <c r="O36" s="28">
        <f t="shared" si="2"/>
        <v>0</v>
      </c>
      <c r="P36" s="28">
        <f t="shared" si="2"/>
        <v>0.79500000000000004</v>
      </c>
      <c r="Q36" s="28">
        <f t="shared" si="2"/>
        <v>9.4462500000000009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34.871268100676744</v>
      </c>
      <c r="C37" s="28">
        <f t="shared" si="3" ref="C37:Q37">STDEV(C9:C32)</f>
        <v>4.665568297242209</v>
      </c>
      <c r="D37" s="28">
        <f t="shared" si="3"/>
        <v>28.834481895738172</v>
      </c>
      <c r="E37" s="28">
        <f t="shared" si="3"/>
        <v>0.17641149195206515</v>
      </c>
      <c r="F37" s="28">
        <f t="shared" si="3"/>
        <v>0.92736878442119453</v>
      </c>
      <c r="G37" s="28">
        <f t="shared" si="3"/>
        <v>29.153046199623656</v>
      </c>
      <c r="H37" s="28">
        <f t="shared" si="3"/>
        <v>8.6977479593983045</v>
      </c>
      <c r="I37" s="28">
        <f t="shared" si="3"/>
        <v>0.033879582154396834</v>
      </c>
      <c r="J37" s="28">
        <f t="shared" si="3"/>
        <v>0.51871898370695035</v>
      </c>
      <c r="K37" s="28">
        <f t="shared" si="3"/>
        <v>10.17517865633968</v>
      </c>
      <c r="L37" s="28">
        <f t="shared" si="3"/>
        <v>4.5799359015513277</v>
      </c>
      <c r="M37" s="28">
        <f t="shared" si="3"/>
        <v>15.575403686582256</v>
      </c>
      <c r="N37" s="28">
        <f t="shared" si="3"/>
        <v>300.15191850924856</v>
      </c>
      <c r="O37" s="28">
        <f t="shared" si="3"/>
        <v>0</v>
      </c>
      <c r="P37" s="28">
        <f t="shared" si="3"/>
        <v>0.52429663027883266</v>
      </c>
      <c r="Q37" s="28">
        <f t="shared" si="3"/>
        <v>3.0807478094153335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d52afa-7748-4a94-9055-4133b7c7e72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83.63</v>
      </c>
      <c r="C9" s="54">
        <v>64.84</v>
      </c>
      <c r="D9" s="54">
        <v>103.5</v>
      </c>
      <c r="E9" s="54">
        <v>0.45</v>
      </c>
      <c r="F9" s="54">
        <v>3.20</v>
      </c>
      <c r="G9" s="54">
        <v>105.78</v>
      </c>
      <c r="H9" s="54">
        <v>35.33</v>
      </c>
      <c r="I9" s="54">
        <v>1.55</v>
      </c>
      <c r="J9" s="54">
        <v>0.87</v>
      </c>
      <c r="K9" s="54">
        <v>353.20</v>
      </c>
      <c r="L9" s="54">
        <v>16</v>
      </c>
      <c r="M9" s="54">
        <v>61.14</v>
      </c>
      <c r="N9" s="54">
        <v>57</v>
      </c>
      <c r="O9" s="54">
        <v>0</v>
      </c>
      <c r="P9" s="54">
        <v>1.73</v>
      </c>
      <c r="Q9" s="54">
        <v>13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63.18</v>
      </c>
      <c r="C10" s="54">
        <v>63.32</v>
      </c>
      <c r="D10" s="54">
        <v>86.26</v>
      </c>
      <c r="E10" s="54">
        <v>0.56000000000000005</v>
      </c>
      <c r="F10" s="54">
        <v>3.35</v>
      </c>
      <c r="G10" s="54">
        <v>84.97</v>
      </c>
      <c r="H10" s="54">
        <v>32.090000000000003</v>
      </c>
      <c r="I10" s="54">
        <v>1.56</v>
      </c>
      <c r="J10" s="54">
        <v>0.98</v>
      </c>
      <c r="K10" s="54">
        <v>353.22</v>
      </c>
      <c r="L10" s="54">
        <v>15.79</v>
      </c>
      <c r="M10" s="54">
        <v>59.18</v>
      </c>
      <c r="N10" s="54">
        <v>56.70</v>
      </c>
      <c r="O10" s="54">
        <v>0</v>
      </c>
      <c r="P10" s="54">
        <v>1.26</v>
      </c>
      <c r="Q10" s="54">
        <v>11.40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50.46</v>
      </c>
      <c r="C11" s="54">
        <v>60.93</v>
      </c>
      <c r="D11" s="54">
        <v>74.73</v>
      </c>
      <c r="E11" s="54">
        <v>0.61</v>
      </c>
      <c r="F11" s="54">
        <v>3.18</v>
      </c>
      <c r="G11" s="54">
        <v>117.31</v>
      </c>
      <c r="H11" s="54">
        <v>35.11</v>
      </c>
      <c r="I11" s="54">
        <v>1.5</v>
      </c>
      <c r="J11" s="54">
        <v>0.82</v>
      </c>
      <c r="K11" s="54">
        <v>354.04</v>
      </c>
      <c r="L11" s="54">
        <v>14.95</v>
      </c>
      <c r="M11" s="54">
        <v>57.96</v>
      </c>
      <c r="N11" s="54">
        <v>56.90</v>
      </c>
      <c r="O11" s="54">
        <v>0</v>
      </c>
      <c r="P11" s="54">
        <v>1.1200000000000001</v>
      </c>
      <c r="Q11" s="54">
        <v>10.23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43.18</v>
      </c>
      <c r="C12" s="54">
        <v>59.92</v>
      </c>
      <c r="D12" s="54">
        <v>68.34</v>
      </c>
      <c r="E12" s="54">
        <v>0.51</v>
      </c>
      <c r="F12" s="54">
        <v>3.09</v>
      </c>
      <c r="G12" s="54">
        <v>117.31</v>
      </c>
      <c r="H12" s="54">
        <v>35.11</v>
      </c>
      <c r="I12" s="54">
        <v>1.57</v>
      </c>
      <c r="J12" s="54">
        <v>0.35</v>
      </c>
      <c r="K12" s="54">
        <v>66</v>
      </c>
      <c r="L12" s="54">
        <v>14.38</v>
      </c>
      <c r="M12" s="54">
        <v>57.76</v>
      </c>
      <c r="N12" s="54">
        <v>57.30</v>
      </c>
      <c r="O12" s="54">
        <v>0</v>
      </c>
      <c r="P12" s="54">
        <v>1.03</v>
      </c>
      <c r="Q12" s="54">
        <v>9.65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39.81</v>
      </c>
      <c r="C13" s="54">
        <v>56.56</v>
      </c>
      <c r="D13" s="54">
        <v>63.78</v>
      </c>
      <c r="E13" s="54">
        <v>0.31</v>
      </c>
      <c r="F13" s="54">
        <v>3.24</v>
      </c>
      <c r="G13" s="54">
        <v>117.28</v>
      </c>
      <c r="H13" s="54">
        <v>36.590000000000003</v>
      </c>
      <c r="I13" s="54">
        <v>1.58</v>
      </c>
      <c r="J13" s="54">
        <v>0.18</v>
      </c>
      <c r="K13" s="54">
        <v>62.32</v>
      </c>
      <c r="L13" s="54">
        <v>13.53</v>
      </c>
      <c r="M13" s="54">
        <v>59.27</v>
      </c>
      <c r="N13" s="54">
        <v>57</v>
      </c>
      <c r="O13" s="54">
        <v>0</v>
      </c>
      <c r="P13" s="54">
        <v>0.99</v>
      </c>
      <c r="Q13" s="54">
        <v>9.10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36.22</v>
      </c>
      <c r="C14" s="54">
        <v>54.92</v>
      </c>
      <c r="D14" s="54">
        <v>60</v>
      </c>
      <c r="E14" s="54">
        <v>0.23</v>
      </c>
      <c r="F14" s="54">
        <v>3.20</v>
      </c>
      <c r="G14" s="54">
        <v>117.28</v>
      </c>
      <c r="H14" s="54">
        <v>36.590000000000003</v>
      </c>
      <c r="I14" s="54">
        <v>1.53</v>
      </c>
      <c r="J14" s="54">
        <v>0.16</v>
      </c>
      <c r="K14" s="54">
        <v>356.34</v>
      </c>
      <c r="L14" s="54">
        <v>13.21</v>
      </c>
      <c r="M14" s="54">
        <v>50.25</v>
      </c>
      <c r="N14" s="54">
        <v>56.90</v>
      </c>
      <c r="O14" s="54">
        <v>0</v>
      </c>
      <c r="P14" s="54">
        <v>0.90</v>
      </c>
      <c r="Q14" s="54">
        <v>8.76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30.29</v>
      </c>
      <c r="C15" s="54">
        <v>54.64</v>
      </c>
      <c r="D15" s="54">
        <v>54.92</v>
      </c>
      <c r="E15" s="54">
        <v>0.20</v>
      </c>
      <c r="F15" s="54">
        <v>3.36</v>
      </c>
      <c r="G15" s="54">
        <v>74.069999999999993</v>
      </c>
      <c r="H15" s="54">
        <v>33.58</v>
      </c>
      <c r="I15" s="54">
        <v>1.54</v>
      </c>
      <c r="J15" s="54">
        <v>0.20</v>
      </c>
      <c r="K15" s="54">
        <v>342.46</v>
      </c>
      <c r="L15" s="54">
        <v>12.92</v>
      </c>
      <c r="M15" s="54">
        <v>50.31</v>
      </c>
      <c r="N15" s="54">
        <v>81.20</v>
      </c>
      <c r="O15" s="54">
        <v>0</v>
      </c>
      <c r="P15" s="54">
        <v>0.76</v>
      </c>
      <c r="Q15" s="54">
        <v>8.34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30.07</v>
      </c>
      <c r="C16" s="54">
        <v>56.54</v>
      </c>
      <c r="D16" s="54">
        <v>55.81</v>
      </c>
      <c r="E16" s="54">
        <v>0.19</v>
      </c>
      <c r="F16" s="54">
        <v>3.40</v>
      </c>
      <c r="G16" s="54">
        <v>68.28</v>
      </c>
      <c r="H16" s="54">
        <v>29.16</v>
      </c>
      <c r="I16" s="54">
        <v>1.51</v>
      </c>
      <c r="J16" s="54">
        <v>1.21</v>
      </c>
      <c r="K16" s="54">
        <v>349.03</v>
      </c>
      <c r="L16" s="54">
        <v>15.83</v>
      </c>
      <c r="M16" s="54">
        <v>49.75</v>
      </c>
      <c r="N16" s="54">
        <v>336.80</v>
      </c>
      <c r="O16" s="54">
        <v>0</v>
      </c>
      <c r="P16" s="54">
        <v>0.77</v>
      </c>
      <c r="Q16" s="54">
        <v>8.16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28.23</v>
      </c>
      <c r="C17" s="54">
        <v>56.27</v>
      </c>
      <c r="D17" s="54">
        <v>54.31</v>
      </c>
      <c r="E17" s="54">
        <v>0.32</v>
      </c>
      <c r="F17" s="54">
        <v>3.44</v>
      </c>
      <c r="G17" s="54">
        <v>68.28</v>
      </c>
      <c r="H17" s="54">
        <v>25.62</v>
      </c>
      <c r="I17" s="54">
        <v>1.58</v>
      </c>
      <c r="J17" s="54">
        <v>1.25</v>
      </c>
      <c r="K17" s="54">
        <v>105.09</v>
      </c>
      <c r="L17" s="54">
        <v>18.57</v>
      </c>
      <c r="M17" s="54">
        <v>36.76</v>
      </c>
      <c r="N17" s="54">
        <v>548.79999999999995</v>
      </c>
      <c r="O17" s="54">
        <v>0</v>
      </c>
      <c r="P17" s="54">
        <v>0.72</v>
      </c>
      <c r="Q17" s="54">
        <v>8.09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23.81</v>
      </c>
      <c r="C18" s="54">
        <v>57.17</v>
      </c>
      <c r="D18" s="54">
        <v>51.29</v>
      </c>
      <c r="E18" s="54">
        <v>0.31</v>
      </c>
      <c r="F18" s="54">
        <v>3.43</v>
      </c>
      <c r="G18" s="54">
        <v>60.87</v>
      </c>
      <c r="H18" s="54">
        <v>24.25</v>
      </c>
      <c r="I18" s="54">
        <v>1.58</v>
      </c>
      <c r="J18" s="54">
        <v>1.51</v>
      </c>
      <c r="K18" s="54">
        <v>100.65</v>
      </c>
      <c r="L18" s="54">
        <v>20.52</v>
      </c>
      <c r="M18" s="54">
        <v>29.55</v>
      </c>
      <c r="N18" s="54">
        <v>719.40</v>
      </c>
      <c r="O18" s="54">
        <v>0</v>
      </c>
      <c r="P18" s="54">
        <v>0.65</v>
      </c>
      <c r="Q18" s="54">
        <v>7.72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20.64</v>
      </c>
      <c r="C19" s="54">
        <v>61.60</v>
      </c>
      <c r="D19" s="54">
        <v>48.93</v>
      </c>
      <c r="E19" s="54">
        <v>0.57999999999999996</v>
      </c>
      <c r="F19" s="54">
        <v>6.26</v>
      </c>
      <c r="G19" s="54">
        <v>52</v>
      </c>
      <c r="H19" s="54">
        <v>21.28</v>
      </c>
      <c r="I19" s="54">
        <v>1.52</v>
      </c>
      <c r="J19" s="54">
        <v>1.23</v>
      </c>
      <c r="K19" s="54">
        <v>97.38</v>
      </c>
      <c r="L19" s="54">
        <v>22.75</v>
      </c>
      <c r="M19" s="54">
        <v>25.05</v>
      </c>
      <c r="N19" s="54">
        <v>820.10</v>
      </c>
      <c r="O19" s="54">
        <v>0</v>
      </c>
      <c r="P19" s="54">
        <v>0.56999999999999995</v>
      </c>
      <c r="Q19" s="54">
        <v>7.55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6.70</v>
      </c>
      <c r="C20" s="54">
        <v>70.5</v>
      </c>
      <c r="D20" s="54">
        <v>44.93</v>
      </c>
      <c r="E20" s="54">
        <v>1.0900000000000001</v>
      </c>
      <c r="F20" s="54">
        <v>8.2200000000000006</v>
      </c>
      <c r="G20" s="54">
        <v>45.68</v>
      </c>
      <c r="H20" s="54">
        <v>20.23</v>
      </c>
      <c r="I20" s="54">
        <v>1.52</v>
      </c>
      <c r="J20" s="54">
        <v>1.1299999999999999</v>
      </c>
      <c r="K20" s="54">
        <v>102.24</v>
      </c>
      <c r="L20" s="54">
        <v>24.39</v>
      </c>
      <c r="M20" s="54">
        <v>21.94</v>
      </c>
      <c r="N20" s="54">
        <v>883.40</v>
      </c>
      <c r="O20" s="54">
        <v>0</v>
      </c>
      <c r="P20" s="54">
        <v>0.47</v>
      </c>
      <c r="Q20" s="54">
        <v>6.71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3.80</v>
      </c>
      <c r="C21" s="54">
        <v>63.95</v>
      </c>
      <c r="D21" s="54">
        <v>38.47</v>
      </c>
      <c r="E21" s="54">
        <v>0.33</v>
      </c>
      <c r="F21" s="54">
        <v>4.45</v>
      </c>
      <c r="G21" s="54">
        <v>67.760000000000005</v>
      </c>
      <c r="H21" s="54">
        <v>19.52</v>
      </c>
      <c r="I21" s="54">
        <v>1.5</v>
      </c>
      <c r="J21" s="54">
        <v>1.30</v>
      </c>
      <c r="K21" s="54">
        <v>345.48</v>
      </c>
      <c r="L21" s="54">
        <v>26.08</v>
      </c>
      <c r="M21" s="54">
        <v>22.21</v>
      </c>
      <c r="N21" s="54">
        <v>883.90</v>
      </c>
      <c r="O21" s="54">
        <v>0</v>
      </c>
      <c r="P21" s="54">
        <v>0.44</v>
      </c>
      <c r="Q21" s="54">
        <v>6.08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4.1399999999999997</v>
      </c>
      <c r="C22" s="54">
        <v>57.58</v>
      </c>
      <c r="D22" s="54">
        <v>35.549999999999997</v>
      </c>
      <c r="E22" s="54">
        <v>0.37</v>
      </c>
      <c r="F22" s="54">
        <v>4.5199999999999996</v>
      </c>
      <c r="G22" s="54">
        <v>67.760000000000005</v>
      </c>
      <c r="H22" s="54">
        <v>20.25</v>
      </c>
      <c r="I22" s="54">
        <v>1.56</v>
      </c>
      <c r="J22" s="54">
        <v>0.78</v>
      </c>
      <c r="K22" s="54">
        <v>346.25</v>
      </c>
      <c r="L22" s="54">
        <v>26.61</v>
      </c>
      <c r="M22" s="54">
        <v>20.88</v>
      </c>
      <c r="N22" s="54">
        <v>820.40</v>
      </c>
      <c r="O22" s="54">
        <v>0</v>
      </c>
      <c r="P22" s="54">
        <v>0.42</v>
      </c>
      <c r="Q22" s="54">
        <v>5.91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4.79</v>
      </c>
      <c r="C23" s="54">
        <v>56.84</v>
      </c>
      <c r="D23" s="54">
        <v>35.75</v>
      </c>
      <c r="E23" s="54">
        <v>0.31</v>
      </c>
      <c r="F23" s="54">
        <v>4.21</v>
      </c>
      <c r="G23" s="54">
        <v>55.65</v>
      </c>
      <c r="H23" s="54">
        <v>20.25</v>
      </c>
      <c r="I23" s="54">
        <v>1.55</v>
      </c>
      <c r="J23" s="54">
        <v>0.99</v>
      </c>
      <c r="K23" s="54">
        <v>349.66</v>
      </c>
      <c r="L23" s="54">
        <v>28.02</v>
      </c>
      <c r="M23" s="54">
        <v>20.190000000000001</v>
      </c>
      <c r="N23" s="54">
        <v>702.40</v>
      </c>
      <c r="O23" s="54">
        <v>0</v>
      </c>
      <c r="P23" s="54">
        <v>0.43</v>
      </c>
      <c r="Q23" s="54">
        <v>5.92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5.68</v>
      </c>
      <c r="C24" s="54">
        <v>56.31</v>
      </c>
      <c r="D24" s="54">
        <v>36.26</v>
      </c>
      <c r="E24" s="54">
        <v>0.26</v>
      </c>
      <c r="F24" s="54">
        <v>3.72</v>
      </c>
      <c r="G24" s="54">
        <v>49.76</v>
      </c>
      <c r="H24" s="54">
        <v>19.5</v>
      </c>
      <c r="I24" s="54">
        <v>1.49</v>
      </c>
      <c r="J24" s="54">
        <v>0.49</v>
      </c>
      <c r="K24" s="54">
        <v>345.44</v>
      </c>
      <c r="L24" s="54">
        <v>26.26</v>
      </c>
      <c r="M24" s="54">
        <v>21.65</v>
      </c>
      <c r="N24" s="54">
        <v>351.90</v>
      </c>
      <c r="O24" s="54">
        <v>0</v>
      </c>
      <c r="P24" s="54">
        <v>0.43</v>
      </c>
      <c r="Q24" s="54">
        <v>6.12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6.15</v>
      </c>
      <c r="C25" s="54">
        <v>58.11</v>
      </c>
      <c r="D25" s="54">
        <v>37.65</v>
      </c>
      <c r="E25" s="54">
        <v>0.32</v>
      </c>
      <c r="F25" s="54">
        <v>3.57</v>
      </c>
      <c r="G25" s="54">
        <v>44.27</v>
      </c>
      <c r="H25" s="54">
        <v>17.16</v>
      </c>
      <c r="I25" s="54">
        <v>1.56</v>
      </c>
      <c r="J25" s="54">
        <v>0.52</v>
      </c>
      <c r="K25" s="54">
        <v>72.599999999999994</v>
      </c>
      <c r="L25" s="54">
        <v>24.21</v>
      </c>
      <c r="M25" s="54">
        <v>24.11</v>
      </c>
      <c r="N25" s="54">
        <v>162</v>
      </c>
      <c r="O25" s="54">
        <v>0</v>
      </c>
      <c r="P25" s="54">
        <v>0.47</v>
      </c>
      <c r="Q25" s="54">
        <v>6.28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9.4700000000000006</v>
      </c>
      <c r="C26" s="54">
        <v>63.29</v>
      </c>
      <c r="D26" s="54">
        <v>43.17</v>
      </c>
      <c r="E26" s="54">
        <v>0.39</v>
      </c>
      <c r="F26" s="54">
        <v>3.42</v>
      </c>
      <c r="G26" s="54">
        <v>53.73</v>
      </c>
      <c r="H26" s="54">
        <v>17.27</v>
      </c>
      <c r="I26" s="54">
        <v>1.61</v>
      </c>
      <c r="J26" s="54">
        <v>1.32</v>
      </c>
      <c r="K26" s="54">
        <v>356.87</v>
      </c>
      <c r="L26" s="54">
        <v>22.98</v>
      </c>
      <c r="M26" s="54">
        <v>44.11</v>
      </c>
      <c r="N26" s="54">
        <v>119.20</v>
      </c>
      <c r="O26" s="54">
        <v>0</v>
      </c>
      <c r="P26" s="54">
        <v>0.56999999999999995</v>
      </c>
      <c r="Q26" s="54">
        <v>6.65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11.19</v>
      </c>
      <c r="C27" s="54">
        <v>69.239999999999995</v>
      </c>
      <c r="D27" s="54">
        <v>47.83</v>
      </c>
      <c r="E27" s="54">
        <v>0.40</v>
      </c>
      <c r="F27" s="54">
        <v>3.99</v>
      </c>
      <c r="G27" s="54">
        <v>65.930000000000007</v>
      </c>
      <c r="H27" s="54">
        <v>19.059999999999999</v>
      </c>
      <c r="I27" s="54">
        <v>1.54</v>
      </c>
      <c r="J27" s="54">
        <v>0.99</v>
      </c>
      <c r="K27" s="54">
        <v>350.98</v>
      </c>
      <c r="L27" s="54">
        <v>20.75</v>
      </c>
      <c r="M27" s="54">
        <v>48.66</v>
      </c>
      <c r="N27" s="54">
        <v>88.40</v>
      </c>
      <c r="O27" s="54">
        <v>0</v>
      </c>
      <c r="P27" s="54">
        <v>0.75</v>
      </c>
      <c r="Q27" s="54">
        <v>7.02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18.260000000000002</v>
      </c>
      <c r="C28" s="54">
        <v>72.239999999999995</v>
      </c>
      <c r="D28" s="54">
        <v>55.15</v>
      </c>
      <c r="E28" s="54">
        <v>0.47</v>
      </c>
      <c r="F28" s="54">
        <v>3.10</v>
      </c>
      <c r="G28" s="54">
        <v>94.21</v>
      </c>
      <c r="H28" s="54">
        <v>28.32</v>
      </c>
      <c r="I28" s="54">
        <v>1.52</v>
      </c>
      <c r="J28" s="54">
        <v>0.45</v>
      </c>
      <c r="K28" s="54">
        <v>350.17</v>
      </c>
      <c r="L28" s="54">
        <v>19.809999999999999</v>
      </c>
      <c r="M28" s="54">
        <v>40.46</v>
      </c>
      <c r="N28" s="54">
        <v>88.40</v>
      </c>
      <c r="O28" s="54">
        <v>0</v>
      </c>
      <c r="P28" s="54">
        <v>1.04</v>
      </c>
      <c r="Q28" s="54">
        <v>7.60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22.52</v>
      </c>
      <c r="C29" s="54">
        <v>72.680000000000007</v>
      </c>
      <c r="D29" s="54">
        <v>58.14</v>
      </c>
      <c r="E29" s="54">
        <v>0.28000000000000003</v>
      </c>
      <c r="F29" s="54">
        <v>3.20</v>
      </c>
      <c r="G29" s="54">
        <v>106.49</v>
      </c>
      <c r="H29" s="54">
        <v>31.55</v>
      </c>
      <c r="I29" s="54">
        <v>1.53</v>
      </c>
      <c r="J29" s="54">
        <v>0.24</v>
      </c>
      <c r="K29" s="54">
        <v>354.07</v>
      </c>
      <c r="L29" s="54">
        <v>18.55</v>
      </c>
      <c r="M29" s="54">
        <v>43.54</v>
      </c>
      <c r="N29" s="54">
        <v>88.30</v>
      </c>
      <c r="O29" s="54">
        <v>0</v>
      </c>
      <c r="P29" s="54">
        <v>1.25</v>
      </c>
      <c r="Q29" s="54">
        <v>7.90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29.01</v>
      </c>
      <c r="C30" s="54">
        <v>71.260000000000005</v>
      </c>
      <c r="D30" s="54">
        <v>63.12</v>
      </c>
      <c r="E30" s="54">
        <v>0.30</v>
      </c>
      <c r="F30" s="54">
        <v>3.25</v>
      </c>
      <c r="G30" s="54">
        <v>106.49</v>
      </c>
      <c r="H30" s="54">
        <v>32.270000000000003</v>
      </c>
      <c r="I30" s="54">
        <v>1.55</v>
      </c>
      <c r="J30" s="54">
        <v>0.48</v>
      </c>
      <c r="K30" s="54">
        <v>352.03</v>
      </c>
      <c r="L30" s="54">
        <v>18.170000000000002</v>
      </c>
      <c r="M30" s="54">
        <v>42.04</v>
      </c>
      <c r="N30" s="54">
        <v>88.30</v>
      </c>
      <c r="O30" s="54">
        <v>0</v>
      </c>
      <c r="P30" s="54">
        <v>1.33</v>
      </c>
      <c r="Q30" s="54">
        <v>8.4499999999999993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28.91</v>
      </c>
      <c r="C31" s="54">
        <v>70.58</v>
      </c>
      <c r="D31" s="54">
        <v>62.61</v>
      </c>
      <c r="E31" s="54">
        <v>0.26</v>
      </c>
      <c r="F31" s="54">
        <v>3.42</v>
      </c>
      <c r="G31" s="54">
        <v>98.20</v>
      </c>
      <c r="H31" s="54">
        <v>32.270000000000003</v>
      </c>
      <c r="I31" s="54">
        <v>1.53</v>
      </c>
      <c r="J31" s="54">
        <v>0.28000000000000003</v>
      </c>
      <c r="K31" s="54">
        <v>353.16</v>
      </c>
      <c r="L31" s="54">
        <v>17.579999999999998</v>
      </c>
      <c r="M31" s="54">
        <v>45.73</v>
      </c>
      <c r="N31" s="54">
        <v>88.30</v>
      </c>
      <c r="O31" s="54">
        <v>0</v>
      </c>
      <c r="P31" s="54">
        <v>1.31</v>
      </c>
      <c r="Q31" s="54">
        <v>8.4700000000000006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27.02</v>
      </c>
      <c r="C32" s="54">
        <v>71.08</v>
      </c>
      <c r="D32" s="54">
        <v>61.38</v>
      </c>
      <c r="E32" s="54">
        <v>0.25</v>
      </c>
      <c r="F32" s="54">
        <v>3.47</v>
      </c>
      <c r="G32" s="54">
        <v>86.47</v>
      </c>
      <c r="H32" s="54">
        <v>32.159999999999997</v>
      </c>
      <c r="I32" s="54">
        <v>1.53</v>
      </c>
      <c r="J32" s="54">
        <v>0.15</v>
      </c>
      <c r="K32" s="54">
        <v>348.48</v>
      </c>
      <c r="L32" s="54">
        <v>16.760000000000002</v>
      </c>
      <c r="M32" s="54">
        <v>43.07</v>
      </c>
      <c r="N32" s="54">
        <v>88.20</v>
      </c>
      <c r="O32" s="54">
        <v>0</v>
      </c>
      <c r="P32" s="54">
        <v>1.20</v>
      </c>
      <c r="Q32" s="54">
        <v>8.44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3.7999999999999998</v>
      </c>
      <c r="C34" s="28">
        <f t="shared" si="0"/>
        <v>54.640000000000001</v>
      </c>
      <c r="D34" s="28">
        <f t="shared" si="0"/>
        <v>35.549999999999997</v>
      </c>
      <c r="E34" s="28">
        <f t="shared" si="0"/>
        <v>0.19</v>
      </c>
      <c r="F34" s="28">
        <f t="shared" si="0"/>
        <v>3.0899999999999999</v>
      </c>
      <c r="G34" s="28">
        <f t="shared" si="0"/>
        <v>44.270000000000003</v>
      </c>
      <c r="H34" s="28">
        <f t="shared" si="0"/>
        <v>17.16</v>
      </c>
      <c r="I34" s="28">
        <f t="shared" si="0"/>
        <v>1.49</v>
      </c>
      <c r="J34" s="28">
        <f t="shared" si="0"/>
        <v>0.14999999999999999</v>
      </c>
      <c r="K34" s="28">
        <f t="shared" si="0"/>
        <v>62.32</v>
      </c>
      <c r="L34" s="28">
        <f t="shared" si="0"/>
        <v>12.92</v>
      </c>
      <c r="M34" s="28">
        <f t="shared" si="0"/>
        <v>20.190000000000001</v>
      </c>
      <c r="N34" s="28">
        <f t="shared" si="0"/>
        <v>56.700000000000003</v>
      </c>
      <c r="O34" s="28">
        <f t="shared" si="0"/>
        <v>0</v>
      </c>
      <c r="P34" s="28">
        <f t="shared" si="0"/>
        <v>0.41999999999999998</v>
      </c>
      <c r="Q34" s="28">
        <f t="shared" si="0"/>
        <v>5.9100000000000001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83.629999999999995</v>
      </c>
      <c r="C35" s="29">
        <f t="shared" si="1"/>
        <v>72.680000000000007</v>
      </c>
      <c r="D35" s="29">
        <f t="shared" si="1"/>
        <v>103.5</v>
      </c>
      <c r="E35" s="29">
        <f t="shared" si="1"/>
        <v>1.0900000000000001</v>
      </c>
      <c r="F35" s="29">
        <f t="shared" si="1"/>
        <v>8.2200000000000006</v>
      </c>
      <c r="G35" s="29">
        <f t="shared" si="1"/>
        <v>117.31</v>
      </c>
      <c r="H35" s="29">
        <f t="shared" si="1"/>
        <v>36.590000000000003</v>
      </c>
      <c r="I35" s="29">
        <f t="shared" si="1"/>
        <v>1.6100000000000001</v>
      </c>
      <c r="J35" s="29">
        <f t="shared" si="1"/>
        <v>1.51</v>
      </c>
      <c r="K35" s="29">
        <f t="shared" si="1"/>
        <v>356.87</v>
      </c>
      <c r="L35" s="29">
        <f t="shared" si="1"/>
        <v>28.02</v>
      </c>
      <c r="M35" s="29">
        <f t="shared" si="1"/>
        <v>61.140000000000001</v>
      </c>
      <c r="N35" s="29">
        <f t="shared" si="1"/>
        <v>883.89999999999998</v>
      </c>
      <c r="O35" s="29">
        <f t="shared" si="1"/>
        <v>0</v>
      </c>
      <c r="P35" s="29">
        <f t="shared" si="1"/>
        <v>1.73</v>
      </c>
      <c r="Q35" s="29">
        <f t="shared" si="1"/>
        <v>13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26.131666666666664</v>
      </c>
      <c r="C36" s="28">
        <f t="shared" si="2"/>
        <v>62.515416666666674</v>
      </c>
      <c r="D36" s="28">
        <f t="shared" si="2"/>
        <v>55.911666666666662</v>
      </c>
      <c r="E36" s="28">
        <f t="shared" si="2"/>
        <v>0.38749999999999996</v>
      </c>
      <c r="F36" s="28">
        <f t="shared" si="2"/>
        <v>3.8204166666666666</v>
      </c>
      <c r="G36" s="28">
        <f t="shared" si="2"/>
        <v>80.242916666666673</v>
      </c>
      <c r="H36" s="28">
        <f t="shared" si="2"/>
        <v>27.271666666666665</v>
      </c>
      <c r="I36" s="28">
        <f t="shared" si="2"/>
        <v>1.5420833333333333</v>
      </c>
      <c r="J36" s="28">
        <f t="shared" si="2"/>
        <v>0.745</v>
      </c>
      <c r="K36" s="28">
        <f t="shared" si="2"/>
        <v>273.63166666666666</v>
      </c>
      <c r="L36" s="28">
        <f t="shared" si="2"/>
        <v>19.525833333333331</v>
      </c>
      <c r="M36" s="28">
        <f t="shared" si="2"/>
        <v>40.648750000000007</v>
      </c>
      <c r="N36" s="28">
        <f t="shared" si="2"/>
        <v>304.21666666666658</v>
      </c>
      <c r="O36" s="28">
        <f t="shared" si="2"/>
        <v>0</v>
      </c>
      <c r="P36" s="28">
        <f t="shared" si="2"/>
        <v>0.85875000000000001</v>
      </c>
      <c r="Q36" s="28">
        <f t="shared" si="2"/>
        <v>8.0645833333333332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19.943803149298553</v>
      </c>
      <c r="C37" s="28">
        <f t="shared" si="3" ref="C37:Q37">STDEV(C9:C32)</f>
        <v>6.3020403729521055</v>
      </c>
      <c r="D37" s="28">
        <f t="shared" si="3"/>
        <v>16.381413823006248</v>
      </c>
      <c r="E37" s="28">
        <f t="shared" si="3"/>
        <v>0.19065675964937626</v>
      </c>
      <c r="F37" s="28">
        <f t="shared" si="3"/>
        <v>1.1624055984734065</v>
      </c>
      <c r="G37" s="28">
        <f t="shared" si="3"/>
        <v>25.400662688918779</v>
      </c>
      <c r="H37" s="28">
        <f t="shared" si="3"/>
        <v>6.9390831788009972</v>
      </c>
      <c r="I37" s="28">
        <f t="shared" si="3"/>
        <v>0.029632409793078414</v>
      </c>
      <c r="J37" s="28">
        <f t="shared" si="3"/>
        <v>0.44178491717517732</v>
      </c>
      <c r="K37" s="28">
        <f t="shared" si="3"/>
        <v>123.01030482343194</v>
      </c>
      <c r="L37" s="28">
        <f t="shared" si="3"/>
        <v>4.6775141267341098</v>
      </c>
      <c r="M37" s="28">
        <f t="shared" si="3"/>
        <v>14.149097163546408</v>
      </c>
      <c r="N37" s="28">
        <f t="shared" si="3"/>
        <v>319.56601912548541</v>
      </c>
      <c r="O37" s="28">
        <f t="shared" si="3"/>
        <v>0</v>
      </c>
      <c r="P37" s="28">
        <f t="shared" si="3"/>
        <v>0.36483840973421577</v>
      </c>
      <c r="Q37" s="28">
        <f t="shared" si="3"/>
        <v>1.7505377538163098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c205f8-c37d-4bdd-958e-07a714be7c6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21.5</v>
      </c>
      <c r="C9" s="54">
        <v>70.70</v>
      </c>
      <c r="D9" s="54">
        <v>56.90</v>
      </c>
      <c r="E9" s="54">
        <v>0.13</v>
      </c>
      <c r="F9" s="54">
        <v>3.56</v>
      </c>
      <c r="G9" s="54">
        <v>76.56</v>
      </c>
      <c r="H9" s="54">
        <v>29.64</v>
      </c>
      <c r="I9" s="54">
        <v>1.53</v>
      </c>
      <c r="J9" s="54">
        <v>0.16</v>
      </c>
      <c r="K9" s="54">
        <v>316.39</v>
      </c>
      <c r="L9" s="54">
        <v>16.18</v>
      </c>
      <c r="M9" s="54">
        <v>61.64</v>
      </c>
      <c r="N9" s="54">
        <v>88.70</v>
      </c>
      <c r="O9" s="54">
        <v>0</v>
      </c>
      <c r="P9" s="54">
        <v>1.0900000000000001</v>
      </c>
      <c r="Q9" s="54">
        <v>8.2200000000000006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16.70</v>
      </c>
      <c r="C10" s="54">
        <v>66.70</v>
      </c>
      <c r="D10" s="54">
        <v>50.85</v>
      </c>
      <c r="E10" s="54">
        <v>0.12</v>
      </c>
      <c r="F10" s="54">
        <v>3.26</v>
      </c>
      <c r="G10" s="54">
        <v>64.53</v>
      </c>
      <c r="H10" s="54">
        <v>26.24</v>
      </c>
      <c r="I10" s="54">
        <v>1.59</v>
      </c>
      <c r="J10" s="54">
        <v>0.16</v>
      </c>
      <c r="K10" s="54">
        <v>321.19</v>
      </c>
      <c r="L10" s="54">
        <v>14.38</v>
      </c>
      <c r="M10" s="54">
        <v>62.04</v>
      </c>
      <c r="N10" s="54">
        <v>88.60</v>
      </c>
      <c r="O10" s="54">
        <v>0</v>
      </c>
      <c r="P10" s="54">
        <v>0.88</v>
      </c>
      <c r="Q10" s="54">
        <v>7.71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12.68</v>
      </c>
      <c r="C11" s="54">
        <v>62.94</v>
      </c>
      <c r="D11" s="54">
        <v>45.55</v>
      </c>
      <c r="E11" s="54">
        <v>0.11</v>
      </c>
      <c r="F11" s="54">
        <v>3.21</v>
      </c>
      <c r="G11" s="54">
        <v>80.39</v>
      </c>
      <c r="H11" s="54">
        <v>28.08</v>
      </c>
      <c r="I11" s="54">
        <v>1.48</v>
      </c>
      <c r="J11" s="54">
        <v>0.16</v>
      </c>
      <c r="K11" s="54">
        <v>273.38</v>
      </c>
      <c r="L11" s="54">
        <v>14.48</v>
      </c>
      <c r="M11" s="54">
        <v>58.90</v>
      </c>
      <c r="N11" s="54">
        <v>88.5</v>
      </c>
      <c r="O11" s="54">
        <v>0</v>
      </c>
      <c r="P11" s="54">
        <v>0.82</v>
      </c>
      <c r="Q11" s="54">
        <v>7.22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10.83</v>
      </c>
      <c r="C12" s="54">
        <v>60.16</v>
      </c>
      <c r="D12" s="54">
        <v>42.5</v>
      </c>
      <c r="E12" s="54">
        <v>0.19</v>
      </c>
      <c r="F12" s="54">
        <v>3.39</v>
      </c>
      <c r="G12" s="54">
        <v>125.01</v>
      </c>
      <c r="H12" s="54">
        <v>36.93</v>
      </c>
      <c r="I12" s="54">
        <v>1.51</v>
      </c>
      <c r="J12" s="54">
        <v>0.17</v>
      </c>
      <c r="K12" s="54">
        <v>340.51</v>
      </c>
      <c r="L12" s="54">
        <v>14.65</v>
      </c>
      <c r="M12" s="54">
        <v>61.01</v>
      </c>
      <c r="N12" s="54">
        <v>88.60</v>
      </c>
      <c r="O12" s="54">
        <v>0</v>
      </c>
      <c r="P12" s="54">
        <v>0.98</v>
      </c>
      <c r="Q12" s="54">
        <v>6.91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10.63</v>
      </c>
      <c r="C13" s="54">
        <v>58.78</v>
      </c>
      <c r="D13" s="54">
        <v>41.42</v>
      </c>
      <c r="E13" s="54">
        <v>0.28999999999999998</v>
      </c>
      <c r="F13" s="54">
        <v>3.17</v>
      </c>
      <c r="G13" s="54">
        <v>125.01</v>
      </c>
      <c r="H13" s="54">
        <v>36.93</v>
      </c>
      <c r="I13" s="54">
        <v>1.53</v>
      </c>
      <c r="J13" s="54">
        <v>0.20</v>
      </c>
      <c r="K13" s="54">
        <v>315.38</v>
      </c>
      <c r="L13" s="54">
        <v>14.23</v>
      </c>
      <c r="M13" s="54">
        <v>59.45</v>
      </c>
      <c r="N13" s="54">
        <v>88.60</v>
      </c>
      <c r="O13" s="54">
        <v>0</v>
      </c>
      <c r="P13" s="54">
        <v>1.02</v>
      </c>
      <c r="Q13" s="54">
        <v>6.84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12.60</v>
      </c>
      <c r="C14" s="54">
        <v>59.47</v>
      </c>
      <c r="D14" s="54">
        <v>43.57</v>
      </c>
      <c r="E14" s="54">
        <v>0.28000000000000003</v>
      </c>
      <c r="F14" s="54">
        <v>3.48</v>
      </c>
      <c r="G14" s="54">
        <v>122.10</v>
      </c>
      <c r="H14" s="54">
        <v>40.700000000000003</v>
      </c>
      <c r="I14" s="54">
        <v>1.53</v>
      </c>
      <c r="J14" s="54">
        <v>0.59</v>
      </c>
      <c r="K14" s="54">
        <v>352.05</v>
      </c>
      <c r="L14" s="54">
        <v>13.86</v>
      </c>
      <c r="M14" s="54">
        <v>63.35</v>
      </c>
      <c r="N14" s="54">
        <v>88.40</v>
      </c>
      <c r="O14" s="54">
        <v>0</v>
      </c>
      <c r="P14" s="54">
        <v>0.98</v>
      </c>
      <c r="Q14" s="54">
        <v>7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13.93</v>
      </c>
      <c r="C15" s="54">
        <v>61.15</v>
      </c>
      <c r="D15" s="54">
        <v>45.57</v>
      </c>
      <c r="E15" s="54">
        <v>0.30</v>
      </c>
      <c r="F15" s="54">
        <v>3.17</v>
      </c>
      <c r="G15" s="54">
        <v>102.11</v>
      </c>
      <c r="H15" s="54">
        <v>40.700000000000003</v>
      </c>
      <c r="I15" s="54">
        <v>1.56</v>
      </c>
      <c r="J15" s="54">
        <v>0.13</v>
      </c>
      <c r="K15" s="54">
        <v>349.45</v>
      </c>
      <c r="L15" s="54">
        <v>13.95</v>
      </c>
      <c r="M15" s="54">
        <v>61.76</v>
      </c>
      <c r="N15" s="54">
        <v>115.70</v>
      </c>
      <c r="O15" s="54">
        <v>0</v>
      </c>
      <c r="P15" s="54">
        <v>0.88</v>
      </c>
      <c r="Q15" s="54">
        <v>7.17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16.86</v>
      </c>
      <c r="C16" s="54">
        <v>62.75</v>
      </c>
      <c r="D16" s="54">
        <v>48.77</v>
      </c>
      <c r="E16" s="54">
        <v>0.30</v>
      </c>
      <c r="F16" s="54">
        <v>3.43</v>
      </c>
      <c r="G16" s="54">
        <v>94.94</v>
      </c>
      <c r="H16" s="54">
        <v>36.619999999999997</v>
      </c>
      <c r="I16" s="54">
        <v>1.54</v>
      </c>
      <c r="J16" s="54">
        <v>0.87</v>
      </c>
      <c r="K16" s="54">
        <v>354.86</v>
      </c>
      <c r="L16" s="54">
        <v>17.29</v>
      </c>
      <c r="M16" s="54">
        <v>54.13</v>
      </c>
      <c r="N16" s="54">
        <v>327.20</v>
      </c>
      <c r="O16" s="54">
        <v>0</v>
      </c>
      <c r="P16" s="54">
        <v>0.81</v>
      </c>
      <c r="Q16" s="54">
        <v>7.36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16.86</v>
      </c>
      <c r="C17" s="54">
        <v>62.70</v>
      </c>
      <c r="D17" s="54">
        <v>48.77</v>
      </c>
      <c r="E17" s="54">
        <v>0.27</v>
      </c>
      <c r="F17" s="54">
        <v>3.44</v>
      </c>
      <c r="G17" s="54">
        <v>94.94</v>
      </c>
      <c r="H17" s="54">
        <v>32.22</v>
      </c>
      <c r="I17" s="54">
        <v>1.51</v>
      </c>
      <c r="J17" s="54">
        <v>1.19</v>
      </c>
      <c r="K17" s="54">
        <v>108.44</v>
      </c>
      <c r="L17" s="54">
        <v>19.260000000000002</v>
      </c>
      <c r="M17" s="54">
        <v>40.229999999999997</v>
      </c>
      <c r="N17" s="54">
        <v>514.5</v>
      </c>
      <c r="O17" s="54">
        <v>0</v>
      </c>
      <c r="P17" s="54">
        <v>0.79</v>
      </c>
      <c r="Q17" s="54">
        <v>7.36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10.32</v>
      </c>
      <c r="C18" s="54">
        <v>60.16</v>
      </c>
      <c r="D18" s="54">
        <v>42.08</v>
      </c>
      <c r="E18" s="54">
        <v>0.26</v>
      </c>
      <c r="F18" s="54">
        <v>3.88</v>
      </c>
      <c r="G18" s="54">
        <v>82.34</v>
      </c>
      <c r="H18" s="54">
        <v>29.82</v>
      </c>
      <c r="I18" s="54">
        <v>1.55</v>
      </c>
      <c r="J18" s="54">
        <v>1.51</v>
      </c>
      <c r="K18" s="54">
        <v>112.56</v>
      </c>
      <c r="L18" s="54">
        <v>23.68</v>
      </c>
      <c r="M18" s="54">
        <v>35.590000000000003</v>
      </c>
      <c r="N18" s="54">
        <v>646.29999999999995</v>
      </c>
      <c r="O18" s="54">
        <v>0</v>
      </c>
      <c r="P18" s="54">
        <v>0.70</v>
      </c>
      <c r="Q18" s="54">
        <v>6.93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5.34</v>
      </c>
      <c r="C19" s="54">
        <v>60.05</v>
      </c>
      <c r="D19" s="54">
        <v>38.07</v>
      </c>
      <c r="E19" s="54">
        <v>0.68</v>
      </c>
      <c r="F19" s="54">
        <v>12.12</v>
      </c>
      <c r="G19" s="54">
        <v>76.27</v>
      </c>
      <c r="H19" s="54">
        <v>29.82</v>
      </c>
      <c r="I19" s="54">
        <v>1.58</v>
      </c>
      <c r="J19" s="54">
        <v>1.02</v>
      </c>
      <c r="K19" s="54">
        <v>110.15</v>
      </c>
      <c r="L19" s="54">
        <v>24.51</v>
      </c>
      <c r="M19" s="54">
        <v>31.44</v>
      </c>
      <c r="N19" s="54">
        <v>755.90</v>
      </c>
      <c r="O19" s="54">
        <v>0</v>
      </c>
      <c r="P19" s="54">
        <v>0.66</v>
      </c>
      <c r="Q19" s="54">
        <v>6.54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2.44</v>
      </c>
      <c r="C20" s="54">
        <v>59.46</v>
      </c>
      <c r="D20" s="54">
        <v>35.42</v>
      </c>
      <c r="E20" s="54">
        <v>0.51</v>
      </c>
      <c r="F20" s="54">
        <v>10.01</v>
      </c>
      <c r="G20" s="54">
        <v>67.77</v>
      </c>
      <c r="H20" s="54">
        <v>28.94</v>
      </c>
      <c r="I20" s="54">
        <v>1.56</v>
      </c>
      <c r="J20" s="54">
        <v>0.94</v>
      </c>
      <c r="K20" s="54">
        <v>356.16</v>
      </c>
      <c r="L20" s="54">
        <v>27.06</v>
      </c>
      <c r="M20" s="54">
        <v>28.34</v>
      </c>
      <c r="N20" s="54">
        <v>866.70</v>
      </c>
      <c r="O20" s="54">
        <v>0</v>
      </c>
      <c r="P20" s="54">
        <v>0.51</v>
      </c>
      <c r="Q20" s="54">
        <v>6.22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2.61</v>
      </c>
      <c r="C21" s="54">
        <v>59.09</v>
      </c>
      <c r="D21" s="54">
        <v>35.35</v>
      </c>
      <c r="E21" s="54">
        <v>0.32</v>
      </c>
      <c r="F21" s="54">
        <v>7.48</v>
      </c>
      <c r="G21" s="54">
        <v>71.36</v>
      </c>
      <c r="H21" s="54">
        <v>28.52</v>
      </c>
      <c r="I21" s="54">
        <v>1.53</v>
      </c>
      <c r="J21" s="54">
        <v>0.79</v>
      </c>
      <c r="K21" s="54">
        <v>340.22</v>
      </c>
      <c r="L21" s="54">
        <v>30.98</v>
      </c>
      <c r="M21" s="54">
        <v>25.55</v>
      </c>
      <c r="N21" s="54">
        <v>807</v>
      </c>
      <c r="O21" s="54">
        <v>0</v>
      </c>
      <c r="P21" s="54">
        <v>0.49</v>
      </c>
      <c r="Q21" s="54">
        <v>6.28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4.1100000000000003</v>
      </c>
      <c r="C22" s="54">
        <v>71.39</v>
      </c>
      <c r="D22" s="54">
        <v>42.70</v>
      </c>
      <c r="E22" s="54">
        <v>0.59</v>
      </c>
      <c r="F22" s="54">
        <v>6.18</v>
      </c>
      <c r="G22" s="54">
        <v>71.36</v>
      </c>
      <c r="H22" s="54">
        <v>25.40</v>
      </c>
      <c r="I22" s="54">
        <v>1.54</v>
      </c>
      <c r="J22" s="54">
        <v>0.99</v>
      </c>
      <c r="K22" s="54">
        <v>340.27</v>
      </c>
      <c r="L22" s="54">
        <v>31.81</v>
      </c>
      <c r="M22" s="54">
        <v>20.11</v>
      </c>
      <c r="N22" s="54">
        <v>756.60</v>
      </c>
      <c r="O22" s="54">
        <v>0</v>
      </c>
      <c r="P22" s="54">
        <v>0.54</v>
      </c>
      <c r="Q22" s="54">
        <v>6.88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2.93</v>
      </c>
      <c r="C23" s="54">
        <v>70.98</v>
      </c>
      <c r="D23" s="54">
        <v>42.12</v>
      </c>
      <c r="E23" s="54">
        <v>0.48</v>
      </c>
      <c r="F23" s="54">
        <v>20.18</v>
      </c>
      <c r="G23" s="54">
        <v>63.86</v>
      </c>
      <c r="H23" s="54">
        <v>24.17</v>
      </c>
      <c r="I23" s="54">
        <v>1.54</v>
      </c>
      <c r="J23" s="54">
        <v>0.57999999999999996</v>
      </c>
      <c r="K23" s="54">
        <v>344.70</v>
      </c>
      <c r="L23" s="54">
        <v>30.98</v>
      </c>
      <c r="M23" s="54">
        <v>27.20</v>
      </c>
      <c r="N23" s="54">
        <v>628.10</v>
      </c>
      <c r="O23" s="54">
        <v>0</v>
      </c>
      <c r="P23" s="54">
        <v>0.54</v>
      </c>
      <c r="Q23" s="54">
        <v>6.91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1.84</v>
      </c>
      <c r="C24" s="54">
        <v>54.37</v>
      </c>
      <c r="D24" s="54">
        <v>32.130000000000003</v>
      </c>
      <c r="E24" s="54">
        <v>0.30</v>
      </c>
      <c r="F24" s="54">
        <v>10.66</v>
      </c>
      <c r="G24" s="54">
        <v>53.97</v>
      </c>
      <c r="H24" s="54">
        <v>22.75</v>
      </c>
      <c r="I24" s="54">
        <v>1.55</v>
      </c>
      <c r="J24" s="54">
        <v>0.51</v>
      </c>
      <c r="K24" s="54">
        <v>345.40</v>
      </c>
      <c r="L24" s="54">
        <v>28.28</v>
      </c>
      <c r="M24" s="54">
        <v>31.61</v>
      </c>
      <c r="N24" s="54">
        <v>361.20</v>
      </c>
      <c r="O24" s="54">
        <v>0</v>
      </c>
      <c r="P24" s="54">
        <v>0.44</v>
      </c>
      <c r="Q24" s="54">
        <v>5.80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3.26</v>
      </c>
      <c r="C25" s="54">
        <v>62.68</v>
      </c>
      <c r="D25" s="54">
        <v>37.85</v>
      </c>
      <c r="E25" s="54">
        <v>0.40</v>
      </c>
      <c r="F25" s="54">
        <v>5.40</v>
      </c>
      <c r="G25" s="54">
        <v>53.18</v>
      </c>
      <c r="H25" s="54">
        <v>22.33</v>
      </c>
      <c r="I25" s="54">
        <v>1.53</v>
      </c>
      <c r="J25" s="54">
        <v>1.39</v>
      </c>
      <c r="K25" s="54">
        <v>351.63</v>
      </c>
      <c r="L25" s="54">
        <v>26.82</v>
      </c>
      <c r="M25" s="54">
        <v>33.19</v>
      </c>
      <c r="N25" s="54">
        <v>172.70</v>
      </c>
      <c r="O25" s="54">
        <v>0</v>
      </c>
      <c r="P25" s="54">
        <v>0.53</v>
      </c>
      <c r="Q25" s="54">
        <v>6.41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3.71</v>
      </c>
      <c r="C26" s="54">
        <v>73.98</v>
      </c>
      <c r="D26" s="54">
        <v>43.98</v>
      </c>
      <c r="E26" s="54">
        <v>0.49</v>
      </c>
      <c r="F26" s="54">
        <v>5.34</v>
      </c>
      <c r="G26" s="54">
        <v>78.09</v>
      </c>
      <c r="H26" s="54">
        <v>25.71</v>
      </c>
      <c r="I26" s="54">
        <v>1.53</v>
      </c>
      <c r="J26" s="54">
        <v>1.57</v>
      </c>
      <c r="K26" s="54">
        <v>350.71</v>
      </c>
      <c r="L26" s="54">
        <v>24.65</v>
      </c>
      <c r="M26" s="54">
        <v>50.87</v>
      </c>
      <c r="N26" s="54">
        <v>107.5</v>
      </c>
      <c r="O26" s="54">
        <v>0</v>
      </c>
      <c r="P26" s="54">
        <v>0.66</v>
      </c>
      <c r="Q26" s="54">
        <v>6.79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4.5</v>
      </c>
      <c r="C27" s="54">
        <v>76.53</v>
      </c>
      <c r="D27" s="54">
        <v>46.49</v>
      </c>
      <c r="E27" s="54">
        <v>0.41</v>
      </c>
      <c r="F27" s="54">
        <v>4.4400000000000004</v>
      </c>
      <c r="G27" s="54">
        <v>86.09</v>
      </c>
      <c r="H27" s="54">
        <v>26.65</v>
      </c>
      <c r="I27" s="54">
        <v>1.5</v>
      </c>
      <c r="J27" s="54">
        <v>1.29</v>
      </c>
      <c r="K27" s="54">
        <v>349.73</v>
      </c>
      <c r="L27" s="54">
        <v>21.62</v>
      </c>
      <c r="M27" s="54">
        <v>57.24</v>
      </c>
      <c r="N27" s="54">
        <v>73</v>
      </c>
      <c r="O27" s="54">
        <v>0</v>
      </c>
      <c r="P27" s="54">
        <v>0.81</v>
      </c>
      <c r="Q27" s="54">
        <v>7.26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9.69</v>
      </c>
      <c r="C28" s="54">
        <v>79.290000000000006</v>
      </c>
      <c r="D28" s="54">
        <v>52.17</v>
      </c>
      <c r="E28" s="54">
        <v>0.47</v>
      </c>
      <c r="F28" s="54">
        <v>3.65</v>
      </c>
      <c r="G28" s="54">
        <v>101.81</v>
      </c>
      <c r="H28" s="54">
        <v>34.96</v>
      </c>
      <c r="I28" s="54">
        <v>1.54</v>
      </c>
      <c r="J28" s="54">
        <v>0.61</v>
      </c>
      <c r="K28" s="54">
        <v>351.27</v>
      </c>
      <c r="L28" s="54">
        <v>21.26</v>
      </c>
      <c r="M28" s="54">
        <v>41.38</v>
      </c>
      <c r="N28" s="54">
        <v>73.400000000000006</v>
      </c>
      <c r="O28" s="54">
        <v>0</v>
      </c>
      <c r="P28" s="54">
        <v>1.02</v>
      </c>
      <c r="Q28" s="54">
        <v>7.80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11.30</v>
      </c>
      <c r="C29" s="54">
        <v>80.12</v>
      </c>
      <c r="D29" s="54">
        <v>53.84</v>
      </c>
      <c r="E29" s="54">
        <v>0.43</v>
      </c>
      <c r="F29" s="54">
        <v>3.34</v>
      </c>
      <c r="G29" s="54">
        <v>107.64</v>
      </c>
      <c r="H29" s="54">
        <v>38.08</v>
      </c>
      <c r="I29" s="54">
        <v>1.57</v>
      </c>
      <c r="J29" s="54">
        <v>0.54</v>
      </c>
      <c r="K29" s="54">
        <v>352.68</v>
      </c>
      <c r="L29" s="54">
        <v>20.91</v>
      </c>
      <c r="M29" s="54">
        <v>40.57</v>
      </c>
      <c r="N29" s="54">
        <v>72.80</v>
      </c>
      <c r="O29" s="54">
        <v>0</v>
      </c>
      <c r="P29" s="54">
        <v>1.1399999999999999</v>
      </c>
      <c r="Q29" s="54">
        <v>8.0500000000000007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11.55</v>
      </c>
      <c r="C30" s="54">
        <v>79.14</v>
      </c>
      <c r="D30" s="54">
        <v>53.58</v>
      </c>
      <c r="E30" s="54">
        <v>0.37</v>
      </c>
      <c r="F30" s="54">
        <v>3.49</v>
      </c>
      <c r="G30" s="54">
        <v>107.64</v>
      </c>
      <c r="H30" s="54">
        <v>38.08</v>
      </c>
      <c r="I30" s="54">
        <v>1.62</v>
      </c>
      <c r="J30" s="54">
        <v>0.27</v>
      </c>
      <c r="K30" s="54">
        <v>347.32</v>
      </c>
      <c r="L30" s="54">
        <v>20.38</v>
      </c>
      <c r="M30" s="54">
        <v>43.79</v>
      </c>
      <c r="N30" s="54">
        <v>72.70</v>
      </c>
      <c r="O30" s="54">
        <v>0</v>
      </c>
      <c r="P30" s="54">
        <v>1.1399999999999999</v>
      </c>
      <c r="Q30" s="54">
        <v>8.01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10.30</v>
      </c>
      <c r="C31" s="54">
        <v>77.70</v>
      </c>
      <c r="D31" s="54">
        <v>51.79</v>
      </c>
      <c r="E31" s="54">
        <v>0.39</v>
      </c>
      <c r="F31" s="54">
        <v>3.58</v>
      </c>
      <c r="G31" s="54">
        <v>99.65</v>
      </c>
      <c r="H31" s="54">
        <v>36.54</v>
      </c>
      <c r="I31" s="54">
        <v>1.57</v>
      </c>
      <c r="J31" s="54">
        <v>0.73</v>
      </c>
      <c r="K31" s="54">
        <v>98.96</v>
      </c>
      <c r="L31" s="54">
        <v>19.97</v>
      </c>
      <c r="M31" s="54">
        <v>44.86</v>
      </c>
      <c r="N31" s="54">
        <v>72.70</v>
      </c>
      <c r="O31" s="54">
        <v>0</v>
      </c>
      <c r="P31" s="54">
        <v>1.1200000000000001</v>
      </c>
      <c r="Q31" s="54">
        <v>7.86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5.28</v>
      </c>
      <c r="C32" s="54">
        <v>73.099999999999994</v>
      </c>
      <c r="D32" s="54">
        <v>45.22</v>
      </c>
      <c r="E32" s="54">
        <v>0.36</v>
      </c>
      <c r="F32" s="54">
        <v>4.2699999999999996</v>
      </c>
      <c r="G32" s="54">
        <v>91.52</v>
      </c>
      <c r="H32" s="54">
        <v>36.54</v>
      </c>
      <c r="I32" s="54">
        <v>1.58</v>
      </c>
      <c r="J32" s="54">
        <v>0.84</v>
      </c>
      <c r="K32" s="54">
        <v>108.63</v>
      </c>
      <c r="L32" s="54">
        <v>19.63</v>
      </c>
      <c r="M32" s="54">
        <v>48.01</v>
      </c>
      <c r="N32" s="54">
        <v>72.70</v>
      </c>
      <c r="O32" s="54">
        <v>0</v>
      </c>
      <c r="P32" s="54">
        <v>1.02</v>
      </c>
      <c r="Q32" s="54">
        <v>7.44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1.8400000000000001</v>
      </c>
      <c r="C34" s="28">
        <f t="shared" si="0"/>
        <v>54.369999999999997</v>
      </c>
      <c r="D34" s="28">
        <f t="shared" si="0"/>
        <v>32.130000000000003</v>
      </c>
      <c r="E34" s="28">
        <f t="shared" si="0"/>
        <v>0.11</v>
      </c>
      <c r="F34" s="28">
        <f t="shared" si="0"/>
        <v>3.1699999999999999</v>
      </c>
      <c r="G34" s="28">
        <f t="shared" si="0"/>
        <v>53.18</v>
      </c>
      <c r="H34" s="28">
        <f t="shared" si="0"/>
        <v>22.329999999999998</v>
      </c>
      <c r="I34" s="28">
        <f t="shared" si="0"/>
        <v>1.48</v>
      </c>
      <c r="J34" s="28">
        <f t="shared" si="0"/>
        <v>0.13</v>
      </c>
      <c r="K34" s="28">
        <f t="shared" si="0"/>
        <v>98.959999999999994</v>
      </c>
      <c r="L34" s="28">
        <f t="shared" si="0"/>
        <v>13.859999999999999</v>
      </c>
      <c r="M34" s="28">
        <f t="shared" si="0"/>
        <v>20.109999999999999</v>
      </c>
      <c r="N34" s="28">
        <f t="shared" si="0"/>
        <v>72.700000000000003</v>
      </c>
      <c r="O34" s="28">
        <f t="shared" si="0"/>
        <v>0</v>
      </c>
      <c r="P34" s="28">
        <f t="shared" si="0"/>
        <v>0.44</v>
      </c>
      <c r="Q34" s="28">
        <f t="shared" si="0"/>
        <v>5.7999999999999998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21.5</v>
      </c>
      <c r="C35" s="29">
        <f t="shared" si="1"/>
        <v>80.120000000000005</v>
      </c>
      <c r="D35" s="29">
        <f t="shared" si="1"/>
        <v>56.899999999999999</v>
      </c>
      <c r="E35" s="29">
        <f t="shared" si="1"/>
        <v>0.68000000000000005</v>
      </c>
      <c r="F35" s="29">
        <f t="shared" si="1"/>
        <v>20.18</v>
      </c>
      <c r="G35" s="29">
        <f t="shared" si="1"/>
        <v>125.01000000000001</v>
      </c>
      <c r="H35" s="29">
        <f t="shared" si="1"/>
        <v>40.700000000000003</v>
      </c>
      <c r="I35" s="29">
        <f t="shared" si="1"/>
        <v>1.6200000000000001</v>
      </c>
      <c r="J35" s="29">
        <f t="shared" si="1"/>
        <v>1.5700000000000001</v>
      </c>
      <c r="K35" s="29">
        <f t="shared" si="1"/>
        <v>356.16000000000003</v>
      </c>
      <c r="L35" s="29">
        <f t="shared" si="1"/>
        <v>31.809999999999999</v>
      </c>
      <c r="M35" s="29">
        <f t="shared" si="1"/>
        <v>63.350000000000001</v>
      </c>
      <c r="N35" s="29">
        <f t="shared" si="1"/>
        <v>866.70000000000005</v>
      </c>
      <c r="O35" s="29">
        <f t="shared" si="1"/>
        <v>0</v>
      </c>
      <c r="P35" s="29">
        <f t="shared" si="1"/>
        <v>1.1399999999999999</v>
      </c>
      <c r="Q35" s="29">
        <f t="shared" si="1"/>
        <v>8.2200000000000006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9.2404166666666701</v>
      </c>
      <c r="C36" s="28">
        <f t="shared" si="2"/>
        <v>66.807916666666657</v>
      </c>
      <c r="D36" s="28">
        <f t="shared" si="2"/>
        <v>44.862083333333338</v>
      </c>
      <c r="E36" s="28">
        <f t="shared" si="2"/>
        <v>0.3520833333333333</v>
      </c>
      <c r="F36" s="28">
        <f t="shared" si="2"/>
        <v>5.588750000000001</v>
      </c>
      <c r="G36" s="28">
        <f t="shared" si="2"/>
        <v>87.422500000000014</v>
      </c>
      <c r="H36" s="28">
        <f t="shared" si="2"/>
        <v>31.515416666666667</v>
      </c>
      <c r="I36" s="28">
        <f t="shared" si="2"/>
        <v>1.544583333333333</v>
      </c>
      <c r="J36" s="28">
        <f t="shared" si="2"/>
        <v>0.71708333333333318</v>
      </c>
      <c r="K36" s="28">
        <f t="shared" si="2"/>
        <v>291.33500000000004</v>
      </c>
      <c r="L36" s="28">
        <f t="shared" si="2"/>
        <v>21.284166666666668</v>
      </c>
      <c r="M36" s="28">
        <f t="shared" si="2"/>
        <v>45.094166666666673</v>
      </c>
      <c r="N36" s="28">
        <f t="shared" si="2"/>
        <v>292.83749999999998</v>
      </c>
      <c r="O36" s="28">
        <f t="shared" si="2"/>
        <v>0</v>
      </c>
      <c r="P36" s="28">
        <f t="shared" si="2"/>
        <v>0.81541666666666657</v>
      </c>
      <c r="Q36" s="28">
        <f t="shared" si="2"/>
        <v>7.1237500000000011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5.5737353638109726</v>
      </c>
      <c r="C37" s="28">
        <f t="shared" si="3" ref="C37:Q37">STDEV(C9:C32)</f>
        <v>7.9695261869779328</v>
      </c>
      <c r="D37" s="28">
        <f t="shared" si="3"/>
        <v>6.4265698330322483</v>
      </c>
      <c r="E37" s="28">
        <f t="shared" si="3"/>
        <v>0.1434657713053252</v>
      </c>
      <c r="F37" s="28">
        <f t="shared" si="3"/>
        <v>4.0300041131708415</v>
      </c>
      <c r="G37" s="28">
        <f t="shared" si="3"/>
        <v>21.087137899264651</v>
      </c>
      <c r="H37" s="28">
        <f t="shared" si="3"/>
        <v>5.811846207581528</v>
      </c>
      <c r="I37" s="28">
        <f t="shared" si="3"/>
        <v>0.030924756744558989</v>
      </c>
      <c r="J37" s="28">
        <f t="shared" si="3"/>
        <v>0.45605567134103164</v>
      </c>
      <c r="K37" s="28">
        <f t="shared" si="3"/>
        <v>97.887096675977475</v>
      </c>
      <c r="L37" s="28">
        <f t="shared" si="3"/>
        <v>5.8514843279786382</v>
      </c>
      <c r="M37" s="28">
        <f t="shared" si="3"/>
        <v>13.768345205947718</v>
      </c>
      <c r="N37" s="28">
        <f t="shared" si="3"/>
        <v>290.1505258706996</v>
      </c>
      <c r="O37" s="28">
        <f t="shared" si="3"/>
        <v>0</v>
      </c>
      <c r="P37" s="28">
        <f t="shared" si="3"/>
        <v>0.22866301704105846</v>
      </c>
      <c r="Q37" s="28">
        <f t="shared" si="3"/>
        <v>0.62403185885781998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067b5a-5c71-4648-a1b0-1460e6a8031a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2.93</v>
      </c>
      <c r="C9" s="54">
        <v>66.040000000000006</v>
      </c>
      <c r="D9" s="54">
        <v>39.44</v>
      </c>
      <c r="E9" s="54">
        <v>0.21</v>
      </c>
      <c r="F9" s="54">
        <v>4.74</v>
      </c>
      <c r="G9" s="54">
        <v>88.04</v>
      </c>
      <c r="H9" s="54">
        <v>35.36</v>
      </c>
      <c r="I9" s="54">
        <v>1.5</v>
      </c>
      <c r="J9" s="54">
        <v>1.43</v>
      </c>
      <c r="K9" s="54">
        <v>104.40</v>
      </c>
      <c r="L9" s="54">
        <v>19.68</v>
      </c>
      <c r="M9" s="54">
        <v>54.46</v>
      </c>
      <c r="N9" s="54">
        <v>72.900000000000006</v>
      </c>
      <c r="O9" s="54">
        <v>0</v>
      </c>
      <c r="P9" s="54">
        <v>0.93</v>
      </c>
      <c r="Q9" s="54">
        <v>6.92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3.02</v>
      </c>
      <c r="C10" s="54">
        <v>57.73</v>
      </c>
      <c r="D10" s="54">
        <v>34.299999999999997</v>
      </c>
      <c r="E10" s="54">
        <v>0.20</v>
      </c>
      <c r="F10" s="54">
        <v>4.5199999999999996</v>
      </c>
      <c r="G10" s="54">
        <v>80.540000000000006</v>
      </c>
      <c r="H10" s="54">
        <v>33.590000000000003</v>
      </c>
      <c r="I10" s="54">
        <v>1.58</v>
      </c>
      <c r="J10" s="54">
        <v>0.17</v>
      </c>
      <c r="K10" s="54">
        <v>354.72</v>
      </c>
      <c r="L10" s="54">
        <v>18.93</v>
      </c>
      <c r="M10" s="54">
        <v>68.349999999999994</v>
      </c>
      <c r="N10" s="54">
        <v>73.5</v>
      </c>
      <c r="O10" s="54">
        <v>0</v>
      </c>
      <c r="P10" s="54">
        <v>0.79</v>
      </c>
      <c r="Q10" s="54">
        <v>6.52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4.37</v>
      </c>
      <c r="C11" s="54">
        <v>56.54</v>
      </c>
      <c r="D11" s="54">
        <v>35.36</v>
      </c>
      <c r="E11" s="54">
        <v>0.22</v>
      </c>
      <c r="F11" s="54">
        <v>3.60</v>
      </c>
      <c r="G11" s="54">
        <v>75.41</v>
      </c>
      <c r="H11" s="54">
        <v>32.549999999999997</v>
      </c>
      <c r="I11" s="54">
        <v>1.59</v>
      </c>
      <c r="J11" s="54">
        <v>0.14000000000000001</v>
      </c>
      <c r="K11" s="54">
        <v>329.14</v>
      </c>
      <c r="L11" s="54">
        <v>17.46</v>
      </c>
      <c r="M11" s="54">
        <v>76.73</v>
      </c>
      <c r="N11" s="54">
        <v>73.5</v>
      </c>
      <c r="O11" s="54">
        <v>0</v>
      </c>
      <c r="P11" s="54">
        <v>0.74</v>
      </c>
      <c r="Q11" s="54">
        <v>6.56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5.32</v>
      </c>
      <c r="C12" s="54">
        <v>57.32</v>
      </c>
      <c r="D12" s="54">
        <v>36.549999999999997</v>
      </c>
      <c r="E12" s="54">
        <v>0.23</v>
      </c>
      <c r="F12" s="54">
        <v>3.41</v>
      </c>
      <c r="G12" s="54">
        <v>73.86</v>
      </c>
      <c r="H12" s="54">
        <v>32.549999999999997</v>
      </c>
      <c r="I12" s="54">
        <v>1.55</v>
      </c>
      <c r="J12" s="54">
        <v>1.05</v>
      </c>
      <c r="K12" s="54">
        <v>356.46</v>
      </c>
      <c r="L12" s="54">
        <v>17.95</v>
      </c>
      <c r="M12" s="54">
        <v>76.239999999999995</v>
      </c>
      <c r="N12" s="54">
        <v>74</v>
      </c>
      <c r="O12" s="54">
        <v>0</v>
      </c>
      <c r="P12" s="54">
        <v>0.71</v>
      </c>
      <c r="Q12" s="54">
        <v>6.65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5.31</v>
      </c>
      <c r="C13" s="54">
        <v>57.91</v>
      </c>
      <c r="D13" s="54">
        <v>36.86</v>
      </c>
      <c r="E13" s="54">
        <v>0.33</v>
      </c>
      <c r="F13" s="54">
        <v>3.61</v>
      </c>
      <c r="G13" s="54">
        <v>77.27</v>
      </c>
      <c r="H13" s="54">
        <v>32.71</v>
      </c>
      <c r="I13" s="54">
        <v>1.56</v>
      </c>
      <c r="J13" s="54">
        <v>0.25</v>
      </c>
      <c r="K13" s="54">
        <v>334.62</v>
      </c>
      <c r="L13" s="54">
        <v>17.23</v>
      </c>
      <c r="M13" s="54">
        <v>75.680000000000007</v>
      </c>
      <c r="N13" s="54">
        <v>74</v>
      </c>
      <c r="O13" s="54">
        <v>0</v>
      </c>
      <c r="P13" s="54">
        <v>0.68</v>
      </c>
      <c r="Q13" s="54">
        <v>6.70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11.63</v>
      </c>
      <c r="C14" s="54">
        <v>60.31</v>
      </c>
      <c r="D14" s="54">
        <v>43.25</v>
      </c>
      <c r="E14" s="54">
        <v>0.27</v>
      </c>
      <c r="F14" s="54">
        <v>3.5</v>
      </c>
      <c r="G14" s="54">
        <v>78.83</v>
      </c>
      <c r="H14" s="54">
        <v>32.71</v>
      </c>
      <c r="I14" s="54">
        <v>1.56</v>
      </c>
      <c r="J14" s="54">
        <v>0.10</v>
      </c>
      <c r="K14" s="54">
        <v>294.63</v>
      </c>
      <c r="L14" s="54">
        <v>16.829999999999998</v>
      </c>
      <c r="M14" s="54">
        <v>79.63</v>
      </c>
      <c r="N14" s="54">
        <v>73.80</v>
      </c>
      <c r="O14" s="54">
        <v>0</v>
      </c>
      <c r="P14" s="54">
        <v>0.73</v>
      </c>
      <c r="Q14" s="54">
        <v>7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23.54</v>
      </c>
      <c r="C15" s="54">
        <v>62.60</v>
      </c>
      <c r="D15" s="54">
        <v>54.03</v>
      </c>
      <c r="E15" s="54">
        <v>0.28999999999999998</v>
      </c>
      <c r="F15" s="54">
        <v>3.22</v>
      </c>
      <c r="G15" s="54">
        <v>89.93</v>
      </c>
      <c r="H15" s="54">
        <v>34.64</v>
      </c>
      <c r="I15" s="54">
        <v>1.53</v>
      </c>
      <c r="J15" s="54">
        <v>0.38</v>
      </c>
      <c r="K15" s="54">
        <v>352.11</v>
      </c>
      <c r="L15" s="54">
        <v>16.48</v>
      </c>
      <c r="M15" s="54">
        <v>83.38</v>
      </c>
      <c r="N15" s="54">
        <v>88.80</v>
      </c>
      <c r="O15" s="54">
        <v>0</v>
      </c>
      <c r="P15" s="54">
        <v>0.83</v>
      </c>
      <c r="Q15" s="54">
        <v>7.97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24.15</v>
      </c>
      <c r="C16" s="54">
        <v>65.38</v>
      </c>
      <c r="D16" s="54">
        <v>55.71</v>
      </c>
      <c r="E16" s="54">
        <v>0.34</v>
      </c>
      <c r="F16" s="54">
        <v>2.98</v>
      </c>
      <c r="G16" s="54">
        <v>94.95</v>
      </c>
      <c r="H16" s="54">
        <v>42.63</v>
      </c>
      <c r="I16" s="54">
        <v>1.58</v>
      </c>
      <c r="J16" s="54">
        <v>0.40</v>
      </c>
      <c r="K16" s="54">
        <v>352.72</v>
      </c>
      <c r="L16" s="54">
        <v>18.739999999999998</v>
      </c>
      <c r="M16" s="54">
        <v>74.959999999999994</v>
      </c>
      <c r="N16" s="54">
        <v>245</v>
      </c>
      <c r="O16" s="54">
        <v>0</v>
      </c>
      <c r="P16" s="54">
        <v>0.86</v>
      </c>
      <c r="Q16" s="54">
        <v>8.1999999999999993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23.40</v>
      </c>
      <c r="C17" s="54">
        <v>66.25</v>
      </c>
      <c r="D17" s="54">
        <v>55.85</v>
      </c>
      <c r="E17" s="54">
        <v>0.30</v>
      </c>
      <c r="F17" s="54">
        <v>3.22</v>
      </c>
      <c r="G17" s="54">
        <v>99.93</v>
      </c>
      <c r="H17" s="54">
        <v>42.63</v>
      </c>
      <c r="I17" s="54">
        <v>1.52</v>
      </c>
      <c r="J17" s="54">
        <v>0.88</v>
      </c>
      <c r="K17" s="54">
        <v>359.29</v>
      </c>
      <c r="L17" s="54">
        <v>21.47</v>
      </c>
      <c r="M17" s="54">
        <v>60.10</v>
      </c>
      <c r="N17" s="54">
        <v>447.40</v>
      </c>
      <c r="O17" s="54">
        <v>0</v>
      </c>
      <c r="P17" s="54">
        <v>0.89</v>
      </c>
      <c r="Q17" s="54">
        <v>8.16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19.579999999999998</v>
      </c>
      <c r="C18" s="54">
        <v>66.05</v>
      </c>
      <c r="D18" s="54">
        <v>52.80</v>
      </c>
      <c r="E18" s="54">
        <v>0.30</v>
      </c>
      <c r="F18" s="54">
        <v>3.28</v>
      </c>
      <c r="G18" s="54">
        <v>99.93</v>
      </c>
      <c r="H18" s="54">
        <v>41.41</v>
      </c>
      <c r="I18" s="54">
        <v>1.55</v>
      </c>
      <c r="J18" s="54">
        <v>1.06</v>
      </c>
      <c r="K18" s="54">
        <v>115.45</v>
      </c>
      <c r="L18" s="54">
        <v>24.69</v>
      </c>
      <c r="M18" s="54">
        <v>57.54</v>
      </c>
      <c r="N18" s="54">
        <v>623.5</v>
      </c>
      <c r="O18" s="54">
        <v>0</v>
      </c>
      <c r="P18" s="54">
        <v>0.88</v>
      </c>
      <c r="Q18" s="54">
        <v>8.08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13.47</v>
      </c>
      <c r="C19" s="54">
        <v>69.27</v>
      </c>
      <c r="D19" s="54">
        <v>48.31</v>
      </c>
      <c r="E19" s="54">
        <v>0.31</v>
      </c>
      <c r="F19" s="54">
        <v>3.64</v>
      </c>
      <c r="G19" s="54">
        <v>97.14</v>
      </c>
      <c r="H19" s="54">
        <v>40.270000000000003</v>
      </c>
      <c r="I19" s="54">
        <v>1.51</v>
      </c>
      <c r="J19" s="54">
        <v>0.72</v>
      </c>
      <c r="K19" s="54">
        <v>345.28</v>
      </c>
      <c r="L19" s="54">
        <v>30.51</v>
      </c>
      <c r="M19" s="54">
        <v>41.77</v>
      </c>
      <c r="N19" s="54">
        <v>693.20</v>
      </c>
      <c r="O19" s="54">
        <v>0</v>
      </c>
      <c r="P19" s="54">
        <v>0.86</v>
      </c>
      <c r="Q19" s="54">
        <v>7.78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8.74</v>
      </c>
      <c r="C20" s="54">
        <v>70.260000000000005</v>
      </c>
      <c r="D20" s="54">
        <v>46.43</v>
      </c>
      <c r="E20" s="54">
        <v>0.31</v>
      </c>
      <c r="F20" s="54">
        <v>4.8899999999999997</v>
      </c>
      <c r="G20" s="54">
        <v>89.20</v>
      </c>
      <c r="H20" s="54">
        <v>38.299999999999997</v>
      </c>
      <c r="I20" s="54">
        <v>1.55</v>
      </c>
      <c r="J20" s="54">
        <v>0.68</v>
      </c>
      <c r="K20" s="54">
        <v>138.47</v>
      </c>
      <c r="L20" s="54">
        <v>28.43</v>
      </c>
      <c r="M20" s="54">
        <v>41.45</v>
      </c>
      <c r="N20" s="54">
        <v>728.60</v>
      </c>
      <c r="O20" s="54">
        <v>0</v>
      </c>
      <c r="P20" s="54">
        <v>0.87</v>
      </c>
      <c r="Q20" s="54">
        <v>7.53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3.13</v>
      </c>
      <c r="C21" s="54">
        <v>67.30</v>
      </c>
      <c r="D21" s="54">
        <v>40.299999999999997</v>
      </c>
      <c r="E21" s="54">
        <v>0.28999999999999998</v>
      </c>
      <c r="F21" s="54">
        <v>5.58</v>
      </c>
      <c r="G21" s="54">
        <v>84.37</v>
      </c>
      <c r="H21" s="54">
        <v>35.340000000000003</v>
      </c>
      <c r="I21" s="54">
        <v>1.53</v>
      </c>
      <c r="J21" s="54">
        <v>0.46</v>
      </c>
      <c r="K21" s="54">
        <v>138.93</v>
      </c>
      <c r="L21" s="54">
        <v>28.95</v>
      </c>
      <c r="M21" s="54">
        <v>42.27</v>
      </c>
      <c r="N21" s="54">
        <v>642.79999999999995</v>
      </c>
      <c r="O21" s="54">
        <v>0</v>
      </c>
      <c r="P21" s="54">
        <v>0.77</v>
      </c>
      <c r="Q21" s="54">
        <v>7.18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2.29</v>
      </c>
      <c r="C22" s="54">
        <v>58.81</v>
      </c>
      <c r="D22" s="54">
        <v>34.71</v>
      </c>
      <c r="E22" s="54">
        <v>0.37</v>
      </c>
      <c r="F22" s="54">
        <v>5.47</v>
      </c>
      <c r="G22" s="54">
        <v>72.91</v>
      </c>
      <c r="H22" s="54">
        <v>28.18</v>
      </c>
      <c r="I22" s="54">
        <v>1.53</v>
      </c>
      <c r="J22" s="54">
        <v>0.67</v>
      </c>
      <c r="K22" s="54">
        <v>331.92</v>
      </c>
      <c r="L22" s="54">
        <v>30.90</v>
      </c>
      <c r="M22" s="54">
        <v>38.61</v>
      </c>
      <c r="N22" s="54">
        <v>584</v>
      </c>
      <c r="O22" s="54">
        <v>0</v>
      </c>
      <c r="P22" s="54">
        <v>0.67</v>
      </c>
      <c r="Q22" s="54">
        <v>6.66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2.0499999999999998</v>
      </c>
      <c r="C23" s="54">
        <v>57.19</v>
      </c>
      <c r="D23" s="54">
        <v>33.85</v>
      </c>
      <c r="E23" s="54">
        <v>0.31</v>
      </c>
      <c r="F23" s="54">
        <v>5.67</v>
      </c>
      <c r="G23" s="54">
        <v>62.46</v>
      </c>
      <c r="H23" s="54">
        <v>31.65</v>
      </c>
      <c r="I23" s="54">
        <v>1.55</v>
      </c>
      <c r="J23" s="54">
        <v>0.88</v>
      </c>
      <c r="K23" s="54">
        <v>358.85</v>
      </c>
      <c r="L23" s="54">
        <v>29.99</v>
      </c>
      <c r="M23" s="54">
        <v>41.99</v>
      </c>
      <c r="N23" s="54">
        <v>487.10</v>
      </c>
      <c r="O23" s="54">
        <v>0</v>
      </c>
      <c r="P23" s="54">
        <v>0.63</v>
      </c>
      <c r="Q23" s="54">
        <v>6.39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2.33</v>
      </c>
      <c r="C24" s="54">
        <v>56.62</v>
      </c>
      <c r="D24" s="54">
        <v>33.67</v>
      </c>
      <c r="E24" s="54">
        <v>0.39</v>
      </c>
      <c r="F24" s="54">
        <v>4.71</v>
      </c>
      <c r="G24" s="54">
        <v>57.40</v>
      </c>
      <c r="H24" s="54">
        <v>31.65</v>
      </c>
      <c r="I24" s="54">
        <v>1.56</v>
      </c>
      <c r="J24" s="54">
        <v>0.15</v>
      </c>
      <c r="K24" s="54">
        <v>330.52</v>
      </c>
      <c r="L24" s="54">
        <v>28.74</v>
      </c>
      <c r="M24" s="54">
        <v>42.68</v>
      </c>
      <c r="N24" s="54">
        <v>302.80</v>
      </c>
      <c r="O24" s="54">
        <v>0</v>
      </c>
      <c r="P24" s="54">
        <v>0.57999999999999996</v>
      </c>
      <c r="Q24" s="54">
        <v>5.72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2.4900000000000002</v>
      </c>
      <c r="C25" s="54">
        <v>55.16</v>
      </c>
      <c r="D25" s="54">
        <v>33.049999999999997</v>
      </c>
      <c r="E25" s="54">
        <v>0.21</v>
      </c>
      <c r="F25" s="54">
        <v>4.42</v>
      </c>
      <c r="G25" s="54">
        <v>51.92</v>
      </c>
      <c r="H25" s="54">
        <v>26.97</v>
      </c>
      <c r="I25" s="54">
        <v>1.58</v>
      </c>
      <c r="J25" s="54">
        <v>0.18</v>
      </c>
      <c r="K25" s="54">
        <v>334.5</v>
      </c>
      <c r="L25" s="54">
        <v>27.77</v>
      </c>
      <c r="M25" s="54">
        <v>43.66</v>
      </c>
      <c r="N25" s="54">
        <v>180.20</v>
      </c>
      <c r="O25" s="54">
        <v>0</v>
      </c>
      <c r="P25" s="54">
        <v>0.55000000000000004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3.56</v>
      </c>
      <c r="C26" s="54">
        <v>62.97</v>
      </c>
      <c r="D26" s="54">
        <v>37.79</v>
      </c>
      <c r="E26" s="54">
        <v>0.33</v>
      </c>
      <c r="F26" s="54">
        <v>5.38</v>
      </c>
      <c r="G26" s="54">
        <v>59.14</v>
      </c>
      <c r="H26" s="54">
        <v>22.60</v>
      </c>
      <c r="I26" s="54">
        <v>1.5</v>
      </c>
      <c r="J26" s="54">
        <v>2.42</v>
      </c>
      <c r="K26" s="54">
        <v>350.42</v>
      </c>
      <c r="L26" s="54">
        <v>27.13</v>
      </c>
      <c r="M26" s="54">
        <v>58.41</v>
      </c>
      <c r="N26" s="54">
        <v>127.40</v>
      </c>
      <c r="O26" s="54">
        <v>0</v>
      </c>
      <c r="P26" s="54">
        <v>0.64</v>
      </c>
      <c r="Q26" s="54">
        <v>5.98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3.30</v>
      </c>
      <c r="C27" s="54">
        <v>67.650000000000006</v>
      </c>
      <c r="D27" s="54">
        <v>40.630000000000003</v>
      </c>
      <c r="E27" s="54">
        <v>0.25</v>
      </c>
      <c r="F27" s="54">
        <v>5.0999999999999996</v>
      </c>
      <c r="G27" s="54">
        <v>80.41</v>
      </c>
      <c r="H27" s="54">
        <v>29.97</v>
      </c>
      <c r="I27" s="54">
        <v>1.5</v>
      </c>
      <c r="J27" s="54">
        <v>1.49</v>
      </c>
      <c r="K27" s="54">
        <v>350.87</v>
      </c>
      <c r="L27" s="54">
        <v>21.84</v>
      </c>
      <c r="M27" s="54">
        <v>64.59</v>
      </c>
      <c r="N27" s="54">
        <v>64.80</v>
      </c>
      <c r="O27" s="54">
        <v>0</v>
      </c>
      <c r="P27" s="54">
        <v>0.72</v>
      </c>
      <c r="Q27" s="54">
        <v>6.38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3.40</v>
      </c>
      <c r="C28" s="54">
        <v>67.77</v>
      </c>
      <c r="D28" s="54">
        <v>40.68</v>
      </c>
      <c r="E28" s="54">
        <v>0.22</v>
      </c>
      <c r="F28" s="54">
        <v>4.4800000000000004</v>
      </c>
      <c r="G28" s="54">
        <v>80.41</v>
      </c>
      <c r="H28" s="54">
        <v>29.97</v>
      </c>
      <c r="I28" s="54">
        <v>1.55</v>
      </c>
      <c r="J28" s="54">
        <v>0.54</v>
      </c>
      <c r="K28" s="54">
        <v>345.31</v>
      </c>
      <c r="L28" s="54">
        <v>20.25</v>
      </c>
      <c r="M28" s="54">
        <v>68.52</v>
      </c>
      <c r="N28" s="54">
        <v>70.099999999999994</v>
      </c>
      <c r="O28" s="54">
        <v>0</v>
      </c>
      <c r="P28" s="54">
        <v>0.73</v>
      </c>
      <c r="Q28" s="54">
        <v>6.35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4.3600000000000003</v>
      </c>
      <c r="C29" s="54">
        <v>66.55</v>
      </c>
      <c r="D29" s="54">
        <v>40.67</v>
      </c>
      <c r="E29" s="54">
        <v>0.34</v>
      </c>
      <c r="F29" s="54">
        <v>3.82</v>
      </c>
      <c r="G29" s="54">
        <v>66.94</v>
      </c>
      <c r="H29" s="54">
        <v>28.39</v>
      </c>
      <c r="I29" s="54">
        <v>1.55</v>
      </c>
      <c r="J29" s="54">
        <v>0.46</v>
      </c>
      <c r="K29" s="54">
        <v>352.04</v>
      </c>
      <c r="L29" s="54">
        <v>19.78</v>
      </c>
      <c r="M29" s="54">
        <v>68.680000000000007</v>
      </c>
      <c r="N29" s="54">
        <v>71.599999999999994</v>
      </c>
      <c r="O29" s="54">
        <v>0</v>
      </c>
      <c r="P29" s="54">
        <v>0.78</v>
      </c>
      <c r="Q29" s="54">
        <v>6.38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7.17</v>
      </c>
      <c r="C30" s="54">
        <v>67.39</v>
      </c>
      <c r="D30" s="54">
        <v>43.47</v>
      </c>
      <c r="E30" s="54">
        <v>0.33</v>
      </c>
      <c r="F30" s="54">
        <v>3.60</v>
      </c>
      <c r="G30" s="54">
        <v>65.16</v>
      </c>
      <c r="H30" s="54">
        <v>25.89</v>
      </c>
      <c r="I30" s="54">
        <v>1.55</v>
      </c>
      <c r="J30" s="54">
        <v>0.43</v>
      </c>
      <c r="K30" s="54">
        <v>356.70</v>
      </c>
      <c r="L30" s="54">
        <v>19.47</v>
      </c>
      <c r="M30" s="54">
        <v>71.16</v>
      </c>
      <c r="N30" s="54">
        <v>86.40</v>
      </c>
      <c r="O30" s="54">
        <v>0</v>
      </c>
      <c r="P30" s="54">
        <v>0.79</v>
      </c>
      <c r="Q30" s="54">
        <v>6.62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6.87</v>
      </c>
      <c r="C31" s="54">
        <v>67.61</v>
      </c>
      <c r="D31" s="54">
        <v>43.47</v>
      </c>
      <c r="E31" s="54">
        <v>0.31</v>
      </c>
      <c r="F31" s="54">
        <v>3.60</v>
      </c>
      <c r="G31" s="54">
        <v>67.180000000000007</v>
      </c>
      <c r="H31" s="54">
        <v>31.26</v>
      </c>
      <c r="I31" s="54">
        <v>1.53</v>
      </c>
      <c r="J31" s="54">
        <v>1.36</v>
      </c>
      <c r="K31" s="54">
        <v>103.79</v>
      </c>
      <c r="L31" s="54">
        <v>19.510000000000002</v>
      </c>
      <c r="M31" s="54">
        <v>69.39</v>
      </c>
      <c r="N31" s="54">
        <v>197.80</v>
      </c>
      <c r="O31" s="54">
        <v>0</v>
      </c>
      <c r="P31" s="54">
        <v>0.78</v>
      </c>
      <c r="Q31" s="54">
        <v>6.65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5.18</v>
      </c>
      <c r="C32" s="54">
        <v>63.21</v>
      </c>
      <c r="D32" s="54">
        <v>39.68</v>
      </c>
      <c r="E32" s="54">
        <v>0.33</v>
      </c>
      <c r="F32" s="54">
        <v>3.80</v>
      </c>
      <c r="G32" s="54">
        <v>67.180000000000007</v>
      </c>
      <c r="H32" s="54">
        <v>31.26</v>
      </c>
      <c r="I32" s="54">
        <v>1.49</v>
      </c>
      <c r="J32" s="54">
        <v>0.98</v>
      </c>
      <c r="K32" s="54">
        <v>103.25</v>
      </c>
      <c r="L32" s="54">
        <v>19.48</v>
      </c>
      <c r="M32" s="54">
        <v>67.760000000000005</v>
      </c>
      <c r="N32" s="54">
        <v>143.90</v>
      </c>
      <c r="O32" s="54">
        <v>0</v>
      </c>
      <c r="P32" s="54">
        <v>0.72</v>
      </c>
      <c r="Q32" s="54">
        <v>6.64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2.0499999999999998</v>
      </c>
      <c r="C34" s="28">
        <f t="shared" si="0"/>
        <v>55.159999999999997</v>
      </c>
      <c r="D34" s="28">
        <f t="shared" si="0"/>
        <v>33.049999999999997</v>
      </c>
      <c r="E34" s="28">
        <f t="shared" si="0"/>
        <v>0.20000000000000001</v>
      </c>
      <c r="F34" s="28">
        <f t="shared" si="0"/>
        <v>2.98</v>
      </c>
      <c r="G34" s="28">
        <f t="shared" si="0"/>
        <v>51.920000000000002</v>
      </c>
      <c r="H34" s="28">
        <f t="shared" si="0"/>
        <v>22.600000000000001</v>
      </c>
      <c r="I34" s="28">
        <f t="shared" si="0"/>
        <v>1.49</v>
      </c>
      <c r="J34" s="28">
        <f t="shared" si="0"/>
        <v>0.10000000000000001</v>
      </c>
      <c r="K34" s="28">
        <f t="shared" si="0"/>
        <v>103.25</v>
      </c>
      <c r="L34" s="28">
        <f t="shared" si="0"/>
        <v>16.48</v>
      </c>
      <c r="M34" s="28">
        <f t="shared" si="0"/>
        <v>38.609999999999999</v>
      </c>
      <c r="N34" s="28">
        <f t="shared" si="0"/>
        <v>64.799999999999997</v>
      </c>
      <c r="O34" s="28">
        <f t="shared" si="0"/>
        <v>0</v>
      </c>
      <c r="P34" s="28">
        <f t="shared" si="0"/>
        <v>0.55000000000000004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24.149999999999999</v>
      </c>
      <c r="C35" s="29">
        <f t="shared" si="1"/>
        <v>70.260000000000005</v>
      </c>
      <c r="D35" s="29">
        <f t="shared" si="1"/>
        <v>55.850000000000001</v>
      </c>
      <c r="E35" s="29">
        <f t="shared" si="1"/>
        <v>0.39000000000000001</v>
      </c>
      <c r="F35" s="29">
        <f t="shared" si="1"/>
        <v>5.6699999999999999</v>
      </c>
      <c r="G35" s="29">
        <f t="shared" si="1"/>
        <v>99.930000000000007</v>
      </c>
      <c r="H35" s="29">
        <f t="shared" si="1"/>
        <v>42.630000000000003</v>
      </c>
      <c r="I35" s="29">
        <f t="shared" si="1"/>
        <v>1.5900000000000001</v>
      </c>
      <c r="J35" s="29">
        <f t="shared" si="1"/>
        <v>2.4199999999999999</v>
      </c>
      <c r="K35" s="29">
        <f t="shared" si="1"/>
        <v>359.29000000000002</v>
      </c>
      <c r="L35" s="29">
        <f t="shared" si="1"/>
        <v>30.899999999999999</v>
      </c>
      <c r="M35" s="29">
        <f t="shared" si="1"/>
        <v>83.379999999999995</v>
      </c>
      <c r="N35" s="29">
        <f t="shared" si="1"/>
        <v>728.60000000000002</v>
      </c>
      <c r="O35" s="29">
        <f t="shared" si="1"/>
        <v>0</v>
      </c>
      <c r="P35" s="29">
        <f t="shared" si="1"/>
        <v>0.93000000000000005</v>
      </c>
      <c r="Q35" s="29">
        <f t="shared" si="1"/>
        <v>8.1999999999999993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7.9829166666666689</v>
      </c>
      <c r="C36" s="28">
        <f t="shared" si="2"/>
        <v>63.078749999999992</v>
      </c>
      <c r="D36" s="28">
        <f t="shared" si="2"/>
        <v>41.702499999999993</v>
      </c>
      <c r="E36" s="28">
        <f t="shared" si="2"/>
        <v>0.29124999999999995</v>
      </c>
      <c r="F36" s="28">
        <f t="shared" si="2"/>
        <v>4.176666666666665</v>
      </c>
      <c r="G36" s="28">
        <f t="shared" si="2"/>
        <v>77.521250000000038</v>
      </c>
      <c r="H36" s="28">
        <f t="shared" si="2"/>
        <v>33.020000000000003</v>
      </c>
      <c r="I36" s="28">
        <f t="shared" si="2"/>
        <v>1.541666666666667</v>
      </c>
      <c r="J36" s="28">
        <f t="shared" si="2"/>
        <v>0.72000000000000008</v>
      </c>
      <c r="K36" s="28">
        <f t="shared" si="2"/>
        <v>287.26625000000001</v>
      </c>
      <c r="L36" s="28">
        <f t="shared" si="2"/>
        <v>22.592083333333335</v>
      </c>
      <c r="M36" s="28">
        <f t="shared" si="2"/>
        <v>61.167083333333345</v>
      </c>
      <c r="N36" s="28">
        <f t="shared" si="2"/>
        <v>259.46250000000003</v>
      </c>
      <c r="O36" s="28">
        <f t="shared" si="2"/>
        <v>0</v>
      </c>
      <c r="P36" s="28">
        <f t="shared" si="2"/>
        <v>0.75541666666666674</v>
      </c>
      <c r="Q36" s="28">
        <f t="shared" si="2"/>
        <v>6.8429166666666665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7.3297295039755186</v>
      </c>
      <c r="C37" s="28">
        <f t="shared" si="3" ref="C37:Q37">STDEV(C9:C32)</f>
        <v>4.8059431617440556</v>
      </c>
      <c r="D37" s="28">
        <f t="shared" si="3"/>
        <v>7.1348704323874816</v>
      </c>
      <c r="E37" s="28">
        <f t="shared" si="3"/>
        <v>0.053512493462011132</v>
      </c>
      <c r="F37" s="28">
        <f t="shared" si="3"/>
        <v>0.84802413145867683</v>
      </c>
      <c r="G37" s="28">
        <f t="shared" si="3"/>
        <v>13.691049857320918</v>
      </c>
      <c r="H37" s="28">
        <f t="shared" si="3"/>
        <v>5.1894994313349718</v>
      </c>
      <c r="I37" s="28">
        <f t="shared" si="3"/>
        <v>0.028078564726521385</v>
      </c>
      <c r="J37" s="28">
        <f t="shared" si="3"/>
        <v>0.55460130607099356</v>
      </c>
      <c r="K37" s="28">
        <f t="shared" si="3"/>
        <v>101.44602072091689</v>
      </c>
      <c r="L37" s="28">
        <f t="shared" si="3"/>
        <v>5.0157473578691087</v>
      </c>
      <c r="M37" s="28">
        <f t="shared" si="3"/>
        <v>14.451063291454425</v>
      </c>
      <c r="N37" s="28">
        <f t="shared" si="3"/>
        <v>237.60339408441695</v>
      </c>
      <c r="O37" s="28">
        <f t="shared" si="3"/>
        <v>0</v>
      </c>
      <c r="P37" s="28">
        <f t="shared" si="3"/>
        <v>0.099912099048271946</v>
      </c>
      <c r="Q37" s="28">
        <f t="shared" si="3"/>
        <v>0.77526140986327485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9ae062-61f8-4c96-8cbc-a44547ad911b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4.2300000000000004</v>
      </c>
      <c r="C9" s="54">
        <v>59.29</v>
      </c>
      <c r="D9" s="54">
        <v>36.75</v>
      </c>
      <c r="E9" s="54">
        <v>0.36</v>
      </c>
      <c r="F9" s="54">
        <v>3.85</v>
      </c>
      <c r="G9" s="54">
        <v>66.81</v>
      </c>
      <c r="H9" s="54">
        <v>27.78</v>
      </c>
      <c r="I9" s="54">
        <v>1.51</v>
      </c>
      <c r="J9" s="54">
        <v>0.73</v>
      </c>
      <c r="K9" s="54">
        <v>104.87</v>
      </c>
      <c r="L9" s="54">
        <v>19.11</v>
      </c>
      <c r="M9" s="54">
        <v>95.78</v>
      </c>
      <c r="N9" s="54">
        <v>150.90</v>
      </c>
      <c r="O9" s="54">
        <v>0.80</v>
      </c>
      <c r="P9" s="54">
        <v>0.65</v>
      </c>
      <c r="Q9" s="54">
        <v>6.67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4.3499999999999996</v>
      </c>
      <c r="C10" s="54">
        <v>56.91</v>
      </c>
      <c r="D10" s="54">
        <v>35.520000000000003</v>
      </c>
      <c r="E10" s="54">
        <v>0.36</v>
      </c>
      <c r="F10" s="54">
        <v>3.69</v>
      </c>
      <c r="G10" s="54">
        <v>66.349999999999994</v>
      </c>
      <c r="H10" s="54">
        <v>28.73</v>
      </c>
      <c r="I10" s="54">
        <v>1.52</v>
      </c>
      <c r="J10" s="54">
        <v>0.83</v>
      </c>
      <c r="K10" s="54">
        <v>109.65</v>
      </c>
      <c r="L10" s="54">
        <v>17.350000000000001</v>
      </c>
      <c r="M10" s="54">
        <v>90.63</v>
      </c>
      <c r="N10" s="54">
        <v>144.40</v>
      </c>
      <c r="O10" s="54">
        <v>0</v>
      </c>
      <c r="P10" s="54">
        <v>0.59</v>
      </c>
      <c r="Q10" s="54">
        <v>6.71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4.16</v>
      </c>
      <c r="C11" s="54">
        <v>54.42</v>
      </c>
      <c r="D11" s="54">
        <v>33.86</v>
      </c>
      <c r="E11" s="54">
        <v>0.34</v>
      </c>
      <c r="F11" s="54">
        <v>3.71</v>
      </c>
      <c r="G11" s="54">
        <v>65.30</v>
      </c>
      <c r="H11" s="54">
        <v>30.71</v>
      </c>
      <c r="I11" s="54">
        <v>1.49</v>
      </c>
      <c r="J11" s="54">
        <v>0.39</v>
      </c>
      <c r="K11" s="54">
        <v>355.13</v>
      </c>
      <c r="L11" s="54">
        <v>17.38</v>
      </c>
      <c r="M11" s="54">
        <v>96.45</v>
      </c>
      <c r="N11" s="54">
        <v>152.10</v>
      </c>
      <c r="O11" s="54">
        <v>0</v>
      </c>
      <c r="P11" s="54">
        <v>0.55000000000000004</v>
      </c>
      <c r="Q11" s="54">
        <v>6.69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4.1900000000000004</v>
      </c>
      <c r="C12" s="54">
        <v>53.33</v>
      </c>
      <c r="D12" s="54">
        <v>33.44</v>
      </c>
      <c r="E12" s="54">
        <v>0.28999999999999998</v>
      </c>
      <c r="F12" s="54">
        <v>3.70</v>
      </c>
      <c r="G12" s="54">
        <v>59.05</v>
      </c>
      <c r="H12" s="54">
        <v>31.13</v>
      </c>
      <c r="I12" s="54">
        <v>1.59</v>
      </c>
      <c r="J12" s="54">
        <v>1.22</v>
      </c>
      <c r="K12" s="54">
        <v>103.25</v>
      </c>
      <c r="L12" s="54">
        <v>16.61</v>
      </c>
      <c r="M12" s="54">
        <v>95.01</v>
      </c>
      <c r="N12" s="54">
        <v>145.80000000000001</v>
      </c>
      <c r="O12" s="54">
        <v>0</v>
      </c>
      <c r="P12" s="54">
        <v>0.53</v>
      </c>
      <c r="Q12" s="54">
        <v>6.61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3.71</v>
      </c>
      <c r="C13" s="54">
        <v>51.62</v>
      </c>
      <c r="D13" s="54">
        <v>32.11</v>
      </c>
      <c r="E13" s="54">
        <v>0.21</v>
      </c>
      <c r="F13" s="54">
        <v>3.71</v>
      </c>
      <c r="G13" s="54">
        <v>56.24</v>
      </c>
      <c r="H13" s="54">
        <v>31.13</v>
      </c>
      <c r="I13" s="54">
        <v>1.56</v>
      </c>
      <c r="J13" s="54">
        <v>0.86</v>
      </c>
      <c r="K13" s="54">
        <v>107.54</v>
      </c>
      <c r="L13" s="54">
        <v>16.14</v>
      </c>
      <c r="M13" s="54">
        <v>95.98</v>
      </c>
      <c r="N13" s="54">
        <v>177.20</v>
      </c>
      <c r="O13" s="54">
        <v>0</v>
      </c>
      <c r="P13" s="54">
        <v>0.5</v>
      </c>
      <c r="Q13" s="54">
        <v>6.22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5.66</v>
      </c>
      <c r="C14" s="54">
        <v>54.04</v>
      </c>
      <c r="D14" s="54">
        <v>35.01</v>
      </c>
      <c r="E14" s="54">
        <v>0.20</v>
      </c>
      <c r="F14" s="54">
        <v>3.25</v>
      </c>
      <c r="G14" s="54">
        <v>52.93</v>
      </c>
      <c r="H14" s="54">
        <v>27.24</v>
      </c>
      <c r="I14" s="54">
        <v>1.54</v>
      </c>
      <c r="J14" s="54">
        <v>0.57999999999999996</v>
      </c>
      <c r="K14" s="54">
        <v>102.29</v>
      </c>
      <c r="L14" s="54">
        <v>16.02</v>
      </c>
      <c r="M14" s="54">
        <v>97.24</v>
      </c>
      <c r="N14" s="54">
        <v>164</v>
      </c>
      <c r="O14" s="54">
        <v>0</v>
      </c>
      <c r="P14" s="54">
        <v>0.49</v>
      </c>
      <c r="Q14" s="54">
        <v>6.76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9.8699999999999992</v>
      </c>
      <c r="C15" s="54">
        <v>56.49</v>
      </c>
      <c r="D15" s="54">
        <v>39.729999999999997</v>
      </c>
      <c r="E15" s="54">
        <v>0.23</v>
      </c>
      <c r="F15" s="54">
        <v>3.29</v>
      </c>
      <c r="G15" s="54">
        <v>53.26</v>
      </c>
      <c r="H15" s="54">
        <v>28.25</v>
      </c>
      <c r="I15" s="54">
        <v>1.55</v>
      </c>
      <c r="J15" s="54">
        <v>0.5</v>
      </c>
      <c r="K15" s="54">
        <v>353.10</v>
      </c>
      <c r="L15" s="54">
        <v>16.260000000000002</v>
      </c>
      <c r="M15" s="54">
        <v>97.79</v>
      </c>
      <c r="N15" s="54">
        <v>221.40</v>
      </c>
      <c r="O15" s="54">
        <v>0</v>
      </c>
      <c r="P15" s="54">
        <v>0.51</v>
      </c>
      <c r="Q15" s="54">
        <v>6.96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14.03</v>
      </c>
      <c r="C16" s="54">
        <v>58.62</v>
      </c>
      <c r="D16" s="54">
        <v>44.25</v>
      </c>
      <c r="E16" s="54">
        <v>0.20</v>
      </c>
      <c r="F16" s="54">
        <v>3.43</v>
      </c>
      <c r="G16" s="54">
        <v>54.70</v>
      </c>
      <c r="H16" s="54">
        <v>29.20</v>
      </c>
      <c r="I16" s="54">
        <v>1.52</v>
      </c>
      <c r="J16" s="54">
        <v>0.97</v>
      </c>
      <c r="K16" s="54">
        <v>351.93</v>
      </c>
      <c r="L16" s="54">
        <v>16.62</v>
      </c>
      <c r="M16" s="54">
        <v>98.47</v>
      </c>
      <c r="N16" s="54">
        <v>253.70</v>
      </c>
      <c r="O16" s="54">
        <v>0</v>
      </c>
      <c r="P16" s="54">
        <v>0.56000000000000005</v>
      </c>
      <c r="Q16" s="54">
        <v>7.02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14.06</v>
      </c>
      <c r="C17" s="54">
        <v>59.20</v>
      </c>
      <c r="D17" s="54">
        <v>44.56</v>
      </c>
      <c r="E17" s="54">
        <v>0.25</v>
      </c>
      <c r="F17" s="54">
        <v>3.39</v>
      </c>
      <c r="G17" s="54">
        <v>62.91</v>
      </c>
      <c r="H17" s="54">
        <v>29.20</v>
      </c>
      <c r="I17" s="54">
        <v>1.55</v>
      </c>
      <c r="J17" s="54">
        <v>1.78</v>
      </c>
      <c r="K17" s="54">
        <v>339.69</v>
      </c>
      <c r="L17" s="54">
        <v>16.29</v>
      </c>
      <c r="M17" s="54">
        <v>99.67</v>
      </c>
      <c r="N17" s="54">
        <v>445.5</v>
      </c>
      <c r="O17" s="54">
        <v>4.5999999999999996</v>
      </c>
      <c r="P17" s="54">
        <v>0.59</v>
      </c>
      <c r="Q17" s="54">
        <v>7.03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14.42</v>
      </c>
      <c r="C18" s="54">
        <v>57.38</v>
      </c>
      <c r="D18" s="54">
        <v>43.70</v>
      </c>
      <c r="E18" s="54">
        <v>0.27</v>
      </c>
      <c r="F18" s="54">
        <v>3.26</v>
      </c>
      <c r="G18" s="54">
        <v>62.91</v>
      </c>
      <c r="H18" s="54">
        <v>29.92</v>
      </c>
      <c r="I18" s="54">
        <v>1.55</v>
      </c>
      <c r="J18" s="54">
        <v>1.65</v>
      </c>
      <c r="K18" s="54">
        <v>124.46</v>
      </c>
      <c r="L18" s="54">
        <v>20.49</v>
      </c>
      <c r="M18" s="54">
        <v>99.82</v>
      </c>
      <c r="N18" s="54">
        <v>543.29999999999995</v>
      </c>
      <c r="O18" s="54">
        <v>0</v>
      </c>
      <c r="P18" s="54">
        <v>0.60</v>
      </c>
      <c r="Q18" s="54">
        <v>6.67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10.65</v>
      </c>
      <c r="C19" s="54">
        <v>60.63</v>
      </c>
      <c r="D19" s="54">
        <v>40.78</v>
      </c>
      <c r="E19" s="54">
        <v>0.30</v>
      </c>
      <c r="F19" s="54">
        <v>8.51</v>
      </c>
      <c r="G19" s="54">
        <v>62.70</v>
      </c>
      <c r="H19" s="54">
        <v>29.92</v>
      </c>
      <c r="I19" s="54">
        <v>1.55</v>
      </c>
      <c r="J19" s="54">
        <v>0.53</v>
      </c>
      <c r="K19" s="54">
        <v>341.10</v>
      </c>
      <c r="L19" s="54">
        <v>24.82</v>
      </c>
      <c r="M19" s="54">
        <v>80.5</v>
      </c>
      <c r="N19" s="54">
        <v>679.20</v>
      </c>
      <c r="O19" s="54">
        <v>0</v>
      </c>
      <c r="P19" s="54">
        <v>0.67</v>
      </c>
      <c r="Q19" s="54">
        <v>6.43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4.12</v>
      </c>
      <c r="C20" s="54">
        <v>60.10</v>
      </c>
      <c r="D20" s="54">
        <v>36.11</v>
      </c>
      <c r="E20" s="54">
        <v>0.27</v>
      </c>
      <c r="F20" s="54">
        <v>6.90</v>
      </c>
      <c r="G20" s="18" t="s">
        <v>12</v>
      </c>
      <c r="H20" s="18" t="s">
        <v>12</v>
      </c>
      <c r="I20" s="54">
        <v>1.55</v>
      </c>
      <c r="J20" s="54">
        <v>0.86</v>
      </c>
      <c r="K20" s="54">
        <v>347.91</v>
      </c>
      <c r="L20" s="54">
        <v>28.82</v>
      </c>
      <c r="M20" s="54">
        <v>65.39</v>
      </c>
      <c r="N20" s="54">
        <v>779.80</v>
      </c>
      <c r="O20" s="54">
        <v>0</v>
      </c>
      <c r="P20" s="54">
        <v>0.66</v>
      </c>
      <c r="Q20" s="54">
        <v>6.54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4.01</v>
      </c>
      <c r="C21" s="54">
        <v>62.55</v>
      </c>
      <c r="D21" s="54">
        <v>37.68</v>
      </c>
      <c r="E21" s="54">
        <v>0.33</v>
      </c>
      <c r="F21" s="54">
        <v>6.91</v>
      </c>
      <c r="G21" s="54">
        <v>73.510000000000005</v>
      </c>
      <c r="H21" s="54">
        <v>20.37</v>
      </c>
      <c r="I21" s="54">
        <v>1.63</v>
      </c>
      <c r="J21" s="54">
        <v>0.75</v>
      </c>
      <c r="K21" s="54">
        <v>352.60</v>
      </c>
      <c r="L21" s="54">
        <v>29.80</v>
      </c>
      <c r="M21" s="54">
        <v>56.43</v>
      </c>
      <c r="N21" s="54">
        <v>715.60</v>
      </c>
      <c r="O21" s="54">
        <v>0</v>
      </c>
      <c r="P21" s="54">
        <v>0.71</v>
      </c>
      <c r="Q21" s="54">
        <v>6.42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4.08</v>
      </c>
      <c r="C22" s="54">
        <v>65.08</v>
      </c>
      <c r="D22" s="54">
        <v>38.43</v>
      </c>
      <c r="E22" s="54">
        <v>0.61</v>
      </c>
      <c r="F22" s="54">
        <v>8.64</v>
      </c>
      <c r="G22" s="54">
        <v>73.510000000000005</v>
      </c>
      <c r="H22" s="54">
        <v>22.97</v>
      </c>
      <c r="I22" s="54">
        <v>1.55</v>
      </c>
      <c r="J22" s="54">
        <v>0.74</v>
      </c>
      <c r="K22" s="54">
        <v>336.12</v>
      </c>
      <c r="L22" s="54">
        <v>30.34</v>
      </c>
      <c r="M22" s="54">
        <v>49.14</v>
      </c>
      <c r="N22" s="54">
        <v>674.90</v>
      </c>
      <c r="O22" s="54">
        <v>0</v>
      </c>
      <c r="P22" s="54">
        <v>0.73</v>
      </c>
      <c r="Q22" s="54">
        <v>6.60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3.25</v>
      </c>
      <c r="C23" s="54">
        <v>69.64</v>
      </c>
      <c r="D23" s="54">
        <v>41.41</v>
      </c>
      <c r="E23" s="54">
        <v>0.38</v>
      </c>
      <c r="F23" s="54">
        <v>7.38</v>
      </c>
      <c r="G23" s="54">
        <v>74.94</v>
      </c>
      <c r="H23" s="54">
        <v>27.49</v>
      </c>
      <c r="I23" s="54">
        <v>1.49</v>
      </c>
      <c r="J23" s="54">
        <v>0.91</v>
      </c>
      <c r="K23" s="54">
        <v>351.91</v>
      </c>
      <c r="L23" s="54">
        <v>29.5</v>
      </c>
      <c r="M23" s="54">
        <v>52.23</v>
      </c>
      <c r="N23" s="54">
        <v>543.90</v>
      </c>
      <c r="O23" s="54">
        <v>0</v>
      </c>
      <c r="P23" s="54">
        <v>0.84</v>
      </c>
      <c r="Q23" s="54">
        <v>6.99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3.88</v>
      </c>
      <c r="C24" s="54">
        <v>66.67</v>
      </c>
      <c r="D24" s="54">
        <v>40.08</v>
      </c>
      <c r="E24" s="54">
        <v>0.37</v>
      </c>
      <c r="F24" s="54">
        <v>4.8600000000000003</v>
      </c>
      <c r="G24" s="54">
        <v>74.94</v>
      </c>
      <c r="H24" s="54">
        <v>27.93</v>
      </c>
      <c r="I24" s="54">
        <v>1.49</v>
      </c>
      <c r="J24" s="54">
        <v>0.80</v>
      </c>
      <c r="K24" s="54">
        <v>357.46</v>
      </c>
      <c r="L24" s="54">
        <v>27.28</v>
      </c>
      <c r="M24" s="54">
        <v>63.26</v>
      </c>
      <c r="N24" s="54">
        <v>332.90</v>
      </c>
      <c r="O24" s="54">
        <v>0</v>
      </c>
      <c r="P24" s="54">
        <v>0.86</v>
      </c>
      <c r="Q24" s="54">
        <v>6.88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4.2699999999999996</v>
      </c>
      <c r="C25" s="54">
        <v>69.39</v>
      </c>
      <c r="D25" s="54">
        <v>42.01</v>
      </c>
      <c r="E25" s="54">
        <v>0.33</v>
      </c>
      <c r="F25" s="54">
        <v>5.55</v>
      </c>
      <c r="G25" s="54">
        <v>71.75</v>
      </c>
      <c r="H25" s="54">
        <v>27.93</v>
      </c>
      <c r="I25" s="54">
        <v>1.55</v>
      </c>
      <c r="J25" s="54">
        <v>1.30</v>
      </c>
      <c r="K25" s="54">
        <v>351.91</v>
      </c>
      <c r="L25" s="54">
        <v>25.80</v>
      </c>
      <c r="M25" s="54">
        <v>69.319999999999993</v>
      </c>
      <c r="N25" s="54">
        <v>216.5</v>
      </c>
      <c r="O25" s="54">
        <v>0</v>
      </c>
      <c r="P25" s="54">
        <v>0.88</v>
      </c>
      <c r="Q25" s="54">
        <v>7.17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6.20</v>
      </c>
      <c r="C26" s="54">
        <v>68</v>
      </c>
      <c r="D26" s="54">
        <v>43.15</v>
      </c>
      <c r="E26" s="54">
        <v>0.32</v>
      </c>
      <c r="F26" s="54">
        <v>4.01</v>
      </c>
      <c r="G26" s="54">
        <v>70.33</v>
      </c>
      <c r="H26" s="54">
        <v>27.49</v>
      </c>
      <c r="I26" s="54">
        <v>1.54</v>
      </c>
      <c r="J26" s="54">
        <v>0.5</v>
      </c>
      <c r="K26" s="54">
        <v>353.99</v>
      </c>
      <c r="L26" s="54">
        <v>23.94</v>
      </c>
      <c r="M26" s="54">
        <v>77.09</v>
      </c>
      <c r="N26" s="54">
        <v>96.20</v>
      </c>
      <c r="O26" s="54">
        <v>0</v>
      </c>
      <c r="P26" s="54">
        <v>0.94</v>
      </c>
      <c r="Q26" s="54">
        <v>7.20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11.62</v>
      </c>
      <c r="C27" s="54">
        <v>72.22</v>
      </c>
      <c r="D27" s="54">
        <v>49.82</v>
      </c>
      <c r="E27" s="54">
        <v>0.34</v>
      </c>
      <c r="F27" s="54">
        <v>3.38</v>
      </c>
      <c r="G27" s="54">
        <v>66.89</v>
      </c>
      <c r="H27" s="54">
        <v>26.70</v>
      </c>
      <c r="I27" s="54">
        <v>1.60</v>
      </c>
      <c r="J27" s="54">
        <v>0.74</v>
      </c>
      <c r="K27" s="54">
        <v>355.93</v>
      </c>
      <c r="L27" s="54">
        <v>22.46</v>
      </c>
      <c r="M27" s="54">
        <v>84.26</v>
      </c>
      <c r="N27" s="54">
        <v>51.60</v>
      </c>
      <c r="O27" s="54">
        <v>0</v>
      </c>
      <c r="P27" s="54">
        <v>1.07</v>
      </c>
      <c r="Q27" s="54">
        <v>7.49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16.95</v>
      </c>
      <c r="C28" s="54">
        <v>71.510000000000005</v>
      </c>
      <c r="D28" s="54">
        <v>52.55</v>
      </c>
      <c r="E28" s="54">
        <v>0.37</v>
      </c>
      <c r="F28" s="54">
        <v>3.83</v>
      </c>
      <c r="G28" s="54">
        <v>66.89</v>
      </c>
      <c r="H28" s="54">
        <v>30.39</v>
      </c>
      <c r="I28" s="54">
        <v>1.54</v>
      </c>
      <c r="J28" s="54">
        <v>0.51</v>
      </c>
      <c r="K28" s="54">
        <v>346.69</v>
      </c>
      <c r="L28" s="54">
        <v>21.53</v>
      </c>
      <c r="M28" s="54">
        <v>86.68</v>
      </c>
      <c r="N28" s="54">
        <v>52.70</v>
      </c>
      <c r="O28" s="54">
        <v>0</v>
      </c>
      <c r="P28" s="54">
        <v>1.07</v>
      </c>
      <c r="Q28" s="54">
        <v>8.19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19.170000000000002</v>
      </c>
      <c r="C29" s="54">
        <v>68.540000000000006</v>
      </c>
      <c r="D29" s="54">
        <v>53.61</v>
      </c>
      <c r="E29" s="54">
        <v>0.32</v>
      </c>
      <c r="F29" s="54">
        <v>3.40</v>
      </c>
      <c r="G29" s="54">
        <v>66.040000000000006</v>
      </c>
      <c r="H29" s="54">
        <v>30.39</v>
      </c>
      <c r="I29" s="54">
        <v>1.54</v>
      </c>
      <c r="J29" s="54">
        <v>0.46</v>
      </c>
      <c r="K29" s="54">
        <v>90.40</v>
      </c>
      <c r="L29" s="54">
        <v>20.76</v>
      </c>
      <c r="M29" s="54">
        <v>86.49</v>
      </c>
      <c r="N29" s="54">
        <v>53.90</v>
      </c>
      <c r="O29" s="54">
        <v>0</v>
      </c>
      <c r="P29" s="54">
        <v>1.06</v>
      </c>
      <c r="Q29" s="54">
        <v>8.39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19</v>
      </c>
      <c r="C30" s="54">
        <v>67.36</v>
      </c>
      <c r="D30" s="54">
        <v>53.06</v>
      </c>
      <c r="E30" s="54">
        <v>0.30</v>
      </c>
      <c r="F30" s="54">
        <v>3.30</v>
      </c>
      <c r="G30" s="54">
        <v>62.89</v>
      </c>
      <c r="H30" s="54">
        <v>29.04</v>
      </c>
      <c r="I30" s="54">
        <v>1.54</v>
      </c>
      <c r="J30" s="54">
        <v>1.70</v>
      </c>
      <c r="K30" s="54">
        <v>105.56</v>
      </c>
      <c r="L30" s="54">
        <v>20.61</v>
      </c>
      <c r="M30" s="54">
        <v>85.70</v>
      </c>
      <c r="N30" s="54">
        <v>55.30</v>
      </c>
      <c r="O30" s="54">
        <v>0</v>
      </c>
      <c r="P30" s="54">
        <v>1.03</v>
      </c>
      <c r="Q30" s="54">
        <v>8.3699999999999992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16.53</v>
      </c>
      <c r="C31" s="54">
        <v>62.81</v>
      </c>
      <c r="D31" s="54">
        <v>48.56</v>
      </c>
      <c r="E31" s="54">
        <v>0.26</v>
      </c>
      <c r="F31" s="54">
        <v>3.64</v>
      </c>
      <c r="G31" s="54">
        <v>60.59</v>
      </c>
      <c r="H31" s="54">
        <v>28.62</v>
      </c>
      <c r="I31" s="54">
        <v>1.55</v>
      </c>
      <c r="J31" s="54">
        <v>1.89</v>
      </c>
      <c r="K31" s="54">
        <v>109.52</v>
      </c>
      <c r="L31" s="54">
        <v>20.440000000000001</v>
      </c>
      <c r="M31" s="54">
        <v>86.12</v>
      </c>
      <c r="N31" s="54">
        <v>51.80</v>
      </c>
      <c r="O31" s="54">
        <v>0</v>
      </c>
      <c r="P31" s="54">
        <v>0.93</v>
      </c>
      <c r="Q31" s="54">
        <v>8.16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9.4600000000000009</v>
      </c>
      <c r="C32" s="54">
        <v>56.80</v>
      </c>
      <c r="D32" s="54">
        <v>39.58</v>
      </c>
      <c r="E32" s="54">
        <v>0.23</v>
      </c>
      <c r="F32" s="54">
        <v>3.26</v>
      </c>
      <c r="G32" s="54">
        <v>55.02</v>
      </c>
      <c r="H32" s="54">
        <v>27.72</v>
      </c>
      <c r="I32" s="54">
        <v>1.54</v>
      </c>
      <c r="J32" s="54">
        <v>2.0699999999999998</v>
      </c>
      <c r="K32" s="54">
        <v>109.48</v>
      </c>
      <c r="L32" s="54">
        <v>20.22</v>
      </c>
      <c r="M32" s="54">
        <v>89.37</v>
      </c>
      <c r="N32" s="54">
        <v>57.5</v>
      </c>
      <c r="O32" s="54">
        <v>0</v>
      </c>
      <c r="P32" s="54">
        <v>0.74</v>
      </c>
      <c r="Q32" s="54">
        <v>7.17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</v>
      </c>
      <c r="C34" s="28">
        <f t="shared" si="0"/>
        <v>51.619999999999997</v>
      </c>
      <c r="D34" s="28">
        <f t="shared" si="0"/>
        <v>32.109999999999999</v>
      </c>
      <c r="E34" s="28">
        <f t="shared" si="0"/>
        <v>0.20000000000000001</v>
      </c>
      <c r="F34" s="28">
        <f t="shared" si="0"/>
        <v>3.25</v>
      </c>
      <c r="G34" s="28">
        <f t="shared" si="0"/>
        <v>52.93</v>
      </c>
      <c r="H34" s="28">
        <f t="shared" si="0"/>
        <v>20.370000000000001</v>
      </c>
      <c r="I34" s="28">
        <f t="shared" si="0"/>
        <v>1.49</v>
      </c>
      <c r="J34" s="28">
        <f t="shared" si="0"/>
        <v>0.39000000000000001</v>
      </c>
      <c r="K34" s="28">
        <f t="shared" si="0"/>
        <v>90.400000000000006</v>
      </c>
      <c r="L34" s="28">
        <f t="shared" si="0"/>
        <v>16.02</v>
      </c>
      <c r="M34" s="28">
        <f t="shared" si="0"/>
        <v>49.140000000000001</v>
      </c>
      <c r="N34" s="28">
        <f t="shared" si="0"/>
        <v>51.600000000000001</v>
      </c>
      <c r="O34" s="28">
        <f t="shared" si="0"/>
        <v>0</v>
      </c>
      <c r="P34" s="28">
        <f t="shared" si="0"/>
        <v>0.48999999999999999</v>
      </c>
      <c r="Q34" s="28">
        <f t="shared" si="0"/>
        <v>6.2199999999999998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19.170000000000002</v>
      </c>
      <c r="C35" s="29">
        <f t="shared" si="1"/>
        <v>72.219999999999999</v>
      </c>
      <c r="D35" s="29">
        <f t="shared" si="1"/>
        <v>53.609999999999999</v>
      </c>
      <c r="E35" s="29">
        <f t="shared" si="1"/>
        <v>0.60999999999999999</v>
      </c>
      <c r="F35" s="29">
        <f t="shared" si="1"/>
        <v>8.6400000000000006</v>
      </c>
      <c r="G35" s="29">
        <f t="shared" si="1"/>
        <v>74.939999999999998</v>
      </c>
      <c r="H35" s="29">
        <f t="shared" si="1"/>
        <v>31.129999999999999</v>
      </c>
      <c r="I35" s="29">
        <f t="shared" si="1"/>
        <v>1.6299999999999999</v>
      </c>
      <c r="J35" s="29">
        <f t="shared" si="1"/>
        <v>2.0699999999999998</v>
      </c>
      <c r="K35" s="29">
        <f t="shared" si="1"/>
        <v>357.45999999999998</v>
      </c>
      <c r="L35" s="29">
        <f t="shared" si="1"/>
        <v>30.34</v>
      </c>
      <c r="M35" s="29">
        <f t="shared" si="1"/>
        <v>99.819999999999993</v>
      </c>
      <c r="N35" s="29">
        <f t="shared" si="1"/>
        <v>779.79999999999995</v>
      </c>
      <c r="O35" s="29">
        <f t="shared" si="1"/>
        <v>4.5999999999999996</v>
      </c>
      <c r="P35" s="29">
        <f t="shared" si="1"/>
        <v>1.0700000000000001</v>
      </c>
      <c r="Q35" s="29">
        <f t="shared" si="1"/>
        <v>8.3900000000000006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8.8279166666666669</v>
      </c>
      <c r="C36" s="28">
        <f t="shared" si="2"/>
        <v>61.774999999999999</v>
      </c>
      <c r="D36" s="28">
        <f t="shared" si="2"/>
        <v>41.489999999999995</v>
      </c>
      <c r="E36" s="28">
        <f t="shared" si="2"/>
        <v>0.31</v>
      </c>
      <c r="F36" s="28">
        <f t="shared" si="2"/>
        <v>4.5354166666666664</v>
      </c>
      <c r="G36" s="28">
        <f t="shared" si="2"/>
        <v>64.367826086956526</v>
      </c>
      <c r="H36" s="28">
        <f t="shared" si="2"/>
        <v>28.271739130434788</v>
      </c>
      <c r="I36" s="28">
        <f t="shared" si="2"/>
        <v>1.5433333333333332</v>
      </c>
      <c r="J36" s="28">
        <f t="shared" si="2"/>
        <v>0.96958333333333346</v>
      </c>
      <c r="K36" s="28">
        <f t="shared" si="2"/>
        <v>248.43708333333328</v>
      </c>
      <c r="L36" s="28">
        <f t="shared" si="2"/>
        <v>21.607916666666668</v>
      </c>
      <c r="M36" s="28">
        <f t="shared" si="2"/>
        <v>83.284166666666678</v>
      </c>
      <c r="N36" s="28">
        <f t="shared" si="2"/>
        <v>281.67083333333329</v>
      </c>
      <c r="O36" s="28">
        <f t="shared" si="2"/>
        <v>0.22499999999999998</v>
      </c>
      <c r="P36" s="28">
        <f t="shared" si="2"/>
        <v>0.73999999999999988</v>
      </c>
      <c r="Q36" s="28">
        <f t="shared" si="2"/>
        <v>7.0558333333333323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5.5401514491672632</v>
      </c>
      <c r="C37" s="28">
        <f t="shared" si="3" ref="C37:Q37">STDEV(C9:C32)</f>
        <v>6.2097034865849077</v>
      </c>
      <c r="D37" s="28">
        <f t="shared" si="3"/>
        <v>6.3265499905247697</v>
      </c>
      <c r="E37" s="28">
        <f t="shared" si="3"/>
        <v>0.085159696529775467</v>
      </c>
      <c r="F37" s="28">
        <f t="shared" si="3"/>
        <v>1.7577504872314276</v>
      </c>
      <c r="G37" s="28">
        <f t="shared" si="3"/>
        <v>6.9410203314143279</v>
      </c>
      <c r="H37" s="28">
        <f t="shared" si="3"/>
        <v>2.4810200471394923</v>
      </c>
      <c r="I37" s="28">
        <f t="shared" si="3"/>
        <v>0.032526466369600528</v>
      </c>
      <c r="J37" s="28">
        <f t="shared" si="3"/>
        <v>0.50056037438634404</v>
      </c>
      <c r="K37" s="28">
        <f t="shared" si="3"/>
        <v>122.57644782211807</v>
      </c>
      <c r="L37" s="28">
        <f t="shared" si="3"/>
        <v>4.8465783350701166</v>
      </c>
      <c r="M37" s="28">
        <f t="shared" si="3"/>
        <v>15.807459966095363</v>
      </c>
      <c r="N37" s="28">
        <f t="shared" si="3"/>
        <v>243.73514220789224</v>
      </c>
      <c r="O37" s="28">
        <f t="shared" si="3"/>
        <v>0.94604439642122495</v>
      </c>
      <c r="P37" s="28">
        <f t="shared" si="3"/>
        <v>0.19726389299175104</v>
      </c>
      <c r="Q37" s="28">
        <f t="shared" si="3"/>
        <v>0.62901521835926333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7aeb5d-8c61-4bac-843f-f68fe9bb392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5.72</v>
      </c>
      <c r="C9" s="54">
        <v>54.25</v>
      </c>
      <c r="D9" s="54">
        <v>35.18</v>
      </c>
      <c r="E9" s="54">
        <v>0.24</v>
      </c>
      <c r="F9" s="54">
        <v>3.69</v>
      </c>
      <c r="G9" s="54">
        <v>45.27</v>
      </c>
      <c r="H9" s="54">
        <v>25</v>
      </c>
      <c r="I9" s="54">
        <v>1.54</v>
      </c>
      <c r="J9" s="54">
        <v>1.47</v>
      </c>
      <c r="K9" s="54">
        <v>108.24</v>
      </c>
      <c r="L9" s="54">
        <v>20.02</v>
      </c>
      <c r="M9" s="54">
        <v>93.67</v>
      </c>
      <c r="N9" s="54">
        <v>58.10</v>
      </c>
      <c r="O9" s="54">
        <v>0</v>
      </c>
      <c r="P9" s="54">
        <v>0.57999999999999996</v>
      </c>
      <c r="Q9" s="54">
        <v>6.29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6.22</v>
      </c>
      <c r="C10" s="54">
        <v>51.02</v>
      </c>
      <c r="D10" s="54">
        <v>33</v>
      </c>
      <c r="E10" s="54">
        <v>0.19</v>
      </c>
      <c r="F10" s="54">
        <v>3.41</v>
      </c>
      <c r="G10" s="54">
        <v>42.93</v>
      </c>
      <c r="H10" s="54">
        <v>21.14</v>
      </c>
      <c r="I10" s="54">
        <v>1.57</v>
      </c>
      <c r="J10" s="54">
        <v>0.26</v>
      </c>
      <c r="K10" s="54">
        <v>93.19</v>
      </c>
      <c r="L10" s="54">
        <v>19.57</v>
      </c>
      <c r="M10" s="54">
        <v>98.86</v>
      </c>
      <c r="N10" s="54">
        <v>68.5</v>
      </c>
      <c r="O10" s="54">
        <v>0</v>
      </c>
      <c r="P10" s="54">
        <v>0.56000000000000005</v>
      </c>
      <c r="Q10" s="54">
        <v>5.60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9.2100000000000009</v>
      </c>
      <c r="C11" s="54">
        <v>52.89</v>
      </c>
      <c r="D11" s="54">
        <v>37.22</v>
      </c>
      <c r="E11" s="54">
        <v>0.16</v>
      </c>
      <c r="F11" s="54">
        <v>3.27</v>
      </c>
      <c r="G11" s="54">
        <v>42.93</v>
      </c>
      <c r="H11" s="54">
        <v>21.77</v>
      </c>
      <c r="I11" s="54">
        <v>1.53</v>
      </c>
      <c r="J11" s="54">
        <v>0.14000000000000001</v>
      </c>
      <c r="K11" s="54">
        <v>312.80</v>
      </c>
      <c r="L11" s="54">
        <v>18.75</v>
      </c>
      <c r="M11" s="54">
        <v>100</v>
      </c>
      <c r="N11" s="54">
        <v>59.30</v>
      </c>
      <c r="O11" s="54">
        <v>0</v>
      </c>
      <c r="P11" s="54">
        <v>0.53</v>
      </c>
      <c r="Q11" s="54">
        <v>6.61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12.75</v>
      </c>
      <c r="C12" s="54">
        <v>56.86</v>
      </c>
      <c r="D12" s="54">
        <v>42.25</v>
      </c>
      <c r="E12" s="54">
        <v>0.19</v>
      </c>
      <c r="F12" s="54">
        <v>3.67</v>
      </c>
      <c r="G12" s="54">
        <v>43.38</v>
      </c>
      <c r="H12" s="54">
        <v>23.44</v>
      </c>
      <c r="I12" s="54">
        <v>1.53</v>
      </c>
      <c r="J12" s="54">
        <v>0.15</v>
      </c>
      <c r="K12" s="54">
        <v>349.38</v>
      </c>
      <c r="L12" s="54">
        <v>17.89</v>
      </c>
      <c r="M12" s="54">
        <v>100</v>
      </c>
      <c r="N12" s="54">
        <v>55.5</v>
      </c>
      <c r="O12" s="54">
        <v>0</v>
      </c>
      <c r="P12" s="54">
        <v>0.52</v>
      </c>
      <c r="Q12" s="54">
        <v>7.43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16.64</v>
      </c>
      <c r="C13" s="54">
        <v>56.97</v>
      </c>
      <c r="D13" s="54">
        <v>45.42</v>
      </c>
      <c r="E13" s="54">
        <v>0.12</v>
      </c>
      <c r="F13" s="54">
        <v>3.33</v>
      </c>
      <c r="G13" s="54">
        <v>49.18</v>
      </c>
      <c r="H13" s="54">
        <v>24.41</v>
      </c>
      <c r="I13" s="54">
        <v>1.56</v>
      </c>
      <c r="J13" s="54">
        <v>0.19</v>
      </c>
      <c r="K13" s="54">
        <v>329.92</v>
      </c>
      <c r="L13" s="54">
        <v>17.53</v>
      </c>
      <c r="M13" s="54">
        <v>100</v>
      </c>
      <c r="N13" s="54">
        <v>56.60</v>
      </c>
      <c r="O13" s="54">
        <v>0</v>
      </c>
      <c r="P13" s="54">
        <v>0.53</v>
      </c>
      <c r="Q13" s="54">
        <v>7.66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20.14</v>
      </c>
      <c r="C14" s="54">
        <v>53.29</v>
      </c>
      <c r="D14" s="54">
        <v>45.36</v>
      </c>
      <c r="E14" s="54">
        <v>0.10</v>
      </c>
      <c r="F14" s="54">
        <v>3.27</v>
      </c>
      <c r="G14" s="54">
        <v>49.18</v>
      </c>
      <c r="H14" s="54">
        <v>25.25</v>
      </c>
      <c r="I14" s="54">
        <v>1.51</v>
      </c>
      <c r="J14" s="54">
        <v>0.32</v>
      </c>
      <c r="K14" s="54">
        <v>356.43</v>
      </c>
      <c r="L14" s="54">
        <v>17.260000000000002</v>
      </c>
      <c r="M14" s="54">
        <v>100.01</v>
      </c>
      <c r="N14" s="54">
        <v>67.400000000000006</v>
      </c>
      <c r="O14" s="54">
        <v>0</v>
      </c>
      <c r="P14" s="54">
        <v>0.56000000000000005</v>
      </c>
      <c r="Q14" s="54">
        <v>7.57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24.56</v>
      </c>
      <c r="C15" s="54">
        <v>52.98</v>
      </c>
      <c r="D15" s="54">
        <v>49.58</v>
      </c>
      <c r="E15" s="54">
        <v>0.11</v>
      </c>
      <c r="F15" s="54">
        <v>3.38</v>
      </c>
      <c r="G15" s="54">
        <v>50.24</v>
      </c>
      <c r="H15" s="54">
        <v>25.25</v>
      </c>
      <c r="I15" s="54">
        <v>1.51</v>
      </c>
      <c r="J15" s="54">
        <v>0.38</v>
      </c>
      <c r="K15" s="54">
        <v>355.26</v>
      </c>
      <c r="L15" s="54">
        <v>16.91</v>
      </c>
      <c r="M15" s="54">
        <v>100.07</v>
      </c>
      <c r="N15" s="54">
        <v>68.30</v>
      </c>
      <c r="O15" s="54">
        <v>0</v>
      </c>
      <c r="P15" s="54">
        <v>0.62</v>
      </c>
      <c r="Q15" s="54">
        <v>7.87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31.16</v>
      </c>
      <c r="C16" s="54">
        <v>55.08</v>
      </c>
      <c r="D16" s="54">
        <v>56.03</v>
      </c>
      <c r="E16" s="54">
        <v>0.18</v>
      </c>
      <c r="F16" s="54">
        <v>3.42</v>
      </c>
      <c r="G16" s="54">
        <v>61.12</v>
      </c>
      <c r="H16" s="54">
        <v>27.65</v>
      </c>
      <c r="I16" s="54">
        <v>1.59</v>
      </c>
      <c r="J16" s="54">
        <v>0.43</v>
      </c>
      <c r="K16" s="54">
        <v>345.52</v>
      </c>
      <c r="L16" s="54">
        <v>19.23</v>
      </c>
      <c r="M16" s="54">
        <v>100.05</v>
      </c>
      <c r="N16" s="54">
        <v>224.5</v>
      </c>
      <c r="O16" s="54">
        <v>0</v>
      </c>
      <c r="P16" s="54">
        <v>0.70</v>
      </c>
      <c r="Q16" s="54">
        <v>8.39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31.07</v>
      </c>
      <c r="C17" s="54">
        <v>57.93</v>
      </c>
      <c r="D17" s="54">
        <v>55.73</v>
      </c>
      <c r="E17" s="54">
        <v>0.35</v>
      </c>
      <c r="F17" s="54">
        <v>3.01</v>
      </c>
      <c r="G17" s="54">
        <v>64.30</v>
      </c>
      <c r="H17" s="54">
        <v>28.70</v>
      </c>
      <c r="I17" s="54">
        <v>1.55</v>
      </c>
      <c r="J17" s="54">
        <v>0.60</v>
      </c>
      <c r="K17" s="54">
        <v>350.96</v>
      </c>
      <c r="L17" s="54">
        <v>23.23</v>
      </c>
      <c r="M17" s="54">
        <v>100</v>
      </c>
      <c r="N17" s="54">
        <v>353.80</v>
      </c>
      <c r="O17" s="54">
        <v>0</v>
      </c>
      <c r="P17" s="54">
        <v>0.74</v>
      </c>
      <c r="Q17" s="54">
        <v>8.4499999999999993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29.79</v>
      </c>
      <c r="C18" s="54">
        <v>62.62</v>
      </c>
      <c r="D18" s="54">
        <v>58.65</v>
      </c>
      <c r="E18" s="54">
        <v>0.43</v>
      </c>
      <c r="F18" s="54">
        <v>3.48</v>
      </c>
      <c r="G18" s="54">
        <v>72.77</v>
      </c>
      <c r="H18" s="54">
        <v>30.65</v>
      </c>
      <c r="I18" s="54">
        <v>1.52</v>
      </c>
      <c r="J18" s="54">
        <v>0.70</v>
      </c>
      <c r="K18" s="54">
        <v>345.24</v>
      </c>
      <c r="L18" s="54">
        <v>25.26</v>
      </c>
      <c r="M18" s="54">
        <v>73.650000000000006</v>
      </c>
      <c r="N18" s="54">
        <v>557.90</v>
      </c>
      <c r="O18" s="54">
        <v>0</v>
      </c>
      <c r="P18" s="54">
        <v>0.81</v>
      </c>
      <c r="Q18" s="54">
        <v>8.8699999999999992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27.45</v>
      </c>
      <c r="C19" s="54">
        <v>69.209999999999994</v>
      </c>
      <c r="D19" s="54">
        <v>57.24</v>
      </c>
      <c r="E19" s="54">
        <v>0.39</v>
      </c>
      <c r="F19" s="54">
        <v>6.82</v>
      </c>
      <c r="G19" s="54">
        <v>72.77</v>
      </c>
      <c r="H19" s="54">
        <v>30.65</v>
      </c>
      <c r="I19" s="54">
        <v>1.57</v>
      </c>
      <c r="J19" s="54">
        <v>0.33</v>
      </c>
      <c r="K19" s="54">
        <v>333.94</v>
      </c>
      <c r="L19" s="54">
        <v>27.14</v>
      </c>
      <c r="M19" s="54">
        <v>71.510000000000005</v>
      </c>
      <c r="N19" s="54">
        <v>690</v>
      </c>
      <c r="O19" s="54">
        <v>0</v>
      </c>
      <c r="P19" s="54">
        <v>0.79</v>
      </c>
      <c r="Q19" s="54">
        <v>8.85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6.25</v>
      </c>
      <c r="C20" s="54">
        <v>76.94</v>
      </c>
      <c r="D20" s="54">
        <v>48.12</v>
      </c>
      <c r="E20" s="54">
        <v>0.37</v>
      </c>
      <c r="F20" s="54">
        <v>6.42</v>
      </c>
      <c r="G20" s="54">
        <v>71.09</v>
      </c>
      <c r="H20" s="54">
        <v>31.52</v>
      </c>
      <c r="I20" s="54">
        <v>1.63</v>
      </c>
      <c r="J20" s="54">
        <v>0.56999999999999995</v>
      </c>
      <c r="K20" s="54">
        <v>358.05</v>
      </c>
      <c r="L20" s="54">
        <v>29.22</v>
      </c>
      <c r="M20" s="54">
        <v>54.96</v>
      </c>
      <c r="N20" s="54">
        <v>711.20</v>
      </c>
      <c r="O20" s="54">
        <v>0</v>
      </c>
      <c r="P20" s="54">
        <v>0.96</v>
      </c>
      <c r="Q20" s="54">
        <v>8.5399999999999991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4.1399999999999997</v>
      </c>
      <c r="C21" s="54">
        <v>68.989999999999995</v>
      </c>
      <c r="D21" s="54">
        <v>42.04</v>
      </c>
      <c r="E21" s="54">
        <v>0.28999999999999998</v>
      </c>
      <c r="F21" s="54">
        <v>11.63</v>
      </c>
      <c r="G21" s="54">
        <v>81.09</v>
      </c>
      <c r="H21" s="54">
        <v>40.44</v>
      </c>
      <c r="I21" s="54">
        <v>1.59</v>
      </c>
      <c r="J21" s="54">
        <v>0.66</v>
      </c>
      <c r="K21" s="54">
        <v>340.51</v>
      </c>
      <c r="L21" s="54">
        <v>30.13</v>
      </c>
      <c r="M21" s="54">
        <v>52.38</v>
      </c>
      <c r="N21" s="54">
        <v>662.90</v>
      </c>
      <c r="O21" s="54">
        <v>0</v>
      </c>
      <c r="P21" s="54">
        <v>1.23</v>
      </c>
      <c r="Q21" s="54">
        <v>7.26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3.37</v>
      </c>
      <c r="C22" s="54">
        <v>65.39</v>
      </c>
      <c r="D22" s="54">
        <v>39</v>
      </c>
      <c r="E22" s="54">
        <v>0.46</v>
      </c>
      <c r="F22" s="54">
        <v>8.10</v>
      </c>
      <c r="G22" s="54">
        <v>81.09</v>
      </c>
      <c r="H22" s="54">
        <v>40.44</v>
      </c>
      <c r="I22" s="54">
        <v>1.55</v>
      </c>
      <c r="J22" s="54">
        <v>0.43</v>
      </c>
      <c r="K22" s="54">
        <v>354.10</v>
      </c>
      <c r="L22" s="54">
        <v>30.13</v>
      </c>
      <c r="M22" s="54">
        <v>43.28</v>
      </c>
      <c r="N22" s="54">
        <v>713.80</v>
      </c>
      <c r="O22" s="54">
        <v>0</v>
      </c>
      <c r="P22" s="54">
        <v>1.17</v>
      </c>
      <c r="Q22" s="54">
        <v>7.43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2.4900000000000002</v>
      </c>
      <c r="C23" s="54">
        <v>59.86</v>
      </c>
      <c r="D23" s="54">
        <v>35.49</v>
      </c>
      <c r="E23" s="54">
        <v>0.26</v>
      </c>
      <c r="F23" s="54">
        <v>9.34</v>
      </c>
      <c r="G23" s="54">
        <v>79.95</v>
      </c>
      <c r="H23" s="54">
        <v>36.57</v>
      </c>
      <c r="I23" s="54">
        <v>1.55</v>
      </c>
      <c r="J23" s="54">
        <v>0.63</v>
      </c>
      <c r="K23" s="54">
        <v>306.57</v>
      </c>
      <c r="L23" s="54">
        <v>28.72</v>
      </c>
      <c r="M23" s="54">
        <v>40.06</v>
      </c>
      <c r="N23" s="54">
        <v>617.79999999999995</v>
      </c>
      <c r="O23" s="54">
        <v>0</v>
      </c>
      <c r="P23" s="54">
        <v>0.98</v>
      </c>
      <c r="Q23" s="54">
        <v>7.13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3.04</v>
      </c>
      <c r="C24" s="54">
        <v>64.09</v>
      </c>
      <c r="D24" s="54">
        <v>38.450000000000003</v>
      </c>
      <c r="E24" s="54">
        <v>0.24</v>
      </c>
      <c r="F24" s="54">
        <v>7.37</v>
      </c>
      <c r="G24" s="54">
        <v>64.55</v>
      </c>
      <c r="H24" s="54">
        <v>36.57</v>
      </c>
      <c r="I24" s="54">
        <v>1.55</v>
      </c>
      <c r="J24" s="54">
        <v>0.44</v>
      </c>
      <c r="K24" s="54">
        <v>355.38</v>
      </c>
      <c r="L24" s="54">
        <v>27.97</v>
      </c>
      <c r="M24" s="54">
        <v>34.90</v>
      </c>
      <c r="N24" s="54">
        <v>416.40</v>
      </c>
      <c r="O24" s="54">
        <v>0</v>
      </c>
      <c r="P24" s="54">
        <v>0.70</v>
      </c>
      <c r="Q24" s="54">
        <v>6.40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3.40</v>
      </c>
      <c r="C25" s="54">
        <v>64.61</v>
      </c>
      <c r="D25" s="54">
        <v>38.79</v>
      </c>
      <c r="E25" s="54">
        <v>0.20</v>
      </c>
      <c r="F25" s="54">
        <v>5.5</v>
      </c>
      <c r="G25" s="54">
        <v>64.55</v>
      </c>
      <c r="H25" s="54">
        <v>30</v>
      </c>
      <c r="I25" s="54">
        <v>1.5</v>
      </c>
      <c r="J25" s="54">
        <v>0.13</v>
      </c>
      <c r="K25" s="54">
        <v>351.31</v>
      </c>
      <c r="L25" s="54">
        <v>27.19</v>
      </c>
      <c r="M25" s="54">
        <v>42.51</v>
      </c>
      <c r="N25" s="54">
        <v>244.10</v>
      </c>
      <c r="O25" s="54">
        <v>0</v>
      </c>
      <c r="P25" s="54">
        <v>0.56999999999999995</v>
      </c>
      <c r="Q25" s="54">
        <v>6.84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5.82</v>
      </c>
      <c r="C26" s="54">
        <v>62.09</v>
      </c>
      <c r="D26" s="54">
        <v>39.58</v>
      </c>
      <c r="E26" s="54">
        <v>0.21</v>
      </c>
      <c r="F26" s="54">
        <v>3.76</v>
      </c>
      <c r="G26" s="54">
        <v>56.30</v>
      </c>
      <c r="H26" s="54">
        <v>25.25</v>
      </c>
      <c r="I26" s="54">
        <v>1.52</v>
      </c>
      <c r="J26" s="54">
        <v>0.10</v>
      </c>
      <c r="K26" s="54">
        <v>322.83999999999997</v>
      </c>
      <c r="L26" s="54">
        <v>25.29</v>
      </c>
      <c r="M26" s="54">
        <v>59.46</v>
      </c>
      <c r="N26" s="54">
        <v>190.30</v>
      </c>
      <c r="O26" s="54">
        <v>0</v>
      </c>
      <c r="P26" s="54">
        <v>0.61</v>
      </c>
      <c r="Q26" s="54">
        <v>7.10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22.29</v>
      </c>
      <c r="C27" s="54">
        <v>66.28</v>
      </c>
      <c r="D27" s="54">
        <v>55.09</v>
      </c>
      <c r="E27" s="54">
        <v>0.28999999999999998</v>
      </c>
      <c r="F27" s="54">
        <v>3.56</v>
      </c>
      <c r="G27" s="54">
        <v>78.14</v>
      </c>
      <c r="H27" s="54">
        <v>33.85</v>
      </c>
      <c r="I27" s="54">
        <v>1.53</v>
      </c>
      <c r="J27" s="54">
        <v>0.14000000000000001</v>
      </c>
      <c r="K27" s="54">
        <v>109.45</v>
      </c>
      <c r="L27" s="54">
        <v>22.96</v>
      </c>
      <c r="M27" s="54">
        <v>61.26</v>
      </c>
      <c r="N27" s="54">
        <v>100.60</v>
      </c>
      <c r="O27" s="54">
        <v>0</v>
      </c>
      <c r="P27" s="54">
        <v>0.87</v>
      </c>
      <c r="Q27" s="54">
        <v>8.39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48.69</v>
      </c>
      <c r="C28" s="54">
        <v>67.52</v>
      </c>
      <c r="D28" s="54">
        <v>76.95</v>
      </c>
      <c r="E28" s="54">
        <v>0.26</v>
      </c>
      <c r="F28" s="54">
        <v>3.17</v>
      </c>
      <c r="G28" s="54">
        <v>92.10</v>
      </c>
      <c r="H28" s="54">
        <v>33.99</v>
      </c>
      <c r="I28" s="54">
        <v>1.54</v>
      </c>
      <c r="J28" s="54">
        <v>0.08</v>
      </c>
      <c r="K28" s="54">
        <v>331.74</v>
      </c>
      <c r="L28" s="54">
        <v>21.58</v>
      </c>
      <c r="M28" s="54">
        <v>75.180000000000007</v>
      </c>
      <c r="N28" s="54">
        <v>83.70</v>
      </c>
      <c r="O28" s="54">
        <v>0</v>
      </c>
      <c r="P28" s="54">
        <v>1.1599999999999999</v>
      </c>
      <c r="Q28" s="54">
        <v>9.91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91.51</v>
      </c>
      <c r="C29" s="54">
        <v>70.5</v>
      </c>
      <c r="D29" s="54">
        <v>112.94</v>
      </c>
      <c r="E29" s="54">
        <v>0.24</v>
      </c>
      <c r="F29" s="54">
        <v>3.33</v>
      </c>
      <c r="G29" s="54">
        <v>114.56</v>
      </c>
      <c r="H29" s="54">
        <v>40.81</v>
      </c>
      <c r="I29" s="54">
        <v>1.53</v>
      </c>
      <c r="J29" s="54">
        <v>0.18</v>
      </c>
      <c r="K29" s="54">
        <v>355.47</v>
      </c>
      <c r="L29" s="54">
        <v>20.37</v>
      </c>
      <c r="M29" s="54">
        <v>80.72</v>
      </c>
      <c r="N29" s="54">
        <v>71.5</v>
      </c>
      <c r="O29" s="54">
        <v>0</v>
      </c>
      <c r="P29" s="54">
        <v>1.81</v>
      </c>
      <c r="Q29" s="54">
        <v>12.97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114.5</v>
      </c>
      <c r="C30" s="54">
        <v>73.150000000000006</v>
      </c>
      <c r="D30" s="54">
        <v>132.84</v>
      </c>
      <c r="E30" s="54">
        <v>0.36</v>
      </c>
      <c r="F30" s="54">
        <v>3</v>
      </c>
      <c r="G30" s="54">
        <v>128.87</v>
      </c>
      <c r="H30" s="54">
        <v>40.81</v>
      </c>
      <c r="I30" s="54">
        <v>1.5</v>
      </c>
      <c r="J30" s="54">
        <v>0.16</v>
      </c>
      <c r="K30" s="54">
        <v>331.65</v>
      </c>
      <c r="L30" s="54">
        <v>19.84</v>
      </c>
      <c r="M30" s="54">
        <v>79.930000000000007</v>
      </c>
      <c r="N30" s="54">
        <v>87</v>
      </c>
      <c r="O30" s="54">
        <v>0</v>
      </c>
      <c r="P30" s="54">
        <v>2.40</v>
      </c>
      <c r="Q30" s="54">
        <v>14.98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125.88</v>
      </c>
      <c r="C31" s="54">
        <v>76.13</v>
      </c>
      <c r="D31" s="54">
        <v>143.60</v>
      </c>
      <c r="E31" s="54">
        <v>0.41</v>
      </c>
      <c r="F31" s="54">
        <v>3.06</v>
      </c>
      <c r="G31" s="54">
        <v>131.66</v>
      </c>
      <c r="H31" s="54">
        <v>44.56</v>
      </c>
      <c r="I31" s="54">
        <v>1.59</v>
      </c>
      <c r="J31" s="54">
        <v>0.13</v>
      </c>
      <c r="K31" s="54">
        <v>349.23</v>
      </c>
      <c r="L31" s="54">
        <v>19.45</v>
      </c>
      <c r="M31" s="54">
        <v>92.81</v>
      </c>
      <c r="N31" s="54">
        <v>115.5</v>
      </c>
      <c r="O31" s="54">
        <v>0</v>
      </c>
      <c r="P31" s="54">
        <v>2.64</v>
      </c>
      <c r="Q31" s="54">
        <v>15.93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129.59</v>
      </c>
      <c r="C32" s="54">
        <v>76.010000000000005</v>
      </c>
      <c r="D32" s="54">
        <v>146.51</v>
      </c>
      <c r="E32" s="54">
        <v>0.41</v>
      </c>
      <c r="F32" s="54">
        <v>3.21</v>
      </c>
      <c r="G32" s="54">
        <v>131.66</v>
      </c>
      <c r="H32" s="54">
        <v>45.20</v>
      </c>
      <c r="I32" s="54">
        <v>1.55</v>
      </c>
      <c r="J32" s="54">
        <v>0.13</v>
      </c>
      <c r="K32" s="54">
        <v>305.75</v>
      </c>
      <c r="L32" s="54">
        <v>18.68</v>
      </c>
      <c r="M32" s="54">
        <v>95.99</v>
      </c>
      <c r="N32" s="54">
        <v>125.40</v>
      </c>
      <c r="O32" s="54">
        <v>0</v>
      </c>
      <c r="P32" s="54">
        <v>2.58</v>
      </c>
      <c r="Q32" s="54">
        <v>16.46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2.4900000000000002</v>
      </c>
      <c r="C34" s="28">
        <f t="shared" si="0"/>
        <v>51.020000000000003</v>
      </c>
      <c r="D34" s="28">
        <f t="shared" si="0"/>
        <v>33</v>
      </c>
      <c r="E34" s="28">
        <f t="shared" si="0"/>
        <v>0.10000000000000001</v>
      </c>
      <c r="F34" s="28">
        <f t="shared" si="0"/>
        <v>3</v>
      </c>
      <c r="G34" s="28">
        <f t="shared" si="0"/>
        <v>42.93</v>
      </c>
      <c r="H34" s="28">
        <f t="shared" si="0"/>
        <v>21.140000000000001</v>
      </c>
      <c r="I34" s="28">
        <f t="shared" si="0"/>
        <v>1.5</v>
      </c>
      <c r="J34" s="28">
        <f t="shared" si="0"/>
        <v>0.080000000000000002</v>
      </c>
      <c r="K34" s="28">
        <f t="shared" si="0"/>
        <v>93.189999999999998</v>
      </c>
      <c r="L34" s="28">
        <f t="shared" si="0"/>
        <v>16.91</v>
      </c>
      <c r="M34" s="28">
        <f t="shared" si="0"/>
        <v>34.899999999999999</v>
      </c>
      <c r="N34" s="28">
        <f t="shared" si="0"/>
        <v>55.5</v>
      </c>
      <c r="O34" s="28">
        <f t="shared" si="0"/>
        <v>0</v>
      </c>
      <c r="P34" s="28">
        <f t="shared" si="0"/>
        <v>0.52000000000000002</v>
      </c>
      <c r="Q34" s="28">
        <f t="shared" si="0"/>
        <v>5.5999999999999996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129.59</v>
      </c>
      <c r="C35" s="29">
        <f t="shared" si="1"/>
        <v>76.939999999999998</v>
      </c>
      <c r="D35" s="29">
        <f t="shared" si="1"/>
        <v>146.50999999999999</v>
      </c>
      <c r="E35" s="29">
        <f t="shared" si="1"/>
        <v>0.46000000000000002</v>
      </c>
      <c r="F35" s="29">
        <f t="shared" si="1"/>
        <v>11.630000000000001</v>
      </c>
      <c r="G35" s="29">
        <f t="shared" si="1"/>
        <v>131.66</v>
      </c>
      <c r="H35" s="29">
        <f t="shared" si="1"/>
        <v>45.200000000000003</v>
      </c>
      <c r="I35" s="29">
        <f t="shared" si="1"/>
        <v>1.6299999999999999</v>
      </c>
      <c r="J35" s="29">
        <f t="shared" si="1"/>
        <v>1.47</v>
      </c>
      <c r="K35" s="29">
        <f t="shared" si="1"/>
        <v>358.05000000000001</v>
      </c>
      <c r="L35" s="29">
        <f t="shared" si="1"/>
        <v>30.129999999999999</v>
      </c>
      <c r="M35" s="29">
        <f t="shared" si="1"/>
        <v>100.06999999999999</v>
      </c>
      <c r="N35" s="29">
        <f t="shared" si="1"/>
        <v>713.79999999999995</v>
      </c>
      <c r="O35" s="29">
        <f t="shared" si="1"/>
        <v>0</v>
      </c>
      <c r="P35" s="29">
        <f t="shared" si="1"/>
        <v>2.6400000000000001</v>
      </c>
      <c r="Q35" s="29">
        <f t="shared" si="1"/>
        <v>16.460000000000001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32.32</v>
      </c>
      <c r="C36" s="28">
        <f t="shared" si="2"/>
        <v>63.110833333333339</v>
      </c>
      <c r="D36" s="28">
        <f t="shared" si="2"/>
        <v>61.044166666666662</v>
      </c>
      <c r="E36" s="28">
        <f t="shared" si="2"/>
        <v>0.26916666666666672</v>
      </c>
      <c r="F36" s="28">
        <f t="shared" si="2"/>
        <v>4.6749999999999998</v>
      </c>
      <c r="G36" s="28">
        <f t="shared" si="2"/>
        <v>73.736666666666679</v>
      </c>
      <c r="H36" s="28">
        <f t="shared" si="2"/>
        <v>31.829999999999995</v>
      </c>
      <c r="I36" s="28">
        <f t="shared" si="2"/>
        <v>1.5462499999999999</v>
      </c>
      <c r="J36" s="28">
        <f t="shared" si="2"/>
        <v>0.36458333333333343</v>
      </c>
      <c r="K36" s="28">
        <f t="shared" si="2"/>
        <v>310.53874999999999</v>
      </c>
      <c r="L36" s="28">
        <f t="shared" si="2"/>
        <v>22.679999999999996</v>
      </c>
      <c r="M36" s="28">
        <f t="shared" si="2"/>
        <v>77.135833333333338</v>
      </c>
      <c r="N36" s="28">
        <f t="shared" si="2"/>
        <v>266.67083333333335</v>
      </c>
      <c r="O36" s="28">
        <f t="shared" si="2"/>
        <v>0</v>
      </c>
      <c r="P36" s="28">
        <f t="shared" si="2"/>
        <v>1.0258333333333332</v>
      </c>
      <c r="Q36" s="28">
        <f t="shared" si="2"/>
        <v>8.8720833333333342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40.233785067646387</v>
      </c>
      <c r="C37" s="28">
        <f t="shared" si="3" ref="C37:Q37">STDEV(C9:C32)</f>
        <v>8.0767701878081137</v>
      </c>
      <c r="D37" s="28">
        <f t="shared" si="3"/>
        <v>35.177260307670686</v>
      </c>
      <c r="E37" s="28">
        <f t="shared" si="3"/>
        <v>0.10672665885403189</v>
      </c>
      <c r="F37" s="28">
        <f t="shared" si="3"/>
        <v>2.358693448205742</v>
      </c>
      <c r="G37" s="28">
        <f t="shared" si="3"/>
        <v>28.004555944045748</v>
      </c>
      <c r="H37" s="28">
        <f t="shared" si="3"/>
        <v>7.3868314087211928</v>
      </c>
      <c r="I37" s="28">
        <f t="shared" si="3"/>
        <v>0.032007132357322027</v>
      </c>
      <c r="J37" s="28">
        <f t="shared" si="3"/>
        <v>0.30841783017687935</v>
      </c>
      <c r="K37" s="28">
        <f t="shared" si="3"/>
        <v>81.436536149990346</v>
      </c>
      <c r="L37" s="28">
        <f t="shared" si="3"/>
        <v>4.5185559447778267</v>
      </c>
      <c r="M37" s="28">
        <f t="shared" si="3"/>
        <v>23.080996308212235</v>
      </c>
      <c r="N37" s="28">
        <f t="shared" si="3"/>
        <v>250.89168021135205</v>
      </c>
      <c r="O37" s="28">
        <f t="shared" si="3"/>
        <v>0</v>
      </c>
      <c r="P37" s="28">
        <f t="shared" si="3"/>
        <v>0.65797394336320592</v>
      </c>
      <c r="Q37" s="28">
        <f t="shared" si="3"/>
        <v>3.0442704261507774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41c1df-ae98-46d2-8a54-1027ad5efb1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122.26</v>
      </c>
      <c r="C9" s="54">
        <v>72.48</v>
      </c>
      <c r="D9" s="54">
        <v>138.69</v>
      </c>
      <c r="E9" s="54">
        <v>0.47</v>
      </c>
      <c r="F9" s="54">
        <v>3.64</v>
      </c>
      <c r="G9" s="54">
        <v>124.86</v>
      </c>
      <c r="H9" s="54">
        <v>45.20</v>
      </c>
      <c r="I9" s="54">
        <v>1.54</v>
      </c>
      <c r="J9" s="54">
        <v>0.06</v>
      </c>
      <c r="K9" s="54">
        <v>337.02</v>
      </c>
      <c r="L9" s="54">
        <v>17.68</v>
      </c>
      <c r="M9" s="54">
        <v>96.30</v>
      </c>
      <c r="N9" s="54">
        <v>107.40</v>
      </c>
      <c r="O9" s="54">
        <v>0</v>
      </c>
      <c r="P9" s="54">
        <v>2.35</v>
      </c>
      <c r="Q9" s="54">
        <v>16.170000000000002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107.12</v>
      </c>
      <c r="C10" s="54">
        <v>69.55</v>
      </c>
      <c r="D10" s="54">
        <v>124.93</v>
      </c>
      <c r="E10" s="54">
        <v>0.44</v>
      </c>
      <c r="F10" s="54">
        <v>3.81</v>
      </c>
      <c r="G10" s="54">
        <v>107.37</v>
      </c>
      <c r="H10" s="54">
        <v>39.5</v>
      </c>
      <c r="I10" s="54">
        <v>1.53</v>
      </c>
      <c r="J10" s="54">
        <v>0.18</v>
      </c>
      <c r="K10" s="54">
        <v>307.89999999999998</v>
      </c>
      <c r="L10" s="54">
        <v>17.489999999999998</v>
      </c>
      <c r="M10" s="54">
        <v>86.74</v>
      </c>
      <c r="N10" s="54">
        <v>112.90</v>
      </c>
      <c r="O10" s="54">
        <v>0</v>
      </c>
      <c r="P10" s="54">
        <v>1.83</v>
      </c>
      <c r="Q10" s="54">
        <v>15.17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92.01</v>
      </c>
      <c r="C11" s="54">
        <v>63.75</v>
      </c>
      <c r="D11" s="54">
        <v>109.61</v>
      </c>
      <c r="E11" s="54">
        <v>0.38</v>
      </c>
      <c r="F11" s="54">
        <v>3.54</v>
      </c>
      <c r="G11" s="54">
        <v>97.77</v>
      </c>
      <c r="H11" s="54">
        <v>38.04</v>
      </c>
      <c r="I11" s="54">
        <v>1.55</v>
      </c>
      <c r="J11" s="54">
        <v>0.24</v>
      </c>
      <c r="K11" s="54">
        <v>320.93</v>
      </c>
      <c r="L11" s="54">
        <v>17.54</v>
      </c>
      <c r="M11" s="54">
        <v>92.5</v>
      </c>
      <c r="N11" s="54">
        <v>117.70</v>
      </c>
      <c r="O11" s="54">
        <v>0</v>
      </c>
      <c r="P11" s="54">
        <v>1.64</v>
      </c>
      <c r="Q11" s="54">
        <v>13.80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74.73</v>
      </c>
      <c r="C12" s="54">
        <v>59.83</v>
      </c>
      <c r="D12" s="54">
        <v>93.59</v>
      </c>
      <c r="E12" s="54">
        <v>0.35</v>
      </c>
      <c r="F12" s="54">
        <v>3.20</v>
      </c>
      <c r="G12" s="54">
        <v>78.39</v>
      </c>
      <c r="H12" s="54">
        <v>34.03</v>
      </c>
      <c r="I12" s="54">
        <v>1.59</v>
      </c>
      <c r="J12" s="54">
        <v>0.12</v>
      </c>
      <c r="K12" s="54">
        <v>354.65</v>
      </c>
      <c r="L12" s="54">
        <v>16.760000000000002</v>
      </c>
      <c r="M12" s="54">
        <v>97.96</v>
      </c>
      <c r="N12" s="54">
        <v>113.70</v>
      </c>
      <c r="O12" s="54">
        <v>0</v>
      </c>
      <c r="P12" s="54">
        <v>1.32</v>
      </c>
      <c r="Q12" s="54">
        <v>12.25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67.010000000000005</v>
      </c>
      <c r="C13" s="54">
        <v>58.05</v>
      </c>
      <c r="D13" s="54">
        <v>86.42</v>
      </c>
      <c r="E13" s="54">
        <v>0.32</v>
      </c>
      <c r="F13" s="54">
        <v>3.18</v>
      </c>
      <c r="G13" s="54">
        <v>75.28</v>
      </c>
      <c r="H13" s="54">
        <v>30.01</v>
      </c>
      <c r="I13" s="54">
        <v>1.52</v>
      </c>
      <c r="J13" s="54">
        <v>0.070000000000000007</v>
      </c>
      <c r="K13" s="54">
        <v>218.18</v>
      </c>
      <c r="L13" s="54">
        <v>16.989999999999998</v>
      </c>
      <c r="M13" s="54">
        <v>97.5</v>
      </c>
      <c r="N13" s="54">
        <v>114.90</v>
      </c>
      <c r="O13" s="54">
        <v>0</v>
      </c>
      <c r="P13" s="54">
        <v>1.1000000000000001</v>
      </c>
      <c r="Q13" s="54">
        <v>11.49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57.55</v>
      </c>
      <c r="C14" s="54">
        <v>56.23</v>
      </c>
      <c r="D14" s="54">
        <v>76.97</v>
      </c>
      <c r="E14" s="54">
        <v>0.27</v>
      </c>
      <c r="F14" s="54">
        <v>3.25</v>
      </c>
      <c r="G14" s="54">
        <v>72.02</v>
      </c>
      <c r="H14" s="54">
        <v>26.25</v>
      </c>
      <c r="I14" s="54">
        <v>1.61</v>
      </c>
      <c r="J14" s="54">
        <v>0.16</v>
      </c>
      <c r="K14" s="54">
        <v>240.99</v>
      </c>
      <c r="L14" s="54">
        <v>16.579999999999998</v>
      </c>
      <c r="M14" s="54">
        <v>100.30</v>
      </c>
      <c r="N14" s="54">
        <v>70.80</v>
      </c>
      <c r="O14" s="54">
        <v>0</v>
      </c>
      <c r="P14" s="54">
        <v>0.94</v>
      </c>
      <c r="Q14" s="54">
        <v>10.80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66.12</v>
      </c>
      <c r="C15" s="54">
        <v>58.98</v>
      </c>
      <c r="D15" s="54">
        <v>86.22</v>
      </c>
      <c r="E15" s="54">
        <v>0.35</v>
      </c>
      <c r="F15" s="54">
        <v>3.56</v>
      </c>
      <c r="G15" s="54">
        <v>70.64</v>
      </c>
      <c r="H15" s="54">
        <v>27.73</v>
      </c>
      <c r="I15" s="54">
        <v>1.52</v>
      </c>
      <c r="J15" s="54">
        <v>0.37</v>
      </c>
      <c r="K15" s="54">
        <v>336.09</v>
      </c>
      <c r="L15" s="54">
        <v>16.190000000000001</v>
      </c>
      <c r="M15" s="54">
        <v>100.33</v>
      </c>
      <c r="N15" s="54">
        <v>85.90</v>
      </c>
      <c r="O15" s="54">
        <v>0</v>
      </c>
      <c r="P15" s="54">
        <v>0.88</v>
      </c>
      <c r="Q15" s="54">
        <v>11.37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67.900000000000006</v>
      </c>
      <c r="C16" s="54">
        <v>60.88</v>
      </c>
      <c r="D16" s="54">
        <v>88.69</v>
      </c>
      <c r="E16" s="54">
        <v>0.32</v>
      </c>
      <c r="F16" s="54">
        <v>3.09</v>
      </c>
      <c r="G16" s="54">
        <v>81.22</v>
      </c>
      <c r="H16" s="54">
        <v>31.55</v>
      </c>
      <c r="I16" s="54">
        <v>1.54</v>
      </c>
      <c r="J16" s="54">
        <v>0.46</v>
      </c>
      <c r="K16" s="54">
        <v>354.51</v>
      </c>
      <c r="L16" s="54">
        <v>22.08</v>
      </c>
      <c r="M16" s="54">
        <v>98.44</v>
      </c>
      <c r="N16" s="54">
        <v>271.20</v>
      </c>
      <c r="O16" s="54">
        <v>0</v>
      </c>
      <c r="P16" s="54">
        <v>1.04</v>
      </c>
      <c r="Q16" s="54">
        <v>11.75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68.14</v>
      </c>
      <c r="C17" s="54">
        <v>63.88</v>
      </c>
      <c r="D17" s="54">
        <v>89.64</v>
      </c>
      <c r="E17" s="54">
        <v>0.33</v>
      </c>
      <c r="F17" s="54">
        <v>3.28</v>
      </c>
      <c r="G17" s="54">
        <v>98.96</v>
      </c>
      <c r="H17" s="54">
        <v>36.99</v>
      </c>
      <c r="I17" s="54">
        <v>1.60</v>
      </c>
      <c r="J17" s="54">
        <v>0.62</v>
      </c>
      <c r="K17" s="54">
        <v>348.67</v>
      </c>
      <c r="L17" s="54">
        <v>27.04</v>
      </c>
      <c r="M17" s="54">
        <v>56.36</v>
      </c>
      <c r="N17" s="54">
        <v>524.90</v>
      </c>
      <c r="O17" s="54">
        <v>0</v>
      </c>
      <c r="P17" s="54">
        <v>1.1200000000000001</v>
      </c>
      <c r="Q17" s="54">
        <v>11.90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65.16</v>
      </c>
      <c r="C18" s="54">
        <v>66.540000000000006</v>
      </c>
      <c r="D18" s="54">
        <v>85.53</v>
      </c>
      <c r="E18" s="54">
        <v>0.28000000000000003</v>
      </c>
      <c r="F18" s="54">
        <v>3.53</v>
      </c>
      <c r="G18" s="54">
        <v>115.11</v>
      </c>
      <c r="H18" s="54">
        <v>44.89</v>
      </c>
      <c r="I18" s="54">
        <v>1.51</v>
      </c>
      <c r="J18" s="54">
        <v>0.40</v>
      </c>
      <c r="K18" s="54">
        <v>340.86</v>
      </c>
      <c r="L18" s="54">
        <v>28.41</v>
      </c>
      <c r="M18" s="54">
        <v>53.15</v>
      </c>
      <c r="N18" s="54">
        <v>547.60</v>
      </c>
      <c r="O18" s="54">
        <v>0</v>
      </c>
      <c r="P18" s="54">
        <v>1.1599999999999999</v>
      </c>
      <c r="Q18" s="54">
        <v>11.55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46.71</v>
      </c>
      <c r="C19" s="54">
        <v>71.28</v>
      </c>
      <c r="D19" s="54">
        <v>75.30</v>
      </c>
      <c r="E19" s="54">
        <v>0.25</v>
      </c>
      <c r="F19" s="54">
        <v>3.17</v>
      </c>
      <c r="G19" s="54">
        <v>115.11</v>
      </c>
      <c r="H19" s="54">
        <v>44.89</v>
      </c>
      <c r="I19" s="54">
        <v>1.53</v>
      </c>
      <c r="J19" s="54">
        <v>0.54</v>
      </c>
      <c r="K19" s="54">
        <v>337.13</v>
      </c>
      <c r="L19" s="54">
        <v>29.89</v>
      </c>
      <c r="M19" s="54">
        <v>50.61</v>
      </c>
      <c r="N19" s="54">
        <v>808.70</v>
      </c>
      <c r="O19" s="54">
        <v>0</v>
      </c>
      <c r="P19" s="54">
        <v>1.1299999999999999</v>
      </c>
      <c r="Q19" s="54">
        <v>10.64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26.60</v>
      </c>
      <c r="C20" s="54">
        <v>73.88</v>
      </c>
      <c r="D20" s="54">
        <v>61.83</v>
      </c>
      <c r="E20" s="54">
        <v>0.23</v>
      </c>
      <c r="F20" s="54">
        <v>4.01</v>
      </c>
      <c r="G20" s="54">
        <v>94.80</v>
      </c>
      <c r="H20" s="54">
        <v>35.549999999999997</v>
      </c>
      <c r="I20" s="54">
        <v>1.56</v>
      </c>
      <c r="J20" s="54">
        <v>0.35</v>
      </c>
      <c r="K20" s="54">
        <v>328.23</v>
      </c>
      <c r="L20" s="54">
        <v>28.91</v>
      </c>
      <c r="M20" s="54">
        <v>37.89</v>
      </c>
      <c r="N20" s="54">
        <v>765.80</v>
      </c>
      <c r="O20" s="54">
        <v>0</v>
      </c>
      <c r="P20" s="54">
        <v>1.03</v>
      </c>
      <c r="Q20" s="54">
        <v>9.34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8.85</v>
      </c>
      <c r="C21" s="54">
        <v>72.349999999999994</v>
      </c>
      <c r="D21" s="54">
        <v>47.67</v>
      </c>
      <c r="E21" s="54">
        <v>0.14000000000000001</v>
      </c>
      <c r="F21" s="54">
        <v>4.79</v>
      </c>
      <c r="G21" s="54">
        <v>62.97</v>
      </c>
      <c r="H21" s="54">
        <v>32.82</v>
      </c>
      <c r="I21" s="54">
        <v>1.5</v>
      </c>
      <c r="J21" s="54">
        <v>0.30</v>
      </c>
      <c r="K21" s="54">
        <v>348.70</v>
      </c>
      <c r="L21" s="54">
        <v>28.52</v>
      </c>
      <c r="M21" s="54">
        <v>30.79</v>
      </c>
      <c r="N21" s="54">
        <v>811.40</v>
      </c>
      <c r="O21" s="54">
        <v>0</v>
      </c>
      <c r="P21" s="54">
        <v>0.78</v>
      </c>
      <c r="Q21" s="54">
        <v>7.74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3.53</v>
      </c>
      <c r="C22" s="54">
        <v>63.53</v>
      </c>
      <c r="D22" s="54">
        <v>37.89</v>
      </c>
      <c r="E22" s="54">
        <v>0.16</v>
      </c>
      <c r="F22" s="54">
        <v>5.34</v>
      </c>
      <c r="G22" s="54">
        <v>45.33</v>
      </c>
      <c r="H22" s="54">
        <v>24.76</v>
      </c>
      <c r="I22" s="54">
        <v>1.56</v>
      </c>
      <c r="J22" s="54">
        <v>0.66</v>
      </c>
      <c r="K22" s="54">
        <v>347.55</v>
      </c>
      <c r="L22" s="54">
        <v>29.66</v>
      </c>
      <c r="M22" s="54">
        <v>31.80</v>
      </c>
      <c r="N22" s="54">
        <v>484.10</v>
      </c>
      <c r="O22" s="54">
        <v>0</v>
      </c>
      <c r="P22" s="54">
        <v>0.62</v>
      </c>
      <c r="Q22" s="54">
        <v>6.64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4.3600000000000003</v>
      </c>
      <c r="C23" s="54">
        <v>61.48</v>
      </c>
      <c r="D23" s="54">
        <v>38.07</v>
      </c>
      <c r="E23" s="54">
        <v>0.19</v>
      </c>
      <c r="F23" s="54">
        <v>4.1900000000000004</v>
      </c>
      <c r="G23" s="54">
        <v>40.270000000000003</v>
      </c>
      <c r="H23" s="54">
        <v>19.46</v>
      </c>
      <c r="I23" s="54">
        <v>1.59</v>
      </c>
      <c r="J23" s="54">
        <v>0.56999999999999995</v>
      </c>
      <c r="K23" s="54">
        <v>338.27</v>
      </c>
      <c r="L23" s="54">
        <v>30.74</v>
      </c>
      <c r="M23" s="54">
        <v>30.40</v>
      </c>
      <c r="N23" s="54">
        <v>527.10</v>
      </c>
      <c r="O23" s="54">
        <v>0</v>
      </c>
      <c r="P23" s="54">
        <v>0.60</v>
      </c>
      <c r="Q23" s="54">
        <v>6.81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4.13</v>
      </c>
      <c r="C24" s="54">
        <v>61.99</v>
      </c>
      <c r="D24" s="54">
        <v>37.81</v>
      </c>
      <c r="E24" s="54">
        <v>0.15</v>
      </c>
      <c r="F24" s="54">
        <v>4.9800000000000004</v>
      </c>
      <c r="G24" s="54">
        <v>37.25</v>
      </c>
      <c r="H24" s="54">
        <v>19.46</v>
      </c>
      <c r="I24" s="54">
        <v>1.54</v>
      </c>
      <c r="J24" s="54">
        <v>0.26</v>
      </c>
      <c r="K24" s="54">
        <v>337.71</v>
      </c>
      <c r="L24" s="54">
        <v>28.22</v>
      </c>
      <c r="M24" s="54">
        <v>32.65</v>
      </c>
      <c r="N24" s="54">
        <v>333.40</v>
      </c>
      <c r="O24" s="54">
        <v>0</v>
      </c>
      <c r="P24" s="54">
        <v>0.60</v>
      </c>
      <c r="Q24" s="54">
        <v>6.78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3.59</v>
      </c>
      <c r="C25" s="54">
        <v>59.16</v>
      </c>
      <c r="D25" s="54">
        <v>35.81</v>
      </c>
      <c r="E25" s="54">
        <v>0.20</v>
      </c>
      <c r="F25" s="54">
        <v>5.08</v>
      </c>
      <c r="G25" s="54">
        <v>34.07</v>
      </c>
      <c r="H25" s="54">
        <v>12.86</v>
      </c>
      <c r="I25" s="54">
        <v>1.53</v>
      </c>
      <c r="J25" s="54">
        <v>0.15</v>
      </c>
      <c r="K25" s="54">
        <v>26.36</v>
      </c>
      <c r="L25" s="54">
        <v>27.22</v>
      </c>
      <c r="M25" s="54">
        <v>33.75</v>
      </c>
      <c r="N25" s="54">
        <v>106.90</v>
      </c>
      <c r="O25" s="54">
        <v>0</v>
      </c>
      <c r="P25" s="54">
        <v>0.55000000000000004</v>
      </c>
      <c r="Q25" s="54">
        <v>6.30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8.2899999999999991</v>
      </c>
      <c r="C26" s="54">
        <v>61.70</v>
      </c>
      <c r="D26" s="54">
        <v>41.35</v>
      </c>
      <c r="E26" s="54">
        <v>0.12</v>
      </c>
      <c r="F26" s="54">
        <v>3.76</v>
      </c>
      <c r="G26" s="54">
        <v>38.81</v>
      </c>
      <c r="H26" s="54">
        <v>12.55</v>
      </c>
      <c r="I26" s="54">
        <v>1.57</v>
      </c>
      <c r="J26" s="54">
        <v>0.15</v>
      </c>
      <c r="K26" s="54">
        <v>359.92</v>
      </c>
      <c r="L26" s="54">
        <v>26.56</v>
      </c>
      <c r="M26" s="54">
        <v>50.09</v>
      </c>
      <c r="N26" s="54">
        <v>49.90</v>
      </c>
      <c r="O26" s="54">
        <v>0</v>
      </c>
      <c r="P26" s="54">
        <v>0.60</v>
      </c>
      <c r="Q26" s="54">
        <v>6.78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36.200000000000003</v>
      </c>
      <c r="C27" s="54">
        <v>66.25</v>
      </c>
      <c r="D27" s="54">
        <v>66.239999999999995</v>
      </c>
      <c r="E27" s="54">
        <v>0.15</v>
      </c>
      <c r="F27" s="54">
        <v>3.21</v>
      </c>
      <c r="G27" s="54">
        <v>58.09</v>
      </c>
      <c r="H27" s="54">
        <v>18.79</v>
      </c>
      <c r="I27" s="54">
        <v>1.53</v>
      </c>
      <c r="J27" s="54">
        <v>0.09</v>
      </c>
      <c r="K27" s="54">
        <v>348.43</v>
      </c>
      <c r="L27" s="54">
        <v>23.29</v>
      </c>
      <c r="M27" s="54">
        <v>57.22</v>
      </c>
      <c r="N27" s="54">
        <v>22.40</v>
      </c>
      <c r="O27" s="54">
        <v>0</v>
      </c>
      <c r="P27" s="54">
        <v>1.01</v>
      </c>
      <c r="Q27" s="54">
        <v>8.51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76.760000000000005</v>
      </c>
      <c r="C28" s="54">
        <v>71.290000000000006</v>
      </c>
      <c r="D28" s="54">
        <v>101.55</v>
      </c>
      <c r="E28" s="54">
        <v>0.28999999999999998</v>
      </c>
      <c r="F28" s="54">
        <v>3.17</v>
      </c>
      <c r="G28" s="54">
        <v>134.22</v>
      </c>
      <c r="H28" s="54">
        <v>27.28</v>
      </c>
      <c r="I28" s="54">
        <v>1.58</v>
      </c>
      <c r="J28" s="54">
        <v>0.08</v>
      </c>
      <c r="K28" s="54">
        <v>134.72999999999999</v>
      </c>
      <c r="L28" s="54">
        <v>21.46</v>
      </c>
      <c r="M28" s="54">
        <v>65.22</v>
      </c>
      <c r="N28" s="54">
        <v>22.20</v>
      </c>
      <c r="O28" s="54">
        <v>0</v>
      </c>
      <c r="P28" s="54">
        <v>1.30</v>
      </c>
      <c r="Q28" s="54">
        <v>11.78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97.73</v>
      </c>
      <c r="C29" s="54">
        <v>70.78</v>
      </c>
      <c r="D29" s="54">
        <v>117.38</v>
      </c>
      <c r="E29" s="54">
        <v>0.45</v>
      </c>
      <c r="F29" s="54">
        <v>3.38</v>
      </c>
      <c r="G29" s="54">
        <v>141.76</v>
      </c>
      <c r="H29" s="54">
        <v>35.19</v>
      </c>
      <c r="I29" s="54">
        <v>1.54</v>
      </c>
      <c r="J29" s="54">
        <v>0.08</v>
      </c>
      <c r="K29" s="54">
        <v>325.33999999999997</v>
      </c>
      <c r="L29" s="54">
        <v>20.58</v>
      </c>
      <c r="M29" s="54">
        <v>74.510000000000005</v>
      </c>
      <c r="N29" s="54">
        <v>21.90</v>
      </c>
      <c r="O29" s="54">
        <v>0</v>
      </c>
      <c r="P29" s="54">
        <v>1.71</v>
      </c>
      <c r="Q29" s="54">
        <v>13.51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128.38999999999999</v>
      </c>
      <c r="C30" s="54">
        <v>70.73</v>
      </c>
      <c r="D30" s="54">
        <v>142.63999999999999</v>
      </c>
      <c r="E30" s="54">
        <v>0.53</v>
      </c>
      <c r="F30" s="54">
        <v>3.25</v>
      </c>
      <c r="G30" s="54">
        <v>181.92</v>
      </c>
      <c r="H30" s="54">
        <v>48.89</v>
      </c>
      <c r="I30" s="54">
        <v>1.51</v>
      </c>
      <c r="J30" s="54">
        <v>0.22</v>
      </c>
      <c r="K30" s="54">
        <v>353.26</v>
      </c>
      <c r="L30" s="54">
        <v>20.58</v>
      </c>
      <c r="M30" s="54">
        <v>81.37</v>
      </c>
      <c r="N30" s="54">
        <v>22.20</v>
      </c>
      <c r="O30" s="54">
        <v>0</v>
      </c>
      <c r="P30" s="54">
        <v>2.2799999999999998</v>
      </c>
      <c r="Q30" s="54">
        <v>15.78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164.44</v>
      </c>
      <c r="C31" s="54">
        <v>71.25</v>
      </c>
      <c r="D31" s="54">
        <v>171.51</v>
      </c>
      <c r="E31" s="54">
        <v>0.69</v>
      </c>
      <c r="F31" s="54">
        <v>3.31</v>
      </c>
      <c r="G31" s="54">
        <v>198.97</v>
      </c>
      <c r="H31" s="54">
        <v>59.87</v>
      </c>
      <c r="I31" s="54">
        <v>1.56</v>
      </c>
      <c r="J31" s="54">
        <v>0.13</v>
      </c>
      <c r="K31" s="54">
        <v>346.61</v>
      </c>
      <c r="L31" s="54">
        <v>19.52</v>
      </c>
      <c r="M31" s="54">
        <v>88.10</v>
      </c>
      <c r="N31" s="54">
        <v>22</v>
      </c>
      <c r="O31" s="54">
        <v>0</v>
      </c>
      <c r="P31" s="54">
        <v>2.56</v>
      </c>
      <c r="Q31" s="54">
        <v>18.399999999999999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172.34</v>
      </c>
      <c r="C32" s="54">
        <v>73.540000000000006</v>
      </c>
      <c r="D32" s="54">
        <v>179.27</v>
      </c>
      <c r="E32" s="54">
        <v>0.84</v>
      </c>
      <c r="F32" s="54">
        <v>3.28</v>
      </c>
      <c r="G32" s="54">
        <v>198.97</v>
      </c>
      <c r="H32" s="54">
        <v>59.87</v>
      </c>
      <c r="I32" s="54">
        <v>1.55</v>
      </c>
      <c r="J32" s="54">
        <v>0.14000000000000001</v>
      </c>
      <c r="K32" s="54">
        <v>309.58999999999997</v>
      </c>
      <c r="L32" s="54">
        <v>19.010000000000002</v>
      </c>
      <c r="M32" s="54">
        <v>87.77</v>
      </c>
      <c r="N32" s="54">
        <v>22.10</v>
      </c>
      <c r="O32" s="54">
        <v>0</v>
      </c>
      <c r="P32" s="54">
        <v>2.61</v>
      </c>
      <c r="Q32" s="54">
        <v>19.440000000000001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3.5299999999999998</v>
      </c>
      <c r="C34" s="28">
        <f t="shared" si="0"/>
        <v>56.229999999999997</v>
      </c>
      <c r="D34" s="28">
        <f t="shared" si="0"/>
        <v>35.810000000000002</v>
      </c>
      <c r="E34" s="28">
        <f t="shared" si="0"/>
        <v>0.12</v>
      </c>
      <c r="F34" s="28">
        <f t="shared" si="0"/>
        <v>3.0899999999999999</v>
      </c>
      <c r="G34" s="28">
        <f t="shared" si="0"/>
        <v>34.07</v>
      </c>
      <c r="H34" s="28">
        <f t="shared" si="0"/>
        <v>12.550000000000001</v>
      </c>
      <c r="I34" s="28">
        <f t="shared" si="0"/>
        <v>1.5</v>
      </c>
      <c r="J34" s="28">
        <f t="shared" si="0"/>
        <v>0.059999999999999998</v>
      </c>
      <c r="K34" s="28">
        <f t="shared" si="0"/>
        <v>26.359999999999999</v>
      </c>
      <c r="L34" s="28">
        <f t="shared" si="0"/>
        <v>16.190000000000001</v>
      </c>
      <c r="M34" s="28">
        <f t="shared" si="0"/>
        <v>30.399999999999999</v>
      </c>
      <c r="N34" s="28">
        <f t="shared" si="0"/>
        <v>21.899999999999999</v>
      </c>
      <c r="O34" s="28">
        <f t="shared" si="0"/>
        <v>0</v>
      </c>
      <c r="P34" s="28">
        <f t="shared" si="0"/>
        <v>0.55000000000000004</v>
      </c>
      <c r="Q34" s="28">
        <f t="shared" si="0"/>
        <v>6.2999999999999998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172.34</v>
      </c>
      <c r="C35" s="29">
        <f t="shared" si="1"/>
        <v>73.879999999999995</v>
      </c>
      <c r="D35" s="29">
        <f t="shared" si="1"/>
        <v>179.27000000000001</v>
      </c>
      <c r="E35" s="29">
        <f t="shared" si="1"/>
        <v>0.83999999999999997</v>
      </c>
      <c r="F35" s="29">
        <f t="shared" si="1"/>
        <v>5.3399999999999999</v>
      </c>
      <c r="G35" s="29">
        <f t="shared" si="1"/>
        <v>198.97</v>
      </c>
      <c r="H35" s="29">
        <f t="shared" si="1"/>
        <v>59.869999999999997</v>
      </c>
      <c r="I35" s="29">
        <f t="shared" si="1"/>
        <v>1.6100000000000001</v>
      </c>
      <c r="J35" s="29">
        <f t="shared" si="1"/>
        <v>0.66000000000000003</v>
      </c>
      <c r="K35" s="29">
        <f t="shared" si="1"/>
        <v>359.92000000000002</v>
      </c>
      <c r="L35" s="29">
        <f t="shared" si="1"/>
        <v>30.739999999999998</v>
      </c>
      <c r="M35" s="29">
        <f t="shared" si="1"/>
        <v>100.33</v>
      </c>
      <c r="N35" s="29">
        <f t="shared" si="1"/>
        <v>811.39999999999998</v>
      </c>
      <c r="O35" s="29">
        <f t="shared" si="1"/>
        <v>0</v>
      </c>
      <c r="P35" s="29">
        <f t="shared" si="1"/>
        <v>2.6099999999999999</v>
      </c>
      <c r="Q35" s="29">
        <f t="shared" si="1"/>
        <v>19.440000000000001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65.413333333333327</v>
      </c>
      <c r="C36" s="28">
        <f t="shared" si="2"/>
        <v>65.807500000000005</v>
      </c>
      <c r="D36" s="28">
        <f t="shared" si="2"/>
        <v>88.942083333333343</v>
      </c>
      <c r="E36" s="28">
        <f t="shared" si="2"/>
        <v>0.32916666666666677</v>
      </c>
      <c r="F36" s="28">
        <f t="shared" si="2"/>
        <v>3.7083333333333335</v>
      </c>
      <c r="G36" s="28">
        <f t="shared" si="2"/>
        <v>96.006666666666646</v>
      </c>
      <c r="H36" s="28">
        <f t="shared" si="2"/>
        <v>33.60125</v>
      </c>
      <c r="I36" s="28">
        <f t="shared" si="2"/>
        <v>1.5483333333333331</v>
      </c>
      <c r="J36" s="28">
        <f t="shared" si="2"/>
        <v>0.26666666666666666</v>
      </c>
      <c r="K36" s="28">
        <f t="shared" si="2"/>
        <v>308.40125</v>
      </c>
      <c r="L36" s="28">
        <f t="shared" si="2"/>
        <v>22.955000000000002</v>
      </c>
      <c r="M36" s="28">
        <f t="shared" si="2"/>
        <v>67.989583333333329</v>
      </c>
      <c r="N36" s="28">
        <f t="shared" si="2"/>
        <v>253.62916666666661</v>
      </c>
      <c r="O36" s="28">
        <f t="shared" si="2"/>
        <v>0</v>
      </c>
      <c r="P36" s="28">
        <f t="shared" si="2"/>
        <v>1.281666666666667</v>
      </c>
      <c r="Q36" s="28">
        <f t="shared" si="2"/>
        <v>11.445833333333333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49.57625875239134</v>
      </c>
      <c r="C37" s="28">
        <f t="shared" si="3" ref="C37:Q37">STDEV(C9:C32)</f>
        <v>5.6400564674940243</v>
      </c>
      <c r="D37" s="28">
        <f t="shared" si="3"/>
        <v>41.311394151920851</v>
      </c>
      <c r="E37" s="28">
        <f t="shared" si="3"/>
        <v>0.17616486020490696</v>
      </c>
      <c r="F37" s="28">
        <f t="shared" si="3"/>
        <v>0.67743548813131327</v>
      </c>
      <c r="G37" s="28">
        <f t="shared" si="3"/>
        <v>48.804664572743192</v>
      </c>
      <c r="H37" s="28">
        <f t="shared" si="3"/>
        <v>12.841442866411251</v>
      </c>
      <c r="I37" s="28">
        <f t="shared" si="3"/>
        <v>0.029733112366761988</v>
      </c>
      <c r="J37" s="28">
        <f t="shared" si="3"/>
        <v>0.1874002149937673</v>
      </c>
      <c r="K37" s="28">
        <f t="shared" si="3"/>
        <v>79.459987049129282</v>
      </c>
      <c r="L37" s="28">
        <f t="shared" si="3"/>
        <v>5.1692022763587921</v>
      </c>
      <c r="M37" s="28">
        <f t="shared" si="3"/>
        <v>26.451349349844822</v>
      </c>
      <c r="N37" s="28">
        <f t="shared" si="3"/>
        <v>273.52290020838439</v>
      </c>
      <c r="O37" s="28">
        <f t="shared" si="3"/>
        <v>0</v>
      </c>
      <c r="P37" s="28">
        <f t="shared" si="3"/>
        <v>0.63726089576825706</v>
      </c>
      <c r="Q37" s="28">
        <f t="shared" si="3"/>
        <v>3.733385125158351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cf3533-0b2c-4f92-8dbf-7220e2e193f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168.32</v>
      </c>
      <c r="C9" s="54">
        <v>74.81</v>
      </c>
      <c r="D9" s="54">
        <v>176.45</v>
      </c>
      <c r="E9" s="54">
        <v>0.56000000000000005</v>
      </c>
      <c r="F9" s="54">
        <v>3.52</v>
      </c>
      <c r="G9" s="54">
        <v>147.97</v>
      </c>
      <c r="H9" s="54">
        <v>53.60</v>
      </c>
      <c r="I9" s="54">
        <v>1.55</v>
      </c>
      <c r="J9" s="54">
        <v>0.25</v>
      </c>
      <c r="K9" s="54">
        <v>309.17</v>
      </c>
      <c r="L9" s="54">
        <v>19.30</v>
      </c>
      <c r="M9" s="54">
        <v>86.68</v>
      </c>
      <c r="N9" s="54">
        <v>22</v>
      </c>
      <c r="O9" s="54">
        <v>0</v>
      </c>
      <c r="P9" s="54">
        <v>2.52</v>
      </c>
      <c r="Q9" s="54">
        <v>19.239999999999998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141.63</v>
      </c>
      <c r="C10" s="54">
        <v>78.47</v>
      </c>
      <c r="D10" s="54">
        <v>155.96</v>
      </c>
      <c r="E10" s="54">
        <v>0.55000000000000004</v>
      </c>
      <c r="F10" s="54">
        <v>3.5</v>
      </c>
      <c r="G10" s="54">
        <v>64.31</v>
      </c>
      <c r="H10" s="54">
        <v>36.909999999999997</v>
      </c>
      <c r="I10" s="54">
        <v>1.63</v>
      </c>
      <c r="J10" s="54">
        <v>0.17</v>
      </c>
      <c r="K10" s="54">
        <v>359.79</v>
      </c>
      <c r="L10" s="54">
        <v>19</v>
      </c>
      <c r="M10" s="54">
        <v>80.72</v>
      </c>
      <c r="N10" s="54">
        <v>22.40</v>
      </c>
      <c r="O10" s="54">
        <v>0</v>
      </c>
      <c r="P10" s="54">
        <v>1.83</v>
      </c>
      <c r="Q10" s="54">
        <v>17.34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117.56</v>
      </c>
      <c r="C11" s="54">
        <v>80.400000000000006</v>
      </c>
      <c r="D11" s="54">
        <v>138.68</v>
      </c>
      <c r="E11" s="54">
        <v>0.60</v>
      </c>
      <c r="F11" s="54">
        <v>3.74</v>
      </c>
      <c r="G11" s="54">
        <v>56.75</v>
      </c>
      <c r="H11" s="54">
        <v>26.28</v>
      </c>
      <c r="I11" s="54">
        <v>1.56</v>
      </c>
      <c r="J11" s="54">
        <v>0.10</v>
      </c>
      <c r="K11" s="54">
        <v>263.31</v>
      </c>
      <c r="L11" s="54">
        <v>18.27</v>
      </c>
      <c r="M11" s="54">
        <v>82.25</v>
      </c>
      <c r="N11" s="54">
        <v>22.30</v>
      </c>
      <c r="O11" s="54">
        <v>0</v>
      </c>
      <c r="P11" s="54">
        <v>1.56</v>
      </c>
      <c r="Q11" s="54">
        <v>15.51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101.77</v>
      </c>
      <c r="C12" s="54">
        <v>74.709999999999994</v>
      </c>
      <c r="D12" s="54">
        <v>120.80</v>
      </c>
      <c r="E12" s="54">
        <v>0.21</v>
      </c>
      <c r="F12" s="54">
        <v>3.08</v>
      </c>
      <c r="G12" s="54">
        <v>65.680000000000007</v>
      </c>
      <c r="H12" s="54">
        <v>25.55</v>
      </c>
      <c r="I12" s="54">
        <v>1.56</v>
      </c>
      <c r="J12" s="54">
        <v>0.15</v>
      </c>
      <c r="K12" s="54">
        <v>321.56</v>
      </c>
      <c r="L12" s="54">
        <v>17.78</v>
      </c>
      <c r="M12" s="54">
        <v>87.42</v>
      </c>
      <c r="N12" s="54">
        <v>22.30</v>
      </c>
      <c r="O12" s="54">
        <v>0</v>
      </c>
      <c r="P12" s="54">
        <v>1.30</v>
      </c>
      <c r="Q12" s="54">
        <v>8.34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95.59</v>
      </c>
      <c r="C13" s="54">
        <v>71.41</v>
      </c>
      <c r="D13" s="54">
        <v>116.71</v>
      </c>
      <c r="E13" s="54">
        <v>0.46</v>
      </c>
      <c r="F13" s="54">
        <v>3.38</v>
      </c>
      <c r="G13" s="54">
        <v>86</v>
      </c>
      <c r="H13" s="54">
        <v>25.55</v>
      </c>
      <c r="I13" s="54">
        <v>1.53</v>
      </c>
      <c r="J13" s="54">
        <v>0.28000000000000003</v>
      </c>
      <c r="K13" s="54">
        <v>342.22</v>
      </c>
      <c r="L13" s="54">
        <v>17.46</v>
      </c>
      <c r="M13" s="54">
        <v>91.11</v>
      </c>
      <c r="N13" s="54">
        <v>22.30</v>
      </c>
      <c r="O13" s="54">
        <v>0</v>
      </c>
      <c r="P13" s="54">
        <v>1.1000000000000001</v>
      </c>
      <c r="Q13" s="54">
        <v>12.88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91.60</v>
      </c>
      <c r="C14" s="54">
        <v>66.34</v>
      </c>
      <c r="D14" s="54">
        <v>110.72</v>
      </c>
      <c r="E14" s="54">
        <v>0.45</v>
      </c>
      <c r="F14" s="54">
        <v>3.32</v>
      </c>
      <c r="G14" s="54">
        <v>88.74</v>
      </c>
      <c r="H14" s="54">
        <v>27.89</v>
      </c>
      <c r="I14" s="54">
        <v>1.52</v>
      </c>
      <c r="J14" s="54">
        <v>0.45</v>
      </c>
      <c r="K14" s="54">
        <v>354.92</v>
      </c>
      <c r="L14" s="54">
        <v>18.20</v>
      </c>
      <c r="M14" s="54">
        <v>93.09</v>
      </c>
      <c r="N14" s="54">
        <v>22.10</v>
      </c>
      <c r="O14" s="54">
        <v>0</v>
      </c>
      <c r="P14" s="54">
        <v>0.96</v>
      </c>
      <c r="Q14" s="54">
        <v>13.91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82.80</v>
      </c>
      <c r="C15" s="54">
        <v>69.47</v>
      </c>
      <c r="D15" s="54">
        <v>102.49</v>
      </c>
      <c r="E15" s="54">
        <v>0.52</v>
      </c>
      <c r="F15" s="54">
        <v>3.51</v>
      </c>
      <c r="G15" s="54">
        <v>118.69</v>
      </c>
      <c r="H15" s="54">
        <v>37.33</v>
      </c>
      <c r="I15" s="54">
        <v>1.60</v>
      </c>
      <c r="J15" s="54">
        <v>0.54</v>
      </c>
      <c r="K15" s="54">
        <v>353.33</v>
      </c>
      <c r="L15" s="54">
        <v>18.25</v>
      </c>
      <c r="M15" s="54">
        <v>93.79</v>
      </c>
      <c r="N15" s="54">
        <v>49.70</v>
      </c>
      <c r="O15" s="54">
        <v>0</v>
      </c>
      <c r="P15" s="54">
        <v>0.93</v>
      </c>
      <c r="Q15" s="54">
        <v>13.91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75.22</v>
      </c>
      <c r="C16" s="54">
        <v>73.53</v>
      </c>
      <c r="D16" s="54">
        <v>99.86</v>
      </c>
      <c r="E16" s="54">
        <v>0.66</v>
      </c>
      <c r="F16" s="54">
        <v>3.22</v>
      </c>
      <c r="G16" s="54">
        <v>118.69</v>
      </c>
      <c r="H16" s="54">
        <v>37.33</v>
      </c>
      <c r="I16" s="54">
        <v>1.55</v>
      </c>
      <c r="J16" s="54">
        <v>0.42</v>
      </c>
      <c r="K16" s="54">
        <v>349.52</v>
      </c>
      <c r="L16" s="54">
        <v>19.850000000000001</v>
      </c>
      <c r="M16" s="54">
        <v>89.5</v>
      </c>
      <c r="N16" s="54">
        <v>153.30000000000001</v>
      </c>
      <c r="O16" s="54">
        <v>0</v>
      </c>
      <c r="P16" s="54">
        <v>1.04</v>
      </c>
      <c r="Q16" s="54">
        <v>13.45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68.900000000000006</v>
      </c>
      <c r="C17" s="54">
        <v>79.430000000000007</v>
      </c>
      <c r="D17" s="54">
        <v>97.66</v>
      </c>
      <c r="E17" s="54">
        <v>0.51</v>
      </c>
      <c r="F17" s="54">
        <v>3.39</v>
      </c>
      <c r="G17" s="54">
        <v>94.76</v>
      </c>
      <c r="H17" s="54">
        <v>32.32</v>
      </c>
      <c r="I17" s="54">
        <v>1.5</v>
      </c>
      <c r="J17" s="54">
        <v>1.08</v>
      </c>
      <c r="K17" s="54">
        <v>103.71</v>
      </c>
      <c r="L17" s="54">
        <v>21.86</v>
      </c>
      <c r="M17" s="54">
        <v>76.959999999999994</v>
      </c>
      <c r="N17" s="54">
        <v>412.80</v>
      </c>
      <c r="O17" s="54">
        <v>0</v>
      </c>
      <c r="P17" s="54">
        <v>0.98</v>
      </c>
      <c r="Q17" s="54">
        <v>12.72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59.65</v>
      </c>
      <c r="C18" s="54">
        <v>82.46</v>
      </c>
      <c r="D18" s="54">
        <v>93.04</v>
      </c>
      <c r="E18" s="54">
        <v>0.60</v>
      </c>
      <c r="F18" s="54">
        <v>3.85</v>
      </c>
      <c r="G18" s="54">
        <v>68.23</v>
      </c>
      <c r="H18" s="54">
        <v>27.19</v>
      </c>
      <c r="I18" s="54">
        <v>1.55</v>
      </c>
      <c r="J18" s="54">
        <v>1.03</v>
      </c>
      <c r="K18" s="54">
        <v>353.73</v>
      </c>
      <c r="L18" s="54">
        <v>27.24</v>
      </c>
      <c r="M18" s="54">
        <v>69.56</v>
      </c>
      <c r="N18" s="54">
        <v>602.5</v>
      </c>
      <c r="O18" s="54">
        <v>0</v>
      </c>
      <c r="P18" s="54">
        <v>0.89</v>
      </c>
      <c r="Q18" s="54">
        <v>12.09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52.32</v>
      </c>
      <c r="C19" s="54">
        <v>85.63</v>
      </c>
      <c r="D19" s="54">
        <v>88.06</v>
      </c>
      <c r="E19" s="54">
        <v>0.16</v>
      </c>
      <c r="F19" s="54">
        <v>3.16</v>
      </c>
      <c r="G19" s="54">
        <v>70.180000000000007</v>
      </c>
      <c r="H19" s="54">
        <v>28.70</v>
      </c>
      <c r="I19" s="54">
        <v>1.54</v>
      </c>
      <c r="J19" s="54">
        <v>1.30</v>
      </c>
      <c r="K19" s="54">
        <v>350.34</v>
      </c>
      <c r="L19" s="54">
        <v>30.90</v>
      </c>
      <c r="M19" s="54">
        <v>48.75</v>
      </c>
      <c r="N19" s="54">
        <v>745</v>
      </c>
      <c r="O19" s="54">
        <v>0</v>
      </c>
      <c r="P19" s="54">
        <v>0.82</v>
      </c>
      <c r="Q19" s="54">
        <v>10.33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45.09</v>
      </c>
      <c r="C20" s="54">
        <v>81.17</v>
      </c>
      <c r="D20" s="54">
        <v>81.599999999999994</v>
      </c>
      <c r="E20" s="54">
        <v>0.19</v>
      </c>
      <c r="F20" s="54">
        <v>3.47</v>
      </c>
      <c r="G20" s="54">
        <v>70.41</v>
      </c>
      <c r="H20" s="54">
        <v>28.70</v>
      </c>
      <c r="I20" s="54">
        <v>1.53</v>
      </c>
      <c r="J20" s="54">
        <v>0.42</v>
      </c>
      <c r="K20" s="54">
        <v>344.96</v>
      </c>
      <c r="L20" s="54">
        <v>31.09</v>
      </c>
      <c r="M20" s="54">
        <v>46.13</v>
      </c>
      <c r="N20" s="54">
        <v>800.80</v>
      </c>
      <c r="O20" s="54">
        <v>0</v>
      </c>
      <c r="P20" s="54">
        <v>0.79</v>
      </c>
      <c r="Q20" s="54">
        <v>11.92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37.18</v>
      </c>
      <c r="C21" s="54">
        <v>76.72</v>
      </c>
      <c r="D21" s="54">
        <v>72.80</v>
      </c>
      <c r="E21" s="54">
        <v>0.43</v>
      </c>
      <c r="F21" s="54">
        <v>3.57</v>
      </c>
      <c r="G21" s="54">
        <v>70.41</v>
      </c>
      <c r="H21" s="54">
        <v>25.61</v>
      </c>
      <c r="I21" s="54">
        <v>1.57</v>
      </c>
      <c r="J21" s="54">
        <v>0.34</v>
      </c>
      <c r="K21" s="54">
        <v>135.15</v>
      </c>
      <c r="L21" s="54">
        <v>29.60</v>
      </c>
      <c r="M21" s="54">
        <v>46.79</v>
      </c>
      <c r="N21" s="54">
        <v>814.20</v>
      </c>
      <c r="O21" s="54">
        <v>0</v>
      </c>
      <c r="P21" s="54">
        <v>0.75</v>
      </c>
      <c r="Q21" s="54">
        <v>11.88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26.71</v>
      </c>
      <c r="C22" s="54">
        <v>87.97</v>
      </c>
      <c r="D22" s="54">
        <v>63.97</v>
      </c>
      <c r="E22" s="54">
        <v>0.69</v>
      </c>
      <c r="F22" s="54">
        <v>3.53</v>
      </c>
      <c r="G22" s="54">
        <v>65.25</v>
      </c>
      <c r="H22" s="54">
        <v>23.89</v>
      </c>
      <c r="I22" s="54">
        <v>1.57</v>
      </c>
      <c r="J22" s="54">
        <v>0.63</v>
      </c>
      <c r="K22" s="54">
        <v>324.56</v>
      </c>
      <c r="L22" s="54">
        <v>31.93</v>
      </c>
      <c r="M22" s="54">
        <v>45.94</v>
      </c>
      <c r="N22" s="54">
        <v>759.20</v>
      </c>
      <c r="O22" s="54">
        <v>0</v>
      </c>
      <c r="P22" s="54">
        <v>0.77</v>
      </c>
      <c r="Q22" s="54">
        <v>11.02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12.97</v>
      </c>
      <c r="C23" s="54">
        <v>96.67</v>
      </c>
      <c r="D23" s="54">
        <v>61.49</v>
      </c>
      <c r="E23" s="54">
        <v>0.82</v>
      </c>
      <c r="F23" s="54">
        <v>3.71</v>
      </c>
      <c r="G23" s="54">
        <v>62.55</v>
      </c>
      <c r="H23" s="54">
        <v>25.89</v>
      </c>
      <c r="I23" s="54">
        <v>1.53</v>
      </c>
      <c r="J23" s="54">
        <v>0.87</v>
      </c>
      <c r="K23" s="54">
        <v>346.55</v>
      </c>
      <c r="L23" s="54">
        <v>32.270000000000003</v>
      </c>
      <c r="M23" s="54">
        <v>41.03</v>
      </c>
      <c r="N23" s="54">
        <v>555.5</v>
      </c>
      <c r="O23" s="54">
        <v>0</v>
      </c>
      <c r="P23" s="54">
        <v>0.78</v>
      </c>
      <c r="Q23" s="54">
        <v>10.029999999999999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8.49</v>
      </c>
      <c r="C24" s="54">
        <v>104.45</v>
      </c>
      <c r="D24" s="54">
        <v>65</v>
      </c>
      <c r="E24" s="54">
        <v>0.97</v>
      </c>
      <c r="F24" s="54">
        <v>4.1399999999999997</v>
      </c>
      <c r="G24" s="54">
        <v>77.06</v>
      </c>
      <c r="H24" s="54">
        <v>27.21</v>
      </c>
      <c r="I24" s="54">
        <v>1.54</v>
      </c>
      <c r="J24" s="54">
        <v>0.89</v>
      </c>
      <c r="K24" s="54">
        <v>359.44</v>
      </c>
      <c r="L24" s="54">
        <v>29.77</v>
      </c>
      <c r="M24" s="54">
        <v>42.49</v>
      </c>
      <c r="N24" s="54">
        <v>281.80</v>
      </c>
      <c r="O24" s="54">
        <v>0</v>
      </c>
      <c r="P24" s="54">
        <v>0.79</v>
      </c>
      <c r="Q24" s="54">
        <v>13.03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8.85</v>
      </c>
      <c r="C25" s="54">
        <v>91.86</v>
      </c>
      <c r="D25" s="54">
        <v>58.44</v>
      </c>
      <c r="E25" s="54">
        <v>0.34</v>
      </c>
      <c r="F25" s="54">
        <v>4.03</v>
      </c>
      <c r="G25" s="54">
        <v>77.25</v>
      </c>
      <c r="H25" s="54">
        <v>27.21</v>
      </c>
      <c r="I25" s="54">
        <v>1.57</v>
      </c>
      <c r="J25" s="54">
        <v>0.86</v>
      </c>
      <c r="K25" s="54">
        <v>348.67</v>
      </c>
      <c r="L25" s="54">
        <v>28.55</v>
      </c>
      <c r="M25" s="54">
        <v>46.32</v>
      </c>
      <c r="N25" s="54">
        <v>189.70</v>
      </c>
      <c r="O25" s="54">
        <v>0</v>
      </c>
      <c r="P25" s="54">
        <v>0.81</v>
      </c>
      <c r="Q25" s="54">
        <v>10.029999999999999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14.03</v>
      </c>
      <c r="C26" s="54">
        <v>101.25</v>
      </c>
      <c r="D26" s="54">
        <v>67.77</v>
      </c>
      <c r="E26" s="54">
        <v>0</v>
      </c>
      <c r="F26" s="54">
        <v>2.91</v>
      </c>
      <c r="G26" s="54">
        <v>77.25</v>
      </c>
      <c r="H26" s="54">
        <v>29.46</v>
      </c>
      <c r="I26" s="54">
        <v>1.53</v>
      </c>
      <c r="J26" s="54">
        <v>0.73</v>
      </c>
      <c r="K26" s="54">
        <v>352.55</v>
      </c>
      <c r="L26" s="54">
        <v>26.74</v>
      </c>
      <c r="M26" s="54">
        <v>62.05</v>
      </c>
      <c r="N26" s="54">
        <v>159.40</v>
      </c>
      <c r="O26" s="54">
        <v>0</v>
      </c>
      <c r="P26" s="54">
        <v>0.94</v>
      </c>
      <c r="Q26" s="54">
        <v>30.69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21.45</v>
      </c>
      <c r="C27" s="54">
        <v>132.47</v>
      </c>
      <c r="D27" s="54">
        <v>88.01</v>
      </c>
      <c r="E27" s="54">
        <v>0.32</v>
      </c>
      <c r="F27" s="54">
        <v>4.78</v>
      </c>
      <c r="G27" s="54">
        <v>75.41</v>
      </c>
      <c r="H27" s="54">
        <v>29.46</v>
      </c>
      <c r="I27" s="54">
        <v>1.53</v>
      </c>
      <c r="J27" s="54">
        <v>0.51</v>
      </c>
      <c r="K27" s="54">
        <v>354.94</v>
      </c>
      <c r="L27" s="54">
        <v>24.65</v>
      </c>
      <c r="M27" s="54">
        <v>62.62</v>
      </c>
      <c r="N27" s="54">
        <v>102.30</v>
      </c>
      <c r="O27" s="54">
        <v>0</v>
      </c>
      <c r="P27" s="54">
        <v>1.78</v>
      </c>
      <c r="Q27" s="54">
        <v>8.9600000000000009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22.72</v>
      </c>
      <c r="C28" s="54">
        <v>118.19</v>
      </c>
      <c r="D28" s="54">
        <v>81.89</v>
      </c>
      <c r="E28" s="54">
        <v>0.15</v>
      </c>
      <c r="F28" s="54">
        <v>3.43</v>
      </c>
      <c r="G28" s="54">
        <v>110.26</v>
      </c>
      <c r="H28" s="54">
        <v>34.799999999999997</v>
      </c>
      <c r="I28" s="54">
        <v>1.53</v>
      </c>
      <c r="J28" s="54">
        <v>0.27</v>
      </c>
      <c r="K28" s="54">
        <v>83.74</v>
      </c>
      <c r="L28" s="54">
        <v>23.71</v>
      </c>
      <c r="M28" s="54">
        <v>64.52</v>
      </c>
      <c r="N28" s="54">
        <v>118.40</v>
      </c>
      <c r="O28" s="54">
        <v>0</v>
      </c>
      <c r="P28" s="54">
        <v>1.67</v>
      </c>
      <c r="Q28" s="54">
        <v>8.6300000000000008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24.98</v>
      </c>
      <c r="C29" s="54">
        <v>97.93</v>
      </c>
      <c r="D29" s="54">
        <v>74.459999999999994</v>
      </c>
      <c r="E29" s="54">
        <v>0.53</v>
      </c>
      <c r="F29" s="54">
        <v>3.60</v>
      </c>
      <c r="G29" s="54">
        <v>111.18</v>
      </c>
      <c r="H29" s="54">
        <v>35.86</v>
      </c>
      <c r="I29" s="54">
        <v>1.54</v>
      </c>
      <c r="J29" s="54">
        <v>0.23</v>
      </c>
      <c r="K29" s="54">
        <v>89.94</v>
      </c>
      <c r="L29" s="54">
        <v>22.90</v>
      </c>
      <c r="M29" s="54">
        <v>67.569999999999993</v>
      </c>
      <c r="N29" s="54">
        <v>72.400000000000006</v>
      </c>
      <c r="O29" s="54">
        <v>0</v>
      </c>
      <c r="P29" s="54">
        <v>1.77</v>
      </c>
      <c r="Q29" s="54">
        <v>7.90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26.37</v>
      </c>
      <c r="C30" s="54">
        <v>94.82</v>
      </c>
      <c r="D30" s="54">
        <v>74.13</v>
      </c>
      <c r="E30" s="54">
        <v>0.73</v>
      </c>
      <c r="F30" s="54">
        <v>3.17</v>
      </c>
      <c r="G30" s="54">
        <v>111.18</v>
      </c>
      <c r="H30" s="54">
        <v>36.020000000000003</v>
      </c>
      <c r="I30" s="54">
        <v>1.49</v>
      </c>
      <c r="J30" s="54">
        <v>0.24</v>
      </c>
      <c r="K30" s="54">
        <v>78.180000000000007</v>
      </c>
      <c r="L30" s="54">
        <v>22.43</v>
      </c>
      <c r="M30" s="54">
        <v>72.86</v>
      </c>
      <c r="N30" s="54">
        <v>90</v>
      </c>
      <c r="O30" s="54">
        <v>0</v>
      </c>
      <c r="P30" s="54">
        <v>1.74</v>
      </c>
      <c r="Q30" s="54">
        <v>6.94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36.979999999999997</v>
      </c>
      <c r="C31" s="54">
        <v>99.42</v>
      </c>
      <c r="D31" s="54">
        <v>85.17</v>
      </c>
      <c r="E31" s="54">
        <v>0.85</v>
      </c>
      <c r="F31" s="54">
        <v>3.47</v>
      </c>
      <c r="G31" s="54">
        <v>98.70</v>
      </c>
      <c r="H31" s="54">
        <v>37.75</v>
      </c>
      <c r="I31" s="54">
        <v>1.51</v>
      </c>
      <c r="J31" s="54">
        <v>0.24</v>
      </c>
      <c r="K31" s="54">
        <v>335.75</v>
      </c>
      <c r="L31" s="54">
        <v>21.46</v>
      </c>
      <c r="M31" s="54">
        <v>74.459999999999994</v>
      </c>
      <c r="N31" s="54">
        <v>82.70</v>
      </c>
      <c r="O31" s="54">
        <v>0</v>
      </c>
      <c r="P31" s="54">
        <v>1.76</v>
      </c>
      <c r="Q31" s="54">
        <v>7.28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37.19</v>
      </c>
      <c r="C32" s="54">
        <v>101.40</v>
      </c>
      <c r="D32" s="54">
        <v>85.89</v>
      </c>
      <c r="E32" s="54">
        <v>0.93</v>
      </c>
      <c r="F32" s="54">
        <v>3.49</v>
      </c>
      <c r="G32" s="54">
        <v>98.70</v>
      </c>
      <c r="H32" s="54">
        <v>37.75</v>
      </c>
      <c r="I32" s="54">
        <v>1.53</v>
      </c>
      <c r="J32" s="54">
        <v>0.97</v>
      </c>
      <c r="K32" s="54">
        <v>353.07</v>
      </c>
      <c r="L32" s="54">
        <v>21.59</v>
      </c>
      <c r="M32" s="54">
        <v>73.209999999999994</v>
      </c>
      <c r="N32" s="54">
        <v>120</v>
      </c>
      <c r="O32" s="54">
        <v>0</v>
      </c>
      <c r="P32" s="54">
        <v>1.68</v>
      </c>
      <c r="Q32" s="54">
        <v>0.52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8.4900000000000002</v>
      </c>
      <c r="C34" s="28">
        <f t="shared" si="0"/>
        <v>66.340000000000003</v>
      </c>
      <c r="D34" s="28">
        <f t="shared" si="0"/>
        <v>58.439999999999998</v>
      </c>
      <c r="E34" s="28">
        <f t="shared" si="0"/>
        <v>0</v>
      </c>
      <c r="F34" s="28">
        <f t="shared" si="0"/>
        <v>2.9100000000000001</v>
      </c>
      <c r="G34" s="28">
        <f t="shared" si="0"/>
        <v>56.75</v>
      </c>
      <c r="H34" s="28">
        <f t="shared" si="0"/>
        <v>23.890000000000001</v>
      </c>
      <c r="I34" s="28">
        <f t="shared" si="0"/>
        <v>1.49</v>
      </c>
      <c r="J34" s="28">
        <f t="shared" si="0"/>
        <v>0.10000000000000001</v>
      </c>
      <c r="K34" s="28">
        <f t="shared" si="0"/>
        <v>78.180000000000007</v>
      </c>
      <c r="L34" s="28">
        <f t="shared" si="0"/>
        <v>17.460000000000001</v>
      </c>
      <c r="M34" s="28">
        <f t="shared" si="0"/>
        <v>41.030000000000001</v>
      </c>
      <c r="N34" s="28">
        <f t="shared" si="0"/>
        <v>22</v>
      </c>
      <c r="O34" s="28">
        <f t="shared" si="0"/>
        <v>0</v>
      </c>
      <c r="P34" s="28">
        <f t="shared" si="0"/>
        <v>0.75</v>
      </c>
      <c r="Q34" s="28">
        <f t="shared" si="0"/>
        <v>0.52000000000000002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168.31999999999999</v>
      </c>
      <c r="C35" s="29">
        <f t="shared" si="1"/>
        <v>132.47</v>
      </c>
      <c r="D35" s="29">
        <f t="shared" si="1"/>
        <v>176.44999999999999</v>
      </c>
      <c r="E35" s="29">
        <f t="shared" si="1"/>
        <v>0.96999999999999997</v>
      </c>
      <c r="F35" s="29">
        <f t="shared" si="1"/>
        <v>4.7800000000000002</v>
      </c>
      <c r="G35" s="29">
        <f t="shared" si="1"/>
        <v>147.97</v>
      </c>
      <c r="H35" s="29">
        <f t="shared" si="1"/>
        <v>53.600000000000001</v>
      </c>
      <c r="I35" s="29">
        <f t="shared" si="1"/>
        <v>1.6299999999999999</v>
      </c>
      <c r="J35" s="29">
        <f t="shared" si="1"/>
        <v>1.3</v>
      </c>
      <c r="K35" s="29">
        <f t="shared" si="1"/>
        <v>359.79000000000002</v>
      </c>
      <c r="L35" s="29">
        <f t="shared" si="1"/>
        <v>32.270000000000003</v>
      </c>
      <c r="M35" s="29">
        <f t="shared" si="1"/>
        <v>93.790000000000006</v>
      </c>
      <c r="N35" s="29">
        <f t="shared" si="1"/>
        <v>814.20000000000005</v>
      </c>
      <c r="O35" s="29">
        <f t="shared" si="1"/>
        <v>0</v>
      </c>
      <c r="P35" s="29">
        <f t="shared" si="1"/>
        <v>2.52</v>
      </c>
      <c r="Q35" s="29">
        <f t="shared" si="1"/>
        <v>30.690000000000001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57.432083333333331</v>
      </c>
      <c r="C36" s="28">
        <f t="shared" si="2"/>
        <v>88.374166666666667</v>
      </c>
      <c r="D36" s="28">
        <f t="shared" si="2"/>
        <v>94.210416666666674</v>
      </c>
      <c r="E36" s="28">
        <f t="shared" si="2"/>
        <v>0.50958333333333339</v>
      </c>
      <c r="F36" s="28">
        <f t="shared" si="2"/>
        <v>3.5404166666666668</v>
      </c>
      <c r="G36" s="28">
        <f t="shared" si="2"/>
        <v>86.900416666666672</v>
      </c>
      <c r="H36" s="28">
        <f t="shared" si="2"/>
        <v>31.594166666666666</v>
      </c>
      <c r="I36" s="28">
        <f t="shared" si="2"/>
        <v>1.5441666666666671</v>
      </c>
      <c r="J36" s="28">
        <f t="shared" si="2"/>
        <v>0.54041666666666666</v>
      </c>
      <c r="K36" s="28">
        <f t="shared" si="2"/>
        <v>290.37916666666666</v>
      </c>
      <c r="L36" s="28">
        <f t="shared" si="2"/>
        <v>23.949999999999999</v>
      </c>
      <c r="M36" s="28">
        <f t="shared" si="2"/>
        <v>68.575833333333307</v>
      </c>
      <c r="N36" s="28">
        <f t="shared" si="2"/>
        <v>260.12916666666661</v>
      </c>
      <c r="O36" s="28">
        <f t="shared" si="2"/>
        <v>0</v>
      </c>
      <c r="P36" s="28">
        <f t="shared" si="2"/>
        <v>1.2483333333333333</v>
      </c>
      <c r="Q36" s="28">
        <f t="shared" si="2"/>
        <v>12.022916666666662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43.828103052837513</v>
      </c>
      <c r="C37" s="28">
        <f t="shared" si="3" ref="C37:Q37">STDEV(C9:C32)</f>
        <v>16.093385602318971</v>
      </c>
      <c r="D37" s="28">
        <f t="shared" si="3"/>
        <v>30.043574221333127</v>
      </c>
      <c r="E37" s="28">
        <f t="shared" si="3"/>
        <v>0.25587835368404643</v>
      </c>
      <c r="F37" s="28">
        <f t="shared" si="3"/>
        <v>0.38579651278279081</v>
      </c>
      <c r="G37" s="28">
        <f t="shared" si="3"/>
        <v>23.161302899292004</v>
      </c>
      <c r="H37" s="28">
        <f t="shared" si="3"/>
        <v>6.6891208993257871</v>
      </c>
      <c r="I37" s="28">
        <f t="shared" si="3"/>
        <v>0.030348220586281883</v>
      </c>
      <c r="J37" s="28">
        <f t="shared" si="3"/>
        <v>0.34473025581657663</v>
      </c>
      <c r="K37" s="28">
        <f t="shared" si="3"/>
        <v>103.23786775406496</v>
      </c>
      <c r="L37" s="28">
        <f t="shared" si="3"/>
        <v>5.1023660325808606</v>
      </c>
      <c r="M37" s="28">
        <f t="shared" si="3"/>
        <v>17.76576970436151</v>
      </c>
      <c r="N37" s="28">
        <f t="shared" si="3"/>
        <v>286.08279962757922</v>
      </c>
      <c r="O37" s="28">
        <f t="shared" si="3"/>
        <v>0</v>
      </c>
      <c r="P37" s="28">
        <f t="shared" si="3"/>
        <v>0.48969082230451855</v>
      </c>
      <c r="Q37" s="28">
        <f t="shared" si="3"/>
        <v>5.5022750070878246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b4133b0-5f8c-4cb1-947b-081a819bdce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31.47</v>
      </c>
      <c r="C9" s="54">
        <v>86.92</v>
      </c>
      <c r="D9" s="54">
        <v>73.430000000000007</v>
      </c>
      <c r="E9" s="54">
        <v>0.18</v>
      </c>
      <c r="F9" s="54">
        <v>3.06</v>
      </c>
      <c r="G9" s="54">
        <v>84.44</v>
      </c>
      <c r="H9" s="54">
        <v>35.72</v>
      </c>
      <c r="I9" s="54">
        <v>1.60</v>
      </c>
      <c r="J9" s="54">
        <v>0.25</v>
      </c>
      <c r="K9" s="54">
        <v>25.27</v>
      </c>
      <c r="L9" s="54">
        <v>20.94</v>
      </c>
      <c r="M9" s="54">
        <v>78.930000000000007</v>
      </c>
      <c r="N9" s="54">
        <v>99.10</v>
      </c>
      <c r="O9" s="54">
        <v>0</v>
      </c>
      <c r="P9" s="54">
        <v>1.40</v>
      </c>
      <c r="Q9" s="54">
        <v>6.21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29.34</v>
      </c>
      <c r="C10" s="54">
        <v>81.58</v>
      </c>
      <c r="D10" s="54">
        <v>69.19</v>
      </c>
      <c r="E10" s="54">
        <v>0.20</v>
      </c>
      <c r="F10" s="54">
        <v>3.43</v>
      </c>
      <c r="G10" s="54">
        <v>73.06</v>
      </c>
      <c r="H10" s="54">
        <v>34.299999999999997</v>
      </c>
      <c r="I10" s="54">
        <v>1.58</v>
      </c>
      <c r="J10" s="54">
        <v>0.61</v>
      </c>
      <c r="K10" s="54">
        <v>357.31</v>
      </c>
      <c r="L10" s="54">
        <v>20.190000000000001</v>
      </c>
      <c r="M10" s="54">
        <v>82.65</v>
      </c>
      <c r="N10" s="54">
        <v>89.80</v>
      </c>
      <c r="O10" s="54">
        <v>0</v>
      </c>
      <c r="P10" s="54">
        <v>1.1299999999999999</v>
      </c>
      <c r="Q10" s="54">
        <v>7.71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25.95</v>
      </c>
      <c r="C11" s="54">
        <v>71.75</v>
      </c>
      <c r="D11" s="54">
        <v>61.05</v>
      </c>
      <c r="E11" s="54">
        <v>0.14000000000000001</v>
      </c>
      <c r="F11" s="54">
        <v>3.44</v>
      </c>
      <c r="G11" s="54">
        <v>69.39</v>
      </c>
      <c r="H11" s="54">
        <v>31.49</v>
      </c>
      <c r="I11" s="54">
        <v>1.46</v>
      </c>
      <c r="J11" s="54">
        <v>0.91</v>
      </c>
      <c r="K11" s="54">
        <v>349.21</v>
      </c>
      <c r="L11" s="54">
        <v>19.579999999999998</v>
      </c>
      <c r="M11" s="54">
        <v>81.78</v>
      </c>
      <c r="N11" s="54">
        <v>92.90</v>
      </c>
      <c r="O11" s="54">
        <v>0</v>
      </c>
      <c r="P11" s="54">
        <v>1</v>
      </c>
      <c r="Q11" s="54">
        <v>6.27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21.94</v>
      </c>
      <c r="C12" s="54">
        <v>72.709999999999994</v>
      </c>
      <c r="D12" s="54">
        <v>56.81</v>
      </c>
      <c r="E12" s="54">
        <v>0.24</v>
      </c>
      <c r="F12" s="54">
        <v>3.78</v>
      </c>
      <c r="G12" s="54">
        <v>59.04</v>
      </c>
      <c r="H12" s="54">
        <v>28.61</v>
      </c>
      <c r="I12" s="54">
        <v>1.59</v>
      </c>
      <c r="J12" s="54">
        <v>0.87</v>
      </c>
      <c r="K12" s="54">
        <v>356.25</v>
      </c>
      <c r="L12" s="54">
        <v>19.48</v>
      </c>
      <c r="M12" s="54">
        <v>82.02</v>
      </c>
      <c r="N12" s="54">
        <v>137.40</v>
      </c>
      <c r="O12" s="54">
        <v>0</v>
      </c>
      <c r="P12" s="54">
        <v>0.84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19.43</v>
      </c>
      <c r="C13" s="54">
        <v>74.38</v>
      </c>
      <c r="D13" s="54">
        <v>57.28</v>
      </c>
      <c r="E13" s="54">
        <v>0.40</v>
      </c>
      <c r="F13" s="54">
        <v>3.27</v>
      </c>
      <c r="G13" s="54">
        <v>53.10</v>
      </c>
      <c r="H13" s="54">
        <v>26.98</v>
      </c>
      <c r="I13" s="54">
        <v>1.56</v>
      </c>
      <c r="J13" s="54">
        <v>1.28</v>
      </c>
      <c r="K13" s="54">
        <v>109.16</v>
      </c>
      <c r="L13" s="54">
        <v>19.100000000000001</v>
      </c>
      <c r="M13" s="54">
        <v>86.15</v>
      </c>
      <c r="N13" s="54">
        <v>129</v>
      </c>
      <c r="O13" s="54">
        <v>0</v>
      </c>
      <c r="P13" s="54">
        <v>0.72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21.71</v>
      </c>
      <c r="C14" s="54">
        <v>78.73</v>
      </c>
      <c r="D14" s="54">
        <v>61.51</v>
      </c>
      <c r="E14" s="54">
        <v>0.57999999999999996</v>
      </c>
      <c r="F14" s="54">
        <v>3.34</v>
      </c>
      <c r="G14" s="54">
        <v>56.38</v>
      </c>
      <c r="H14" s="54">
        <v>24.94</v>
      </c>
      <c r="I14" s="54">
        <v>1.53</v>
      </c>
      <c r="J14" s="54">
        <v>0.68</v>
      </c>
      <c r="K14" s="54">
        <v>353.31</v>
      </c>
      <c r="L14" s="54">
        <v>18.600000000000001</v>
      </c>
      <c r="M14" s="54">
        <v>86.25</v>
      </c>
      <c r="N14" s="54">
        <v>221.80</v>
      </c>
      <c r="O14" s="54">
        <v>0</v>
      </c>
      <c r="P14" s="54">
        <v>0.62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23.42</v>
      </c>
      <c r="C15" s="54">
        <v>81.53</v>
      </c>
      <c r="D15" s="54">
        <v>64.42</v>
      </c>
      <c r="E15" s="54">
        <v>0.59</v>
      </c>
      <c r="F15" s="54">
        <v>3.65</v>
      </c>
      <c r="G15" s="54">
        <v>59.21</v>
      </c>
      <c r="H15" s="54">
        <v>26.77</v>
      </c>
      <c r="I15" s="54">
        <v>1.52</v>
      </c>
      <c r="J15" s="54">
        <v>0.77</v>
      </c>
      <c r="K15" s="54">
        <v>357.68</v>
      </c>
      <c r="L15" s="54">
        <v>18.809999999999999</v>
      </c>
      <c r="M15" s="54">
        <v>85.58</v>
      </c>
      <c r="N15" s="54">
        <v>114.90</v>
      </c>
      <c r="O15" s="54">
        <v>0</v>
      </c>
      <c r="P15" s="54">
        <v>0.56000000000000005</v>
      </c>
      <c r="Q15" s="54">
        <v>0.94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30.08</v>
      </c>
      <c r="C16" s="54">
        <v>75.02</v>
      </c>
      <c r="D16" s="54">
        <v>65.709999999999994</v>
      </c>
      <c r="E16" s="54">
        <v>0.16</v>
      </c>
      <c r="F16" s="54">
        <v>3.09</v>
      </c>
      <c r="G16" s="54">
        <v>64.180000000000007</v>
      </c>
      <c r="H16" s="54">
        <v>29.59</v>
      </c>
      <c r="I16" s="54">
        <v>1.51</v>
      </c>
      <c r="J16" s="54">
        <v>0.72</v>
      </c>
      <c r="K16" s="54">
        <v>351.14</v>
      </c>
      <c r="L16" s="54">
        <v>20.55</v>
      </c>
      <c r="M16" s="54">
        <v>85.85</v>
      </c>
      <c r="N16" s="54">
        <v>256.60000000000002</v>
      </c>
      <c r="O16" s="54">
        <v>0</v>
      </c>
      <c r="P16" s="54">
        <v>0.61</v>
      </c>
      <c r="Q16" s="54">
        <v>5.59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31.95</v>
      </c>
      <c r="C17" s="54">
        <v>72.14</v>
      </c>
      <c r="D17" s="54">
        <v>65.27</v>
      </c>
      <c r="E17" s="54">
        <v>0.34</v>
      </c>
      <c r="F17" s="54">
        <v>3.35</v>
      </c>
      <c r="G17" s="54">
        <v>67.84</v>
      </c>
      <c r="H17" s="54">
        <v>29.59</v>
      </c>
      <c r="I17" s="54">
        <v>1.52</v>
      </c>
      <c r="J17" s="54">
        <v>0.95</v>
      </c>
      <c r="K17" s="54">
        <v>357.28</v>
      </c>
      <c r="L17" s="54">
        <v>22.20</v>
      </c>
      <c r="M17" s="54">
        <v>73.30</v>
      </c>
      <c r="N17" s="54">
        <v>423.60</v>
      </c>
      <c r="O17" s="54">
        <v>0</v>
      </c>
      <c r="P17" s="54">
        <v>0.63</v>
      </c>
      <c r="Q17" s="54">
        <v>6.42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31.88</v>
      </c>
      <c r="C18" s="54">
        <v>68.36</v>
      </c>
      <c r="D18" s="54">
        <v>63.43</v>
      </c>
      <c r="E18" s="54">
        <v>0.37</v>
      </c>
      <c r="F18" s="54">
        <v>3.62</v>
      </c>
      <c r="G18" s="54">
        <v>71.069999999999993</v>
      </c>
      <c r="H18" s="54">
        <v>33.200000000000003</v>
      </c>
      <c r="I18" s="54">
        <v>1.53</v>
      </c>
      <c r="J18" s="54">
        <v>0.79</v>
      </c>
      <c r="K18" s="54">
        <v>104.84</v>
      </c>
      <c r="L18" s="54">
        <v>24.54</v>
      </c>
      <c r="M18" s="54">
        <v>66.010000000000005</v>
      </c>
      <c r="N18" s="54">
        <v>595.5</v>
      </c>
      <c r="O18" s="54">
        <v>0</v>
      </c>
      <c r="P18" s="54">
        <v>0.65</v>
      </c>
      <c r="Q18" s="54">
        <v>6.03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28.43</v>
      </c>
      <c r="C19" s="54">
        <v>85.64</v>
      </c>
      <c r="D19" s="54">
        <v>63</v>
      </c>
      <c r="E19" s="54">
        <v>0.90</v>
      </c>
      <c r="F19" s="54">
        <v>4.7300000000000004</v>
      </c>
      <c r="G19" s="54">
        <v>71.069999999999993</v>
      </c>
      <c r="H19" s="54">
        <v>33.200000000000003</v>
      </c>
      <c r="I19" s="54">
        <v>1.5</v>
      </c>
      <c r="J19" s="54">
        <v>0.70</v>
      </c>
      <c r="K19" s="54">
        <v>89.92</v>
      </c>
      <c r="L19" s="54">
        <v>28.38</v>
      </c>
      <c r="M19" s="54">
        <v>53.5</v>
      </c>
      <c r="N19" s="54">
        <v>696.30</v>
      </c>
      <c r="O19" s="54">
        <v>0</v>
      </c>
      <c r="P19" s="54">
        <v>0.74</v>
      </c>
      <c r="Q19" s="54">
        <v>6.01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6.52</v>
      </c>
      <c r="C20" s="54">
        <v>90.40</v>
      </c>
      <c r="D20" s="54">
        <v>55.76</v>
      </c>
      <c r="E20" s="54">
        <v>0.88</v>
      </c>
      <c r="F20" s="54">
        <v>7.19</v>
      </c>
      <c r="G20" s="54">
        <v>62.27</v>
      </c>
      <c r="H20" s="54">
        <v>29.34</v>
      </c>
      <c r="I20" s="54">
        <v>1.53</v>
      </c>
      <c r="J20" s="54">
        <v>1.30</v>
      </c>
      <c r="K20" s="54">
        <v>124.02</v>
      </c>
      <c r="L20" s="54">
        <v>27.31</v>
      </c>
      <c r="M20" s="54">
        <v>52.15</v>
      </c>
      <c r="N20" s="54">
        <v>772</v>
      </c>
      <c r="O20" s="54">
        <v>0</v>
      </c>
      <c r="P20" s="54">
        <v>0.73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3.25</v>
      </c>
      <c r="C21" s="54">
        <v>62.74</v>
      </c>
      <c r="D21" s="54">
        <v>37.880000000000003</v>
      </c>
      <c r="E21" s="54">
        <v>0.26</v>
      </c>
      <c r="F21" s="54">
        <v>11.99</v>
      </c>
      <c r="G21" s="54">
        <v>66.62</v>
      </c>
      <c r="H21" s="54">
        <v>28.90</v>
      </c>
      <c r="I21" s="54">
        <v>1.54</v>
      </c>
      <c r="J21" s="54">
        <v>0.76</v>
      </c>
      <c r="K21" s="54">
        <v>346.76</v>
      </c>
      <c r="L21" s="54">
        <v>31.67</v>
      </c>
      <c r="M21" s="54">
        <v>50.26</v>
      </c>
      <c r="N21" s="54">
        <v>753.40</v>
      </c>
      <c r="O21" s="54">
        <v>0</v>
      </c>
      <c r="P21" s="54">
        <v>0.53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4.0999999999999996</v>
      </c>
      <c r="C22" s="54">
        <v>64.260000000000005</v>
      </c>
      <c r="D22" s="54">
        <v>38.92</v>
      </c>
      <c r="E22" s="54">
        <v>0.37</v>
      </c>
      <c r="F22" s="54">
        <v>4.83</v>
      </c>
      <c r="G22" s="54">
        <v>66.62</v>
      </c>
      <c r="H22" s="54">
        <v>28.35</v>
      </c>
      <c r="I22" s="54">
        <v>1.54</v>
      </c>
      <c r="J22" s="54">
        <v>0.74</v>
      </c>
      <c r="K22" s="54">
        <v>353.84</v>
      </c>
      <c r="L22" s="54">
        <v>32.35</v>
      </c>
      <c r="M22" s="54">
        <v>40.17</v>
      </c>
      <c r="N22" s="54">
        <v>669.10</v>
      </c>
      <c r="O22" s="54">
        <v>0</v>
      </c>
      <c r="P22" s="54">
        <v>0.54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3.89</v>
      </c>
      <c r="C23" s="54">
        <v>75.55</v>
      </c>
      <c r="D23" s="54">
        <v>44.69</v>
      </c>
      <c r="E23" s="54">
        <v>0.35</v>
      </c>
      <c r="F23" s="54">
        <v>5.97</v>
      </c>
      <c r="G23" s="54">
        <v>62.52</v>
      </c>
      <c r="H23" s="54">
        <v>27.47</v>
      </c>
      <c r="I23" s="54">
        <v>1.58</v>
      </c>
      <c r="J23" s="54">
        <v>0.56999999999999995</v>
      </c>
      <c r="K23" s="54">
        <v>343.08</v>
      </c>
      <c r="L23" s="54">
        <v>32.33</v>
      </c>
      <c r="M23" s="54">
        <v>35.270000000000003</v>
      </c>
      <c r="N23" s="54">
        <v>574.5</v>
      </c>
      <c r="O23" s="54">
        <v>0</v>
      </c>
      <c r="P23" s="54">
        <v>0.60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2.64</v>
      </c>
      <c r="C24" s="54">
        <v>77.95</v>
      </c>
      <c r="D24" s="54">
        <v>45.43</v>
      </c>
      <c r="E24" s="54">
        <v>0.59</v>
      </c>
      <c r="F24" s="54">
        <v>6.83</v>
      </c>
      <c r="G24" s="54">
        <v>62.52</v>
      </c>
      <c r="H24" s="54">
        <v>27.47</v>
      </c>
      <c r="I24" s="54">
        <v>1.51</v>
      </c>
      <c r="J24" s="54">
        <v>0.92</v>
      </c>
      <c r="K24" s="54">
        <v>351.97</v>
      </c>
      <c r="L24" s="54">
        <v>29.66</v>
      </c>
      <c r="M24" s="54">
        <v>40.549999999999997</v>
      </c>
      <c r="N24" s="54">
        <v>334</v>
      </c>
      <c r="O24" s="54">
        <v>0</v>
      </c>
      <c r="P24" s="54">
        <v>0.60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5.43</v>
      </c>
      <c r="C25" s="54">
        <v>73.180000000000007</v>
      </c>
      <c r="D25" s="54">
        <v>45.39</v>
      </c>
      <c r="E25" s="54">
        <v>0.11</v>
      </c>
      <c r="F25" s="54">
        <v>4.22</v>
      </c>
      <c r="G25" s="54">
        <v>77.97</v>
      </c>
      <c r="H25" s="54">
        <v>33.67</v>
      </c>
      <c r="I25" s="54">
        <v>1.57</v>
      </c>
      <c r="J25" s="54">
        <v>0.57999999999999996</v>
      </c>
      <c r="K25" s="54">
        <v>350.15</v>
      </c>
      <c r="L25" s="54">
        <v>28.41</v>
      </c>
      <c r="M25" s="54">
        <v>51.60</v>
      </c>
      <c r="N25" s="54">
        <v>137</v>
      </c>
      <c r="O25" s="54">
        <v>0</v>
      </c>
      <c r="P25" s="54">
        <v>0.68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6.52</v>
      </c>
      <c r="C26" s="54">
        <v>74.680000000000007</v>
      </c>
      <c r="D26" s="54">
        <v>47.04</v>
      </c>
      <c r="E26" s="54">
        <v>0.09</v>
      </c>
      <c r="F26" s="54">
        <v>4.20</v>
      </c>
      <c r="G26" s="54">
        <v>77.97</v>
      </c>
      <c r="H26" s="54">
        <v>33.67</v>
      </c>
      <c r="I26" s="54">
        <v>1.55</v>
      </c>
      <c r="J26" s="54">
        <v>1.57</v>
      </c>
      <c r="K26" s="54">
        <v>351.90</v>
      </c>
      <c r="L26" s="54">
        <v>26.01</v>
      </c>
      <c r="M26" s="54">
        <v>64.70</v>
      </c>
      <c r="N26" s="54">
        <v>68.5</v>
      </c>
      <c r="O26" s="54">
        <v>0</v>
      </c>
      <c r="P26" s="54">
        <v>0.74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10.07</v>
      </c>
      <c r="C27" s="54">
        <v>74.59</v>
      </c>
      <c r="D27" s="54">
        <v>49.14</v>
      </c>
      <c r="E27" s="54">
        <v>0.12</v>
      </c>
      <c r="F27" s="54">
        <v>3.67</v>
      </c>
      <c r="G27" s="54">
        <v>90.66</v>
      </c>
      <c r="H27" s="54">
        <v>37.619999999999997</v>
      </c>
      <c r="I27" s="54">
        <v>1.48</v>
      </c>
      <c r="J27" s="54">
        <v>0.63</v>
      </c>
      <c r="K27" s="54">
        <v>350.88</v>
      </c>
      <c r="L27" s="54">
        <v>24.70</v>
      </c>
      <c r="M27" s="54">
        <v>64.63</v>
      </c>
      <c r="N27" s="54">
        <v>34.5</v>
      </c>
      <c r="O27" s="54">
        <v>0</v>
      </c>
      <c r="P27" s="54">
        <v>0.97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15.14</v>
      </c>
      <c r="C28" s="54">
        <v>72.80</v>
      </c>
      <c r="D28" s="54">
        <v>52.20</v>
      </c>
      <c r="E28" s="54">
        <v>0.13</v>
      </c>
      <c r="F28" s="54">
        <v>3.48</v>
      </c>
      <c r="G28" s="54">
        <v>112.81</v>
      </c>
      <c r="H28" s="54">
        <v>43.90</v>
      </c>
      <c r="I28" s="54">
        <v>1.5</v>
      </c>
      <c r="J28" s="54">
        <v>0.75</v>
      </c>
      <c r="K28" s="54">
        <v>355.93</v>
      </c>
      <c r="L28" s="54">
        <v>23.29</v>
      </c>
      <c r="M28" s="54">
        <v>73.680000000000007</v>
      </c>
      <c r="N28" s="54">
        <v>34.5</v>
      </c>
      <c r="O28" s="54">
        <v>0</v>
      </c>
      <c r="P28" s="54">
        <v>1.01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22.02</v>
      </c>
      <c r="C29" s="54">
        <v>70.61</v>
      </c>
      <c r="D29" s="54">
        <v>55.59</v>
      </c>
      <c r="E29" s="54">
        <v>0.22</v>
      </c>
      <c r="F29" s="54">
        <v>3.58</v>
      </c>
      <c r="G29" s="54">
        <v>136.82</v>
      </c>
      <c r="H29" s="54">
        <v>52.04</v>
      </c>
      <c r="I29" s="54">
        <v>1.55</v>
      </c>
      <c r="J29" s="54">
        <v>0.14000000000000001</v>
      </c>
      <c r="K29" s="54">
        <v>314.43</v>
      </c>
      <c r="L29" s="54">
        <v>22.09</v>
      </c>
      <c r="M29" s="54">
        <v>87.5</v>
      </c>
      <c r="N29" s="54">
        <v>34.60</v>
      </c>
      <c r="O29" s="54">
        <v>0</v>
      </c>
      <c r="P29" s="54">
        <v>1.27</v>
      </c>
      <c r="Q29" s="54">
        <v>5.62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30.46</v>
      </c>
      <c r="C30" s="54">
        <v>66.66</v>
      </c>
      <c r="D30" s="54">
        <v>61.26</v>
      </c>
      <c r="E30" s="54">
        <v>0.25</v>
      </c>
      <c r="F30" s="54">
        <v>3.40</v>
      </c>
      <c r="G30" s="54">
        <v>140.25</v>
      </c>
      <c r="H30" s="54">
        <v>54.83</v>
      </c>
      <c r="I30" s="54">
        <v>1.55</v>
      </c>
      <c r="J30" s="54">
        <v>0.11</v>
      </c>
      <c r="K30" s="54">
        <v>244.66</v>
      </c>
      <c r="L30" s="54">
        <v>21.15</v>
      </c>
      <c r="M30" s="54">
        <v>85.24</v>
      </c>
      <c r="N30" s="54">
        <v>34.5</v>
      </c>
      <c r="O30" s="54">
        <v>0</v>
      </c>
      <c r="P30" s="54">
        <v>1.30</v>
      </c>
      <c r="Q30" s="54">
        <v>6.52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38.799999999999997</v>
      </c>
      <c r="C31" s="54">
        <v>64.89</v>
      </c>
      <c r="D31" s="54">
        <v>67.569999999999993</v>
      </c>
      <c r="E31" s="54">
        <v>0.27</v>
      </c>
      <c r="F31" s="54">
        <v>3.45</v>
      </c>
      <c r="G31" s="54">
        <v>140.25</v>
      </c>
      <c r="H31" s="54">
        <v>54.83</v>
      </c>
      <c r="I31" s="54">
        <v>1.56</v>
      </c>
      <c r="J31" s="54">
        <v>0.27</v>
      </c>
      <c r="K31" s="54">
        <v>333.75</v>
      </c>
      <c r="L31" s="54">
        <v>20.69</v>
      </c>
      <c r="M31" s="54">
        <v>92.32</v>
      </c>
      <c r="N31" s="54">
        <v>34.90</v>
      </c>
      <c r="O31" s="54">
        <v>0</v>
      </c>
      <c r="P31" s="54">
        <v>1.41</v>
      </c>
      <c r="Q31" s="54">
        <v>7.88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40.78</v>
      </c>
      <c r="C32" s="54">
        <v>66.989999999999995</v>
      </c>
      <c r="D32" s="54">
        <v>70.23</v>
      </c>
      <c r="E32" s="54">
        <v>0.26</v>
      </c>
      <c r="F32" s="54">
        <v>3.39</v>
      </c>
      <c r="G32" s="54">
        <v>134.12</v>
      </c>
      <c r="H32" s="54">
        <v>53.10</v>
      </c>
      <c r="I32" s="54">
        <v>1.52</v>
      </c>
      <c r="J32" s="54">
        <v>0.54</v>
      </c>
      <c r="K32" s="54">
        <v>358.97</v>
      </c>
      <c r="L32" s="54">
        <v>20.51</v>
      </c>
      <c r="M32" s="54">
        <v>90.42</v>
      </c>
      <c r="N32" s="54">
        <v>35.40</v>
      </c>
      <c r="O32" s="54">
        <v>0</v>
      </c>
      <c r="P32" s="54">
        <v>1.37</v>
      </c>
      <c r="Q32" s="54">
        <v>8.39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2.6400000000000001</v>
      </c>
      <c r="C34" s="28">
        <f t="shared" si="0"/>
        <v>62.740000000000002</v>
      </c>
      <c r="D34" s="28">
        <f t="shared" si="0"/>
        <v>37.880000000000003</v>
      </c>
      <c r="E34" s="28">
        <f t="shared" si="0"/>
        <v>0.089999999999999997</v>
      </c>
      <c r="F34" s="28">
        <f t="shared" si="0"/>
        <v>3.0600000000000001</v>
      </c>
      <c r="G34" s="28">
        <f t="shared" si="0"/>
        <v>53.100000000000001</v>
      </c>
      <c r="H34" s="28">
        <f t="shared" si="0"/>
        <v>24.940000000000001</v>
      </c>
      <c r="I34" s="28">
        <f t="shared" si="0"/>
        <v>1.46</v>
      </c>
      <c r="J34" s="28">
        <f t="shared" si="0"/>
        <v>0.11</v>
      </c>
      <c r="K34" s="28">
        <f t="shared" si="0"/>
        <v>25.27</v>
      </c>
      <c r="L34" s="28">
        <f t="shared" si="0"/>
        <v>18.600000000000001</v>
      </c>
      <c r="M34" s="28">
        <f t="shared" si="0"/>
        <v>35.270000000000003</v>
      </c>
      <c r="N34" s="28">
        <f t="shared" si="0"/>
        <v>34.5</v>
      </c>
      <c r="O34" s="28">
        <f t="shared" si="0"/>
        <v>0</v>
      </c>
      <c r="P34" s="28">
        <f t="shared" si="0"/>
        <v>0.53000000000000003</v>
      </c>
      <c r="Q34" s="28">
        <f t="shared" si="0"/>
        <v>0.93999999999999995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40.780000000000001</v>
      </c>
      <c r="C35" s="29">
        <f t="shared" si="1"/>
        <v>90.400000000000006</v>
      </c>
      <c r="D35" s="29">
        <f t="shared" si="1"/>
        <v>73.430000000000007</v>
      </c>
      <c r="E35" s="29">
        <f t="shared" si="1"/>
        <v>0.90000000000000002</v>
      </c>
      <c r="F35" s="29">
        <f t="shared" si="1"/>
        <v>11.99</v>
      </c>
      <c r="G35" s="29">
        <f t="shared" si="1"/>
        <v>140.25</v>
      </c>
      <c r="H35" s="29">
        <f t="shared" si="1"/>
        <v>54.829999999999998</v>
      </c>
      <c r="I35" s="29">
        <f t="shared" si="1"/>
        <v>1.6000000000000001</v>
      </c>
      <c r="J35" s="29">
        <f t="shared" si="1"/>
        <v>1.5700000000000001</v>
      </c>
      <c r="K35" s="29">
        <f t="shared" si="1"/>
        <v>358.97000000000003</v>
      </c>
      <c r="L35" s="29">
        <f t="shared" si="1"/>
        <v>32.350000000000001</v>
      </c>
      <c r="M35" s="29">
        <f t="shared" si="1"/>
        <v>92.319999999999993</v>
      </c>
      <c r="N35" s="29">
        <f t="shared" si="1"/>
        <v>772</v>
      </c>
      <c r="O35" s="29">
        <f t="shared" si="1"/>
        <v>0</v>
      </c>
      <c r="P35" s="29">
        <f t="shared" si="1"/>
        <v>1.4099999999999999</v>
      </c>
      <c r="Q35" s="29">
        <f t="shared" si="1"/>
        <v>8.3900000000000006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20.217499999999998</v>
      </c>
      <c r="C36" s="28">
        <f t="shared" si="2"/>
        <v>74.335833333333341</v>
      </c>
      <c r="D36" s="28">
        <f t="shared" si="2"/>
        <v>57.17499999999999</v>
      </c>
      <c r="E36" s="28">
        <f t="shared" si="2"/>
        <v>0.33333333333333331</v>
      </c>
      <c r="F36" s="28">
        <f t="shared" si="2"/>
        <v>4.373333333333334</v>
      </c>
      <c r="G36" s="28">
        <f t="shared" si="2"/>
        <v>81.674166666666665</v>
      </c>
      <c r="H36" s="28">
        <f t="shared" si="2"/>
        <v>34.982500000000002</v>
      </c>
      <c r="I36" s="28">
        <f t="shared" si="2"/>
        <v>1.5366666666666668</v>
      </c>
      <c r="J36" s="28">
        <f t="shared" si="2"/>
        <v>0.72541666666666671</v>
      </c>
      <c r="K36" s="28">
        <f t="shared" si="2"/>
        <v>291.32125000000002</v>
      </c>
      <c r="L36" s="28">
        <f t="shared" si="2"/>
        <v>23.855833333333337</v>
      </c>
      <c r="M36" s="28">
        <f t="shared" si="2"/>
        <v>70.437916666666666</v>
      </c>
      <c r="N36" s="28">
        <f t="shared" si="2"/>
        <v>265.57499999999999</v>
      </c>
      <c r="O36" s="28">
        <f t="shared" si="2"/>
        <v>0</v>
      </c>
      <c r="P36" s="28">
        <f t="shared" si="2"/>
        <v>0.86041666666666672</v>
      </c>
      <c r="Q36" s="28">
        <f t="shared" si="2"/>
        <v>5.6712499999999979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12.192880406560862</v>
      </c>
      <c r="C37" s="28">
        <f t="shared" si="3" ref="C37:Q37">STDEV(C9:C32)</f>
        <v>7.1883449849870384</v>
      </c>
      <c r="D37" s="28">
        <f t="shared" si="3"/>
        <v>10.078879337290097</v>
      </c>
      <c r="E37" s="28">
        <f t="shared" si="3"/>
        <v>0.22534353805895474</v>
      </c>
      <c r="F37" s="28">
        <f t="shared" si="3"/>
        <v>1.9728365512558321</v>
      </c>
      <c r="G37" s="28">
        <f t="shared" si="3"/>
        <v>28.531719178404973</v>
      </c>
      <c r="H37" s="28">
        <f t="shared" si="3"/>
        <v>9.4944786014316414</v>
      </c>
      <c r="I37" s="28">
        <f t="shared" si="3"/>
        <v>0.034599153880916861</v>
      </c>
      <c r="J37" s="28">
        <f t="shared" si="3"/>
        <v>0.34654793465622169</v>
      </c>
      <c r="K37" s="28">
        <f t="shared" si="3"/>
        <v>108.88146316113085</v>
      </c>
      <c r="L37" s="28">
        <f t="shared" si="3"/>
        <v>4.5606701611539995</v>
      </c>
      <c r="M37" s="28">
        <f t="shared" si="3"/>
        <v>17.901430348284801</v>
      </c>
      <c r="N37" s="28">
        <f t="shared" si="3"/>
        <v>263.7556300656052</v>
      </c>
      <c r="O37" s="28">
        <f t="shared" si="3"/>
        <v>0</v>
      </c>
      <c r="P37" s="28">
        <f t="shared" si="3"/>
        <v>0.30178424724305575</v>
      </c>
      <c r="Q37" s="28">
        <f t="shared" si="3"/>
        <v>1.3759875899971266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320976-4d38-4d56-a308-44cdcef1659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40.10</v>
      </c>
      <c r="C9" s="54">
        <v>66.180000000000007</v>
      </c>
      <c r="D9" s="54">
        <v>69.319999999999993</v>
      </c>
      <c r="E9" s="54">
        <v>0.30</v>
      </c>
      <c r="F9" s="54">
        <v>3.32</v>
      </c>
      <c r="G9" s="54">
        <v>131.01</v>
      </c>
      <c r="H9" s="54">
        <v>53.10</v>
      </c>
      <c r="I9" s="54">
        <v>1.54</v>
      </c>
      <c r="J9" s="54">
        <v>0.22</v>
      </c>
      <c r="K9" s="54">
        <v>221.51</v>
      </c>
      <c r="L9" s="54">
        <v>20.04</v>
      </c>
      <c r="M9" s="54">
        <v>92.42</v>
      </c>
      <c r="N9" s="54">
        <v>36.40</v>
      </c>
      <c r="O9" s="54">
        <v>0</v>
      </c>
      <c r="P9" s="54">
        <v>1.33</v>
      </c>
      <c r="Q9" s="54">
        <v>8.4499999999999993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37.81</v>
      </c>
      <c r="C10" s="54">
        <v>63.62</v>
      </c>
      <c r="D10" s="54">
        <v>65.73</v>
      </c>
      <c r="E10" s="54">
        <v>0.30</v>
      </c>
      <c r="F10" s="54">
        <v>3.58</v>
      </c>
      <c r="G10" s="54">
        <v>128.47</v>
      </c>
      <c r="H10" s="54">
        <v>48.14</v>
      </c>
      <c r="I10" s="54">
        <v>1.58</v>
      </c>
      <c r="J10" s="54">
        <v>0.23</v>
      </c>
      <c r="K10" s="54">
        <v>354.24</v>
      </c>
      <c r="L10" s="54">
        <v>19.260000000000002</v>
      </c>
      <c r="M10" s="54">
        <v>98.70</v>
      </c>
      <c r="N10" s="54">
        <v>36.60</v>
      </c>
      <c r="O10" s="54">
        <v>0</v>
      </c>
      <c r="P10" s="54">
        <v>1.24</v>
      </c>
      <c r="Q10" s="54">
        <v>8.23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37.82</v>
      </c>
      <c r="C11" s="54">
        <v>61.80</v>
      </c>
      <c r="D11" s="54">
        <v>64.95</v>
      </c>
      <c r="E11" s="54">
        <v>0.32</v>
      </c>
      <c r="F11" s="54">
        <v>3.47</v>
      </c>
      <c r="G11" s="54">
        <v>119.93</v>
      </c>
      <c r="H11" s="54">
        <v>52.69</v>
      </c>
      <c r="I11" s="54">
        <v>1.51</v>
      </c>
      <c r="J11" s="54">
        <v>0.57999999999999996</v>
      </c>
      <c r="K11" s="54">
        <v>340.73</v>
      </c>
      <c r="L11" s="54">
        <v>18.579999999999998</v>
      </c>
      <c r="M11" s="54">
        <v>98.70</v>
      </c>
      <c r="N11" s="54">
        <v>37.200000000000003</v>
      </c>
      <c r="O11" s="54">
        <v>0</v>
      </c>
      <c r="P11" s="54">
        <v>1.18</v>
      </c>
      <c r="Q11" s="54">
        <v>7.64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36.700000000000003</v>
      </c>
      <c r="C12" s="54">
        <v>61.30</v>
      </c>
      <c r="D12" s="54">
        <v>63.84</v>
      </c>
      <c r="E12" s="54">
        <v>0.23</v>
      </c>
      <c r="F12" s="54">
        <v>3.36</v>
      </c>
      <c r="G12" s="54">
        <v>137.72</v>
      </c>
      <c r="H12" s="54">
        <v>63.12</v>
      </c>
      <c r="I12" s="54">
        <v>1.54</v>
      </c>
      <c r="J12" s="54">
        <v>0.14000000000000001</v>
      </c>
      <c r="K12" s="54">
        <v>74.23</v>
      </c>
      <c r="L12" s="54">
        <v>18.940000000000001</v>
      </c>
      <c r="M12" s="54">
        <v>96.23</v>
      </c>
      <c r="N12" s="54">
        <v>37.299999999999997</v>
      </c>
      <c r="O12" s="54">
        <v>0</v>
      </c>
      <c r="P12" s="54">
        <v>1.1599999999999999</v>
      </c>
      <c r="Q12" s="54">
        <v>7.58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35.979999999999997</v>
      </c>
      <c r="C13" s="54">
        <v>61.72</v>
      </c>
      <c r="D13" s="54">
        <v>63.10</v>
      </c>
      <c r="E13" s="54">
        <v>0.28000000000000003</v>
      </c>
      <c r="F13" s="54">
        <v>3.51</v>
      </c>
      <c r="G13" s="54">
        <v>137.72</v>
      </c>
      <c r="H13" s="54">
        <v>63.12</v>
      </c>
      <c r="I13" s="54">
        <v>1.56</v>
      </c>
      <c r="J13" s="54">
        <v>0.19</v>
      </c>
      <c r="K13" s="54">
        <v>358.14</v>
      </c>
      <c r="L13" s="54">
        <v>19.09</v>
      </c>
      <c r="M13" s="54">
        <v>83.66</v>
      </c>
      <c r="N13" s="54">
        <v>37.60</v>
      </c>
      <c r="O13" s="54">
        <v>0</v>
      </c>
      <c r="P13" s="54">
        <v>1.1200000000000001</v>
      </c>
      <c r="Q13" s="54">
        <v>7.98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33.46</v>
      </c>
      <c r="C14" s="54">
        <v>61.89</v>
      </c>
      <c r="D14" s="54">
        <v>61.63</v>
      </c>
      <c r="E14" s="54">
        <v>0.27</v>
      </c>
      <c r="F14" s="54">
        <v>3.62</v>
      </c>
      <c r="G14" s="54">
        <v>117.14</v>
      </c>
      <c r="H14" s="54">
        <v>49.93</v>
      </c>
      <c r="I14" s="54">
        <v>1.58</v>
      </c>
      <c r="J14" s="54">
        <v>0.26</v>
      </c>
      <c r="K14" s="54">
        <v>100.67</v>
      </c>
      <c r="L14" s="54">
        <v>18.91</v>
      </c>
      <c r="M14" s="54">
        <v>79.52</v>
      </c>
      <c r="N14" s="54">
        <v>38.40</v>
      </c>
      <c r="O14" s="54">
        <v>0</v>
      </c>
      <c r="P14" s="54">
        <v>1</v>
      </c>
      <c r="Q14" s="54">
        <v>7.96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32.369999999999997</v>
      </c>
      <c r="C15" s="54">
        <v>62.5</v>
      </c>
      <c r="D15" s="54">
        <v>61.07</v>
      </c>
      <c r="E15" s="54">
        <v>0.27</v>
      </c>
      <c r="F15" s="54">
        <v>3.41</v>
      </c>
      <c r="G15" s="54">
        <v>87.64</v>
      </c>
      <c r="H15" s="54">
        <v>40.06</v>
      </c>
      <c r="I15" s="54">
        <v>1.57</v>
      </c>
      <c r="J15" s="54">
        <v>0.46</v>
      </c>
      <c r="K15" s="54">
        <v>338.95</v>
      </c>
      <c r="L15" s="54">
        <v>18.600000000000001</v>
      </c>
      <c r="M15" s="54">
        <v>83.43</v>
      </c>
      <c r="N15" s="54">
        <v>71.70</v>
      </c>
      <c r="O15" s="54">
        <v>0</v>
      </c>
      <c r="P15" s="54">
        <v>0.89</v>
      </c>
      <c r="Q15" s="54">
        <v>7.77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32.020000000000003</v>
      </c>
      <c r="C16" s="54">
        <v>62.84</v>
      </c>
      <c r="D16" s="54">
        <v>60.66</v>
      </c>
      <c r="E16" s="54">
        <v>0.28999999999999998</v>
      </c>
      <c r="F16" s="54">
        <v>3.49</v>
      </c>
      <c r="G16" s="54">
        <v>81.98</v>
      </c>
      <c r="H16" s="54">
        <v>33.79</v>
      </c>
      <c r="I16" s="54">
        <v>1.54</v>
      </c>
      <c r="J16" s="54">
        <v>0.82</v>
      </c>
      <c r="K16" s="54">
        <v>152.99</v>
      </c>
      <c r="L16" s="54">
        <v>20.71</v>
      </c>
      <c r="M16" s="54">
        <v>80.45</v>
      </c>
      <c r="N16" s="54">
        <v>262.89999999999998</v>
      </c>
      <c r="O16" s="54">
        <v>0</v>
      </c>
      <c r="P16" s="54">
        <v>0.80</v>
      </c>
      <c r="Q16" s="54">
        <v>7.54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31.26</v>
      </c>
      <c r="C17" s="54">
        <v>61.95</v>
      </c>
      <c r="D17" s="54">
        <v>59.90</v>
      </c>
      <c r="E17" s="54">
        <v>0.34</v>
      </c>
      <c r="F17" s="54">
        <v>3.73</v>
      </c>
      <c r="G17" s="54">
        <v>76.67</v>
      </c>
      <c r="H17" s="54">
        <v>33.44</v>
      </c>
      <c r="I17" s="54">
        <v>1.51</v>
      </c>
      <c r="J17" s="54">
        <v>1.24</v>
      </c>
      <c r="K17" s="54">
        <v>105</v>
      </c>
      <c r="L17" s="54">
        <v>22.82</v>
      </c>
      <c r="M17" s="54">
        <v>59.47</v>
      </c>
      <c r="N17" s="54">
        <v>420.60</v>
      </c>
      <c r="O17" s="54">
        <v>0</v>
      </c>
      <c r="P17" s="54">
        <v>0.76</v>
      </c>
      <c r="Q17" s="54">
        <v>6.64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27.91</v>
      </c>
      <c r="C18" s="54">
        <v>61.99</v>
      </c>
      <c r="D18" s="54">
        <v>56.76</v>
      </c>
      <c r="E18" s="54">
        <v>0.33</v>
      </c>
      <c r="F18" s="54">
        <v>3.61</v>
      </c>
      <c r="G18" s="54">
        <v>67.97</v>
      </c>
      <c r="H18" s="54">
        <v>28.55</v>
      </c>
      <c r="I18" s="54">
        <v>1.62</v>
      </c>
      <c r="J18" s="54">
        <v>0.89</v>
      </c>
      <c r="K18" s="54">
        <v>111.52</v>
      </c>
      <c r="L18" s="54">
        <v>26.12</v>
      </c>
      <c r="M18" s="54">
        <v>50.46</v>
      </c>
      <c r="N18" s="54">
        <v>591.40</v>
      </c>
      <c r="O18" s="54">
        <v>0</v>
      </c>
      <c r="P18" s="54">
        <v>0.70</v>
      </c>
      <c r="Q18" s="54">
        <v>5.83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25.38</v>
      </c>
      <c r="C19" s="54">
        <v>89.36</v>
      </c>
      <c r="D19" s="54">
        <v>62.66</v>
      </c>
      <c r="E19" s="54">
        <v>0.35</v>
      </c>
      <c r="F19" s="54">
        <v>4.59</v>
      </c>
      <c r="G19" s="54">
        <v>63.60</v>
      </c>
      <c r="H19" s="54">
        <v>28.55</v>
      </c>
      <c r="I19" s="54">
        <v>1.54</v>
      </c>
      <c r="J19" s="54">
        <v>0.74</v>
      </c>
      <c r="K19" s="54">
        <v>355.72</v>
      </c>
      <c r="L19" s="54">
        <v>32.520000000000003</v>
      </c>
      <c r="M19" s="54">
        <v>43.97</v>
      </c>
      <c r="N19" s="54">
        <v>702.40</v>
      </c>
      <c r="O19" s="54">
        <v>0</v>
      </c>
      <c r="P19" s="54">
        <v>0.79</v>
      </c>
      <c r="Q19" s="54">
        <v>7.56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9.75</v>
      </c>
      <c r="C20" s="54">
        <v>86.35</v>
      </c>
      <c r="D20" s="54">
        <v>56.12</v>
      </c>
      <c r="E20" s="54">
        <v>0.28999999999999998</v>
      </c>
      <c r="F20" s="54">
        <v>5.64</v>
      </c>
      <c r="G20" s="54">
        <v>60.77</v>
      </c>
      <c r="H20" s="54">
        <v>27.81</v>
      </c>
      <c r="I20" s="54">
        <v>1.5</v>
      </c>
      <c r="J20" s="54">
        <v>0.91</v>
      </c>
      <c r="K20" s="54">
        <v>336.79</v>
      </c>
      <c r="L20" s="54">
        <v>31.76</v>
      </c>
      <c r="M20" s="54">
        <v>36.659999999999997</v>
      </c>
      <c r="N20" s="54">
        <v>751</v>
      </c>
      <c r="O20" s="54">
        <v>0</v>
      </c>
      <c r="P20" s="54">
        <v>0.76</v>
      </c>
      <c r="Q20" s="54">
        <v>6.75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3.46</v>
      </c>
      <c r="C21" s="54">
        <v>74.31</v>
      </c>
      <c r="D21" s="54">
        <v>44.43</v>
      </c>
      <c r="E21" s="54">
        <v>0.23</v>
      </c>
      <c r="F21" s="54">
        <v>9.43</v>
      </c>
      <c r="G21" s="54">
        <v>74.37</v>
      </c>
      <c r="H21" s="54">
        <v>28.06</v>
      </c>
      <c r="I21" s="54">
        <v>1.56</v>
      </c>
      <c r="J21" s="54">
        <v>0.70</v>
      </c>
      <c r="K21" s="54">
        <v>331.59</v>
      </c>
      <c r="L21" s="54">
        <v>32.49</v>
      </c>
      <c r="M21" s="54">
        <v>37.03</v>
      </c>
      <c r="N21" s="54">
        <v>757.30</v>
      </c>
      <c r="O21" s="54">
        <v>0</v>
      </c>
      <c r="P21" s="54">
        <v>0.66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2.23</v>
      </c>
      <c r="C22" s="54">
        <v>63.78</v>
      </c>
      <c r="D22" s="54">
        <v>37.630000000000003</v>
      </c>
      <c r="E22" s="54">
        <v>0.41</v>
      </c>
      <c r="F22" s="54">
        <v>10.42</v>
      </c>
      <c r="G22" s="54">
        <v>74.37</v>
      </c>
      <c r="H22" s="54">
        <v>29.05</v>
      </c>
      <c r="I22" s="54">
        <v>1.59</v>
      </c>
      <c r="J22" s="54">
        <v>1.96</v>
      </c>
      <c r="K22" s="54">
        <v>164.97</v>
      </c>
      <c r="L22" s="54">
        <v>30.15</v>
      </c>
      <c r="M22" s="54">
        <v>39.26</v>
      </c>
      <c r="N22" s="54">
        <v>709.60</v>
      </c>
      <c r="O22" s="54">
        <v>0</v>
      </c>
      <c r="P22" s="54">
        <v>0.56999999999999995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2.60</v>
      </c>
      <c r="C23" s="54">
        <v>63.81</v>
      </c>
      <c r="D23" s="54">
        <v>37.17</v>
      </c>
      <c r="E23" s="54">
        <v>0.62</v>
      </c>
      <c r="F23" s="54">
        <v>34.92</v>
      </c>
      <c r="G23" s="54">
        <v>70.59</v>
      </c>
      <c r="H23" s="54">
        <v>29.05</v>
      </c>
      <c r="I23" s="54">
        <v>1.51</v>
      </c>
      <c r="J23" s="54">
        <v>0.95</v>
      </c>
      <c r="K23" s="54">
        <v>327.08999999999997</v>
      </c>
      <c r="L23" s="54">
        <v>30.90</v>
      </c>
      <c r="M23" s="54">
        <v>36.950000000000003</v>
      </c>
      <c r="N23" s="54">
        <v>599.5</v>
      </c>
      <c r="O23" s="54">
        <v>0</v>
      </c>
      <c r="P23" s="54">
        <v>0.57999999999999996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1.46</v>
      </c>
      <c r="C24" s="54">
        <v>58</v>
      </c>
      <c r="D24" s="54">
        <v>33.83</v>
      </c>
      <c r="E24" s="54">
        <v>1.23</v>
      </c>
      <c r="F24" s="54">
        <v>46.43</v>
      </c>
      <c r="G24" s="54">
        <v>68.08</v>
      </c>
      <c r="H24" s="54">
        <v>28.39</v>
      </c>
      <c r="I24" s="54">
        <v>1.52</v>
      </c>
      <c r="J24" s="54">
        <v>0.60</v>
      </c>
      <c r="K24" s="54">
        <v>320.75</v>
      </c>
      <c r="L24" s="54">
        <v>29.68</v>
      </c>
      <c r="M24" s="54">
        <v>28.26</v>
      </c>
      <c r="N24" s="54">
        <v>243</v>
      </c>
      <c r="O24" s="54">
        <v>0</v>
      </c>
      <c r="P24" s="54">
        <v>0.65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2.0499999999999998</v>
      </c>
      <c r="C25" s="54">
        <v>54.15</v>
      </c>
      <c r="D25" s="54">
        <v>32.03</v>
      </c>
      <c r="E25" s="54">
        <v>0.35</v>
      </c>
      <c r="F25" s="54">
        <v>27.52</v>
      </c>
      <c r="G25" s="54">
        <v>45.61</v>
      </c>
      <c r="H25" s="54">
        <v>23.79</v>
      </c>
      <c r="I25" s="54">
        <v>1.57</v>
      </c>
      <c r="J25" s="54">
        <v>0.61</v>
      </c>
      <c r="K25" s="54">
        <v>329.10</v>
      </c>
      <c r="L25" s="54">
        <v>29.44</v>
      </c>
      <c r="M25" s="54">
        <v>29.38</v>
      </c>
      <c r="N25" s="54">
        <v>162.90</v>
      </c>
      <c r="O25" s="54">
        <v>0</v>
      </c>
      <c r="P25" s="54">
        <v>0.45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5.73</v>
      </c>
      <c r="C26" s="54">
        <v>55.72</v>
      </c>
      <c r="D26" s="54">
        <v>35.99</v>
      </c>
      <c r="E26" s="54">
        <v>0.24</v>
      </c>
      <c r="F26" s="54">
        <v>5.43</v>
      </c>
      <c r="G26" s="54">
        <v>61.48</v>
      </c>
      <c r="H26" s="54">
        <v>21.44</v>
      </c>
      <c r="I26" s="54">
        <v>1.52</v>
      </c>
      <c r="J26" s="54">
        <v>0.45</v>
      </c>
      <c r="K26" s="54">
        <v>314.41000000000003</v>
      </c>
      <c r="L26" s="54">
        <v>27.86</v>
      </c>
      <c r="M26" s="54">
        <v>37.18</v>
      </c>
      <c r="N26" s="54">
        <v>66.20</v>
      </c>
      <c r="O26" s="54">
        <v>0</v>
      </c>
      <c r="P26" s="54">
        <v>0.68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18.87</v>
      </c>
      <c r="C27" s="54">
        <v>58.23</v>
      </c>
      <c r="D27" s="54">
        <v>47.91</v>
      </c>
      <c r="E27" s="54">
        <v>0.20</v>
      </c>
      <c r="F27" s="54">
        <v>3.20</v>
      </c>
      <c r="G27" s="54">
        <v>77.06</v>
      </c>
      <c r="H27" s="54">
        <v>24.85</v>
      </c>
      <c r="I27" s="54">
        <v>1.59</v>
      </c>
      <c r="J27" s="54">
        <v>0.20</v>
      </c>
      <c r="K27" s="54">
        <v>331.25</v>
      </c>
      <c r="L27" s="54">
        <v>24.99</v>
      </c>
      <c r="M27" s="54">
        <v>53.93</v>
      </c>
      <c r="N27" s="54">
        <v>23.40</v>
      </c>
      <c r="O27" s="54">
        <v>0</v>
      </c>
      <c r="P27" s="54">
        <v>1.17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40.799999999999997</v>
      </c>
      <c r="C28" s="54">
        <v>60.01</v>
      </c>
      <c r="D28" s="54">
        <v>66.430000000000007</v>
      </c>
      <c r="E28" s="54">
        <v>0.27</v>
      </c>
      <c r="F28" s="54">
        <v>3.31</v>
      </c>
      <c r="G28" s="54">
        <v>158.80000000000001</v>
      </c>
      <c r="H28" s="54">
        <v>32.22</v>
      </c>
      <c r="I28" s="54">
        <v>1.54</v>
      </c>
      <c r="J28" s="54">
        <v>0.10</v>
      </c>
      <c r="K28" s="54">
        <v>332.75</v>
      </c>
      <c r="L28" s="54">
        <v>22.95</v>
      </c>
      <c r="M28" s="54">
        <v>58.93</v>
      </c>
      <c r="N28" s="54">
        <v>23.10</v>
      </c>
      <c r="O28" s="54">
        <v>0</v>
      </c>
      <c r="P28" s="54">
        <v>1.43</v>
      </c>
      <c r="Q28" s="54">
        <v>7.26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48.77</v>
      </c>
      <c r="C29" s="54">
        <v>59.67</v>
      </c>
      <c r="D29" s="54">
        <v>72.349999999999994</v>
      </c>
      <c r="E29" s="54">
        <v>0.30</v>
      </c>
      <c r="F29" s="54">
        <v>3.44</v>
      </c>
      <c r="G29" s="54">
        <v>158.80000000000001</v>
      </c>
      <c r="H29" s="54">
        <v>36.31</v>
      </c>
      <c r="I29" s="54">
        <v>1.5</v>
      </c>
      <c r="J29" s="54">
        <v>0.33</v>
      </c>
      <c r="K29" s="54">
        <v>358.40</v>
      </c>
      <c r="L29" s="54">
        <v>22.59</v>
      </c>
      <c r="M29" s="54">
        <v>55.85</v>
      </c>
      <c r="N29" s="54">
        <v>22.70</v>
      </c>
      <c r="O29" s="54">
        <v>0</v>
      </c>
      <c r="P29" s="54">
        <v>1.49</v>
      </c>
      <c r="Q29" s="54">
        <v>8.1999999999999993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50.10</v>
      </c>
      <c r="C30" s="54">
        <v>58.83</v>
      </c>
      <c r="D30" s="54">
        <v>73.099999999999994</v>
      </c>
      <c r="E30" s="54">
        <v>0.27</v>
      </c>
      <c r="F30" s="54">
        <v>3.10</v>
      </c>
      <c r="G30" s="54">
        <v>102.66</v>
      </c>
      <c r="H30" s="54">
        <v>36.31</v>
      </c>
      <c r="I30" s="54">
        <v>1.58</v>
      </c>
      <c r="J30" s="54">
        <v>0.40</v>
      </c>
      <c r="K30" s="54">
        <v>351.62</v>
      </c>
      <c r="L30" s="54">
        <v>22.31</v>
      </c>
      <c r="M30" s="54">
        <v>62.24</v>
      </c>
      <c r="N30" s="54">
        <v>23.20</v>
      </c>
      <c r="O30" s="54">
        <v>0</v>
      </c>
      <c r="P30" s="54">
        <v>1.47</v>
      </c>
      <c r="Q30" s="54">
        <v>8.41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49.70</v>
      </c>
      <c r="C31" s="54">
        <v>57.33</v>
      </c>
      <c r="D31" s="54">
        <v>71.56</v>
      </c>
      <c r="E31" s="54">
        <v>0.28999999999999998</v>
      </c>
      <c r="F31" s="54">
        <v>3.34</v>
      </c>
      <c r="G31" s="54">
        <v>98.04</v>
      </c>
      <c r="H31" s="54">
        <v>36.10</v>
      </c>
      <c r="I31" s="54">
        <v>1.56</v>
      </c>
      <c r="J31" s="54">
        <v>0.11</v>
      </c>
      <c r="K31" s="54">
        <v>293.72000000000003</v>
      </c>
      <c r="L31" s="54">
        <v>21.71</v>
      </c>
      <c r="M31" s="54">
        <v>69.849999999999994</v>
      </c>
      <c r="N31" s="54">
        <v>23.40</v>
      </c>
      <c r="O31" s="54">
        <v>0</v>
      </c>
      <c r="P31" s="54">
        <v>1.42</v>
      </c>
      <c r="Q31" s="54">
        <v>8.3699999999999992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51.37</v>
      </c>
      <c r="C32" s="54">
        <v>55.22</v>
      </c>
      <c r="D32" s="54">
        <v>71.760000000000005</v>
      </c>
      <c r="E32" s="54">
        <v>0.28999999999999998</v>
      </c>
      <c r="F32" s="54">
        <v>3.33</v>
      </c>
      <c r="G32" s="54">
        <v>93.30</v>
      </c>
      <c r="H32" s="54">
        <v>35.22</v>
      </c>
      <c r="I32" s="54">
        <v>1.53</v>
      </c>
      <c r="J32" s="54">
        <v>0.09</v>
      </c>
      <c r="K32" s="54">
        <v>307.38</v>
      </c>
      <c r="L32" s="54">
        <v>20.58</v>
      </c>
      <c r="M32" s="54">
        <v>76.010000000000005</v>
      </c>
      <c r="N32" s="54">
        <v>23.10</v>
      </c>
      <c r="O32" s="54">
        <v>0</v>
      </c>
      <c r="P32" s="54">
        <v>1.38</v>
      </c>
      <c r="Q32" s="54">
        <v>8.4600000000000009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1.46</v>
      </c>
      <c r="C34" s="28">
        <f t="shared" si="0"/>
        <v>54.149999999999999</v>
      </c>
      <c r="D34" s="28">
        <f t="shared" si="0"/>
        <v>32.030000000000001</v>
      </c>
      <c r="E34" s="28">
        <f t="shared" si="0"/>
        <v>0.20000000000000001</v>
      </c>
      <c r="F34" s="28">
        <f t="shared" si="0"/>
        <v>3.1000000000000001</v>
      </c>
      <c r="G34" s="28">
        <f t="shared" si="0"/>
        <v>45.609999999999999</v>
      </c>
      <c r="H34" s="28">
        <f t="shared" si="0"/>
        <v>21.440000000000001</v>
      </c>
      <c r="I34" s="28">
        <f t="shared" si="0"/>
        <v>1.5</v>
      </c>
      <c r="J34" s="28">
        <f t="shared" si="0"/>
        <v>0.089999999999999997</v>
      </c>
      <c r="K34" s="28">
        <f t="shared" si="0"/>
        <v>74.230000000000004</v>
      </c>
      <c r="L34" s="28">
        <f t="shared" si="0"/>
        <v>18.579999999999998</v>
      </c>
      <c r="M34" s="28">
        <f t="shared" si="0"/>
        <v>28.260000000000002</v>
      </c>
      <c r="N34" s="28">
        <f t="shared" si="0"/>
        <v>22.699999999999999</v>
      </c>
      <c r="O34" s="28">
        <f t="shared" si="0"/>
        <v>0</v>
      </c>
      <c r="P34" s="28">
        <f t="shared" si="0"/>
        <v>0.45000000000000001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51.369999999999997</v>
      </c>
      <c r="C35" s="29">
        <f t="shared" si="1"/>
        <v>89.359999999999999</v>
      </c>
      <c r="D35" s="29">
        <f t="shared" si="1"/>
        <v>73.099999999999994</v>
      </c>
      <c r="E35" s="29">
        <f t="shared" si="1"/>
        <v>1.23</v>
      </c>
      <c r="F35" s="29">
        <f t="shared" si="1"/>
        <v>46.43</v>
      </c>
      <c r="G35" s="29">
        <f t="shared" si="1"/>
        <v>158.80000000000001</v>
      </c>
      <c r="H35" s="29">
        <f t="shared" si="1"/>
        <v>63.119999999999997</v>
      </c>
      <c r="I35" s="29">
        <f t="shared" si="1"/>
        <v>1.6200000000000001</v>
      </c>
      <c r="J35" s="29">
        <f t="shared" si="1"/>
        <v>1.96</v>
      </c>
      <c r="K35" s="29">
        <f t="shared" si="1"/>
        <v>358.39999999999998</v>
      </c>
      <c r="L35" s="29">
        <f t="shared" si="1"/>
        <v>32.520000000000003</v>
      </c>
      <c r="M35" s="29">
        <f t="shared" si="1"/>
        <v>98.700000000000003</v>
      </c>
      <c r="N35" s="29">
        <f t="shared" si="1"/>
        <v>757.29999999999995</v>
      </c>
      <c r="O35" s="29">
        <f t="shared" si="1"/>
        <v>0</v>
      </c>
      <c r="P35" s="29">
        <f t="shared" si="1"/>
        <v>1.49</v>
      </c>
      <c r="Q35" s="29">
        <f t="shared" si="1"/>
        <v>8.4600000000000009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27.404166666666669</v>
      </c>
      <c r="C36" s="28">
        <f t="shared" si="2"/>
        <v>63.356666666666676</v>
      </c>
      <c r="D36" s="28">
        <f t="shared" si="2"/>
        <v>57.08041666666665</v>
      </c>
      <c r="E36" s="28">
        <f t="shared" si="2"/>
        <v>0.34458333333333341</v>
      </c>
      <c r="F36" s="28">
        <f t="shared" si="2"/>
        <v>8.3000000000000007</v>
      </c>
      <c r="G36" s="28">
        <f t="shared" si="2"/>
        <v>95.574166666666642</v>
      </c>
      <c r="H36" s="28">
        <f t="shared" si="2"/>
        <v>36.795416666666668</v>
      </c>
      <c r="I36" s="28">
        <f t="shared" si="2"/>
        <v>1.5483333333333331</v>
      </c>
      <c r="J36" s="28">
        <f t="shared" si="2"/>
        <v>0.54916666666666647</v>
      </c>
      <c r="K36" s="28">
        <f t="shared" si="2"/>
        <v>275.56333333333333</v>
      </c>
      <c r="L36" s="28">
        <f t="shared" si="2"/>
        <v>24.291666666666668</v>
      </c>
      <c r="M36" s="28">
        <f t="shared" si="2"/>
        <v>62.022500000000015</v>
      </c>
      <c r="N36" s="28">
        <f t="shared" si="2"/>
        <v>237.53749999999999</v>
      </c>
      <c r="O36" s="28">
        <f t="shared" si="2"/>
        <v>0</v>
      </c>
      <c r="P36" s="28">
        <f t="shared" si="2"/>
        <v>0.98666666666666647</v>
      </c>
      <c r="Q36" s="28">
        <f t="shared" si="2"/>
        <v>6.9624999999999977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17.263681635826934</v>
      </c>
      <c r="C37" s="28">
        <f t="shared" si="3" ref="C37:Q37">STDEV(C9:C32)</f>
        <v>8.5857924435696873</v>
      </c>
      <c r="D37" s="28">
        <f t="shared" si="3"/>
        <v>13.338650110688304</v>
      </c>
      <c r="E37" s="28">
        <f t="shared" si="3"/>
        <v>0.20508702641999821</v>
      </c>
      <c r="F37" s="28">
        <f t="shared" si="3"/>
        <v>11.31992625571309</v>
      </c>
      <c r="G37" s="28">
        <f t="shared" si="3"/>
        <v>32.894366230559179</v>
      </c>
      <c r="H37" s="28">
        <f t="shared" si="3"/>
        <v>11.964180590836333</v>
      </c>
      <c r="I37" s="28">
        <f t="shared" si="3"/>
        <v>0.032526466369600548</v>
      </c>
      <c r="J37" s="28">
        <f t="shared" si="3"/>
        <v>0.43838554271094654</v>
      </c>
      <c r="K37" s="28">
        <f t="shared" si="3"/>
        <v>98.094870036797914</v>
      </c>
      <c r="L37" s="28">
        <f t="shared" si="3"/>
        <v>5.0126714795923668</v>
      </c>
      <c r="M37" s="28">
        <f t="shared" si="3"/>
        <v>23.247522027837324</v>
      </c>
      <c r="N37" s="28">
        <f t="shared" si="3"/>
        <v>283.00040223123978</v>
      </c>
      <c r="O37" s="28">
        <f t="shared" si="3"/>
        <v>0</v>
      </c>
      <c r="P37" s="28">
        <f t="shared" si="3"/>
        <v>0.33205115722504697</v>
      </c>
      <c r="Q37" s="28">
        <f t="shared" si="3"/>
        <v>1.3005291565192041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03513d-3cfb-457d-a2a7-c5e68aefbea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0" sqref="G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53.82</v>
      </c>
      <c r="C9" s="54">
        <v>53.55</v>
      </c>
      <c r="D9" s="54">
        <v>72.98</v>
      </c>
      <c r="E9" s="54">
        <v>0.23</v>
      </c>
      <c r="F9" s="54">
        <v>3.12</v>
      </c>
      <c r="G9" s="54">
        <v>97.26</v>
      </c>
      <c r="H9" s="54">
        <v>35.22</v>
      </c>
      <c r="I9" s="54">
        <v>1.49</v>
      </c>
      <c r="J9" s="54">
        <v>0.14000000000000001</v>
      </c>
      <c r="K9" s="54">
        <v>348.53</v>
      </c>
      <c r="L9" s="54">
        <v>20.63</v>
      </c>
      <c r="M9" s="54">
        <v>79.58</v>
      </c>
      <c r="N9" s="54">
        <v>23</v>
      </c>
      <c r="O9" s="54">
        <v>0</v>
      </c>
      <c r="P9" s="54">
        <v>1.34</v>
      </c>
      <c r="Q9" s="54">
        <v>8.59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53.57</v>
      </c>
      <c r="C10" s="54">
        <v>51.67</v>
      </c>
      <c r="D10" s="54">
        <v>72.12</v>
      </c>
      <c r="E10" s="54">
        <v>0.26</v>
      </c>
      <c r="F10" s="54">
        <v>3.26</v>
      </c>
      <c r="G10" s="54">
        <v>97.26</v>
      </c>
      <c r="H10" s="54">
        <v>33.24</v>
      </c>
      <c r="I10" s="54">
        <v>1.56</v>
      </c>
      <c r="J10" s="54">
        <v>0.42</v>
      </c>
      <c r="K10" s="54">
        <v>243.93</v>
      </c>
      <c r="L10" s="54">
        <v>20.83</v>
      </c>
      <c r="M10" s="54">
        <v>75.819999999999993</v>
      </c>
      <c r="N10" s="54">
        <v>23.20</v>
      </c>
      <c r="O10" s="54">
        <v>0</v>
      </c>
      <c r="P10" s="54">
        <v>1.22</v>
      </c>
      <c r="Q10" s="54">
        <v>8.60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48.81</v>
      </c>
      <c r="C11" s="54">
        <v>49.77</v>
      </c>
      <c r="D11" s="54">
        <v>67.25</v>
      </c>
      <c r="E11" s="54">
        <v>0.22</v>
      </c>
      <c r="F11" s="54">
        <v>3.37</v>
      </c>
      <c r="G11" s="54">
        <v>75</v>
      </c>
      <c r="H11" s="54">
        <v>32.770000000000003</v>
      </c>
      <c r="I11" s="54">
        <v>1.55</v>
      </c>
      <c r="J11" s="54">
        <v>0.45</v>
      </c>
      <c r="K11" s="54">
        <v>190.01</v>
      </c>
      <c r="L11" s="54">
        <v>20.27</v>
      </c>
      <c r="M11" s="54">
        <v>79.819999999999993</v>
      </c>
      <c r="N11" s="54">
        <v>23.40</v>
      </c>
      <c r="O11" s="54">
        <v>0</v>
      </c>
      <c r="P11" s="54">
        <v>1.17</v>
      </c>
      <c r="Q11" s="54">
        <v>8.25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44.52</v>
      </c>
      <c r="C12" s="54">
        <v>48.54</v>
      </c>
      <c r="D12" s="54">
        <v>63.14</v>
      </c>
      <c r="E12" s="54">
        <v>0.24</v>
      </c>
      <c r="F12" s="54">
        <v>3.25</v>
      </c>
      <c r="G12" s="54">
        <v>79.260000000000005</v>
      </c>
      <c r="H12" s="54">
        <v>31.51</v>
      </c>
      <c r="I12" s="54">
        <v>1.55</v>
      </c>
      <c r="J12" s="54">
        <v>0.11</v>
      </c>
      <c r="K12" s="54">
        <v>328.45</v>
      </c>
      <c r="L12" s="54">
        <v>19.37</v>
      </c>
      <c r="M12" s="54">
        <v>86.81</v>
      </c>
      <c r="N12" s="54">
        <v>23.20</v>
      </c>
      <c r="O12" s="54">
        <v>0</v>
      </c>
      <c r="P12" s="54">
        <v>1.1000000000000001</v>
      </c>
      <c r="Q12" s="54">
        <v>7.90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42.13</v>
      </c>
      <c r="C13" s="54">
        <v>47.71</v>
      </c>
      <c r="D13" s="54">
        <v>60.72</v>
      </c>
      <c r="E13" s="54">
        <v>0.25</v>
      </c>
      <c r="F13" s="54">
        <v>3.70</v>
      </c>
      <c r="G13" s="54">
        <v>79.260000000000005</v>
      </c>
      <c r="H13" s="54">
        <v>31.51</v>
      </c>
      <c r="I13" s="54">
        <v>1.52</v>
      </c>
      <c r="J13" s="54">
        <v>0.35</v>
      </c>
      <c r="K13" s="54">
        <v>205.73</v>
      </c>
      <c r="L13" s="54">
        <v>19.440000000000001</v>
      </c>
      <c r="M13" s="54">
        <v>84.39</v>
      </c>
      <c r="N13" s="54">
        <v>23.30</v>
      </c>
      <c r="O13" s="54">
        <v>0</v>
      </c>
      <c r="P13" s="54">
        <v>1.04</v>
      </c>
      <c r="Q13" s="54">
        <v>7.70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38.28</v>
      </c>
      <c r="C14" s="54">
        <v>47.25</v>
      </c>
      <c r="D14" s="54">
        <v>57.30</v>
      </c>
      <c r="E14" s="54">
        <v>0.31</v>
      </c>
      <c r="F14" s="54">
        <v>3.78</v>
      </c>
      <c r="G14" s="54">
        <v>78.58</v>
      </c>
      <c r="H14" s="54">
        <v>31.09</v>
      </c>
      <c r="I14" s="54">
        <v>1.53</v>
      </c>
      <c r="J14" s="54">
        <v>0.16</v>
      </c>
      <c r="K14" s="54">
        <v>226.66</v>
      </c>
      <c r="L14" s="54">
        <v>19.260000000000002</v>
      </c>
      <c r="M14" s="54">
        <v>87.15</v>
      </c>
      <c r="N14" s="54">
        <v>23.30</v>
      </c>
      <c r="O14" s="54">
        <v>0</v>
      </c>
      <c r="P14" s="54">
        <v>0.98</v>
      </c>
      <c r="Q14" s="54">
        <v>7.44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42.13</v>
      </c>
      <c r="C15" s="54">
        <v>48.08</v>
      </c>
      <c r="D15" s="54">
        <v>60.76</v>
      </c>
      <c r="E15" s="54">
        <v>0.28000000000000003</v>
      </c>
      <c r="F15" s="54">
        <v>3.39</v>
      </c>
      <c r="G15" s="54">
        <v>82.18</v>
      </c>
      <c r="H15" s="54">
        <v>31.96</v>
      </c>
      <c r="I15" s="54">
        <v>1.51</v>
      </c>
      <c r="J15" s="54">
        <v>0.22</v>
      </c>
      <c r="K15" s="54">
        <v>217.93</v>
      </c>
      <c r="L15" s="54">
        <v>19.73</v>
      </c>
      <c r="M15" s="54">
        <v>84.90</v>
      </c>
      <c r="N15" s="54">
        <v>44.40</v>
      </c>
      <c r="O15" s="54">
        <v>0</v>
      </c>
      <c r="P15" s="54">
        <v>0.94</v>
      </c>
      <c r="Q15" s="54">
        <v>7.59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42.32</v>
      </c>
      <c r="C16" s="54">
        <v>48.45</v>
      </c>
      <c r="D16" s="54">
        <v>60.83</v>
      </c>
      <c r="E16" s="54">
        <v>0.35</v>
      </c>
      <c r="F16" s="54">
        <v>3.33</v>
      </c>
      <c r="G16" s="54">
        <v>84.90</v>
      </c>
      <c r="H16" s="54">
        <v>34.44</v>
      </c>
      <c r="I16" s="54">
        <v>1.55</v>
      </c>
      <c r="J16" s="54">
        <v>0.45</v>
      </c>
      <c r="K16" s="54">
        <v>174.47</v>
      </c>
      <c r="L16" s="54">
        <v>20.420000000000002</v>
      </c>
      <c r="M16" s="54">
        <v>80.23</v>
      </c>
      <c r="N16" s="54">
        <v>152.60</v>
      </c>
      <c r="O16" s="54">
        <v>0</v>
      </c>
      <c r="P16" s="54">
        <v>0.95</v>
      </c>
      <c r="Q16" s="54">
        <v>7.63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38.82</v>
      </c>
      <c r="C17" s="54">
        <v>49.47</v>
      </c>
      <c r="D17" s="54">
        <v>58.46</v>
      </c>
      <c r="E17" s="54">
        <v>0.19</v>
      </c>
      <c r="F17" s="54">
        <v>3.52</v>
      </c>
      <c r="G17" s="54">
        <v>84.90</v>
      </c>
      <c r="H17" s="54">
        <v>34.44</v>
      </c>
      <c r="I17" s="54">
        <v>1.56</v>
      </c>
      <c r="J17" s="54">
        <v>0.73</v>
      </c>
      <c r="K17" s="54">
        <v>170.61</v>
      </c>
      <c r="L17" s="54">
        <v>21.23</v>
      </c>
      <c r="M17" s="54">
        <v>76.58</v>
      </c>
      <c r="N17" s="54">
        <v>233.20</v>
      </c>
      <c r="O17" s="54">
        <v>0</v>
      </c>
      <c r="P17" s="54">
        <v>0.93</v>
      </c>
      <c r="Q17" s="54">
        <v>7.60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30.72</v>
      </c>
      <c r="C18" s="54">
        <v>51.47</v>
      </c>
      <c r="D18" s="54">
        <v>52.63</v>
      </c>
      <c r="E18" s="54">
        <v>0.18</v>
      </c>
      <c r="F18" s="54">
        <v>3.36</v>
      </c>
      <c r="G18" s="54">
        <v>71.92</v>
      </c>
      <c r="H18" s="54">
        <v>32.450000000000003</v>
      </c>
      <c r="I18" s="54">
        <v>1.51</v>
      </c>
      <c r="J18" s="54">
        <v>1</v>
      </c>
      <c r="K18" s="54">
        <v>342.76</v>
      </c>
      <c r="L18" s="54">
        <v>26.18</v>
      </c>
      <c r="M18" s="54">
        <v>72.099999999999994</v>
      </c>
      <c r="N18" s="54">
        <v>476</v>
      </c>
      <c r="O18" s="54">
        <v>0</v>
      </c>
      <c r="P18" s="54">
        <v>0.87</v>
      </c>
      <c r="Q18" s="54">
        <v>7.08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22.59</v>
      </c>
      <c r="C19" s="54">
        <v>57.03</v>
      </c>
      <c r="D19" s="54">
        <v>48.07</v>
      </c>
      <c r="E19" s="54">
        <v>0.18</v>
      </c>
      <c r="F19" s="54">
        <v>4.92</v>
      </c>
      <c r="G19" s="54">
        <v>84.27</v>
      </c>
      <c r="H19" s="54">
        <v>33.31</v>
      </c>
      <c r="I19" s="54">
        <v>1.5</v>
      </c>
      <c r="J19" s="54">
        <v>0.56999999999999995</v>
      </c>
      <c r="K19" s="54">
        <v>347</v>
      </c>
      <c r="L19" s="54">
        <v>30.52</v>
      </c>
      <c r="M19" s="54">
        <v>48.83</v>
      </c>
      <c r="N19" s="54">
        <v>573.79999999999995</v>
      </c>
      <c r="O19" s="54">
        <v>0</v>
      </c>
      <c r="P19" s="54">
        <v>0.88</v>
      </c>
      <c r="Q19" s="54">
        <v>5.55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6.66</v>
      </c>
      <c r="C20" s="54">
        <v>70.02</v>
      </c>
      <c r="D20" s="54">
        <v>44.63</v>
      </c>
      <c r="E20" s="54">
        <v>0.56999999999999995</v>
      </c>
      <c r="F20" s="54">
        <v>32.82</v>
      </c>
      <c r="G20" s="54">
        <v>85.42</v>
      </c>
      <c r="H20" s="54">
        <v>36.83</v>
      </c>
      <c r="I20" s="54">
        <v>1.60</v>
      </c>
      <c r="J20" s="54">
        <v>0.97</v>
      </c>
      <c r="K20" s="54">
        <v>323.63</v>
      </c>
      <c r="L20" s="54">
        <v>30.06</v>
      </c>
      <c r="M20" s="54">
        <v>43.61</v>
      </c>
      <c r="N20" s="54">
        <v>708.60</v>
      </c>
      <c r="O20" s="54">
        <v>0</v>
      </c>
      <c r="P20" s="54">
        <v>0.95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1.30</v>
      </c>
      <c r="C21" s="54">
        <v>55.51</v>
      </c>
      <c r="D21" s="54">
        <v>32.32</v>
      </c>
      <c r="E21" s="54">
        <v>0.87</v>
      </c>
      <c r="F21" s="54">
        <v>36.76</v>
      </c>
      <c r="G21" s="54">
        <v>85.42</v>
      </c>
      <c r="H21" s="54">
        <v>36.83</v>
      </c>
      <c r="I21" s="54">
        <v>1.57</v>
      </c>
      <c r="J21" s="54">
        <v>0.74</v>
      </c>
      <c r="K21" s="54">
        <v>337.09</v>
      </c>
      <c r="L21" s="54">
        <v>32.03</v>
      </c>
      <c r="M21" s="54">
        <v>34.57</v>
      </c>
      <c r="N21" s="54">
        <v>769.20</v>
      </c>
      <c r="O21" s="54">
        <v>0</v>
      </c>
      <c r="P21" s="54">
        <v>0.67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1.1399999999999999</v>
      </c>
      <c r="C22" s="54">
        <v>55.19</v>
      </c>
      <c r="D22" s="54">
        <v>32.020000000000003</v>
      </c>
      <c r="E22" s="54">
        <v>2.08</v>
      </c>
      <c r="F22" s="54">
        <v>63.54</v>
      </c>
      <c r="G22" s="54">
        <v>66.72</v>
      </c>
      <c r="H22" s="54">
        <v>38.44</v>
      </c>
      <c r="I22" s="54">
        <v>1.57</v>
      </c>
      <c r="J22" s="54">
        <v>0.27</v>
      </c>
      <c r="K22" s="54">
        <v>316.32</v>
      </c>
      <c r="L22" s="54">
        <v>32.549999999999997</v>
      </c>
      <c r="M22" s="54">
        <v>31.66</v>
      </c>
      <c r="N22" s="54">
        <v>699.30</v>
      </c>
      <c r="O22" s="54">
        <v>0</v>
      </c>
      <c r="P22" s="54">
        <v>0.70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1.05</v>
      </c>
      <c r="C23" s="54">
        <v>41.28</v>
      </c>
      <c r="D23" s="54">
        <v>24.06</v>
      </c>
      <c r="E23" s="54">
        <v>3.66</v>
      </c>
      <c r="F23" s="54">
        <v>73.900000000000006</v>
      </c>
      <c r="G23" s="54">
        <v>59.59</v>
      </c>
      <c r="H23" s="54">
        <v>38.44</v>
      </c>
      <c r="I23" s="54">
        <v>1.59</v>
      </c>
      <c r="J23" s="54">
        <v>0.28000000000000003</v>
      </c>
      <c r="K23" s="54">
        <v>330.81</v>
      </c>
      <c r="L23" s="54">
        <v>31.10</v>
      </c>
      <c r="M23" s="54">
        <v>31.25</v>
      </c>
      <c r="N23" s="54">
        <v>523.60</v>
      </c>
      <c r="O23" s="54">
        <v>0</v>
      </c>
      <c r="P23" s="54">
        <v>0.72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1.97</v>
      </c>
      <c r="C24" s="54">
        <v>37.5</v>
      </c>
      <c r="D24" s="54">
        <v>22.51</v>
      </c>
      <c r="E24" s="54">
        <v>0.93</v>
      </c>
      <c r="F24" s="54">
        <v>55.63</v>
      </c>
      <c r="G24" s="54">
        <v>59.59</v>
      </c>
      <c r="H24" s="54">
        <v>34.49</v>
      </c>
      <c r="I24" s="54">
        <v>1.54</v>
      </c>
      <c r="J24" s="54">
        <v>0.15</v>
      </c>
      <c r="K24" s="54">
        <v>228.82</v>
      </c>
      <c r="L24" s="54">
        <v>29.33</v>
      </c>
      <c r="M24" s="54">
        <v>32.90</v>
      </c>
      <c r="N24" s="54">
        <v>289</v>
      </c>
      <c r="O24" s="54">
        <v>0</v>
      </c>
      <c r="P24" s="54">
        <v>0.73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1.74</v>
      </c>
      <c r="C25" s="54">
        <v>39.909999999999997</v>
      </c>
      <c r="D25" s="54">
        <v>23.49</v>
      </c>
      <c r="E25" s="54">
        <v>1.05</v>
      </c>
      <c r="F25" s="54">
        <v>48.11</v>
      </c>
      <c r="G25" s="54">
        <v>49.21</v>
      </c>
      <c r="H25" s="54">
        <v>32.81</v>
      </c>
      <c r="I25" s="54">
        <v>1.53</v>
      </c>
      <c r="J25" s="54">
        <v>0.21</v>
      </c>
      <c r="K25" s="54">
        <v>339.74</v>
      </c>
      <c r="L25" s="54">
        <v>27.93</v>
      </c>
      <c r="M25" s="54">
        <v>40.229999999999997</v>
      </c>
      <c r="N25" s="54">
        <v>132.5</v>
      </c>
      <c r="O25" s="54">
        <v>0</v>
      </c>
      <c r="P25" s="54">
        <v>0.63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4.45</v>
      </c>
      <c r="C26" s="54">
        <v>33.590000000000003</v>
      </c>
      <c r="D26" s="54">
        <v>21.88</v>
      </c>
      <c r="E26" s="54">
        <v>0.18</v>
      </c>
      <c r="F26" s="54">
        <v>4.70</v>
      </c>
      <c r="G26" s="54">
        <v>60.82</v>
      </c>
      <c r="H26" s="54">
        <v>24.98</v>
      </c>
      <c r="I26" s="54">
        <v>1.54</v>
      </c>
      <c r="J26" s="54">
        <v>0.35</v>
      </c>
      <c r="K26" s="54">
        <v>353.82</v>
      </c>
      <c r="L26" s="54">
        <v>26.64</v>
      </c>
      <c r="M26" s="54">
        <v>51.97</v>
      </c>
      <c r="N26" s="54">
        <v>77.099999999999994</v>
      </c>
      <c r="O26" s="54">
        <v>0</v>
      </c>
      <c r="P26" s="54">
        <v>0.67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9.52</v>
      </c>
      <c r="C27" s="54">
        <v>31.48</v>
      </c>
      <c r="D27" s="54">
        <v>24.63</v>
      </c>
      <c r="E27" s="54">
        <v>0.14000000000000001</v>
      </c>
      <c r="F27" s="54">
        <v>3.48</v>
      </c>
      <c r="G27" s="54">
        <v>71.400000000000006</v>
      </c>
      <c r="H27" s="54">
        <v>26.82</v>
      </c>
      <c r="I27" s="54">
        <v>1.57</v>
      </c>
      <c r="J27" s="54">
        <v>0.12</v>
      </c>
      <c r="K27" s="54">
        <v>338.81</v>
      </c>
      <c r="L27" s="54">
        <v>24.60</v>
      </c>
      <c r="M27" s="54">
        <v>52.80</v>
      </c>
      <c r="N27" s="54">
        <v>21.30</v>
      </c>
      <c r="O27" s="54">
        <v>0</v>
      </c>
      <c r="P27" s="54">
        <v>0.76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35.299999999999997</v>
      </c>
      <c r="C28" s="54">
        <v>30.69</v>
      </c>
      <c r="D28" s="54">
        <v>45.89</v>
      </c>
      <c r="E28" s="54">
        <v>0.17</v>
      </c>
      <c r="F28" s="54">
        <v>3.41</v>
      </c>
      <c r="G28" s="54">
        <v>103.49</v>
      </c>
      <c r="H28" s="54">
        <v>30.49</v>
      </c>
      <c r="I28" s="54">
        <v>1.55</v>
      </c>
      <c r="J28" s="54">
        <v>0.11</v>
      </c>
      <c r="K28" s="54">
        <v>327.85</v>
      </c>
      <c r="L28" s="54">
        <v>22.75</v>
      </c>
      <c r="M28" s="54">
        <v>62.15</v>
      </c>
      <c r="N28" s="54">
        <v>21.10</v>
      </c>
      <c r="O28" s="54">
        <v>0</v>
      </c>
      <c r="P28" s="54">
        <v>1.19</v>
      </c>
      <c r="Q28" s="54">
        <v>5.22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52.77</v>
      </c>
      <c r="C29" s="54">
        <v>34.35</v>
      </c>
      <c r="D29" s="54">
        <v>61.92</v>
      </c>
      <c r="E29" s="54">
        <v>0.26</v>
      </c>
      <c r="F29" s="54">
        <v>3.12</v>
      </c>
      <c r="G29" s="54">
        <v>107.68</v>
      </c>
      <c r="H29" s="54">
        <v>31.46</v>
      </c>
      <c r="I29" s="54">
        <v>1.54</v>
      </c>
      <c r="J29" s="54">
        <v>0.06</v>
      </c>
      <c r="K29" s="54">
        <v>359.75</v>
      </c>
      <c r="L29" s="54">
        <v>22.16</v>
      </c>
      <c r="M29" s="54">
        <v>62.91</v>
      </c>
      <c r="N29" s="54">
        <v>20.90</v>
      </c>
      <c r="O29" s="54">
        <v>0</v>
      </c>
      <c r="P29" s="54">
        <v>1.46</v>
      </c>
      <c r="Q29" s="54">
        <v>6.25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73.900000000000006</v>
      </c>
      <c r="C30" s="54">
        <v>41.02</v>
      </c>
      <c r="D30" s="54">
        <v>82.55</v>
      </c>
      <c r="E30" s="54">
        <v>0.27</v>
      </c>
      <c r="F30" s="54">
        <v>3.12</v>
      </c>
      <c r="G30" s="54">
        <v>119.18</v>
      </c>
      <c r="H30" s="54">
        <v>37.619999999999997</v>
      </c>
      <c r="I30" s="54">
        <v>1.56</v>
      </c>
      <c r="J30" s="54">
        <v>0.25</v>
      </c>
      <c r="K30" s="54">
        <v>198.34</v>
      </c>
      <c r="L30" s="54">
        <v>21.54</v>
      </c>
      <c r="M30" s="54">
        <v>67.37</v>
      </c>
      <c r="N30" s="54">
        <v>20.90</v>
      </c>
      <c r="O30" s="54">
        <v>0</v>
      </c>
      <c r="P30" s="54">
        <v>1.58</v>
      </c>
      <c r="Q30" s="54">
        <v>8.11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80.87</v>
      </c>
      <c r="C31" s="54">
        <v>40.21</v>
      </c>
      <c r="D31" s="54">
        <v>87.21</v>
      </c>
      <c r="E31" s="54">
        <v>0.35</v>
      </c>
      <c r="F31" s="54">
        <v>3.20</v>
      </c>
      <c r="G31" s="54">
        <v>119.18</v>
      </c>
      <c r="H31" s="54">
        <v>37.619999999999997</v>
      </c>
      <c r="I31" s="54">
        <v>1.56</v>
      </c>
      <c r="J31" s="54">
        <v>0.22</v>
      </c>
      <c r="K31" s="54">
        <v>337.29</v>
      </c>
      <c r="L31" s="54">
        <v>21.30</v>
      </c>
      <c r="M31" s="54">
        <v>73.13</v>
      </c>
      <c r="N31" s="54">
        <v>21.10</v>
      </c>
      <c r="O31" s="54">
        <v>0</v>
      </c>
      <c r="P31" s="54">
        <v>1.67</v>
      </c>
      <c r="Q31" s="54">
        <v>8.5299999999999994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87.55</v>
      </c>
      <c r="C32" s="54">
        <v>38.85</v>
      </c>
      <c r="D32" s="54">
        <v>91.86</v>
      </c>
      <c r="E32" s="54">
        <v>0.34</v>
      </c>
      <c r="F32" s="54">
        <v>3.15</v>
      </c>
      <c r="G32" s="54">
        <v>118.73</v>
      </c>
      <c r="H32" s="54">
        <v>37.86</v>
      </c>
      <c r="I32" s="54">
        <v>1.52</v>
      </c>
      <c r="J32" s="54">
        <v>0.18</v>
      </c>
      <c r="K32" s="54">
        <v>344.60</v>
      </c>
      <c r="L32" s="54">
        <v>20.30</v>
      </c>
      <c r="M32" s="54">
        <v>77.819999999999993</v>
      </c>
      <c r="N32" s="54">
        <v>21</v>
      </c>
      <c r="O32" s="54">
        <v>0</v>
      </c>
      <c r="P32" s="54">
        <v>1.69</v>
      </c>
      <c r="Q32" s="54">
        <v>9.10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1.05</v>
      </c>
      <c r="C34" s="28">
        <f t="shared" si="0"/>
        <v>30.690000000000001</v>
      </c>
      <c r="D34" s="28">
        <f t="shared" si="0"/>
        <v>21.879999999999999</v>
      </c>
      <c r="E34" s="28">
        <f t="shared" si="0"/>
        <v>0.14000000000000001</v>
      </c>
      <c r="F34" s="28">
        <f t="shared" si="0"/>
        <v>3.1200000000000001</v>
      </c>
      <c r="G34" s="28">
        <f t="shared" si="0"/>
        <v>49.210000000000001</v>
      </c>
      <c r="H34" s="28">
        <f t="shared" si="0"/>
        <v>24.98</v>
      </c>
      <c r="I34" s="28">
        <f t="shared" si="0"/>
        <v>1.49</v>
      </c>
      <c r="J34" s="28">
        <f t="shared" si="0"/>
        <v>0.059999999999999998</v>
      </c>
      <c r="K34" s="28">
        <f t="shared" si="0"/>
        <v>170.61000000000001</v>
      </c>
      <c r="L34" s="28">
        <f t="shared" si="0"/>
        <v>19.260000000000002</v>
      </c>
      <c r="M34" s="28">
        <f t="shared" si="0"/>
        <v>31.25</v>
      </c>
      <c r="N34" s="28">
        <f t="shared" si="0"/>
        <v>20.899999999999999</v>
      </c>
      <c r="O34" s="28">
        <f t="shared" si="0"/>
        <v>0</v>
      </c>
      <c r="P34" s="28">
        <f t="shared" si="0"/>
        <v>0.63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87.549999999999997</v>
      </c>
      <c r="C35" s="29">
        <f t="shared" si="1"/>
        <v>70.019999999999996</v>
      </c>
      <c r="D35" s="29">
        <f t="shared" si="1"/>
        <v>91.859999999999999</v>
      </c>
      <c r="E35" s="29">
        <f t="shared" si="1"/>
        <v>3.6600000000000001</v>
      </c>
      <c r="F35" s="29">
        <f t="shared" si="1"/>
        <v>73.900000000000006</v>
      </c>
      <c r="G35" s="29">
        <f t="shared" si="1"/>
        <v>119.18000000000001</v>
      </c>
      <c r="H35" s="29">
        <f t="shared" si="1"/>
        <v>38.439999999999998</v>
      </c>
      <c r="I35" s="29">
        <f t="shared" si="1"/>
        <v>1.6000000000000001</v>
      </c>
      <c r="J35" s="29">
        <f t="shared" si="1"/>
        <v>1</v>
      </c>
      <c r="K35" s="29">
        <f t="shared" si="1"/>
        <v>359.75</v>
      </c>
      <c r="L35" s="29">
        <f t="shared" si="1"/>
        <v>32.549999999999997</v>
      </c>
      <c r="M35" s="29">
        <f t="shared" si="1"/>
        <v>87.150000000000006</v>
      </c>
      <c r="N35" s="29">
        <f t="shared" si="1"/>
        <v>769.20000000000005</v>
      </c>
      <c r="O35" s="29">
        <f t="shared" si="1"/>
        <v>0</v>
      </c>
      <c r="P35" s="29">
        <f t="shared" si="1"/>
        <v>1.6899999999999999</v>
      </c>
      <c r="Q35" s="29">
        <f t="shared" si="1"/>
        <v>9.0999999999999996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33.997083333333329</v>
      </c>
      <c r="C36" s="28">
        <f t="shared" si="2"/>
        <v>45.941249999999997</v>
      </c>
      <c r="D36" s="28">
        <f t="shared" si="2"/>
        <v>52.884583333333332</v>
      </c>
      <c r="E36" s="28">
        <f t="shared" si="2"/>
        <v>0.56500000000000006</v>
      </c>
      <c r="F36" s="28">
        <f t="shared" si="2"/>
        <v>15.580833333333336</v>
      </c>
      <c r="G36" s="28">
        <f t="shared" si="2"/>
        <v>84.217500000000001</v>
      </c>
      <c r="H36" s="28">
        <f t="shared" si="2"/>
        <v>33.60958333333334</v>
      </c>
      <c r="I36" s="28">
        <f t="shared" si="2"/>
        <v>1.5445833333333336</v>
      </c>
      <c r="J36" s="28">
        <f t="shared" si="2"/>
        <v>0.35458333333333331</v>
      </c>
      <c r="K36" s="28">
        <f t="shared" si="2"/>
        <v>288.8729166666667</v>
      </c>
      <c r="L36" s="28">
        <f t="shared" si="2"/>
        <v>24.173749999999998</v>
      </c>
      <c r="M36" s="28">
        <f t="shared" si="2"/>
        <v>63.274166666666673</v>
      </c>
      <c r="N36" s="28">
        <f t="shared" si="2"/>
        <v>206.04166666666671</v>
      </c>
      <c r="O36" s="28">
        <f t="shared" si="2"/>
        <v>0</v>
      </c>
      <c r="P36" s="28">
        <f t="shared" si="2"/>
        <v>1.0350000000000004</v>
      </c>
      <c r="Q36" s="28">
        <f t="shared" si="2"/>
        <v>6.784166666666664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26.392932598011701</v>
      </c>
      <c r="C37" s="28">
        <f t="shared" si="3" ref="C37:Q37">STDEV(C9:C32)</f>
        <v>9.3623865001537396</v>
      </c>
      <c r="D37" s="28">
        <f t="shared" si="3"/>
        <v>21.220524310034232</v>
      </c>
      <c r="E37" s="28">
        <f t="shared" si="3"/>
        <v>0.78729586726255307</v>
      </c>
      <c r="F37" s="28">
        <f t="shared" si="3"/>
        <v>22.589099702341375</v>
      </c>
      <c r="G37" s="28">
        <f t="shared" si="3"/>
        <v>19.42605517250524</v>
      </c>
      <c r="H37" s="28">
        <f t="shared" si="3"/>
        <v>3.4773209067334254</v>
      </c>
      <c r="I37" s="28">
        <f t="shared" si="3"/>
        <v>0.027343096524282566</v>
      </c>
      <c r="J37" s="28">
        <f t="shared" si="3"/>
        <v>0.2680197780934746</v>
      </c>
      <c r="K37" s="28">
        <f t="shared" si="3"/>
        <v>67.64074585498615</v>
      </c>
      <c r="L37" s="28">
        <f t="shared" si="3"/>
        <v>4.6305101723807907</v>
      </c>
      <c r="M37" s="28">
        <f t="shared" si="3"/>
        <v>19.492787722345003</v>
      </c>
      <c r="N37" s="28">
        <f t="shared" si="3"/>
        <v>262.63431498149112</v>
      </c>
      <c r="O37" s="28">
        <f t="shared" si="3"/>
        <v>0</v>
      </c>
      <c r="P37" s="28">
        <f t="shared" si="3"/>
        <v>0.32188304654357475</v>
      </c>
      <c r="Q37" s="28">
        <f t="shared" si="3"/>
        <v>1.4383986164169438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c5a5b9-2b6c-4c8f-8b40-e77c2cd65ad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86.72</v>
      </c>
      <c r="C9" s="54">
        <v>37.81</v>
      </c>
      <c r="D9" s="54">
        <v>90.94</v>
      </c>
      <c r="E9" s="54">
        <v>0.34</v>
      </c>
      <c r="F9" s="54">
        <v>3.19</v>
      </c>
      <c r="G9" s="54">
        <v>118.73</v>
      </c>
      <c r="H9" s="54">
        <v>37.86</v>
      </c>
      <c r="I9" s="54">
        <v>1.58</v>
      </c>
      <c r="J9" s="54">
        <v>0.34</v>
      </c>
      <c r="K9" s="54">
        <v>222.14</v>
      </c>
      <c r="L9" s="54">
        <v>20.63</v>
      </c>
      <c r="M9" s="54">
        <v>72.349999999999994</v>
      </c>
      <c r="N9" s="54">
        <v>20.80</v>
      </c>
      <c r="O9" s="54">
        <v>0</v>
      </c>
      <c r="P9" s="54">
        <v>1.67</v>
      </c>
      <c r="Q9" s="54">
        <v>9.14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69.680000000000007</v>
      </c>
      <c r="C10" s="54">
        <v>39.26</v>
      </c>
      <c r="D10" s="54">
        <v>76.680000000000007</v>
      </c>
      <c r="E10" s="54">
        <v>0.33</v>
      </c>
      <c r="F10" s="54">
        <v>3.21</v>
      </c>
      <c r="G10" s="54">
        <v>102.66</v>
      </c>
      <c r="H10" s="54">
        <v>31.47</v>
      </c>
      <c r="I10" s="54">
        <v>1.54</v>
      </c>
      <c r="J10" s="54">
        <v>0.52</v>
      </c>
      <c r="K10" s="54">
        <v>175.11</v>
      </c>
      <c r="L10" s="54">
        <v>19.989999999999998</v>
      </c>
      <c r="M10" s="54">
        <v>68.63</v>
      </c>
      <c r="N10" s="54">
        <v>20.80</v>
      </c>
      <c r="O10" s="54">
        <v>0</v>
      </c>
      <c r="P10" s="54">
        <v>1.30</v>
      </c>
      <c r="Q10" s="54">
        <v>8.15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54.63</v>
      </c>
      <c r="C11" s="54">
        <v>39.56</v>
      </c>
      <c r="D11" s="54">
        <v>66.28</v>
      </c>
      <c r="E11" s="54">
        <v>0.28999999999999998</v>
      </c>
      <c r="F11" s="54">
        <v>4.03</v>
      </c>
      <c r="G11" s="54">
        <v>75.260000000000005</v>
      </c>
      <c r="H11" s="54">
        <v>29.62</v>
      </c>
      <c r="I11" s="54">
        <v>1.53</v>
      </c>
      <c r="J11" s="54">
        <v>0.28999999999999998</v>
      </c>
      <c r="K11" s="54">
        <v>357.87</v>
      </c>
      <c r="L11" s="54">
        <v>19.45</v>
      </c>
      <c r="M11" s="54">
        <v>85.94</v>
      </c>
      <c r="N11" s="54">
        <v>21.30</v>
      </c>
      <c r="O11" s="54">
        <v>0</v>
      </c>
      <c r="P11" s="54">
        <v>1.1599999999999999</v>
      </c>
      <c r="Q11" s="54">
        <v>7.08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47.98</v>
      </c>
      <c r="C12" s="54">
        <v>36.700000000000003</v>
      </c>
      <c r="D12" s="54">
        <v>59.36</v>
      </c>
      <c r="E12" s="54">
        <v>0.25</v>
      </c>
      <c r="F12" s="54">
        <v>3.72</v>
      </c>
      <c r="G12" s="54">
        <v>57.59</v>
      </c>
      <c r="H12" s="54">
        <v>26.80</v>
      </c>
      <c r="I12" s="54">
        <v>1.60</v>
      </c>
      <c r="J12" s="54">
        <v>0.48</v>
      </c>
      <c r="K12" s="54">
        <v>338.08</v>
      </c>
      <c r="L12" s="54">
        <v>19.25</v>
      </c>
      <c r="M12" s="54">
        <v>82.83</v>
      </c>
      <c r="N12" s="54">
        <v>20.90</v>
      </c>
      <c r="O12" s="54">
        <v>0</v>
      </c>
      <c r="P12" s="54">
        <v>1.02</v>
      </c>
      <c r="Q12" s="54">
        <v>6.65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41.14</v>
      </c>
      <c r="C13" s="54">
        <v>33.54</v>
      </c>
      <c r="D13" s="54">
        <v>52.15</v>
      </c>
      <c r="E13" s="54">
        <v>0.22</v>
      </c>
      <c r="F13" s="54">
        <v>3.23</v>
      </c>
      <c r="G13" s="54">
        <v>67.290000000000006</v>
      </c>
      <c r="H13" s="54">
        <v>26.13</v>
      </c>
      <c r="I13" s="54">
        <v>1.5</v>
      </c>
      <c r="J13" s="54">
        <v>0.48</v>
      </c>
      <c r="K13" s="54">
        <v>146.21</v>
      </c>
      <c r="L13" s="54">
        <v>19.5</v>
      </c>
      <c r="M13" s="54">
        <v>82.76</v>
      </c>
      <c r="N13" s="54">
        <v>20.80</v>
      </c>
      <c r="O13" s="54">
        <v>0</v>
      </c>
      <c r="P13" s="54">
        <v>0.93</v>
      </c>
      <c r="Q13" s="54">
        <v>6.10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37.26</v>
      </c>
      <c r="C14" s="54">
        <v>32.99</v>
      </c>
      <c r="D14" s="54">
        <v>48.54</v>
      </c>
      <c r="E14" s="54">
        <v>0.15</v>
      </c>
      <c r="F14" s="54">
        <v>3.04</v>
      </c>
      <c r="G14" s="54">
        <v>100.95</v>
      </c>
      <c r="H14" s="54">
        <v>35.42</v>
      </c>
      <c r="I14" s="54">
        <v>1.57</v>
      </c>
      <c r="J14" s="54">
        <v>0.52</v>
      </c>
      <c r="K14" s="54">
        <v>345.98</v>
      </c>
      <c r="L14" s="54">
        <v>19.579999999999998</v>
      </c>
      <c r="M14" s="54">
        <v>80.41</v>
      </c>
      <c r="N14" s="54">
        <v>21.30</v>
      </c>
      <c r="O14" s="54">
        <v>0</v>
      </c>
      <c r="P14" s="54">
        <v>0.94</v>
      </c>
      <c r="Q14" s="54">
        <v>5.30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38.89</v>
      </c>
      <c r="C15" s="54">
        <v>33.51</v>
      </c>
      <c r="D15" s="54">
        <v>50.01</v>
      </c>
      <c r="E15" s="54">
        <v>0.16</v>
      </c>
      <c r="F15" s="54">
        <v>3.41</v>
      </c>
      <c r="G15" s="54">
        <v>142.15</v>
      </c>
      <c r="H15" s="54">
        <v>44.92</v>
      </c>
      <c r="I15" s="54">
        <v>1.56</v>
      </c>
      <c r="J15" s="54">
        <v>0.87</v>
      </c>
      <c r="K15" s="54">
        <v>112.23</v>
      </c>
      <c r="L15" s="54">
        <v>19.53</v>
      </c>
      <c r="M15" s="54">
        <v>78.709999999999994</v>
      </c>
      <c r="N15" s="54">
        <v>41.30</v>
      </c>
      <c r="O15" s="54">
        <v>0</v>
      </c>
      <c r="P15" s="54">
        <v>0.97</v>
      </c>
      <c r="Q15" s="54">
        <v>5.47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40.76</v>
      </c>
      <c r="C16" s="54">
        <v>34.380000000000003</v>
      </c>
      <c r="D16" s="54">
        <v>52.21</v>
      </c>
      <c r="E16" s="54">
        <v>0.15</v>
      </c>
      <c r="F16" s="54">
        <v>3.27</v>
      </c>
      <c r="G16" s="54">
        <v>142.15</v>
      </c>
      <c r="H16" s="54">
        <v>46.35</v>
      </c>
      <c r="I16" s="54">
        <v>1.51</v>
      </c>
      <c r="J16" s="54">
        <v>0.78</v>
      </c>
      <c r="K16" s="54">
        <v>110.35</v>
      </c>
      <c r="L16" s="54">
        <v>21</v>
      </c>
      <c r="M16" s="54">
        <v>77.680000000000007</v>
      </c>
      <c r="N16" s="54">
        <v>117.10</v>
      </c>
      <c r="O16" s="54">
        <v>0</v>
      </c>
      <c r="P16" s="54">
        <v>1.06</v>
      </c>
      <c r="Q16" s="54">
        <v>6.12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43.53</v>
      </c>
      <c r="C17" s="54">
        <v>38.450000000000003</v>
      </c>
      <c r="D17" s="54">
        <v>56.77</v>
      </c>
      <c r="E17" s="54">
        <v>0.30</v>
      </c>
      <c r="F17" s="54">
        <v>3.38</v>
      </c>
      <c r="G17" s="54">
        <v>143.84</v>
      </c>
      <c r="H17" s="54">
        <v>46.35</v>
      </c>
      <c r="I17" s="54">
        <v>1.56</v>
      </c>
      <c r="J17" s="54">
        <v>0.34</v>
      </c>
      <c r="K17" s="54">
        <v>342.98</v>
      </c>
      <c r="L17" s="54">
        <v>24.78</v>
      </c>
      <c r="M17" s="54">
        <v>66.5</v>
      </c>
      <c r="N17" s="54">
        <v>208.60</v>
      </c>
      <c r="O17" s="54">
        <v>0</v>
      </c>
      <c r="P17" s="54">
        <v>1.17</v>
      </c>
      <c r="Q17" s="54">
        <v>6.36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43.34</v>
      </c>
      <c r="C18" s="54">
        <v>46.27</v>
      </c>
      <c r="D18" s="54">
        <v>57.61</v>
      </c>
      <c r="E18" s="54">
        <v>0.34</v>
      </c>
      <c r="F18" s="54">
        <v>3.22</v>
      </c>
      <c r="G18" s="54">
        <v>152.26</v>
      </c>
      <c r="H18" s="54">
        <v>56.19</v>
      </c>
      <c r="I18" s="54">
        <v>1.52</v>
      </c>
      <c r="J18" s="54">
        <v>0.37</v>
      </c>
      <c r="K18" s="54">
        <v>353.94</v>
      </c>
      <c r="L18" s="54">
        <v>29.11</v>
      </c>
      <c r="M18" s="54">
        <v>52.38</v>
      </c>
      <c r="N18" s="54">
        <v>448.70</v>
      </c>
      <c r="O18" s="54">
        <v>0</v>
      </c>
      <c r="P18" s="54">
        <v>1.29</v>
      </c>
      <c r="Q18" s="54">
        <v>6.41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35.869999999999997</v>
      </c>
      <c r="C19" s="54">
        <v>69.739999999999995</v>
      </c>
      <c r="D19" s="54">
        <v>56.17</v>
      </c>
      <c r="E19" s="54">
        <v>0.31</v>
      </c>
      <c r="F19" s="54">
        <v>9.36</v>
      </c>
      <c r="G19" s="54">
        <v>152.26</v>
      </c>
      <c r="H19" s="54">
        <v>56.19</v>
      </c>
      <c r="I19" s="54">
        <v>1.5</v>
      </c>
      <c r="J19" s="54">
        <v>0.64</v>
      </c>
      <c r="K19" s="54">
        <v>334.83</v>
      </c>
      <c r="L19" s="54">
        <v>32.159999999999997</v>
      </c>
      <c r="M19" s="54">
        <v>39.79</v>
      </c>
      <c r="N19" s="54">
        <v>706</v>
      </c>
      <c r="O19" s="54">
        <v>0</v>
      </c>
      <c r="P19" s="54">
        <v>1.32</v>
      </c>
      <c r="Q19" s="54">
        <v>6.28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4.75</v>
      </c>
      <c r="C20" s="54">
        <v>70.52</v>
      </c>
      <c r="D20" s="54">
        <v>43.37</v>
      </c>
      <c r="E20" s="54">
        <v>0.20</v>
      </c>
      <c r="F20" s="54">
        <v>17.04</v>
      </c>
      <c r="G20" s="54">
        <v>132.25</v>
      </c>
      <c r="H20" s="54">
        <v>52.73</v>
      </c>
      <c r="I20" s="54">
        <v>1.56</v>
      </c>
      <c r="J20" s="54">
        <v>0.25</v>
      </c>
      <c r="K20" s="54">
        <v>349.89</v>
      </c>
      <c r="L20" s="54">
        <v>30.17</v>
      </c>
      <c r="M20" s="54">
        <v>35.01</v>
      </c>
      <c r="N20" s="54">
        <v>743.60</v>
      </c>
      <c r="O20" s="54">
        <v>0</v>
      </c>
      <c r="P20" s="54">
        <v>1.05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2.1800000000000002</v>
      </c>
      <c r="C21" s="54">
        <v>55.63</v>
      </c>
      <c r="D21" s="54">
        <v>32.89</v>
      </c>
      <c r="E21" s="54">
        <v>0.31</v>
      </c>
      <c r="F21" s="54">
        <v>10.5</v>
      </c>
      <c r="G21" s="54">
        <v>50.38</v>
      </c>
      <c r="H21" s="54">
        <v>45.43</v>
      </c>
      <c r="I21" s="54">
        <v>1.54</v>
      </c>
      <c r="J21" s="54">
        <v>0.72</v>
      </c>
      <c r="K21" s="54">
        <v>324.22000000000003</v>
      </c>
      <c r="L21" s="54">
        <v>32.51</v>
      </c>
      <c r="M21" s="54">
        <v>31.51</v>
      </c>
      <c r="N21" s="54">
        <v>769.70</v>
      </c>
      <c r="O21" s="54">
        <v>0</v>
      </c>
      <c r="P21" s="54">
        <v>0.97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1.93</v>
      </c>
      <c r="C22" s="54">
        <v>41.08</v>
      </c>
      <c r="D22" s="54">
        <v>24.85</v>
      </c>
      <c r="E22" s="54">
        <v>0.45</v>
      </c>
      <c r="F22" s="54">
        <v>13.16</v>
      </c>
      <c r="G22" s="54">
        <v>81.650000000000006</v>
      </c>
      <c r="H22" s="54">
        <v>34.01</v>
      </c>
      <c r="I22" s="54">
        <v>1.5</v>
      </c>
      <c r="J22" s="54">
        <v>0.85</v>
      </c>
      <c r="K22" s="54">
        <v>338.74</v>
      </c>
      <c r="L22" s="54">
        <v>32.81</v>
      </c>
      <c r="M22" s="54">
        <v>31.90</v>
      </c>
      <c r="N22" s="54">
        <v>710.10</v>
      </c>
      <c r="O22" s="54">
        <v>0</v>
      </c>
      <c r="P22" s="54">
        <v>0.74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2.09</v>
      </c>
      <c r="C23" s="54">
        <v>43.61</v>
      </c>
      <c r="D23" s="54">
        <v>26.36</v>
      </c>
      <c r="E23" s="54">
        <v>0.34</v>
      </c>
      <c r="F23" s="54">
        <v>8.91</v>
      </c>
      <c r="G23" s="54">
        <v>81.650000000000006</v>
      </c>
      <c r="H23" s="54">
        <v>29</v>
      </c>
      <c r="I23" s="54">
        <v>1.51</v>
      </c>
      <c r="J23" s="54">
        <v>0.55000000000000004</v>
      </c>
      <c r="K23" s="54">
        <v>351.24</v>
      </c>
      <c r="L23" s="54">
        <v>32.67</v>
      </c>
      <c r="M23" s="54">
        <v>32.26</v>
      </c>
      <c r="N23" s="54">
        <v>552.29999999999995</v>
      </c>
      <c r="O23" s="54">
        <v>0</v>
      </c>
      <c r="P23" s="54">
        <v>0.82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3.51</v>
      </c>
      <c r="C24" s="54">
        <v>47.85</v>
      </c>
      <c r="D24" s="54">
        <v>29.87</v>
      </c>
      <c r="E24" s="54">
        <v>0.32</v>
      </c>
      <c r="F24" s="54">
        <v>6.65</v>
      </c>
      <c r="G24" s="54">
        <v>63.76</v>
      </c>
      <c r="H24" s="54">
        <v>26.77</v>
      </c>
      <c r="I24" s="54">
        <v>1.54</v>
      </c>
      <c r="J24" s="54">
        <v>0.74</v>
      </c>
      <c r="K24" s="54">
        <v>324.24</v>
      </c>
      <c r="L24" s="54">
        <v>31.25</v>
      </c>
      <c r="M24" s="54">
        <v>32.93</v>
      </c>
      <c r="N24" s="54">
        <v>299</v>
      </c>
      <c r="O24" s="54">
        <v>0</v>
      </c>
      <c r="P24" s="54">
        <v>0.87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3.84</v>
      </c>
      <c r="C25" s="54">
        <v>55.49</v>
      </c>
      <c r="D25" s="54">
        <v>33.659999999999997</v>
      </c>
      <c r="E25" s="54">
        <v>0.08</v>
      </c>
      <c r="F25" s="54">
        <v>6.97</v>
      </c>
      <c r="G25" s="54">
        <v>63.15</v>
      </c>
      <c r="H25" s="54">
        <v>26.35</v>
      </c>
      <c r="I25" s="54">
        <v>1.58</v>
      </c>
      <c r="J25" s="54">
        <v>1.03</v>
      </c>
      <c r="K25" s="54">
        <v>357.24</v>
      </c>
      <c r="L25" s="54">
        <v>29.36</v>
      </c>
      <c r="M25" s="54">
        <v>38.44</v>
      </c>
      <c r="N25" s="54">
        <v>147.10</v>
      </c>
      <c r="O25" s="54">
        <v>0</v>
      </c>
      <c r="P25" s="54">
        <v>0.95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6.75</v>
      </c>
      <c r="C26" s="54">
        <v>53.29</v>
      </c>
      <c r="D26" s="54">
        <v>35.46</v>
      </c>
      <c r="E26" s="54">
        <v>0.12</v>
      </c>
      <c r="F26" s="54">
        <v>4.29</v>
      </c>
      <c r="G26" s="54">
        <v>67.599999999999994</v>
      </c>
      <c r="H26" s="54">
        <v>23.59</v>
      </c>
      <c r="I26" s="54">
        <v>1.52</v>
      </c>
      <c r="J26" s="54">
        <v>0.90</v>
      </c>
      <c r="K26" s="54">
        <v>351.69</v>
      </c>
      <c r="L26" s="54">
        <v>28.03</v>
      </c>
      <c r="M26" s="54">
        <v>51.45</v>
      </c>
      <c r="N26" s="54">
        <v>57.80</v>
      </c>
      <c r="O26" s="54">
        <v>0</v>
      </c>
      <c r="P26" s="54">
        <v>1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14.72</v>
      </c>
      <c r="C27" s="54">
        <v>55.08</v>
      </c>
      <c r="D27" s="54">
        <v>42.85</v>
      </c>
      <c r="E27" s="54">
        <v>0.14000000000000001</v>
      </c>
      <c r="F27" s="54">
        <v>3.77</v>
      </c>
      <c r="G27" s="54">
        <v>70.06</v>
      </c>
      <c r="H27" s="54">
        <v>23.28</v>
      </c>
      <c r="I27" s="54">
        <v>1.47</v>
      </c>
      <c r="J27" s="54">
        <v>0.06</v>
      </c>
      <c r="K27" s="54">
        <v>187.43</v>
      </c>
      <c r="L27" s="54">
        <v>25.30</v>
      </c>
      <c r="M27" s="54">
        <v>62.21</v>
      </c>
      <c r="N27" s="54">
        <v>22.10</v>
      </c>
      <c r="O27" s="54">
        <v>0</v>
      </c>
      <c r="P27" s="54">
        <v>1.1200000000000001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30.65</v>
      </c>
      <c r="C28" s="54">
        <v>55.30</v>
      </c>
      <c r="D28" s="54">
        <v>55.16</v>
      </c>
      <c r="E28" s="54">
        <v>0.18</v>
      </c>
      <c r="F28" s="54">
        <v>3.37</v>
      </c>
      <c r="G28" s="54">
        <v>93.76</v>
      </c>
      <c r="H28" s="54">
        <v>26</v>
      </c>
      <c r="I28" s="54">
        <v>1.48</v>
      </c>
      <c r="J28" s="54">
        <v>0.15</v>
      </c>
      <c r="K28" s="54">
        <v>343.98</v>
      </c>
      <c r="L28" s="54">
        <v>23.73</v>
      </c>
      <c r="M28" s="54">
        <v>71.06</v>
      </c>
      <c r="N28" s="54">
        <v>21.30</v>
      </c>
      <c r="O28" s="54">
        <v>0</v>
      </c>
      <c r="P28" s="54">
        <v>1.32</v>
      </c>
      <c r="Q28" s="54">
        <v>5.67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44.90</v>
      </c>
      <c r="C29" s="54">
        <v>53.85</v>
      </c>
      <c r="D29" s="54">
        <v>64.680000000000007</v>
      </c>
      <c r="E29" s="54">
        <v>0.37</v>
      </c>
      <c r="F29" s="54">
        <v>3.71</v>
      </c>
      <c r="G29" s="54">
        <v>110.79</v>
      </c>
      <c r="H29" s="54">
        <v>28.01</v>
      </c>
      <c r="I29" s="54">
        <v>1.51</v>
      </c>
      <c r="J29" s="54">
        <v>0.06</v>
      </c>
      <c r="K29" s="54">
        <v>275.22000000000003</v>
      </c>
      <c r="L29" s="54">
        <v>22.47</v>
      </c>
      <c r="M29" s="54">
        <v>72.37</v>
      </c>
      <c r="N29" s="54">
        <v>21.20</v>
      </c>
      <c r="O29" s="54">
        <v>0</v>
      </c>
      <c r="P29" s="54">
        <v>1.77</v>
      </c>
      <c r="Q29" s="54">
        <v>6.80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65.55</v>
      </c>
      <c r="C30" s="54">
        <v>51.73</v>
      </c>
      <c r="D30" s="54">
        <v>81.760000000000005</v>
      </c>
      <c r="E30" s="54">
        <v>0.35</v>
      </c>
      <c r="F30" s="54">
        <v>3.63</v>
      </c>
      <c r="G30" s="54">
        <v>150.87</v>
      </c>
      <c r="H30" s="54">
        <v>32.340000000000003</v>
      </c>
      <c r="I30" s="54">
        <v>1.55</v>
      </c>
      <c r="J30" s="54">
        <v>0.16</v>
      </c>
      <c r="K30" s="54">
        <v>358.17</v>
      </c>
      <c r="L30" s="54">
        <v>21.84</v>
      </c>
      <c r="M30" s="54">
        <v>78.98</v>
      </c>
      <c r="N30" s="54">
        <v>21</v>
      </c>
      <c r="O30" s="54">
        <v>0</v>
      </c>
      <c r="P30" s="54">
        <v>1.99</v>
      </c>
      <c r="Q30" s="54">
        <v>8.2799999999999994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78.489999999999995</v>
      </c>
      <c r="C31" s="54">
        <v>50.85</v>
      </c>
      <c r="D31" s="54">
        <v>91.40</v>
      </c>
      <c r="E31" s="54">
        <v>0.47</v>
      </c>
      <c r="F31" s="54">
        <v>3.48</v>
      </c>
      <c r="G31" s="54">
        <v>150.87</v>
      </c>
      <c r="H31" s="54">
        <v>37.94</v>
      </c>
      <c r="I31" s="54">
        <v>1.53</v>
      </c>
      <c r="J31" s="54">
        <v>0.31</v>
      </c>
      <c r="K31" s="54">
        <v>305.30</v>
      </c>
      <c r="L31" s="54">
        <v>21.43</v>
      </c>
      <c r="M31" s="54">
        <v>82.03</v>
      </c>
      <c r="N31" s="54">
        <v>21.10</v>
      </c>
      <c r="O31" s="54">
        <v>0</v>
      </c>
      <c r="P31" s="54">
        <v>2.0299999999999998</v>
      </c>
      <c r="Q31" s="54">
        <v>9.3699999999999992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70.56</v>
      </c>
      <c r="C32" s="54">
        <v>48.96</v>
      </c>
      <c r="D32" s="54">
        <v>84.25</v>
      </c>
      <c r="E32" s="54">
        <v>0.47</v>
      </c>
      <c r="F32" s="54">
        <v>3.47</v>
      </c>
      <c r="G32" s="54">
        <v>139.40</v>
      </c>
      <c r="H32" s="54">
        <v>37.94</v>
      </c>
      <c r="I32" s="54">
        <v>1.54</v>
      </c>
      <c r="J32" s="54">
        <v>0.98</v>
      </c>
      <c r="K32" s="54">
        <v>295.27999999999997</v>
      </c>
      <c r="L32" s="54">
        <v>21.24</v>
      </c>
      <c r="M32" s="54">
        <v>79.790000000000006</v>
      </c>
      <c r="N32" s="54">
        <v>20.90</v>
      </c>
      <c r="O32" s="54">
        <v>0</v>
      </c>
      <c r="P32" s="54">
        <v>1.83</v>
      </c>
      <c r="Q32" s="54">
        <v>9.0299999999999994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1.9299999999999999</v>
      </c>
      <c r="C34" s="28">
        <f t="shared" si="0"/>
        <v>32.990000000000002</v>
      </c>
      <c r="D34" s="28">
        <f t="shared" si="0"/>
        <v>24.850000000000001</v>
      </c>
      <c r="E34" s="28">
        <f t="shared" si="0"/>
        <v>0.080000000000000002</v>
      </c>
      <c r="F34" s="28">
        <f t="shared" si="0"/>
        <v>3.04</v>
      </c>
      <c r="G34" s="28">
        <f t="shared" si="0"/>
        <v>50.380000000000003</v>
      </c>
      <c r="H34" s="28">
        <f t="shared" si="0"/>
        <v>23.280000000000001</v>
      </c>
      <c r="I34" s="28">
        <f t="shared" si="0"/>
        <v>1.47</v>
      </c>
      <c r="J34" s="28">
        <f t="shared" si="0"/>
        <v>0.059999999999999998</v>
      </c>
      <c r="K34" s="28">
        <f t="shared" si="0"/>
        <v>110.34999999999999</v>
      </c>
      <c r="L34" s="28">
        <f t="shared" si="0"/>
        <v>19.25</v>
      </c>
      <c r="M34" s="28">
        <f t="shared" si="0"/>
        <v>31.510000000000002</v>
      </c>
      <c r="N34" s="28">
        <f t="shared" si="0"/>
        <v>20.800000000000001</v>
      </c>
      <c r="O34" s="28">
        <f t="shared" si="0"/>
        <v>0</v>
      </c>
      <c r="P34" s="28">
        <f t="shared" si="0"/>
        <v>0.73999999999999999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86.719999999999999</v>
      </c>
      <c r="C35" s="29">
        <f t="shared" si="1"/>
        <v>70.519999999999996</v>
      </c>
      <c r="D35" s="29">
        <f t="shared" si="1"/>
        <v>91.400000000000006</v>
      </c>
      <c r="E35" s="29">
        <f t="shared" si="1"/>
        <v>0.46999999999999997</v>
      </c>
      <c r="F35" s="29">
        <f t="shared" si="1"/>
        <v>17.039999999999999</v>
      </c>
      <c r="G35" s="29">
        <f t="shared" si="1"/>
        <v>152.25999999999999</v>
      </c>
      <c r="H35" s="29">
        <f t="shared" si="1"/>
        <v>56.189999999999998</v>
      </c>
      <c r="I35" s="29">
        <f t="shared" si="1"/>
        <v>1.6000000000000001</v>
      </c>
      <c r="J35" s="29">
        <f t="shared" si="1"/>
        <v>1.03</v>
      </c>
      <c r="K35" s="29">
        <f t="shared" si="1"/>
        <v>358.17000000000002</v>
      </c>
      <c r="L35" s="29">
        <f t="shared" si="1"/>
        <v>32.810000000000002</v>
      </c>
      <c r="M35" s="29">
        <f t="shared" si="1"/>
        <v>85.939999999999998</v>
      </c>
      <c r="N35" s="29">
        <f t="shared" si="1"/>
        <v>769.70000000000005</v>
      </c>
      <c r="O35" s="29">
        <f t="shared" si="1"/>
        <v>0</v>
      </c>
      <c r="P35" s="29">
        <f t="shared" si="1"/>
        <v>2.0299999999999998</v>
      </c>
      <c r="Q35" s="29">
        <f t="shared" si="1"/>
        <v>9.3699999999999992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36.238333333333323</v>
      </c>
      <c r="C36" s="28">
        <f t="shared" si="2"/>
        <v>46.893750000000004</v>
      </c>
      <c r="D36" s="28">
        <f t="shared" si="2"/>
        <v>54.719999999999999</v>
      </c>
      <c r="E36" s="28">
        <f t="shared" si="2"/>
        <v>0.27666666666666662</v>
      </c>
      <c r="F36" s="28">
        <f t="shared" si="2"/>
        <v>5.5004166666666663</v>
      </c>
      <c r="G36" s="28">
        <f t="shared" si="2"/>
        <v>104.63875000000002</v>
      </c>
      <c r="H36" s="28">
        <f t="shared" si="2"/>
        <v>35.862083333333338</v>
      </c>
      <c r="I36" s="28">
        <f t="shared" si="2"/>
        <v>1.533333333333333</v>
      </c>
      <c r="J36" s="28">
        <f t="shared" si="2"/>
        <v>0.51624999999999999</v>
      </c>
      <c r="K36" s="28">
        <f t="shared" si="2"/>
        <v>291.76499999999999</v>
      </c>
      <c r="L36" s="28">
        <f t="shared" si="2"/>
        <v>24.907916666666665</v>
      </c>
      <c r="M36" s="28">
        <f t="shared" si="2"/>
        <v>61.996666666666663</v>
      </c>
      <c r="N36" s="28">
        <f t="shared" si="2"/>
        <v>210.61666666666667</v>
      </c>
      <c r="O36" s="28">
        <f t="shared" si="2"/>
        <v>0</v>
      </c>
      <c r="P36" s="28">
        <f t="shared" si="2"/>
        <v>1.2204166666666667</v>
      </c>
      <c r="Q36" s="28">
        <f t="shared" si="2"/>
        <v>6.4120833333333307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26.519728778642403</v>
      </c>
      <c r="C37" s="28">
        <f t="shared" si="3" ref="C37:Q37">STDEV(C9:C32)</f>
        <v>10.680506343842922</v>
      </c>
      <c r="D37" s="28">
        <f t="shared" si="3"/>
        <v>19.73740699237387</v>
      </c>
      <c r="E37" s="28">
        <f t="shared" si="3"/>
        <v>0.11138131396894768</v>
      </c>
      <c r="F37" s="28">
        <f t="shared" si="3"/>
        <v>3.7119214281024053</v>
      </c>
      <c r="G37" s="28">
        <f t="shared" si="3"/>
        <v>36.077631069499986</v>
      </c>
      <c r="H37" s="28">
        <f t="shared" si="3"/>
        <v>10.334341223052988</v>
      </c>
      <c r="I37" s="28">
        <f t="shared" si="3"/>
        <v>0.032925035626624535</v>
      </c>
      <c r="J37" s="28">
        <f t="shared" si="3"/>
        <v>0.29255712931501682</v>
      </c>
      <c r="K37" s="28">
        <f t="shared" si="3"/>
        <v>83.453582620364088</v>
      </c>
      <c r="L37" s="28">
        <f t="shared" si="3"/>
        <v>5.0938615907577489</v>
      </c>
      <c r="M37" s="28">
        <f t="shared" si="3"/>
        <v>20.016136026947756</v>
      </c>
      <c r="N37" s="28">
        <f t="shared" si="3"/>
        <v>277.29029627052785</v>
      </c>
      <c r="O37" s="28">
        <f t="shared" si="3"/>
        <v>0</v>
      </c>
      <c r="P37" s="28">
        <f t="shared" si="3"/>
        <v>0.37240089626131651</v>
      </c>
      <c r="Q37" s="28">
        <f t="shared" si="3"/>
        <v>1.3932257820289533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0937c3-f156-4433-882e-ca4f23717c68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55.17</v>
      </c>
      <c r="C9" s="54">
        <v>48.29</v>
      </c>
      <c r="D9" s="54">
        <v>71.540000000000006</v>
      </c>
      <c r="E9" s="54">
        <v>0.27</v>
      </c>
      <c r="F9" s="54">
        <v>3.85</v>
      </c>
      <c r="G9" s="54">
        <v>95.28</v>
      </c>
      <c r="H9" s="54">
        <v>35.58</v>
      </c>
      <c r="I9" s="54">
        <v>1.52</v>
      </c>
      <c r="J9" s="54">
        <v>0.55000000000000004</v>
      </c>
      <c r="K9" s="54">
        <v>326.20999999999998</v>
      </c>
      <c r="L9" s="54">
        <v>21.23</v>
      </c>
      <c r="M9" s="54">
        <v>81.96</v>
      </c>
      <c r="N9" s="54">
        <v>21.20</v>
      </c>
      <c r="O9" s="54">
        <v>0</v>
      </c>
      <c r="P9" s="54">
        <v>1.56</v>
      </c>
      <c r="Q9" s="54">
        <v>8.09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43.97</v>
      </c>
      <c r="C10" s="54">
        <v>43.87</v>
      </c>
      <c r="D10" s="54">
        <v>60.12</v>
      </c>
      <c r="E10" s="54">
        <v>0.28000000000000003</v>
      </c>
      <c r="F10" s="54">
        <v>3.56</v>
      </c>
      <c r="G10" s="54">
        <v>64.92</v>
      </c>
      <c r="H10" s="54">
        <v>30.03</v>
      </c>
      <c r="I10" s="54">
        <v>1.54</v>
      </c>
      <c r="J10" s="54">
        <v>0.28000000000000003</v>
      </c>
      <c r="K10" s="54">
        <v>314.51</v>
      </c>
      <c r="L10" s="54">
        <v>20.52</v>
      </c>
      <c r="M10" s="54">
        <v>85.27</v>
      </c>
      <c r="N10" s="54">
        <v>21.10</v>
      </c>
      <c r="O10" s="54">
        <v>0</v>
      </c>
      <c r="P10" s="54">
        <v>1.34</v>
      </c>
      <c r="Q10" s="54">
        <v>7.03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39.47</v>
      </c>
      <c r="C11" s="54">
        <v>41.65</v>
      </c>
      <c r="D11" s="54">
        <v>55.21</v>
      </c>
      <c r="E11" s="54">
        <v>0.28000000000000003</v>
      </c>
      <c r="F11" s="54">
        <v>3.60</v>
      </c>
      <c r="G11" s="54">
        <v>64.92</v>
      </c>
      <c r="H11" s="54">
        <v>30.03</v>
      </c>
      <c r="I11" s="54">
        <v>1.52</v>
      </c>
      <c r="J11" s="54">
        <v>0.22</v>
      </c>
      <c r="K11" s="54">
        <v>180.89</v>
      </c>
      <c r="L11" s="54">
        <v>20.74</v>
      </c>
      <c r="M11" s="54">
        <v>78.59</v>
      </c>
      <c r="N11" s="54">
        <v>21.40</v>
      </c>
      <c r="O11" s="54">
        <v>0</v>
      </c>
      <c r="P11" s="54">
        <v>1.26</v>
      </c>
      <c r="Q11" s="54">
        <v>6.63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31.67</v>
      </c>
      <c r="C12" s="54">
        <v>42.38</v>
      </c>
      <c r="D12" s="54">
        <v>49.14</v>
      </c>
      <c r="E12" s="54">
        <v>0.27</v>
      </c>
      <c r="F12" s="54">
        <v>3.44</v>
      </c>
      <c r="G12" s="54">
        <v>45.52</v>
      </c>
      <c r="H12" s="54">
        <v>26.69</v>
      </c>
      <c r="I12" s="54">
        <v>1.52</v>
      </c>
      <c r="J12" s="54">
        <v>0.26</v>
      </c>
      <c r="K12" s="54">
        <v>164.60</v>
      </c>
      <c r="L12" s="54">
        <v>20.27</v>
      </c>
      <c r="M12" s="54">
        <v>77.95</v>
      </c>
      <c r="N12" s="54">
        <v>21.30</v>
      </c>
      <c r="O12" s="54">
        <v>0</v>
      </c>
      <c r="P12" s="54">
        <v>1.1100000000000001</v>
      </c>
      <c r="Q12" s="54">
        <v>5.23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24.18</v>
      </c>
      <c r="C13" s="54">
        <v>43.79</v>
      </c>
      <c r="D13" s="54">
        <v>43.61</v>
      </c>
      <c r="E13" s="54">
        <v>0.23</v>
      </c>
      <c r="F13" s="54">
        <v>3.62</v>
      </c>
      <c r="G13" s="54">
        <v>44.13</v>
      </c>
      <c r="H13" s="54">
        <v>24.66</v>
      </c>
      <c r="I13" s="54">
        <v>1.52</v>
      </c>
      <c r="J13" s="54">
        <v>0.35</v>
      </c>
      <c r="K13" s="54">
        <v>327.74</v>
      </c>
      <c r="L13" s="54">
        <v>19.66</v>
      </c>
      <c r="M13" s="54">
        <v>72.38</v>
      </c>
      <c r="N13" s="54">
        <v>21.20</v>
      </c>
      <c r="O13" s="54">
        <v>0</v>
      </c>
      <c r="P13" s="54">
        <v>0.95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20.07</v>
      </c>
      <c r="C14" s="54">
        <v>43.65</v>
      </c>
      <c r="D14" s="54">
        <v>40.340000000000003</v>
      </c>
      <c r="E14" s="54">
        <v>0.26</v>
      </c>
      <c r="F14" s="54">
        <v>3.73</v>
      </c>
      <c r="G14" s="54">
        <v>31.16</v>
      </c>
      <c r="H14" s="54">
        <v>18.27</v>
      </c>
      <c r="I14" s="54">
        <v>1.55</v>
      </c>
      <c r="J14" s="54">
        <v>0.10</v>
      </c>
      <c r="K14" s="54">
        <v>333.69</v>
      </c>
      <c r="L14" s="54">
        <v>19.53</v>
      </c>
      <c r="M14" s="54">
        <v>65.38</v>
      </c>
      <c r="N14" s="54">
        <v>21.40</v>
      </c>
      <c r="O14" s="54">
        <v>0</v>
      </c>
      <c r="P14" s="54">
        <v>0.80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29.80</v>
      </c>
      <c r="C15" s="54">
        <v>42.36</v>
      </c>
      <c r="D15" s="54">
        <v>47.92</v>
      </c>
      <c r="E15" s="54">
        <v>0.28999999999999998</v>
      </c>
      <c r="F15" s="54">
        <v>3.48</v>
      </c>
      <c r="G15" s="54">
        <v>57.45</v>
      </c>
      <c r="H15" s="54">
        <v>17.89</v>
      </c>
      <c r="I15" s="54">
        <v>1.49</v>
      </c>
      <c r="J15" s="54">
        <v>0.09</v>
      </c>
      <c r="K15" s="54">
        <v>260.44</v>
      </c>
      <c r="L15" s="54">
        <v>18.829999999999998</v>
      </c>
      <c r="M15" s="54">
        <v>73.64</v>
      </c>
      <c r="N15" s="54">
        <v>53.5</v>
      </c>
      <c r="O15" s="54">
        <v>0</v>
      </c>
      <c r="P15" s="54">
        <v>0.73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39.49</v>
      </c>
      <c r="C16" s="54">
        <v>50.49</v>
      </c>
      <c r="D16" s="54">
        <v>59.74</v>
      </c>
      <c r="E16" s="54">
        <v>0.30</v>
      </c>
      <c r="F16" s="54">
        <v>3.49</v>
      </c>
      <c r="G16" s="54">
        <v>80.70</v>
      </c>
      <c r="H16" s="54">
        <v>25.82</v>
      </c>
      <c r="I16" s="54">
        <v>1.61</v>
      </c>
      <c r="J16" s="54">
        <v>0.15</v>
      </c>
      <c r="K16" s="54">
        <v>339.81</v>
      </c>
      <c r="L16" s="54">
        <v>24.10</v>
      </c>
      <c r="M16" s="54">
        <v>70.180000000000007</v>
      </c>
      <c r="N16" s="54">
        <v>232</v>
      </c>
      <c r="O16" s="54">
        <v>0</v>
      </c>
      <c r="P16" s="54">
        <v>0.76</v>
      </c>
      <c r="Q16" s="54">
        <v>6.77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37.909999999999997</v>
      </c>
      <c r="C17" s="54">
        <v>60.18</v>
      </c>
      <c r="D17" s="54">
        <v>60.54</v>
      </c>
      <c r="E17" s="54">
        <v>0.10</v>
      </c>
      <c r="F17" s="54">
        <v>3.49</v>
      </c>
      <c r="G17" s="54">
        <v>80.70</v>
      </c>
      <c r="H17" s="54">
        <v>25.82</v>
      </c>
      <c r="I17" s="54">
        <v>1.57</v>
      </c>
      <c r="J17" s="54">
        <v>0.25</v>
      </c>
      <c r="K17" s="54">
        <v>25.93</v>
      </c>
      <c r="L17" s="54">
        <v>25.39</v>
      </c>
      <c r="M17" s="54">
        <v>49.06</v>
      </c>
      <c r="N17" s="54">
        <v>410.30</v>
      </c>
      <c r="O17" s="54">
        <v>0</v>
      </c>
      <c r="P17" s="54">
        <v>0.76</v>
      </c>
      <c r="Q17" s="54">
        <v>6.81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21.33</v>
      </c>
      <c r="C18" s="54">
        <v>63.64</v>
      </c>
      <c r="D18" s="54">
        <v>51.60</v>
      </c>
      <c r="E18" s="54">
        <v>0.04</v>
      </c>
      <c r="F18" s="54">
        <v>4.46</v>
      </c>
      <c r="G18" s="54">
        <v>74.739999999999995</v>
      </c>
      <c r="H18" s="54">
        <v>35.65</v>
      </c>
      <c r="I18" s="54">
        <v>1.54</v>
      </c>
      <c r="J18" s="54">
        <v>0.31</v>
      </c>
      <c r="K18" s="54">
        <v>33.90</v>
      </c>
      <c r="L18" s="54">
        <v>25.66</v>
      </c>
      <c r="M18" s="54">
        <v>41.90</v>
      </c>
      <c r="N18" s="54">
        <v>471.40</v>
      </c>
      <c r="O18" s="54">
        <v>0</v>
      </c>
      <c r="P18" s="54">
        <v>0.67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4.76</v>
      </c>
      <c r="C19" s="54">
        <v>58.40</v>
      </c>
      <c r="D19" s="54">
        <v>36.69</v>
      </c>
      <c r="E19" s="54">
        <v>0.02</v>
      </c>
      <c r="F19" s="54">
        <v>6.26</v>
      </c>
      <c r="G19" s="54">
        <v>61.33</v>
      </c>
      <c r="H19" s="54">
        <v>35.65</v>
      </c>
      <c r="I19" s="54">
        <v>1.56</v>
      </c>
      <c r="J19" s="54">
        <v>0.35</v>
      </c>
      <c r="K19" s="54">
        <v>32.97</v>
      </c>
      <c r="L19" s="54">
        <v>29.96</v>
      </c>
      <c r="M19" s="54">
        <v>36.020000000000003</v>
      </c>
      <c r="N19" s="54">
        <v>753.60</v>
      </c>
      <c r="O19" s="54">
        <v>0</v>
      </c>
      <c r="P19" s="54">
        <v>0.5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1.91</v>
      </c>
      <c r="C20" s="54">
        <v>52.73</v>
      </c>
      <c r="D20" s="54">
        <v>31.28</v>
      </c>
      <c r="E20" s="54">
        <v>0.06</v>
      </c>
      <c r="F20" s="54">
        <v>8.01</v>
      </c>
      <c r="G20" s="58" t="s">
        <v>8</v>
      </c>
      <c r="H20" s="58" t="s">
        <v>8</v>
      </c>
      <c r="I20" s="54">
        <v>1.58</v>
      </c>
      <c r="J20" s="54">
        <v>0.42</v>
      </c>
      <c r="K20" s="54">
        <v>24.57</v>
      </c>
      <c r="L20" s="54">
        <v>30.81</v>
      </c>
      <c r="M20" s="54">
        <v>30.17</v>
      </c>
      <c r="N20" s="54">
        <v>790.70</v>
      </c>
      <c r="O20" s="54">
        <v>0</v>
      </c>
      <c r="P20" s="54">
        <v>0.39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1.90</v>
      </c>
      <c r="C21" s="54">
        <v>55.15</v>
      </c>
      <c r="D21" s="54">
        <v>32.60</v>
      </c>
      <c r="E21" s="54">
        <v>0.13</v>
      </c>
      <c r="F21" s="54">
        <v>7.80</v>
      </c>
      <c r="G21" s="58" t="s">
        <v>8</v>
      </c>
      <c r="H21" s="58" t="s">
        <v>8</v>
      </c>
      <c r="I21" s="54">
        <v>1.57</v>
      </c>
      <c r="J21" s="54">
        <v>1.04</v>
      </c>
      <c r="K21" s="54">
        <v>346.54</v>
      </c>
      <c r="L21" s="54">
        <v>33.409999999999997</v>
      </c>
      <c r="M21" s="54">
        <v>30.24</v>
      </c>
      <c r="N21" s="54">
        <v>799.90</v>
      </c>
      <c r="O21" s="54">
        <v>0</v>
      </c>
      <c r="P21" s="54">
        <v>0.45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2.39</v>
      </c>
      <c r="C22" s="54">
        <v>55.53</v>
      </c>
      <c r="D22" s="54">
        <v>33.04</v>
      </c>
      <c r="E22" s="54">
        <v>0.16</v>
      </c>
      <c r="F22" s="54">
        <v>5.97</v>
      </c>
      <c r="G22" s="58" t="s">
        <v>8</v>
      </c>
      <c r="H22" s="58" t="s">
        <v>8</v>
      </c>
      <c r="I22" s="54">
        <v>1.48</v>
      </c>
      <c r="J22" s="54">
        <v>1.17</v>
      </c>
      <c r="K22" s="54">
        <v>329.12</v>
      </c>
      <c r="L22" s="54">
        <v>34.25</v>
      </c>
      <c r="M22" s="54">
        <v>21.89</v>
      </c>
      <c r="N22" s="54">
        <v>785.70</v>
      </c>
      <c r="O22" s="54">
        <v>0</v>
      </c>
      <c r="P22" s="54">
        <v>0.5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2.5</v>
      </c>
      <c r="C23" s="54">
        <v>52.84</v>
      </c>
      <c r="D23" s="54">
        <v>31.71</v>
      </c>
      <c r="E23" s="54">
        <v>0.10</v>
      </c>
      <c r="F23" s="54">
        <v>6.02</v>
      </c>
      <c r="G23" s="58" t="s">
        <v>8</v>
      </c>
      <c r="H23" s="58" t="s">
        <v>8</v>
      </c>
      <c r="I23" s="54">
        <v>1.53</v>
      </c>
      <c r="J23" s="54">
        <v>1.1499999999999999</v>
      </c>
      <c r="K23" s="54">
        <v>331.74</v>
      </c>
      <c r="L23" s="54">
        <v>34.01</v>
      </c>
      <c r="M23" s="54">
        <v>21.64</v>
      </c>
      <c r="N23" s="54">
        <v>636.79999999999995</v>
      </c>
      <c r="O23" s="54">
        <v>0</v>
      </c>
      <c r="P23" s="54">
        <v>0.45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2.46</v>
      </c>
      <c r="C24" s="54">
        <v>49.99</v>
      </c>
      <c r="D24" s="54">
        <v>30.15</v>
      </c>
      <c r="E24" s="54">
        <v>0.09</v>
      </c>
      <c r="F24" s="54">
        <v>5.66</v>
      </c>
      <c r="G24" s="54">
        <v>36.43</v>
      </c>
      <c r="H24" s="54">
        <v>19.149999999999999</v>
      </c>
      <c r="I24" s="54">
        <v>1.55</v>
      </c>
      <c r="J24" s="54">
        <v>0.71</v>
      </c>
      <c r="K24" s="54">
        <v>333.93</v>
      </c>
      <c r="L24" s="54">
        <v>32.07</v>
      </c>
      <c r="M24" s="54">
        <v>22.87</v>
      </c>
      <c r="N24" s="54">
        <v>310.80</v>
      </c>
      <c r="O24" s="54">
        <v>0</v>
      </c>
      <c r="P24" s="54">
        <v>0.41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3.16</v>
      </c>
      <c r="C25" s="54">
        <v>49.54</v>
      </c>
      <c r="D25" s="54">
        <v>30.46</v>
      </c>
      <c r="E25" s="54">
        <v>0.16</v>
      </c>
      <c r="F25" s="54">
        <v>5.55</v>
      </c>
      <c r="G25" s="54">
        <v>34.40</v>
      </c>
      <c r="H25" s="54">
        <v>13.30</v>
      </c>
      <c r="I25" s="54">
        <v>1.48</v>
      </c>
      <c r="J25" s="54">
        <v>1.1599999999999999</v>
      </c>
      <c r="K25" s="54">
        <v>320.70</v>
      </c>
      <c r="L25" s="54">
        <v>29.95</v>
      </c>
      <c r="M25" s="54">
        <v>24.47</v>
      </c>
      <c r="N25" s="54">
        <v>152.40</v>
      </c>
      <c r="O25" s="54">
        <v>0</v>
      </c>
      <c r="P25" s="54">
        <v>0.40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4.92</v>
      </c>
      <c r="C26" s="54">
        <v>51.35</v>
      </c>
      <c r="D26" s="54">
        <v>32.93</v>
      </c>
      <c r="E26" s="54">
        <v>0.10</v>
      </c>
      <c r="F26" s="54">
        <v>4.34</v>
      </c>
      <c r="G26" s="54">
        <v>30.63</v>
      </c>
      <c r="H26" s="54">
        <v>14.23</v>
      </c>
      <c r="I26" s="54">
        <v>1.51</v>
      </c>
      <c r="J26" s="54">
        <v>0.86</v>
      </c>
      <c r="K26" s="54">
        <v>342.86</v>
      </c>
      <c r="L26" s="54">
        <v>28.31</v>
      </c>
      <c r="M26" s="54">
        <v>37.74</v>
      </c>
      <c r="N26" s="54">
        <v>59.60</v>
      </c>
      <c r="O26" s="54">
        <v>0</v>
      </c>
      <c r="P26" s="54">
        <v>0.45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8.18</v>
      </c>
      <c r="C27" s="54">
        <v>54.01</v>
      </c>
      <c r="D27" s="54">
        <v>37.01</v>
      </c>
      <c r="E27" s="54">
        <v>0.14000000000000001</v>
      </c>
      <c r="F27" s="54">
        <v>3.55</v>
      </c>
      <c r="G27" s="54">
        <v>36.56</v>
      </c>
      <c r="H27" s="54">
        <v>17.440000000000001</v>
      </c>
      <c r="I27" s="54">
        <v>1.56</v>
      </c>
      <c r="J27" s="54">
        <v>0.35</v>
      </c>
      <c r="K27" s="54">
        <v>344.75</v>
      </c>
      <c r="L27" s="54">
        <v>25.53</v>
      </c>
      <c r="M27" s="54">
        <v>38.61</v>
      </c>
      <c r="N27" s="54">
        <v>23.40</v>
      </c>
      <c r="O27" s="54">
        <v>0</v>
      </c>
      <c r="P27" s="54">
        <v>0.56999999999999995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14.37</v>
      </c>
      <c r="C28" s="54">
        <v>53.12</v>
      </c>
      <c r="D28" s="54">
        <v>41.19</v>
      </c>
      <c r="E28" s="54">
        <v>0.10</v>
      </c>
      <c r="F28" s="54">
        <v>3.67</v>
      </c>
      <c r="G28" s="54">
        <v>44.35</v>
      </c>
      <c r="H28" s="54">
        <v>17.440000000000001</v>
      </c>
      <c r="I28" s="54">
        <v>1.54</v>
      </c>
      <c r="J28" s="54">
        <v>0.22</v>
      </c>
      <c r="K28" s="54">
        <v>319</v>
      </c>
      <c r="L28" s="54">
        <v>24.77</v>
      </c>
      <c r="M28" s="54">
        <v>36.229999999999997</v>
      </c>
      <c r="N28" s="54">
        <v>23.60</v>
      </c>
      <c r="O28" s="54">
        <v>0</v>
      </c>
      <c r="P28" s="54">
        <v>0.84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22.37</v>
      </c>
      <c r="C29" s="54">
        <v>52.24</v>
      </c>
      <c r="D29" s="54">
        <v>47.30</v>
      </c>
      <c r="E29" s="54">
        <v>0.15</v>
      </c>
      <c r="F29" s="54">
        <v>3.49</v>
      </c>
      <c r="G29" s="54">
        <v>62.31</v>
      </c>
      <c r="H29" s="54">
        <v>21.88</v>
      </c>
      <c r="I29" s="54">
        <v>1.52</v>
      </c>
      <c r="J29" s="54">
        <v>0.16</v>
      </c>
      <c r="K29" s="54">
        <v>281.62</v>
      </c>
      <c r="L29" s="54">
        <v>23.47</v>
      </c>
      <c r="M29" s="54">
        <v>38.22</v>
      </c>
      <c r="N29" s="54">
        <v>23.60</v>
      </c>
      <c r="O29" s="54">
        <v>0</v>
      </c>
      <c r="P29" s="54">
        <v>0.93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51.05</v>
      </c>
      <c r="C30" s="54">
        <v>57.77</v>
      </c>
      <c r="D30" s="54">
        <v>73.459999999999994</v>
      </c>
      <c r="E30" s="54">
        <v>0.21</v>
      </c>
      <c r="F30" s="54">
        <v>3.38</v>
      </c>
      <c r="G30" s="54">
        <v>81.569999999999993</v>
      </c>
      <c r="H30" s="54">
        <v>32.28</v>
      </c>
      <c r="I30" s="54">
        <v>1.57</v>
      </c>
      <c r="J30" s="54">
        <v>0.21</v>
      </c>
      <c r="K30" s="54">
        <v>296.12</v>
      </c>
      <c r="L30" s="54">
        <v>22.49</v>
      </c>
      <c r="M30" s="54">
        <v>51.86</v>
      </c>
      <c r="N30" s="54">
        <v>23.90</v>
      </c>
      <c r="O30" s="54">
        <v>0</v>
      </c>
      <c r="P30" s="54">
        <v>1.1100000000000001</v>
      </c>
      <c r="Q30" s="54">
        <v>7.49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68.75</v>
      </c>
      <c r="C31" s="54">
        <v>59.15</v>
      </c>
      <c r="D31" s="54">
        <v>88</v>
      </c>
      <c r="E31" s="54">
        <v>0.22</v>
      </c>
      <c r="F31" s="54">
        <v>3.21</v>
      </c>
      <c r="G31" s="54">
        <v>94.09</v>
      </c>
      <c r="H31" s="54">
        <v>32.5</v>
      </c>
      <c r="I31" s="54">
        <v>1.53</v>
      </c>
      <c r="J31" s="54">
        <v>0.42</v>
      </c>
      <c r="K31" s="54">
        <v>349.49</v>
      </c>
      <c r="L31" s="54">
        <v>21.10</v>
      </c>
      <c r="M31" s="54">
        <v>58.09</v>
      </c>
      <c r="N31" s="54">
        <v>23.60</v>
      </c>
      <c r="O31" s="54">
        <v>0</v>
      </c>
      <c r="P31" s="54">
        <v>1.29</v>
      </c>
      <c r="Q31" s="54">
        <v>9.10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66.03</v>
      </c>
      <c r="C32" s="54">
        <v>57.43</v>
      </c>
      <c r="D32" s="54">
        <v>85.29</v>
      </c>
      <c r="E32" s="54">
        <v>0.26</v>
      </c>
      <c r="F32" s="54">
        <v>3.11</v>
      </c>
      <c r="G32" s="54">
        <v>94.09</v>
      </c>
      <c r="H32" s="54">
        <v>32.5</v>
      </c>
      <c r="I32" s="54">
        <v>1.55</v>
      </c>
      <c r="J32" s="54">
        <v>0.88</v>
      </c>
      <c r="K32" s="54">
        <v>344.21</v>
      </c>
      <c r="L32" s="54">
        <v>21.36</v>
      </c>
      <c r="M32" s="54">
        <v>57.19</v>
      </c>
      <c r="N32" s="54">
        <v>24</v>
      </c>
      <c r="O32" s="54">
        <v>0</v>
      </c>
      <c r="P32" s="54">
        <v>1.24</v>
      </c>
      <c r="Q32" s="54">
        <v>9.16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1.8999999999999999</v>
      </c>
      <c r="C34" s="28">
        <f t="shared" si="0"/>
        <v>41.649999999999999</v>
      </c>
      <c r="D34" s="28">
        <f t="shared" si="0"/>
        <v>30.149999999999999</v>
      </c>
      <c r="E34" s="28">
        <f t="shared" si="0"/>
        <v>0.02</v>
      </c>
      <c r="F34" s="28">
        <f t="shared" si="0"/>
        <v>3.1099999999999999</v>
      </c>
      <c r="G34" s="28">
        <f t="shared" si="0"/>
        <v>30.629999999999999</v>
      </c>
      <c r="H34" s="28">
        <f t="shared" si="0"/>
        <v>13.300000000000001</v>
      </c>
      <c r="I34" s="28">
        <f t="shared" si="0"/>
        <v>1.48</v>
      </c>
      <c r="J34" s="28">
        <f t="shared" si="0"/>
        <v>0.089999999999999997</v>
      </c>
      <c r="K34" s="28">
        <f t="shared" si="0"/>
        <v>24.57</v>
      </c>
      <c r="L34" s="28">
        <f t="shared" si="0"/>
        <v>18.829999999999998</v>
      </c>
      <c r="M34" s="28">
        <f t="shared" si="0"/>
        <v>21.640000000000001</v>
      </c>
      <c r="N34" s="28">
        <f t="shared" si="0"/>
        <v>21.100000000000001</v>
      </c>
      <c r="O34" s="28">
        <f t="shared" si="0"/>
        <v>0</v>
      </c>
      <c r="P34" s="28">
        <f t="shared" si="0"/>
        <v>0.39000000000000001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68.75</v>
      </c>
      <c r="C35" s="29">
        <f t="shared" si="1"/>
        <v>63.640000000000001</v>
      </c>
      <c r="D35" s="29">
        <f t="shared" si="1"/>
        <v>88</v>
      </c>
      <c r="E35" s="29">
        <f t="shared" si="1"/>
        <v>0.29999999999999999</v>
      </c>
      <c r="F35" s="29">
        <f t="shared" si="1"/>
        <v>8.0099999999999998</v>
      </c>
      <c r="G35" s="29">
        <f t="shared" si="1"/>
        <v>95.280000000000001</v>
      </c>
      <c r="H35" s="29">
        <f t="shared" si="1"/>
        <v>35.649999999999999</v>
      </c>
      <c r="I35" s="29">
        <f t="shared" si="1"/>
        <v>1.6100000000000001</v>
      </c>
      <c r="J35" s="29">
        <f t="shared" si="1"/>
        <v>1.1699999999999999</v>
      </c>
      <c r="K35" s="29">
        <f t="shared" si="1"/>
        <v>349.49000000000001</v>
      </c>
      <c r="L35" s="29">
        <f t="shared" si="1"/>
        <v>34.25</v>
      </c>
      <c r="M35" s="29">
        <f t="shared" si="1"/>
        <v>85.269999999999996</v>
      </c>
      <c r="N35" s="29">
        <f t="shared" si="1"/>
        <v>799.89999999999998</v>
      </c>
      <c r="O35" s="29">
        <f t="shared" si="1"/>
        <v>0</v>
      </c>
      <c r="P35" s="29">
        <f t="shared" si="1"/>
        <v>1.5600000000000001</v>
      </c>
      <c r="Q35" s="29">
        <f t="shared" si="1"/>
        <v>9.1600000000000001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24.908749999999998</v>
      </c>
      <c r="C36" s="28">
        <f t="shared" si="2"/>
        <v>51.647916666666674</v>
      </c>
      <c r="D36" s="28">
        <f t="shared" si="2"/>
        <v>48.786249999999995</v>
      </c>
      <c r="E36" s="28">
        <f t="shared" si="2"/>
        <v>0.17583333333333337</v>
      </c>
      <c r="F36" s="28">
        <f t="shared" si="2"/>
        <v>4.4474999999999989</v>
      </c>
      <c r="G36" s="28">
        <f t="shared" si="2"/>
        <v>60.763999999999989</v>
      </c>
      <c r="H36" s="28">
        <f t="shared" si="2"/>
        <v>25.340499999999999</v>
      </c>
      <c r="I36" s="28">
        <f t="shared" si="2"/>
        <v>1.5379166666666666</v>
      </c>
      <c r="J36" s="28">
        <f t="shared" si="2"/>
        <v>0.48583333333333339</v>
      </c>
      <c r="K36" s="28">
        <f t="shared" si="2"/>
        <v>262.72249999999997</v>
      </c>
      <c r="L36" s="28">
        <f t="shared" si="2"/>
        <v>25.30916666666667</v>
      </c>
      <c r="M36" s="28">
        <f t="shared" si="2"/>
        <v>50.064583333333324</v>
      </c>
      <c r="N36" s="28">
        <f t="shared" si="2"/>
        <v>238.60000000000005</v>
      </c>
      <c r="O36" s="28">
        <f t="shared" si="2"/>
        <v>0</v>
      </c>
      <c r="P36" s="28">
        <f t="shared" si="2"/>
        <v>0.8112499999999998</v>
      </c>
      <c r="Q36" s="28">
        <f t="shared" si="2"/>
        <v>6.0191666666666634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21.389704616636404</v>
      </c>
      <c r="C37" s="28">
        <f t="shared" si="3" ref="C37:Q37">STDEV(C9:C32)</f>
        <v>6.2750007650556379</v>
      </c>
      <c r="D37" s="28">
        <f t="shared" si="3"/>
        <v>17.344398372134602</v>
      </c>
      <c r="E37" s="28">
        <f t="shared" si="3"/>
        <v>0.088264260661634245</v>
      </c>
      <c r="F37" s="28">
        <f t="shared" si="3"/>
        <v>1.4497053673674249</v>
      </c>
      <c r="G37" s="28">
        <f t="shared" si="3"/>
        <v>22.147738722639783</v>
      </c>
      <c r="H37" s="28">
        <f t="shared" si="3"/>
        <v>7.4828621564633693</v>
      </c>
      <c r="I37" s="28">
        <f t="shared" si="3"/>
        <v>0.031619912090006065</v>
      </c>
      <c r="J37" s="28">
        <f t="shared" si="3"/>
        <v>0.36154158659907942</v>
      </c>
      <c r="K37" s="28">
        <f t="shared" si="3"/>
        <v>116.61346701445105</v>
      </c>
      <c r="L37" s="28">
        <f t="shared" si="3"/>
        <v>5.0610154649271486</v>
      </c>
      <c r="M37" s="28">
        <f t="shared" si="3"/>
        <v>21.186871032945568</v>
      </c>
      <c r="N37" s="28">
        <f t="shared" si="3"/>
        <v>299.72330428319174</v>
      </c>
      <c r="O37" s="28">
        <f t="shared" si="3"/>
        <v>0</v>
      </c>
      <c r="P37" s="28">
        <f t="shared" si="3"/>
        <v>0.35202905636003928</v>
      </c>
      <c r="Q37" s="28">
        <f t="shared" si="3"/>
        <v>1.2994343808538245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a5de8-95a9-4cfe-b0ae-aa13e4f5bc04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55.71</v>
      </c>
      <c r="C9" s="54">
        <v>51.94</v>
      </c>
      <c r="D9" s="54">
        <v>73.989999999999995</v>
      </c>
      <c r="E9" s="54">
        <v>0.12</v>
      </c>
      <c r="F9" s="54">
        <v>3.31</v>
      </c>
      <c r="G9" s="54">
        <v>73.56</v>
      </c>
      <c r="H9" s="54">
        <v>26.82</v>
      </c>
      <c r="I9" s="54">
        <v>1.54</v>
      </c>
      <c r="J9" s="54">
        <v>0.10</v>
      </c>
      <c r="K9" s="54">
        <v>301.39</v>
      </c>
      <c r="L9" s="54">
        <v>20.37</v>
      </c>
      <c r="M9" s="54">
        <v>60.45</v>
      </c>
      <c r="N9" s="54">
        <v>23.40</v>
      </c>
      <c r="O9" s="54">
        <v>0</v>
      </c>
      <c r="P9" s="54">
        <v>1.1200000000000001</v>
      </c>
      <c r="Q9" s="54">
        <v>8.17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48.82</v>
      </c>
      <c r="C10" s="54">
        <v>49.73</v>
      </c>
      <c r="D10" s="54">
        <v>67.239999999999995</v>
      </c>
      <c r="E10" s="54">
        <v>0.17</v>
      </c>
      <c r="F10" s="54">
        <v>3.44</v>
      </c>
      <c r="G10" s="54">
        <v>60.26</v>
      </c>
      <c r="H10" s="54">
        <v>20.66</v>
      </c>
      <c r="I10" s="54">
        <v>1.57</v>
      </c>
      <c r="J10" s="54">
        <v>0.15</v>
      </c>
      <c r="K10" s="54">
        <v>311.25</v>
      </c>
      <c r="L10" s="54">
        <v>19.63</v>
      </c>
      <c r="M10" s="54">
        <v>67.209999999999994</v>
      </c>
      <c r="N10" s="54">
        <v>23.70</v>
      </c>
      <c r="O10" s="54">
        <v>0</v>
      </c>
      <c r="P10" s="54">
        <v>0.90</v>
      </c>
      <c r="Q10" s="54">
        <v>7.84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39.15</v>
      </c>
      <c r="C11" s="54">
        <v>48.45</v>
      </c>
      <c r="D11" s="54">
        <v>58.18</v>
      </c>
      <c r="E11" s="54">
        <v>0.13</v>
      </c>
      <c r="F11" s="54">
        <v>3.23</v>
      </c>
      <c r="G11" s="54">
        <v>45.5</v>
      </c>
      <c r="H11" s="54">
        <v>24.61</v>
      </c>
      <c r="I11" s="54">
        <v>1.5</v>
      </c>
      <c r="J11" s="54">
        <v>0.13</v>
      </c>
      <c r="K11" s="54">
        <v>304.92</v>
      </c>
      <c r="L11" s="54">
        <v>18.95</v>
      </c>
      <c r="M11" s="54">
        <v>70.849999999999994</v>
      </c>
      <c r="N11" s="54">
        <v>23.60</v>
      </c>
      <c r="O11" s="54">
        <v>0</v>
      </c>
      <c r="P11" s="54">
        <v>0.83</v>
      </c>
      <c r="Q11" s="54">
        <v>7.16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30.87</v>
      </c>
      <c r="C12" s="54">
        <v>48.88</v>
      </c>
      <c r="D12" s="54">
        <v>51.91</v>
      </c>
      <c r="E12" s="54">
        <v>0.13</v>
      </c>
      <c r="F12" s="54">
        <v>3.24</v>
      </c>
      <c r="G12" s="54">
        <v>42.75</v>
      </c>
      <c r="H12" s="54">
        <v>24.61</v>
      </c>
      <c r="I12" s="54">
        <v>1.54</v>
      </c>
      <c r="J12" s="54">
        <v>0.18</v>
      </c>
      <c r="K12" s="54">
        <v>308.45</v>
      </c>
      <c r="L12" s="54">
        <v>19.78</v>
      </c>
      <c r="M12" s="54">
        <v>62.42</v>
      </c>
      <c r="N12" s="54">
        <v>23.70</v>
      </c>
      <c r="O12" s="54">
        <v>0</v>
      </c>
      <c r="P12" s="54">
        <v>0.73</v>
      </c>
      <c r="Q12" s="54">
        <v>5.60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23.06</v>
      </c>
      <c r="C13" s="54">
        <v>47.32</v>
      </c>
      <c r="D13" s="54">
        <v>44.89</v>
      </c>
      <c r="E13" s="54">
        <v>0.21</v>
      </c>
      <c r="F13" s="54">
        <v>3.29</v>
      </c>
      <c r="G13" s="54">
        <v>42.75</v>
      </c>
      <c r="H13" s="54">
        <v>17.5</v>
      </c>
      <c r="I13" s="54">
        <v>1.57</v>
      </c>
      <c r="J13" s="54">
        <v>0.14000000000000001</v>
      </c>
      <c r="K13" s="54">
        <v>328.78</v>
      </c>
      <c r="L13" s="54">
        <v>19.36</v>
      </c>
      <c r="M13" s="54">
        <v>67.72</v>
      </c>
      <c r="N13" s="54">
        <v>23.60</v>
      </c>
      <c r="O13" s="54">
        <v>0</v>
      </c>
      <c r="P13" s="54">
        <v>0.62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24.96</v>
      </c>
      <c r="C14" s="54">
        <v>48.52</v>
      </c>
      <c r="D14" s="54">
        <v>47.44</v>
      </c>
      <c r="E14" s="54">
        <v>0.25</v>
      </c>
      <c r="F14" s="54">
        <v>3.35</v>
      </c>
      <c r="G14" s="54">
        <v>52.49</v>
      </c>
      <c r="H14" s="54">
        <v>20</v>
      </c>
      <c r="I14" s="54">
        <v>1.54</v>
      </c>
      <c r="J14" s="54">
        <v>0.23</v>
      </c>
      <c r="K14" s="54">
        <v>210.38</v>
      </c>
      <c r="L14" s="54">
        <v>18.38</v>
      </c>
      <c r="M14" s="54">
        <v>70.81</v>
      </c>
      <c r="N14" s="54">
        <v>23.40</v>
      </c>
      <c r="O14" s="54">
        <v>0</v>
      </c>
      <c r="P14" s="54">
        <v>0.57999999999999996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25.78</v>
      </c>
      <c r="C15" s="54">
        <v>48.42</v>
      </c>
      <c r="D15" s="54">
        <v>47.90</v>
      </c>
      <c r="E15" s="54">
        <v>0.23</v>
      </c>
      <c r="F15" s="54">
        <v>3.45</v>
      </c>
      <c r="G15" s="54">
        <v>55.19</v>
      </c>
      <c r="H15" s="54">
        <v>20.59</v>
      </c>
      <c r="I15" s="54">
        <v>1.54</v>
      </c>
      <c r="J15" s="54">
        <v>0.28000000000000003</v>
      </c>
      <c r="K15" s="54">
        <v>248.06</v>
      </c>
      <c r="L15" s="54">
        <v>18.22</v>
      </c>
      <c r="M15" s="54">
        <v>72.84</v>
      </c>
      <c r="N15" s="54">
        <v>59.10</v>
      </c>
      <c r="O15" s="54">
        <v>0</v>
      </c>
      <c r="P15" s="54">
        <v>0.56000000000000005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24.73</v>
      </c>
      <c r="C16" s="54">
        <v>49.72</v>
      </c>
      <c r="D16" s="54">
        <v>47.23</v>
      </c>
      <c r="E16" s="54">
        <v>0.27</v>
      </c>
      <c r="F16" s="54">
        <v>3.28</v>
      </c>
      <c r="G16" s="54">
        <v>55.97</v>
      </c>
      <c r="H16" s="54">
        <v>20.59</v>
      </c>
      <c r="I16" s="54">
        <v>1.57</v>
      </c>
      <c r="J16" s="54">
        <v>0.31</v>
      </c>
      <c r="K16" s="54">
        <v>349.01</v>
      </c>
      <c r="L16" s="54">
        <v>22.20</v>
      </c>
      <c r="M16" s="54">
        <v>67.19</v>
      </c>
      <c r="N16" s="54">
        <v>256.60000000000002</v>
      </c>
      <c r="O16" s="54">
        <v>0</v>
      </c>
      <c r="P16" s="54">
        <v>0.62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18.11</v>
      </c>
      <c r="C17" s="54">
        <v>52.13</v>
      </c>
      <c r="D17" s="54">
        <v>42.84</v>
      </c>
      <c r="E17" s="54">
        <v>0.070000000000000007</v>
      </c>
      <c r="F17" s="54">
        <v>3.65</v>
      </c>
      <c r="G17" s="54">
        <v>55.97</v>
      </c>
      <c r="H17" s="54">
        <v>18.63</v>
      </c>
      <c r="I17" s="54">
        <v>1.57</v>
      </c>
      <c r="J17" s="54">
        <v>0.04</v>
      </c>
      <c r="K17" s="54">
        <v>251.15</v>
      </c>
      <c r="L17" s="54">
        <v>24.33</v>
      </c>
      <c r="M17" s="54">
        <v>54.29</v>
      </c>
      <c r="N17" s="54">
        <v>474.60</v>
      </c>
      <c r="O17" s="54">
        <v>0</v>
      </c>
      <c r="P17" s="54">
        <v>0.60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7.76</v>
      </c>
      <c r="C18" s="54">
        <v>53.5</v>
      </c>
      <c r="D18" s="54">
        <v>35.96</v>
      </c>
      <c r="E18" s="54">
        <v>0.14000000000000001</v>
      </c>
      <c r="F18" s="54">
        <v>6.88</v>
      </c>
      <c r="G18" s="54">
        <v>51.90</v>
      </c>
      <c r="H18" s="54">
        <v>15.35</v>
      </c>
      <c r="I18" s="54">
        <v>1.54</v>
      </c>
      <c r="J18" s="54">
        <v>0.35</v>
      </c>
      <c r="K18" s="54">
        <v>30.25</v>
      </c>
      <c r="L18" s="54">
        <v>28.15</v>
      </c>
      <c r="M18" s="54">
        <v>44.73</v>
      </c>
      <c r="N18" s="54">
        <v>666.90</v>
      </c>
      <c r="O18" s="54">
        <v>0</v>
      </c>
      <c r="P18" s="54">
        <v>0.53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1.70</v>
      </c>
      <c r="C19" s="54">
        <v>51.39</v>
      </c>
      <c r="D19" s="54">
        <v>30.27</v>
      </c>
      <c r="E19" s="54">
        <v>0.23</v>
      </c>
      <c r="F19" s="54">
        <v>14.47</v>
      </c>
      <c r="G19" s="54">
        <v>51.90</v>
      </c>
      <c r="H19" s="54">
        <v>15.35</v>
      </c>
      <c r="I19" s="54">
        <v>1.52</v>
      </c>
      <c r="J19" s="54">
        <v>0.48</v>
      </c>
      <c r="K19" s="54">
        <v>40.090000000000003</v>
      </c>
      <c r="L19" s="54">
        <v>30.57</v>
      </c>
      <c r="M19" s="54">
        <v>34.54</v>
      </c>
      <c r="N19" s="54">
        <v>784.5</v>
      </c>
      <c r="O19" s="54">
        <v>0</v>
      </c>
      <c r="P19" s="54">
        <v>0.42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1.94</v>
      </c>
      <c r="C20" s="54">
        <v>50.05</v>
      </c>
      <c r="D20" s="54">
        <v>29.78</v>
      </c>
      <c r="E20" s="54">
        <v>0.15</v>
      </c>
      <c r="F20" s="54">
        <v>12.65</v>
      </c>
      <c r="G20" s="59" t="s">
        <v>12</v>
      </c>
      <c r="H20" s="59" t="s">
        <v>12</v>
      </c>
      <c r="I20" s="54">
        <v>1.62</v>
      </c>
      <c r="J20" s="54">
        <v>1.31</v>
      </c>
      <c r="K20" s="54">
        <v>346.59</v>
      </c>
      <c r="L20" s="54">
        <v>32.590000000000003</v>
      </c>
      <c r="M20" s="54">
        <v>28.59</v>
      </c>
      <c r="N20" s="54">
        <v>841.5</v>
      </c>
      <c r="O20" s="54">
        <v>0</v>
      </c>
      <c r="P20" s="18" t="s">
        <v>12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1.69</v>
      </c>
      <c r="C21" s="54">
        <v>48.89</v>
      </c>
      <c r="D21" s="54">
        <v>28.93</v>
      </c>
      <c r="E21" s="54">
        <v>0.16</v>
      </c>
      <c r="F21" s="54">
        <v>9.06</v>
      </c>
      <c r="G21" s="59" t="s">
        <v>12</v>
      </c>
      <c r="H21" s="59" t="s">
        <v>12</v>
      </c>
      <c r="I21" s="54">
        <v>1.55</v>
      </c>
      <c r="J21" s="54">
        <v>1.24</v>
      </c>
      <c r="K21" s="54">
        <v>320.93</v>
      </c>
      <c r="L21" s="54">
        <v>33.85</v>
      </c>
      <c r="M21" s="54">
        <v>26.74</v>
      </c>
      <c r="N21" s="54">
        <v>843.30</v>
      </c>
      <c r="O21" s="54">
        <v>0</v>
      </c>
      <c r="P21" s="54">
        <v>0.40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2.17</v>
      </c>
      <c r="C22" s="54">
        <v>48.70</v>
      </c>
      <c r="D22" s="54">
        <v>28.94</v>
      </c>
      <c r="E22" s="54">
        <v>0.19</v>
      </c>
      <c r="F22" s="54">
        <v>8.5</v>
      </c>
      <c r="G22" s="54">
        <v>62.97</v>
      </c>
      <c r="H22" s="54">
        <v>23.45</v>
      </c>
      <c r="I22" s="54">
        <v>1.55</v>
      </c>
      <c r="J22" s="54">
        <v>0.82</v>
      </c>
      <c r="K22" s="54">
        <v>324.77999999999997</v>
      </c>
      <c r="L22" s="54">
        <v>33.92</v>
      </c>
      <c r="M22" s="54">
        <v>22.82</v>
      </c>
      <c r="N22" s="54">
        <v>784.5</v>
      </c>
      <c r="O22" s="54">
        <v>0</v>
      </c>
      <c r="P22" s="54">
        <v>0.39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1.80</v>
      </c>
      <c r="C23" s="54">
        <v>48.42</v>
      </c>
      <c r="D23" s="54">
        <v>28.67</v>
      </c>
      <c r="E23" s="54">
        <v>0.16</v>
      </c>
      <c r="F23" s="54">
        <v>10.45</v>
      </c>
      <c r="G23" s="54">
        <v>62.97</v>
      </c>
      <c r="H23" s="54">
        <v>23.45</v>
      </c>
      <c r="I23" s="54">
        <v>1.54</v>
      </c>
      <c r="J23" s="54">
        <v>0.32</v>
      </c>
      <c r="K23" s="54">
        <v>351.93</v>
      </c>
      <c r="L23" s="54">
        <v>31.64</v>
      </c>
      <c r="M23" s="54">
        <v>23.14</v>
      </c>
      <c r="N23" s="54">
        <v>679</v>
      </c>
      <c r="O23" s="54">
        <v>0</v>
      </c>
      <c r="P23" s="54">
        <v>0.41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1.55</v>
      </c>
      <c r="C24" s="54">
        <v>46.65</v>
      </c>
      <c r="D24" s="54">
        <v>27.41</v>
      </c>
      <c r="E24" s="54">
        <v>0.20</v>
      </c>
      <c r="F24" s="54">
        <v>12.60</v>
      </c>
      <c r="G24" s="54">
        <v>51.86</v>
      </c>
      <c r="H24" s="54">
        <v>18.77</v>
      </c>
      <c r="I24" s="54">
        <v>1.57</v>
      </c>
      <c r="J24" s="54">
        <v>0.30</v>
      </c>
      <c r="K24" s="54">
        <v>33.61</v>
      </c>
      <c r="L24" s="54">
        <v>30.96</v>
      </c>
      <c r="M24" s="54">
        <v>23.52</v>
      </c>
      <c r="N24" s="54">
        <v>300.20</v>
      </c>
      <c r="O24" s="54">
        <v>0</v>
      </c>
      <c r="P24" s="54">
        <v>0.35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1.37</v>
      </c>
      <c r="C25" s="54">
        <v>45.89</v>
      </c>
      <c r="D25" s="54">
        <v>26.92</v>
      </c>
      <c r="E25" s="54">
        <v>0.19</v>
      </c>
      <c r="F25" s="54">
        <v>8.4600000000000009</v>
      </c>
      <c r="G25" s="54">
        <v>51.86</v>
      </c>
      <c r="H25" s="54">
        <v>18.77</v>
      </c>
      <c r="I25" s="54">
        <v>1.47</v>
      </c>
      <c r="J25" s="54">
        <v>0.52</v>
      </c>
      <c r="K25" s="54">
        <v>353.80</v>
      </c>
      <c r="L25" s="54">
        <v>29.61</v>
      </c>
      <c r="M25" s="54">
        <v>26.42</v>
      </c>
      <c r="N25" s="54">
        <v>137</v>
      </c>
      <c r="O25" s="54">
        <v>0</v>
      </c>
      <c r="P25" s="54">
        <v>0.32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3.18</v>
      </c>
      <c r="C26" s="54">
        <v>64.11</v>
      </c>
      <c r="D26" s="54">
        <v>37.950000000000003</v>
      </c>
      <c r="E26" s="54">
        <v>0.20</v>
      </c>
      <c r="F26" s="54">
        <v>8.5</v>
      </c>
      <c r="G26" s="54">
        <v>38.40</v>
      </c>
      <c r="H26" s="54">
        <v>16.46</v>
      </c>
      <c r="I26" s="54">
        <v>1.56</v>
      </c>
      <c r="J26" s="54">
        <v>0.19</v>
      </c>
      <c r="K26" s="54">
        <v>14.10</v>
      </c>
      <c r="L26" s="54">
        <v>28.40</v>
      </c>
      <c r="M26" s="54">
        <v>28.74</v>
      </c>
      <c r="N26" s="54">
        <v>59.5</v>
      </c>
      <c r="O26" s="54">
        <v>0</v>
      </c>
      <c r="P26" s="54">
        <v>0.62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9.27</v>
      </c>
      <c r="C27" s="54">
        <v>63.65</v>
      </c>
      <c r="D27" s="54">
        <v>41</v>
      </c>
      <c r="E27" s="54">
        <v>0.14000000000000001</v>
      </c>
      <c r="F27" s="54">
        <v>4.26</v>
      </c>
      <c r="G27" s="54">
        <v>36.57</v>
      </c>
      <c r="H27" s="54">
        <v>13.40</v>
      </c>
      <c r="I27" s="54">
        <v>1.49</v>
      </c>
      <c r="J27" s="54">
        <v>0.12</v>
      </c>
      <c r="K27" s="54">
        <v>329.24</v>
      </c>
      <c r="L27" s="54">
        <v>26.39</v>
      </c>
      <c r="M27" s="54">
        <v>38.119999999999997</v>
      </c>
      <c r="N27" s="54">
        <v>24.40</v>
      </c>
      <c r="O27" s="54">
        <v>0</v>
      </c>
      <c r="P27" s="54">
        <v>0.97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17.010000000000002</v>
      </c>
      <c r="C28" s="54">
        <v>58.91</v>
      </c>
      <c r="D28" s="54">
        <v>45.33</v>
      </c>
      <c r="E28" s="54">
        <v>0.14000000000000001</v>
      </c>
      <c r="F28" s="54">
        <v>3.34</v>
      </c>
      <c r="G28" s="54">
        <v>52.75</v>
      </c>
      <c r="H28" s="54">
        <v>20.28</v>
      </c>
      <c r="I28" s="54">
        <v>1.56</v>
      </c>
      <c r="J28" s="54">
        <v>0.49</v>
      </c>
      <c r="K28" s="54">
        <v>217.83</v>
      </c>
      <c r="L28" s="54">
        <v>24.92</v>
      </c>
      <c r="M28" s="54">
        <v>39.65</v>
      </c>
      <c r="N28" s="54">
        <v>23.40</v>
      </c>
      <c r="O28" s="54">
        <v>0</v>
      </c>
      <c r="P28" s="54">
        <v>0.94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19.89</v>
      </c>
      <c r="C29" s="54">
        <v>57.64</v>
      </c>
      <c r="D29" s="54">
        <v>48.41</v>
      </c>
      <c r="E29" s="54">
        <v>0.17</v>
      </c>
      <c r="F29" s="54">
        <v>3.27</v>
      </c>
      <c r="G29" s="54">
        <v>56.28</v>
      </c>
      <c r="H29" s="54">
        <v>20.28</v>
      </c>
      <c r="I29" s="54">
        <v>1.55</v>
      </c>
      <c r="J29" s="54">
        <v>0.30</v>
      </c>
      <c r="K29" s="54">
        <v>224.03</v>
      </c>
      <c r="L29" s="54">
        <v>24.48</v>
      </c>
      <c r="M29" s="54">
        <v>45.06</v>
      </c>
      <c r="N29" s="54">
        <v>23.60</v>
      </c>
      <c r="O29" s="54">
        <v>0</v>
      </c>
      <c r="P29" s="54">
        <v>0.89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37.90</v>
      </c>
      <c r="C30" s="54">
        <v>60.20</v>
      </c>
      <c r="D30" s="54">
        <v>64.27</v>
      </c>
      <c r="E30" s="54">
        <v>0.15</v>
      </c>
      <c r="F30" s="54">
        <v>3.22</v>
      </c>
      <c r="G30" s="54">
        <v>69.44</v>
      </c>
      <c r="H30" s="54">
        <v>19.55</v>
      </c>
      <c r="I30" s="54">
        <v>1.54</v>
      </c>
      <c r="J30" s="54">
        <v>0.13</v>
      </c>
      <c r="K30" s="54">
        <v>351.84</v>
      </c>
      <c r="L30" s="54">
        <v>23.54</v>
      </c>
      <c r="M30" s="54">
        <v>53.67</v>
      </c>
      <c r="N30" s="54">
        <v>24</v>
      </c>
      <c r="O30" s="54">
        <v>0</v>
      </c>
      <c r="P30" s="54">
        <v>1.1299999999999999</v>
      </c>
      <c r="Q30" s="54">
        <v>6.87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46.67</v>
      </c>
      <c r="C31" s="54">
        <v>60.74</v>
      </c>
      <c r="D31" s="54">
        <v>71.11</v>
      </c>
      <c r="E31" s="54">
        <v>0.22</v>
      </c>
      <c r="F31" s="54">
        <v>3.47</v>
      </c>
      <c r="G31" s="54">
        <v>77.70</v>
      </c>
      <c r="H31" s="54">
        <v>23.13</v>
      </c>
      <c r="I31" s="54">
        <v>1.52</v>
      </c>
      <c r="J31" s="54">
        <v>0.24</v>
      </c>
      <c r="K31" s="54">
        <v>353.45</v>
      </c>
      <c r="L31" s="54">
        <v>22.63</v>
      </c>
      <c r="M31" s="54">
        <v>58.21</v>
      </c>
      <c r="N31" s="54">
        <v>23.70</v>
      </c>
      <c r="O31" s="54">
        <v>0</v>
      </c>
      <c r="P31" s="54">
        <v>1.19</v>
      </c>
      <c r="Q31" s="54">
        <v>7.78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45.43</v>
      </c>
      <c r="C32" s="54">
        <v>57.47</v>
      </c>
      <c r="D32" s="54">
        <v>68.80</v>
      </c>
      <c r="E32" s="54">
        <v>0.18</v>
      </c>
      <c r="F32" s="54">
        <v>3.54</v>
      </c>
      <c r="G32" s="54">
        <v>77.70</v>
      </c>
      <c r="H32" s="54">
        <v>23.13</v>
      </c>
      <c r="I32" s="54">
        <v>1.5</v>
      </c>
      <c r="J32" s="54">
        <v>0.42</v>
      </c>
      <c r="K32" s="54">
        <v>239.04</v>
      </c>
      <c r="L32" s="54">
        <v>22.68</v>
      </c>
      <c r="M32" s="54">
        <v>52.31</v>
      </c>
      <c r="N32" s="54">
        <v>23.5</v>
      </c>
      <c r="O32" s="54">
        <v>0</v>
      </c>
      <c r="P32" s="54">
        <v>1.08</v>
      </c>
      <c r="Q32" s="54">
        <v>7.73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1.3700000000000001</v>
      </c>
      <c r="C34" s="28">
        <f t="shared" si="0"/>
        <v>45.890000000000001</v>
      </c>
      <c r="D34" s="28">
        <f t="shared" si="0"/>
        <v>26.920000000000002</v>
      </c>
      <c r="E34" s="28">
        <f t="shared" si="0"/>
        <v>0.070000000000000007</v>
      </c>
      <c r="F34" s="28">
        <f t="shared" si="0"/>
        <v>3.2200000000000002</v>
      </c>
      <c r="G34" s="28">
        <f t="shared" si="0"/>
        <v>36.57</v>
      </c>
      <c r="H34" s="28">
        <f t="shared" si="0"/>
        <v>13.4</v>
      </c>
      <c r="I34" s="28">
        <f t="shared" si="0"/>
        <v>1.47</v>
      </c>
      <c r="J34" s="28">
        <f t="shared" si="0"/>
        <v>0.040000000000000001</v>
      </c>
      <c r="K34" s="28">
        <f t="shared" si="0"/>
        <v>14.1</v>
      </c>
      <c r="L34" s="28">
        <f t="shared" si="0"/>
        <v>18.219999999999999</v>
      </c>
      <c r="M34" s="28">
        <f t="shared" si="0"/>
        <v>22.82</v>
      </c>
      <c r="N34" s="28">
        <f t="shared" si="0"/>
        <v>23.399999999999999</v>
      </c>
      <c r="O34" s="28">
        <f t="shared" si="0"/>
        <v>0</v>
      </c>
      <c r="P34" s="28">
        <f t="shared" si="0"/>
        <v>0.32000000000000001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55.710000000000001</v>
      </c>
      <c r="C35" s="29">
        <f t="shared" si="1"/>
        <v>64.109999999999999</v>
      </c>
      <c r="D35" s="29">
        <f t="shared" si="1"/>
        <v>73.989999999999995</v>
      </c>
      <c r="E35" s="29">
        <f t="shared" si="1"/>
        <v>0.27000000000000002</v>
      </c>
      <c r="F35" s="29">
        <f t="shared" si="1"/>
        <v>14.470000000000001</v>
      </c>
      <c r="G35" s="29">
        <f t="shared" si="1"/>
        <v>77.700000000000003</v>
      </c>
      <c r="H35" s="29">
        <f t="shared" si="1"/>
        <v>26.82</v>
      </c>
      <c r="I35" s="29">
        <f t="shared" si="1"/>
        <v>1.6200000000000001</v>
      </c>
      <c r="J35" s="29">
        <f t="shared" si="1"/>
        <v>1.3100000000000001</v>
      </c>
      <c r="K35" s="29">
        <f t="shared" si="1"/>
        <v>353.80000000000001</v>
      </c>
      <c r="L35" s="29">
        <f t="shared" si="1"/>
        <v>33.920000000000002</v>
      </c>
      <c r="M35" s="29">
        <f t="shared" si="1"/>
        <v>72.840000000000003</v>
      </c>
      <c r="N35" s="29">
        <f t="shared" si="1"/>
        <v>843.29999999999995</v>
      </c>
      <c r="O35" s="29">
        <f t="shared" si="1"/>
        <v>0</v>
      </c>
      <c r="P35" s="29">
        <f t="shared" si="1"/>
        <v>1.1899999999999999</v>
      </c>
      <c r="Q35" s="29">
        <f t="shared" si="1"/>
        <v>8.1699999999999999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20.438333333333336</v>
      </c>
      <c r="C36" s="28">
        <f t="shared" si="2"/>
        <v>52.555000000000007</v>
      </c>
      <c r="D36" s="28">
        <f t="shared" si="2"/>
        <v>45.64041666666666</v>
      </c>
      <c r="E36" s="28">
        <f t="shared" si="2"/>
        <v>0.17500000000000002</v>
      </c>
      <c r="F36" s="28">
        <f t="shared" si="2"/>
        <v>5.9545833333333329</v>
      </c>
      <c r="G36" s="28">
        <f t="shared" si="2"/>
        <v>55.760909090909102</v>
      </c>
      <c r="H36" s="28">
        <f t="shared" si="2"/>
        <v>20.244545454545445</v>
      </c>
      <c r="I36" s="28">
        <f t="shared" si="2"/>
        <v>1.5424999999999998</v>
      </c>
      <c r="J36" s="28">
        <f t="shared" si="2"/>
        <v>0.36625000000000013</v>
      </c>
      <c r="K36" s="28">
        <f t="shared" si="2"/>
        <v>256.03749999999997</v>
      </c>
      <c r="L36" s="28">
        <f t="shared" si="2"/>
        <v>25.231249999999992</v>
      </c>
      <c r="M36" s="28">
        <f t="shared" si="2"/>
        <v>47.501666666666665</v>
      </c>
      <c r="N36" s="28">
        <f t="shared" si="2"/>
        <v>257.11249999999995</v>
      </c>
      <c r="O36" s="28">
        <f t="shared" si="2"/>
        <v>0</v>
      </c>
      <c r="P36" s="28">
        <f t="shared" si="2"/>
        <v>0.70434782608695645</v>
      </c>
      <c r="Q36" s="28">
        <f t="shared" si="2"/>
        <v>5.8216666666666628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17.75132589454919</v>
      </c>
      <c r="C37" s="28">
        <f t="shared" si="3" ref="C37:Q37">STDEV(C9:C32)</f>
        <v>5.5692626941562287</v>
      </c>
      <c r="D37" s="28">
        <f t="shared" si="3"/>
        <v>15.06087429737892</v>
      </c>
      <c r="E37" s="28">
        <f t="shared" si="3"/>
        <v>0.046250734424251143</v>
      </c>
      <c r="F37" s="28">
        <f t="shared" si="3"/>
        <v>3.6628166628698624</v>
      </c>
      <c r="G37" s="28">
        <f t="shared" si="3"/>
        <v>11.516028130223631</v>
      </c>
      <c r="H37" s="28">
        <f t="shared" si="3"/>
        <v>3.4022411762903233</v>
      </c>
      <c r="I37" s="28">
        <f t="shared" si="3"/>
        <v>0.031794175020235911</v>
      </c>
      <c r="J37" s="28">
        <f t="shared" si="3"/>
        <v>0.32865751302771878</v>
      </c>
      <c r="K37" s="28">
        <f t="shared" si="3"/>
        <v>113.18678768532016</v>
      </c>
      <c r="L37" s="28">
        <f t="shared" si="3"/>
        <v>5.220944702537742</v>
      </c>
      <c r="M37" s="28">
        <f t="shared" si="3"/>
        <v>17.719630398213017</v>
      </c>
      <c r="N37" s="28">
        <f t="shared" si="3"/>
        <v>321.89136746059563</v>
      </c>
      <c r="O37" s="28">
        <f t="shared" si="3"/>
        <v>0</v>
      </c>
      <c r="P37" s="28">
        <f t="shared" si="3"/>
        <v>0.27612293189408699</v>
      </c>
      <c r="Q37" s="28">
        <f t="shared" si="3"/>
        <v>1.0706506216423817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d13045-46c0-4590-9e90-fb3947348e3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40.03</v>
      </c>
      <c r="C9" s="54">
        <v>52.81</v>
      </c>
      <c r="D9" s="54">
        <v>61.89</v>
      </c>
      <c r="E9" s="54">
        <v>0.22</v>
      </c>
      <c r="F9" s="54">
        <v>3.41</v>
      </c>
      <c r="G9" s="54">
        <v>61.98</v>
      </c>
      <c r="H9" s="54">
        <v>22.65</v>
      </c>
      <c r="I9" s="54">
        <v>1.54</v>
      </c>
      <c r="J9" s="54">
        <v>0.10</v>
      </c>
      <c r="K9" s="54">
        <v>255.40</v>
      </c>
      <c r="L9" s="54">
        <v>21.71</v>
      </c>
      <c r="M9" s="54">
        <v>57.59</v>
      </c>
      <c r="N9" s="54">
        <v>23.5</v>
      </c>
      <c r="O9" s="54">
        <v>0</v>
      </c>
      <c r="P9" s="54">
        <v>1.01</v>
      </c>
      <c r="Q9" s="54">
        <v>7.36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29.67</v>
      </c>
      <c r="C10" s="54">
        <v>50.12</v>
      </c>
      <c r="D10" s="54">
        <v>52.10</v>
      </c>
      <c r="E10" s="54">
        <v>0.22</v>
      </c>
      <c r="F10" s="54">
        <v>3.19</v>
      </c>
      <c r="G10" s="54">
        <v>49.29</v>
      </c>
      <c r="H10" s="54">
        <v>19.920000000000002</v>
      </c>
      <c r="I10" s="54">
        <v>1.53</v>
      </c>
      <c r="J10" s="54">
        <v>0.14000000000000001</v>
      </c>
      <c r="K10" s="54">
        <v>327.41000000000003</v>
      </c>
      <c r="L10" s="54">
        <v>20.68</v>
      </c>
      <c r="M10" s="54">
        <v>64.319999999999993</v>
      </c>
      <c r="N10" s="54">
        <v>23.5</v>
      </c>
      <c r="O10" s="54">
        <v>0</v>
      </c>
      <c r="P10" s="54">
        <v>0.86</v>
      </c>
      <c r="Q10" s="54">
        <v>5.92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20.93</v>
      </c>
      <c r="C11" s="54">
        <v>49.08</v>
      </c>
      <c r="D11" s="54">
        <v>44.52</v>
      </c>
      <c r="E11" s="54">
        <v>0.19</v>
      </c>
      <c r="F11" s="54">
        <v>3.42</v>
      </c>
      <c r="G11" s="54">
        <v>36.97</v>
      </c>
      <c r="H11" s="54">
        <v>15.05</v>
      </c>
      <c r="I11" s="54">
        <v>1.55</v>
      </c>
      <c r="J11" s="54">
        <v>0.18</v>
      </c>
      <c r="K11" s="54">
        <v>252.52</v>
      </c>
      <c r="L11" s="54">
        <v>20.39</v>
      </c>
      <c r="M11" s="54">
        <v>63.47</v>
      </c>
      <c r="N11" s="54">
        <v>23.10</v>
      </c>
      <c r="O11" s="54">
        <v>0</v>
      </c>
      <c r="P11" s="54">
        <v>0.76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13.79</v>
      </c>
      <c r="C12" s="54">
        <v>44.35</v>
      </c>
      <c r="D12" s="54">
        <v>36.090000000000003</v>
      </c>
      <c r="E12" s="54">
        <v>0.18</v>
      </c>
      <c r="F12" s="54">
        <v>3.52</v>
      </c>
      <c r="G12" s="54">
        <v>35.89</v>
      </c>
      <c r="H12" s="54">
        <v>15.05</v>
      </c>
      <c r="I12" s="54">
        <v>1.52</v>
      </c>
      <c r="J12" s="54">
        <v>0.30</v>
      </c>
      <c r="K12" s="54">
        <v>307.18</v>
      </c>
      <c r="L12" s="54">
        <v>19.39</v>
      </c>
      <c r="M12" s="54">
        <v>74.510000000000005</v>
      </c>
      <c r="N12" s="54">
        <v>23.80</v>
      </c>
      <c r="O12" s="54">
        <v>0</v>
      </c>
      <c r="P12" s="54">
        <v>0.62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13.91</v>
      </c>
      <c r="C13" s="54">
        <v>44.99</v>
      </c>
      <c r="D13" s="54">
        <v>36.630000000000003</v>
      </c>
      <c r="E13" s="54">
        <v>0.10</v>
      </c>
      <c r="F13" s="54">
        <v>3.61</v>
      </c>
      <c r="G13" s="54">
        <v>39.15</v>
      </c>
      <c r="H13" s="54">
        <v>15.52</v>
      </c>
      <c r="I13" s="54">
        <v>1.56</v>
      </c>
      <c r="J13" s="54">
        <v>0.20</v>
      </c>
      <c r="K13" s="54">
        <v>323.51</v>
      </c>
      <c r="L13" s="54">
        <v>18.989999999999998</v>
      </c>
      <c r="M13" s="54">
        <v>80.02</v>
      </c>
      <c r="N13" s="54">
        <v>23.20</v>
      </c>
      <c r="O13" s="54">
        <v>0</v>
      </c>
      <c r="P13" s="54">
        <v>0.56999999999999995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13.19</v>
      </c>
      <c r="C14" s="54">
        <v>45.48</v>
      </c>
      <c r="D14" s="54">
        <v>35.96</v>
      </c>
      <c r="E14" s="54">
        <v>0.12</v>
      </c>
      <c r="F14" s="54">
        <v>3.49</v>
      </c>
      <c r="G14" s="54">
        <v>39.15</v>
      </c>
      <c r="H14" s="54">
        <v>15.52</v>
      </c>
      <c r="I14" s="54">
        <v>1.51</v>
      </c>
      <c r="J14" s="54">
        <v>0.16</v>
      </c>
      <c r="K14" s="54">
        <v>233.76</v>
      </c>
      <c r="L14" s="54">
        <v>18.059999999999999</v>
      </c>
      <c r="M14" s="54">
        <v>81.86</v>
      </c>
      <c r="N14" s="54">
        <v>23.20</v>
      </c>
      <c r="O14" s="54">
        <v>0</v>
      </c>
      <c r="P14" s="54">
        <v>0.53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11.96</v>
      </c>
      <c r="C15" s="54">
        <v>46.56</v>
      </c>
      <c r="D15" s="54">
        <v>35.630000000000003</v>
      </c>
      <c r="E15" s="54">
        <v>0.12</v>
      </c>
      <c r="F15" s="54">
        <v>3.25</v>
      </c>
      <c r="G15" s="54">
        <v>29.12</v>
      </c>
      <c r="H15" s="54">
        <v>13.65</v>
      </c>
      <c r="I15" s="54">
        <v>1.56</v>
      </c>
      <c r="J15" s="54">
        <v>0.12</v>
      </c>
      <c r="K15" s="54">
        <v>257.37</v>
      </c>
      <c r="L15" s="54">
        <v>18.53</v>
      </c>
      <c r="M15" s="54">
        <v>76.33</v>
      </c>
      <c r="N15" s="54">
        <v>63.70</v>
      </c>
      <c r="O15" s="54">
        <v>0</v>
      </c>
      <c r="P15" s="54">
        <v>0.47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10.74</v>
      </c>
      <c r="C16" s="54">
        <v>47.26</v>
      </c>
      <c r="D16" s="54">
        <v>35.340000000000003</v>
      </c>
      <c r="E16" s="54">
        <v>0.10</v>
      </c>
      <c r="F16" s="54">
        <v>3.70</v>
      </c>
      <c r="G16" s="54">
        <v>38.76</v>
      </c>
      <c r="H16" s="54">
        <v>13.65</v>
      </c>
      <c r="I16" s="54">
        <v>1.56</v>
      </c>
      <c r="J16" s="54">
        <v>0.36</v>
      </c>
      <c r="K16" s="54">
        <v>355.30</v>
      </c>
      <c r="L16" s="54">
        <v>24.10</v>
      </c>
      <c r="M16" s="54">
        <v>68.48</v>
      </c>
      <c r="N16" s="54">
        <v>295.10000000000002</v>
      </c>
      <c r="O16" s="54">
        <v>0</v>
      </c>
      <c r="P16" s="54">
        <v>0.45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8.77</v>
      </c>
      <c r="C17" s="54">
        <v>50.27</v>
      </c>
      <c r="D17" s="54">
        <v>34.06</v>
      </c>
      <c r="E17" s="54">
        <v>0.25</v>
      </c>
      <c r="F17" s="54">
        <v>4.01</v>
      </c>
      <c r="G17" s="54">
        <v>40.799999999999997</v>
      </c>
      <c r="H17" s="54">
        <v>17.5</v>
      </c>
      <c r="I17" s="54">
        <v>1.61</v>
      </c>
      <c r="J17" s="54">
        <v>0.45</v>
      </c>
      <c r="K17" s="54">
        <v>355.90</v>
      </c>
      <c r="L17" s="54">
        <v>28.71</v>
      </c>
      <c r="M17" s="54">
        <v>41.99</v>
      </c>
      <c r="N17" s="54">
        <v>510.90</v>
      </c>
      <c r="O17" s="54">
        <v>0</v>
      </c>
      <c r="P17" s="54">
        <v>0.46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5.65</v>
      </c>
      <c r="C18" s="54">
        <v>52.02</v>
      </c>
      <c r="D18" s="54">
        <v>33.69</v>
      </c>
      <c r="E18" s="54">
        <v>0.19</v>
      </c>
      <c r="F18" s="54">
        <v>4.34</v>
      </c>
      <c r="G18" s="54">
        <v>41.31</v>
      </c>
      <c r="H18" s="54">
        <v>17.5</v>
      </c>
      <c r="I18" s="54">
        <v>1.56</v>
      </c>
      <c r="J18" s="54">
        <v>0.96</v>
      </c>
      <c r="K18" s="54">
        <v>334.91</v>
      </c>
      <c r="L18" s="54">
        <v>31.44</v>
      </c>
      <c r="M18" s="54">
        <v>30.02</v>
      </c>
      <c r="N18" s="54">
        <v>756.10</v>
      </c>
      <c r="O18" s="54">
        <v>0</v>
      </c>
      <c r="P18" s="54">
        <v>0.44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4.08</v>
      </c>
      <c r="C19" s="54">
        <v>49.57</v>
      </c>
      <c r="D19" s="54">
        <v>31.27</v>
      </c>
      <c r="E19" s="54">
        <v>0.37</v>
      </c>
      <c r="F19" s="54">
        <v>14.07</v>
      </c>
      <c r="G19" s="54">
        <v>41.31</v>
      </c>
      <c r="H19" s="54">
        <v>15.71</v>
      </c>
      <c r="I19" s="54">
        <v>1.52</v>
      </c>
      <c r="J19" s="54">
        <v>1.1200000000000001</v>
      </c>
      <c r="K19" s="54">
        <v>324.45</v>
      </c>
      <c r="L19" s="54">
        <v>33.29</v>
      </c>
      <c r="M19" s="54">
        <v>25.44</v>
      </c>
      <c r="N19" s="54">
        <v>871.70</v>
      </c>
      <c r="O19" s="54">
        <v>0</v>
      </c>
      <c r="P19" s="54">
        <v>0.42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1.60</v>
      </c>
      <c r="C20" s="54">
        <v>50.13</v>
      </c>
      <c r="D20" s="54">
        <v>29.59</v>
      </c>
      <c r="E20" s="54">
        <v>0.55000000000000004</v>
      </c>
      <c r="F20" s="54">
        <v>14.76</v>
      </c>
      <c r="G20" s="54">
        <v>40.86</v>
      </c>
      <c r="H20" s="54">
        <v>14.72</v>
      </c>
      <c r="I20" s="54">
        <v>1.54</v>
      </c>
      <c r="J20" s="54">
        <v>0.99</v>
      </c>
      <c r="K20" s="54">
        <v>348.85</v>
      </c>
      <c r="L20" s="54">
        <v>32.979999999999997</v>
      </c>
      <c r="M20" s="54">
        <v>25.44</v>
      </c>
      <c r="N20" s="54">
        <v>889.90</v>
      </c>
      <c r="O20" s="54">
        <v>0</v>
      </c>
      <c r="P20" s="54">
        <v>0.35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1.54</v>
      </c>
      <c r="C21" s="54">
        <v>45.30</v>
      </c>
      <c r="D21" s="54">
        <v>26.71</v>
      </c>
      <c r="E21" s="54">
        <v>0.14000000000000001</v>
      </c>
      <c r="F21" s="54">
        <v>9.57</v>
      </c>
      <c r="G21" s="54">
        <v>39.69</v>
      </c>
      <c r="H21" s="54">
        <v>14.72</v>
      </c>
      <c r="I21" s="54">
        <v>1.54</v>
      </c>
      <c r="J21" s="54">
        <v>1.17</v>
      </c>
      <c r="K21" s="54">
        <v>326.80</v>
      </c>
      <c r="L21" s="54">
        <v>32.79</v>
      </c>
      <c r="M21" s="54">
        <v>25</v>
      </c>
      <c r="N21" s="54">
        <v>857.5</v>
      </c>
      <c r="O21" s="54">
        <v>0</v>
      </c>
      <c r="P21" s="54">
        <v>0.34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1.77</v>
      </c>
      <c r="C22" s="54">
        <v>49.59</v>
      </c>
      <c r="D22" s="54">
        <v>29.42</v>
      </c>
      <c r="E22" s="54">
        <v>0.10</v>
      </c>
      <c r="F22" s="54">
        <v>8.49</v>
      </c>
      <c r="G22" s="54">
        <v>39.69</v>
      </c>
      <c r="H22" s="54">
        <v>14.82</v>
      </c>
      <c r="I22" s="54">
        <v>1.53</v>
      </c>
      <c r="J22" s="54">
        <v>1.36</v>
      </c>
      <c r="K22" s="54">
        <v>330.38</v>
      </c>
      <c r="L22" s="54">
        <v>31.78</v>
      </c>
      <c r="M22" s="54">
        <v>26.18</v>
      </c>
      <c r="N22" s="54">
        <v>754.10</v>
      </c>
      <c r="O22" s="54">
        <v>0</v>
      </c>
      <c r="P22" s="54">
        <v>0.37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2.25</v>
      </c>
      <c r="C23" s="54">
        <v>49.52</v>
      </c>
      <c r="D23" s="54">
        <v>29.22</v>
      </c>
      <c r="E23" s="54">
        <v>0.070000000000000007</v>
      </c>
      <c r="F23" s="54">
        <v>6.93</v>
      </c>
      <c r="G23" s="54">
        <v>28.85</v>
      </c>
      <c r="H23" s="54">
        <v>14.82</v>
      </c>
      <c r="I23" s="54">
        <v>1.5</v>
      </c>
      <c r="J23" s="54">
        <v>0.71</v>
      </c>
      <c r="K23" s="54">
        <v>327.33999999999997</v>
      </c>
      <c r="L23" s="54">
        <v>31.51</v>
      </c>
      <c r="M23" s="54">
        <v>25.23</v>
      </c>
      <c r="N23" s="54">
        <v>650.70000000000005</v>
      </c>
      <c r="O23" s="54">
        <v>0</v>
      </c>
      <c r="P23" s="54">
        <v>0.38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3.94</v>
      </c>
      <c r="C24" s="54">
        <v>48.15</v>
      </c>
      <c r="D24" s="54">
        <v>29.80</v>
      </c>
      <c r="E24" s="54">
        <v>0.03</v>
      </c>
      <c r="F24" s="54">
        <v>6.32</v>
      </c>
      <c r="G24" s="54">
        <v>45.44</v>
      </c>
      <c r="H24" s="54">
        <v>14.17</v>
      </c>
      <c r="I24" s="54">
        <v>1.52</v>
      </c>
      <c r="J24" s="54">
        <v>0.82</v>
      </c>
      <c r="K24" s="54">
        <v>328.13</v>
      </c>
      <c r="L24" s="54">
        <v>29.99</v>
      </c>
      <c r="M24" s="54">
        <v>26.66</v>
      </c>
      <c r="N24" s="54">
        <v>296.20</v>
      </c>
      <c r="O24" s="54">
        <v>0</v>
      </c>
      <c r="P24" s="54">
        <v>0.37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3.67</v>
      </c>
      <c r="C25" s="54">
        <v>46.55</v>
      </c>
      <c r="D25" s="54">
        <v>29.28</v>
      </c>
      <c r="E25" s="54">
        <v>0.08</v>
      </c>
      <c r="F25" s="54">
        <v>6.59</v>
      </c>
      <c r="G25" s="54">
        <v>45.44</v>
      </c>
      <c r="H25" s="54">
        <v>15.29</v>
      </c>
      <c r="I25" s="54">
        <v>1.60</v>
      </c>
      <c r="J25" s="54">
        <v>0.77</v>
      </c>
      <c r="K25" s="54">
        <v>344.29</v>
      </c>
      <c r="L25" s="54">
        <v>27.76</v>
      </c>
      <c r="M25" s="54">
        <v>30.92</v>
      </c>
      <c r="N25" s="54">
        <v>126.30</v>
      </c>
      <c r="O25" s="54">
        <v>0</v>
      </c>
      <c r="P25" s="54">
        <v>0.36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3.66</v>
      </c>
      <c r="C26" s="54">
        <v>50.39</v>
      </c>
      <c r="D26" s="54">
        <v>31.39</v>
      </c>
      <c r="E26" s="54">
        <v>0.070000000000000007</v>
      </c>
      <c r="F26" s="54">
        <v>4.74</v>
      </c>
      <c r="G26" s="54">
        <v>43.12</v>
      </c>
      <c r="H26" s="54">
        <v>15.29</v>
      </c>
      <c r="I26" s="54">
        <v>1.54</v>
      </c>
      <c r="J26" s="54">
        <v>0.88</v>
      </c>
      <c r="K26" s="54">
        <v>332.24</v>
      </c>
      <c r="L26" s="54">
        <v>26.44</v>
      </c>
      <c r="M26" s="54">
        <v>46.12</v>
      </c>
      <c r="N26" s="54">
        <v>55.30</v>
      </c>
      <c r="O26" s="54">
        <v>0</v>
      </c>
      <c r="P26" s="54">
        <v>0.40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5.65</v>
      </c>
      <c r="C27" s="54">
        <v>53.88</v>
      </c>
      <c r="D27" s="54">
        <v>34.909999999999997</v>
      </c>
      <c r="E27" s="54">
        <v>0.11</v>
      </c>
      <c r="F27" s="54">
        <v>4.24</v>
      </c>
      <c r="G27" s="54">
        <v>42.15</v>
      </c>
      <c r="H27" s="54">
        <v>15.26</v>
      </c>
      <c r="I27" s="54">
        <v>1.55</v>
      </c>
      <c r="J27" s="54">
        <v>1.23</v>
      </c>
      <c r="K27" s="54">
        <v>341.42</v>
      </c>
      <c r="L27" s="54">
        <v>24.06</v>
      </c>
      <c r="M27" s="54">
        <v>49.56</v>
      </c>
      <c r="N27" s="54">
        <v>15.5</v>
      </c>
      <c r="O27" s="54">
        <v>0</v>
      </c>
      <c r="P27" s="54">
        <v>0.52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12.18</v>
      </c>
      <c r="C28" s="54">
        <v>56.22</v>
      </c>
      <c r="D28" s="54">
        <v>41.44</v>
      </c>
      <c r="E28" s="54">
        <v>0.09</v>
      </c>
      <c r="F28" s="54">
        <v>3.46</v>
      </c>
      <c r="G28" s="54">
        <v>46.48</v>
      </c>
      <c r="H28" s="54">
        <v>15.26</v>
      </c>
      <c r="I28" s="54">
        <v>1.54</v>
      </c>
      <c r="J28" s="54">
        <v>0.73</v>
      </c>
      <c r="K28" s="54">
        <v>352.79</v>
      </c>
      <c r="L28" s="54">
        <v>23.10</v>
      </c>
      <c r="M28" s="54">
        <v>41.82</v>
      </c>
      <c r="N28" s="54">
        <v>15.30</v>
      </c>
      <c r="O28" s="54">
        <v>0</v>
      </c>
      <c r="P28" s="54">
        <v>0.70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16.5</v>
      </c>
      <c r="C29" s="54">
        <v>55.56</v>
      </c>
      <c r="D29" s="54">
        <v>43.57</v>
      </c>
      <c r="E29" s="54">
        <v>0.10</v>
      </c>
      <c r="F29" s="54">
        <v>3.52</v>
      </c>
      <c r="G29" s="54">
        <v>56.34</v>
      </c>
      <c r="H29" s="54">
        <v>18.23</v>
      </c>
      <c r="I29" s="54">
        <v>1.64</v>
      </c>
      <c r="J29" s="54">
        <v>0.66</v>
      </c>
      <c r="K29" s="54">
        <v>345.43</v>
      </c>
      <c r="L29" s="54">
        <v>22.31</v>
      </c>
      <c r="M29" s="54">
        <v>44.16</v>
      </c>
      <c r="N29" s="54">
        <v>15.20</v>
      </c>
      <c r="O29" s="54">
        <v>0</v>
      </c>
      <c r="P29" s="54">
        <v>0.77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17.23</v>
      </c>
      <c r="C30" s="54">
        <v>53.67</v>
      </c>
      <c r="D30" s="54">
        <v>44.08</v>
      </c>
      <c r="E30" s="54">
        <v>0.070000000000000007</v>
      </c>
      <c r="F30" s="54">
        <v>3.71</v>
      </c>
      <c r="G30" s="54">
        <v>56.34</v>
      </c>
      <c r="H30" s="54">
        <v>18.23</v>
      </c>
      <c r="I30" s="54">
        <v>1.56</v>
      </c>
      <c r="J30" s="54">
        <v>0.97</v>
      </c>
      <c r="K30" s="54">
        <v>344.91</v>
      </c>
      <c r="L30" s="54">
        <v>21.73</v>
      </c>
      <c r="M30" s="54">
        <v>45.15</v>
      </c>
      <c r="N30" s="54">
        <v>15</v>
      </c>
      <c r="O30" s="54">
        <v>0</v>
      </c>
      <c r="P30" s="54">
        <v>0.77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15.96</v>
      </c>
      <c r="C31" s="54">
        <v>54.01</v>
      </c>
      <c r="D31" s="54">
        <v>42.82</v>
      </c>
      <c r="E31" s="54">
        <v>0.09</v>
      </c>
      <c r="F31" s="54">
        <v>3.75</v>
      </c>
      <c r="G31" s="54">
        <v>55.01</v>
      </c>
      <c r="H31" s="54">
        <v>15.26</v>
      </c>
      <c r="I31" s="54">
        <v>1.58</v>
      </c>
      <c r="J31" s="54">
        <v>1.29</v>
      </c>
      <c r="K31" s="54">
        <v>334.37</v>
      </c>
      <c r="L31" s="54">
        <v>21.24</v>
      </c>
      <c r="M31" s="54">
        <v>46.75</v>
      </c>
      <c r="N31" s="54">
        <v>14.90</v>
      </c>
      <c r="O31" s="54">
        <v>0</v>
      </c>
      <c r="P31" s="54">
        <v>0.77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13.08</v>
      </c>
      <c r="C32" s="54">
        <v>54.99</v>
      </c>
      <c r="D32" s="54">
        <v>40.93</v>
      </c>
      <c r="E32" s="54">
        <v>0.11</v>
      </c>
      <c r="F32" s="54">
        <v>3.68</v>
      </c>
      <c r="G32" s="54">
        <v>52.22</v>
      </c>
      <c r="H32" s="54">
        <v>17.25</v>
      </c>
      <c r="I32" s="54">
        <v>1.49</v>
      </c>
      <c r="J32" s="54">
        <v>1.45</v>
      </c>
      <c r="K32" s="54">
        <v>340.94</v>
      </c>
      <c r="L32" s="54">
        <v>21.18</v>
      </c>
      <c r="M32" s="54">
        <v>44.11</v>
      </c>
      <c r="N32" s="54">
        <v>15.10</v>
      </c>
      <c r="O32" s="54">
        <v>0</v>
      </c>
      <c r="P32" s="54">
        <v>0.71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1.54</v>
      </c>
      <c r="C34" s="28">
        <f t="shared" si="0"/>
        <v>44.350000000000001</v>
      </c>
      <c r="D34" s="28">
        <f t="shared" si="0"/>
        <v>26.710000000000001</v>
      </c>
      <c r="E34" s="28">
        <f t="shared" si="0"/>
        <v>0.029999999999999999</v>
      </c>
      <c r="F34" s="28">
        <f t="shared" si="0"/>
        <v>3.1899999999999999</v>
      </c>
      <c r="G34" s="28">
        <f t="shared" si="0"/>
        <v>28.850000000000001</v>
      </c>
      <c r="H34" s="28">
        <f t="shared" si="0"/>
        <v>13.65</v>
      </c>
      <c r="I34" s="28">
        <f t="shared" si="0"/>
        <v>1.49</v>
      </c>
      <c r="J34" s="28">
        <f t="shared" si="0"/>
        <v>0.10000000000000001</v>
      </c>
      <c r="K34" s="28">
        <f t="shared" si="0"/>
        <v>233.75999999999999</v>
      </c>
      <c r="L34" s="28">
        <f t="shared" si="0"/>
        <v>18.059999999999999</v>
      </c>
      <c r="M34" s="28">
        <f t="shared" si="0"/>
        <v>25</v>
      </c>
      <c r="N34" s="28">
        <f t="shared" si="0"/>
        <v>14.9</v>
      </c>
      <c r="O34" s="28">
        <f t="shared" si="0"/>
        <v>0</v>
      </c>
      <c r="P34" s="28">
        <f t="shared" si="0"/>
        <v>0.34000000000000002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40.030000000000001</v>
      </c>
      <c r="C35" s="29">
        <f t="shared" si="1"/>
        <v>56.219999999999999</v>
      </c>
      <c r="D35" s="29">
        <f t="shared" si="1"/>
        <v>61.890000000000001</v>
      </c>
      <c r="E35" s="29">
        <f t="shared" si="1"/>
        <v>0.55000000000000004</v>
      </c>
      <c r="F35" s="29">
        <f t="shared" si="1"/>
        <v>14.76</v>
      </c>
      <c r="G35" s="29">
        <f t="shared" si="1"/>
        <v>61.979999999999997</v>
      </c>
      <c r="H35" s="29">
        <f t="shared" si="1"/>
        <v>22.649999999999999</v>
      </c>
      <c r="I35" s="29">
        <f t="shared" si="1"/>
        <v>1.6399999999999999</v>
      </c>
      <c r="J35" s="29">
        <f t="shared" si="1"/>
        <v>1.45</v>
      </c>
      <c r="K35" s="29">
        <f t="shared" si="1"/>
        <v>355.89999999999998</v>
      </c>
      <c r="L35" s="29">
        <f t="shared" si="1"/>
        <v>33.289999999999999</v>
      </c>
      <c r="M35" s="29">
        <f t="shared" si="1"/>
        <v>81.859999999999999</v>
      </c>
      <c r="N35" s="29">
        <f t="shared" si="1"/>
        <v>889.89999999999998</v>
      </c>
      <c r="O35" s="29">
        <f t="shared" si="1"/>
        <v>0</v>
      </c>
      <c r="P35" s="29">
        <f t="shared" si="1"/>
        <v>1.01</v>
      </c>
      <c r="Q35" s="29">
        <f t="shared" si="1"/>
        <v>7.3600000000000003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11.322916666666666</v>
      </c>
      <c r="C36" s="28">
        <f t="shared" si="2"/>
        <v>50.019583333333337</v>
      </c>
      <c r="D36" s="28">
        <f t="shared" si="2"/>
        <v>37.097499999999997</v>
      </c>
      <c r="E36" s="28">
        <f t="shared" si="2"/>
        <v>0.15291666666666665</v>
      </c>
      <c r="F36" s="28">
        <f t="shared" si="2"/>
        <v>5.4070833333333317</v>
      </c>
      <c r="G36" s="28">
        <f t="shared" si="2"/>
        <v>43.556666666666672</v>
      </c>
      <c r="H36" s="28">
        <f t="shared" si="2"/>
        <v>16.043333333333333</v>
      </c>
      <c r="I36" s="28">
        <f t="shared" si="2"/>
        <v>1.5479166666666668</v>
      </c>
      <c r="J36" s="28">
        <f t="shared" si="2"/>
        <v>0.71333333333333337</v>
      </c>
      <c r="K36" s="28">
        <f t="shared" si="2"/>
        <v>321.89999999999998</v>
      </c>
      <c r="L36" s="28">
        <f t="shared" si="2"/>
        <v>25.09</v>
      </c>
      <c r="M36" s="28">
        <f t="shared" si="2"/>
        <v>47.547083333333326</v>
      </c>
      <c r="N36" s="28">
        <f t="shared" si="2"/>
        <v>264.95000000000005</v>
      </c>
      <c r="O36" s="28">
        <f t="shared" si="2"/>
        <v>0</v>
      </c>
      <c r="P36" s="28">
        <f t="shared" si="2"/>
        <v>0.55833333333333313</v>
      </c>
      <c r="Q36" s="28">
        <f t="shared" si="2"/>
        <v>5.3291666666666639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9.3622560822312142</v>
      </c>
      <c r="C37" s="28">
        <f t="shared" si="3" ref="C37:Q37">STDEV(C9:C32)</f>
        <v>3.53226184361854</v>
      </c>
      <c r="D37" s="28">
        <f t="shared" si="3"/>
        <v>8.2127521468803248</v>
      </c>
      <c r="E37" s="28">
        <f t="shared" si="3"/>
        <v>0.11284769137769443</v>
      </c>
      <c r="F37" s="28">
        <f t="shared" si="3"/>
        <v>3.2681153712361763</v>
      </c>
      <c r="G37" s="28">
        <f t="shared" si="3"/>
        <v>8.2534265172327679</v>
      </c>
      <c r="H37" s="28">
        <f t="shared" si="3"/>
        <v>2.0956324492426468</v>
      </c>
      <c r="I37" s="28">
        <f t="shared" si="3"/>
        <v>0.034386444076581757</v>
      </c>
      <c r="J37" s="28">
        <f t="shared" si="3"/>
        <v>0.44031280053939004</v>
      </c>
      <c r="K37" s="28">
        <f t="shared" si="3"/>
        <v>35.078044167380682</v>
      </c>
      <c r="L37" s="28">
        <f t="shared" si="3"/>
        <v>5.2394390672218387</v>
      </c>
      <c r="M37" s="28">
        <f t="shared" si="3"/>
        <v>19.134564327226109</v>
      </c>
      <c r="N37" s="28">
        <f t="shared" si="3"/>
        <v>338.13142286755129</v>
      </c>
      <c r="O37" s="28">
        <f t="shared" si="3"/>
        <v>0</v>
      </c>
      <c r="P37" s="28">
        <f t="shared" si="3"/>
        <v>0.19109903343478843</v>
      </c>
      <c r="Q37" s="28">
        <f t="shared" si="3"/>
        <v>0.45615516683679624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b9a00f-da05-4390-b2aa-5e11e16c7e1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9.60</v>
      </c>
      <c r="C9" s="54">
        <v>54.42</v>
      </c>
      <c r="D9" s="54">
        <v>38.380000000000003</v>
      </c>
      <c r="E9" s="54">
        <v>0.14000000000000001</v>
      </c>
      <c r="F9" s="54">
        <v>3.48</v>
      </c>
      <c r="G9" s="54">
        <v>67</v>
      </c>
      <c r="H9" s="54">
        <v>23.13</v>
      </c>
      <c r="I9" s="54">
        <v>1.55</v>
      </c>
      <c r="J9" s="54">
        <v>1.48</v>
      </c>
      <c r="K9" s="54">
        <v>353.51</v>
      </c>
      <c r="L9" s="54">
        <v>20.149999999999999</v>
      </c>
      <c r="M9" s="54">
        <v>45.05</v>
      </c>
      <c r="N9" s="54">
        <v>15.10</v>
      </c>
      <c r="O9" s="54">
        <v>0</v>
      </c>
      <c r="P9" s="54">
        <v>0.68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8.83</v>
      </c>
      <c r="C10" s="54">
        <v>51.88</v>
      </c>
      <c r="D10" s="54">
        <v>36.31</v>
      </c>
      <c r="E10" s="54">
        <v>0.17</v>
      </c>
      <c r="F10" s="54">
        <v>3.57</v>
      </c>
      <c r="G10" s="54">
        <v>70.66</v>
      </c>
      <c r="H10" s="54">
        <v>23.13</v>
      </c>
      <c r="I10" s="54">
        <v>1.58</v>
      </c>
      <c r="J10" s="54">
        <v>1.5</v>
      </c>
      <c r="K10" s="54">
        <v>353.55</v>
      </c>
      <c r="L10" s="54">
        <v>20.100000000000001</v>
      </c>
      <c r="M10" s="54">
        <v>47.19</v>
      </c>
      <c r="N10" s="54">
        <v>15.70</v>
      </c>
      <c r="O10" s="54">
        <v>0</v>
      </c>
      <c r="P10" s="54">
        <v>0.62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9.42</v>
      </c>
      <c r="C11" s="54">
        <v>51.62</v>
      </c>
      <c r="D11" s="54">
        <v>36.68</v>
      </c>
      <c r="E11" s="54">
        <v>0.22</v>
      </c>
      <c r="F11" s="54">
        <v>3.49</v>
      </c>
      <c r="G11" s="54">
        <v>79.33</v>
      </c>
      <c r="H11" s="54">
        <v>24.32</v>
      </c>
      <c r="I11" s="54">
        <v>1.53</v>
      </c>
      <c r="J11" s="54">
        <v>1.25</v>
      </c>
      <c r="K11" s="54">
        <v>352.53</v>
      </c>
      <c r="L11" s="54">
        <v>19.28</v>
      </c>
      <c r="M11" s="54">
        <v>56.83</v>
      </c>
      <c r="N11" s="54">
        <v>15.5</v>
      </c>
      <c r="O11" s="54">
        <v>0</v>
      </c>
      <c r="P11" s="54">
        <v>0.57999999999999996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8.8699999999999992</v>
      </c>
      <c r="C12" s="54">
        <v>51.05</v>
      </c>
      <c r="D12" s="54">
        <v>35.93</v>
      </c>
      <c r="E12" s="54">
        <v>0.24</v>
      </c>
      <c r="F12" s="54">
        <v>3.49</v>
      </c>
      <c r="G12" s="54">
        <v>79.33</v>
      </c>
      <c r="H12" s="54">
        <v>24.32</v>
      </c>
      <c r="I12" s="54">
        <v>1.55</v>
      </c>
      <c r="J12" s="54">
        <v>1.1000000000000001</v>
      </c>
      <c r="K12" s="54">
        <v>353.47</v>
      </c>
      <c r="L12" s="54">
        <v>18.239999999999998</v>
      </c>
      <c r="M12" s="54">
        <v>62.76</v>
      </c>
      <c r="N12" s="54">
        <v>15.5</v>
      </c>
      <c r="O12" s="54">
        <v>0</v>
      </c>
      <c r="P12" s="54">
        <v>0.51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7.24</v>
      </c>
      <c r="C13" s="54">
        <v>47.87</v>
      </c>
      <c r="D13" s="54">
        <v>32.869999999999997</v>
      </c>
      <c r="E13" s="54">
        <v>0.26</v>
      </c>
      <c r="F13" s="54">
        <v>3.46</v>
      </c>
      <c r="G13" s="54">
        <v>65.62</v>
      </c>
      <c r="H13" s="54">
        <v>21.88</v>
      </c>
      <c r="I13" s="54">
        <v>1.54</v>
      </c>
      <c r="J13" s="54">
        <v>0.31</v>
      </c>
      <c r="K13" s="54">
        <v>73.30</v>
      </c>
      <c r="L13" s="54">
        <v>17.63</v>
      </c>
      <c r="M13" s="54">
        <v>64.97</v>
      </c>
      <c r="N13" s="54">
        <v>15</v>
      </c>
      <c r="O13" s="54">
        <v>0</v>
      </c>
      <c r="P13" s="54">
        <v>0.44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7.72</v>
      </c>
      <c r="C14" s="54">
        <v>43.73</v>
      </c>
      <c r="D14" s="54">
        <v>30.97</v>
      </c>
      <c r="E14" s="54">
        <v>0.20</v>
      </c>
      <c r="F14" s="54">
        <v>3.63</v>
      </c>
      <c r="G14" s="54">
        <v>51.10</v>
      </c>
      <c r="H14" s="54">
        <v>20.75</v>
      </c>
      <c r="I14" s="54">
        <v>1.57</v>
      </c>
      <c r="J14" s="54">
        <v>0.49</v>
      </c>
      <c r="K14" s="54">
        <v>353.05</v>
      </c>
      <c r="L14" s="54">
        <v>17.18</v>
      </c>
      <c r="M14" s="54">
        <v>67.599999999999994</v>
      </c>
      <c r="N14" s="54">
        <v>15.40</v>
      </c>
      <c r="O14" s="54">
        <v>0</v>
      </c>
      <c r="P14" s="54">
        <v>0.39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10.70</v>
      </c>
      <c r="C15" s="54">
        <v>44.37</v>
      </c>
      <c r="D15" s="54">
        <v>33.450000000000003</v>
      </c>
      <c r="E15" s="54">
        <v>0.24</v>
      </c>
      <c r="F15" s="54">
        <v>3.49</v>
      </c>
      <c r="G15" s="54">
        <v>57.73</v>
      </c>
      <c r="H15" s="54">
        <v>17.66</v>
      </c>
      <c r="I15" s="54">
        <v>1.58</v>
      </c>
      <c r="J15" s="54">
        <v>0.34</v>
      </c>
      <c r="K15" s="54">
        <v>92.93</v>
      </c>
      <c r="L15" s="54">
        <v>17.32</v>
      </c>
      <c r="M15" s="54">
        <v>68.31</v>
      </c>
      <c r="N15" s="54">
        <v>54.40</v>
      </c>
      <c r="O15" s="54">
        <v>0</v>
      </c>
      <c r="P15" s="54">
        <v>0.38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15.13</v>
      </c>
      <c r="C16" s="54">
        <v>47.29</v>
      </c>
      <c r="D16" s="54">
        <v>38.880000000000003</v>
      </c>
      <c r="E16" s="54">
        <v>0.26</v>
      </c>
      <c r="F16" s="54">
        <v>3.38</v>
      </c>
      <c r="G16" s="54">
        <v>57.73</v>
      </c>
      <c r="H16" s="54">
        <v>17.66</v>
      </c>
      <c r="I16" s="54">
        <v>1.54</v>
      </c>
      <c r="J16" s="54">
        <v>0.38</v>
      </c>
      <c r="K16" s="54">
        <v>71.52</v>
      </c>
      <c r="L16" s="54">
        <v>20.39</v>
      </c>
      <c r="M16" s="54">
        <v>64.099999999999994</v>
      </c>
      <c r="N16" s="54">
        <v>219.60</v>
      </c>
      <c r="O16" s="54">
        <v>0</v>
      </c>
      <c r="P16" s="54">
        <v>0.44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17.82</v>
      </c>
      <c r="C17" s="54">
        <v>51.18</v>
      </c>
      <c r="D17" s="54">
        <v>43.18</v>
      </c>
      <c r="E17" s="54">
        <v>0.21</v>
      </c>
      <c r="F17" s="54">
        <v>3.42</v>
      </c>
      <c r="G17" s="54">
        <v>60.68</v>
      </c>
      <c r="H17" s="54">
        <v>19.100000000000001</v>
      </c>
      <c r="I17" s="54">
        <v>1.51</v>
      </c>
      <c r="J17" s="54">
        <v>0.68</v>
      </c>
      <c r="K17" s="54">
        <v>350.5</v>
      </c>
      <c r="L17" s="54">
        <v>25.73</v>
      </c>
      <c r="M17" s="54">
        <v>49.11</v>
      </c>
      <c r="N17" s="54">
        <v>493.20</v>
      </c>
      <c r="O17" s="54">
        <v>0</v>
      </c>
      <c r="P17" s="54">
        <v>0.5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18.28</v>
      </c>
      <c r="C18" s="54">
        <v>52.80</v>
      </c>
      <c r="D18" s="54">
        <v>44.17</v>
      </c>
      <c r="E18" s="54">
        <v>0.18</v>
      </c>
      <c r="F18" s="54">
        <v>3.69</v>
      </c>
      <c r="G18" s="54">
        <v>60.68</v>
      </c>
      <c r="H18" s="54">
        <v>19.100000000000001</v>
      </c>
      <c r="I18" s="54">
        <v>1.55</v>
      </c>
      <c r="J18" s="54">
        <v>1.17</v>
      </c>
      <c r="K18" s="54">
        <v>359.37</v>
      </c>
      <c r="L18" s="54">
        <v>28.16</v>
      </c>
      <c r="M18" s="54">
        <v>45.25</v>
      </c>
      <c r="N18" s="54">
        <v>689</v>
      </c>
      <c r="O18" s="54">
        <v>0</v>
      </c>
      <c r="P18" s="54">
        <v>0.52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17.38</v>
      </c>
      <c r="C19" s="54">
        <v>54.14</v>
      </c>
      <c r="D19" s="54">
        <v>44.39</v>
      </c>
      <c r="E19" s="54">
        <v>0.16</v>
      </c>
      <c r="F19" s="54">
        <v>3.66</v>
      </c>
      <c r="G19" s="54">
        <v>76.290000000000006</v>
      </c>
      <c r="H19" s="54">
        <v>18.22</v>
      </c>
      <c r="I19" s="54">
        <v>1.59</v>
      </c>
      <c r="J19" s="54">
        <v>0.84</v>
      </c>
      <c r="K19" s="54">
        <v>95.65</v>
      </c>
      <c r="L19" s="54">
        <v>28.42</v>
      </c>
      <c r="M19" s="54">
        <v>40.799999999999997</v>
      </c>
      <c r="N19" s="54">
        <v>817.90</v>
      </c>
      <c r="O19" s="54">
        <v>0</v>
      </c>
      <c r="P19" s="54">
        <v>0.53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15.72</v>
      </c>
      <c r="C20" s="54">
        <v>53.97</v>
      </c>
      <c r="D20" s="54">
        <v>42.33</v>
      </c>
      <c r="E20" s="54">
        <v>0.24</v>
      </c>
      <c r="F20" s="54">
        <v>3.61</v>
      </c>
      <c r="G20" s="54">
        <v>76.290000000000006</v>
      </c>
      <c r="H20" s="54">
        <v>18.43</v>
      </c>
      <c r="I20" s="54">
        <v>1.52</v>
      </c>
      <c r="J20" s="54">
        <v>0.62</v>
      </c>
      <c r="K20" s="54">
        <v>83.08</v>
      </c>
      <c r="L20" s="54">
        <v>29.91</v>
      </c>
      <c r="M20" s="54">
        <v>34.61</v>
      </c>
      <c r="N20" s="54">
        <v>840.30</v>
      </c>
      <c r="O20" s="54">
        <v>0</v>
      </c>
      <c r="P20" s="54">
        <v>0.51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12.49</v>
      </c>
      <c r="C21" s="54">
        <v>54.96</v>
      </c>
      <c r="D21" s="54">
        <v>40.799999999999997</v>
      </c>
      <c r="E21" s="54">
        <v>0.18</v>
      </c>
      <c r="F21" s="54">
        <v>3.57</v>
      </c>
      <c r="G21" s="54">
        <v>48.96</v>
      </c>
      <c r="H21" s="54">
        <v>18.43</v>
      </c>
      <c r="I21" s="54">
        <v>1.51</v>
      </c>
      <c r="J21" s="54">
        <v>0.82</v>
      </c>
      <c r="K21" s="54">
        <v>326.62</v>
      </c>
      <c r="L21" s="54">
        <v>29.89</v>
      </c>
      <c r="M21" s="54">
        <v>30.90</v>
      </c>
      <c r="N21" s="54">
        <v>829.30</v>
      </c>
      <c r="O21" s="54">
        <v>0</v>
      </c>
      <c r="P21" s="54">
        <v>0.51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9.9499999999999993</v>
      </c>
      <c r="C22" s="54">
        <v>56.37</v>
      </c>
      <c r="D22" s="54">
        <v>39.47</v>
      </c>
      <c r="E22" s="54">
        <v>0.31</v>
      </c>
      <c r="F22" s="54">
        <v>4.03</v>
      </c>
      <c r="G22" s="54">
        <v>50.66</v>
      </c>
      <c r="H22" s="54">
        <v>17.690000000000001</v>
      </c>
      <c r="I22" s="54">
        <v>1.5</v>
      </c>
      <c r="J22" s="54">
        <v>1.0900000000000001</v>
      </c>
      <c r="K22" s="54">
        <v>335.89</v>
      </c>
      <c r="L22" s="54">
        <v>31.72</v>
      </c>
      <c r="M22" s="54">
        <v>27.46</v>
      </c>
      <c r="N22" s="54">
        <v>720.10</v>
      </c>
      <c r="O22" s="54">
        <v>0</v>
      </c>
      <c r="P22" s="54">
        <v>0.49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6.55</v>
      </c>
      <c r="C23" s="54">
        <v>56.60</v>
      </c>
      <c r="D23" s="54">
        <v>37.130000000000003</v>
      </c>
      <c r="E23" s="54">
        <v>0.17</v>
      </c>
      <c r="F23" s="54">
        <v>4.0599999999999996</v>
      </c>
      <c r="G23" s="54">
        <v>54.55</v>
      </c>
      <c r="H23" s="54">
        <v>17.690000000000001</v>
      </c>
      <c r="I23" s="54">
        <v>1.58</v>
      </c>
      <c r="J23" s="54">
        <v>1.1399999999999999</v>
      </c>
      <c r="K23" s="54">
        <v>348.74</v>
      </c>
      <c r="L23" s="54">
        <v>32.03</v>
      </c>
      <c r="M23" s="54">
        <v>23.92</v>
      </c>
      <c r="N23" s="54">
        <v>637.10</v>
      </c>
      <c r="O23" s="54">
        <v>0</v>
      </c>
      <c r="P23" s="54">
        <v>0.48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6.02</v>
      </c>
      <c r="C24" s="54">
        <v>54.94</v>
      </c>
      <c r="D24" s="54">
        <v>35.72</v>
      </c>
      <c r="E24" s="54">
        <v>0.16</v>
      </c>
      <c r="F24" s="54">
        <v>4.18</v>
      </c>
      <c r="G24" s="54">
        <v>54.55</v>
      </c>
      <c r="H24" s="54">
        <v>11.5</v>
      </c>
      <c r="I24" s="54">
        <v>1.55</v>
      </c>
      <c r="J24" s="54">
        <v>1.29</v>
      </c>
      <c r="K24" s="54">
        <v>351.56</v>
      </c>
      <c r="L24" s="54">
        <v>30</v>
      </c>
      <c r="M24" s="54">
        <v>25.84</v>
      </c>
      <c r="N24" s="54">
        <v>341.80</v>
      </c>
      <c r="O24" s="54">
        <v>0</v>
      </c>
      <c r="P24" s="54">
        <v>0.48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6.07</v>
      </c>
      <c r="C25" s="54">
        <v>55.39</v>
      </c>
      <c r="D25" s="54">
        <v>36.04</v>
      </c>
      <c r="E25" s="54">
        <v>0.35</v>
      </c>
      <c r="F25" s="54">
        <v>3.96</v>
      </c>
      <c r="G25" s="54">
        <v>57.07</v>
      </c>
      <c r="H25" s="54">
        <v>26.91</v>
      </c>
      <c r="I25" s="54">
        <v>1.55</v>
      </c>
      <c r="J25" s="54">
        <v>1.03</v>
      </c>
      <c r="K25" s="54">
        <v>353.79</v>
      </c>
      <c r="L25" s="54">
        <v>27.38</v>
      </c>
      <c r="M25" s="54">
        <v>28.92</v>
      </c>
      <c r="N25" s="54">
        <v>139.80000000000001</v>
      </c>
      <c r="O25" s="54">
        <v>0</v>
      </c>
      <c r="P25" s="54">
        <v>0.52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9.09</v>
      </c>
      <c r="C26" s="54">
        <v>58.30</v>
      </c>
      <c r="D26" s="54">
        <v>40.11</v>
      </c>
      <c r="E26" s="54">
        <v>0.35</v>
      </c>
      <c r="F26" s="54">
        <v>3.97</v>
      </c>
      <c r="G26" s="54">
        <v>59.48</v>
      </c>
      <c r="H26" s="54">
        <v>26.91</v>
      </c>
      <c r="I26" s="54">
        <v>1.49</v>
      </c>
      <c r="J26" s="54">
        <v>0.57999999999999996</v>
      </c>
      <c r="K26" s="54">
        <v>350.20</v>
      </c>
      <c r="L26" s="54">
        <v>25.36</v>
      </c>
      <c r="M26" s="54">
        <v>41.45</v>
      </c>
      <c r="N26" s="54">
        <v>54.60</v>
      </c>
      <c r="O26" s="54">
        <v>0</v>
      </c>
      <c r="P26" s="54">
        <v>0.63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14.37</v>
      </c>
      <c r="C27" s="54">
        <v>60.14</v>
      </c>
      <c r="D27" s="54">
        <v>45.12</v>
      </c>
      <c r="E27" s="54">
        <v>0.39</v>
      </c>
      <c r="F27" s="54">
        <v>3.38</v>
      </c>
      <c r="G27" s="54">
        <v>63.57</v>
      </c>
      <c r="H27" s="54">
        <v>23.86</v>
      </c>
      <c r="I27" s="54">
        <v>1.52</v>
      </c>
      <c r="J27" s="54">
        <v>0.54</v>
      </c>
      <c r="K27" s="54">
        <v>359.02</v>
      </c>
      <c r="L27" s="54">
        <v>23.58</v>
      </c>
      <c r="M27" s="54">
        <v>41.80</v>
      </c>
      <c r="N27" s="54">
        <v>15.10</v>
      </c>
      <c r="O27" s="54">
        <v>0</v>
      </c>
      <c r="P27" s="54">
        <v>0.85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17.78</v>
      </c>
      <c r="C28" s="54">
        <v>58.76</v>
      </c>
      <c r="D28" s="54">
        <v>46.18</v>
      </c>
      <c r="E28" s="54">
        <v>0.40</v>
      </c>
      <c r="F28" s="54">
        <v>3.48</v>
      </c>
      <c r="G28" s="54">
        <v>66.209999999999994</v>
      </c>
      <c r="H28" s="54">
        <v>23.86</v>
      </c>
      <c r="I28" s="54">
        <v>1.54</v>
      </c>
      <c r="J28" s="54">
        <v>0.31</v>
      </c>
      <c r="K28" s="54">
        <v>83.64</v>
      </c>
      <c r="L28" s="54">
        <v>22.60</v>
      </c>
      <c r="M28" s="54">
        <v>38.47</v>
      </c>
      <c r="N28" s="54">
        <v>14.90</v>
      </c>
      <c r="O28" s="54">
        <v>0</v>
      </c>
      <c r="P28" s="54">
        <v>0.90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20.94</v>
      </c>
      <c r="C29" s="54">
        <v>55.31</v>
      </c>
      <c r="D29" s="54">
        <v>46.47</v>
      </c>
      <c r="E29" s="54">
        <v>0.20</v>
      </c>
      <c r="F29" s="54">
        <v>3.54</v>
      </c>
      <c r="G29" s="54">
        <v>71.03</v>
      </c>
      <c r="H29" s="54">
        <v>25.83</v>
      </c>
      <c r="I29" s="54">
        <v>1.51</v>
      </c>
      <c r="J29" s="54">
        <v>0.24</v>
      </c>
      <c r="K29" s="54">
        <v>58.59</v>
      </c>
      <c r="L29" s="54">
        <v>22.04</v>
      </c>
      <c r="M29" s="54">
        <v>39.72</v>
      </c>
      <c r="N29" s="54">
        <v>14.60</v>
      </c>
      <c r="O29" s="54">
        <v>0</v>
      </c>
      <c r="P29" s="54">
        <v>0.95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24.64</v>
      </c>
      <c r="C30" s="54">
        <v>56.79</v>
      </c>
      <c r="D30" s="54">
        <v>51.75</v>
      </c>
      <c r="E30" s="54">
        <v>0.23</v>
      </c>
      <c r="F30" s="54">
        <v>3.49</v>
      </c>
      <c r="G30" s="54">
        <v>74.87</v>
      </c>
      <c r="H30" s="54">
        <v>25.83</v>
      </c>
      <c r="I30" s="54">
        <v>1.57</v>
      </c>
      <c r="J30" s="54">
        <v>0.55000000000000004</v>
      </c>
      <c r="K30" s="54">
        <v>356.43</v>
      </c>
      <c r="L30" s="54">
        <v>21.37</v>
      </c>
      <c r="M30" s="54">
        <v>44.26</v>
      </c>
      <c r="N30" s="54">
        <v>14.80</v>
      </c>
      <c r="O30" s="54">
        <v>0</v>
      </c>
      <c r="P30" s="54">
        <v>1.03</v>
      </c>
      <c r="Q30" s="54">
        <v>5.31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27.68</v>
      </c>
      <c r="C31" s="54">
        <v>57.96</v>
      </c>
      <c r="D31" s="54">
        <v>54.83</v>
      </c>
      <c r="E31" s="54">
        <v>0.26</v>
      </c>
      <c r="F31" s="54">
        <v>3.17</v>
      </c>
      <c r="G31" s="54">
        <v>77.09</v>
      </c>
      <c r="H31" s="54">
        <v>26.02</v>
      </c>
      <c r="I31" s="54">
        <v>1.57</v>
      </c>
      <c r="J31" s="54">
        <v>0.19</v>
      </c>
      <c r="K31" s="54">
        <v>123.72</v>
      </c>
      <c r="L31" s="54">
        <v>20.81</v>
      </c>
      <c r="M31" s="54">
        <v>48.67</v>
      </c>
      <c r="N31" s="54">
        <v>15.10</v>
      </c>
      <c r="O31" s="54">
        <v>0</v>
      </c>
      <c r="P31" s="54">
        <v>1.07</v>
      </c>
      <c r="Q31" s="54">
        <v>6.14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28.41</v>
      </c>
      <c r="C32" s="54">
        <v>57.60</v>
      </c>
      <c r="D32" s="54">
        <v>55.22</v>
      </c>
      <c r="E32" s="54">
        <v>0.24</v>
      </c>
      <c r="F32" s="54">
        <v>3.41</v>
      </c>
      <c r="G32" s="54">
        <v>77.09</v>
      </c>
      <c r="H32" s="54">
        <v>26.02</v>
      </c>
      <c r="I32" s="54">
        <v>1.54</v>
      </c>
      <c r="J32" s="54">
        <v>1.1100000000000001</v>
      </c>
      <c r="K32" s="54">
        <v>99.95</v>
      </c>
      <c r="L32" s="54">
        <v>20.92</v>
      </c>
      <c r="M32" s="54">
        <v>45.82</v>
      </c>
      <c r="N32" s="54">
        <v>14.90</v>
      </c>
      <c r="O32" s="54">
        <v>0</v>
      </c>
      <c r="P32" s="54">
        <v>1.07</v>
      </c>
      <c r="Q32" s="54">
        <v>6.30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6.0199999999999996</v>
      </c>
      <c r="C34" s="28">
        <f t="shared" si="0"/>
        <v>43.729999999999997</v>
      </c>
      <c r="D34" s="28">
        <f t="shared" si="0"/>
        <v>30.969999999999999</v>
      </c>
      <c r="E34" s="28">
        <f t="shared" si="0"/>
        <v>0.14000000000000001</v>
      </c>
      <c r="F34" s="28">
        <f t="shared" si="0"/>
        <v>3.1699999999999999</v>
      </c>
      <c r="G34" s="28">
        <f t="shared" si="0"/>
        <v>48.960000000000001</v>
      </c>
      <c r="H34" s="28">
        <f t="shared" si="0"/>
        <v>11.5</v>
      </c>
      <c r="I34" s="28">
        <f t="shared" si="0"/>
        <v>1.49</v>
      </c>
      <c r="J34" s="28">
        <f t="shared" si="0"/>
        <v>0.19</v>
      </c>
      <c r="K34" s="28">
        <f t="shared" si="0"/>
        <v>58.590000000000003</v>
      </c>
      <c r="L34" s="28">
        <f t="shared" si="0"/>
        <v>17.18</v>
      </c>
      <c r="M34" s="28">
        <f t="shared" si="0"/>
        <v>23.920000000000002</v>
      </c>
      <c r="N34" s="28">
        <f t="shared" si="0"/>
        <v>14.6</v>
      </c>
      <c r="O34" s="28">
        <f t="shared" si="0"/>
        <v>0</v>
      </c>
      <c r="P34" s="28">
        <f t="shared" si="0"/>
        <v>0.38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28.41</v>
      </c>
      <c r="C35" s="29">
        <f t="shared" si="1"/>
        <v>60.140000000000001</v>
      </c>
      <c r="D35" s="29">
        <f t="shared" si="1"/>
        <v>55.219999999999999</v>
      </c>
      <c r="E35" s="29">
        <f t="shared" si="1"/>
        <v>0.40000000000000002</v>
      </c>
      <c r="F35" s="29">
        <f t="shared" si="1"/>
        <v>4.1799999999999997</v>
      </c>
      <c r="G35" s="29">
        <f t="shared" si="1"/>
        <v>79.329999999999998</v>
      </c>
      <c r="H35" s="29">
        <f t="shared" si="1"/>
        <v>26.91</v>
      </c>
      <c r="I35" s="29">
        <f t="shared" si="1"/>
        <v>1.5900000000000001</v>
      </c>
      <c r="J35" s="29">
        <f t="shared" si="1"/>
        <v>1.5</v>
      </c>
      <c r="K35" s="29">
        <f t="shared" si="1"/>
        <v>359.37</v>
      </c>
      <c r="L35" s="29">
        <f t="shared" si="1"/>
        <v>32.030000000000001</v>
      </c>
      <c r="M35" s="29">
        <f t="shared" si="1"/>
        <v>68.310000000000002</v>
      </c>
      <c r="N35" s="29">
        <f t="shared" si="1"/>
        <v>840.29999999999995</v>
      </c>
      <c r="O35" s="29">
        <f t="shared" si="1"/>
        <v>0</v>
      </c>
      <c r="P35" s="29">
        <f t="shared" si="1"/>
        <v>1.0700000000000001</v>
      </c>
      <c r="Q35" s="29">
        <f t="shared" si="1"/>
        <v>6.2999999999999998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13.779166666666669</v>
      </c>
      <c r="C36" s="28">
        <f t="shared" si="2"/>
        <v>53.643333333333338</v>
      </c>
      <c r="D36" s="28">
        <f t="shared" si="2"/>
        <v>41.099166666666669</v>
      </c>
      <c r="E36" s="28">
        <f t="shared" si="2"/>
        <v>0.24000000000000007</v>
      </c>
      <c r="F36" s="28">
        <f t="shared" si="2"/>
        <v>3.6087500000000001</v>
      </c>
      <c r="G36" s="28">
        <f t="shared" si="2"/>
        <v>64.898749999999993</v>
      </c>
      <c r="H36" s="28">
        <f t="shared" si="2"/>
        <v>21.59375</v>
      </c>
      <c r="I36" s="28">
        <f t="shared" si="2"/>
        <v>1.5433333333333332</v>
      </c>
      <c r="J36" s="28">
        <f t="shared" si="2"/>
        <v>0.79374999999999984</v>
      </c>
      <c r="K36" s="28">
        <f t="shared" si="2"/>
        <v>251.69208333333333</v>
      </c>
      <c r="L36" s="28">
        <f t="shared" si="2"/>
        <v>23.758749999999996</v>
      </c>
      <c r="M36" s="28">
        <f t="shared" si="2"/>
        <v>45.158749999999998</v>
      </c>
      <c r="N36" s="28">
        <f t="shared" si="2"/>
        <v>250.77916666666678</v>
      </c>
      <c r="O36" s="28">
        <f t="shared" si="2"/>
        <v>0</v>
      </c>
      <c r="P36" s="28">
        <f t="shared" si="2"/>
        <v>0.6283333333333333</v>
      </c>
      <c r="Q36" s="28">
        <f t="shared" si="2"/>
        <v>5.2983333333333311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6.699304906621582</v>
      </c>
      <c r="C37" s="28">
        <f t="shared" si="3" ref="C37:Q37">STDEV(C9:C32)</f>
        <v>4.3704120457085534</v>
      </c>
      <c r="D37" s="28">
        <f t="shared" si="3"/>
        <v>6.5363404976675472</v>
      </c>
      <c r="E37" s="28">
        <f t="shared" si="3"/>
        <v>0.073069353594941364</v>
      </c>
      <c r="F37" s="28">
        <f t="shared" si="3"/>
        <v>0.25217855130667605</v>
      </c>
      <c r="G37" s="28">
        <f t="shared" si="3"/>
        <v>9.8738589049021463</v>
      </c>
      <c r="H37" s="28">
        <f t="shared" si="3"/>
        <v>4.0076023543304178</v>
      </c>
      <c r="I37" s="28">
        <f t="shared" si="3"/>
        <v>0.027923290367138642</v>
      </c>
      <c r="J37" s="28">
        <f t="shared" si="3"/>
        <v>0.40897339660476056</v>
      </c>
      <c r="K37" s="28">
        <f t="shared" si="3"/>
        <v>131.0186044200085</v>
      </c>
      <c r="L37" s="28">
        <f t="shared" si="3"/>
        <v>4.8642496293387252</v>
      </c>
      <c r="M37" s="28">
        <f t="shared" si="3"/>
        <v>13.358574290141048</v>
      </c>
      <c r="N37" s="28">
        <f t="shared" si="3"/>
        <v>322.29688174396603</v>
      </c>
      <c r="O37" s="28">
        <f t="shared" si="3"/>
        <v>0</v>
      </c>
      <c r="P37" s="28">
        <f t="shared" si="3"/>
        <v>0.22137253014195177</v>
      </c>
      <c r="Q37" s="28">
        <f t="shared" si="3"/>
        <v>0.28557594994751251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137e16-bfa3-4fdc-a99a-cb9491078ec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3" sqref="G7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24.02</v>
      </c>
      <c r="C9" s="54">
        <v>53.91</v>
      </c>
      <c r="D9" s="54">
        <v>49.66</v>
      </c>
      <c r="E9" s="54">
        <v>0.01</v>
      </c>
      <c r="F9" s="54">
        <v>3.52</v>
      </c>
      <c r="G9" s="54">
        <v>74.55</v>
      </c>
      <c r="H9" s="54">
        <v>25.85</v>
      </c>
      <c r="I9" s="54">
        <v>1.53</v>
      </c>
      <c r="J9" s="54">
        <v>0.16</v>
      </c>
      <c r="K9" s="54">
        <v>299.68</v>
      </c>
      <c r="L9" s="54">
        <v>19.899999999999999</v>
      </c>
      <c r="M9" s="54">
        <v>56.89</v>
      </c>
      <c r="N9" s="54">
        <v>15.20</v>
      </c>
      <c r="O9" s="54">
        <v>0</v>
      </c>
      <c r="P9" s="54">
        <v>0.95</v>
      </c>
      <c r="Q9" s="54">
        <v>5.26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21.88</v>
      </c>
      <c r="C10" s="54">
        <v>50.72</v>
      </c>
      <c r="D10" s="54">
        <v>46.18</v>
      </c>
      <c r="E10" s="54">
        <v>0.03</v>
      </c>
      <c r="F10" s="54">
        <v>3.46</v>
      </c>
      <c r="G10" s="54">
        <v>71.94</v>
      </c>
      <c r="H10" s="54">
        <v>23.35</v>
      </c>
      <c r="I10" s="54">
        <v>1.57</v>
      </c>
      <c r="J10" s="54">
        <v>0.5</v>
      </c>
      <c r="K10" s="54">
        <v>359.5</v>
      </c>
      <c r="L10" s="54">
        <v>18.670000000000002</v>
      </c>
      <c r="M10" s="54">
        <v>60.58</v>
      </c>
      <c r="N10" s="54">
        <v>15.10</v>
      </c>
      <c r="O10" s="54">
        <v>0</v>
      </c>
      <c r="P10" s="54">
        <v>0.85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16.350000000000001</v>
      </c>
      <c r="C11" s="54">
        <v>49.25</v>
      </c>
      <c r="D11" s="54">
        <v>40.93</v>
      </c>
      <c r="E11" s="54">
        <v>0.02</v>
      </c>
      <c r="F11" s="54">
        <v>3.55</v>
      </c>
      <c r="G11" s="54">
        <v>68.040000000000006</v>
      </c>
      <c r="H11" s="54">
        <v>23.01</v>
      </c>
      <c r="I11" s="54">
        <v>1.56</v>
      </c>
      <c r="J11" s="54">
        <v>0.49</v>
      </c>
      <c r="K11" s="54">
        <v>74</v>
      </c>
      <c r="L11" s="54">
        <v>18.82</v>
      </c>
      <c r="M11" s="54">
        <v>55.72</v>
      </c>
      <c r="N11" s="54">
        <v>14.90</v>
      </c>
      <c r="O11" s="54">
        <v>0</v>
      </c>
      <c r="P11" s="54">
        <v>0.74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11.18</v>
      </c>
      <c r="C12" s="54">
        <v>48.96</v>
      </c>
      <c r="D12" s="54">
        <v>36.090000000000003</v>
      </c>
      <c r="E12" s="54">
        <v>0.01</v>
      </c>
      <c r="F12" s="54">
        <v>3.45</v>
      </c>
      <c r="G12" s="54">
        <v>70.13</v>
      </c>
      <c r="H12" s="54">
        <v>23.01</v>
      </c>
      <c r="I12" s="54">
        <v>1.49</v>
      </c>
      <c r="J12" s="54">
        <v>1.1599999999999999</v>
      </c>
      <c r="K12" s="54">
        <v>355.63</v>
      </c>
      <c r="L12" s="54">
        <v>17.940000000000001</v>
      </c>
      <c r="M12" s="54">
        <v>57.19</v>
      </c>
      <c r="N12" s="54">
        <v>14.90</v>
      </c>
      <c r="O12" s="54">
        <v>0</v>
      </c>
      <c r="P12" s="54">
        <v>0.65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10.63</v>
      </c>
      <c r="C13" s="54">
        <v>49.58</v>
      </c>
      <c r="D13" s="54">
        <v>36.25</v>
      </c>
      <c r="E13" s="54">
        <v>0.12</v>
      </c>
      <c r="F13" s="54">
        <v>3.70</v>
      </c>
      <c r="G13" s="54">
        <v>70.13</v>
      </c>
      <c r="H13" s="54">
        <v>23.74</v>
      </c>
      <c r="I13" s="54">
        <v>1.57</v>
      </c>
      <c r="J13" s="54">
        <v>0.96</v>
      </c>
      <c r="K13" s="54">
        <v>355.99</v>
      </c>
      <c r="L13" s="54">
        <v>17.46</v>
      </c>
      <c r="M13" s="54">
        <v>57.08</v>
      </c>
      <c r="N13" s="54">
        <v>14.90</v>
      </c>
      <c r="O13" s="54">
        <v>0</v>
      </c>
      <c r="P13" s="54">
        <v>0.56000000000000005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11.36</v>
      </c>
      <c r="C14" s="54">
        <v>49.69</v>
      </c>
      <c r="D14" s="54">
        <v>37.18</v>
      </c>
      <c r="E14" s="54">
        <v>0.16</v>
      </c>
      <c r="F14" s="54">
        <v>3.61</v>
      </c>
      <c r="G14" s="54">
        <v>65.88</v>
      </c>
      <c r="H14" s="54">
        <v>23.74</v>
      </c>
      <c r="I14" s="54">
        <v>1.52</v>
      </c>
      <c r="J14" s="54">
        <v>1.03</v>
      </c>
      <c r="K14" s="54">
        <v>353.28</v>
      </c>
      <c r="L14" s="54">
        <v>17.04</v>
      </c>
      <c r="M14" s="54">
        <v>56.91</v>
      </c>
      <c r="N14" s="54">
        <v>14.90</v>
      </c>
      <c r="O14" s="54">
        <v>0</v>
      </c>
      <c r="P14" s="54">
        <v>0.51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13.30</v>
      </c>
      <c r="C15" s="54">
        <v>49.66</v>
      </c>
      <c r="D15" s="54">
        <v>38.72</v>
      </c>
      <c r="E15" s="54">
        <v>0.15</v>
      </c>
      <c r="F15" s="54">
        <v>3.59</v>
      </c>
      <c r="G15" s="54">
        <v>71.06</v>
      </c>
      <c r="H15" s="54">
        <v>21.41</v>
      </c>
      <c r="I15" s="54">
        <v>1.58</v>
      </c>
      <c r="J15" s="54">
        <v>0.97</v>
      </c>
      <c r="K15" s="54">
        <v>355.19</v>
      </c>
      <c r="L15" s="54">
        <v>16.79</v>
      </c>
      <c r="M15" s="54">
        <v>59.31</v>
      </c>
      <c r="N15" s="54">
        <v>52.90</v>
      </c>
      <c r="O15" s="54">
        <v>0</v>
      </c>
      <c r="P15" s="54">
        <v>0.48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15.57</v>
      </c>
      <c r="C16" s="54">
        <v>51.05</v>
      </c>
      <c r="D16" s="54">
        <v>41.30</v>
      </c>
      <c r="E16" s="54">
        <v>0.21</v>
      </c>
      <c r="F16" s="54">
        <v>3.17</v>
      </c>
      <c r="G16" s="54">
        <v>71.06</v>
      </c>
      <c r="H16" s="54">
        <v>22.28</v>
      </c>
      <c r="I16" s="54">
        <v>1.56</v>
      </c>
      <c r="J16" s="54">
        <v>0.77</v>
      </c>
      <c r="K16" s="54">
        <v>356.91</v>
      </c>
      <c r="L16" s="54">
        <v>20.079999999999998</v>
      </c>
      <c r="M16" s="54">
        <v>58.28</v>
      </c>
      <c r="N16" s="54">
        <v>253.40</v>
      </c>
      <c r="O16" s="54">
        <v>0</v>
      </c>
      <c r="P16" s="54">
        <v>0.52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15.88</v>
      </c>
      <c r="C17" s="54">
        <v>51.45</v>
      </c>
      <c r="D17" s="54">
        <v>41.78</v>
      </c>
      <c r="E17" s="54">
        <v>0.19</v>
      </c>
      <c r="F17" s="54">
        <v>3.19</v>
      </c>
      <c r="G17" s="54">
        <v>70.5</v>
      </c>
      <c r="H17" s="54">
        <v>24.39</v>
      </c>
      <c r="I17" s="54">
        <v>1.58</v>
      </c>
      <c r="J17" s="54">
        <v>0.64</v>
      </c>
      <c r="K17" s="54">
        <v>75.89</v>
      </c>
      <c r="L17" s="54">
        <v>21.61</v>
      </c>
      <c r="M17" s="54">
        <v>48.93</v>
      </c>
      <c r="N17" s="54">
        <v>445.70</v>
      </c>
      <c r="O17" s="54">
        <v>0</v>
      </c>
      <c r="P17" s="54">
        <v>0.53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14.77</v>
      </c>
      <c r="C18" s="54">
        <v>51.25</v>
      </c>
      <c r="D18" s="54">
        <v>40.770000000000003</v>
      </c>
      <c r="E18" s="54">
        <v>0.18</v>
      </c>
      <c r="F18" s="54">
        <v>3.48</v>
      </c>
      <c r="G18" s="54">
        <v>72.459999999999994</v>
      </c>
      <c r="H18" s="54">
        <v>24.39</v>
      </c>
      <c r="I18" s="54">
        <v>1.51</v>
      </c>
      <c r="J18" s="54">
        <v>0.98</v>
      </c>
      <c r="K18" s="54">
        <v>109.88</v>
      </c>
      <c r="L18" s="54">
        <v>24.01</v>
      </c>
      <c r="M18" s="54">
        <v>45.83</v>
      </c>
      <c r="N18" s="54">
        <v>603.40</v>
      </c>
      <c r="O18" s="54">
        <v>0</v>
      </c>
      <c r="P18" s="54">
        <v>0.52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12.18</v>
      </c>
      <c r="C19" s="54">
        <v>51.86</v>
      </c>
      <c r="D19" s="54">
        <v>37.74</v>
      </c>
      <c r="E19" s="54">
        <v>0.22</v>
      </c>
      <c r="F19" s="54">
        <v>3.82</v>
      </c>
      <c r="G19" s="54">
        <v>72.459999999999994</v>
      </c>
      <c r="H19" s="54">
        <v>25.5</v>
      </c>
      <c r="I19" s="54">
        <v>1.55</v>
      </c>
      <c r="J19" s="54">
        <v>0.42</v>
      </c>
      <c r="K19" s="54">
        <v>337.40</v>
      </c>
      <c r="L19" s="54">
        <v>28.82</v>
      </c>
      <c r="M19" s="54">
        <v>42.70</v>
      </c>
      <c r="N19" s="54">
        <v>759.5</v>
      </c>
      <c r="O19" s="54">
        <v>0</v>
      </c>
      <c r="P19" s="54">
        <v>0.53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7.43</v>
      </c>
      <c r="C20" s="54">
        <v>53.27</v>
      </c>
      <c r="D20" s="54">
        <v>35.520000000000003</v>
      </c>
      <c r="E20" s="54">
        <v>0.26</v>
      </c>
      <c r="F20" s="54">
        <v>4.25</v>
      </c>
      <c r="G20" s="54">
        <v>66.41</v>
      </c>
      <c r="H20" s="54">
        <v>25.5</v>
      </c>
      <c r="I20" s="54">
        <v>1.55</v>
      </c>
      <c r="J20" s="54">
        <v>0.51</v>
      </c>
      <c r="K20" s="54">
        <v>348.61</v>
      </c>
      <c r="L20" s="54">
        <v>30.31</v>
      </c>
      <c r="M20" s="54">
        <v>39.31</v>
      </c>
      <c r="N20" s="54">
        <v>782.80</v>
      </c>
      <c r="O20" s="54">
        <v>0</v>
      </c>
      <c r="P20" s="54">
        <v>0.54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3.53</v>
      </c>
      <c r="C21" s="54">
        <v>53.95</v>
      </c>
      <c r="D21" s="54">
        <v>33.25</v>
      </c>
      <c r="E21" s="54">
        <v>0.23</v>
      </c>
      <c r="F21" s="54">
        <v>5.19</v>
      </c>
      <c r="G21" s="54">
        <v>65.81</v>
      </c>
      <c r="H21" s="54">
        <v>23.53</v>
      </c>
      <c r="I21" s="54">
        <v>1.58</v>
      </c>
      <c r="J21" s="54">
        <v>0.48</v>
      </c>
      <c r="K21" s="54">
        <v>258.38</v>
      </c>
      <c r="L21" s="54">
        <v>30.26</v>
      </c>
      <c r="M21" s="54">
        <v>35.28</v>
      </c>
      <c r="N21" s="54">
        <v>778.70</v>
      </c>
      <c r="O21" s="54">
        <v>0</v>
      </c>
      <c r="P21" s="54">
        <v>0.55000000000000004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2.0099999999999998</v>
      </c>
      <c r="C22" s="54">
        <v>50.48</v>
      </c>
      <c r="D22" s="54">
        <v>30.11</v>
      </c>
      <c r="E22" s="54">
        <v>0.31</v>
      </c>
      <c r="F22" s="54">
        <v>6.07</v>
      </c>
      <c r="G22" s="54">
        <v>62.64</v>
      </c>
      <c r="H22" s="54">
        <v>38.840000000000003</v>
      </c>
      <c r="I22" s="54">
        <v>1.59</v>
      </c>
      <c r="J22" s="54">
        <v>0.42</v>
      </c>
      <c r="K22" s="54">
        <v>310.37</v>
      </c>
      <c r="L22" s="54">
        <v>30.21</v>
      </c>
      <c r="M22" s="54">
        <v>35.56</v>
      </c>
      <c r="N22" s="54">
        <v>728.10</v>
      </c>
      <c r="O22" s="54">
        <v>0</v>
      </c>
      <c r="P22" s="54">
        <v>0.52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1.84</v>
      </c>
      <c r="C23" s="54">
        <v>47.39</v>
      </c>
      <c r="D23" s="54">
        <v>28.23</v>
      </c>
      <c r="E23" s="54">
        <v>0.24</v>
      </c>
      <c r="F23" s="54">
        <v>6.15</v>
      </c>
      <c r="G23" s="54">
        <v>59.18</v>
      </c>
      <c r="H23" s="54">
        <v>38.840000000000003</v>
      </c>
      <c r="I23" s="54">
        <v>1.5</v>
      </c>
      <c r="J23" s="54">
        <v>0.53</v>
      </c>
      <c r="K23" s="54">
        <v>308.58</v>
      </c>
      <c r="L23" s="54">
        <v>29.36</v>
      </c>
      <c r="M23" s="54">
        <v>34.630000000000003</v>
      </c>
      <c r="N23" s="54">
        <v>630.79999999999995</v>
      </c>
      <c r="O23" s="54">
        <v>0</v>
      </c>
      <c r="P23" s="54">
        <v>0.49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1.65</v>
      </c>
      <c r="C24" s="54">
        <v>45.66</v>
      </c>
      <c r="D24" s="54">
        <v>27.16</v>
      </c>
      <c r="E24" s="54">
        <v>0.27</v>
      </c>
      <c r="F24" s="54">
        <v>6.03</v>
      </c>
      <c r="G24" s="54">
        <v>53.43</v>
      </c>
      <c r="H24" s="54">
        <v>31.95</v>
      </c>
      <c r="I24" s="54">
        <v>1.57</v>
      </c>
      <c r="J24" s="54">
        <v>0.26</v>
      </c>
      <c r="K24" s="54">
        <v>205.48</v>
      </c>
      <c r="L24" s="54">
        <v>29.39</v>
      </c>
      <c r="M24" s="54">
        <v>33.659999999999997</v>
      </c>
      <c r="N24" s="54">
        <v>317.89999999999998</v>
      </c>
      <c r="O24" s="54">
        <v>0</v>
      </c>
      <c r="P24" s="54">
        <v>0.46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1.74</v>
      </c>
      <c r="C25" s="54">
        <v>46.28</v>
      </c>
      <c r="D25" s="54">
        <v>27.56</v>
      </c>
      <c r="E25" s="54">
        <v>0.10</v>
      </c>
      <c r="F25" s="54">
        <v>5.61</v>
      </c>
      <c r="G25" s="54">
        <v>53.29</v>
      </c>
      <c r="H25" s="54">
        <v>28.63</v>
      </c>
      <c r="I25" s="54">
        <v>1.53</v>
      </c>
      <c r="J25" s="54">
        <v>0.35</v>
      </c>
      <c r="K25" s="54">
        <v>340.86</v>
      </c>
      <c r="L25" s="54">
        <v>28.26</v>
      </c>
      <c r="M25" s="54">
        <v>34.020000000000003</v>
      </c>
      <c r="N25" s="54">
        <v>130.10</v>
      </c>
      <c r="O25" s="54">
        <v>0</v>
      </c>
      <c r="P25" s="54">
        <v>0.46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3.47</v>
      </c>
      <c r="C26" s="54">
        <v>50.26</v>
      </c>
      <c r="D26" s="54">
        <v>31.17</v>
      </c>
      <c r="E26" s="54">
        <v>0.13</v>
      </c>
      <c r="F26" s="54">
        <v>4.96</v>
      </c>
      <c r="G26" s="54">
        <v>54.46</v>
      </c>
      <c r="H26" s="54">
        <v>29.44</v>
      </c>
      <c r="I26" s="54">
        <v>1.52</v>
      </c>
      <c r="J26" s="54">
        <v>0.91</v>
      </c>
      <c r="K26" s="54">
        <v>344.89</v>
      </c>
      <c r="L26" s="54">
        <v>27.29</v>
      </c>
      <c r="M26" s="54">
        <v>47.75</v>
      </c>
      <c r="N26" s="54">
        <v>55.70</v>
      </c>
      <c r="O26" s="54">
        <v>0</v>
      </c>
      <c r="P26" s="54">
        <v>0.55000000000000004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5.04</v>
      </c>
      <c r="C27" s="54">
        <v>57.33</v>
      </c>
      <c r="D27" s="54">
        <v>36.33</v>
      </c>
      <c r="E27" s="54">
        <v>0.12</v>
      </c>
      <c r="F27" s="54">
        <v>4.38</v>
      </c>
      <c r="G27" s="54">
        <v>64.52</v>
      </c>
      <c r="H27" s="54">
        <v>30.19</v>
      </c>
      <c r="I27" s="54">
        <v>1.53</v>
      </c>
      <c r="J27" s="54">
        <v>1.30</v>
      </c>
      <c r="K27" s="54">
        <v>351.84</v>
      </c>
      <c r="L27" s="54">
        <v>25.27</v>
      </c>
      <c r="M27" s="54">
        <v>51.55</v>
      </c>
      <c r="N27" s="54">
        <v>15.40</v>
      </c>
      <c r="O27" s="54">
        <v>0</v>
      </c>
      <c r="P27" s="54">
        <v>0.73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8.8699999999999992</v>
      </c>
      <c r="C28" s="54">
        <v>59.33</v>
      </c>
      <c r="D28" s="54">
        <v>40.51</v>
      </c>
      <c r="E28" s="54">
        <v>0.17</v>
      </c>
      <c r="F28" s="54">
        <v>3.65</v>
      </c>
      <c r="G28" s="54">
        <v>82.35</v>
      </c>
      <c r="H28" s="54">
        <v>33.10</v>
      </c>
      <c r="I28" s="54">
        <v>1.57</v>
      </c>
      <c r="J28" s="54">
        <v>0.51</v>
      </c>
      <c r="K28" s="54">
        <v>351.58</v>
      </c>
      <c r="L28" s="54">
        <v>23.96</v>
      </c>
      <c r="M28" s="54">
        <v>56.33</v>
      </c>
      <c r="N28" s="54">
        <v>15.10</v>
      </c>
      <c r="O28" s="54">
        <v>0</v>
      </c>
      <c r="P28" s="54">
        <v>0.94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9.83</v>
      </c>
      <c r="C29" s="54">
        <v>64</v>
      </c>
      <c r="D29" s="54">
        <v>43.85</v>
      </c>
      <c r="E29" s="54">
        <v>0.15</v>
      </c>
      <c r="F29" s="54">
        <v>3.73</v>
      </c>
      <c r="G29" s="54">
        <v>96.20</v>
      </c>
      <c r="H29" s="54">
        <v>34.31</v>
      </c>
      <c r="I29" s="54">
        <v>1.60</v>
      </c>
      <c r="J29" s="54">
        <v>0.5</v>
      </c>
      <c r="K29" s="54">
        <v>350.54</v>
      </c>
      <c r="L29" s="54">
        <v>23.34</v>
      </c>
      <c r="M29" s="54">
        <v>58.83</v>
      </c>
      <c r="N29" s="54">
        <v>14.90</v>
      </c>
      <c r="O29" s="54">
        <v>0</v>
      </c>
      <c r="P29" s="54">
        <v>1.1399999999999999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9.8000000000000007</v>
      </c>
      <c r="C30" s="54">
        <v>65.12</v>
      </c>
      <c r="D30" s="54">
        <v>44.35</v>
      </c>
      <c r="E30" s="54">
        <v>0.21</v>
      </c>
      <c r="F30" s="54">
        <v>3.51</v>
      </c>
      <c r="G30" s="54">
        <v>96.20</v>
      </c>
      <c r="H30" s="54">
        <v>36.96</v>
      </c>
      <c r="I30" s="54">
        <v>1.55</v>
      </c>
      <c r="J30" s="54">
        <v>0.24</v>
      </c>
      <c r="K30" s="54">
        <v>78.38</v>
      </c>
      <c r="L30" s="54">
        <v>22.92</v>
      </c>
      <c r="M30" s="54">
        <v>61.49</v>
      </c>
      <c r="N30" s="54">
        <v>15.10</v>
      </c>
      <c r="O30" s="54">
        <v>0</v>
      </c>
      <c r="P30" s="54">
        <v>1.23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9.0399999999999991</v>
      </c>
      <c r="C31" s="54">
        <v>63.99</v>
      </c>
      <c r="D31" s="54">
        <v>43.10</v>
      </c>
      <c r="E31" s="54">
        <v>0.16</v>
      </c>
      <c r="F31" s="54">
        <v>3.72</v>
      </c>
      <c r="G31" s="54">
        <v>91.40</v>
      </c>
      <c r="H31" s="54">
        <v>36.96</v>
      </c>
      <c r="I31" s="54">
        <v>1.56</v>
      </c>
      <c r="J31" s="54">
        <v>0.61</v>
      </c>
      <c r="K31" s="54">
        <v>89.39</v>
      </c>
      <c r="L31" s="54">
        <v>22.19</v>
      </c>
      <c r="M31" s="54">
        <v>64.75</v>
      </c>
      <c r="N31" s="54">
        <v>14.70</v>
      </c>
      <c r="O31" s="54">
        <v>0</v>
      </c>
      <c r="P31" s="54">
        <v>1.23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8.2200000000000006</v>
      </c>
      <c r="C32" s="54">
        <v>58.26</v>
      </c>
      <c r="D32" s="54">
        <v>39.39</v>
      </c>
      <c r="E32" s="54">
        <v>0.11</v>
      </c>
      <c r="F32" s="54">
        <v>3.89</v>
      </c>
      <c r="G32" s="54">
        <v>89.41</v>
      </c>
      <c r="H32" s="54">
        <v>34.340000000000003</v>
      </c>
      <c r="I32" s="54">
        <v>1.51</v>
      </c>
      <c r="J32" s="54">
        <v>0.52</v>
      </c>
      <c r="K32" s="54">
        <v>359.17</v>
      </c>
      <c r="L32" s="54">
        <v>21.77</v>
      </c>
      <c r="M32" s="54">
        <v>73.08</v>
      </c>
      <c r="N32" s="54">
        <v>15.30</v>
      </c>
      <c r="O32" s="54">
        <v>0</v>
      </c>
      <c r="P32" s="54">
        <v>1.1599999999999999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1.6499999999999999</v>
      </c>
      <c r="C34" s="28">
        <f t="shared" si="0"/>
        <v>45.659999999999997</v>
      </c>
      <c r="D34" s="28">
        <f t="shared" si="0"/>
        <v>27.16</v>
      </c>
      <c r="E34" s="28">
        <f t="shared" si="0"/>
        <v>0.01</v>
      </c>
      <c r="F34" s="28">
        <f t="shared" si="0"/>
        <v>3.1699999999999999</v>
      </c>
      <c r="G34" s="28">
        <f t="shared" si="0"/>
        <v>53.289999999999999</v>
      </c>
      <c r="H34" s="28">
        <f t="shared" si="0"/>
        <v>21.41</v>
      </c>
      <c r="I34" s="28">
        <f t="shared" si="0"/>
        <v>1.49</v>
      </c>
      <c r="J34" s="28">
        <f t="shared" si="0"/>
        <v>0.16</v>
      </c>
      <c r="K34" s="28">
        <f t="shared" si="0"/>
        <v>74</v>
      </c>
      <c r="L34" s="28">
        <f t="shared" si="0"/>
        <v>16.789999999999999</v>
      </c>
      <c r="M34" s="28">
        <f t="shared" si="0"/>
        <v>33.659999999999997</v>
      </c>
      <c r="N34" s="28">
        <f t="shared" si="0"/>
        <v>14.699999999999999</v>
      </c>
      <c r="O34" s="28">
        <f t="shared" si="0"/>
        <v>0</v>
      </c>
      <c r="P34" s="28">
        <f t="shared" si="0"/>
        <v>0.46000000000000002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24.02</v>
      </c>
      <c r="C35" s="29">
        <f t="shared" si="1"/>
        <v>65.120000000000005</v>
      </c>
      <c r="D35" s="29">
        <f t="shared" si="1"/>
        <v>49.659999999999997</v>
      </c>
      <c r="E35" s="29">
        <f t="shared" si="1"/>
        <v>0.31</v>
      </c>
      <c r="F35" s="29">
        <f t="shared" si="1"/>
        <v>6.1500000000000004</v>
      </c>
      <c r="G35" s="29">
        <f t="shared" si="1"/>
        <v>96.200000000000003</v>
      </c>
      <c r="H35" s="29">
        <f t="shared" si="1"/>
        <v>38.840000000000003</v>
      </c>
      <c r="I35" s="29">
        <f t="shared" si="1"/>
        <v>1.6000000000000001</v>
      </c>
      <c r="J35" s="29">
        <f t="shared" si="1"/>
        <v>1.3</v>
      </c>
      <c r="K35" s="29">
        <f t="shared" si="1"/>
        <v>359.5</v>
      </c>
      <c r="L35" s="29">
        <f t="shared" si="1"/>
        <v>30.309999999999999</v>
      </c>
      <c r="M35" s="29">
        <f t="shared" si="1"/>
        <v>73.079999999999998</v>
      </c>
      <c r="N35" s="29">
        <f t="shared" si="1"/>
        <v>782.79999999999995</v>
      </c>
      <c r="O35" s="29">
        <f t="shared" si="1"/>
        <v>0</v>
      </c>
      <c r="P35" s="29">
        <f t="shared" si="1"/>
        <v>1.23</v>
      </c>
      <c r="Q35" s="29">
        <f t="shared" si="1"/>
        <v>5.2599999999999998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9.982916666666668</v>
      </c>
      <c r="C36" s="28">
        <f t="shared" si="2"/>
        <v>53.029166666666661</v>
      </c>
      <c r="D36" s="28">
        <f t="shared" si="2"/>
        <v>37.797083333333333</v>
      </c>
      <c r="E36" s="28">
        <f t="shared" si="2"/>
        <v>0.15666666666666665</v>
      </c>
      <c r="F36" s="28">
        <f t="shared" si="2"/>
        <v>4.1533333333333333</v>
      </c>
      <c r="G36" s="28">
        <f t="shared" si="2"/>
        <v>71.396250000000009</v>
      </c>
      <c r="H36" s="28">
        <f t="shared" si="2"/>
        <v>28.46916666666667</v>
      </c>
      <c r="I36" s="28">
        <f t="shared" si="2"/>
        <v>1.5491666666666666</v>
      </c>
      <c r="J36" s="28">
        <f t="shared" si="2"/>
        <v>0.63416666666666655</v>
      </c>
      <c r="K36" s="28">
        <f t="shared" si="2"/>
        <v>280.47583333333336</v>
      </c>
      <c r="L36" s="28">
        <f t="shared" si="2"/>
        <v>23.56958333333333</v>
      </c>
      <c r="M36" s="28">
        <f t="shared" si="2"/>
        <v>51.069166666666661</v>
      </c>
      <c r="N36" s="28">
        <f t="shared" si="2"/>
        <v>238.30833333333337</v>
      </c>
      <c r="O36" s="28">
        <f t="shared" si="2"/>
        <v>0</v>
      </c>
      <c r="P36" s="28">
        <f t="shared" si="2"/>
        <v>0.70166666666666677</v>
      </c>
      <c r="Q36" s="28">
        <f t="shared" si="2"/>
        <v>5.2120833333333305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6.1685164724603334</v>
      </c>
      <c r="C37" s="28">
        <f t="shared" si="3" ref="C37:Q37">STDEV(C9:C32)</f>
        <v>5.521754538949283</v>
      </c>
      <c r="D37" s="28">
        <f t="shared" si="3"/>
        <v>5.9797742280825616</v>
      </c>
      <c r="E37" s="28">
        <f t="shared" si="3"/>
        <v>0.082760348974124306</v>
      </c>
      <c r="F37" s="28">
        <f t="shared" si="3"/>
        <v>0.96033810471225334</v>
      </c>
      <c r="G37" s="28">
        <f t="shared" si="3"/>
        <v>12.15879671266857</v>
      </c>
      <c r="H37" s="28">
        <f t="shared" si="3"/>
        <v>5.7717994456304087</v>
      </c>
      <c r="I37" s="28">
        <f t="shared" si="3"/>
        <v>0.030204616213084248</v>
      </c>
      <c r="J37" s="28">
        <f t="shared" si="3"/>
        <v>0.30490079165791512</v>
      </c>
      <c r="K37" s="28">
        <f t="shared" si="3"/>
        <v>108.41960663838981</v>
      </c>
      <c r="L37" s="28">
        <f t="shared" si="3"/>
        <v>4.6979352348680283</v>
      </c>
      <c r="M37" s="28">
        <f t="shared" si="3"/>
        <v>11.126063766109585</v>
      </c>
      <c r="N37" s="28">
        <f t="shared" si="3"/>
        <v>303.21457019693185</v>
      </c>
      <c r="O37" s="28">
        <f t="shared" si="3"/>
        <v>0</v>
      </c>
      <c r="P37" s="28">
        <f t="shared" si="3"/>
        <v>0.2640432551301205</v>
      </c>
      <c r="Q37" s="28">
        <f t="shared" si="3"/>
        <v>0.010206207261596545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c7ca49-2016-4071-aa57-86f3d18a3d6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7.86</v>
      </c>
      <c r="C9" s="54">
        <v>55.62</v>
      </c>
      <c r="D9" s="54">
        <v>37.65</v>
      </c>
      <c r="E9" s="54">
        <v>0.28999999999999998</v>
      </c>
      <c r="F9" s="54">
        <v>3.54</v>
      </c>
      <c r="G9" s="54">
        <v>89.05</v>
      </c>
      <c r="H9" s="54">
        <v>32.86</v>
      </c>
      <c r="I9" s="54">
        <v>1.53</v>
      </c>
      <c r="J9" s="54">
        <v>1.43</v>
      </c>
      <c r="K9" s="54">
        <v>355.98</v>
      </c>
      <c r="L9" s="54">
        <v>20.21</v>
      </c>
      <c r="M9" s="54">
        <v>71.459999999999994</v>
      </c>
      <c r="N9" s="54">
        <v>15.40</v>
      </c>
      <c r="O9" s="54">
        <v>0</v>
      </c>
      <c r="P9" s="54">
        <v>1.05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6.38</v>
      </c>
      <c r="C10" s="54">
        <v>55.15</v>
      </c>
      <c r="D10" s="54">
        <v>36.200000000000003</v>
      </c>
      <c r="E10" s="54">
        <v>0.28000000000000003</v>
      </c>
      <c r="F10" s="54">
        <v>3.64</v>
      </c>
      <c r="G10" s="54">
        <v>82.77</v>
      </c>
      <c r="H10" s="54">
        <v>32.86</v>
      </c>
      <c r="I10" s="54">
        <v>1.51</v>
      </c>
      <c r="J10" s="54">
        <v>0.60</v>
      </c>
      <c r="K10" s="54">
        <v>351.54</v>
      </c>
      <c r="L10" s="54">
        <v>19.059999999999999</v>
      </c>
      <c r="M10" s="54">
        <v>59.76</v>
      </c>
      <c r="N10" s="54">
        <v>14.90</v>
      </c>
      <c r="O10" s="54">
        <v>0</v>
      </c>
      <c r="P10" s="54">
        <v>0.73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5.20</v>
      </c>
      <c r="C11" s="54">
        <v>53.15</v>
      </c>
      <c r="D11" s="54">
        <v>34.15</v>
      </c>
      <c r="E11" s="54">
        <v>0.25</v>
      </c>
      <c r="F11" s="54">
        <v>3.70</v>
      </c>
      <c r="G11" s="54">
        <v>71.02</v>
      </c>
      <c r="H11" s="54">
        <v>25.12</v>
      </c>
      <c r="I11" s="54">
        <v>1.55</v>
      </c>
      <c r="J11" s="54">
        <v>1.33</v>
      </c>
      <c r="K11" s="54">
        <v>355.68</v>
      </c>
      <c r="L11" s="54">
        <v>18.36</v>
      </c>
      <c r="M11" s="54">
        <v>65.77</v>
      </c>
      <c r="N11" s="54">
        <v>15</v>
      </c>
      <c r="O11" s="54">
        <v>0</v>
      </c>
      <c r="P11" s="54">
        <v>0.63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5.21</v>
      </c>
      <c r="C12" s="54">
        <v>51.72</v>
      </c>
      <c r="D12" s="54">
        <v>33.36</v>
      </c>
      <c r="E12" s="54">
        <v>0.20</v>
      </c>
      <c r="F12" s="54">
        <v>3.83</v>
      </c>
      <c r="G12" s="54">
        <v>60.71</v>
      </c>
      <c r="H12" s="54">
        <v>22.20</v>
      </c>
      <c r="I12" s="54">
        <v>1.54</v>
      </c>
      <c r="J12" s="54">
        <v>1.08</v>
      </c>
      <c r="K12" s="54">
        <v>354.64</v>
      </c>
      <c r="L12" s="54">
        <v>17.80</v>
      </c>
      <c r="M12" s="54">
        <v>68.05</v>
      </c>
      <c r="N12" s="54">
        <v>15.10</v>
      </c>
      <c r="O12" s="54">
        <v>0</v>
      </c>
      <c r="P12" s="54">
        <v>0.53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6.46</v>
      </c>
      <c r="C13" s="54">
        <v>52.21</v>
      </c>
      <c r="D13" s="54">
        <v>34.53</v>
      </c>
      <c r="E13" s="54">
        <v>0.23</v>
      </c>
      <c r="F13" s="54">
        <v>3.86</v>
      </c>
      <c r="G13" s="54">
        <v>57.35</v>
      </c>
      <c r="H13" s="54">
        <v>21.5</v>
      </c>
      <c r="I13" s="54">
        <v>1.52</v>
      </c>
      <c r="J13" s="54">
        <v>1.54</v>
      </c>
      <c r="K13" s="54">
        <v>354.58</v>
      </c>
      <c r="L13" s="54">
        <v>17.260000000000002</v>
      </c>
      <c r="M13" s="54">
        <v>68.209999999999994</v>
      </c>
      <c r="N13" s="54">
        <v>15</v>
      </c>
      <c r="O13" s="54">
        <v>0</v>
      </c>
      <c r="P13" s="54">
        <v>0.46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6.62</v>
      </c>
      <c r="C14" s="54">
        <v>51.99</v>
      </c>
      <c r="D14" s="54">
        <v>34.64</v>
      </c>
      <c r="E14" s="54">
        <v>0.24</v>
      </c>
      <c r="F14" s="54">
        <v>3.55</v>
      </c>
      <c r="G14" s="54">
        <v>57.35</v>
      </c>
      <c r="H14" s="54">
        <v>36.72</v>
      </c>
      <c r="I14" s="54">
        <v>1.57</v>
      </c>
      <c r="J14" s="54">
        <v>1.06</v>
      </c>
      <c r="K14" s="54">
        <v>352.97</v>
      </c>
      <c r="L14" s="54">
        <v>16.62</v>
      </c>
      <c r="M14" s="54">
        <v>66.84</v>
      </c>
      <c r="N14" s="54">
        <v>14.90</v>
      </c>
      <c r="O14" s="54">
        <v>0</v>
      </c>
      <c r="P14" s="54">
        <v>0.42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9.1199999999999992</v>
      </c>
      <c r="C15" s="54">
        <v>52.98</v>
      </c>
      <c r="D15" s="54">
        <v>37.200000000000003</v>
      </c>
      <c r="E15" s="54">
        <v>0.23</v>
      </c>
      <c r="F15" s="54">
        <v>3.72</v>
      </c>
      <c r="G15" s="54">
        <v>56.27</v>
      </c>
      <c r="H15" s="54">
        <v>40.590000000000003</v>
      </c>
      <c r="I15" s="54">
        <v>1.52</v>
      </c>
      <c r="J15" s="54">
        <v>0.85</v>
      </c>
      <c r="K15" s="54">
        <v>354.91</v>
      </c>
      <c r="L15" s="54">
        <v>16.510000000000002</v>
      </c>
      <c r="M15" s="54">
        <v>65.11</v>
      </c>
      <c r="N15" s="54">
        <v>52.80</v>
      </c>
      <c r="O15" s="54">
        <v>0</v>
      </c>
      <c r="P15" s="54">
        <v>0.43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12.12</v>
      </c>
      <c r="C16" s="54">
        <v>53.37</v>
      </c>
      <c r="D16" s="54">
        <v>39.82</v>
      </c>
      <c r="E16" s="54">
        <v>0.21</v>
      </c>
      <c r="F16" s="54">
        <v>3.74</v>
      </c>
      <c r="G16" s="54">
        <v>52.73</v>
      </c>
      <c r="H16" s="54">
        <v>40.590000000000003</v>
      </c>
      <c r="I16" s="54">
        <v>1.53</v>
      </c>
      <c r="J16" s="54">
        <v>0.69</v>
      </c>
      <c r="K16" s="54">
        <v>357.75</v>
      </c>
      <c r="L16" s="54">
        <v>19.190000000000001</v>
      </c>
      <c r="M16" s="54">
        <v>61.15</v>
      </c>
      <c r="N16" s="54">
        <v>209.80</v>
      </c>
      <c r="O16" s="54">
        <v>0</v>
      </c>
      <c r="P16" s="54">
        <v>0.53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13.5</v>
      </c>
      <c r="C17" s="54">
        <v>54.64</v>
      </c>
      <c r="D17" s="54">
        <v>41.62</v>
      </c>
      <c r="E17" s="54">
        <v>0.17</v>
      </c>
      <c r="F17" s="54">
        <v>3.64</v>
      </c>
      <c r="G17" s="54">
        <v>54.49</v>
      </c>
      <c r="H17" s="54">
        <v>34.21</v>
      </c>
      <c r="I17" s="54">
        <v>1.54</v>
      </c>
      <c r="J17" s="54">
        <v>0.89</v>
      </c>
      <c r="K17" s="54">
        <v>357.34</v>
      </c>
      <c r="L17" s="54">
        <v>22.58</v>
      </c>
      <c r="M17" s="54">
        <v>52.07</v>
      </c>
      <c r="N17" s="54">
        <v>357.40</v>
      </c>
      <c r="O17" s="54">
        <v>0</v>
      </c>
      <c r="P17" s="54">
        <v>0.56000000000000005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14.17</v>
      </c>
      <c r="C18" s="54">
        <v>57.52</v>
      </c>
      <c r="D18" s="54">
        <v>43.57</v>
      </c>
      <c r="E18" s="54">
        <v>0.23</v>
      </c>
      <c r="F18" s="54">
        <v>3.57</v>
      </c>
      <c r="G18" s="54">
        <v>56.57</v>
      </c>
      <c r="H18" s="54">
        <v>26.21</v>
      </c>
      <c r="I18" s="54">
        <v>1.57</v>
      </c>
      <c r="J18" s="54">
        <v>1.0900000000000001</v>
      </c>
      <c r="K18" s="54">
        <v>355.56</v>
      </c>
      <c r="L18" s="54">
        <v>25.44</v>
      </c>
      <c r="M18" s="54">
        <v>44.25</v>
      </c>
      <c r="N18" s="54">
        <v>487.10</v>
      </c>
      <c r="O18" s="54">
        <v>0</v>
      </c>
      <c r="P18" s="54">
        <v>0.62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13.13</v>
      </c>
      <c r="C19" s="54">
        <v>60.52</v>
      </c>
      <c r="D19" s="54">
        <v>43.25</v>
      </c>
      <c r="E19" s="54">
        <v>0.22</v>
      </c>
      <c r="F19" s="54">
        <v>3.77</v>
      </c>
      <c r="G19" s="54">
        <v>58.21</v>
      </c>
      <c r="H19" s="54">
        <v>23.37</v>
      </c>
      <c r="I19" s="54">
        <v>1.48</v>
      </c>
      <c r="J19" s="54">
        <v>1.51</v>
      </c>
      <c r="K19" s="54">
        <v>357.99</v>
      </c>
      <c r="L19" s="54">
        <v>26.58</v>
      </c>
      <c r="M19" s="54">
        <v>45.78</v>
      </c>
      <c r="N19" s="54">
        <v>566</v>
      </c>
      <c r="O19" s="54">
        <v>0</v>
      </c>
      <c r="P19" s="54">
        <v>0.65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9.61</v>
      </c>
      <c r="C20" s="54">
        <v>61.98</v>
      </c>
      <c r="D20" s="54">
        <v>42.26</v>
      </c>
      <c r="E20" s="54">
        <v>0.17</v>
      </c>
      <c r="F20" s="54">
        <v>3.79</v>
      </c>
      <c r="G20" s="54">
        <v>58.28</v>
      </c>
      <c r="H20" s="54">
        <v>23.37</v>
      </c>
      <c r="I20" s="54">
        <v>1.57</v>
      </c>
      <c r="J20" s="54">
        <v>1.06</v>
      </c>
      <c r="K20" s="54">
        <v>354.61</v>
      </c>
      <c r="L20" s="54">
        <v>27.77</v>
      </c>
      <c r="M20" s="54">
        <v>45.85</v>
      </c>
      <c r="N20" s="54">
        <v>566.70000000000005</v>
      </c>
      <c r="O20" s="54">
        <v>0</v>
      </c>
      <c r="P20" s="54">
        <v>0.67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7.76</v>
      </c>
      <c r="C21" s="54">
        <v>61.80</v>
      </c>
      <c r="D21" s="54">
        <v>40.98</v>
      </c>
      <c r="E21" s="54">
        <v>0.20</v>
      </c>
      <c r="F21" s="54">
        <v>3.85</v>
      </c>
      <c r="G21" s="54">
        <v>64.17</v>
      </c>
      <c r="H21" s="54">
        <v>24.75</v>
      </c>
      <c r="I21" s="54">
        <v>1.53</v>
      </c>
      <c r="J21" s="54">
        <v>0.88</v>
      </c>
      <c r="K21" s="54">
        <v>357.47</v>
      </c>
      <c r="L21" s="54">
        <v>28.42</v>
      </c>
      <c r="M21" s="54">
        <v>43.49</v>
      </c>
      <c r="N21" s="54">
        <v>480.70</v>
      </c>
      <c r="O21" s="54">
        <v>0</v>
      </c>
      <c r="P21" s="54">
        <v>0.68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7.54</v>
      </c>
      <c r="C22" s="54">
        <v>60.22</v>
      </c>
      <c r="D22" s="54">
        <v>39.93</v>
      </c>
      <c r="E22" s="54">
        <v>0.20</v>
      </c>
      <c r="F22" s="54">
        <v>18</v>
      </c>
      <c r="G22" s="54">
        <v>64.17</v>
      </c>
      <c r="H22" s="54">
        <v>24.75</v>
      </c>
      <c r="I22" s="54">
        <v>1.5</v>
      </c>
      <c r="J22" s="54">
        <v>0.78</v>
      </c>
      <c r="K22" s="54">
        <v>56.25</v>
      </c>
      <c r="L22" s="54">
        <v>27.81</v>
      </c>
      <c r="M22" s="54">
        <v>46.68</v>
      </c>
      <c r="N22" s="54">
        <v>685.10</v>
      </c>
      <c r="O22" s="54">
        <v>0</v>
      </c>
      <c r="P22" s="54">
        <v>0.66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4.96</v>
      </c>
      <c r="C23" s="54">
        <v>75.459999999999994</v>
      </c>
      <c r="D23" s="54">
        <v>46.26</v>
      </c>
      <c r="E23" s="5" t="s">
        <v>14</v>
      </c>
      <c r="F23" s="54">
        <v>10.24</v>
      </c>
      <c r="G23" s="54">
        <v>72.69</v>
      </c>
      <c r="H23" s="54">
        <v>22.36</v>
      </c>
      <c r="I23" s="54">
        <v>1.55</v>
      </c>
      <c r="J23" s="54">
        <v>0.71</v>
      </c>
      <c r="K23" s="54">
        <v>75.30</v>
      </c>
      <c r="L23" s="54">
        <v>26.94</v>
      </c>
      <c r="M23" s="54">
        <v>46.30</v>
      </c>
      <c r="N23" s="54">
        <v>503.10</v>
      </c>
      <c r="O23" s="54">
        <v>0</v>
      </c>
      <c r="P23" s="54">
        <v>0.79</v>
      </c>
      <c r="Q23" s="60" t="s">
        <v>14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5.0599999999999996</v>
      </c>
      <c r="C24" s="54">
        <v>62.59</v>
      </c>
      <c r="D24" s="54">
        <v>39.22</v>
      </c>
      <c r="E24" s="54">
        <v>5.40</v>
      </c>
      <c r="F24" s="54">
        <v>9.19</v>
      </c>
      <c r="G24" s="54">
        <v>72.69</v>
      </c>
      <c r="H24" s="54">
        <v>23.52</v>
      </c>
      <c r="I24" s="54">
        <v>1.54</v>
      </c>
      <c r="J24" s="54">
        <v>1.44</v>
      </c>
      <c r="K24" s="54">
        <v>356.15</v>
      </c>
      <c r="L24" s="54">
        <v>27.88</v>
      </c>
      <c r="M24" s="54">
        <v>49.24</v>
      </c>
      <c r="N24" s="54">
        <v>303.80</v>
      </c>
      <c r="O24" s="54">
        <v>0</v>
      </c>
      <c r="P24" s="54">
        <v>0.81</v>
      </c>
      <c r="Q24" s="60" t="s">
        <v>14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4.4400000000000004</v>
      </c>
      <c r="C25" s="54">
        <v>67.28</v>
      </c>
      <c r="D25" s="54">
        <v>41.34</v>
      </c>
      <c r="E25" s="54">
        <v>8.4499999999999993</v>
      </c>
      <c r="F25" s="54">
        <v>19.80</v>
      </c>
      <c r="G25" s="54">
        <v>77.58</v>
      </c>
      <c r="H25" s="54">
        <v>23.79</v>
      </c>
      <c r="I25" s="54">
        <v>1.51</v>
      </c>
      <c r="J25" s="54">
        <v>0.85</v>
      </c>
      <c r="K25" s="54">
        <v>356.07</v>
      </c>
      <c r="L25" s="54">
        <v>25.49</v>
      </c>
      <c r="M25" s="54">
        <v>51.34</v>
      </c>
      <c r="N25" s="54">
        <v>148.80000000000001</v>
      </c>
      <c r="O25" s="54">
        <v>0</v>
      </c>
      <c r="P25" s="54">
        <v>0.75</v>
      </c>
      <c r="Q25" s="60" t="s">
        <v>14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2.87</v>
      </c>
      <c r="C26" s="54">
        <v>67.41</v>
      </c>
      <c r="D26" s="54">
        <v>39.58</v>
      </c>
      <c r="E26" s="54">
        <v>7.36</v>
      </c>
      <c r="F26" s="54">
        <v>15.45</v>
      </c>
      <c r="G26" s="54">
        <v>79.92</v>
      </c>
      <c r="H26" s="54">
        <v>26.52</v>
      </c>
      <c r="I26" s="54">
        <v>1.60</v>
      </c>
      <c r="J26" s="54">
        <v>0.75</v>
      </c>
      <c r="K26" s="54">
        <v>348.87</v>
      </c>
      <c r="L26" s="54">
        <v>24.51</v>
      </c>
      <c r="M26" s="54">
        <v>61.54</v>
      </c>
      <c r="N26" s="54">
        <v>61</v>
      </c>
      <c r="O26" s="54">
        <v>0</v>
      </c>
      <c r="P26" s="54">
        <v>0.74</v>
      </c>
      <c r="Q26" s="54">
        <v>7.60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4.21</v>
      </c>
      <c r="C27" s="54">
        <v>59.53</v>
      </c>
      <c r="D27" s="54">
        <v>36.29</v>
      </c>
      <c r="E27" s="54">
        <v>5.0199999999999996</v>
      </c>
      <c r="F27" s="54">
        <v>3.59</v>
      </c>
      <c r="G27" s="54">
        <v>79.92</v>
      </c>
      <c r="H27" s="54">
        <v>26.70</v>
      </c>
      <c r="I27" s="54">
        <v>1.58</v>
      </c>
      <c r="J27" s="54">
        <v>0.26</v>
      </c>
      <c r="K27" s="54">
        <v>354.26</v>
      </c>
      <c r="L27" s="54">
        <v>22.95</v>
      </c>
      <c r="M27" s="54">
        <v>65.52</v>
      </c>
      <c r="N27" s="54">
        <v>23.10</v>
      </c>
      <c r="O27" s="54">
        <v>0</v>
      </c>
      <c r="P27" s="54">
        <v>0.78</v>
      </c>
      <c r="Q27" s="54">
        <v>7.92</v>
      </c>
      <c r="R27" s="43"/>
      <c r="S27" s="43"/>
      <c r="T27" s="43"/>
      <c r="U27" s="43"/>
    </row>
    <row r="28" spans="1:21" s="11" customFormat="1" ht="15">
      <c r="A28" s="53" t="s">
        <v>657</v>
      </c>
      <c r="B28" s="60" t="s">
        <v>14</v>
      </c>
      <c r="C28" s="60" t="s">
        <v>14</v>
      </c>
      <c r="D28" s="60" t="s">
        <v>14</v>
      </c>
      <c r="E28" s="54">
        <v>5.07</v>
      </c>
      <c r="F28" s="54">
        <v>3.47</v>
      </c>
      <c r="G28" s="54">
        <v>74.56</v>
      </c>
      <c r="H28" s="54">
        <v>26.70</v>
      </c>
      <c r="I28" s="54">
        <v>1.52</v>
      </c>
      <c r="J28" s="54">
        <v>0.85</v>
      </c>
      <c r="K28" s="54">
        <v>97.03</v>
      </c>
      <c r="L28" s="54">
        <v>22.86</v>
      </c>
      <c r="M28" s="54">
        <v>60.99</v>
      </c>
      <c r="N28" s="54">
        <v>23.10</v>
      </c>
      <c r="O28" s="54">
        <v>0</v>
      </c>
      <c r="P28" s="54">
        <v>0.81</v>
      </c>
      <c r="Q28" s="54">
        <v>7</v>
      </c>
      <c r="R28" s="43"/>
      <c r="S28" s="43"/>
      <c r="T28" s="43"/>
      <c r="U28" s="43"/>
    </row>
    <row r="29" spans="1:21" s="11" customFormat="1" ht="15">
      <c r="A29" s="53" t="s">
        <v>658</v>
      </c>
      <c r="B29" s="60" t="s">
        <v>14</v>
      </c>
      <c r="C29" s="60" t="s">
        <v>14</v>
      </c>
      <c r="D29" s="60" t="s">
        <v>14</v>
      </c>
      <c r="E29" s="54">
        <v>5.0599999999999996</v>
      </c>
      <c r="F29" s="54">
        <v>4.09</v>
      </c>
      <c r="G29" s="54">
        <v>73.84</v>
      </c>
      <c r="H29" s="54">
        <v>27.25</v>
      </c>
      <c r="I29" s="54">
        <v>1.48</v>
      </c>
      <c r="J29" s="54">
        <v>1.02</v>
      </c>
      <c r="K29" s="54">
        <v>100.66</v>
      </c>
      <c r="L29" s="54">
        <v>22.53</v>
      </c>
      <c r="M29" s="54">
        <v>65.03</v>
      </c>
      <c r="N29" s="54">
        <v>23.5</v>
      </c>
      <c r="O29" s="54">
        <v>0</v>
      </c>
      <c r="P29" s="54">
        <v>0.79</v>
      </c>
      <c r="Q29" s="54">
        <v>7.08</v>
      </c>
      <c r="R29" s="43"/>
      <c r="S29" s="43"/>
      <c r="T29" s="43"/>
      <c r="U29" s="43"/>
    </row>
    <row r="30" spans="1:21" s="11" customFormat="1" ht="15">
      <c r="A30" s="53" t="s">
        <v>659</v>
      </c>
      <c r="B30" s="60" t="s">
        <v>14</v>
      </c>
      <c r="C30" s="60" t="s">
        <v>14</v>
      </c>
      <c r="D30" s="60" t="s">
        <v>14</v>
      </c>
      <c r="E30" s="54">
        <v>4.76</v>
      </c>
      <c r="F30" s="54">
        <v>3.79</v>
      </c>
      <c r="G30" s="54">
        <v>71.819999999999993</v>
      </c>
      <c r="H30" s="54">
        <v>27.25</v>
      </c>
      <c r="I30" s="54">
        <v>1.57</v>
      </c>
      <c r="J30" s="54">
        <v>1.27</v>
      </c>
      <c r="K30" s="54">
        <v>97.27</v>
      </c>
      <c r="L30" s="54">
        <v>21.85</v>
      </c>
      <c r="M30" s="54">
        <v>69.33</v>
      </c>
      <c r="N30" s="54">
        <v>23.70</v>
      </c>
      <c r="O30" s="54">
        <v>0</v>
      </c>
      <c r="P30" s="54">
        <v>0.76</v>
      </c>
      <c r="Q30" s="54">
        <v>7.45</v>
      </c>
      <c r="R30" s="43"/>
      <c r="S30" s="43"/>
      <c r="T30" s="43"/>
      <c r="U30" s="43"/>
    </row>
    <row r="31" spans="1:21" s="11" customFormat="1" ht="15">
      <c r="A31" s="53" t="s">
        <v>660</v>
      </c>
      <c r="B31" s="60" t="s">
        <v>14</v>
      </c>
      <c r="C31" s="60" t="s">
        <v>14</v>
      </c>
      <c r="D31" s="60" t="s">
        <v>14</v>
      </c>
      <c r="E31" s="54">
        <v>4.4800000000000004</v>
      </c>
      <c r="F31" s="54">
        <v>3.65</v>
      </c>
      <c r="G31" s="54">
        <v>70.849999999999994</v>
      </c>
      <c r="H31" s="54">
        <v>26.85</v>
      </c>
      <c r="I31" s="54">
        <v>1.61</v>
      </c>
      <c r="J31" s="54">
        <v>1.76</v>
      </c>
      <c r="K31" s="54">
        <v>103.55</v>
      </c>
      <c r="L31" s="54">
        <v>21.31</v>
      </c>
      <c r="M31" s="54">
        <v>71.739999999999995</v>
      </c>
      <c r="N31" s="54">
        <v>23.80</v>
      </c>
      <c r="O31" s="54">
        <v>0</v>
      </c>
      <c r="P31" s="54">
        <v>0.73</v>
      </c>
      <c r="Q31" s="54">
        <v>7.82</v>
      </c>
      <c r="R31" s="43"/>
      <c r="S31" s="43"/>
      <c r="T31" s="43"/>
      <c r="U31" s="43"/>
    </row>
    <row r="32" spans="1:21" s="11" customFormat="1" ht="15">
      <c r="A32" s="53" t="s">
        <v>661</v>
      </c>
      <c r="B32" s="60" t="s">
        <v>14</v>
      </c>
      <c r="C32" s="60" t="s">
        <v>14</v>
      </c>
      <c r="D32" s="60" t="s">
        <v>14</v>
      </c>
      <c r="E32" s="54">
        <v>4.7300000000000004</v>
      </c>
      <c r="F32" s="54">
        <v>3.93</v>
      </c>
      <c r="G32" s="54">
        <v>67.290000000000006</v>
      </c>
      <c r="H32" s="54">
        <v>26.85</v>
      </c>
      <c r="I32" s="54">
        <v>1.59</v>
      </c>
      <c r="J32" s="54">
        <v>1.74</v>
      </c>
      <c r="K32" s="54">
        <v>105.47</v>
      </c>
      <c r="L32" s="54">
        <v>20.97</v>
      </c>
      <c r="M32" s="54">
        <v>74.83</v>
      </c>
      <c r="N32" s="54">
        <v>25.10</v>
      </c>
      <c r="O32" s="54">
        <v>0</v>
      </c>
      <c r="P32" s="54">
        <v>0.69</v>
      </c>
      <c r="Q32" s="54">
        <v>8.0399999999999991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2.8700000000000001</v>
      </c>
      <c r="C34" s="28">
        <f t="shared" si="0"/>
        <v>51.719999999999999</v>
      </c>
      <c r="D34" s="28">
        <f t="shared" si="0"/>
        <v>33.359999999999999</v>
      </c>
      <c r="E34" s="28">
        <f t="shared" si="0"/>
        <v>0.17000000000000001</v>
      </c>
      <c r="F34" s="28">
        <f t="shared" si="0"/>
        <v>3.4700000000000002</v>
      </c>
      <c r="G34" s="28">
        <f t="shared" si="0"/>
        <v>52.729999999999997</v>
      </c>
      <c r="H34" s="28">
        <f t="shared" si="0"/>
        <v>21.5</v>
      </c>
      <c r="I34" s="28">
        <f t="shared" si="0"/>
        <v>1.48</v>
      </c>
      <c r="J34" s="28">
        <f t="shared" si="0"/>
        <v>0.26000000000000001</v>
      </c>
      <c r="K34" s="28">
        <f t="shared" si="0"/>
        <v>56.25</v>
      </c>
      <c r="L34" s="28">
        <f t="shared" si="0"/>
        <v>16.510000000000002</v>
      </c>
      <c r="M34" s="28">
        <f t="shared" si="0"/>
        <v>43.490000000000002</v>
      </c>
      <c r="N34" s="28">
        <f t="shared" si="0"/>
        <v>14.9</v>
      </c>
      <c r="O34" s="28">
        <f t="shared" si="0"/>
        <v>0</v>
      </c>
      <c r="P34" s="28">
        <f t="shared" si="0"/>
        <v>0.41999999999999998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14.17</v>
      </c>
      <c r="C35" s="29">
        <f t="shared" si="1"/>
        <v>75.459999999999994</v>
      </c>
      <c r="D35" s="29">
        <f t="shared" si="1"/>
        <v>46.259999999999998</v>
      </c>
      <c r="E35" s="29">
        <f t="shared" si="1"/>
        <v>8.4499999999999993</v>
      </c>
      <c r="F35" s="29">
        <f t="shared" si="1"/>
        <v>19.800000000000001</v>
      </c>
      <c r="G35" s="29">
        <f t="shared" si="1"/>
        <v>89.049999999999997</v>
      </c>
      <c r="H35" s="29">
        <f t="shared" si="1"/>
        <v>40.590000000000003</v>
      </c>
      <c r="I35" s="29">
        <f t="shared" si="1"/>
        <v>1.6100000000000001</v>
      </c>
      <c r="J35" s="29">
        <f t="shared" si="1"/>
        <v>1.76</v>
      </c>
      <c r="K35" s="29">
        <f t="shared" si="1"/>
        <v>357.99000000000001</v>
      </c>
      <c r="L35" s="29">
        <f t="shared" si="1"/>
        <v>28.420000000000002</v>
      </c>
      <c r="M35" s="29">
        <f t="shared" si="1"/>
        <v>74.829999999999998</v>
      </c>
      <c r="N35" s="29">
        <f t="shared" si="1"/>
        <v>685.10000000000002</v>
      </c>
      <c r="O35" s="29">
        <f t="shared" si="1"/>
        <v>0</v>
      </c>
      <c r="P35" s="29">
        <f t="shared" si="1"/>
        <v>1.05</v>
      </c>
      <c r="Q35" s="29">
        <f t="shared" si="1"/>
        <v>8.0399999999999991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7.6957894736842123</v>
      </c>
      <c r="C36" s="28">
        <f t="shared" si="2"/>
        <v>58.691578947368427</v>
      </c>
      <c r="D36" s="28">
        <f t="shared" si="2"/>
        <v>39.044736842105266</v>
      </c>
      <c r="E36" s="28">
        <f t="shared" si="2"/>
        <v>2.3239130434782611</v>
      </c>
      <c r="F36" s="28">
        <f t="shared" si="2"/>
        <v>5.9750000000000005</v>
      </c>
      <c r="G36" s="28">
        <f t="shared" si="2"/>
        <v>67.67916666666666</v>
      </c>
      <c r="H36" s="28">
        <f t="shared" si="2"/>
        <v>27.787083333333339</v>
      </c>
      <c r="I36" s="28">
        <f t="shared" si="2"/>
        <v>1.5420833333333335</v>
      </c>
      <c r="J36" s="28">
        <f t="shared" si="2"/>
        <v>1.0600000000000003</v>
      </c>
      <c r="K36" s="28">
        <f t="shared" si="2"/>
        <v>277.99583333333334</v>
      </c>
      <c r="L36" s="28">
        <f t="shared" si="2"/>
        <v>22.537499999999998</v>
      </c>
      <c r="M36" s="28">
        <f t="shared" si="2"/>
        <v>59.180416666666666</v>
      </c>
      <c r="N36" s="28">
        <f t="shared" si="2"/>
        <v>193.95416666666674</v>
      </c>
      <c r="O36" s="28">
        <f t="shared" si="2"/>
        <v>0</v>
      </c>
      <c r="P36" s="28">
        <f t="shared" si="2"/>
        <v>0.67791666666666661</v>
      </c>
      <c r="Q36" s="28">
        <f t="shared" si="2"/>
        <v>5.9928571428571429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3.3973148151468604</v>
      </c>
      <c r="C37" s="28">
        <f t="shared" si="3" ref="C37:Q37">STDEV(C9:C32)</f>
        <v>6.4115704985057302</v>
      </c>
      <c r="D37" s="28">
        <f t="shared" si="3"/>
        <v>3.6132185843111762</v>
      </c>
      <c r="E37" s="28">
        <f t="shared" si="3"/>
        <v>2.8029233750925684</v>
      </c>
      <c r="F37" s="28">
        <f t="shared" si="3"/>
        <v>4.8940602864039704</v>
      </c>
      <c r="G37" s="28">
        <f t="shared" si="3"/>
        <v>10.154855731497971</v>
      </c>
      <c r="H37" s="28">
        <f t="shared" si="3"/>
        <v>5.5486061541276239</v>
      </c>
      <c r="I37" s="28">
        <f t="shared" si="3"/>
        <v>0.03513689584006198</v>
      </c>
      <c r="J37" s="28">
        <f t="shared" si="3"/>
        <v>0.37680579705685463</v>
      </c>
      <c r="K37" s="28">
        <f t="shared" si="3"/>
        <v>123.07891617970559</v>
      </c>
      <c r="L37" s="28">
        <f t="shared" si="3"/>
        <v>3.8875735698337053</v>
      </c>
      <c r="M37" s="28">
        <f t="shared" si="3"/>
        <v>10.216695832405119</v>
      </c>
      <c r="N37" s="28">
        <f t="shared" si="3"/>
        <v>230.9630574246182</v>
      </c>
      <c r="O37" s="28">
        <f t="shared" si="3"/>
        <v>0</v>
      </c>
      <c r="P37" s="28">
        <f t="shared" si="3"/>
        <v>0.14298005840483236</v>
      </c>
      <c r="Q37" s="28">
        <f t="shared" si="3"/>
        <v>1.155976396199953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COUNT(B9:B32)+5</f>
        <v>24</v>
      </c>
      <c r="C38" s="32">
        <f>COUNT(C9:C32)+5</f>
        <v>24</v>
      </c>
      <c r="D38" s="32">
        <f>COUNT(D9:D32)+5</f>
        <v>24</v>
      </c>
      <c r="E38" s="32">
        <f>COUNT(E9:E32)+1</f>
        <v>24</v>
      </c>
      <c r="F38" s="32">
        <f t="shared" si="4" ref="B38:Q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4298ab-0fbe-4e2f-987d-b68cfeea40e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38" sqref="D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60" t="s">
        <v>14</v>
      </c>
      <c r="C9" s="60" t="s">
        <v>14</v>
      </c>
      <c r="D9" s="60" t="s">
        <v>14</v>
      </c>
      <c r="E9" s="54">
        <v>5.08</v>
      </c>
      <c r="F9" s="54">
        <v>3.64</v>
      </c>
      <c r="G9" s="54">
        <v>62.20</v>
      </c>
      <c r="H9" s="54">
        <v>25.78</v>
      </c>
      <c r="I9" s="54">
        <v>1.57</v>
      </c>
      <c r="J9" s="54">
        <v>1</v>
      </c>
      <c r="K9" s="54">
        <v>97.91</v>
      </c>
      <c r="L9" s="54">
        <v>20.61</v>
      </c>
      <c r="M9" s="54">
        <v>78.180000000000007</v>
      </c>
      <c r="N9" s="54">
        <v>25.20</v>
      </c>
      <c r="O9" s="54">
        <v>0</v>
      </c>
      <c r="P9" s="54">
        <v>0.62</v>
      </c>
      <c r="Q9" s="54">
        <v>8.25</v>
      </c>
      <c r="R9" s="43"/>
      <c r="S9" s="43"/>
      <c r="T9" s="43"/>
      <c r="U9" s="43"/>
    </row>
    <row r="10" spans="1:21" s="11" customFormat="1" ht="15">
      <c r="A10" s="53" t="s">
        <v>663</v>
      </c>
      <c r="B10" s="60" t="s">
        <v>14</v>
      </c>
      <c r="C10" s="60" t="s">
        <v>14</v>
      </c>
      <c r="D10" s="60" t="s">
        <v>14</v>
      </c>
      <c r="E10" s="54">
        <v>4.6399999999999997</v>
      </c>
      <c r="F10" s="54">
        <v>3.86</v>
      </c>
      <c r="G10" s="54">
        <v>60.39</v>
      </c>
      <c r="H10" s="54">
        <v>25.56</v>
      </c>
      <c r="I10" s="54">
        <v>1.52</v>
      </c>
      <c r="J10" s="54">
        <v>0.75</v>
      </c>
      <c r="K10" s="54">
        <v>87.55</v>
      </c>
      <c r="L10" s="54">
        <v>20.23</v>
      </c>
      <c r="M10" s="54">
        <v>78.86</v>
      </c>
      <c r="N10" s="54">
        <v>25.40</v>
      </c>
      <c r="O10" s="54">
        <v>0</v>
      </c>
      <c r="P10" s="54">
        <v>0.56999999999999995</v>
      </c>
      <c r="Q10" s="54">
        <v>8.3699999999999992</v>
      </c>
      <c r="R10" s="43"/>
      <c r="S10" s="43"/>
      <c r="T10" s="43"/>
      <c r="U10" s="43"/>
    </row>
    <row r="11" spans="1:21" s="11" customFormat="1" ht="15">
      <c r="A11" s="53" t="s">
        <v>664</v>
      </c>
      <c r="B11" s="60" t="s">
        <v>14</v>
      </c>
      <c r="C11" s="60" t="s">
        <v>14</v>
      </c>
      <c r="D11" s="60" t="s">
        <v>14</v>
      </c>
      <c r="E11" s="54">
        <v>4.87</v>
      </c>
      <c r="F11" s="54">
        <v>3.73</v>
      </c>
      <c r="G11" s="54">
        <v>57.38</v>
      </c>
      <c r="H11" s="54">
        <v>25.41</v>
      </c>
      <c r="I11" s="54">
        <v>1.53</v>
      </c>
      <c r="J11" s="54">
        <v>0.47</v>
      </c>
      <c r="K11" s="54">
        <v>354.86</v>
      </c>
      <c r="L11" s="54">
        <v>20.010000000000002</v>
      </c>
      <c r="M11" s="54">
        <v>79.900000000000006</v>
      </c>
      <c r="N11" s="54">
        <v>25.70</v>
      </c>
      <c r="O11" s="54">
        <v>0</v>
      </c>
      <c r="P11" s="54">
        <v>0.54</v>
      </c>
      <c r="Q11" s="54">
        <v>8.44</v>
      </c>
      <c r="R11" s="43"/>
      <c r="S11" s="43"/>
      <c r="T11" s="43"/>
      <c r="U11" s="43"/>
    </row>
    <row r="12" spans="1:21" s="11" customFormat="1" ht="15">
      <c r="A12" s="53" t="s">
        <v>665</v>
      </c>
      <c r="B12" s="60" t="s">
        <v>14</v>
      </c>
      <c r="C12" s="60" t="s">
        <v>14</v>
      </c>
      <c r="D12" s="60" t="s">
        <v>14</v>
      </c>
      <c r="E12" s="54">
        <v>4.70</v>
      </c>
      <c r="F12" s="54">
        <v>3.88</v>
      </c>
      <c r="G12" s="54">
        <v>56.51</v>
      </c>
      <c r="H12" s="54">
        <v>25.41</v>
      </c>
      <c r="I12" s="54">
        <v>1.58</v>
      </c>
      <c r="J12" s="54">
        <v>0.78</v>
      </c>
      <c r="K12" s="54">
        <v>357.82</v>
      </c>
      <c r="L12" s="54">
        <v>19.510000000000002</v>
      </c>
      <c r="M12" s="54">
        <v>83.44</v>
      </c>
      <c r="N12" s="54">
        <v>25.70</v>
      </c>
      <c r="O12" s="54">
        <v>0</v>
      </c>
      <c r="P12" s="54">
        <v>0.51</v>
      </c>
      <c r="Q12" s="54">
        <v>8.5399999999999991</v>
      </c>
      <c r="R12" s="43"/>
      <c r="S12" s="43"/>
      <c r="T12" s="43"/>
      <c r="U12" s="43"/>
    </row>
    <row r="13" spans="1:21" s="11" customFormat="1" ht="15">
      <c r="A13" s="53" t="s">
        <v>666</v>
      </c>
      <c r="B13" s="60" t="s">
        <v>14</v>
      </c>
      <c r="C13" s="60" t="s">
        <v>14</v>
      </c>
      <c r="D13" s="60" t="s">
        <v>14</v>
      </c>
      <c r="E13" s="54">
        <v>3.85</v>
      </c>
      <c r="F13" s="54">
        <v>3.64</v>
      </c>
      <c r="G13" s="54">
        <v>56.23</v>
      </c>
      <c r="H13" s="54">
        <v>25.83</v>
      </c>
      <c r="I13" s="54">
        <v>1.55</v>
      </c>
      <c r="J13" s="54">
        <v>0.39</v>
      </c>
      <c r="K13" s="54">
        <v>55.73</v>
      </c>
      <c r="L13" s="54">
        <v>18.64</v>
      </c>
      <c r="M13" s="54">
        <v>90.21</v>
      </c>
      <c r="N13" s="54">
        <v>26</v>
      </c>
      <c r="O13" s="54">
        <v>0</v>
      </c>
      <c r="P13" s="54">
        <v>0.5</v>
      </c>
      <c r="Q13" s="54">
        <v>8.7100000000000009</v>
      </c>
      <c r="R13" s="43"/>
      <c r="S13" s="43"/>
      <c r="T13" s="43"/>
      <c r="U13" s="43"/>
    </row>
    <row r="14" spans="1:21" s="11" customFormat="1" ht="15">
      <c r="A14" s="53" t="s">
        <v>667</v>
      </c>
      <c r="B14" s="60" t="s">
        <v>14</v>
      </c>
      <c r="C14" s="60" t="s">
        <v>14</v>
      </c>
      <c r="D14" s="60" t="s">
        <v>14</v>
      </c>
      <c r="E14" s="54">
        <v>4.07</v>
      </c>
      <c r="F14" s="54">
        <v>3.67</v>
      </c>
      <c r="G14" s="54">
        <v>63.21</v>
      </c>
      <c r="H14" s="54">
        <v>25.83</v>
      </c>
      <c r="I14" s="54">
        <v>1.52</v>
      </c>
      <c r="J14" s="54">
        <v>0.38</v>
      </c>
      <c r="K14" s="54">
        <v>67.540000000000006</v>
      </c>
      <c r="L14" s="54">
        <v>17.96</v>
      </c>
      <c r="M14" s="54">
        <v>93.25</v>
      </c>
      <c r="N14" s="54">
        <v>25.60</v>
      </c>
      <c r="O14" s="54">
        <v>0</v>
      </c>
      <c r="P14" s="54">
        <v>0.51</v>
      </c>
      <c r="Q14" s="54">
        <v>8.77</v>
      </c>
      <c r="R14" s="43"/>
      <c r="S14" s="43"/>
      <c r="T14" s="43"/>
      <c r="U14" s="43"/>
    </row>
    <row r="15" spans="1:21" s="11" customFormat="1" ht="15">
      <c r="A15" s="53" t="s">
        <v>668</v>
      </c>
      <c r="B15" s="60" t="s">
        <v>14</v>
      </c>
      <c r="C15" s="60" t="s">
        <v>14</v>
      </c>
      <c r="D15" s="60" t="s">
        <v>14</v>
      </c>
      <c r="E15" s="54">
        <v>3.84</v>
      </c>
      <c r="F15" s="54">
        <v>4.17</v>
      </c>
      <c r="G15" s="54">
        <v>80.739999999999995</v>
      </c>
      <c r="H15" s="54">
        <v>25.68</v>
      </c>
      <c r="I15" s="54">
        <v>1.52</v>
      </c>
      <c r="J15" s="54">
        <v>0.56999999999999995</v>
      </c>
      <c r="K15" s="54">
        <v>353.15</v>
      </c>
      <c r="L15" s="54">
        <v>17.86</v>
      </c>
      <c r="M15" s="54">
        <v>94.61</v>
      </c>
      <c r="N15" s="54">
        <v>66.20</v>
      </c>
      <c r="O15" s="54">
        <v>0</v>
      </c>
      <c r="P15" s="54">
        <v>0.52</v>
      </c>
      <c r="Q15" s="54">
        <v>8.93</v>
      </c>
      <c r="R15" s="43"/>
      <c r="S15" s="43"/>
      <c r="T15" s="43"/>
      <c r="U15" s="43"/>
    </row>
    <row r="16" spans="1:21" s="11" customFormat="1" ht="15">
      <c r="A16" s="53" t="s">
        <v>669</v>
      </c>
      <c r="B16" s="60" t="s">
        <v>14</v>
      </c>
      <c r="C16" s="60" t="s">
        <v>14</v>
      </c>
      <c r="D16" s="60" t="s">
        <v>14</v>
      </c>
      <c r="E16" s="54">
        <v>4.1399999999999997</v>
      </c>
      <c r="F16" s="54">
        <v>3.47</v>
      </c>
      <c r="G16" s="54">
        <v>80.739999999999995</v>
      </c>
      <c r="H16" s="54">
        <v>26.83</v>
      </c>
      <c r="I16" s="54">
        <v>1.56</v>
      </c>
      <c r="J16" s="54">
        <v>0.69</v>
      </c>
      <c r="K16" s="54">
        <v>354.97</v>
      </c>
      <c r="L16" s="54">
        <v>19.350000000000001</v>
      </c>
      <c r="M16" s="54">
        <v>91</v>
      </c>
      <c r="N16" s="54">
        <v>195.20</v>
      </c>
      <c r="O16" s="54">
        <v>0</v>
      </c>
      <c r="P16" s="54">
        <v>0.56999999999999995</v>
      </c>
      <c r="Q16" s="54">
        <v>9.0299999999999994</v>
      </c>
      <c r="R16" s="43"/>
      <c r="S16" s="43"/>
      <c r="T16" s="43"/>
      <c r="U16" s="43"/>
    </row>
    <row r="17" spans="1:21" s="11" customFormat="1" ht="15">
      <c r="A17" s="53" t="s">
        <v>670</v>
      </c>
      <c r="B17" s="60" t="s">
        <v>14</v>
      </c>
      <c r="C17" s="60" t="s">
        <v>14</v>
      </c>
      <c r="D17" s="60" t="s">
        <v>14</v>
      </c>
      <c r="E17" s="54">
        <v>4.6100000000000003</v>
      </c>
      <c r="F17" s="54">
        <v>3.56</v>
      </c>
      <c r="G17" s="54">
        <v>74.63</v>
      </c>
      <c r="H17" s="54">
        <v>27.01</v>
      </c>
      <c r="I17" s="54">
        <v>1.51</v>
      </c>
      <c r="J17" s="54">
        <v>1.1599999999999999</v>
      </c>
      <c r="K17" s="54">
        <v>96.89</v>
      </c>
      <c r="L17" s="54">
        <v>20.399999999999999</v>
      </c>
      <c r="M17" s="54">
        <v>86.43</v>
      </c>
      <c r="N17" s="54">
        <v>330.40</v>
      </c>
      <c r="O17" s="54">
        <v>0</v>
      </c>
      <c r="P17" s="54">
        <v>0.57999999999999996</v>
      </c>
      <c r="Q17" s="54">
        <v>9.15</v>
      </c>
      <c r="R17" s="43"/>
      <c r="S17" s="43"/>
      <c r="T17" s="43"/>
      <c r="U17" s="43"/>
    </row>
    <row r="18" spans="1:21" s="11" customFormat="1" ht="15">
      <c r="A18" s="53" t="s">
        <v>671</v>
      </c>
      <c r="B18" s="60" t="s">
        <v>14</v>
      </c>
      <c r="C18" s="60" t="s">
        <v>14</v>
      </c>
      <c r="D18" s="60" t="s">
        <v>14</v>
      </c>
      <c r="E18" s="54">
        <v>4.59</v>
      </c>
      <c r="F18" s="54">
        <v>3.83</v>
      </c>
      <c r="G18" s="54">
        <v>67.09</v>
      </c>
      <c r="H18" s="54">
        <v>27.01</v>
      </c>
      <c r="I18" s="54">
        <v>1.5</v>
      </c>
      <c r="J18" s="54">
        <v>1</v>
      </c>
      <c r="K18" s="54">
        <v>89.45</v>
      </c>
      <c r="L18" s="54">
        <v>22.93</v>
      </c>
      <c r="M18" s="54">
        <v>83.71</v>
      </c>
      <c r="N18" s="54">
        <v>372.90</v>
      </c>
      <c r="O18" s="54">
        <v>0</v>
      </c>
      <c r="P18" s="54">
        <v>0.59</v>
      </c>
      <c r="Q18" s="54">
        <v>9.15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12.72</v>
      </c>
      <c r="C19" s="54">
        <v>50.88</v>
      </c>
      <c r="D19" s="54">
        <v>38.93</v>
      </c>
      <c r="E19" s="54">
        <v>4.80</v>
      </c>
      <c r="F19" s="54">
        <v>3.68</v>
      </c>
      <c r="G19" s="54">
        <v>62.05</v>
      </c>
      <c r="H19" s="54">
        <v>25.21</v>
      </c>
      <c r="I19" s="54">
        <v>1.57</v>
      </c>
      <c r="J19" s="54">
        <v>0.73</v>
      </c>
      <c r="K19" s="54">
        <v>89.62</v>
      </c>
      <c r="L19" s="54">
        <v>24.84</v>
      </c>
      <c r="M19" s="54">
        <v>73.260000000000005</v>
      </c>
      <c r="N19" s="54">
        <v>620.10</v>
      </c>
      <c r="O19" s="54">
        <v>0</v>
      </c>
      <c r="P19" s="54">
        <v>0.61</v>
      </c>
      <c r="Q19" s="54">
        <v>9.14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12.43</v>
      </c>
      <c r="C20" s="54">
        <v>49.49</v>
      </c>
      <c r="D20" s="54">
        <v>37.840000000000003</v>
      </c>
      <c r="E20" s="54">
        <v>4.71</v>
      </c>
      <c r="F20" s="54">
        <v>3.80</v>
      </c>
      <c r="G20" s="54">
        <v>58.11</v>
      </c>
      <c r="H20" s="54">
        <v>25.21</v>
      </c>
      <c r="I20" s="54">
        <v>1.53</v>
      </c>
      <c r="J20" s="54">
        <v>0.66</v>
      </c>
      <c r="K20" s="54">
        <v>99.62</v>
      </c>
      <c r="L20" s="54">
        <v>27.54</v>
      </c>
      <c r="M20" s="54">
        <v>68.97</v>
      </c>
      <c r="N20" s="54">
        <v>760.90</v>
      </c>
      <c r="O20" s="54">
        <v>0</v>
      </c>
      <c r="P20" s="54">
        <v>0.61</v>
      </c>
      <c r="Q20" s="54">
        <v>9.09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11</v>
      </c>
      <c r="C21" s="54">
        <v>51.48</v>
      </c>
      <c r="D21" s="54">
        <v>36.479999999999997</v>
      </c>
      <c r="E21" s="54">
        <v>4.62</v>
      </c>
      <c r="F21" s="54">
        <v>4.1900000000000004</v>
      </c>
      <c r="G21" s="54">
        <v>55.89</v>
      </c>
      <c r="H21" s="54">
        <v>23.78</v>
      </c>
      <c r="I21" s="54">
        <v>1.53</v>
      </c>
      <c r="J21" s="54">
        <v>0.68</v>
      </c>
      <c r="K21" s="54">
        <v>77.25</v>
      </c>
      <c r="L21" s="54">
        <v>28.34</v>
      </c>
      <c r="M21" s="54">
        <v>57.18</v>
      </c>
      <c r="N21" s="54">
        <v>698.5</v>
      </c>
      <c r="O21" s="54">
        <v>0</v>
      </c>
      <c r="P21" s="54">
        <v>0.60</v>
      </c>
      <c r="Q21" s="54">
        <v>9.10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8.16</v>
      </c>
      <c r="C22" s="54">
        <v>49.41</v>
      </c>
      <c r="D22" s="54">
        <v>34.450000000000003</v>
      </c>
      <c r="E22" s="54">
        <v>4.5999999999999996</v>
      </c>
      <c r="F22" s="54">
        <v>4.12</v>
      </c>
      <c r="G22" s="54">
        <v>53.73</v>
      </c>
      <c r="H22" s="54">
        <v>23.13</v>
      </c>
      <c r="I22" s="54">
        <v>1.53</v>
      </c>
      <c r="J22" s="54">
        <v>1.20</v>
      </c>
      <c r="K22" s="54">
        <v>359.82</v>
      </c>
      <c r="L22" s="54">
        <v>29.46</v>
      </c>
      <c r="M22" s="54">
        <v>57.30</v>
      </c>
      <c r="N22" s="54">
        <v>690.30</v>
      </c>
      <c r="O22" s="54">
        <v>0</v>
      </c>
      <c r="P22" s="54">
        <v>0.60</v>
      </c>
      <c r="Q22" s="54">
        <v>8.90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4.70</v>
      </c>
      <c r="C23" s="54">
        <v>47.27</v>
      </c>
      <c r="D23" s="54">
        <v>30.34</v>
      </c>
      <c r="E23" s="54">
        <v>4.53</v>
      </c>
      <c r="F23" s="54">
        <v>4.34</v>
      </c>
      <c r="G23" s="54">
        <v>52.30</v>
      </c>
      <c r="H23" s="54">
        <v>21.46</v>
      </c>
      <c r="I23" s="54">
        <v>1.54</v>
      </c>
      <c r="J23" s="54">
        <v>1.01</v>
      </c>
      <c r="K23" s="54">
        <v>354.66</v>
      </c>
      <c r="L23" s="54">
        <v>30.04</v>
      </c>
      <c r="M23" s="54">
        <v>53.43</v>
      </c>
      <c r="N23" s="54">
        <v>514.5</v>
      </c>
      <c r="O23" s="54">
        <v>0</v>
      </c>
      <c r="P23" s="54">
        <v>0.59</v>
      </c>
      <c r="Q23" s="54">
        <v>8.7200000000000006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4.20</v>
      </c>
      <c r="C24" s="54">
        <v>49.08</v>
      </c>
      <c r="D24" s="54">
        <v>30.70</v>
      </c>
      <c r="E24" s="54">
        <v>4.58</v>
      </c>
      <c r="F24" s="54">
        <v>4.13</v>
      </c>
      <c r="G24" s="54">
        <v>52.30</v>
      </c>
      <c r="H24" s="54">
        <v>20.149999999999999</v>
      </c>
      <c r="I24" s="54">
        <v>1.55</v>
      </c>
      <c r="J24" s="54">
        <v>0.95</v>
      </c>
      <c r="K24" s="54">
        <v>355.36</v>
      </c>
      <c r="L24" s="54">
        <v>28.44</v>
      </c>
      <c r="M24" s="54">
        <v>53.10</v>
      </c>
      <c r="N24" s="54">
        <v>341.5</v>
      </c>
      <c r="O24" s="54">
        <v>0</v>
      </c>
      <c r="P24" s="54">
        <v>0.57999999999999996</v>
      </c>
      <c r="Q24" s="54">
        <v>8.66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5.1100000000000003</v>
      </c>
      <c r="C25" s="54">
        <v>52.27</v>
      </c>
      <c r="D25" s="54">
        <v>33.590000000000003</v>
      </c>
      <c r="E25" s="54">
        <v>3.53</v>
      </c>
      <c r="F25" s="54">
        <v>4.30</v>
      </c>
      <c r="G25" s="54">
        <v>49.96</v>
      </c>
      <c r="H25" s="54">
        <v>21.25</v>
      </c>
      <c r="I25" s="54">
        <v>1.55</v>
      </c>
      <c r="J25" s="54">
        <v>1.57</v>
      </c>
      <c r="K25" s="54">
        <v>354.70</v>
      </c>
      <c r="L25" s="54">
        <v>28.02</v>
      </c>
      <c r="M25" s="54">
        <v>57.91</v>
      </c>
      <c r="N25" s="54">
        <v>202.10</v>
      </c>
      <c r="O25" s="54">
        <v>0</v>
      </c>
      <c r="P25" s="54">
        <v>0.61</v>
      </c>
      <c r="Q25" s="54">
        <v>8.81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5.66</v>
      </c>
      <c r="C26" s="54">
        <v>60.67</v>
      </c>
      <c r="D26" s="54">
        <v>38.67</v>
      </c>
      <c r="E26" s="54">
        <v>3.56</v>
      </c>
      <c r="F26" s="54">
        <v>4.08</v>
      </c>
      <c r="G26" s="54">
        <v>63.85</v>
      </c>
      <c r="H26" s="54">
        <v>33.340000000000003</v>
      </c>
      <c r="I26" s="54">
        <v>1.49</v>
      </c>
      <c r="J26" s="54">
        <v>1.58</v>
      </c>
      <c r="K26" s="54">
        <v>353.51</v>
      </c>
      <c r="L26" s="54">
        <v>25.78</v>
      </c>
      <c r="M26" s="54">
        <v>63.18</v>
      </c>
      <c r="N26" s="54">
        <v>114.40</v>
      </c>
      <c r="O26" s="54">
        <v>0</v>
      </c>
      <c r="P26" s="54">
        <v>0.75</v>
      </c>
      <c r="Q26" s="54">
        <v>8.81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7.43</v>
      </c>
      <c r="C27" s="54">
        <v>61.78</v>
      </c>
      <c r="D27" s="54">
        <v>40.49</v>
      </c>
      <c r="E27" s="54">
        <v>3.82</v>
      </c>
      <c r="F27" s="54">
        <v>3.87</v>
      </c>
      <c r="G27" s="54">
        <v>74.56</v>
      </c>
      <c r="H27" s="54">
        <v>36.229999999999997</v>
      </c>
      <c r="I27" s="54">
        <v>1.61</v>
      </c>
      <c r="J27" s="54">
        <v>0.95</v>
      </c>
      <c r="K27" s="54">
        <v>353.31</v>
      </c>
      <c r="L27" s="54">
        <v>24.44</v>
      </c>
      <c r="M27" s="54">
        <v>65.23</v>
      </c>
      <c r="N27" s="54">
        <v>69</v>
      </c>
      <c r="O27" s="54">
        <v>0</v>
      </c>
      <c r="P27" s="54">
        <v>0.92</v>
      </c>
      <c r="Q27" s="54">
        <v>8.83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8.31</v>
      </c>
      <c r="C28" s="54">
        <v>60.90</v>
      </c>
      <c r="D28" s="54">
        <v>40.770000000000003</v>
      </c>
      <c r="E28" s="54">
        <v>5.46</v>
      </c>
      <c r="F28" s="54">
        <v>3.67</v>
      </c>
      <c r="G28" s="54">
        <v>74.56</v>
      </c>
      <c r="H28" s="54">
        <v>36.229999999999997</v>
      </c>
      <c r="I28" s="54">
        <v>1.55</v>
      </c>
      <c r="J28" s="54">
        <v>0.98</v>
      </c>
      <c r="K28" s="54">
        <v>356.36</v>
      </c>
      <c r="L28" s="54">
        <v>24.08</v>
      </c>
      <c r="M28" s="54">
        <v>68.20</v>
      </c>
      <c r="N28" s="54">
        <v>68.900000000000006</v>
      </c>
      <c r="O28" s="54">
        <v>0</v>
      </c>
      <c r="P28" s="54">
        <v>1</v>
      </c>
      <c r="Q28" s="54">
        <v>8.85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9.3800000000000008</v>
      </c>
      <c r="C29" s="54">
        <v>59.41</v>
      </c>
      <c r="D29" s="54">
        <v>40.17</v>
      </c>
      <c r="E29" s="54">
        <v>4.99</v>
      </c>
      <c r="F29" s="54">
        <v>4.04</v>
      </c>
      <c r="G29" s="54">
        <v>76.36</v>
      </c>
      <c r="H29" s="54">
        <v>34.17</v>
      </c>
      <c r="I29" s="54">
        <v>1.5</v>
      </c>
      <c r="J29" s="54">
        <v>0.67</v>
      </c>
      <c r="K29" s="54">
        <v>354.74</v>
      </c>
      <c r="L29" s="54">
        <v>23.28</v>
      </c>
      <c r="M29" s="54">
        <v>69.42</v>
      </c>
      <c r="N29" s="54">
        <v>68.80</v>
      </c>
      <c r="O29" s="54">
        <v>0</v>
      </c>
      <c r="P29" s="54">
        <v>1.04</v>
      </c>
      <c r="Q29" s="54">
        <v>9.0399999999999991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9.48</v>
      </c>
      <c r="C30" s="54">
        <v>56.36</v>
      </c>
      <c r="D30" s="54">
        <v>39.35</v>
      </c>
      <c r="E30" s="54">
        <v>4.97</v>
      </c>
      <c r="F30" s="54">
        <v>3.74</v>
      </c>
      <c r="G30" s="54">
        <v>76.36</v>
      </c>
      <c r="H30" s="54">
        <v>33.17</v>
      </c>
      <c r="I30" s="54">
        <v>1.53</v>
      </c>
      <c r="J30" s="54">
        <v>1.05</v>
      </c>
      <c r="K30" s="54">
        <v>93.52</v>
      </c>
      <c r="L30" s="54">
        <v>22.98</v>
      </c>
      <c r="M30" s="54">
        <v>71.09</v>
      </c>
      <c r="N30" s="54">
        <v>68.400000000000006</v>
      </c>
      <c r="O30" s="54">
        <v>0</v>
      </c>
      <c r="P30" s="54">
        <v>1.04</v>
      </c>
      <c r="Q30" s="54">
        <v>9.0299999999999994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8.7899999999999991</v>
      </c>
      <c r="C31" s="54">
        <v>54.88</v>
      </c>
      <c r="D31" s="54">
        <v>37.93</v>
      </c>
      <c r="E31" s="54">
        <v>4.80</v>
      </c>
      <c r="F31" s="54">
        <v>3.62</v>
      </c>
      <c r="G31" s="54">
        <v>74.569999999999993</v>
      </c>
      <c r="H31" s="54">
        <v>33.90</v>
      </c>
      <c r="I31" s="54">
        <v>1.52</v>
      </c>
      <c r="J31" s="54">
        <v>0.5</v>
      </c>
      <c r="K31" s="54">
        <v>91.73</v>
      </c>
      <c r="L31" s="54">
        <v>22.48</v>
      </c>
      <c r="M31" s="54">
        <v>74.459999999999994</v>
      </c>
      <c r="N31" s="54">
        <v>68.099999999999994</v>
      </c>
      <c r="O31" s="54">
        <v>0</v>
      </c>
      <c r="P31" s="54">
        <v>1</v>
      </c>
      <c r="Q31" s="54">
        <v>8.8699999999999992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8.4499999999999993</v>
      </c>
      <c r="C32" s="54">
        <v>54.59</v>
      </c>
      <c r="D32" s="54">
        <v>37.450000000000003</v>
      </c>
      <c r="E32" s="54">
        <v>5</v>
      </c>
      <c r="F32" s="54">
        <v>3.72</v>
      </c>
      <c r="G32" s="54">
        <v>70.97</v>
      </c>
      <c r="H32" s="54">
        <v>33.90</v>
      </c>
      <c r="I32" s="54">
        <v>1.51</v>
      </c>
      <c r="J32" s="54">
        <v>0.44</v>
      </c>
      <c r="K32" s="54">
        <v>124.38</v>
      </c>
      <c r="L32" s="54">
        <v>21.98</v>
      </c>
      <c r="M32" s="54">
        <v>77.209999999999994</v>
      </c>
      <c r="N32" s="54">
        <v>67.70</v>
      </c>
      <c r="O32" s="54">
        <v>0</v>
      </c>
      <c r="P32" s="54">
        <v>0.92</v>
      </c>
      <c r="Q32" s="54">
        <v>8.92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4.2000000000000002</v>
      </c>
      <c r="C34" s="28">
        <f t="shared" si="0"/>
        <v>47.270000000000003</v>
      </c>
      <c r="D34" s="28">
        <f t="shared" si="0"/>
        <v>30.34</v>
      </c>
      <c r="E34" s="28">
        <f t="shared" si="0"/>
        <v>3.5299999999999998</v>
      </c>
      <c r="F34" s="28">
        <f t="shared" si="0"/>
        <v>3.4700000000000002</v>
      </c>
      <c r="G34" s="28">
        <f t="shared" si="0"/>
        <v>49.960000000000001</v>
      </c>
      <c r="H34" s="28">
        <f t="shared" si="0"/>
        <v>20.149999999999999</v>
      </c>
      <c r="I34" s="28">
        <f t="shared" si="0"/>
        <v>1.49</v>
      </c>
      <c r="J34" s="28">
        <f t="shared" si="0"/>
        <v>0.38</v>
      </c>
      <c r="K34" s="28">
        <f t="shared" si="0"/>
        <v>55.729999999999997</v>
      </c>
      <c r="L34" s="28">
        <f t="shared" si="0"/>
        <v>17.859999999999999</v>
      </c>
      <c r="M34" s="28">
        <f t="shared" si="0"/>
        <v>53.100000000000001</v>
      </c>
      <c r="N34" s="28">
        <f t="shared" si="0"/>
        <v>25.199999999999999</v>
      </c>
      <c r="O34" s="28">
        <f t="shared" si="0"/>
        <v>0</v>
      </c>
      <c r="P34" s="28">
        <f t="shared" si="0"/>
        <v>0.5</v>
      </c>
      <c r="Q34" s="28">
        <f t="shared" si="0"/>
        <v>8.25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12.720000000000001</v>
      </c>
      <c r="C35" s="29">
        <f t="shared" si="1"/>
        <v>61.780000000000001</v>
      </c>
      <c r="D35" s="29">
        <f t="shared" si="1"/>
        <v>40.770000000000003</v>
      </c>
      <c r="E35" s="29">
        <f t="shared" si="1"/>
        <v>5.46</v>
      </c>
      <c r="F35" s="29">
        <f t="shared" si="1"/>
        <v>4.3399999999999999</v>
      </c>
      <c r="G35" s="29">
        <f t="shared" si="1"/>
        <v>80.739999999999995</v>
      </c>
      <c r="H35" s="29">
        <f t="shared" si="1"/>
        <v>36.229999999999997</v>
      </c>
      <c r="I35" s="29">
        <f t="shared" si="1"/>
        <v>1.6100000000000001</v>
      </c>
      <c r="J35" s="29">
        <f t="shared" si="1"/>
        <v>1.5800000000000001</v>
      </c>
      <c r="K35" s="29">
        <f t="shared" si="1"/>
        <v>359.81999999999999</v>
      </c>
      <c r="L35" s="29">
        <f t="shared" si="1"/>
        <v>30.039999999999999</v>
      </c>
      <c r="M35" s="29">
        <f t="shared" si="1"/>
        <v>94.609999999999999</v>
      </c>
      <c r="N35" s="29">
        <f t="shared" si="1"/>
        <v>760.89999999999998</v>
      </c>
      <c r="O35" s="29">
        <f t="shared" si="1"/>
        <v>0</v>
      </c>
      <c r="P35" s="29">
        <f t="shared" si="1"/>
        <v>1.04</v>
      </c>
      <c r="Q35" s="29">
        <f t="shared" si="1"/>
        <v>9.1500000000000004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8.2728571428571431</v>
      </c>
      <c r="C36" s="28">
        <f t="shared" si="2"/>
        <v>54.176428571428573</v>
      </c>
      <c r="D36" s="28">
        <f t="shared" si="2"/>
        <v>36.940000000000005</v>
      </c>
      <c r="E36" s="28">
        <f t="shared" si="2"/>
        <v>4.5149999999999988</v>
      </c>
      <c r="F36" s="28">
        <f t="shared" si="2"/>
        <v>3.8645833333333339</v>
      </c>
      <c r="G36" s="28">
        <f t="shared" si="2"/>
        <v>64.778749999999974</v>
      </c>
      <c r="H36" s="28">
        <f t="shared" si="2"/>
        <v>27.561666666666657</v>
      </c>
      <c r="I36" s="28">
        <f t="shared" si="2"/>
        <v>1.5362500000000001</v>
      </c>
      <c r="J36" s="28">
        <f t="shared" si="2"/>
        <v>0.84000000000000019</v>
      </c>
      <c r="K36" s="28">
        <f t="shared" si="2"/>
        <v>222.26874999999998</v>
      </c>
      <c r="L36" s="28">
        <f t="shared" si="2"/>
        <v>23.299999999999997</v>
      </c>
      <c r="M36" s="28">
        <f t="shared" si="2"/>
        <v>73.73041666666667</v>
      </c>
      <c r="N36" s="28">
        <f t="shared" si="2"/>
        <v>227.97916666666666</v>
      </c>
      <c r="O36" s="28">
        <f t="shared" si="2"/>
        <v>0</v>
      </c>
      <c r="P36" s="28">
        <f t="shared" si="2"/>
        <v>0.6825</v>
      </c>
      <c r="Q36" s="28">
        <f t="shared" si="2"/>
        <v>8.8379166666666666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2.6945341500367541</v>
      </c>
      <c r="C37" s="28">
        <f t="shared" si="3" ref="C37:Q37">STDEV(C9:C32)</f>
        <v>4.9469253965591173</v>
      </c>
      <c r="D37" s="28">
        <f t="shared" si="3"/>
        <v>3.4266758954279557</v>
      </c>
      <c r="E37" s="28">
        <f t="shared" si="3"/>
        <v>0.50629085986478284</v>
      </c>
      <c r="F37" s="28">
        <f t="shared" si="3"/>
        <v>0.24731566111323908</v>
      </c>
      <c r="G37" s="28">
        <f t="shared" si="3"/>
        <v>9.8138652193456171</v>
      </c>
      <c r="H37" s="28">
        <f t="shared" si="3"/>
        <v>4.8600659028155873</v>
      </c>
      <c r="I37" s="28">
        <f t="shared" si="3"/>
        <v>0.02825543425993295</v>
      </c>
      <c r="J37" s="28">
        <f t="shared" si="3"/>
        <v>0.33055947304137406</v>
      </c>
      <c r="K37" s="28">
        <f t="shared" si="3"/>
        <v>136.38772602918871</v>
      </c>
      <c r="L37" s="28">
        <f t="shared" si="3"/>
        <v>3.812002782972693</v>
      </c>
      <c r="M37" s="28">
        <f t="shared" si="3"/>
        <v>12.740245195636062</v>
      </c>
      <c r="N37" s="28">
        <f t="shared" si="3"/>
        <v>250.09242809525381</v>
      </c>
      <c r="O37" s="28">
        <f t="shared" si="3"/>
        <v>0</v>
      </c>
      <c r="P37" s="28">
        <f t="shared" si="3"/>
        <v>0.1877614119729798</v>
      </c>
      <c r="Q37" s="28">
        <f t="shared" si="3"/>
        <v>0.24960802604610829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COUNT(B9:B32)+10</f>
        <v>24</v>
      </c>
      <c r="C38" s="32">
        <f>COUNT(C9:C32)+10</f>
        <v>24</v>
      </c>
      <c r="D38" s="32">
        <f>COUNT(D9:D32)+10</f>
        <v>24</v>
      </c>
      <c r="E38" s="32">
        <f t="shared" si="4" ref="B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8ef7aa-a924-4f0b-a193-5de6f841bba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6.37</v>
      </c>
      <c r="C9" s="54">
        <v>52.61</v>
      </c>
      <c r="D9" s="54">
        <v>34.79</v>
      </c>
      <c r="E9" s="54">
        <v>3.31</v>
      </c>
      <c r="F9" s="54">
        <v>3.98</v>
      </c>
      <c r="G9" s="54">
        <v>68.77</v>
      </c>
      <c r="H9" s="54">
        <v>28.33</v>
      </c>
      <c r="I9" s="54">
        <v>1.54</v>
      </c>
      <c r="J9" s="54">
        <v>0.47</v>
      </c>
      <c r="K9" s="54">
        <v>165.47</v>
      </c>
      <c r="L9" s="54">
        <v>21.53</v>
      </c>
      <c r="M9" s="54">
        <v>79.97</v>
      </c>
      <c r="N9" s="54">
        <v>67.70</v>
      </c>
      <c r="O9" s="54">
        <v>0</v>
      </c>
      <c r="P9" s="54">
        <v>0.83</v>
      </c>
      <c r="Q9" s="54">
        <v>8.90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6.20</v>
      </c>
      <c r="C10" s="54">
        <v>47.42</v>
      </c>
      <c r="D10" s="54">
        <v>31.45</v>
      </c>
      <c r="E10" s="54">
        <v>3.31</v>
      </c>
      <c r="F10" s="54">
        <v>3.97</v>
      </c>
      <c r="G10" s="54">
        <v>63.82</v>
      </c>
      <c r="H10" s="54">
        <v>29.11</v>
      </c>
      <c r="I10" s="54">
        <v>1.56</v>
      </c>
      <c r="J10" s="54">
        <v>0.22</v>
      </c>
      <c r="K10" s="54">
        <v>353.19</v>
      </c>
      <c r="L10" s="54">
        <v>21.26</v>
      </c>
      <c r="M10" s="54">
        <v>87.51</v>
      </c>
      <c r="N10" s="54">
        <v>69.599999999999994</v>
      </c>
      <c r="O10" s="54">
        <v>0</v>
      </c>
      <c r="P10" s="54">
        <v>0.75</v>
      </c>
      <c r="Q10" s="54">
        <v>8.92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7.33</v>
      </c>
      <c r="C11" s="54">
        <v>51.41</v>
      </c>
      <c r="D11" s="54">
        <v>34.630000000000003</v>
      </c>
      <c r="E11" s="54">
        <v>3.31</v>
      </c>
      <c r="F11" s="54">
        <v>3.67</v>
      </c>
      <c r="G11" s="54">
        <v>63.82</v>
      </c>
      <c r="H11" s="54">
        <v>29.11</v>
      </c>
      <c r="I11" s="54">
        <v>1.55</v>
      </c>
      <c r="J11" s="54">
        <v>0.21</v>
      </c>
      <c r="K11" s="54">
        <v>349.45</v>
      </c>
      <c r="L11" s="54">
        <v>20.350000000000001</v>
      </c>
      <c r="M11" s="54">
        <v>91.14</v>
      </c>
      <c r="N11" s="54">
        <v>70.70</v>
      </c>
      <c r="O11" s="54">
        <v>0</v>
      </c>
      <c r="P11" s="54">
        <v>0.71</v>
      </c>
      <c r="Q11" s="54">
        <v>8.91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6.70</v>
      </c>
      <c r="C12" s="54">
        <v>50.92</v>
      </c>
      <c r="D12" s="54">
        <v>34.119999999999997</v>
      </c>
      <c r="E12" s="54">
        <v>3.21</v>
      </c>
      <c r="F12" s="54">
        <v>3.80</v>
      </c>
      <c r="G12" s="54">
        <v>60.35</v>
      </c>
      <c r="H12" s="54">
        <v>28.89</v>
      </c>
      <c r="I12" s="54">
        <v>1.56</v>
      </c>
      <c r="J12" s="54">
        <v>0.17</v>
      </c>
      <c r="K12" s="54">
        <v>347.28</v>
      </c>
      <c r="L12" s="54">
        <v>19.77</v>
      </c>
      <c r="M12" s="54">
        <v>96.55</v>
      </c>
      <c r="N12" s="54">
        <v>71.80</v>
      </c>
      <c r="O12" s="54">
        <v>0</v>
      </c>
      <c r="P12" s="54">
        <v>0.66</v>
      </c>
      <c r="Q12" s="54">
        <v>9.02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9.59</v>
      </c>
      <c r="C13" s="54">
        <v>49.84</v>
      </c>
      <c r="D13" s="54">
        <v>35.49</v>
      </c>
      <c r="E13" s="54">
        <v>4.1500000000000004</v>
      </c>
      <c r="F13" s="54">
        <v>3.65</v>
      </c>
      <c r="G13" s="54">
        <v>57.79</v>
      </c>
      <c r="H13" s="54">
        <v>29.48</v>
      </c>
      <c r="I13" s="54">
        <v>1.51</v>
      </c>
      <c r="J13" s="54">
        <v>0.26</v>
      </c>
      <c r="K13" s="54">
        <v>273.48</v>
      </c>
      <c r="L13" s="54">
        <v>19.899999999999999</v>
      </c>
      <c r="M13" s="54">
        <v>97.47</v>
      </c>
      <c r="N13" s="54">
        <v>73.099999999999994</v>
      </c>
      <c r="O13" s="54">
        <v>0</v>
      </c>
      <c r="P13" s="54">
        <v>0.65</v>
      </c>
      <c r="Q13" s="54">
        <v>8.99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11.03</v>
      </c>
      <c r="C14" s="54">
        <v>48.40</v>
      </c>
      <c r="D14" s="54">
        <v>35.47</v>
      </c>
      <c r="E14" s="54">
        <v>3.86</v>
      </c>
      <c r="F14" s="54">
        <v>3.73</v>
      </c>
      <c r="G14" s="54">
        <v>58.16</v>
      </c>
      <c r="H14" s="54">
        <v>30.73</v>
      </c>
      <c r="I14" s="54">
        <v>1.53</v>
      </c>
      <c r="J14" s="54">
        <v>0.28000000000000003</v>
      </c>
      <c r="K14" s="54">
        <v>80.86</v>
      </c>
      <c r="L14" s="54">
        <v>19.93</v>
      </c>
      <c r="M14" s="54">
        <v>93.47</v>
      </c>
      <c r="N14" s="54">
        <v>74.20</v>
      </c>
      <c r="O14" s="54">
        <v>0</v>
      </c>
      <c r="P14" s="54">
        <v>0.64</v>
      </c>
      <c r="Q14" s="54">
        <v>9.02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15.94</v>
      </c>
      <c r="C15" s="54">
        <v>47.93</v>
      </c>
      <c r="D15" s="54">
        <v>39.75</v>
      </c>
      <c r="E15" s="54">
        <v>4</v>
      </c>
      <c r="F15" s="54">
        <v>4.1399999999999997</v>
      </c>
      <c r="G15" s="54">
        <v>66.22</v>
      </c>
      <c r="H15" s="54">
        <v>31.22</v>
      </c>
      <c r="I15" s="54">
        <v>1.57</v>
      </c>
      <c r="J15" s="54">
        <v>0.55000000000000004</v>
      </c>
      <c r="K15" s="54">
        <v>89.40</v>
      </c>
      <c r="L15" s="54">
        <v>20.23</v>
      </c>
      <c r="M15" s="54">
        <v>94.34</v>
      </c>
      <c r="N15" s="54">
        <v>138.60</v>
      </c>
      <c r="O15" s="54">
        <v>0</v>
      </c>
      <c r="P15" s="54">
        <v>0.67</v>
      </c>
      <c r="Q15" s="54">
        <v>8.94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16.53</v>
      </c>
      <c r="C16" s="54">
        <v>51.16</v>
      </c>
      <c r="D16" s="54">
        <v>41.60</v>
      </c>
      <c r="E16" s="54">
        <v>4.09</v>
      </c>
      <c r="F16" s="54">
        <v>3.66</v>
      </c>
      <c r="G16" s="54">
        <v>70.44</v>
      </c>
      <c r="H16" s="54">
        <v>31.80</v>
      </c>
      <c r="I16" s="54">
        <v>1.56</v>
      </c>
      <c r="J16" s="54">
        <v>0.91</v>
      </c>
      <c r="K16" s="54">
        <v>93.60</v>
      </c>
      <c r="L16" s="54">
        <v>21.29</v>
      </c>
      <c r="M16" s="54">
        <v>87.98</v>
      </c>
      <c r="N16" s="54">
        <v>201.70</v>
      </c>
      <c r="O16" s="54">
        <v>0</v>
      </c>
      <c r="P16" s="54">
        <v>0.69</v>
      </c>
      <c r="Q16" s="54">
        <v>9.0399999999999991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14.82</v>
      </c>
      <c r="C17" s="54">
        <v>51.97</v>
      </c>
      <c r="D17" s="54">
        <v>41.21</v>
      </c>
      <c r="E17" s="54">
        <v>4.47</v>
      </c>
      <c r="F17" s="54">
        <v>3.55</v>
      </c>
      <c r="G17" s="54">
        <v>70.44</v>
      </c>
      <c r="H17" s="54">
        <v>31.80</v>
      </c>
      <c r="I17" s="54">
        <v>1.53</v>
      </c>
      <c r="J17" s="54">
        <v>0.52</v>
      </c>
      <c r="K17" s="54">
        <v>355.60</v>
      </c>
      <c r="L17" s="54">
        <v>27.23</v>
      </c>
      <c r="M17" s="54">
        <v>84.75</v>
      </c>
      <c r="N17" s="54">
        <v>452.90</v>
      </c>
      <c r="O17" s="54">
        <v>0</v>
      </c>
      <c r="P17" s="54">
        <v>0.68</v>
      </c>
      <c r="Q17" s="54">
        <v>9.0399999999999991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15.10</v>
      </c>
      <c r="C18" s="54">
        <v>53.45</v>
      </c>
      <c r="D18" s="54">
        <v>41.94</v>
      </c>
      <c r="E18" s="54">
        <v>4.55</v>
      </c>
      <c r="F18" s="54">
        <v>3.54</v>
      </c>
      <c r="G18" s="54">
        <v>67.25</v>
      </c>
      <c r="H18" s="54">
        <v>29.62</v>
      </c>
      <c r="I18" s="54">
        <v>1.58</v>
      </c>
      <c r="J18" s="54">
        <v>0.52</v>
      </c>
      <c r="K18" s="54">
        <v>352.32</v>
      </c>
      <c r="L18" s="54">
        <v>30.79</v>
      </c>
      <c r="M18" s="54">
        <v>54.20</v>
      </c>
      <c r="N18" s="54">
        <v>597.90</v>
      </c>
      <c r="O18" s="54">
        <v>0</v>
      </c>
      <c r="P18" s="54">
        <v>0.72</v>
      </c>
      <c r="Q18" s="54">
        <v>9.06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14.34</v>
      </c>
      <c r="C19" s="54">
        <v>53.56</v>
      </c>
      <c r="D19" s="54">
        <v>41.19</v>
      </c>
      <c r="E19" s="54">
        <v>4.24</v>
      </c>
      <c r="F19" s="54">
        <v>3.72</v>
      </c>
      <c r="G19" s="54">
        <v>67.25</v>
      </c>
      <c r="H19" s="54">
        <v>25.42</v>
      </c>
      <c r="I19" s="54">
        <v>1.56</v>
      </c>
      <c r="J19" s="54">
        <v>0.80</v>
      </c>
      <c r="K19" s="54">
        <v>306.30</v>
      </c>
      <c r="L19" s="54">
        <v>29.76</v>
      </c>
      <c r="M19" s="54">
        <v>62.28</v>
      </c>
      <c r="N19" s="54">
        <v>740.30</v>
      </c>
      <c r="O19" s="54">
        <v>0</v>
      </c>
      <c r="P19" s="54">
        <v>0.72</v>
      </c>
      <c r="Q19" s="54">
        <v>9.08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9.52</v>
      </c>
      <c r="C20" s="54">
        <v>50.26</v>
      </c>
      <c r="D20" s="54">
        <v>36.020000000000003</v>
      </c>
      <c r="E20" s="54">
        <v>4.7300000000000004</v>
      </c>
      <c r="F20" s="54">
        <v>9.31</v>
      </c>
      <c r="G20" s="54">
        <v>66.33</v>
      </c>
      <c r="H20" s="54">
        <v>25.42</v>
      </c>
      <c r="I20" s="54">
        <v>1.53</v>
      </c>
      <c r="J20" s="54">
        <v>0.34</v>
      </c>
      <c r="K20" s="54">
        <v>252.82</v>
      </c>
      <c r="L20" s="54">
        <v>30.15</v>
      </c>
      <c r="M20" s="54">
        <v>58.15</v>
      </c>
      <c r="N20" s="54">
        <v>774.60</v>
      </c>
      <c r="O20" s="54">
        <v>0</v>
      </c>
      <c r="P20" s="54">
        <v>0.66</v>
      </c>
      <c r="Q20" s="54">
        <v>8.98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2.63</v>
      </c>
      <c r="C21" s="54">
        <v>36.99</v>
      </c>
      <c r="D21" s="54">
        <v>22.87</v>
      </c>
      <c r="E21" s="54">
        <v>4.18</v>
      </c>
      <c r="F21" s="54">
        <v>6.06</v>
      </c>
      <c r="G21" s="54">
        <v>54.20</v>
      </c>
      <c r="H21" s="54">
        <v>24.70</v>
      </c>
      <c r="I21" s="54">
        <v>1.57</v>
      </c>
      <c r="J21" s="54">
        <v>0.55000000000000004</v>
      </c>
      <c r="K21" s="54">
        <v>175.14</v>
      </c>
      <c r="L21" s="54">
        <v>30.55</v>
      </c>
      <c r="M21" s="54">
        <v>49.62</v>
      </c>
      <c r="N21" s="54">
        <v>773.40</v>
      </c>
      <c r="O21" s="54">
        <v>0</v>
      </c>
      <c r="P21" s="54">
        <v>0.45</v>
      </c>
      <c r="Q21" s="54">
        <v>8.6199999999999992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2.71</v>
      </c>
      <c r="C22" s="54">
        <v>33.93</v>
      </c>
      <c r="D22" s="54">
        <v>20.73</v>
      </c>
      <c r="E22" s="54">
        <v>4.8600000000000003</v>
      </c>
      <c r="F22" s="54">
        <v>12.16</v>
      </c>
      <c r="G22" s="54">
        <v>44.82</v>
      </c>
      <c r="H22" s="54">
        <v>24.70</v>
      </c>
      <c r="I22" s="54">
        <v>1.54</v>
      </c>
      <c r="J22" s="54">
        <v>0.74</v>
      </c>
      <c r="K22" s="54">
        <v>170.54</v>
      </c>
      <c r="L22" s="54">
        <v>30.83</v>
      </c>
      <c r="M22" s="54">
        <v>49.61</v>
      </c>
      <c r="N22" s="54">
        <v>704.60</v>
      </c>
      <c r="O22" s="54">
        <v>0</v>
      </c>
      <c r="P22" s="54">
        <v>0.41</v>
      </c>
      <c r="Q22" s="54">
        <v>8.4600000000000009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2.37</v>
      </c>
      <c r="C23" s="54">
        <v>36.479999999999997</v>
      </c>
      <c r="D23" s="54">
        <v>22.46</v>
      </c>
      <c r="E23" s="54">
        <v>4.46</v>
      </c>
      <c r="F23" s="54">
        <v>6.45</v>
      </c>
      <c r="G23" s="54">
        <v>46.70</v>
      </c>
      <c r="H23" s="54">
        <v>16.309999999999999</v>
      </c>
      <c r="I23" s="54">
        <v>1.64</v>
      </c>
      <c r="J23" s="54">
        <v>0.14000000000000001</v>
      </c>
      <c r="K23" s="54">
        <v>297.39999999999998</v>
      </c>
      <c r="L23" s="54">
        <v>31.30</v>
      </c>
      <c r="M23" s="54">
        <v>46.45</v>
      </c>
      <c r="N23" s="54">
        <v>579.5</v>
      </c>
      <c r="O23" s="54">
        <v>0</v>
      </c>
      <c r="P23" s="54">
        <v>0.40</v>
      </c>
      <c r="Q23" s="54">
        <v>8.3800000000000008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2.72</v>
      </c>
      <c r="C24" s="54">
        <v>34.96</v>
      </c>
      <c r="D24" s="54">
        <v>21.87</v>
      </c>
      <c r="E24" s="54">
        <v>4.3899999999999997</v>
      </c>
      <c r="F24" s="54">
        <v>6.29</v>
      </c>
      <c r="G24" s="54">
        <v>46.70</v>
      </c>
      <c r="H24" s="54">
        <v>17.850000000000001</v>
      </c>
      <c r="I24" s="54">
        <v>1.53</v>
      </c>
      <c r="J24" s="54">
        <v>0.28000000000000003</v>
      </c>
      <c r="K24" s="54">
        <v>353.18</v>
      </c>
      <c r="L24" s="54">
        <v>31.72</v>
      </c>
      <c r="M24" s="54">
        <v>44.08</v>
      </c>
      <c r="N24" s="54">
        <v>312</v>
      </c>
      <c r="O24" s="54">
        <v>0</v>
      </c>
      <c r="P24" s="54">
        <v>0.40</v>
      </c>
      <c r="Q24" s="54">
        <v>8.23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2.16</v>
      </c>
      <c r="C25" s="54">
        <v>38</v>
      </c>
      <c r="D25" s="54">
        <v>22.86</v>
      </c>
      <c r="E25" s="54">
        <v>4.8499999999999996</v>
      </c>
      <c r="F25" s="54">
        <v>10.60</v>
      </c>
      <c r="G25" s="54">
        <v>40.11</v>
      </c>
      <c r="H25" s="54">
        <v>17.850000000000001</v>
      </c>
      <c r="I25" s="54">
        <v>1.52</v>
      </c>
      <c r="J25" s="54">
        <v>0.26</v>
      </c>
      <c r="K25" s="54">
        <v>354.91</v>
      </c>
      <c r="L25" s="54">
        <v>29.54</v>
      </c>
      <c r="M25" s="54">
        <v>44.53</v>
      </c>
      <c r="N25" s="54">
        <v>166.90</v>
      </c>
      <c r="O25" s="54">
        <v>0</v>
      </c>
      <c r="P25" s="54">
        <v>0.46</v>
      </c>
      <c r="Q25" s="54">
        <v>7.96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2.54</v>
      </c>
      <c r="C26" s="54">
        <v>36.450000000000003</v>
      </c>
      <c r="D26" s="54">
        <v>22.80</v>
      </c>
      <c r="E26" s="54">
        <v>4.49</v>
      </c>
      <c r="F26" s="54">
        <v>5.15</v>
      </c>
      <c r="G26" s="54">
        <v>29.82</v>
      </c>
      <c r="H26" s="54">
        <v>16.510000000000002</v>
      </c>
      <c r="I26" s="54">
        <v>1.57</v>
      </c>
      <c r="J26" s="54">
        <v>0.23</v>
      </c>
      <c r="K26" s="54">
        <v>358.24</v>
      </c>
      <c r="L26" s="54">
        <v>28.52</v>
      </c>
      <c r="M26" s="54">
        <v>47.04</v>
      </c>
      <c r="N26" s="54">
        <v>72.80</v>
      </c>
      <c r="O26" s="54">
        <v>0</v>
      </c>
      <c r="P26" s="54">
        <v>0.51</v>
      </c>
      <c r="Q26" s="54">
        <v>7.94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7.04</v>
      </c>
      <c r="C27" s="54">
        <v>39.82</v>
      </c>
      <c r="D27" s="54">
        <v>28.27</v>
      </c>
      <c r="E27" s="54">
        <v>4.45</v>
      </c>
      <c r="F27" s="54">
        <v>3.87</v>
      </c>
      <c r="G27" s="54">
        <v>35.46</v>
      </c>
      <c r="H27" s="54">
        <v>17.37</v>
      </c>
      <c r="I27" s="54">
        <v>1.57</v>
      </c>
      <c r="J27" s="54">
        <v>0.41</v>
      </c>
      <c r="K27" s="54">
        <v>340.36</v>
      </c>
      <c r="L27" s="54">
        <v>26.86</v>
      </c>
      <c r="M27" s="54">
        <v>59.96</v>
      </c>
      <c r="N27" s="54">
        <v>28.40</v>
      </c>
      <c r="O27" s="54">
        <v>0</v>
      </c>
      <c r="P27" s="54">
        <v>0.74</v>
      </c>
      <c r="Q27" s="54">
        <v>7.94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13.10</v>
      </c>
      <c r="C28" s="54">
        <v>43.27</v>
      </c>
      <c r="D28" s="54">
        <v>34.659999999999997</v>
      </c>
      <c r="E28" s="54">
        <v>4.62</v>
      </c>
      <c r="F28" s="54">
        <v>3.81</v>
      </c>
      <c r="G28" s="54">
        <v>53.53</v>
      </c>
      <c r="H28" s="54">
        <v>23.44</v>
      </c>
      <c r="I28" s="54">
        <v>1.51</v>
      </c>
      <c r="J28" s="54">
        <v>0.59</v>
      </c>
      <c r="K28" s="54">
        <v>353.44</v>
      </c>
      <c r="L28" s="54">
        <v>25.38</v>
      </c>
      <c r="M28" s="54">
        <v>68</v>
      </c>
      <c r="N28" s="54">
        <v>27.80</v>
      </c>
      <c r="O28" s="54">
        <v>0</v>
      </c>
      <c r="P28" s="54">
        <v>0.87</v>
      </c>
      <c r="Q28" s="54">
        <v>8.14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17.03</v>
      </c>
      <c r="C29" s="54">
        <v>44.49</v>
      </c>
      <c r="D29" s="54">
        <v>38.83</v>
      </c>
      <c r="E29" s="54">
        <v>4.88</v>
      </c>
      <c r="F29" s="54">
        <v>3.71</v>
      </c>
      <c r="G29" s="54">
        <v>67.77</v>
      </c>
      <c r="H29" s="54">
        <v>26.35</v>
      </c>
      <c r="I29" s="54">
        <v>1.58</v>
      </c>
      <c r="J29" s="54">
        <v>1.96</v>
      </c>
      <c r="K29" s="54">
        <v>355.90</v>
      </c>
      <c r="L29" s="54">
        <v>24.79</v>
      </c>
      <c r="M29" s="54">
        <v>71.28</v>
      </c>
      <c r="N29" s="54">
        <v>31.10</v>
      </c>
      <c r="O29" s="54">
        <v>0</v>
      </c>
      <c r="P29" s="54">
        <v>1.02</v>
      </c>
      <c r="Q29" s="54">
        <v>8.24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15.97</v>
      </c>
      <c r="C30" s="54">
        <v>44.94</v>
      </c>
      <c r="D30" s="54">
        <v>38.26</v>
      </c>
      <c r="E30" s="54">
        <v>4.76</v>
      </c>
      <c r="F30" s="54">
        <v>3.73</v>
      </c>
      <c r="G30" s="54">
        <v>81.83</v>
      </c>
      <c r="H30" s="54">
        <v>26.35</v>
      </c>
      <c r="I30" s="54">
        <v>1.57</v>
      </c>
      <c r="J30" s="54">
        <v>1.84</v>
      </c>
      <c r="K30" s="54">
        <v>358.62</v>
      </c>
      <c r="L30" s="54">
        <v>21.76</v>
      </c>
      <c r="M30" s="54">
        <v>80.38</v>
      </c>
      <c r="N30" s="54">
        <v>29.10</v>
      </c>
      <c r="O30" s="54">
        <v>0</v>
      </c>
      <c r="P30" s="54">
        <v>0.97</v>
      </c>
      <c r="Q30" s="54">
        <v>8.18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11.75</v>
      </c>
      <c r="C31" s="54">
        <v>42.64</v>
      </c>
      <c r="D31" s="54">
        <v>33.61</v>
      </c>
      <c r="E31" s="54">
        <v>4.5999999999999996</v>
      </c>
      <c r="F31" s="54">
        <v>3.37</v>
      </c>
      <c r="G31" s="54">
        <v>81.83</v>
      </c>
      <c r="H31" s="54">
        <v>25.59</v>
      </c>
      <c r="I31" s="54">
        <v>1.57</v>
      </c>
      <c r="J31" s="54">
        <v>1.1100000000000001</v>
      </c>
      <c r="K31" s="54">
        <v>82.28</v>
      </c>
      <c r="L31" s="54">
        <v>20.56</v>
      </c>
      <c r="M31" s="54">
        <v>84.61</v>
      </c>
      <c r="N31" s="54">
        <v>28</v>
      </c>
      <c r="O31" s="54">
        <v>0</v>
      </c>
      <c r="P31" s="54">
        <v>0.84</v>
      </c>
      <c r="Q31" s="54">
        <v>8.1300000000000008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9.69</v>
      </c>
      <c r="C32" s="54">
        <v>45.57</v>
      </c>
      <c r="D32" s="54">
        <v>33.119999999999997</v>
      </c>
      <c r="E32" s="54">
        <v>4.30</v>
      </c>
      <c r="F32" s="54">
        <v>3.80</v>
      </c>
      <c r="G32" s="54">
        <v>79.30</v>
      </c>
      <c r="H32" s="54">
        <v>19.20</v>
      </c>
      <c r="I32" s="54">
        <v>1.55</v>
      </c>
      <c r="J32" s="54">
        <v>2.92</v>
      </c>
      <c r="K32" s="54">
        <v>351.11</v>
      </c>
      <c r="L32" s="54">
        <v>19.79</v>
      </c>
      <c r="M32" s="54">
        <v>87.53</v>
      </c>
      <c r="N32" s="54">
        <v>28.80</v>
      </c>
      <c r="O32" s="54">
        <v>0</v>
      </c>
      <c r="P32" s="54">
        <v>0.72</v>
      </c>
      <c r="Q32" s="54">
        <v>8.18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2.1600000000000001</v>
      </c>
      <c r="C34" s="28">
        <f t="shared" si="0"/>
        <v>33.93</v>
      </c>
      <c r="D34" s="28">
        <f t="shared" si="0"/>
        <v>20.73</v>
      </c>
      <c r="E34" s="28">
        <f t="shared" si="0"/>
        <v>3.21</v>
      </c>
      <c r="F34" s="28">
        <f t="shared" si="0"/>
        <v>3.3700000000000001</v>
      </c>
      <c r="G34" s="28">
        <f t="shared" si="0"/>
        <v>29.82</v>
      </c>
      <c r="H34" s="28">
        <f t="shared" si="0"/>
        <v>16.309999999999999</v>
      </c>
      <c r="I34" s="28">
        <f t="shared" si="0"/>
        <v>1.51</v>
      </c>
      <c r="J34" s="28">
        <f t="shared" si="0"/>
        <v>0.14000000000000001</v>
      </c>
      <c r="K34" s="28">
        <f t="shared" si="0"/>
        <v>80.859999999999999</v>
      </c>
      <c r="L34" s="28">
        <f t="shared" si="0"/>
        <v>19.77</v>
      </c>
      <c r="M34" s="28">
        <f t="shared" si="0"/>
        <v>44.079999999999998</v>
      </c>
      <c r="N34" s="28">
        <f t="shared" si="0"/>
        <v>27.800000000000001</v>
      </c>
      <c r="O34" s="28">
        <f t="shared" si="0"/>
        <v>0</v>
      </c>
      <c r="P34" s="28">
        <f t="shared" si="0"/>
        <v>0.40000000000000002</v>
      </c>
      <c r="Q34" s="28">
        <f t="shared" si="0"/>
        <v>7.9400000000000004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17.030000000000001</v>
      </c>
      <c r="C35" s="29">
        <f t="shared" si="1"/>
        <v>53.560000000000002</v>
      </c>
      <c r="D35" s="29">
        <f t="shared" si="1"/>
        <v>41.939999999999998</v>
      </c>
      <c r="E35" s="29">
        <f t="shared" si="1"/>
        <v>4.8799999999999999</v>
      </c>
      <c r="F35" s="29">
        <f t="shared" si="1"/>
        <v>12.16</v>
      </c>
      <c r="G35" s="29">
        <f t="shared" si="1"/>
        <v>81.829999999999998</v>
      </c>
      <c r="H35" s="29">
        <f t="shared" si="1"/>
        <v>31.800000000000001</v>
      </c>
      <c r="I35" s="29">
        <f t="shared" si="1"/>
        <v>1.6399999999999999</v>
      </c>
      <c r="J35" s="29">
        <f t="shared" si="1"/>
        <v>2.9199999999999999</v>
      </c>
      <c r="K35" s="29">
        <f t="shared" si="1"/>
        <v>358.62</v>
      </c>
      <c r="L35" s="29">
        <f t="shared" si="1"/>
        <v>31.719999999999999</v>
      </c>
      <c r="M35" s="29">
        <f t="shared" si="1"/>
        <v>97.469999999999999</v>
      </c>
      <c r="N35" s="29">
        <f t="shared" si="1"/>
        <v>774.60000000000002</v>
      </c>
      <c r="O35" s="29">
        <f t="shared" si="1"/>
        <v>0</v>
      </c>
      <c r="P35" s="29">
        <f t="shared" si="1"/>
        <v>1.02</v>
      </c>
      <c r="Q35" s="29">
        <f t="shared" si="1"/>
        <v>9.0800000000000001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9.2991666666666664</v>
      </c>
      <c r="C36" s="28">
        <f t="shared" si="2"/>
        <v>45.269583333333344</v>
      </c>
      <c r="D36" s="28">
        <f t="shared" si="2"/>
        <v>32.833333333333336</v>
      </c>
      <c r="E36" s="28">
        <f t="shared" si="2"/>
        <v>4.2529166666666667</v>
      </c>
      <c r="F36" s="28">
        <f t="shared" si="2"/>
        <v>4.9883333333333342</v>
      </c>
      <c r="G36" s="28">
        <f t="shared" si="2"/>
        <v>60.112916666666671</v>
      </c>
      <c r="H36" s="28">
        <f t="shared" si="2"/>
        <v>25.297916666666669</v>
      </c>
      <c r="I36" s="28">
        <f t="shared" si="2"/>
        <v>1.5541666666666669</v>
      </c>
      <c r="J36" s="28">
        <f t="shared" si="2"/>
        <v>0.67833333333333334</v>
      </c>
      <c r="K36" s="28">
        <f t="shared" si="2"/>
        <v>273.78708333333327</v>
      </c>
      <c r="L36" s="28">
        <f t="shared" si="2"/>
        <v>25.157916666666662</v>
      </c>
      <c r="M36" s="28">
        <f t="shared" si="2"/>
        <v>71.704166666666652</v>
      </c>
      <c r="N36" s="28">
        <f t="shared" si="2"/>
        <v>254.81250000000003</v>
      </c>
      <c r="O36" s="28">
        <f t="shared" si="2"/>
        <v>0</v>
      </c>
      <c r="P36" s="28">
        <f t="shared" si="2"/>
        <v>0.67374999999999996</v>
      </c>
      <c r="Q36" s="28">
        <f t="shared" si="2"/>
        <v>8.5958333333333332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5.2074160467604269</v>
      </c>
      <c r="C37" s="28">
        <f t="shared" si="3" ref="C37:Q37">STDEV(C9:C32)</f>
        <v>6.4564847611539893</v>
      </c>
      <c r="D37" s="28">
        <f t="shared" si="3"/>
        <v>7.0598938695475546</v>
      </c>
      <c r="E37" s="28">
        <f t="shared" si="3"/>
        <v>0.51787592241239888</v>
      </c>
      <c r="F37" s="28">
        <f t="shared" si="3"/>
        <v>2.4076990037697046</v>
      </c>
      <c r="G37" s="28">
        <f t="shared" si="3"/>
        <v>13.941466917754406</v>
      </c>
      <c r="H37" s="28">
        <f t="shared" si="3"/>
        <v>5.158145925044936</v>
      </c>
      <c r="I37" s="28">
        <f t="shared" si="3"/>
        <v>0.02811724933461535</v>
      </c>
      <c r="J37" s="28">
        <f t="shared" si="3"/>
        <v>0.67381242820669085</v>
      </c>
      <c r="K37" s="28">
        <f t="shared" si="3"/>
        <v>105.40659209148448</v>
      </c>
      <c r="L37" s="28">
        <f t="shared" si="3"/>
        <v>4.6342749342984524</v>
      </c>
      <c r="M37" s="28">
        <f t="shared" si="3"/>
        <v>19.047822177617796</v>
      </c>
      <c r="N37" s="28">
        <f t="shared" si="3"/>
        <v>280.41931229236286</v>
      </c>
      <c r="O37" s="28">
        <f t="shared" si="3"/>
        <v>0</v>
      </c>
      <c r="P37" s="28">
        <f t="shared" si="3"/>
        <v>0.16947008200756916</v>
      </c>
      <c r="Q37" s="28">
        <f t="shared" si="3"/>
        <v>0.43153836714576838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ccb0e1-12ae-4ec2-bde4-c9f7455dec2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7.65</v>
      </c>
      <c r="C9" s="54">
        <v>46.96</v>
      </c>
      <c r="D9" s="54">
        <v>32.020000000000003</v>
      </c>
      <c r="E9" s="54">
        <v>4.4400000000000004</v>
      </c>
      <c r="F9" s="54">
        <v>3.91</v>
      </c>
      <c r="G9" s="54">
        <v>57.80</v>
      </c>
      <c r="H9" s="54">
        <v>17.27</v>
      </c>
      <c r="I9" s="54">
        <v>1.55</v>
      </c>
      <c r="J9" s="54">
        <v>1.28</v>
      </c>
      <c r="K9" s="54">
        <v>359.54</v>
      </c>
      <c r="L9" s="54">
        <v>18.940000000000001</v>
      </c>
      <c r="M9" s="54">
        <v>82.84</v>
      </c>
      <c r="N9" s="54">
        <v>27.80</v>
      </c>
      <c r="O9" s="54">
        <v>0</v>
      </c>
      <c r="P9" s="54">
        <v>0.56000000000000005</v>
      </c>
      <c r="Q9" s="54">
        <v>8.19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6.5</v>
      </c>
      <c r="C10" s="54">
        <v>44.85</v>
      </c>
      <c r="D10" s="54">
        <v>30.60</v>
      </c>
      <c r="E10" s="54">
        <v>4.4800000000000004</v>
      </c>
      <c r="F10" s="54">
        <v>3.52</v>
      </c>
      <c r="G10" s="54">
        <v>50.47</v>
      </c>
      <c r="H10" s="54">
        <v>15.64</v>
      </c>
      <c r="I10" s="54">
        <v>1.56</v>
      </c>
      <c r="J10" s="54">
        <v>1.46</v>
      </c>
      <c r="K10" s="54">
        <v>102.25</v>
      </c>
      <c r="L10" s="54">
        <v>18.59</v>
      </c>
      <c r="M10" s="54">
        <v>81.17</v>
      </c>
      <c r="N10" s="54">
        <v>27.30</v>
      </c>
      <c r="O10" s="54">
        <v>0</v>
      </c>
      <c r="P10" s="54">
        <v>0.53</v>
      </c>
      <c r="Q10" s="54">
        <v>8.24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6</v>
      </c>
      <c r="C11" s="54">
        <v>39.380000000000003</v>
      </c>
      <c r="D11" s="54">
        <v>27.19</v>
      </c>
      <c r="E11" s="54">
        <v>4.55</v>
      </c>
      <c r="F11" s="54">
        <v>3.56</v>
      </c>
      <c r="G11" s="54">
        <v>39.119999999999997</v>
      </c>
      <c r="H11" s="54">
        <v>14.65</v>
      </c>
      <c r="I11" s="54">
        <v>1.54</v>
      </c>
      <c r="J11" s="54">
        <v>0.60</v>
      </c>
      <c r="K11" s="54">
        <v>158.93</v>
      </c>
      <c r="L11" s="54">
        <v>18.440000000000001</v>
      </c>
      <c r="M11" s="54">
        <v>90.37</v>
      </c>
      <c r="N11" s="54">
        <v>27.5</v>
      </c>
      <c r="O11" s="54">
        <v>0</v>
      </c>
      <c r="P11" s="54">
        <v>0.47</v>
      </c>
      <c r="Q11" s="54">
        <v>8.27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5.78</v>
      </c>
      <c r="C12" s="54">
        <v>36.71</v>
      </c>
      <c r="D12" s="54">
        <v>25.38</v>
      </c>
      <c r="E12" s="54">
        <v>4.4400000000000004</v>
      </c>
      <c r="F12" s="54">
        <v>3.67</v>
      </c>
      <c r="G12" s="54">
        <v>37.03</v>
      </c>
      <c r="H12" s="54">
        <v>12.07</v>
      </c>
      <c r="I12" s="54">
        <v>1.5</v>
      </c>
      <c r="J12" s="54">
        <v>0.67</v>
      </c>
      <c r="K12" s="54">
        <v>192.07</v>
      </c>
      <c r="L12" s="54">
        <v>18.059999999999999</v>
      </c>
      <c r="M12" s="54">
        <v>91.77</v>
      </c>
      <c r="N12" s="54">
        <v>27.30</v>
      </c>
      <c r="O12" s="54">
        <v>0</v>
      </c>
      <c r="P12" s="54">
        <v>0.43</v>
      </c>
      <c r="Q12" s="54">
        <v>8.2799999999999994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7.04</v>
      </c>
      <c r="C13" s="54">
        <v>38.93</v>
      </c>
      <c r="D13" s="54">
        <v>27.78</v>
      </c>
      <c r="E13" s="54">
        <v>3.59</v>
      </c>
      <c r="F13" s="54">
        <v>3.53</v>
      </c>
      <c r="G13" s="54">
        <v>31.49</v>
      </c>
      <c r="H13" s="54">
        <v>11.35</v>
      </c>
      <c r="I13" s="54">
        <v>1.52</v>
      </c>
      <c r="J13" s="54">
        <v>0.23</v>
      </c>
      <c r="K13" s="54">
        <v>332.44</v>
      </c>
      <c r="L13" s="54">
        <v>18.09</v>
      </c>
      <c r="M13" s="54">
        <v>93.26</v>
      </c>
      <c r="N13" s="54">
        <v>27.80</v>
      </c>
      <c r="O13" s="54">
        <v>0</v>
      </c>
      <c r="P13" s="54">
        <v>0.40</v>
      </c>
      <c r="Q13" s="54">
        <v>8.35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10.220000000000001</v>
      </c>
      <c r="C14" s="54">
        <v>39.06</v>
      </c>
      <c r="D14" s="54">
        <v>30.40</v>
      </c>
      <c r="E14" s="54">
        <v>3.77</v>
      </c>
      <c r="F14" s="54">
        <v>3.52</v>
      </c>
      <c r="G14" s="54">
        <v>28.89</v>
      </c>
      <c r="H14" s="54">
        <v>11.98</v>
      </c>
      <c r="I14" s="54">
        <v>1.51</v>
      </c>
      <c r="J14" s="54">
        <v>0.97</v>
      </c>
      <c r="K14" s="54">
        <v>357.05</v>
      </c>
      <c r="L14" s="54">
        <v>17.940000000000001</v>
      </c>
      <c r="M14" s="54">
        <v>93.09</v>
      </c>
      <c r="N14" s="54">
        <v>27.90</v>
      </c>
      <c r="O14" s="54">
        <v>0</v>
      </c>
      <c r="P14" s="54">
        <v>0.43</v>
      </c>
      <c r="Q14" s="54">
        <v>8.32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18.62</v>
      </c>
      <c r="C15" s="54">
        <v>41.32</v>
      </c>
      <c r="D15" s="54">
        <v>37.53</v>
      </c>
      <c r="E15" s="54">
        <v>4.3099999999999996</v>
      </c>
      <c r="F15" s="54">
        <v>3.30</v>
      </c>
      <c r="G15" s="54">
        <v>115.91</v>
      </c>
      <c r="H15" s="54">
        <v>18.30</v>
      </c>
      <c r="I15" s="54">
        <v>1.59</v>
      </c>
      <c r="J15" s="54">
        <v>0.68</v>
      </c>
      <c r="K15" s="54">
        <v>359.29</v>
      </c>
      <c r="L15" s="54">
        <v>17.63</v>
      </c>
      <c r="M15" s="54">
        <v>93.81</v>
      </c>
      <c r="N15" s="54">
        <v>69.900000000000006</v>
      </c>
      <c r="O15" s="54">
        <v>0</v>
      </c>
      <c r="P15" s="54">
        <v>0.55000000000000004</v>
      </c>
      <c r="Q15" s="54">
        <v>8.43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27.76</v>
      </c>
      <c r="C16" s="54">
        <v>41.34</v>
      </c>
      <c r="D16" s="54">
        <v>45.72</v>
      </c>
      <c r="E16" s="54">
        <v>4.8600000000000003</v>
      </c>
      <c r="F16" s="54">
        <v>3.41</v>
      </c>
      <c r="G16" s="54">
        <v>151.61000000000001</v>
      </c>
      <c r="H16" s="54">
        <v>37.270000000000003</v>
      </c>
      <c r="I16" s="54">
        <v>1.61</v>
      </c>
      <c r="J16" s="54">
        <v>1.25</v>
      </c>
      <c r="K16" s="54">
        <v>354.13</v>
      </c>
      <c r="L16" s="54">
        <v>21.35</v>
      </c>
      <c r="M16" s="54">
        <v>89.34</v>
      </c>
      <c r="N16" s="54">
        <v>213.70</v>
      </c>
      <c r="O16" s="54">
        <v>0</v>
      </c>
      <c r="P16" s="54">
        <v>0.67</v>
      </c>
      <c r="Q16" s="54">
        <v>8.7899999999999991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35.44</v>
      </c>
      <c r="C17" s="54">
        <v>45.5</v>
      </c>
      <c r="D17" s="54">
        <v>54.17</v>
      </c>
      <c r="E17" s="54">
        <v>5.04</v>
      </c>
      <c r="F17" s="54">
        <v>3.48</v>
      </c>
      <c r="G17" s="54">
        <v>151.61000000000001</v>
      </c>
      <c r="H17" s="54">
        <v>38.08</v>
      </c>
      <c r="I17" s="54">
        <v>1.54</v>
      </c>
      <c r="J17" s="54">
        <v>1.1200000000000001</v>
      </c>
      <c r="K17" s="54">
        <v>351.10</v>
      </c>
      <c r="L17" s="54">
        <v>25.69</v>
      </c>
      <c r="M17" s="54">
        <v>71.47</v>
      </c>
      <c r="N17" s="54">
        <v>379.20</v>
      </c>
      <c r="O17" s="54">
        <v>0</v>
      </c>
      <c r="P17" s="54">
        <v>0.83</v>
      </c>
      <c r="Q17" s="54">
        <v>9.01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37.83</v>
      </c>
      <c r="C18" s="54">
        <v>47.49</v>
      </c>
      <c r="D18" s="54">
        <v>57.08</v>
      </c>
      <c r="E18" s="54">
        <v>5.15</v>
      </c>
      <c r="F18" s="54">
        <v>3.51</v>
      </c>
      <c r="G18" s="54">
        <v>171.42</v>
      </c>
      <c r="H18" s="54">
        <v>46.07</v>
      </c>
      <c r="I18" s="54">
        <v>1.49</v>
      </c>
      <c r="J18" s="54">
        <v>0.86</v>
      </c>
      <c r="K18" s="54">
        <v>340.49</v>
      </c>
      <c r="L18" s="54">
        <v>28.59</v>
      </c>
      <c r="M18" s="54">
        <v>54.07</v>
      </c>
      <c r="N18" s="54">
        <v>577.60</v>
      </c>
      <c r="O18" s="54">
        <v>0</v>
      </c>
      <c r="P18" s="54">
        <v>0.87</v>
      </c>
      <c r="Q18" s="54">
        <v>9.14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37.369999999999997</v>
      </c>
      <c r="C19" s="54">
        <v>49.06</v>
      </c>
      <c r="D19" s="54">
        <v>56.73</v>
      </c>
      <c r="E19" s="54">
        <v>5.0599999999999996</v>
      </c>
      <c r="F19" s="54">
        <v>3.70</v>
      </c>
      <c r="G19" s="54">
        <v>171.42</v>
      </c>
      <c r="H19" s="54">
        <v>46.07</v>
      </c>
      <c r="I19" s="54">
        <v>1.55</v>
      </c>
      <c r="J19" s="54">
        <v>0.85</v>
      </c>
      <c r="K19" s="54">
        <v>346.49</v>
      </c>
      <c r="L19" s="54">
        <v>30.5</v>
      </c>
      <c r="M19" s="54">
        <v>49.94</v>
      </c>
      <c r="N19" s="54">
        <v>721.90</v>
      </c>
      <c r="O19" s="54">
        <v>0</v>
      </c>
      <c r="P19" s="54">
        <v>0.87</v>
      </c>
      <c r="Q19" s="54">
        <v>9.1300000000000008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21.93</v>
      </c>
      <c r="C20" s="54">
        <v>55.87</v>
      </c>
      <c r="D20" s="54">
        <v>47.58</v>
      </c>
      <c r="E20" s="54">
        <v>5.48</v>
      </c>
      <c r="F20" s="54">
        <v>6.11</v>
      </c>
      <c r="G20" s="54">
        <v>104.89</v>
      </c>
      <c r="H20" s="54">
        <v>38.65</v>
      </c>
      <c r="I20" s="54">
        <v>1.55</v>
      </c>
      <c r="J20" s="54">
        <v>0.56000000000000005</v>
      </c>
      <c r="K20" s="54">
        <v>348.02</v>
      </c>
      <c r="L20" s="54">
        <v>31.09</v>
      </c>
      <c r="M20" s="54">
        <v>44.83</v>
      </c>
      <c r="N20" s="54">
        <v>762.70</v>
      </c>
      <c r="O20" s="54">
        <v>0</v>
      </c>
      <c r="P20" s="54">
        <v>0.81</v>
      </c>
      <c r="Q20" s="54">
        <v>8.91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4.26</v>
      </c>
      <c r="C21" s="54">
        <v>52.60</v>
      </c>
      <c r="D21" s="54">
        <v>33.090000000000003</v>
      </c>
      <c r="E21" s="54">
        <v>5.39</v>
      </c>
      <c r="F21" s="54">
        <v>11.09</v>
      </c>
      <c r="G21" s="54">
        <v>65.77</v>
      </c>
      <c r="H21" s="54">
        <v>30.34</v>
      </c>
      <c r="I21" s="54">
        <v>1.51</v>
      </c>
      <c r="J21" s="54">
        <v>1.02</v>
      </c>
      <c r="K21" s="54">
        <v>343.09</v>
      </c>
      <c r="L21" s="54">
        <v>33.36</v>
      </c>
      <c r="M21" s="54">
        <v>42.56</v>
      </c>
      <c r="N21" s="54">
        <v>766.5</v>
      </c>
      <c r="O21" s="54">
        <v>0</v>
      </c>
      <c r="P21" s="54">
        <v>0.59</v>
      </c>
      <c r="Q21" s="54">
        <v>8.2200000000000006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3.60</v>
      </c>
      <c r="C22" s="54">
        <v>48.09</v>
      </c>
      <c r="D22" s="54">
        <v>30.07</v>
      </c>
      <c r="E22" s="54">
        <v>5.0199999999999996</v>
      </c>
      <c r="F22" s="54">
        <v>4.8099999999999996</v>
      </c>
      <c r="G22" s="54">
        <v>81.459999999999994</v>
      </c>
      <c r="H22" s="54">
        <v>28.38</v>
      </c>
      <c r="I22" s="54">
        <v>1.58</v>
      </c>
      <c r="J22" s="54">
        <v>0.80</v>
      </c>
      <c r="K22" s="54">
        <v>343.88</v>
      </c>
      <c r="L22" s="54">
        <v>33.380000000000003</v>
      </c>
      <c r="M22" s="54">
        <v>35.020000000000003</v>
      </c>
      <c r="N22" s="54">
        <v>715.5</v>
      </c>
      <c r="O22" s="54">
        <v>0</v>
      </c>
      <c r="P22" s="54">
        <v>0.59</v>
      </c>
      <c r="Q22" s="54">
        <v>8.2200000000000006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3.73</v>
      </c>
      <c r="C23" s="54">
        <v>47.61</v>
      </c>
      <c r="D23" s="54">
        <v>29.91</v>
      </c>
      <c r="E23" s="54">
        <v>4.55</v>
      </c>
      <c r="F23" s="54">
        <v>4.26</v>
      </c>
      <c r="G23" s="54">
        <v>81.459999999999994</v>
      </c>
      <c r="H23" s="54">
        <v>29.72</v>
      </c>
      <c r="I23" s="54">
        <v>1.56</v>
      </c>
      <c r="J23" s="54">
        <v>0.63</v>
      </c>
      <c r="K23" s="54">
        <v>332.38</v>
      </c>
      <c r="L23" s="54">
        <v>32.53</v>
      </c>
      <c r="M23" s="54">
        <v>35.590000000000003</v>
      </c>
      <c r="N23" s="54">
        <v>633.40</v>
      </c>
      <c r="O23" s="54">
        <v>0</v>
      </c>
      <c r="P23" s="54">
        <v>0.59</v>
      </c>
      <c r="Q23" s="54">
        <v>8.42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3.74</v>
      </c>
      <c r="C24" s="54">
        <v>46.24</v>
      </c>
      <c r="D24" s="54">
        <v>29.14</v>
      </c>
      <c r="E24" s="54">
        <v>4.78</v>
      </c>
      <c r="F24" s="54">
        <v>4.7699999999999996</v>
      </c>
      <c r="G24" s="54">
        <v>41.63</v>
      </c>
      <c r="H24" s="54">
        <v>29.72</v>
      </c>
      <c r="I24" s="54">
        <v>1.53</v>
      </c>
      <c r="J24" s="54">
        <v>0.67</v>
      </c>
      <c r="K24" s="54">
        <v>338.19</v>
      </c>
      <c r="L24" s="54">
        <v>31.99</v>
      </c>
      <c r="M24" s="54">
        <v>39.11</v>
      </c>
      <c r="N24" s="54">
        <v>445.40</v>
      </c>
      <c r="O24" s="54">
        <v>0</v>
      </c>
      <c r="P24" s="54">
        <v>0.56999999999999995</v>
      </c>
      <c r="Q24" s="54">
        <v>8.4499999999999993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3.88</v>
      </c>
      <c r="C25" s="54">
        <v>41.88</v>
      </c>
      <c r="D25" s="54">
        <v>26.87</v>
      </c>
      <c r="E25" s="54">
        <v>4.6900000000000004</v>
      </c>
      <c r="F25" s="54">
        <v>4.3600000000000003</v>
      </c>
      <c r="G25" s="54">
        <v>41.63</v>
      </c>
      <c r="H25" s="54">
        <v>17.14</v>
      </c>
      <c r="I25" s="54">
        <v>1.54</v>
      </c>
      <c r="J25" s="54">
        <v>0.79</v>
      </c>
      <c r="K25" s="54">
        <v>339.32</v>
      </c>
      <c r="L25" s="54">
        <v>29.30</v>
      </c>
      <c r="M25" s="54">
        <v>41.51</v>
      </c>
      <c r="N25" s="54">
        <v>131.5</v>
      </c>
      <c r="O25" s="54">
        <v>0</v>
      </c>
      <c r="P25" s="54">
        <v>0.55000000000000004</v>
      </c>
      <c r="Q25" s="54">
        <v>8.33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4.67</v>
      </c>
      <c r="C26" s="54">
        <v>42.69</v>
      </c>
      <c r="D26" s="54">
        <v>27.95</v>
      </c>
      <c r="E26" s="54">
        <v>4.82</v>
      </c>
      <c r="F26" s="54">
        <v>4.62</v>
      </c>
      <c r="G26" s="54">
        <v>29.98</v>
      </c>
      <c r="H26" s="54">
        <v>17.14</v>
      </c>
      <c r="I26" s="54">
        <v>1.57</v>
      </c>
      <c r="J26" s="54">
        <v>0.88</v>
      </c>
      <c r="K26" s="54">
        <v>349.82</v>
      </c>
      <c r="L26" s="54">
        <v>27.42</v>
      </c>
      <c r="M26" s="54">
        <v>48.90</v>
      </c>
      <c r="N26" s="54">
        <v>66.599999999999994</v>
      </c>
      <c r="O26" s="54">
        <v>0</v>
      </c>
      <c r="P26" s="54">
        <v>0.57999999999999996</v>
      </c>
      <c r="Q26" s="54">
        <v>8.2899999999999991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9.35</v>
      </c>
      <c r="C27" s="54">
        <v>45.64</v>
      </c>
      <c r="D27" s="54">
        <v>33.33</v>
      </c>
      <c r="E27" s="54">
        <v>4.71</v>
      </c>
      <c r="F27" s="54">
        <v>3.70</v>
      </c>
      <c r="G27" s="54">
        <v>47.63</v>
      </c>
      <c r="H27" s="54">
        <v>21.52</v>
      </c>
      <c r="I27" s="54">
        <v>1.52</v>
      </c>
      <c r="J27" s="54">
        <v>0.64</v>
      </c>
      <c r="K27" s="54">
        <v>348.38</v>
      </c>
      <c r="L27" s="54">
        <v>25.37</v>
      </c>
      <c r="M27" s="54">
        <v>59.30</v>
      </c>
      <c r="N27" s="54">
        <v>25.70</v>
      </c>
      <c r="O27" s="54">
        <v>0</v>
      </c>
      <c r="P27" s="54">
        <v>0.77</v>
      </c>
      <c r="Q27" s="54">
        <v>8.35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15.68</v>
      </c>
      <c r="C28" s="54">
        <v>46.44</v>
      </c>
      <c r="D28" s="54">
        <v>38.85</v>
      </c>
      <c r="E28" s="54">
        <v>5.39</v>
      </c>
      <c r="F28" s="54">
        <v>3.71</v>
      </c>
      <c r="G28" s="54">
        <v>66.03</v>
      </c>
      <c r="H28" s="54">
        <v>23.16</v>
      </c>
      <c r="I28" s="54">
        <v>1.51</v>
      </c>
      <c r="J28" s="54">
        <v>0.23</v>
      </c>
      <c r="K28" s="54">
        <v>249.72</v>
      </c>
      <c r="L28" s="54">
        <v>24.12</v>
      </c>
      <c r="M28" s="54">
        <v>70.349999999999994</v>
      </c>
      <c r="N28" s="54">
        <v>25.40</v>
      </c>
      <c r="O28" s="54">
        <v>0</v>
      </c>
      <c r="P28" s="54">
        <v>0.92</v>
      </c>
      <c r="Q28" s="54">
        <v>8.4700000000000006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47.87</v>
      </c>
      <c r="C29" s="54">
        <v>53.69</v>
      </c>
      <c r="D29" s="54">
        <v>68.66</v>
      </c>
      <c r="E29" s="54">
        <v>5.46</v>
      </c>
      <c r="F29" s="54">
        <v>3.48</v>
      </c>
      <c r="G29" s="54">
        <v>98.68</v>
      </c>
      <c r="H29" s="54">
        <v>37.630000000000003</v>
      </c>
      <c r="I29" s="54">
        <v>1.56</v>
      </c>
      <c r="J29" s="54">
        <v>0.28000000000000003</v>
      </c>
      <c r="K29" s="54">
        <v>149.08000000000001</v>
      </c>
      <c r="L29" s="54">
        <v>22.85</v>
      </c>
      <c r="M29" s="54">
        <v>70.349999999999994</v>
      </c>
      <c r="N29" s="54">
        <v>24.90</v>
      </c>
      <c r="O29" s="54">
        <v>0</v>
      </c>
      <c r="P29" s="54">
        <v>1.42</v>
      </c>
      <c r="Q29" s="54">
        <v>8.8800000000000008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65.209999999999994</v>
      </c>
      <c r="C30" s="54">
        <v>55.77</v>
      </c>
      <c r="D30" s="54">
        <v>83.54</v>
      </c>
      <c r="E30" s="54">
        <v>5.84</v>
      </c>
      <c r="F30" s="54">
        <v>3.80</v>
      </c>
      <c r="G30" s="54">
        <v>125.16</v>
      </c>
      <c r="H30" s="54">
        <v>37.630000000000003</v>
      </c>
      <c r="I30" s="54">
        <v>1.56</v>
      </c>
      <c r="J30" s="54">
        <v>0.13</v>
      </c>
      <c r="K30" s="54">
        <v>353.60</v>
      </c>
      <c r="L30" s="54">
        <v>23.42</v>
      </c>
      <c r="M30" s="54">
        <v>75.010000000000005</v>
      </c>
      <c r="N30" s="54">
        <v>25</v>
      </c>
      <c r="O30" s="54">
        <v>0</v>
      </c>
      <c r="P30" s="54">
        <v>1.74</v>
      </c>
      <c r="Q30" s="54">
        <v>9.5399999999999991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73.09</v>
      </c>
      <c r="C31" s="54">
        <v>56.09</v>
      </c>
      <c r="D31" s="54">
        <v>89.15</v>
      </c>
      <c r="E31" s="54">
        <v>5.75</v>
      </c>
      <c r="F31" s="54">
        <v>3.68</v>
      </c>
      <c r="G31" s="54">
        <v>125.16</v>
      </c>
      <c r="H31" s="54">
        <v>44.28</v>
      </c>
      <c r="I31" s="54">
        <v>1.58</v>
      </c>
      <c r="J31" s="54">
        <v>0.14000000000000001</v>
      </c>
      <c r="K31" s="54">
        <v>338.77</v>
      </c>
      <c r="L31" s="54">
        <v>22.19</v>
      </c>
      <c r="M31" s="54">
        <v>80.02</v>
      </c>
      <c r="N31" s="54">
        <v>25</v>
      </c>
      <c r="O31" s="54">
        <v>0</v>
      </c>
      <c r="P31" s="54">
        <v>1.94</v>
      </c>
      <c r="Q31" s="54">
        <v>9.85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74</v>
      </c>
      <c r="C32" s="54">
        <v>54.14</v>
      </c>
      <c r="D32" s="54">
        <v>89.87</v>
      </c>
      <c r="E32" s="54">
        <v>5.91</v>
      </c>
      <c r="F32" s="54">
        <v>3.66</v>
      </c>
      <c r="G32" s="54">
        <v>122.55</v>
      </c>
      <c r="H32" s="54">
        <v>44.28</v>
      </c>
      <c r="I32" s="54">
        <v>1.61</v>
      </c>
      <c r="J32" s="54">
        <v>0.46</v>
      </c>
      <c r="K32" s="54">
        <v>329.98</v>
      </c>
      <c r="L32" s="54">
        <v>20.90</v>
      </c>
      <c r="M32" s="54">
        <v>78.5</v>
      </c>
      <c r="N32" s="54">
        <v>25</v>
      </c>
      <c r="O32" s="54">
        <v>0</v>
      </c>
      <c r="P32" s="54">
        <v>1.94</v>
      </c>
      <c r="Q32" s="54">
        <v>9.98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3.6000000000000001</v>
      </c>
      <c r="C34" s="28">
        <f t="shared" si="0"/>
        <v>36.710000000000001</v>
      </c>
      <c r="D34" s="28">
        <f t="shared" si="0"/>
        <v>25.379999999999999</v>
      </c>
      <c r="E34" s="28">
        <f t="shared" si="0"/>
        <v>3.5899999999999999</v>
      </c>
      <c r="F34" s="28">
        <f t="shared" si="0"/>
        <v>3.2999999999999998</v>
      </c>
      <c r="G34" s="28">
        <f t="shared" si="0"/>
        <v>28.890000000000001</v>
      </c>
      <c r="H34" s="28">
        <f t="shared" si="0"/>
        <v>11.35</v>
      </c>
      <c r="I34" s="28">
        <f t="shared" si="0"/>
        <v>1.49</v>
      </c>
      <c r="J34" s="28">
        <f t="shared" si="0"/>
        <v>0.13</v>
      </c>
      <c r="K34" s="28">
        <f t="shared" si="0"/>
        <v>102.25</v>
      </c>
      <c r="L34" s="28">
        <f t="shared" si="0"/>
        <v>17.629999999999999</v>
      </c>
      <c r="M34" s="28">
        <f t="shared" si="0"/>
        <v>35.020000000000003</v>
      </c>
      <c r="N34" s="28">
        <f t="shared" si="0"/>
        <v>24.899999999999999</v>
      </c>
      <c r="O34" s="28">
        <f t="shared" si="0"/>
        <v>0</v>
      </c>
      <c r="P34" s="28">
        <f t="shared" si="0"/>
        <v>0.40000000000000002</v>
      </c>
      <c r="Q34" s="28">
        <f t="shared" si="0"/>
        <v>8.1899999999999995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74</v>
      </c>
      <c r="C35" s="29">
        <f t="shared" si="1"/>
        <v>56.090000000000003</v>
      </c>
      <c r="D35" s="29">
        <f t="shared" si="1"/>
        <v>89.870000000000005</v>
      </c>
      <c r="E35" s="29">
        <f t="shared" si="1"/>
        <v>5.9100000000000001</v>
      </c>
      <c r="F35" s="29">
        <f t="shared" si="1"/>
        <v>11.09</v>
      </c>
      <c r="G35" s="29">
        <f t="shared" si="1"/>
        <v>171.41999999999999</v>
      </c>
      <c r="H35" s="29">
        <f t="shared" si="1"/>
        <v>46.07</v>
      </c>
      <c r="I35" s="29">
        <f t="shared" si="1"/>
        <v>1.6100000000000001</v>
      </c>
      <c r="J35" s="29">
        <f t="shared" si="1"/>
        <v>1.46</v>
      </c>
      <c r="K35" s="29">
        <f t="shared" si="1"/>
        <v>359.54000000000002</v>
      </c>
      <c r="L35" s="29">
        <f t="shared" si="1"/>
        <v>33.380000000000003</v>
      </c>
      <c r="M35" s="29">
        <f t="shared" si="1"/>
        <v>93.810000000000002</v>
      </c>
      <c r="N35" s="29">
        <f t="shared" si="1"/>
        <v>766.5</v>
      </c>
      <c r="O35" s="29">
        <f t="shared" si="1"/>
        <v>0</v>
      </c>
      <c r="P35" s="29">
        <f t="shared" si="1"/>
        <v>1.9399999999999999</v>
      </c>
      <c r="Q35" s="29">
        <f t="shared" si="1"/>
        <v>9.9800000000000004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22.134166666666662</v>
      </c>
      <c r="C36" s="28">
        <f t="shared" si="2"/>
        <v>46.556250000000006</v>
      </c>
      <c r="D36" s="28">
        <f t="shared" si="2"/>
        <v>43.858750000000008</v>
      </c>
      <c r="E36" s="28">
        <f t="shared" si="2"/>
        <v>4.8949999999999987</v>
      </c>
      <c r="F36" s="28">
        <f t="shared" si="2"/>
        <v>4.2150000000000007</v>
      </c>
      <c r="G36" s="28">
        <f t="shared" si="2"/>
        <v>84.950000000000031</v>
      </c>
      <c r="H36" s="28">
        <f t="shared" si="2"/>
        <v>27.847499999999997</v>
      </c>
      <c r="I36" s="28">
        <f t="shared" si="2"/>
        <v>1.5475000000000001</v>
      </c>
      <c r="J36" s="28">
        <f t="shared" si="2"/>
        <v>0.71666666666666679</v>
      </c>
      <c r="K36" s="28">
        <f t="shared" si="2"/>
        <v>309.08374999999995</v>
      </c>
      <c r="L36" s="28">
        <f t="shared" si="2"/>
        <v>24.655833333333334</v>
      </c>
      <c r="M36" s="28">
        <f t="shared" si="2"/>
        <v>67.174166666666665</v>
      </c>
      <c r="N36" s="28">
        <f t="shared" si="2"/>
        <v>241.68749999999997</v>
      </c>
      <c r="O36" s="28">
        <f t="shared" si="2"/>
        <v>0</v>
      </c>
      <c r="P36" s="28">
        <f t="shared" si="2"/>
        <v>0.8175</v>
      </c>
      <c r="Q36" s="28">
        <f t="shared" si="2"/>
        <v>8.6691666666666656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22.878821214060125</v>
      </c>
      <c r="C37" s="28">
        <f t="shared" si="3" ref="C37:Q37">STDEV(C9:C32)</f>
        <v>5.8139710387247314</v>
      </c>
      <c r="D37" s="28">
        <f t="shared" si="3"/>
        <v>20.464255648303713</v>
      </c>
      <c r="E37" s="28">
        <f t="shared" si="3"/>
        <v>0.59586254615729417</v>
      </c>
      <c r="F37" s="28">
        <f t="shared" si="3"/>
        <v>1.5958478733208268</v>
      </c>
      <c r="G37" s="28">
        <f t="shared" si="3"/>
        <v>47.215808793242061</v>
      </c>
      <c r="H37" s="28">
        <f t="shared" si="3"/>
        <v>11.995794281112984</v>
      </c>
      <c r="I37" s="28">
        <f t="shared" si="3"/>
        <v>0.032737427058869249</v>
      </c>
      <c r="J37" s="28">
        <f t="shared" si="3"/>
        <v>0.36204331552846059</v>
      </c>
      <c r="K37" s="28">
        <f t="shared" si="3"/>
        <v>76.592462894743448</v>
      </c>
      <c r="L37" s="28">
        <f t="shared" si="3"/>
        <v>5.5750109507918708</v>
      </c>
      <c r="M37" s="28">
        <f t="shared" si="3"/>
        <v>20.828504489649859</v>
      </c>
      <c r="N37" s="28">
        <f t="shared" si="3"/>
        <v>291.77487347864326</v>
      </c>
      <c r="O37" s="28">
        <f t="shared" si="3"/>
        <v>0</v>
      </c>
      <c r="P37" s="28">
        <f t="shared" si="3"/>
        <v>0.46319542312073841</v>
      </c>
      <c r="Q37" s="28">
        <f t="shared" si="3"/>
        <v>0.52988035291546209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23fd96-50cf-47c5-8b31-6b17399202eb}">
  <sheetPr codeName=""/>
  <dimension ref="A1:U119"/>
  <sheetViews>
    <sheetView zoomScale="85" zoomScaleNormal="85" workbookViewId="0" topLeftCell="A1">
      <selection pane="topLef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70.989999999999995</v>
      </c>
      <c r="C9" s="54">
        <v>53.36</v>
      </c>
      <c r="D9" s="54">
        <v>85.93</v>
      </c>
      <c r="E9" s="54">
        <v>5.08</v>
      </c>
      <c r="F9" s="54">
        <v>3.68</v>
      </c>
      <c r="G9" s="54">
        <v>112.63</v>
      </c>
      <c r="H9" s="54">
        <v>40.06</v>
      </c>
      <c r="I9" s="54">
        <v>1.54</v>
      </c>
      <c r="J9" s="54">
        <v>0.27</v>
      </c>
      <c r="K9" s="54">
        <v>315.83</v>
      </c>
      <c r="L9" s="54">
        <v>20.61</v>
      </c>
      <c r="M9" s="54">
        <v>83.17</v>
      </c>
      <c r="N9" s="54">
        <v>25</v>
      </c>
      <c r="O9" s="54">
        <v>0</v>
      </c>
      <c r="P9" s="54">
        <v>1.84</v>
      </c>
      <c r="Q9" s="54">
        <v>9.9499999999999993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60.16</v>
      </c>
      <c r="C10" s="54">
        <v>51.73</v>
      </c>
      <c r="D10" s="54">
        <v>77.430000000000007</v>
      </c>
      <c r="E10" s="54">
        <v>5.03</v>
      </c>
      <c r="F10" s="54">
        <v>3.24</v>
      </c>
      <c r="G10" s="54">
        <v>115.44</v>
      </c>
      <c r="H10" s="54">
        <v>40.61</v>
      </c>
      <c r="I10" s="54">
        <v>1.55</v>
      </c>
      <c r="J10" s="54">
        <v>0.28999999999999998</v>
      </c>
      <c r="K10" s="54">
        <v>358.06</v>
      </c>
      <c r="L10" s="54">
        <v>19.71</v>
      </c>
      <c r="M10" s="54">
        <v>86.89</v>
      </c>
      <c r="N10" s="54">
        <v>25.10</v>
      </c>
      <c r="O10" s="54">
        <v>0</v>
      </c>
      <c r="P10" s="54">
        <v>1.56</v>
      </c>
      <c r="Q10" s="54">
        <v>9.85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49.51</v>
      </c>
      <c r="C11" s="54">
        <v>48.02</v>
      </c>
      <c r="D11" s="54">
        <v>66.849999999999994</v>
      </c>
      <c r="E11" s="54">
        <v>4.9800000000000004</v>
      </c>
      <c r="F11" s="54">
        <v>3.31</v>
      </c>
      <c r="G11" s="54">
        <v>115.44</v>
      </c>
      <c r="H11" s="54">
        <v>42.94</v>
      </c>
      <c r="I11" s="54">
        <v>1.51</v>
      </c>
      <c r="J11" s="54">
        <v>0.28999999999999998</v>
      </c>
      <c r="K11" s="54">
        <v>97.79</v>
      </c>
      <c r="L11" s="54">
        <v>19.96</v>
      </c>
      <c r="M11" s="54">
        <v>85.36</v>
      </c>
      <c r="N11" s="54">
        <v>25.10</v>
      </c>
      <c r="O11" s="54">
        <v>0</v>
      </c>
      <c r="P11" s="54">
        <v>1.44</v>
      </c>
      <c r="Q11" s="54">
        <v>9.61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40.93</v>
      </c>
      <c r="C12" s="54">
        <v>44.85</v>
      </c>
      <c r="D12" s="54">
        <v>58.05</v>
      </c>
      <c r="E12" s="54">
        <v>5.63</v>
      </c>
      <c r="F12" s="54">
        <v>3.41</v>
      </c>
      <c r="G12" s="54">
        <v>97.94</v>
      </c>
      <c r="H12" s="54">
        <v>42.94</v>
      </c>
      <c r="I12" s="54">
        <v>1.57</v>
      </c>
      <c r="J12" s="54">
        <v>0.39</v>
      </c>
      <c r="K12" s="54">
        <v>227.11</v>
      </c>
      <c r="L12" s="54">
        <v>19.03</v>
      </c>
      <c r="M12" s="54">
        <v>83.41</v>
      </c>
      <c r="N12" s="54">
        <v>24.80</v>
      </c>
      <c r="O12" s="54">
        <v>0</v>
      </c>
      <c r="P12" s="54">
        <v>1.27</v>
      </c>
      <c r="Q12" s="54">
        <v>9.43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39.08</v>
      </c>
      <c r="C13" s="54">
        <v>45.13</v>
      </c>
      <c r="D13" s="54">
        <v>56.89</v>
      </c>
      <c r="E13" s="54">
        <v>5.94</v>
      </c>
      <c r="F13" s="54">
        <v>3.67</v>
      </c>
      <c r="G13" s="54">
        <v>99.79</v>
      </c>
      <c r="H13" s="54">
        <v>36.56</v>
      </c>
      <c r="I13" s="54">
        <v>1.56</v>
      </c>
      <c r="J13" s="54">
        <v>0.15</v>
      </c>
      <c r="K13" s="54">
        <v>349.97</v>
      </c>
      <c r="L13" s="54">
        <v>18.13</v>
      </c>
      <c r="M13" s="54">
        <v>92.82</v>
      </c>
      <c r="N13" s="54">
        <v>25.20</v>
      </c>
      <c r="O13" s="54">
        <v>0</v>
      </c>
      <c r="P13" s="54">
        <v>1.18</v>
      </c>
      <c r="Q13" s="54">
        <v>9.39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38.58</v>
      </c>
      <c r="C14" s="54">
        <v>45.64</v>
      </c>
      <c r="D14" s="54">
        <v>56.77</v>
      </c>
      <c r="E14" s="54">
        <v>6.15</v>
      </c>
      <c r="F14" s="54">
        <v>3.69</v>
      </c>
      <c r="G14" s="54">
        <v>99.79</v>
      </c>
      <c r="H14" s="54">
        <v>36.56</v>
      </c>
      <c r="I14" s="54">
        <v>1.61</v>
      </c>
      <c r="J14" s="54">
        <v>0.21</v>
      </c>
      <c r="K14" s="54">
        <v>320.04000000000002</v>
      </c>
      <c r="L14" s="54">
        <v>17.920000000000002</v>
      </c>
      <c r="M14" s="54">
        <v>95.21</v>
      </c>
      <c r="N14" s="54">
        <v>25</v>
      </c>
      <c r="O14" s="54">
        <v>0</v>
      </c>
      <c r="P14" s="54">
        <v>1.1100000000000001</v>
      </c>
      <c r="Q14" s="54">
        <v>9.36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34.54</v>
      </c>
      <c r="C15" s="54">
        <v>47.07</v>
      </c>
      <c r="D15" s="54">
        <v>53.14</v>
      </c>
      <c r="E15" s="54">
        <v>6.07</v>
      </c>
      <c r="F15" s="54">
        <v>3.39</v>
      </c>
      <c r="G15" s="54">
        <v>73.62</v>
      </c>
      <c r="H15" s="54">
        <v>28.02</v>
      </c>
      <c r="I15" s="54">
        <v>1.53</v>
      </c>
      <c r="J15" s="54">
        <v>0.65</v>
      </c>
      <c r="K15" s="54">
        <v>351.65</v>
      </c>
      <c r="L15" s="54">
        <v>18.62</v>
      </c>
      <c r="M15" s="54">
        <v>84.38</v>
      </c>
      <c r="N15" s="54">
        <v>85.80</v>
      </c>
      <c r="O15" s="54">
        <v>0</v>
      </c>
      <c r="P15" s="54">
        <v>0.98</v>
      </c>
      <c r="Q15" s="54">
        <v>9.25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33.15</v>
      </c>
      <c r="C16" s="54">
        <v>50.43</v>
      </c>
      <c r="D16" s="54">
        <v>53.90</v>
      </c>
      <c r="E16" s="54">
        <v>5.90</v>
      </c>
      <c r="F16" s="54">
        <v>3.49</v>
      </c>
      <c r="G16" s="54">
        <v>65.31</v>
      </c>
      <c r="H16" s="54">
        <v>25.73</v>
      </c>
      <c r="I16" s="54">
        <v>1.49</v>
      </c>
      <c r="J16" s="54">
        <v>1.38</v>
      </c>
      <c r="K16" s="54">
        <v>352.77</v>
      </c>
      <c r="L16" s="54">
        <v>23.49</v>
      </c>
      <c r="M16" s="54">
        <v>70.260000000000005</v>
      </c>
      <c r="N16" s="54">
        <v>313.89999999999998</v>
      </c>
      <c r="O16" s="54">
        <v>0</v>
      </c>
      <c r="P16" s="54">
        <v>0.94</v>
      </c>
      <c r="Q16" s="54">
        <v>9.27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27.44</v>
      </c>
      <c r="C17" s="54">
        <v>54.13</v>
      </c>
      <c r="D17" s="54">
        <v>51.06</v>
      </c>
      <c r="E17" s="54">
        <v>4.91</v>
      </c>
      <c r="F17" s="54">
        <v>3.72</v>
      </c>
      <c r="G17" s="54">
        <v>65.25</v>
      </c>
      <c r="H17" s="54">
        <v>25.16</v>
      </c>
      <c r="I17" s="54">
        <v>1.51</v>
      </c>
      <c r="J17" s="54">
        <v>1.56</v>
      </c>
      <c r="K17" s="54">
        <v>353.35</v>
      </c>
      <c r="L17" s="54">
        <v>26.62</v>
      </c>
      <c r="M17" s="54">
        <v>51.72</v>
      </c>
      <c r="N17" s="54">
        <v>536</v>
      </c>
      <c r="O17" s="54">
        <v>0</v>
      </c>
      <c r="P17" s="54">
        <v>0.83</v>
      </c>
      <c r="Q17" s="54">
        <v>9.15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22.10</v>
      </c>
      <c r="C18" s="54">
        <v>56.41</v>
      </c>
      <c r="D18" s="54">
        <v>47.99</v>
      </c>
      <c r="E18" s="54">
        <v>5.07</v>
      </c>
      <c r="F18" s="54">
        <v>3.70</v>
      </c>
      <c r="G18" s="54">
        <v>65.25</v>
      </c>
      <c r="H18" s="54">
        <v>36.82</v>
      </c>
      <c r="I18" s="54">
        <v>1.54</v>
      </c>
      <c r="J18" s="54">
        <v>0.95</v>
      </c>
      <c r="K18" s="54">
        <v>359.40</v>
      </c>
      <c r="L18" s="54">
        <v>28.10</v>
      </c>
      <c r="M18" s="54">
        <v>46.93</v>
      </c>
      <c r="N18" s="54">
        <v>750.90</v>
      </c>
      <c r="O18" s="54">
        <v>0</v>
      </c>
      <c r="P18" s="54">
        <v>0.75</v>
      </c>
      <c r="Q18" s="54">
        <v>9.08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15.91</v>
      </c>
      <c r="C19" s="54">
        <v>62.73</v>
      </c>
      <c r="D19" s="54">
        <v>44.67</v>
      </c>
      <c r="E19" s="54">
        <v>5</v>
      </c>
      <c r="F19" s="54">
        <v>4.68</v>
      </c>
      <c r="G19" s="54">
        <v>62.26</v>
      </c>
      <c r="H19" s="54">
        <v>36.82</v>
      </c>
      <c r="I19" s="54">
        <v>1.51</v>
      </c>
      <c r="J19" s="54">
        <v>0.90</v>
      </c>
      <c r="K19" s="54">
        <v>357.79</v>
      </c>
      <c r="L19" s="54">
        <v>32.28</v>
      </c>
      <c r="M19" s="54">
        <v>40.119999999999997</v>
      </c>
      <c r="N19" s="54">
        <v>835.60</v>
      </c>
      <c r="O19" s="54">
        <v>0</v>
      </c>
      <c r="P19" s="54">
        <v>0.67</v>
      </c>
      <c r="Q19" s="54">
        <v>8.98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9.18</v>
      </c>
      <c r="C20" s="54">
        <v>61.63</v>
      </c>
      <c r="D20" s="54">
        <v>42.02</v>
      </c>
      <c r="E20" s="54">
        <v>4.76</v>
      </c>
      <c r="F20" s="54">
        <v>4.41</v>
      </c>
      <c r="G20" s="54">
        <v>51.10</v>
      </c>
      <c r="H20" s="54">
        <v>26.33</v>
      </c>
      <c r="I20" s="54">
        <v>1.53</v>
      </c>
      <c r="J20" s="54">
        <v>1.01</v>
      </c>
      <c r="K20" s="54">
        <v>357.93</v>
      </c>
      <c r="L20" s="54">
        <v>31.64</v>
      </c>
      <c r="M20" s="54">
        <v>34.99</v>
      </c>
      <c r="N20" s="54">
        <v>872.20</v>
      </c>
      <c r="O20" s="54">
        <v>0</v>
      </c>
      <c r="P20" s="54">
        <v>0.56999999999999995</v>
      </c>
      <c r="Q20" s="54">
        <v>8.6300000000000008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6.10</v>
      </c>
      <c r="C21" s="54">
        <v>57.05</v>
      </c>
      <c r="D21" s="54">
        <v>37.020000000000003</v>
      </c>
      <c r="E21" s="54">
        <v>4.83</v>
      </c>
      <c r="F21" s="54">
        <v>4.51</v>
      </c>
      <c r="G21" s="54">
        <v>51.10</v>
      </c>
      <c r="H21" s="54">
        <v>25.48</v>
      </c>
      <c r="I21" s="54">
        <v>1.57</v>
      </c>
      <c r="J21" s="54">
        <v>1.25</v>
      </c>
      <c r="K21" s="54">
        <v>359.59</v>
      </c>
      <c r="L21" s="54">
        <v>33.79</v>
      </c>
      <c r="M21" s="54">
        <v>31.24</v>
      </c>
      <c r="N21" s="54">
        <v>831.40</v>
      </c>
      <c r="O21" s="54">
        <v>0</v>
      </c>
      <c r="P21" s="54">
        <v>0.5</v>
      </c>
      <c r="Q21" s="54">
        <v>8.6199999999999992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5.74</v>
      </c>
      <c r="C22" s="54">
        <v>55.68</v>
      </c>
      <c r="D22" s="54">
        <v>33.25</v>
      </c>
      <c r="E22" s="54">
        <v>7.60</v>
      </c>
      <c r="F22" s="54">
        <v>14.46</v>
      </c>
      <c r="G22" s="54">
        <v>46.71</v>
      </c>
      <c r="H22" s="54">
        <v>21.87</v>
      </c>
      <c r="I22" s="54">
        <v>1.52</v>
      </c>
      <c r="J22" s="54">
        <v>0.49</v>
      </c>
      <c r="K22" s="54">
        <v>357.86</v>
      </c>
      <c r="L22" s="54">
        <v>33.44</v>
      </c>
      <c r="M22" s="54">
        <v>28.87</v>
      </c>
      <c r="N22" s="54">
        <v>753.90</v>
      </c>
      <c r="O22" s="54">
        <v>0</v>
      </c>
      <c r="P22" s="54">
        <v>0.44</v>
      </c>
      <c r="Q22" s="54">
        <v>8.65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2.39</v>
      </c>
      <c r="C23" s="54">
        <v>62.91</v>
      </c>
      <c r="D23" s="54">
        <v>37.28</v>
      </c>
      <c r="E23" s="54">
        <v>4.78</v>
      </c>
      <c r="F23" s="54">
        <v>8.83</v>
      </c>
      <c r="G23" s="54">
        <v>39.659999999999997</v>
      </c>
      <c r="H23" s="54">
        <v>20.440000000000001</v>
      </c>
      <c r="I23" s="54">
        <v>1.5</v>
      </c>
      <c r="J23" s="54">
        <v>1.1399999999999999</v>
      </c>
      <c r="K23" s="54">
        <v>342.12</v>
      </c>
      <c r="L23" s="54">
        <v>33.479999999999997</v>
      </c>
      <c r="M23" s="54">
        <v>24.42</v>
      </c>
      <c r="N23" s="54">
        <v>605.90</v>
      </c>
      <c r="O23" s="54">
        <v>0</v>
      </c>
      <c r="P23" s="54">
        <v>0.42</v>
      </c>
      <c r="Q23" s="54">
        <v>8.5299999999999994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2.5499999999999998</v>
      </c>
      <c r="C24" s="54">
        <v>58.99</v>
      </c>
      <c r="D24" s="54">
        <v>34.630000000000003</v>
      </c>
      <c r="E24" s="54">
        <v>4.68</v>
      </c>
      <c r="F24" s="54">
        <v>7.69</v>
      </c>
      <c r="G24" s="54">
        <v>47.29</v>
      </c>
      <c r="H24" s="54">
        <v>20.440000000000001</v>
      </c>
      <c r="I24" s="54">
        <v>1.55</v>
      </c>
      <c r="J24" s="54">
        <v>0.84</v>
      </c>
      <c r="K24" s="54">
        <v>336.18</v>
      </c>
      <c r="L24" s="54">
        <v>31.49</v>
      </c>
      <c r="M24" s="54">
        <v>24.01</v>
      </c>
      <c r="N24" s="54">
        <v>439.70</v>
      </c>
      <c r="O24" s="54">
        <v>0</v>
      </c>
      <c r="P24" s="54">
        <v>0.41</v>
      </c>
      <c r="Q24" s="54">
        <v>8.66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5.62</v>
      </c>
      <c r="C25" s="54">
        <v>60.24</v>
      </c>
      <c r="D25" s="54">
        <v>38.40</v>
      </c>
      <c r="E25" s="54">
        <v>4.1900000000000004</v>
      </c>
      <c r="F25" s="54">
        <v>4.33</v>
      </c>
      <c r="G25" s="54">
        <v>47.29</v>
      </c>
      <c r="H25" s="54">
        <v>20.84</v>
      </c>
      <c r="I25" s="54">
        <v>1.5</v>
      </c>
      <c r="J25" s="54">
        <v>0.84</v>
      </c>
      <c r="K25" s="54">
        <v>350.83</v>
      </c>
      <c r="L25" s="54">
        <v>30.15</v>
      </c>
      <c r="M25" s="54">
        <v>23.55</v>
      </c>
      <c r="N25" s="54">
        <v>124.70</v>
      </c>
      <c r="O25" s="54">
        <v>0</v>
      </c>
      <c r="P25" s="54">
        <v>0.41</v>
      </c>
      <c r="Q25" s="54">
        <v>8.84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8.8699999999999992</v>
      </c>
      <c r="C26" s="54">
        <v>59.51</v>
      </c>
      <c r="D26" s="54">
        <v>39.520000000000003</v>
      </c>
      <c r="E26" s="54">
        <v>4.03</v>
      </c>
      <c r="F26" s="54">
        <v>3.69</v>
      </c>
      <c r="G26" s="54">
        <v>54.37</v>
      </c>
      <c r="H26" s="54">
        <v>20.84</v>
      </c>
      <c r="I26" s="54">
        <v>1.60</v>
      </c>
      <c r="J26" s="54">
        <v>0.63</v>
      </c>
      <c r="K26" s="54">
        <v>346.94</v>
      </c>
      <c r="L26" s="54">
        <v>28.42</v>
      </c>
      <c r="M26" s="54">
        <v>27.30</v>
      </c>
      <c r="N26" s="54">
        <v>83.5</v>
      </c>
      <c r="O26" s="54">
        <v>0</v>
      </c>
      <c r="P26" s="54">
        <v>0.46</v>
      </c>
      <c r="Q26" s="54">
        <v>9.06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18.27</v>
      </c>
      <c r="C27" s="54">
        <v>61.74</v>
      </c>
      <c r="D27" s="54">
        <v>49.37</v>
      </c>
      <c r="E27" s="54">
        <v>4.30</v>
      </c>
      <c r="F27" s="54">
        <v>3.52</v>
      </c>
      <c r="G27" s="54">
        <v>54.37</v>
      </c>
      <c r="H27" s="54">
        <v>19.38</v>
      </c>
      <c r="I27" s="54">
        <v>1.55</v>
      </c>
      <c r="J27" s="54">
        <v>0.23</v>
      </c>
      <c r="K27" s="54">
        <v>270.83999999999997</v>
      </c>
      <c r="L27" s="54">
        <v>25.5</v>
      </c>
      <c r="M27" s="54">
        <v>46.44</v>
      </c>
      <c r="N27" s="54">
        <v>45.60</v>
      </c>
      <c r="O27" s="54">
        <v>0</v>
      </c>
      <c r="P27" s="54">
        <v>0.56000000000000005</v>
      </c>
      <c r="Q27" s="54">
        <v>9.25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42.75</v>
      </c>
      <c r="C28" s="54">
        <v>70.39</v>
      </c>
      <c r="D28" s="54">
        <v>73.77</v>
      </c>
      <c r="E28" s="54">
        <v>4.54</v>
      </c>
      <c r="F28" s="54">
        <v>3.43</v>
      </c>
      <c r="G28" s="54">
        <v>78.19</v>
      </c>
      <c r="H28" s="54">
        <v>29.29</v>
      </c>
      <c r="I28" s="54">
        <v>1.60</v>
      </c>
      <c r="J28" s="54">
        <v>0.45</v>
      </c>
      <c r="K28" s="54">
        <v>93.99</v>
      </c>
      <c r="L28" s="54">
        <v>24.86</v>
      </c>
      <c r="M28" s="54">
        <v>45.41</v>
      </c>
      <c r="N28" s="54">
        <v>46.30</v>
      </c>
      <c r="O28" s="54">
        <v>0</v>
      </c>
      <c r="P28" s="54">
        <v>0.86</v>
      </c>
      <c r="Q28" s="54">
        <v>9.84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41.03</v>
      </c>
      <c r="C29" s="54">
        <v>70.540000000000006</v>
      </c>
      <c r="D29" s="54">
        <v>72.209999999999994</v>
      </c>
      <c r="E29" s="54">
        <v>4.37</v>
      </c>
      <c r="F29" s="54">
        <v>3.31</v>
      </c>
      <c r="G29" s="54">
        <v>81.59</v>
      </c>
      <c r="H29" s="54">
        <v>32.03</v>
      </c>
      <c r="I29" s="54">
        <v>1.53</v>
      </c>
      <c r="J29" s="54">
        <v>0.68</v>
      </c>
      <c r="K29" s="54">
        <v>214.73</v>
      </c>
      <c r="L29" s="54">
        <v>24.70</v>
      </c>
      <c r="M29" s="54">
        <v>38.11</v>
      </c>
      <c r="N29" s="54">
        <v>46.40</v>
      </c>
      <c r="O29" s="54">
        <v>0</v>
      </c>
      <c r="P29" s="54">
        <v>0.89</v>
      </c>
      <c r="Q29" s="54">
        <v>9.9700000000000006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34.380000000000003</v>
      </c>
      <c r="C30" s="54">
        <v>69.11</v>
      </c>
      <c r="D30" s="54">
        <v>66.349999999999994</v>
      </c>
      <c r="E30" s="54">
        <v>4.07</v>
      </c>
      <c r="F30" s="54">
        <v>3.60</v>
      </c>
      <c r="G30" s="54">
        <v>81.59</v>
      </c>
      <c r="H30" s="54">
        <v>32.03</v>
      </c>
      <c r="I30" s="54">
        <v>1.56</v>
      </c>
      <c r="J30" s="54">
        <v>1.20</v>
      </c>
      <c r="K30" s="54">
        <v>99.98</v>
      </c>
      <c r="L30" s="54">
        <v>24.48</v>
      </c>
      <c r="M30" s="54">
        <v>40.08</v>
      </c>
      <c r="N30" s="54">
        <v>47.30</v>
      </c>
      <c r="O30" s="54">
        <v>0</v>
      </c>
      <c r="P30" s="54">
        <v>0.91</v>
      </c>
      <c r="Q30" s="54">
        <v>9.83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34.42</v>
      </c>
      <c r="C31" s="54">
        <v>62.41</v>
      </c>
      <c r="D31" s="54">
        <v>61.54</v>
      </c>
      <c r="E31" s="54">
        <v>3.84</v>
      </c>
      <c r="F31" s="54">
        <v>3.35</v>
      </c>
      <c r="G31" s="54">
        <v>77.58</v>
      </c>
      <c r="H31" s="54">
        <v>27.63</v>
      </c>
      <c r="I31" s="54">
        <v>1.53</v>
      </c>
      <c r="J31" s="54">
        <v>0.30</v>
      </c>
      <c r="K31" s="54">
        <v>79.16</v>
      </c>
      <c r="L31" s="54">
        <v>22.61</v>
      </c>
      <c r="M31" s="54">
        <v>43.13</v>
      </c>
      <c r="N31" s="54">
        <v>47.30</v>
      </c>
      <c r="O31" s="54">
        <v>0</v>
      </c>
      <c r="P31" s="54">
        <v>0.94</v>
      </c>
      <c r="Q31" s="54">
        <v>9.84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34.03</v>
      </c>
      <c r="C32" s="54">
        <v>58.13</v>
      </c>
      <c r="D32" s="54">
        <v>60.02</v>
      </c>
      <c r="E32" s="54">
        <v>4</v>
      </c>
      <c r="F32" s="54">
        <v>3.29</v>
      </c>
      <c r="G32" s="54">
        <v>77.58</v>
      </c>
      <c r="H32" s="54">
        <v>27.27</v>
      </c>
      <c r="I32" s="54">
        <v>1.49</v>
      </c>
      <c r="J32" s="54">
        <v>0.28000000000000003</v>
      </c>
      <c r="K32" s="54">
        <v>69.09</v>
      </c>
      <c r="L32" s="54">
        <v>22.46</v>
      </c>
      <c r="M32" s="54">
        <v>39.18</v>
      </c>
      <c r="N32" s="54">
        <v>47.30</v>
      </c>
      <c r="O32" s="54">
        <v>0</v>
      </c>
      <c r="P32" s="54">
        <v>0.91</v>
      </c>
      <c r="Q32" s="54">
        <v>9.86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44.850000000000001</v>
      </c>
      <c r="D34" s="28">
        <f t="shared" si="0"/>
        <v>33.25</v>
      </c>
      <c r="E34" s="28">
        <f t="shared" si="0"/>
        <v>3.8399999999999999</v>
      </c>
      <c r="F34" s="28">
        <f t="shared" si="0"/>
        <v>3.2400000000000002</v>
      </c>
      <c r="G34" s="28">
        <f t="shared" si="0"/>
        <v>39.659999999999997</v>
      </c>
      <c r="H34" s="28">
        <f t="shared" si="0"/>
        <v>19.379999999999999</v>
      </c>
      <c r="I34" s="28">
        <f t="shared" si="0"/>
        <v>1.49</v>
      </c>
      <c r="J34" s="28">
        <f t="shared" si="0"/>
        <v>0.14999999999999999</v>
      </c>
      <c r="K34" s="28">
        <f t="shared" si="0"/>
        <v>69.090000000000003</v>
      </c>
      <c r="L34" s="28">
        <f t="shared" si="0"/>
        <v>17.920000000000002</v>
      </c>
      <c r="M34" s="28">
        <f t="shared" si="0"/>
        <v>23.550000000000001</v>
      </c>
      <c r="N34" s="28">
        <f t="shared" si="0"/>
        <v>24.800000000000001</v>
      </c>
      <c r="O34" s="28">
        <f t="shared" si="0"/>
        <v>0</v>
      </c>
      <c r="P34" s="28">
        <f t="shared" si="0"/>
        <v>0.40999999999999998</v>
      </c>
      <c r="Q34" s="28">
        <f t="shared" si="0"/>
        <v>8.5299999999999994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70.989999999999995</v>
      </c>
      <c r="C35" s="29">
        <f t="shared" si="1"/>
        <v>70.540000000000006</v>
      </c>
      <c r="D35" s="29">
        <f t="shared" si="1"/>
        <v>85.930000000000007</v>
      </c>
      <c r="E35" s="29">
        <f t="shared" si="1"/>
        <v>7.5999999999999996</v>
      </c>
      <c r="F35" s="29">
        <f t="shared" si="1"/>
        <v>14.460000000000001</v>
      </c>
      <c r="G35" s="29">
        <f t="shared" si="1"/>
        <v>115.44</v>
      </c>
      <c r="H35" s="29">
        <f t="shared" si="1"/>
        <v>42.939999999999998</v>
      </c>
      <c r="I35" s="29">
        <f t="shared" si="1"/>
        <v>1.6100000000000001</v>
      </c>
      <c r="J35" s="29">
        <f t="shared" si="1"/>
        <v>1.5600000000000001</v>
      </c>
      <c r="K35" s="29">
        <f t="shared" si="1"/>
        <v>359.58999999999997</v>
      </c>
      <c r="L35" s="29">
        <f t="shared" si="1"/>
        <v>33.789999999999999</v>
      </c>
      <c r="M35" s="29">
        <f t="shared" si="1"/>
        <v>95.209999999999994</v>
      </c>
      <c r="N35" s="29">
        <f t="shared" si="1"/>
        <v>872.20000000000005</v>
      </c>
      <c r="O35" s="29">
        <f t="shared" si="1"/>
        <v>0</v>
      </c>
      <c r="P35" s="29">
        <f t="shared" si="1"/>
        <v>1.8400000000000001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28.23833333333333</v>
      </c>
      <c r="C36" s="28">
        <f t="shared" si="2"/>
        <v>56.992916666666666</v>
      </c>
      <c r="D36" s="28">
        <f t="shared" si="2"/>
        <v>54.085833333333319</v>
      </c>
      <c r="E36" s="28">
        <f t="shared" si="2"/>
        <v>4.989583333333333</v>
      </c>
      <c r="F36" s="28">
        <f t="shared" si="2"/>
        <v>4.5166666666666666</v>
      </c>
      <c r="G36" s="28">
        <f t="shared" si="2"/>
        <v>73.380833333333314</v>
      </c>
      <c r="H36" s="28">
        <f t="shared" si="2"/>
        <v>29.837083333333329</v>
      </c>
      <c r="I36" s="28">
        <f t="shared" si="2"/>
        <v>1.5395833333333337</v>
      </c>
      <c r="J36" s="28">
        <f t="shared" si="2"/>
        <v>0.68250000000000011</v>
      </c>
      <c r="K36" s="28">
        <f t="shared" si="2"/>
        <v>280.12499999999994</v>
      </c>
      <c r="L36" s="28">
        <f t="shared" si="2"/>
        <v>25.478750000000005</v>
      </c>
      <c r="M36" s="28">
        <f t="shared" si="2"/>
        <v>52.791666666666664</v>
      </c>
      <c r="N36" s="28">
        <f t="shared" si="2"/>
        <v>277.66249999999997</v>
      </c>
      <c r="O36" s="28">
        <f t="shared" si="2"/>
        <v>0</v>
      </c>
      <c r="P36" s="28">
        <f t="shared" si="2"/>
        <v>0.86875000000000002</v>
      </c>
      <c r="Q36" s="28">
        <f t="shared" si="2"/>
        <v>9.2875000000000014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18.761894700525943</v>
      </c>
      <c r="C37" s="28">
        <f t="shared" si="3" ref="C37:Q37">STDEV(C9:C32)</f>
        <v>7.6997303618327031</v>
      </c>
      <c r="D37" s="28">
        <f t="shared" si="3"/>
        <v>14.533503397821665</v>
      </c>
      <c r="E37" s="28">
        <f t="shared" si="3"/>
        <v>0.87176222908426559</v>
      </c>
      <c r="F37" s="28">
        <f t="shared" si="3"/>
        <v>2.5166690661280446</v>
      </c>
      <c r="G37" s="28">
        <f t="shared" si="3"/>
        <v>23.327847683321203</v>
      </c>
      <c r="H37" s="28">
        <f t="shared" si="3"/>
        <v>7.6836684395154817</v>
      </c>
      <c r="I37" s="28">
        <f t="shared" si="3"/>
        <v>0.034068877377998581</v>
      </c>
      <c r="J37" s="28">
        <f t="shared" si="3"/>
        <v>0.41755239192225907</v>
      </c>
      <c r="K37" s="28">
        <f t="shared" si="3"/>
        <v>108.18506342294268</v>
      </c>
      <c r="L37" s="28">
        <f t="shared" si="3"/>
        <v>5.3810006443766909</v>
      </c>
      <c r="M37" s="28">
        <f t="shared" si="3"/>
        <v>24.870793359256538</v>
      </c>
      <c r="N37" s="28">
        <f t="shared" si="3"/>
        <v>324.7138617473384</v>
      </c>
      <c r="O37" s="28">
        <f t="shared" si="3"/>
        <v>0</v>
      </c>
      <c r="P37" s="28">
        <f t="shared" si="3"/>
        <v>0.38667267923861026</v>
      </c>
      <c r="Q37" s="28">
        <f t="shared" si="3"/>
        <v>0.47809631556464344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77b7ff-afa2-45cb-89aa-7300d623e3fc}">
  <sheetPr codeName=""/>
  <dimension ref="A1:X53"/>
  <sheetViews>
    <sheetView tabSelected="1"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E53" sqref="E53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01-02-2024 01:00</v>
      </c>
      <c r="B9" s="24">
        <f>'01'!B36</f>
        <v>29.915416666666669</v>
      </c>
      <c r="C9" s="24">
        <f>'01'!C36</f>
        <v>61.4925</v>
      </c>
      <c r="D9" s="24">
        <f>'01'!D36</f>
        <v>57.983333333333327</v>
      </c>
      <c r="E9" s="24">
        <f>'01'!E36</f>
        <v>0.29833333333333334</v>
      </c>
      <c r="F9" s="24">
        <f>'01'!F36</f>
        <v>3.6616666666666666</v>
      </c>
      <c r="G9" s="24">
        <f>'01'!G36</f>
        <v>117.15250000000002</v>
      </c>
      <c r="H9" s="24">
        <f>'01'!H36</f>
        <v>48.345833333333324</v>
      </c>
      <c r="I9" s="24">
        <f>'01'!I36</f>
        <v>1.5483333333333331</v>
      </c>
      <c r="J9" s="24">
        <f>'01'!J36</f>
        <v>0.4120833333333333</v>
      </c>
      <c r="K9" s="24">
        <f>'01'!K36</f>
        <v>314.56708333333336</v>
      </c>
      <c r="L9" s="24">
        <f>'01'!L36</f>
        <v>21.912916666666664</v>
      </c>
      <c r="M9" s="24">
        <f>'01'!M36</f>
        <v>71.620833333333309</v>
      </c>
      <c r="N9" s="24">
        <f>'01'!N36</f>
        <v>219.76666666666668</v>
      </c>
      <c r="O9" s="24">
        <f>'01'!O36</f>
        <v>0</v>
      </c>
      <c r="P9" s="30">
        <f>'01'!$P$36</f>
        <v>1.1466666666666667</v>
      </c>
      <c r="Q9" s="24">
        <f>'01'!Q36</f>
        <v>8.9558333333333326</v>
      </c>
      <c r="R9" s="45"/>
      <c r="S9" s="45"/>
      <c r="T9" s="45"/>
      <c r="U9" s="46"/>
    </row>
    <row r="10" spans="1:21" s="34" customFormat="1" ht="15">
      <c r="A10" s="36" t="str">
        <f>'02'!$B$2</f>
        <v>02-02-2024 01:00</v>
      </c>
      <c r="B10" s="33">
        <f>'02'!B36</f>
        <v>36.150833333333345</v>
      </c>
      <c r="C10" s="33">
        <f>'02'!C36</f>
        <v>59.514583333333327</v>
      </c>
      <c r="D10" s="33">
        <f>'02'!D36</f>
        <v>61.825416666666676</v>
      </c>
      <c r="E10" s="33">
        <f>'02'!E36</f>
        <v>0.27083333333333331</v>
      </c>
      <c r="F10" s="33">
        <f>'02'!F36</f>
        <v>3.5762499999999999</v>
      </c>
      <c r="G10" s="33">
        <f>'02'!G36</f>
        <v>95.562083333333305</v>
      </c>
      <c r="H10" s="33">
        <f>'02'!H36</f>
        <v>39.087083333333339</v>
      </c>
      <c r="I10" s="33">
        <f>'02'!I36</f>
        <v>1.5479166666666668</v>
      </c>
      <c r="J10" s="33">
        <f>'02'!J36</f>
        <v>0.55624999999999991</v>
      </c>
      <c r="K10" s="33">
        <f>'02'!K36</f>
        <v>288.83375000000001</v>
      </c>
      <c r="L10" s="33">
        <f>'02'!L36</f>
        <v>21.442499999999999</v>
      </c>
      <c r="M10" s="33">
        <f>'02'!M36</f>
        <v>79.160416666666663</v>
      </c>
      <c r="N10" s="33">
        <f>'02'!N36</f>
        <v>197.59583333333333</v>
      </c>
      <c r="O10" s="33">
        <f>'02'!O36</f>
        <v>0</v>
      </c>
      <c r="P10" s="30">
        <f>'02'!$P$36</f>
        <v>1.0466666666666664</v>
      </c>
      <c r="Q10" s="33">
        <f>'02'!Q36</f>
        <v>9.7962500000000006</v>
      </c>
      <c r="R10" s="47"/>
      <c r="S10" s="47"/>
      <c r="T10" s="47"/>
      <c r="U10" s="47"/>
    </row>
    <row r="11" spans="1:21" s="34" customFormat="1" ht="15">
      <c r="A11" s="36" t="str">
        <f>'03'!$B$2</f>
        <v>03-02-2024 01:00</v>
      </c>
      <c r="B11" s="33">
        <f>'03'!B36</f>
        <v>50.599583333333328</v>
      </c>
      <c r="C11" s="33">
        <f>'03'!C36</f>
        <v>62.802916666666675</v>
      </c>
      <c r="D11" s="33">
        <f>'03'!D36</f>
        <v>75.337500000000006</v>
      </c>
      <c r="E11" s="33">
        <f>'03'!E36</f>
        <v>0.3183333333333333</v>
      </c>
      <c r="F11" s="33">
        <f>'03'!F36</f>
        <v>3.7483333333333335</v>
      </c>
      <c r="G11" s="33">
        <f>'03'!G36</f>
        <v>113.54043478260868</v>
      </c>
      <c r="H11" s="33">
        <f>'03'!H36</f>
        <v>39.207391304347816</v>
      </c>
      <c r="I11" s="33">
        <f>'03'!I36</f>
        <v>1.5445833333333336</v>
      </c>
      <c r="J11" s="33">
        <f>'03'!J36</f>
        <v>0.47833333333333344</v>
      </c>
      <c r="K11" s="33">
        <f>'03'!K36</f>
        <v>305.02958333333328</v>
      </c>
      <c r="L11" s="33">
        <f>'03'!L36</f>
        <v>21.491666666666671</v>
      </c>
      <c r="M11" s="33">
        <f>'03'!M36</f>
        <v>59.169999999999995</v>
      </c>
      <c r="N11" s="33">
        <f>'03'!N36</f>
        <v>277.11249999999995</v>
      </c>
      <c r="O11" s="33">
        <f>'03'!O36</f>
        <v>0</v>
      </c>
      <c r="P11" s="30">
        <f>'03'!$P$36</f>
        <v>1.041818181818182</v>
      </c>
      <c r="Q11" s="33">
        <f>'03'!Q36</f>
        <v>10.398749999999998</v>
      </c>
      <c r="R11" s="47"/>
      <c r="S11" s="47"/>
      <c r="T11" s="47"/>
      <c r="U11" s="47"/>
    </row>
    <row r="12" spans="1:21" s="34" customFormat="1" ht="15">
      <c r="A12" s="36" t="str">
        <f>'04'!$B$2</f>
        <v>04-02-2024 01:00</v>
      </c>
      <c r="B12" s="33">
        <f>'04'!B36</f>
        <v>96.447499999999977</v>
      </c>
      <c r="C12" s="33">
        <f>'04'!C36</f>
        <v>66.275416666666672</v>
      </c>
      <c r="D12" s="33">
        <f>'04'!D36</f>
        <v>114.21083333333335</v>
      </c>
      <c r="E12" s="33">
        <f>'04'!E36</f>
        <v>0.32166666666666671</v>
      </c>
      <c r="F12" s="33">
        <f>'04'!F36</f>
        <v>3.4420833333333332</v>
      </c>
      <c r="G12" s="33">
        <f>'04'!G36</f>
        <v>120.265</v>
      </c>
      <c r="H12" s="33">
        <f>'04'!H36</f>
        <v>42.03875</v>
      </c>
      <c r="I12" s="33">
        <f>'04'!I36</f>
        <v>1.5391666666666668</v>
      </c>
      <c r="J12" s="33">
        <f>'04'!J36</f>
        <v>0.30125000000000007</v>
      </c>
      <c r="K12" s="33">
        <f>'04'!K36</f>
        <v>294.64499999999992</v>
      </c>
      <c r="L12" s="33">
        <f>'04'!L36</f>
        <v>21.575000000000003</v>
      </c>
      <c r="M12" s="33">
        <f>'04'!M36</f>
        <v>58.522500000000001</v>
      </c>
      <c r="N12" s="33">
        <f>'04'!N36</f>
        <v>279.80833333333334</v>
      </c>
      <c r="O12" s="33">
        <f>'04'!O36</f>
        <v>0</v>
      </c>
      <c r="P12" s="30">
        <f>'04'!$P$36</f>
        <v>1.4041666666666666</v>
      </c>
      <c r="Q12" s="33">
        <f>'04'!Q36</f>
        <v>14.735833333333332</v>
      </c>
      <c r="R12" s="47"/>
      <c r="S12" s="47"/>
      <c r="T12" s="47"/>
      <c r="U12" s="47"/>
    </row>
    <row r="13" spans="1:21" s="34" customFormat="1" ht="15">
      <c r="A13" s="36" t="str">
        <f>'05'!$B$2</f>
        <v>05-02-2024 01:00</v>
      </c>
      <c r="B13" s="33">
        <f>'05'!B36</f>
        <v>31.342083333333317</v>
      </c>
      <c r="C13" s="33">
        <f>'05'!C36</f>
        <v>62.361250000000005</v>
      </c>
      <c r="D13" s="33">
        <f>'05'!D36</f>
        <v>59.673749999999991</v>
      </c>
      <c r="E13" s="33">
        <f>'05'!E36</f>
        <v>0.25</v>
      </c>
      <c r="F13" s="33">
        <f>'05'!F36</f>
        <v>4.9283333333333337</v>
      </c>
      <c r="G13" s="33">
        <f>'05'!G36</f>
        <v>66.100416666666661</v>
      </c>
      <c r="H13" s="33">
        <f>'05'!H36</f>
        <v>24.647500000000008</v>
      </c>
      <c r="I13" s="33">
        <f>'05'!I36</f>
        <v>1.5325000000000004</v>
      </c>
      <c r="J13" s="33">
        <f>'05'!J36</f>
        <v>0.30083333333333329</v>
      </c>
      <c r="K13" s="33">
        <f>'05'!K36</f>
        <v>301.86958333333331</v>
      </c>
      <c r="L13" s="33">
        <f>'05'!L36</f>
        <v>23.133333333333336</v>
      </c>
      <c r="M13" s="33">
        <f>'05'!M36</f>
        <v>62.511249999999997</v>
      </c>
      <c r="N13" s="33">
        <f>'05'!N36</f>
        <v>277.32916666666671</v>
      </c>
      <c r="O13" s="33">
        <f>'05'!O36</f>
        <v>0</v>
      </c>
      <c r="P13" s="30">
        <f>'05'!$P$36</f>
        <v>0.84541666666666659</v>
      </c>
      <c r="Q13" s="33">
        <f>'05'!Q36</f>
        <v>8.9779166666666672</v>
      </c>
      <c r="R13" s="47"/>
      <c r="S13" s="47"/>
      <c r="T13" s="47"/>
      <c r="U13" s="47"/>
    </row>
    <row r="14" spans="1:21" s="34" customFormat="1" ht="15">
      <c r="A14" s="36" t="str">
        <f>'06'!$B$2</f>
        <v>06-02-2024 01:00</v>
      </c>
      <c r="B14" s="33">
        <f>'06'!B36</f>
        <v>24.714166666666667</v>
      </c>
      <c r="C14" s="33">
        <f>'06'!C36</f>
        <v>57.444583333333327</v>
      </c>
      <c r="D14" s="33">
        <f>'06'!D36</f>
        <v>51.700416666666676</v>
      </c>
      <c r="E14" s="33">
        <f>'06'!E36</f>
        <v>0.22208333333333341</v>
      </c>
      <c r="F14" s="33">
        <f>'06'!F36</f>
        <v>5.6150000000000011</v>
      </c>
      <c r="G14" s="33">
        <f>'06'!G36</f>
        <v>76.878749999999982</v>
      </c>
      <c r="H14" s="33">
        <f>'06'!H36</f>
        <v>28.652083333333326</v>
      </c>
      <c r="I14" s="33">
        <f>'06'!I36</f>
        <v>1.5441666666666667</v>
      </c>
      <c r="J14" s="33">
        <f>'06'!J36</f>
        <v>0.32333333333333331</v>
      </c>
      <c r="K14" s="33">
        <f>'06'!K36</f>
        <v>316.48666666666668</v>
      </c>
      <c r="L14" s="33">
        <f>'06'!L36</f>
        <v>23.864999999999998</v>
      </c>
      <c r="M14" s="33">
        <f>'06'!M36</f>
        <v>68.899166666666659</v>
      </c>
      <c r="N14" s="33">
        <f>'06'!N36</f>
        <v>260.63749999999999</v>
      </c>
      <c r="O14" s="33">
        <f>'06'!O36</f>
        <v>0</v>
      </c>
      <c r="P14" s="30">
        <f>'06'!$P$36</f>
        <v>0.83583333333333343</v>
      </c>
      <c r="Q14" s="33">
        <f>'06'!Q36</f>
        <v>8.2170833333333331</v>
      </c>
      <c r="R14" s="47"/>
      <c r="S14" s="47"/>
      <c r="T14" s="47"/>
      <c r="U14" s="47"/>
    </row>
    <row r="15" spans="1:21" s="34" customFormat="1" ht="15">
      <c r="A15" s="36" t="str">
        <f>'07'!$B$2</f>
        <v>07-02-2024 01:00</v>
      </c>
      <c r="B15" s="33">
        <f>'07'!B36</f>
        <v>22.005833333333328</v>
      </c>
      <c r="C15" s="33">
        <f>'07'!C36</f>
        <v>58.622916666666676</v>
      </c>
      <c r="D15" s="33">
        <f>'07'!D36</f>
        <v>50.295833333333327</v>
      </c>
      <c r="E15" s="33">
        <f>'07'!E36</f>
        <v>0.25000000000000006</v>
      </c>
      <c r="F15" s="33">
        <f>'07'!F36</f>
        <v>3.4758333333333336</v>
      </c>
      <c r="G15" s="33">
        <f>'07'!G36</f>
        <v>74.366249999999994</v>
      </c>
      <c r="H15" s="33">
        <f>'07'!H36</f>
        <v>29.259583333333328</v>
      </c>
      <c r="I15" s="33">
        <f>'07'!I36</f>
        <v>1.5429166666666665</v>
      </c>
      <c r="J15" s="33">
        <f>'07'!J36</f>
        <v>0.5820833333333334</v>
      </c>
      <c r="K15" s="33">
        <f>'07'!K36</f>
        <v>290.35291666666666</v>
      </c>
      <c r="L15" s="33">
        <f>'07'!L36</f>
        <v>22.579999999999998</v>
      </c>
      <c r="M15" s="33">
        <f>'07'!M36</f>
        <v>70.373333333333321</v>
      </c>
      <c r="N15" s="33">
        <f>'07'!N37</f>
        <v>253.173293997369</v>
      </c>
      <c r="O15" s="33">
        <f>'07'!O37</f>
        <v>0</v>
      </c>
      <c r="P15" s="30">
        <f>'07'!$P$36</f>
        <v>0.80874999999999997</v>
      </c>
      <c r="Q15" s="33">
        <f>'07'!Q36</f>
        <v>8.3716666666666661</v>
      </c>
      <c r="R15" s="47"/>
      <c r="S15" s="47"/>
      <c r="T15" s="47"/>
      <c r="U15" s="47"/>
    </row>
    <row r="16" spans="1:21" s="34" customFormat="1" ht="15">
      <c r="A16" s="36" t="str">
        <f>'08'!$B$2</f>
        <v>08-02-2024 01:00</v>
      </c>
      <c r="B16" s="33">
        <f>'08'!B36</f>
        <v>28.302083333333332</v>
      </c>
      <c r="C16" s="33">
        <f>'08'!C36</f>
        <v>63.223333333333336</v>
      </c>
      <c r="D16" s="33">
        <f>'08'!D36</f>
        <v>58.106249999999996</v>
      </c>
      <c r="E16" s="33">
        <f>'08'!E36</f>
        <v>0.32416666666666671</v>
      </c>
      <c r="F16" s="33">
        <f>'08'!F36</f>
        <v>3.9195833333333332</v>
      </c>
      <c r="G16" s="33">
        <f>'08'!G36</f>
        <v>73.336249999999993</v>
      </c>
      <c r="H16" s="33">
        <f>'08'!H36</f>
        <v>22.967500000000001</v>
      </c>
      <c r="I16" s="33">
        <f>'08'!I36</f>
        <v>1.5599999999999996</v>
      </c>
      <c r="J16" s="33">
        <f>'08'!J36</f>
        <v>0.9245833333333332</v>
      </c>
      <c r="K16" s="33">
        <f>'08'!K36</f>
        <v>346.50791666666663</v>
      </c>
      <c r="L16" s="33">
        <f>'08'!L36</f>
        <v>21.007083333333338</v>
      </c>
      <c r="M16" s="33">
        <f>'08'!M36</f>
        <v>42.305</v>
      </c>
      <c r="N16" s="33">
        <f>'08'!N36</f>
        <v>275.48750000000001</v>
      </c>
      <c r="O16" s="33">
        <f>'08'!O36</f>
        <v>0</v>
      </c>
      <c r="P16" s="30">
        <f>'08'!$P$36</f>
        <v>0.79500000000000004</v>
      </c>
      <c r="Q16" s="33">
        <f>'08'!Q36</f>
        <v>9.4462500000000009</v>
      </c>
      <c r="R16" s="47"/>
      <c r="S16" s="47"/>
      <c r="T16" s="47"/>
      <c r="U16" s="47"/>
    </row>
    <row r="17" spans="1:24" s="34" customFormat="1" ht="15">
      <c r="A17" s="36" t="str">
        <f>'09'!$B$2</f>
        <v>09-02-2024 01:00</v>
      </c>
      <c r="B17" s="33">
        <f>'09'!B36</f>
        <v>26.131666666666664</v>
      </c>
      <c r="C17" s="33">
        <f>'09'!C36</f>
        <v>62.515416666666674</v>
      </c>
      <c r="D17" s="33">
        <f>'09'!D36</f>
        <v>55.911666666666662</v>
      </c>
      <c r="E17" s="33">
        <f>'09'!E36</f>
        <v>0.38749999999999996</v>
      </c>
      <c r="F17" s="33">
        <f>'09'!F36</f>
        <v>3.8204166666666666</v>
      </c>
      <c r="G17" s="33">
        <f>'09'!G36</f>
        <v>80.242916666666673</v>
      </c>
      <c r="H17" s="33">
        <f>'09'!H36</f>
        <v>27.271666666666665</v>
      </c>
      <c r="I17" s="33">
        <f>'09'!I36</f>
        <v>1.5420833333333333</v>
      </c>
      <c r="J17" s="33">
        <f>'09'!J36</f>
        <v>0.745</v>
      </c>
      <c r="K17" s="33">
        <f>'09'!K36</f>
        <v>273.63166666666666</v>
      </c>
      <c r="L17" s="33">
        <f>'09'!L36</f>
        <v>19.525833333333331</v>
      </c>
      <c r="M17" s="33">
        <f>'09'!M36</f>
        <v>40.648750000000007</v>
      </c>
      <c r="N17" s="33">
        <f>'09'!N37</f>
        <v>319.56601912548541</v>
      </c>
      <c r="O17" s="33">
        <f>'09'!O37</f>
        <v>0</v>
      </c>
      <c r="P17" s="30">
        <f>'09'!$P$36</f>
        <v>0.85875000000000001</v>
      </c>
      <c r="Q17" s="33">
        <f>'09'!Q36</f>
        <v>8.0645833333333332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10-02-2024 01:00</v>
      </c>
      <c r="B18" s="33">
        <f>'10'!B36</f>
        <v>9.2404166666666701</v>
      </c>
      <c r="C18" s="33">
        <f>'10'!C36</f>
        <v>66.807916666666657</v>
      </c>
      <c r="D18" s="33">
        <f>'10'!D36</f>
        <v>44.862083333333338</v>
      </c>
      <c r="E18" s="33">
        <f>'10'!E36</f>
        <v>0.3520833333333333</v>
      </c>
      <c r="F18" s="33">
        <f>'10'!F36</f>
        <v>5.588750000000001</v>
      </c>
      <c r="G18" s="33">
        <f>'10'!G36</f>
        <v>87.422500000000014</v>
      </c>
      <c r="H18" s="33">
        <f>'10'!H36</f>
        <v>31.515416666666667</v>
      </c>
      <c r="I18" s="33">
        <f>'10'!I36</f>
        <v>1.544583333333333</v>
      </c>
      <c r="J18" s="33">
        <f>'10'!J36</f>
        <v>0.71708333333333318</v>
      </c>
      <c r="K18" s="33">
        <f>'10'!K36</f>
        <v>291.33500000000004</v>
      </c>
      <c r="L18" s="33">
        <f>'10'!L36</f>
        <v>21.284166666666668</v>
      </c>
      <c r="M18" s="33">
        <f>'10'!M36</f>
        <v>45.094166666666673</v>
      </c>
      <c r="N18" s="33">
        <f>'10'!N36</f>
        <v>292.83749999999998</v>
      </c>
      <c r="O18" s="33">
        <f>'10'!O36</f>
        <v>0</v>
      </c>
      <c r="P18" s="30">
        <f>'10'!$P$36</f>
        <v>0.81541666666666657</v>
      </c>
      <c r="Q18" s="33">
        <f>'10'!Q36</f>
        <v>7.1237500000000011</v>
      </c>
      <c r="R18" s="47"/>
      <c r="S18" s="47"/>
      <c r="T18" s="47"/>
      <c r="U18" s="47"/>
    </row>
    <row r="19" spans="1:21" s="34" customFormat="1" ht="15">
      <c r="A19" s="36" t="str">
        <f>'11'!$B$2</f>
        <v>11-02-2024 01:00</v>
      </c>
      <c r="B19" s="33">
        <f>'11'!B36</f>
        <v>7.9829166666666689</v>
      </c>
      <c r="C19" s="33">
        <f>'11'!C36</f>
        <v>63.078749999999992</v>
      </c>
      <c r="D19" s="33">
        <f>'11'!D36</f>
        <v>41.702499999999993</v>
      </c>
      <c r="E19" s="33">
        <f>'11'!E36</f>
        <v>0.29124999999999995</v>
      </c>
      <c r="F19" s="33">
        <f>'11'!F36</f>
        <v>4.176666666666665</v>
      </c>
      <c r="G19" s="33">
        <f>'11'!G36</f>
        <v>77.521250000000038</v>
      </c>
      <c r="H19" s="33">
        <f>'11'!H36</f>
        <v>33.020000000000003</v>
      </c>
      <c r="I19" s="33">
        <f>'11'!I36</f>
        <v>1.541666666666667</v>
      </c>
      <c r="J19" s="33">
        <f>'11'!J36</f>
        <v>0.72000000000000008</v>
      </c>
      <c r="K19" s="33">
        <f>'11'!K36</f>
        <v>287.26625000000001</v>
      </c>
      <c r="L19" s="33">
        <f>'11'!L36</f>
        <v>22.592083333333335</v>
      </c>
      <c r="M19" s="33">
        <f>'11'!M36</f>
        <v>61.167083333333345</v>
      </c>
      <c r="N19" s="33">
        <f>'11'!N36</f>
        <v>259.46250000000003</v>
      </c>
      <c r="O19" s="33">
        <f>'11'!O36</f>
        <v>0</v>
      </c>
      <c r="P19" s="33">
        <f>'11'!P36</f>
        <v>0.75541666666666674</v>
      </c>
      <c r="Q19" s="33">
        <f>'11'!Q36</f>
        <v>6.8429166666666665</v>
      </c>
      <c r="R19" s="47"/>
      <c r="S19" s="47"/>
      <c r="T19" s="47"/>
      <c r="U19" s="47"/>
    </row>
    <row r="20" spans="1:21" s="34" customFormat="1" ht="15">
      <c r="A20" s="36" t="str">
        <f>'12'!$B$2</f>
        <v>12-02-2024 01:00</v>
      </c>
      <c r="B20" s="33">
        <f>'12'!B36</f>
        <v>8.8279166666666669</v>
      </c>
      <c r="C20" s="33">
        <f>'12'!C36</f>
        <v>61.774999999999999</v>
      </c>
      <c r="D20" s="33">
        <f>'12'!D36</f>
        <v>41.489999999999995</v>
      </c>
      <c r="E20" s="33">
        <f>'12'!E36</f>
        <v>0.31</v>
      </c>
      <c r="F20" s="33">
        <f>'12'!F36</f>
        <v>4.5354166666666664</v>
      </c>
      <c r="G20" s="33">
        <f>'12'!G36</f>
        <v>64.367826086956526</v>
      </c>
      <c r="H20" s="33">
        <f>'12'!H36</f>
        <v>28.271739130434788</v>
      </c>
      <c r="I20" s="33">
        <f>'12'!I36</f>
        <v>1.5433333333333332</v>
      </c>
      <c r="J20" s="33">
        <f>'12'!J36</f>
        <v>0.96958333333333346</v>
      </c>
      <c r="K20" s="33">
        <f>'12'!K36</f>
        <v>248.43708333333328</v>
      </c>
      <c r="L20" s="33">
        <f>'12'!L36</f>
        <v>21.607916666666668</v>
      </c>
      <c r="M20" s="33">
        <f>'12'!M36</f>
        <v>83.284166666666678</v>
      </c>
      <c r="N20" s="33">
        <f>'12'!N36</f>
        <v>281.67083333333329</v>
      </c>
      <c r="O20" s="33">
        <f>'12'!O36</f>
        <v>0.22499999999999998</v>
      </c>
      <c r="P20" s="33">
        <f>'12'!P36</f>
        <v>0.73999999999999988</v>
      </c>
      <c r="Q20" s="33">
        <f>'12'!Q36</f>
        <v>7.0558333333333323</v>
      </c>
      <c r="R20" s="47"/>
      <c r="S20" s="47"/>
      <c r="T20" s="47"/>
      <c r="U20" s="47"/>
    </row>
    <row r="21" spans="1:21" s="34" customFormat="1" ht="15">
      <c r="A21" s="36" t="str">
        <f>'13'!$B$2</f>
        <v>13-02-2024 01:00</v>
      </c>
      <c r="B21" s="33">
        <f>'13'!B36</f>
        <v>32.32</v>
      </c>
      <c r="C21" s="33">
        <f>'13'!C36</f>
        <v>63.110833333333339</v>
      </c>
      <c r="D21" s="33">
        <f>'13'!D36</f>
        <v>61.044166666666662</v>
      </c>
      <c r="E21" s="33">
        <f>'13'!E36</f>
        <v>0.26916666666666672</v>
      </c>
      <c r="F21" s="33">
        <f>'13'!F36</f>
        <v>4.6749999999999998</v>
      </c>
      <c r="G21" s="33">
        <f>'13'!G36</f>
        <v>73.736666666666679</v>
      </c>
      <c r="H21" s="33">
        <f>'13'!H36</f>
        <v>31.829999999999995</v>
      </c>
      <c r="I21" s="33">
        <f>'13'!I36</f>
        <v>1.5462499999999999</v>
      </c>
      <c r="J21" s="33">
        <f>'13'!J36</f>
        <v>0.36458333333333343</v>
      </c>
      <c r="K21" s="33">
        <f>'13'!K36</f>
        <v>310.53874999999999</v>
      </c>
      <c r="L21" s="33">
        <f>'13'!L36</f>
        <v>22.679999999999996</v>
      </c>
      <c r="M21" s="33">
        <f>'13'!M36</f>
        <v>77.135833333333338</v>
      </c>
      <c r="N21" s="33">
        <f>'13'!N36</f>
        <v>266.67083333333335</v>
      </c>
      <c r="O21" s="33">
        <f>'13'!O36</f>
        <v>0</v>
      </c>
      <c r="P21" s="33">
        <f>'13'!P36</f>
        <v>1.0258333333333332</v>
      </c>
      <c r="Q21" s="33">
        <f>'13'!Q36</f>
        <v>8.8720833333333342</v>
      </c>
      <c r="R21" s="47"/>
      <c r="S21" s="47"/>
      <c r="T21" s="47"/>
      <c r="U21" s="47"/>
    </row>
    <row r="22" spans="1:21" s="34" customFormat="1" ht="15">
      <c r="A22" s="36" t="str">
        <f>'14'!$B$2</f>
        <v>14-02-2024 01:00</v>
      </c>
      <c r="B22" s="30">
        <f>'14'!B36</f>
        <v>65.413333333333327</v>
      </c>
      <c r="C22" s="30">
        <f>'14'!C36</f>
        <v>65.807500000000005</v>
      </c>
      <c r="D22" s="30">
        <f>'14'!D36</f>
        <v>88.942083333333343</v>
      </c>
      <c r="E22" s="30">
        <f>'14'!E36</f>
        <v>0.32916666666666677</v>
      </c>
      <c r="F22" s="30">
        <f>'14'!F36</f>
        <v>3.7083333333333335</v>
      </c>
      <c r="G22" s="30">
        <f>'14'!G36</f>
        <v>96.006666666666646</v>
      </c>
      <c r="H22" s="30">
        <f>'14'!H36</f>
        <v>33.60125</v>
      </c>
      <c r="I22" s="30">
        <f>'14'!I36</f>
        <v>1.5483333333333331</v>
      </c>
      <c r="J22" s="30">
        <f>'14'!J36</f>
        <v>0.26666666666666666</v>
      </c>
      <c r="K22" s="30">
        <f>'14'!K36</f>
        <v>308.40125</v>
      </c>
      <c r="L22" s="30">
        <f>'14'!L36</f>
        <v>22.955000000000002</v>
      </c>
      <c r="M22" s="30">
        <f>'14'!M36</f>
        <v>67.989583333333329</v>
      </c>
      <c r="N22" s="30">
        <f>'14'!N36</f>
        <v>253.62916666666661</v>
      </c>
      <c r="O22" s="30">
        <f>'14'!O36</f>
        <v>0</v>
      </c>
      <c r="P22" s="30">
        <f>'14'!P36</f>
        <v>1.281666666666667</v>
      </c>
      <c r="Q22" s="30">
        <f>'14'!Q36</f>
        <v>11.445833333333333</v>
      </c>
      <c r="R22" s="48"/>
      <c r="S22" s="48"/>
      <c r="T22" s="48"/>
      <c r="U22" s="48"/>
    </row>
    <row r="23" spans="1:21" s="34" customFormat="1" ht="15">
      <c r="A23" s="36" t="str">
        <f>'15'!$B$2</f>
        <v>15-02-2024 01:00</v>
      </c>
      <c r="B23" s="33">
        <f>'15'!B36</f>
        <v>57.432083333333331</v>
      </c>
      <c r="C23" s="33">
        <f>'15'!C36</f>
        <v>88.374166666666667</v>
      </c>
      <c r="D23" s="33">
        <f>'15'!D36</f>
        <v>94.210416666666674</v>
      </c>
      <c r="E23" s="33">
        <f>'15'!E36</f>
        <v>0.50958333333333339</v>
      </c>
      <c r="F23" s="33">
        <f>'15'!F36</f>
        <v>3.5404166666666668</v>
      </c>
      <c r="G23" s="33">
        <f>'15'!G36</f>
        <v>86.900416666666672</v>
      </c>
      <c r="H23" s="33">
        <f>'15'!H36</f>
        <v>31.594166666666666</v>
      </c>
      <c r="I23" s="33">
        <f>'15'!I36</f>
        <v>1.5441666666666671</v>
      </c>
      <c r="J23" s="33">
        <f>'15'!J36</f>
        <v>0.54041666666666666</v>
      </c>
      <c r="K23" s="33">
        <f>'15'!K36</f>
        <v>290.37916666666666</v>
      </c>
      <c r="L23" s="33">
        <f>'15'!L36</f>
        <v>23.949999999999999</v>
      </c>
      <c r="M23" s="33">
        <f>'15'!M36</f>
        <v>68.575833333333307</v>
      </c>
      <c r="N23" s="33">
        <f>'15'!N36</f>
        <v>260.12916666666661</v>
      </c>
      <c r="O23" s="33">
        <f>'15'!O36</f>
        <v>0</v>
      </c>
      <c r="P23" s="30">
        <f>'15'!P36</f>
        <v>1.2483333333333333</v>
      </c>
      <c r="Q23" s="30">
        <f>'15'!Q36</f>
        <v>12.022916666666662</v>
      </c>
      <c r="R23" s="48"/>
      <c r="S23" s="48"/>
      <c r="T23" s="48"/>
      <c r="U23" s="47"/>
    </row>
    <row r="24" spans="1:21" s="34" customFormat="1" ht="15">
      <c r="A24" s="36" t="str">
        <f>'16'!$B$2</f>
        <v>16-02-2024 01:00</v>
      </c>
      <c r="B24" s="33">
        <f>'16'!B36</f>
        <v>20.217499999999998</v>
      </c>
      <c r="C24" s="33">
        <f>'16'!C36</f>
        <v>74.335833333333341</v>
      </c>
      <c r="D24" s="33">
        <f>'16'!D36</f>
        <v>57.17499999999999</v>
      </c>
      <c r="E24" s="33">
        <f>'16'!E36</f>
        <v>0.33333333333333331</v>
      </c>
      <c r="F24" s="33">
        <f>'16'!F36</f>
        <v>4.373333333333334</v>
      </c>
      <c r="G24" s="33">
        <f>'16'!G36</f>
        <v>81.674166666666665</v>
      </c>
      <c r="H24" s="33">
        <f>'16'!H36</f>
        <v>34.982500000000002</v>
      </c>
      <c r="I24" s="33">
        <f>'16'!I36</f>
        <v>1.5366666666666668</v>
      </c>
      <c r="J24" s="33">
        <f>'16'!J36</f>
        <v>0.72541666666666671</v>
      </c>
      <c r="K24" s="33">
        <f>'16'!K36</f>
        <v>291.32125000000002</v>
      </c>
      <c r="L24" s="33">
        <f>'16'!L36</f>
        <v>23.855833333333337</v>
      </c>
      <c r="M24" s="33">
        <f>'16'!M36</f>
        <v>70.437916666666666</v>
      </c>
      <c r="N24" s="33">
        <f>'16'!N36</f>
        <v>265.57499999999999</v>
      </c>
      <c r="O24" s="33">
        <f>'16'!O36</f>
        <v>0</v>
      </c>
      <c r="P24" s="30">
        <f>'16'!P36</f>
        <v>0.86041666666666672</v>
      </c>
      <c r="Q24" s="30">
        <f>'16'!Q36</f>
        <v>5.6712499999999979</v>
      </c>
      <c r="R24" s="48"/>
      <c r="S24" s="48"/>
      <c r="T24" s="48"/>
      <c r="U24" s="47"/>
    </row>
    <row r="25" spans="1:21" s="34" customFormat="1" ht="15">
      <c r="A25" s="36" t="str">
        <f>'17'!$B$2</f>
        <v>17-02-2024 01:00</v>
      </c>
      <c r="B25" s="33">
        <f>'17'!B36</f>
        <v>27.404166666666669</v>
      </c>
      <c r="C25" s="33">
        <f>'17'!C36</f>
        <v>63.356666666666676</v>
      </c>
      <c r="D25" s="33">
        <f>'17'!D36</f>
        <v>57.08041666666665</v>
      </c>
      <c r="E25" s="33">
        <f>'17'!E36</f>
        <v>0.34458333333333341</v>
      </c>
      <c r="F25" s="33">
        <f>'17'!F36</f>
        <v>8.3000000000000007</v>
      </c>
      <c r="G25" s="33">
        <f>'17'!G36</f>
        <v>95.574166666666642</v>
      </c>
      <c r="H25" s="33">
        <f>'17'!H36</f>
        <v>36.795416666666668</v>
      </c>
      <c r="I25" s="33">
        <f>'17'!I36</f>
        <v>1.5483333333333331</v>
      </c>
      <c r="J25" s="33">
        <f>'17'!J36</f>
        <v>0.54916666666666647</v>
      </c>
      <c r="K25" s="33">
        <f>'17'!K36</f>
        <v>275.56333333333333</v>
      </c>
      <c r="L25" s="33">
        <f>'17'!L36</f>
        <v>24.291666666666668</v>
      </c>
      <c r="M25" s="33">
        <f>'17'!M36</f>
        <v>62.022500000000015</v>
      </c>
      <c r="N25" s="33">
        <f>'17'!N36</f>
        <v>237.53749999999999</v>
      </c>
      <c r="O25" s="33">
        <f>'17'!O36</f>
        <v>0</v>
      </c>
      <c r="P25" s="30">
        <f>'17'!P36</f>
        <v>0.98666666666666647</v>
      </c>
      <c r="Q25" s="30">
        <f>'17'!Q36</f>
        <v>6.9624999999999977</v>
      </c>
      <c r="R25" s="48"/>
      <c r="S25" s="48"/>
      <c r="T25" s="48"/>
      <c r="U25" s="47"/>
    </row>
    <row r="26" spans="1:21" s="34" customFormat="1" ht="15">
      <c r="A26" s="36" t="str">
        <f>'18'!$B$2</f>
        <v>18-02-2024 01:00</v>
      </c>
      <c r="B26" s="33">
        <f>'18'!B36</f>
        <v>33.997083333333329</v>
      </c>
      <c r="C26" s="33">
        <f>'18'!C36</f>
        <v>45.941249999999997</v>
      </c>
      <c r="D26" s="33">
        <f>'18'!D36</f>
        <v>52.884583333333332</v>
      </c>
      <c r="E26" s="33">
        <f>'18'!E36</f>
        <v>0.56500000000000006</v>
      </c>
      <c r="F26" s="33">
        <f>'18'!F36</f>
        <v>15.580833333333336</v>
      </c>
      <c r="G26" s="33">
        <f>'18'!G36</f>
        <v>84.217500000000001</v>
      </c>
      <c r="H26" s="33">
        <f>'18'!H36</f>
        <v>33.60958333333334</v>
      </c>
      <c r="I26" s="33">
        <f>'18'!I36</f>
        <v>1.5445833333333336</v>
      </c>
      <c r="J26" s="33">
        <f>'18'!J36</f>
        <v>0.35458333333333331</v>
      </c>
      <c r="K26" s="33">
        <f>'18'!K36</f>
        <v>288.8729166666667</v>
      </c>
      <c r="L26" s="33">
        <f>'18'!L36</f>
        <v>24.173749999999998</v>
      </c>
      <c r="M26" s="33">
        <f>'18'!M36</f>
        <v>63.274166666666673</v>
      </c>
      <c r="N26" s="33">
        <f>'18'!N36</f>
        <v>206.04166666666671</v>
      </c>
      <c r="O26" s="33">
        <f>'18'!O36</f>
        <v>0</v>
      </c>
      <c r="P26" s="30">
        <f>'18'!P36</f>
        <v>1.0350000000000004</v>
      </c>
      <c r="Q26" s="30">
        <f>'18'!Q36</f>
        <v>6.784166666666664</v>
      </c>
      <c r="R26" s="48"/>
      <c r="S26" s="48"/>
      <c r="T26" s="48"/>
      <c r="U26" s="47"/>
    </row>
    <row r="27" spans="1:21" s="34" customFormat="1" ht="15">
      <c r="A27" s="36" t="str">
        <f>'19'!$B$2</f>
        <v>19-02-2024 01:00</v>
      </c>
      <c r="B27" s="33">
        <f>'19'!B36</f>
        <v>36.238333333333323</v>
      </c>
      <c r="C27" s="33">
        <f>'19'!C36</f>
        <v>46.893750000000004</v>
      </c>
      <c r="D27" s="33">
        <f>'19'!D36</f>
        <v>54.719999999999999</v>
      </c>
      <c r="E27" s="33">
        <f>'19'!E36</f>
        <v>0.27666666666666662</v>
      </c>
      <c r="F27" s="33">
        <f>'19'!F36</f>
        <v>5.5004166666666663</v>
      </c>
      <c r="G27" s="33">
        <f>'19'!G36</f>
        <v>104.63875000000002</v>
      </c>
      <c r="H27" s="33">
        <f>'19'!H36</f>
        <v>35.862083333333338</v>
      </c>
      <c r="I27" s="33">
        <f>'19'!I36</f>
        <v>1.533333333333333</v>
      </c>
      <c r="J27" s="33">
        <f>'19'!J36</f>
        <v>0.51624999999999999</v>
      </c>
      <c r="K27" s="33">
        <f>'19'!K36</f>
        <v>291.76499999999999</v>
      </c>
      <c r="L27" s="33">
        <f>'19'!L36</f>
        <v>24.907916666666665</v>
      </c>
      <c r="M27" s="33">
        <f>'19'!M36</f>
        <v>61.996666666666663</v>
      </c>
      <c r="N27" s="33">
        <f>'19'!N36</f>
        <v>210.61666666666667</v>
      </c>
      <c r="O27" s="33">
        <f>'19'!O36</f>
        <v>0</v>
      </c>
      <c r="P27" s="30">
        <f>'19'!P36</f>
        <v>1.2204166666666667</v>
      </c>
      <c r="Q27" s="30">
        <f>'19'!Q36</f>
        <v>6.4120833333333307</v>
      </c>
      <c r="R27" s="48"/>
      <c r="S27" s="48"/>
      <c r="T27" s="48"/>
      <c r="U27" s="47"/>
    </row>
    <row r="28" spans="1:21" s="34" customFormat="1" ht="15">
      <c r="A28" s="36" t="str">
        <f>'20'!$B$2</f>
        <v>20-02-2024 01:00</v>
      </c>
      <c r="B28" s="33">
        <f>'20'!B36</f>
        <v>24.908749999999998</v>
      </c>
      <c r="C28" s="33">
        <f>'20'!C36</f>
        <v>51.647916666666674</v>
      </c>
      <c r="D28" s="33">
        <f>'20'!D36</f>
        <v>48.786249999999995</v>
      </c>
      <c r="E28" s="33">
        <f>'20'!E36</f>
        <v>0.17583333333333337</v>
      </c>
      <c r="F28" s="33">
        <f>'20'!F36</f>
        <v>4.4474999999999989</v>
      </c>
      <c r="G28" s="33">
        <f>'20'!G36</f>
        <v>60.763999999999989</v>
      </c>
      <c r="H28" s="33">
        <f>'20'!H36</f>
        <v>25.340499999999999</v>
      </c>
      <c r="I28" s="33">
        <f>'20'!I36</f>
        <v>1.5379166666666666</v>
      </c>
      <c r="J28" s="33">
        <f>'20'!J36</f>
        <v>0.48583333333333339</v>
      </c>
      <c r="K28" s="33">
        <f>'20'!K36</f>
        <v>262.72249999999997</v>
      </c>
      <c r="L28" s="33">
        <f>'20'!L36</f>
        <v>25.30916666666667</v>
      </c>
      <c r="M28" s="33">
        <f>'20'!M36</f>
        <v>50.064583333333324</v>
      </c>
      <c r="N28" s="33">
        <f>'20'!N36</f>
        <v>238.60000000000005</v>
      </c>
      <c r="O28" s="33">
        <f>'20'!O36</f>
        <v>0</v>
      </c>
      <c r="P28" s="30">
        <f>'20'!P36</f>
        <v>0.8112499999999998</v>
      </c>
      <c r="Q28" s="30">
        <f>'20'!Q36</f>
        <v>6.0191666666666634</v>
      </c>
      <c r="R28" s="48"/>
      <c r="S28" s="48"/>
      <c r="T28" s="48"/>
      <c r="U28" s="47"/>
    </row>
    <row r="29" spans="1:21" s="34" customFormat="1" ht="15">
      <c r="A29" s="36" t="str">
        <f>'21'!$B$2</f>
        <v>21-02-2024 01:00</v>
      </c>
      <c r="B29" s="33">
        <f>'21'!B36</f>
        <v>20.438333333333336</v>
      </c>
      <c r="C29" s="33">
        <f>'21'!C36</f>
        <v>52.555000000000007</v>
      </c>
      <c r="D29" s="33">
        <f>'21'!D36</f>
        <v>45.64041666666666</v>
      </c>
      <c r="E29" s="33">
        <f>'21'!E36</f>
        <v>0.17500000000000002</v>
      </c>
      <c r="F29" s="33">
        <f>'21'!F36</f>
        <v>5.9545833333333329</v>
      </c>
      <c r="G29" s="33">
        <f>'21'!G36</f>
        <v>55.760909090909102</v>
      </c>
      <c r="H29" s="33">
        <f>'21'!H36</f>
        <v>20.244545454545445</v>
      </c>
      <c r="I29" s="33">
        <f>'21'!I36</f>
        <v>1.5424999999999998</v>
      </c>
      <c r="J29" s="33">
        <f>'21'!J36</f>
        <v>0.36625000000000013</v>
      </c>
      <c r="K29" s="33">
        <f>'21'!K36</f>
        <v>256.03749999999997</v>
      </c>
      <c r="L29" s="33">
        <f>'21'!L36</f>
        <v>25.231249999999992</v>
      </c>
      <c r="M29" s="33">
        <f>'21'!M36</f>
        <v>47.501666666666665</v>
      </c>
      <c r="N29" s="33">
        <f>'21'!N36</f>
        <v>257.11249999999995</v>
      </c>
      <c r="O29" s="33">
        <f>'21'!O36</f>
        <v>0</v>
      </c>
      <c r="P29" s="30">
        <f>'21'!P36</f>
        <v>0.70434782608695645</v>
      </c>
      <c r="Q29" s="30">
        <f>'21'!Q36</f>
        <v>5.8216666666666628</v>
      </c>
      <c r="R29" s="48"/>
      <c r="S29" s="48"/>
      <c r="T29" s="48"/>
      <c r="U29" s="47"/>
    </row>
    <row r="30" spans="1:21" s="34" customFormat="1" ht="15">
      <c r="A30" s="36" t="str">
        <f>'22'!$B$2</f>
        <v>22-02-2024 01:00</v>
      </c>
      <c r="B30" s="33">
        <f>'22'!B36</f>
        <v>11.322916666666666</v>
      </c>
      <c r="C30" s="33">
        <f>'22'!C36</f>
        <v>50.019583333333337</v>
      </c>
      <c r="D30" s="33">
        <f>'22'!D36</f>
        <v>37.097499999999997</v>
      </c>
      <c r="E30" s="33">
        <f>'22'!E36</f>
        <v>0.15291666666666665</v>
      </c>
      <c r="F30" s="33">
        <f>'22'!F36</f>
        <v>5.4070833333333317</v>
      </c>
      <c r="G30" s="33">
        <f>'22'!G36</f>
        <v>43.556666666666672</v>
      </c>
      <c r="H30" s="33">
        <f>'22'!H36</f>
        <v>16.043333333333333</v>
      </c>
      <c r="I30" s="33">
        <f>'22'!I36</f>
        <v>1.5479166666666668</v>
      </c>
      <c r="J30" s="33">
        <f>'22'!J36</f>
        <v>0.71333333333333337</v>
      </c>
      <c r="K30" s="33">
        <f>'22'!K36</f>
        <v>321.89999999999998</v>
      </c>
      <c r="L30" s="33">
        <f>'22'!L36</f>
        <v>25.09</v>
      </c>
      <c r="M30" s="33">
        <f>'22'!M36</f>
        <v>47.547083333333326</v>
      </c>
      <c r="N30" s="33">
        <f>'22'!N36</f>
        <v>264.95000000000005</v>
      </c>
      <c r="O30" s="33">
        <f>'22'!O36</f>
        <v>0</v>
      </c>
      <c r="P30" s="30">
        <f>'22'!P36</f>
        <v>0.55833333333333313</v>
      </c>
      <c r="Q30" s="30">
        <f>'22'!Q36</f>
        <v>5.3291666666666639</v>
      </c>
      <c r="R30" s="48"/>
      <c r="S30" s="47"/>
      <c r="T30" s="47"/>
      <c r="U30" s="47"/>
    </row>
    <row r="31" spans="1:21" s="34" customFormat="1" ht="15">
      <c r="A31" s="36" t="str">
        <f>'23'!$B$2</f>
        <v>23-02-2024 01:00</v>
      </c>
      <c r="B31" s="33">
        <f>'23'!B36</f>
        <v>13.779166666666669</v>
      </c>
      <c r="C31" s="33">
        <f>'23'!C36</f>
        <v>53.643333333333338</v>
      </c>
      <c r="D31" s="33">
        <f>'23'!D36</f>
        <v>41.099166666666669</v>
      </c>
      <c r="E31" s="33">
        <f>'23'!E36</f>
        <v>0.24000000000000007</v>
      </c>
      <c r="F31" s="33">
        <f>'23'!F36</f>
        <v>3.6087500000000001</v>
      </c>
      <c r="G31" s="33">
        <f>'23'!G36</f>
        <v>64.898749999999993</v>
      </c>
      <c r="H31" s="33">
        <f>'23'!H36</f>
        <v>21.59375</v>
      </c>
      <c r="I31" s="33">
        <f>'23'!I36</f>
        <v>1.5433333333333332</v>
      </c>
      <c r="J31" s="33">
        <f>'23'!J36</f>
        <v>0.79374999999999984</v>
      </c>
      <c r="K31" s="33">
        <f>'23'!K36</f>
        <v>251.69208333333333</v>
      </c>
      <c r="L31" s="33">
        <f>'23'!L36</f>
        <v>23.758749999999996</v>
      </c>
      <c r="M31" s="33">
        <f>'23'!M36</f>
        <v>45.158749999999998</v>
      </c>
      <c r="N31" s="33">
        <f>'23'!N36</f>
        <v>250.77916666666678</v>
      </c>
      <c r="O31" s="33">
        <f>'23'!O36</f>
        <v>0</v>
      </c>
      <c r="P31" s="33">
        <f>'23'!P36</f>
        <v>0.6283333333333333</v>
      </c>
      <c r="Q31" s="33">
        <f>'23'!Q36</f>
        <v>5.2983333333333311</v>
      </c>
      <c r="R31" s="47"/>
      <c r="S31" s="47"/>
      <c r="T31" s="47"/>
      <c r="U31" s="47"/>
    </row>
    <row r="32" spans="1:21" s="34" customFormat="1" ht="15">
      <c r="A32" s="36" t="str">
        <f>'24'!$B$2</f>
        <v>24-02-2024 01:00</v>
      </c>
      <c r="B32" s="33">
        <f>'24'!B36</f>
        <v>9.982916666666668</v>
      </c>
      <c r="C32" s="33">
        <f>'24'!C36</f>
        <v>53.029166666666661</v>
      </c>
      <c r="D32" s="33">
        <f>'24'!D36</f>
        <v>37.797083333333333</v>
      </c>
      <c r="E32" s="33">
        <f>'24'!E36</f>
        <v>0.15666666666666665</v>
      </c>
      <c r="F32" s="33">
        <f>'24'!F36</f>
        <v>4.1533333333333333</v>
      </c>
      <c r="G32" s="33">
        <f>'24'!G36</f>
        <v>71.396250000000009</v>
      </c>
      <c r="H32" s="33">
        <f>'24'!H36</f>
        <v>28.46916666666667</v>
      </c>
      <c r="I32" s="33">
        <f>'24'!I36</f>
        <v>1.5491666666666666</v>
      </c>
      <c r="J32" s="33">
        <f>'24'!J36</f>
        <v>0.63416666666666655</v>
      </c>
      <c r="K32" s="33">
        <f>'24'!K36</f>
        <v>280.47583333333336</v>
      </c>
      <c r="L32" s="33">
        <f>'24'!L36</f>
        <v>23.56958333333333</v>
      </c>
      <c r="M32" s="33">
        <f>'24'!M36</f>
        <v>51.069166666666661</v>
      </c>
      <c r="N32" s="33">
        <f>'24'!N36</f>
        <v>238.30833333333337</v>
      </c>
      <c r="O32" s="33">
        <f>'24'!O36</f>
        <v>0</v>
      </c>
      <c r="P32" s="33">
        <f>'24'!P36</f>
        <v>0.70166666666666677</v>
      </c>
      <c r="Q32" s="33">
        <f>'24'!Q36</f>
        <v>5.2120833333333305</v>
      </c>
      <c r="R32" s="47"/>
      <c r="S32" s="47"/>
      <c r="T32" s="47"/>
      <c r="U32" s="47"/>
    </row>
    <row r="33" spans="1:21" s="34" customFormat="1" ht="15">
      <c r="A33" s="36" t="str">
        <f>'25'!$B$2</f>
        <v>25-02-2024 01:00</v>
      </c>
      <c r="B33" s="33">
        <f>'25'!B36</f>
        <v>7.6957894736842123</v>
      </c>
      <c r="C33" s="33">
        <f>'25'!C36</f>
        <v>58.691578947368427</v>
      </c>
      <c r="D33" s="33">
        <f>'25'!D36</f>
        <v>39.044736842105266</v>
      </c>
      <c r="E33" s="33">
        <f>'25'!E36</f>
        <v>2.3239130434782611</v>
      </c>
      <c r="F33" s="33">
        <f>'25'!F36</f>
        <v>5.9750000000000005</v>
      </c>
      <c r="G33" s="33">
        <f>'25'!G36</f>
        <v>67.67916666666666</v>
      </c>
      <c r="H33" s="33">
        <f>'25'!H36</f>
        <v>27.787083333333339</v>
      </c>
      <c r="I33" s="33">
        <f>'25'!I36</f>
        <v>1.5420833333333335</v>
      </c>
      <c r="J33" s="33">
        <f>'25'!J36</f>
        <v>1.0600000000000003</v>
      </c>
      <c r="K33" s="33">
        <f>'25'!K36</f>
        <v>277.99583333333334</v>
      </c>
      <c r="L33" s="33">
        <f>'25'!L36</f>
        <v>22.537499999999998</v>
      </c>
      <c r="M33" s="33">
        <f>'25'!M36</f>
        <v>59.180416666666666</v>
      </c>
      <c r="N33" s="33">
        <f>'25'!N36</f>
        <v>193.95416666666674</v>
      </c>
      <c r="O33" s="33">
        <f>'25'!O36</f>
        <v>0</v>
      </c>
      <c r="P33" s="33">
        <f>'25'!P36</f>
        <v>0.67791666666666661</v>
      </c>
      <c r="Q33" s="33">
        <f>'25'!Q36</f>
        <v>5.9928571428571429</v>
      </c>
      <c r="R33" s="47"/>
      <c r="S33" s="47"/>
      <c r="T33" s="47"/>
      <c r="U33" s="47"/>
    </row>
    <row r="34" spans="1:21" s="34" customFormat="1" ht="15">
      <c r="A34" s="36" t="str">
        <f>'26'!$B$2</f>
        <v>26-02-2024 01:00</v>
      </c>
      <c r="B34" s="33">
        <f>'26'!B36</f>
        <v>8.2728571428571431</v>
      </c>
      <c r="C34" s="33">
        <f>'26'!C36</f>
        <v>54.176428571428573</v>
      </c>
      <c r="D34" s="33">
        <f>'26'!D36</f>
        <v>36.940000000000005</v>
      </c>
      <c r="E34" s="33">
        <f>'26'!E36</f>
        <v>4.5149999999999988</v>
      </c>
      <c r="F34" s="33">
        <f>'26'!F36</f>
        <v>3.8645833333333339</v>
      </c>
      <c r="G34" s="33">
        <f>'26'!G36</f>
        <v>64.778749999999974</v>
      </c>
      <c r="H34" s="33">
        <f>'26'!H36</f>
        <v>27.561666666666657</v>
      </c>
      <c r="I34" s="33">
        <f>'26'!I36</f>
        <v>1.5362500000000001</v>
      </c>
      <c r="J34" s="33">
        <f>'26'!J36</f>
        <v>0.84000000000000019</v>
      </c>
      <c r="K34" s="33">
        <f>'26'!K36</f>
        <v>222.26874999999998</v>
      </c>
      <c r="L34" s="33">
        <f>'26'!L36</f>
        <v>23.299999999999997</v>
      </c>
      <c r="M34" s="33">
        <f>'26'!M36</f>
        <v>73.73041666666667</v>
      </c>
      <c r="N34" s="33">
        <f>'26'!N36</f>
        <v>227.97916666666666</v>
      </c>
      <c r="O34" s="33">
        <f>'26'!O36</f>
        <v>0</v>
      </c>
      <c r="P34" s="33">
        <f>'26'!P36</f>
        <v>0.6825</v>
      </c>
      <c r="Q34" s="33">
        <f>'26'!Q36</f>
        <v>8.8379166666666666</v>
      </c>
      <c r="R34" s="47"/>
      <c r="S34" s="47"/>
      <c r="T34" s="47"/>
      <c r="U34" s="47"/>
    </row>
    <row r="35" spans="1:21" s="34" customFormat="1" ht="15">
      <c r="A35" s="36" t="str">
        <f>'27'!$B$2</f>
        <v>27-02-2024 01:00</v>
      </c>
      <c r="B35" s="33">
        <f>'27'!B36</f>
        <v>9.2991666666666664</v>
      </c>
      <c r="C35" s="33">
        <f>'27'!C36</f>
        <v>45.269583333333344</v>
      </c>
      <c r="D35" s="33">
        <f>'27'!D36</f>
        <v>32.833333333333336</v>
      </c>
      <c r="E35" s="33">
        <f>'27'!E36</f>
        <v>4.2529166666666667</v>
      </c>
      <c r="F35" s="33">
        <f>'27'!F36</f>
        <v>4.9883333333333342</v>
      </c>
      <c r="G35" s="33">
        <f>'27'!G36</f>
        <v>60.112916666666671</v>
      </c>
      <c r="H35" s="33">
        <f>'27'!H36</f>
        <v>25.297916666666669</v>
      </c>
      <c r="I35" s="33">
        <f>'27'!I36</f>
        <v>1.5541666666666669</v>
      </c>
      <c r="J35" s="33">
        <f>'27'!J36</f>
        <v>0.67833333333333334</v>
      </c>
      <c r="K35" s="33">
        <f>'27'!K36</f>
        <v>273.78708333333327</v>
      </c>
      <c r="L35" s="33">
        <f>'27'!L36</f>
        <v>25.157916666666662</v>
      </c>
      <c r="M35" s="33">
        <f>'27'!M36</f>
        <v>71.704166666666652</v>
      </c>
      <c r="N35" s="33">
        <f>'27'!N36</f>
        <v>254.81250000000003</v>
      </c>
      <c r="O35" s="33">
        <f>'27'!O36</f>
        <v>0</v>
      </c>
      <c r="P35" s="30">
        <f>'27'!P36</f>
        <v>0.67374999999999996</v>
      </c>
      <c r="Q35" s="33">
        <f>'27'!Q36</f>
        <v>8.5958333333333332</v>
      </c>
      <c r="R35" s="47"/>
      <c r="S35" s="47"/>
      <c r="T35" s="47"/>
      <c r="U35" s="47"/>
    </row>
    <row r="36" spans="1:21" s="34" customFormat="1" ht="15">
      <c r="A36" s="36" t="str">
        <f>'28'!$B$2</f>
        <v>28-02-2024 01:00</v>
      </c>
      <c r="B36" s="33">
        <f>'28'!B36</f>
        <v>22.134166666666662</v>
      </c>
      <c r="C36" s="33">
        <f>'28'!C36</f>
        <v>46.556250000000006</v>
      </c>
      <c r="D36" s="33">
        <f>'28'!D36</f>
        <v>43.858750000000008</v>
      </c>
      <c r="E36" s="33">
        <f>'28'!E36</f>
        <v>4.8949999999999987</v>
      </c>
      <c r="F36" s="33">
        <f>'28'!F36</f>
        <v>4.2150000000000007</v>
      </c>
      <c r="G36" s="33">
        <f>'28'!G36</f>
        <v>84.950000000000031</v>
      </c>
      <c r="H36" s="33">
        <f>'28'!H36</f>
        <v>27.847499999999997</v>
      </c>
      <c r="I36" s="33">
        <f>'28'!I36</f>
        <v>1.5475000000000001</v>
      </c>
      <c r="J36" s="33">
        <f>'28'!J36</f>
        <v>0.71666666666666679</v>
      </c>
      <c r="K36" s="33">
        <f>'28'!K36</f>
        <v>309.08374999999995</v>
      </c>
      <c r="L36" s="33">
        <f>'28'!L36</f>
        <v>24.655833333333334</v>
      </c>
      <c r="M36" s="33">
        <f>'28'!M36</f>
        <v>67.174166666666665</v>
      </c>
      <c r="N36" s="33">
        <f>'28'!N36</f>
        <v>241.68749999999997</v>
      </c>
      <c r="O36" s="33">
        <f>'28'!O36</f>
        <v>0</v>
      </c>
      <c r="P36" s="30">
        <f>'28'!P36</f>
        <v>0.8175</v>
      </c>
      <c r="Q36" s="33">
        <f>'28'!Q36</f>
        <v>8.6691666666666656</v>
      </c>
      <c r="R36" s="47"/>
      <c r="S36" s="47"/>
      <c r="T36" s="47"/>
      <c r="U36" s="47"/>
    </row>
    <row r="37" spans="1:21" s="34" customFormat="1" ht="15">
      <c r="A37" s="36" t="str">
        <f>'29'!$B$2</f>
        <v>29-02-2024 01:00</v>
      </c>
      <c r="B37" s="33">
        <f>'29'!B36</f>
        <v>28.23833333333333</v>
      </c>
      <c r="C37" s="33">
        <f>'29'!C36</f>
        <v>56.992916666666666</v>
      </c>
      <c r="D37" s="33">
        <f>'29'!D36</f>
        <v>54.085833333333319</v>
      </c>
      <c r="E37" s="33">
        <f>'29'!E36</f>
        <v>4.989583333333333</v>
      </c>
      <c r="F37" s="33">
        <f>'29'!F36</f>
        <v>4.5166666666666666</v>
      </c>
      <c r="G37" s="33">
        <f>'29'!G36</f>
        <v>73.380833333333314</v>
      </c>
      <c r="H37" s="33">
        <f>'29'!H36</f>
        <v>29.837083333333329</v>
      </c>
      <c r="I37" s="33">
        <f>'29'!I36</f>
        <v>1.5395833333333337</v>
      </c>
      <c r="J37" s="33">
        <f>'29'!J36</f>
        <v>0.68250000000000011</v>
      </c>
      <c r="K37" s="33">
        <f>'29'!K36</f>
        <v>280.12499999999994</v>
      </c>
      <c r="L37" s="33">
        <f>'29'!L36</f>
        <v>25.478750000000005</v>
      </c>
      <c r="M37" s="33">
        <f>'29'!M36</f>
        <v>52.791666666666664</v>
      </c>
      <c r="N37" s="33">
        <f>'29'!N36</f>
        <v>277.66249999999997</v>
      </c>
      <c r="O37" s="33">
        <f>'29'!O36</f>
        <v>0</v>
      </c>
      <c r="P37" s="33">
        <f>'29'!P36</f>
        <v>0.86875000000000002</v>
      </c>
      <c r="Q37" s="33">
        <f>'29'!Q36</f>
        <v>9.2875000000000014</v>
      </c>
      <c r="R37" s="47"/>
      <c r="S37" s="47"/>
      <c r="T37" s="47"/>
      <c r="U37" s="47"/>
    </row>
    <row r="38" spans="2:21" ht="1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/>
      <c r="S38" s="20"/>
      <c r="T38" s="20"/>
      <c r="U38" s="49"/>
    </row>
    <row r="39" spans="1:21" s="21" customFormat="1" ht="15">
      <c r="A39" s="14" t="s">
        <v>30</v>
      </c>
      <c r="B39" s="15">
        <f>MIN(B9:B37)</f>
        <v>7.6957894736842123</v>
      </c>
      <c r="C39" s="15">
        <f>MIN(C9:C37)</f>
        <v>45.269583333333344</v>
      </c>
      <c r="D39" s="15">
        <f>MIN(D9:D37)</f>
        <v>32.833333333333336</v>
      </c>
      <c r="E39" s="15">
        <f>MIN(E9:E37)</f>
        <v>0.15291666666666665</v>
      </c>
      <c r="F39" s="15">
        <f>MIN(F9:F37)</f>
        <v>3.4420833333333332</v>
      </c>
      <c r="G39" s="15">
        <f>MIN(G9:G37)</f>
        <v>43.556666666666672</v>
      </c>
      <c r="H39" s="15">
        <f>MIN(H9:H37)</f>
        <v>16.043333333333333</v>
      </c>
      <c r="I39" s="15">
        <f>MIN(I9:I37)</f>
        <v>1.5325000000000004</v>
      </c>
      <c r="J39" s="15">
        <f>MIN(J9:J37)</f>
        <v>0.26666666666666666</v>
      </c>
      <c r="K39" s="15">
        <f>MIN(K9:K37)</f>
        <v>222.26874999999998</v>
      </c>
      <c r="L39" s="15">
        <f>MIN(L9:L37)</f>
        <v>19.525833333333331</v>
      </c>
      <c r="M39" s="15">
        <f>MIN(M9:M37)</f>
        <v>40.648750000000007</v>
      </c>
      <c r="N39" s="15">
        <f>MIN(N9:N37)</f>
        <v>193.95416666666674</v>
      </c>
      <c r="O39" s="15">
        <f>MIN(O9:O37)</f>
        <v>0</v>
      </c>
      <c r="P39" s="15">
        <f>MIN(P9:P37)</f>
        <v>0.55833333333333313</v>
      </c>
      <c r="Q39" s="15">
        <f>MIN(Q9:Q37)</f>
        <v>5.2120833333333305</v>
      </c>
      <c r="R39" s="28"/>
      <c r="S39" s="28"/>
      <c r="T39" s="28"/>
      <c r="U39" s="28"/>
    </row>
    <row r="40" spans="1:21" s="21" customFormat="1" ht="15">
      <c r="A40" s="14" t="s">
        <v>31</v>
      </c>
      <c r="B40" s="15">
        <f>MAX(B9:B37)</f>
        <v>96.447499999999977</v>
      </c>
      <c r="C40" s="15">
        <f>MAX(C9:C37)</f>
        <v>88.374166666666667</v>
      </c>
      <c r="D40" s="15">
        <f>MAX(D9:D37)</f>
        <v>114.21083333333335</v>
      </c>
      <c r="E40" s="15">
        <f>MAX(E9:E37)</f>
        <v>4.989583333333333</v>
      </c>
      <c r="F40" s="15">
        <f>MAX(F9:F37)</f>
        <v>15.580833333333336</v>
      </c>
      <c r="G40" s="15">
        <f>MAX(G9:G37)</f>
        <v>120.265</v>
      </c>
      <c r="H40" s="15">
        <f>MAX(H9:H37)</f>
        <v>48.345833333333324</v>
      </c>
      <c r="I40" s="15">
        <f>MAX(I9:I37)</f>
        <v>1.5599999999999996</v>
      </c>
      <c r="J40" s="15">
        <f>MAX(J9:J37)</f>
        <v>1.0600000000000003</v>
      </c>
      <c r="K40" s="15">
        <f>MAX(K9:K37)</f>
        <v>346.50791666666663</v>
      </c>
      <c r="L40" s="15">
        <f>MAX(L9:L37)</f>
        <v>25.478750000000005</v>
      </c>
      <c r="M40" s="15">
        <f>MAX(M9:M37)</f>
        <v>83.284166666666678</v>
      </c>
      <c r="N40" s="15">
        <f>MAX(N9:N37)</f>
        <v>319.56601912548541</v>
      </c>
      <c r="O40" s="15">
        <f>MAX(O9:O37)</f>
        <v>0.22499999999999998</v>
      </c>
      <c r="P40" s="15">
        <f>MAX(P9:P37)</f>
        <v>1.4041666666666666</v>
      </c>
      <c r="Q40" s="15">
        <f>MAX(Q9:Q37)</f>
        <v>14.735833333333332</v>
      </c>
      <c r="R40" s="28"/>
      <c r="S40" s="28"/>
      <c r="T40" s="28"/>
      <c r="U40" s="28"/>
    </row>
    <row r="41" spans="1:21" s="21" customFormat="1" ht="15">
      <c r="A41" s="14" t="s">
        <v>32</v>
      </c>
      <c r="B41" s="15">
        <f>AVERAGE(B9:B37)</f>
        <v>27.612252182179581</v>
      </c>
      <c r="C41" s="15">
        <f>AVERAGE(C9:C37)</f>
        <v>59.183322098349308</v>
      </c>
      <c r="D41" s="15">
        <f>AVERAGE(D9:D37)</f>
        <v>55.04618345432548</v>
      </c>
      <c r="E41" s="15">
        <f>AVERAGE(E9:E37)</f>
        <v>0.96898550724637666</v>
      </c>
      <c r="F41" s="15">
        <f>AVERAGE(F9:F37)</f>
        <v>4.9412931034482765</v>
      </c>
      <c r="G41" s="15">
        <f>AVERAGE(G9:G37)</f>
        <v>79.88906045840713</v>
      </c>
      <c r="H41" s="15">
        <f>AVERAGE(H9:H37)</f>
        <v>30.433865260551542</v>
      </c>
      <c r="I41" s="15">
        <f>AVERAGE(I9:I37)</f>
        <v>1.5439080459770111</v>
      </c>
      <c r="J41" s="15">
        <f>AVERAGE(J9:J37)</f>
        <v>0.59718390804597699</v>
      </c>
      <c r="K41" s="15">
        <f>AVERAGE(K9:K37)</f>
        <v>287.99629310344829</v>
      </c>
      <c r="L41" s="15">
        <f>AVERAGE(L9:L37)</f>
        <v>23.204152298850573</v>
      </c>
      <c r="M41" s="15">
        <f>AVERAGE(M9:M37)</f>
        <v>61.383146551724138</v>
      </c>
      <c r="N41" s="15">
        <f>AVERAGE(N9:N37)</f>
        <v>253.12046482032838</v>
      </c>
      <c r="O41" s="15">
        <f>AVERAGE(O9:O37)</f>
        <v>0.0077586206896551714</v>
      </c>
      <c r="P41" s="15">
        <f>AVERAGE(P9:P37)</f>
        <v>0.8922959542955794</v>
      </c>
      <c r="Q41" s="15">
        <f>AVERAGE(Q9:Q37)</f>
        <v>8.1110755336617384</v>
      </c>
      <c r="R41" s="28"/>
      <c r="S41" s="28"/>
      <c r="T41" s="28"/>
      <c r="U41" s="28"/>
    </row>
    <row r="42" spans="1:21" s="21" customFormat="1" ht="15">
      <c r="A42" s="14" t="s">
        <v>38</v>
      </c>
      <c r="B42" s="15">
        <f>STDEV(B9:B37)</f>
        <v>19.775469938930701</v>
      </c>
      <c r="C42" s="15">
        <f>STDEV(C9:C37)</f>
        <v>9.0847985840917396</v>
      </c>
      <c r="D42" s="15">
        <f>STDEV(D9:D37)</f>
        <v>18.298157956543776</v>
      </c>
      <c r="E42" s="15">
        <f>STDEV(E9:E37)</f>
        <v>1.55650460069949</v>
      </c>
      <c r="F42" s="15">
        <f>STDEV(F9:F37)</f>
        <v>2.3047582346417932</v>
      </c>
      <c r="G42" s="15">
        <f>STDEV(G9:G37)</f>
        <v>18.517777477500644</v>
      </c>
      <c r="H42" s="15">
        <f>STDEV(H9:H37)</f>
        <v>6.8276104144746759</v>
      </c>
      <c r="I42" s="15">
        <f>STDEV(I9:I37)</f>
        <v>0.0058188742922970832</v>
      </c>
      <c r="J42" s="15">
        <f>STDEV(J9:J37)</f>
        <v>0.21289781434955299</v>
      </c>
      <c r="K42" s="15">
        <f>STDEV(K9:K37)</f>
        <v>25.128913151387593</v>
      </c>
      <c r="L42" s="15">
        <f>STDEV(L9:L37)</f>
        <v>1.5421225817288209</v>
      </c>
      <c r="M42" s="15">
        <f>STDEV(M9:M37)</f>
        <v>11.64096941968694</v>
      </c>
      <c r="N42" s="15">
        <f>STDEV(N9:N37)</f>
        <v>29.024693734847173</v>
      </c>
      <c r="O42" s="15">
        <f>STDEV(O9:O37)</f>
        <v>0.041781451089836663</v>
      </c>
      <c r="P42" s="15">
        <f>STDEV(P9:P37)</f>
        <v>0.21390744930318722</v>
      </c>
      <c r="Q42" s="15">
        <f>STDEV(Q9:Q37)</f>
        <v>2.2242615892653781</v>
      </c>
      <c r="R42" s="28"/>
      <c r="S42" s="28"/>
      <c r="T42" s="28"/>
      <c r="U42" s="28"/>
    </row>
    <row r="43" spans="1:21" s="21" customFormat="1" ht="15">
      <c r="A43" s="14" t="s">
        <v>33</v>
      </c>
      <c r="B43" s="12">
        <f>COUNT(B9:B37)</f>
        <v>29</v>
      </c>
      <c r="C43" s="12">
        <f>COUNT(C9:C37)</f>
        <v>29</v>
      </c>
      <c r="D43" s="12">
        <f>COUNT(D9:D37)</f>
        <v>29</v>
      </c>
      <c r="E43" s="12">
        <f>COUNT(E9:E37)</f>
        <v>29</v>
      </c>
      <c r="F43" s="12">
        <f>COUNT(F9:F37)</f>
        <v>29</v>
      </c>
      <c r="G43" s="12">
        <f>COUNT(G9:G37)</f>
        <v>29</v>
      </c>
      <c r="H43" s="12">
        <f>COUNT(H9:H37)</f>
        <v>29</v>
      </c>
      <c r="I43" s="12">
        <f>COUNT(I9:I37)</f>
        <v>29</v>
      </c>
      <c r="J43" s="12">
        <f>COUNT(J9:J37)</f>
        <v>29</v>
      </c>
      <c r="K43" s="12">
        <f>COUNT(K9:K37)</f>
        <v>29</v>
      </c>
      <c r="L43" s="12">
        <f>COUNT(L9:L37)</f>
        <v>29</v>
      </c>
      <c r="M43" s="12">
        <f>COUNT(M9:M37)</f>
        <v>29</v>
      </c>
      <c r="N43" s="12">
        <f>COUNT(N9:N37)</f>
        <v>29</v>
      </c>
      <c r="O43" s="12">
        <f>COUNT(O9:O37)</f>
        <v>29</v>
      </c>
      <c r="P43" s="12">
        <f>COUNT(P9:P37)</f>
        <v>29</v>
      </c>
      <c r="Q43" s="12">
        <f>COUNT(Q9:Q37)</f>
        <v>29</v>
      </c>
      <c r="R43" s="29"/>
      <c r="S43" s="29"/>
      <c r="T43" s="29"/>
      <c r="U43" s="29"/>
    </row>
    <row r="44" spans="1:21" s="21" customFormat="1" ht="15">
      <c r="A44" s="14" t="s">
        <v>34</v>
      </c>
      <c r="B44" s="12" t="str">
        <f>IF(B43&gt;=28,"&gt;90%",IF(B43&lt;=28,"&lt;90%"))</f>
        <v>&gt;90%</v>
      </c>
      <c r="C44" s="12" t="str">
        <f t="shared" si="0" ref="C44:Q44">IF(C43&gt;=28,"&gt;90%",IF(C43&lt;=28,"&lt;90%"))</f>
        <v>&gt;90%</v>
      </c>
      <c r="D44" s="12" t="str">
        <f t="shared" si="0"/>
        <v>&gt;90%</v>
      </c>
      <c r="E44" s="12" t="str">
        <f t="shared" si="0"/>
        <v>&gt;90%</v>
      </c>
      <c r="F44" s="12" t="str">
        <f t="shared" si="0"/>
        <v>&gt;90%</v>
      </c>
      <c r="G44" s="12" t="str">
        <f t="shared" si="0"/>
        <v>&gt;90%</v>
      </c>
      <c r="H44" s="12" t="str">
        <f t="shared" si="0"/>
        <v>&gt;90%</v>
      </c>
      <c r="I44" s="12" t="str">
        <f t="shared" si="0"/>
        <v>&gt;90%</v>
      </c>
      <c r="J44" s="12" t="str">
        <f t="shared" si="0"/>
        <v>&gt;90%</v>
      </c>
      <c r="K44" s="12" t="str">
        <f t="shared" si="0"/>
        <v>&gt;90%</v>
      </c>
      <c r="L44" s="12" t="str">
        <f t="shared" si="0"/>
        <v>&gt;90%</v>
      </c>
      <c r="M44" s="12" t="str">
        <f t="shared" si="0"/>
        <v>&gt;90%</v>
      </c>
      <c r="N44" s="12" t="str">
        <f t="shared" si="0"/>
        <v>&gt;90%</v>
      </c>
      <c r="O44" s="12" t="str">
        <f t="shared" si="0"/>
        <v>&gt;90%</v>
      </c>
      <c r="P44" s="12" t="str">
        <f t="shared" si="0"/>
        <v>&gt;90%</v>
      </c>
      <c r="Q44" s="12" t="str">
        <f t="shared" si="0"/>
        <v>&gt;90%</v>
      </c>
      <c r="R44" s="29"/>
      <c r="S44" s="29"/>
      <c r="T44" s="29"/>
      <c r="U44" s="29"/>
    </row>
    <row r="45" spans="1:21" s="21" customFormat="1" ht="15">
      <c r="A45" s="14" t="s">
        <v>1</v>
      </c>
      <c r="B45" s="12" t="str">
        <f>IF(B43&gt;=28,"OK",IF(B43&lt;=28,"LESS"))</f>
        <v>OK</v>
      </c>
      <c r="C45" s="12" t="str">
        <f t="shared" si="1" ref="C45:Q45">IF(C43&gt;=28,"OK",IF(C43&lt;=28,"LESS"))</f>
        <v>OK</v>
      </c>
      <c r="D45" s="12" t="str">
        <f t="shared" si="1"/>
        <v>OK</v>
      </c>
      <c r="E45" s="12" t="str">
        <f t="shared" si="1"/>
        <v>OK</v>
      </c>
      <c r="F45" s="12" t="str">
        <f t="shared" si="1"/>
        <v>OK</v>
      </c>
      <c r="G45" s="12" t="str">
        <f t="shared" si="1"/>
        <v>OK</v>
      </c>
      <c r="H45" s="12" t="str">
        <f t="shared" si="1"/>
        <v>OK</v>
      </c>
      <c r="I45" s="12" t="str">
        <f t="shared" si="1"/>
        <v>OK</v>
      </c>
      <c r="J45" s="12" t="str">
        <f t="shared" si="1"/>
        <v>OK</v>
      </c>
      <c r="K45" s="12" t="str">
        <f t="shared" si="1"/>
        <v>OK</v>
      </c>
      <c r="L45" s="12" t="str">
        <f t="shared" si="1"/>
        <v>OK</v>
      </c>
      <c r="M45" s="12" t="str">
        <f t="shared" si="1"/>
        <v>OK</v>
      </c>
      <c r="N45" s="12" t="str">
        <f t="shared" si="1"/>
        <v>OK</v>
      </c>
      <c r="O45" s="12" t="str">
        <f t="shared" si="1"/>
        <v>OK</v>
      </c>
      <c r="P45" s="12" t="str">
        <f t="shared" si="1"/>
        <v>OK</v>
      </c>
      <c r="Q45" s="12" t="str">
        <f t="shared" si="1"/>
        <v>OK</v>
      </c>
      <c r="R45" s="29"/>
      <c r="S45" s="29"/>
      <c r="T45" s="29"/>
      <c r="U45" s="29"/>
    </row>
    <row r="46" spans="2:20" ht="15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8" spans="1:16" ht="15">
      <c r="A48" s="14" t="s">
        <v>35</v>
      </c>
      <c r="B48" s="40" t="s">
        <v>60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5">
      <c r="A49" s="13"/>
      <c r="B49" s="21"/>
      <c r="C49" s="21"/>
      <c r="D49" s="1"/>
      <c r="E49" s="1"/>
      <c r="F49" s="1"/>
      <c r="G49" s="1"/>
      <c r="H49" s="1"/>
      <c r="I49" s="1"/>
      <c r="J49" s="21"/>
      <c r="K49" s="21"/>
      <c r="L49" s="21"/>
      <c r="M49" s="21"/>
      <c r="N49" s="21"/>
      <c r="O49" s="21"/>
      <c r="P49" s="21"/>
    </row>
    <row r="50" spans="1:16" ht="15.75">
      <c r="A50" s="17" t="s">
        <v>36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 ht="15">
      <c r="A51" s="1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</sheetData>
  <sheetProtection/>
  <mergeCells count="1">
    <mergeCell ref="B50:P50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2024-03-04T11:12:00Z</dcterms:modified>
  <cp:category/>
</cp:coreProperties>
</file>