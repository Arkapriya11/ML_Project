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28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MONTHLY " sheetId="39" r:id="rId31"/>
    <sheet name="Sheet" sheetId="40" r:id="rId32"/>
    <sheet name="Sheet1" sheetId="42" r:id="rId33"/>
    <sheet name="Sheet2" sheetId="41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<sst xmlns="http://schemas.openxmlformats.org/spreadsheetml/2006/main" count="2824" uniqueCount="733">
  <si>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</si>
  <si>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</si>
  <si>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</si>
  <si>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</si>
  <si>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</si>
  <si>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</si>
  <si>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</si>
  <si>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</si>
  <si>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</si>
  <si>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</si>
  <si>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</si>
  <si>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</si>
  <si>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</si>
  <si>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</si>
  <si>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</si>
  <si>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</si>
  <si>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</si>
  <si>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</si>
  <si>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</si>
  <si>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</si>
  <si>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</si>
  <si>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</si>
  <si>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</si>
  <si>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</si>
  <si>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</si>
  <si>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</si>
  <si>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</si>
  <si>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</si>
  <si>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</si>
  <si>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</si>
  <si>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</si>
  <si>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</si>
  <si>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</si>
  <si>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</si>
  <si>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</si>
  <si>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</si>
  <si>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</si>
  <si>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</si>
  <si>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</si>
  <si>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</si>
  <si>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</si>
  <si>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</si>
  <si>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</si>
  <si>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</si>
  <si>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</si>
  <si>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</si>
  <si>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</si>
  <si>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</si>
  <si>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</si>
  <si>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</si>
  <si>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</si>
  <si>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</si>
  <si>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</si>
  <si>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</si>
  <si>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</si>
  <si>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</si>
  <si>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</si>
  <si>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</si>
  <si>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</si>
  <si>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</si>
  <si>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01-02-2023 01:00</t>
  </si>
  <si>
    <t>01-02-2023 02:00</t>
  </si>
  <si>
    <t>01-02-2023 03:00</t>
  </si>
  <si>
    <t>01-02-2023 04:00</t>
  </si>
  <si>
    <t>01-02-2023 05:00</t>
  </si>
  <si>
    <t>01-02-2023 06:00</t>
  </si>
  <si>
    <t>01-02-2023 07:00</t>
  </si>
  <si>
    <t>01-02-2023 08:00</t>
  </si>
  <si>
    <t>01-02-2023 09:00</t>
  </si>
  <si>
    <t>01-02-2023 10:00</t>
  </si>
  <si>
    <t>01-02-2023 11:00</t>
  </si>
  <si>
    <t>01-02-2023 12:00</t>
  </si>
  <si>
    <t>01-02-2023 13:00</t>
  </si>
  <si>
    <t>01-02-2023 14:00</t>
  </si>
  <si>
    <t>01-02-2023 15:00</t>
  </si>
  <si>
    <t>01-02-2023 16:00</t>
  </si>
  <si>
    <t>01-02-2023 17:00</t>
  </si>
  <si>
    <t>01-02-2023 18:00</t>
  </si>
  <si>
    <t>01-02-2023 19:00</t>
  </si>
  <si>
    <t>01-02-2023 20:00</t>
  </si>
  <si>
    <t>01-02-2023 21:00</t>
  </si>
  <si>
    <t>01-02-2023 22:00</t>
  </si>
  <si>
    <t>01-02-2023 23:00</t>
  </si>
  <si>
    <t>01-02-2023 24:00</t>
  </si>
  <si>
    <t>02-02-2023 01:00</t>
  </si>
  <si>
    <t>02-02-2023 02:00</t>
  </si>
  <si>
    <t>02-02-2023 03:00</t>
  </si>
  <si>
    <t>02-02-2023 04:00</t>
  </si>
  <si>
    <t>02-02-2023 05:00</t>
  </si>
  <si>
    <t>02-02-2023 06:00</t>
  </si>
  <si>
    <t>02-02-2023 07:00</t>
  </si>
  <si>
    <t>02-02-2023 08:00</t>
  </si>
  <si>
    <t>02-02-2023 09:00</t>
  </si>
  <si>
    <t>02-02-2023 10:00</t>
  </si>
  <si>
    <t>02-02-2023 11:00</t>
  </si>
  <si>
    <t>02-02-2023 12:00</t>
  </si>
  <si>
    <t>02-02-2023 13:00</t>
  </si>
  <si>
    <t>02-02-2023 14:00</t>
  </si>
  <si>
    <t>02-02-2023 15:00</t>
  </si>
  <si>
    <t>02-02-2023 16:00</t>
  </si>
  <si>
    <t>02-02-2023 17:00</t>
  </si>
  <si>
    <t>02-02-2023 18:00</t>
  </si>
  <si>
    <t>02-02-2023 19:00</t>
  </si>
  <si>
    <t>02-02-2023 20:00</t>
  </si>
  <si>
    <t>02-02-2023 21:00</t>
  </si>
  <si>
    <t>02-02-2023 22:00</t>
  </si>
  <si>
    <t>02-02-2023 23:00</t>
  </si>
  <si>
    <t>02-02-2023 24:00</t>
  </si>
  <si>
    <t>03-02-2023 01:00</t>
  </si>
  <si>
    <t>03-02-2023 02:00</t>
  </si>
  <si>
    <t>03-02-2023 03:00</t>
  </si>
  <si>
    <t>03-02-2023 04:00</t>
  </si>
  <si>
    <t>03-02-2023 05:00</t>
  </si>
  <si>
    <t>03-02-2023 06:00</t>
  </si>
  <si>
    <t>03-02-2023 07:00</t>
  </si>
  <si>
    <t>03-02-2023 08:00</t>
  </si>
  <si>
    <t>03-02-2023 09:00</t>
  </si>
  <si>
    <t>03-02-2023 10:00</t>
  </si>
  <si>
    <t>03-02-2023 11:00</t>
  </si>
  <si>
    <t>03-02-2023 12:00</t>
  </si>
  <si>
    <t>03-02-2023 13:00</t>
  </si>
  <si>
    <t>03-02-2023 14:00</t>
  </si>
  <si>
    <t>03-02-2023 15:00</t>
  </si>
  <si>
    <t>03-02-2023 16:00</t>
  </si>
  <si>
    <t>03-02-2023 17:00</t>
  </si>
  <si>
    <t>03-02-2023 18:00</t>
  </si>
  <si>
    <t>03-02-2023 19:00</t>
  </si>
  <si>
    <t>03-02-2023 20:00</t>
  </si>
  <si>
    <t>03-02-2023 21:00</t>
  </si>
  <si>
    <t>03-02-2023 22:00</t>
  </si>
  <si>
    <t>03-02-2023 23:00</t>
  </si>
  <si>
    <t>03-02-2023 24:00</t>
  </si>
  <si>
    <t>ppb</t>
  </si>
  <si>
    <t>04-02-2023 01:00</t>
  </si>
  <si>
    <t>04-02-2023 02:00</t>
  </si>
  <si>
    <t>04-02-2023 03:00</t>
  </si>
  <si>
    <t>04-02-2023 04:00</t>
  </si>
  <si>
    <t>04-02-2023 05:00</t>
  </si>
  <si>
    <t>04-02-2023 06:00</t>
  </si>
  <si>
    <t>04-02-2023 07:00</t>
  </si>
  <si>
    <t>04-02-2023 08:00</t>
  </si>
  <si>
    <t>04-02-2023 09:00</t>
  </si>
  <si>
    <t>04-02-2023 10:00</t>
  </si>
  <si>
    <t>04-02-2023 11:00</t>
  </si>
  <si>
    <t>04-02-2023 12:00</t>
  </si>
  <si>
    <t>04-02-2023 13:00</t>
  </si>
  <si>
    <t>04-02-2023 14:00</t>
  </si>
  <si>
    <t>04-02-2023 15:00</t>
  </si>
  <si>
    <t>04-02-2023 16:00</t>
  </si>
  <si>
    <t>04-02-2023 17:00</t>
  </si>
  <si>
    <t>04-02-2023 18:00</t>
  </si>
  <si>
    <t>04-02-2023 19:00</t>
  </si>
  <si>
    <t>04-02-2023 20:00</t>
  </si>
  <si>
    <t>04-02-2023 21:00</t>
  </si>
  <si>
    <t>04-02-2023 22:00</t>
  </si>
  <si>
    <t>04-02-2023 23:00</t>
  </si>
  <si>
    <t>04-02-2023 24:00</t>
  </si>
  <si>
    <t>05-02-2023 01:00</t>
  </si>
  <si>
    <t>05-02-2023 02:00</t>
  </si>
  <si>
    <t>05-02-2023 03:00</t>
  </si>
  <si>
    <t>05-02-2023 04:00</t>
  </si>
  <si>
    <t>05-02-2023 05:00</t>
  </si>
  <si>
    <t>05-02-2023 06:00</t>
  </si>
  <si>
    <t>05-02-2023 07:00</t>
  </si>
  <si>
    <t>05-02-2023 08:00</t>
  </si>
  <si>
    <t>05-02-2023 09:00</t>
  </si>
  <si>
    <t>05-02-2023 10:00</t>
  </si>
  <si>
    <t>05-02-2023 11:00</t>
  </si>
  <si>
    <t>05-02-2023 12:00</t>
  </si>
  <si>
    <t>05-02-2023 13:00</t>
  </si>
  <si>
    <t>05-02-2023 14:00</t>
  </si>
  <si>
    <t>05-02-2023 15:00</t>
  </si>
  <si>
    <t>05-02-2023 16:00</t>
  </si>
  <si>
    <t>05-02-2023 17:00</t>
  </si>
  <si>
    <t>05-02-2023 18:00</t>
  </si>
  <si>
    <t>05-02-2023 19:00</t>
  </si>
  <si>
    <t>05-02-2023 20:00</t>
  </si>
  <si>
    <t>05-02-2023 21:00</t>
  </si>
  <si>
    <t>05-02-2023 22:00</t>
  </si>
  <si>
    <t>05-02-2023 23:00</t>
  </si>
  <si>
    <t>05-02-2023 24:00</t>
  </si>
  <si>
    <t>06-02-2023 01:00</t>
  </si>
  <si>
    <t>06-02-2023 02:00</t>
  </si>
  <si>
    <t>06-02-2023 03:00</t>
  </si>
  <si>
    <t>06-02-2023 04:00</t>
  </si>
  <si>
    <t>06-02-2023 05:00</t>
  </si>
  <si>
    <t>06-02-2023 06:00</t>
  </si>
  <si>
    <t>06-02-2023 07:00</t>
  </si>
  <si>
    <t>06-02-2023 08:00</t>
  </si>
  <si>
    <t>06-02-2023 09:00</t>
  </si>
  <si>
    <t>06-02-2023 10:00</t>
  </si>
  <si>
    <t>06-02-2023 11:00</t>
  </si>
  <si>
    <t>06-02-2023 12:00</t>
  </si>
  <si>
    <t>06-02-2023 13:00</t>
  </si>
  <si>
    <t>06-02-2023 14:00</t>
  </si>
  <si>
    <t>06-02-2023 15:00</t>
  </si>
  <si>
    <t>06-02-2023 16:00</t>
  </si>
  <si>
    <t>06-02-2023 17:00</t>
  </si>
  <si>
    <t>06-02-2023 18:00</t>
  </si>
  <si>
    <t>06-02-2023 19:00</t>
  </si>
  <si>
    <t>06-02-2023 20:00</t>
  </si>
  <si>
    <t>06-02-2023 21:00</t>
  </si>
  <si>
    <t>06-02-2023 22:00</t>
  </si>
  <si>
    <t>06-02-2023 23:00</t>
  </si>
  <si>
    <t>06-02-2023 24:00</t>
  </si>
  <si>
    <t>07-02-2023 01:00</t>
  </si>
  <si>
    <t>07-02-2023 02:00</t>
  </si>
  <si>
    <t>07-02-2023 03:00</t>
  </si>
  <si>
    <t>07-02-2023 04:00</t>
  </si>
  <si>
    <t>07-02-2023 05:00</t>
  </si>
  <si>
    <t>07-02-2023 06:00</t>
  </si>
  <si>
    <t>07-02-2023 07:00</t>
  </si>
  <si>
    <t>07-02-2023 08:00</t>
  </si>
  <si>
    <t>07-02-2023 09:00</t>
  </si>
  <si>
    <t>07-02-2023 10:00</t>
  </si>
  <si>
    <t>07-02-2023 11:00</t>
  </si>
  <si>
    <t>07-02-2023 12:00</t>
  </si>
  <si>
    <t>07-02-2023 13:00</t>
  </si>
  <si>
    <t>07-02-2023 14:00</t>
  </si>
  <si>
    <t>07-02-2023 15:00</t>
  </si>
  <si>
    <t>07-02-2023 16:00</t>
  </si>
  <si>
    <t>07-02-2023 17:00</t>
  </si>
  <si>
    <t>07-02-2023 18:00</t>
  </si>
  <si>
    <t>07-02-2023 19:00</t>
  </si>
  <si>
    <t>07-02-2023 20:00</t>
  </si>
  <si>
    <t>07-02-2023 21:00</t>
  </si>
  <si>
    <t>07-02-2023 22:00</t>
  </si>
  <si>
    <t>07-02-2023 23:00</t>
  </si>
  <si>
    <t>07-02-2023 24:00</t>
  </si>
  <si>
    <t>08-02-2023 01:00</t>
  </si>
  <si>
    <t>08-02-2023 02:00</t>
  </si>
  <si>
    <t>08-02-2023 03:00</t>
  </si>
  <si>
    <t>08-02-2023 04:00</t>
  </si>
  <si>
    <t>08-02-2023 05:00</t>
  </si>
  <si>
    <t>08-02-2023 06:00</t>
  </si>
  <si>
    <t>08-02-2023 07:00</t>
  </si>
  <si>
    <t>08-02-2023 08:00</t>
  </si>
  <si>
    <t>08-02-2023 09:00</t>
  </si>
  <si>
    <t>08-02-2023 10:00</t>
  </si>
  <si>
    <t>08-02-2023 11:00</t>
  </si>
  <si>
    <t>08-02-2023 12:00</t>
  </si>
  <si>
    <t>08-02-2023 13:00</t>
  </si>
  <si>
    <t>08-02-2023 14:00</t>
  </si>
  <si>
    <t>08-02-2023 15:00</t>
  </si>
  <si>
    <t>08-02-2023 16:00</t>
  </si>
  <si>
    <t>08-02-2023 17:00</t>
  </si>
  <si>
    <t>08-02-2023 18:00</t>
  </si>
  <si>
    <t>08-02-2023 19:00</t>
  </si>
  <si>
    <t>08-02-2023 20:00</t>
  </si>
  <si>
    <t>08-02-2023 21:00</t>
  </si>
  <si>
    <t>08-02-2023 22:00</t>
  </si>
  <si>
    <t>08-02-2023 23:00</t>
  </si>
  <si>
    <t>08-02-2023 24:00</t>
  </si>
  <si>
    <t>09-02-2023 01:00</t>
  </si>
  <si>
    <t>09-02-2023 02:00</t>
  </si>
  <si>
    <t>09-02-2023 03:00</t>
  </si>
  <si>
    <t>09-02-2023 04:00</t>
  </si>
  <si>
    <t>09-02-2023 05:00</t>
  </si>
  <si>
    <t>09-02-2023 06:00</t>
  </si>
  <si>
    <t>09-02-2023 07:00</t>
  </si>
  <si>
    <t>09-02-2023 08:00</t>
  </si>
  <si>
    <t>09-02-2023 09:00</t>
  </si>
  <si>
    <t>09-02-2023 10:00</t>
  </si>
  <si>
    <t>09-02-2023 11:00</t>
  </si>
  <si>
    <t>09-02-2023 12:00</t>
  </si>
  <si>
    <t>09-02-2023 13:00</t>
  </si>
  <si>
    <t>09-02-2023 14:00</t>
  </si>
  <si>
    <t>09-02-2023 15:00</t>
  </si>
  <si>
    <t>09-02-2023 16:00</t>
  </si>
  <si>
    <t>09-02-2023 17:00</t>
  </si>
  <si>
    <t>09-02-2023 18:00</t>
  </si>
  <si>
    <t>09-02-2023 19:00</t>
  </si>
  <si>
    <t>09-02-2023 20:00</t>
  </si>
  <si>
    <t>09-02-2023 21:00</t>
  </si>
  <si>
    <t>09-02-2023 22:00</t>
  </si>
  <si>
    <t>09-02-2023 23:00</t>
  </si>
  <si>
    <t>09-02-2023 24:00</t>
  </si>
  <si>
    <t>10-02-2023 01:00</t>
  </si>
  <si>
    <t>10-02-2023 02:00</t>
  </si>
  <si>
    <t>10-02-2023 03:00</t>
  </si>
  <si>
    <t>10-02-2023 04:00</t>
  </si>
  <si>
    <t>10-02-2023 05:00</t>
  </si>
  <si>
    <t>10-02-2023 06:00</t>
  </si>
  <si>
    <t>10-02-2023 07:00</t>
  </si>
  <si>
    <t>10-02-2023 08:00</t>
  </si>
  <si>
    <t>10-02-2023 09:00</t>
  </si>
  <si>
    <t>10-02-2023 10:00</t>
  </si>
  <si>
    <t>10-02-2023 11:00</t>
  </si>
  <si>
    <t>10-02-2023 12:00</t>
  </si>
  <si>
    <t>10-02-2023 13:00</t>
  </si>
  <si>
    <t>10-02-2023 14:00</t>
  </si>
  <si>
    <t>10-02-2023 15:00</t>
  </si>
  <si>
    <t>10-02-2023 16:00</t>
  </si>
  <si>
    <t>10-02-2023 17:00</t>
  </si>
  <si>
    <t>10-02-2023 18:00</t>
  </si>
  <si>
    <t>10-02-2023 19:00</t>
  </si>
  <si>
    <t>10-02-2023 20:00</t>
  </si>
  <si>
    <t>10-02-2023 21:00</t>
  </si>
  <si>
    <t>10-02-2023 22:00</t>
  </si>
  <si>
    <t>10-02-2023 23:00</t>
  </si>
  <si>
    <t>10-02-2023 24:00</t>
  </si>
  <si>
    <t>11-02-2023 01:00</t>
  </si>
  <si>
    <t>11-02-2023 02:00</t>
  </si>
  <si>
    <t>11-02-2023 03:00</t>
  </si>
  <si>
    <t>11-02-2023 04:00</t>
  </si>
  <si>
    <t>11-02-2023 05:00</t>
  </si>
  <si>
    <t>11-02-2023 06:00</t>
  </si>
  <si>
    <t>11-02-2023 07:00</t>
  </si>
  <si>
    <t>11-02-2023 08:00</t>
  </si>
  <si>
    <t>11-02-2023 09:00</t>
  </si>
  <si>
    <t>11-02-2023 10:00</t>
  </si>
  <si>
    <t>11-02-2023 11:00</t>
  </si>
  <si>
    <t>11-02-2023 12:00</t>
  </si>
  <si>
    <t>11-02-2023 13:00</t>
  </si>
  <si>
    <t>11-02-2023 14:00</t>
  </si>
  <si>
    <t>11-02-2023 15:00</t>
  </si>
  <si>
    <t>11-02-2023 16:00</t>
  </si>
  <si>
    <t>11-02-2023 17:00</t>
  </si>
  <si>
    <t>11-02-2023 18:00</t>
  </si>
  <si>
    <t>11-02-2023 19:00</t>
  </si>
  <si>
    <t>11-02-2023 20:00</t>
  </si>
  <si>
    <t>11-02-2023 21:00</t>
  </si>
  <si>
    <t>11-02-2023 22:00</t>
  </si>
  <si>
    <t>11-02-2023 23:00</t>
  </si>
  <si>
    <t>11-02-2023 24:00</t>
  </si>
  <si>
    <t>12-02-2023 01:00</t>
  </si>
  <si>
    <t>12-02-2023 02:00</t>
  </si>
  <si>
    <t>12-02-2023 03:00</t>
  </si>
  <si>
    <t>12-02-2023 04:00</t>
  </si>
  <si>
    <t>12-02-2023 05:00</t>
  </si>
  <si>
    <t>12-02-2023 06:00</t>
  </si>
  <si>
    <t>12-02-2023 07:00</t>
  </si>
  <si>
    <t>12-02-2023 08:00</t>
  </si>
  <si>
    <t>12-02-2023 09:00</t>
  </si>
  <si>
    <t>12-02-2023 10:00</t>
  </si>
  <si>
    <t>12-02-2023 11:00</t>
  </si>
  <si>
    <t>12-02-2023 12:00</t>
  </si>
  <si>
    <t>12-02-2023 13:00</t>
  </si>
  <si>
    <t>12-02-2023 14:00</t>
  </si>
  <si>
    <t>12-02-2023 15:00</t>
  </si>
  <si>
    <t>12-02-2023 16:00</t>
  </si>
  <si>
    <t>12-02-2023 17:00</t>
  </si>
  <si>
    <t>12-02-2023 18:00</t>
  </si>
  <si>
    <t>12-02-2023 19:00</t>
  </si>
  <si>
    <t>12-02-2023 20:00</t>
  </si>
  <si>
    <t>12-02-2023 21:00</t>
  </si>
  <si>
    <t>12-02-2023 22:00</t>
  </si>
  <si>
    <t>12-02-2023 23:00</t>
  </si>
  <si>
    <t>12-02-2023 24:00</t>
  </si>
  <si>
    <t>13-02-2023 01:00</t>
  </si>
  <si>
    <t>13-02-2023 02:00</t>
  </si>
  <si>
    <t>13-02-2023 03:00</t>
  </si>
  <si>
    <t>13-02-2023 04:00</t>
  </si>
  <si>
    <t>13-02-2023 05:00</t>
  </si>
  <si>
    <t>13-02-2023 06:00</t>
  </si>
  <si>
    <t>13-02-2023 07:00</t>
  </si>
  <si>
    <t>13-02-2023 08:00</t>
  </si>
  <si>
    <t>13-02-2023 09:00</t>
  </si>
  <si>
    <t>13-02-2023 10:00</t>
  </si>
  <si>
    <t>13-02-2023 11:00</t>
  </si>
  <si>
    <t>13-02-2023 12:00</t>
  </si>
  <si>
    <t>13-02-2023 13:00</t>
  </si>
  <si>
    <t>13-02-2023 14:00</t>
  </si>
  <si>
    <t>13-02-2023 15:00</t>
  </si>
  <si>
    <t>13-02-2023 16:00</t>
  </si>
  <si>
    <t>13-02-2023 17:00</t>
  </si>
  <si>
    <t>13-02-2023 18:00</t>
  </si>
  <si>
    <t>13-02-2023 19:00</t>
  </si>
  <si>
    <t>13-02-2023 20:00</t>
  </si>
  <si>
    <t>13-02-2023 21:00</t>
  </si>
  <si>
    <t>13-02-2023 22:00</t>
  </si>
  <si>
    <t>13-02-2023 23:00</t>
  </si>
  <si>
    <t>13-02-2023 24:00</t>
  </si>
  <si>
    <t>14-02-2023 01:00</t>
  </si>
  <si>
    <t>14-02-2023 02:00</t>
  </si>
  <si>
    <t>14-02-2023 03:00</t>
  </si>
  <si>
    <t>14-02-2023 04:00</t>
  </si>
  <si>
    <t>14-02-2023 05:00</t>
  </si>
  <si>
    <t>14-02-2023 06:00</t>
  </si>
  <si>
    <t>14-02-2023 07:00</t>
  </si>
  <si>
    <t>14-02-2023 08:00</t>
  </si>
  <si>
    <t>14-02-2023 09:00</t>
  </si>
  <si>
    <t>14-02-2023 10:00</t>
  </si>
  <si>
    <t>14-02-2023 11:00</t>
  </si>
  <si>
    <t>14-02-2023 12:00</t>
  </si>
  <si>
    <t>14-02-2023 13:00</t>
  </si>
  <si>
    <t>14-02-2023 14:00</t>
  </si>
  <si>
    <t>14-02-2023 15:00</t>
  </si>
  <si>
    <t>14-02-2023 16:00</t>
  </si>
  <si>
    <t>14-02-2023 17:00</t>
  </si>
  <si>
    <t>14-02-2023 18:00</t>
  </si>
  <si>
    <t>14-02-2023 19:00</t>
  </si>
  <si>
    <t>14-02-2023 20:00</t>
  </si>
  <si>
    <t>14-02-2023 21:00</t>
  </si>
  <si>
    <t>14-02-2023 22:00</t>
  </si>
  <si>
    <t>14-02-2023 23:00</t>
  </si>
  <si>
    <t>14-02-2023 24:00</t>
  </si>
  <si>
    <t>15-02-2023 01:00</t>
  </si>
  <si>
    <t>15-02-2023 02:00</t>
  </si>
  <si>
    <t>15-02-2023 03:00</t>
  </si>
  <si>
    <t>15-02-2023 04:00</t>
  </si>
  <si>
    <t>15-02-2023 05:00</t>
  </si>
  <si>
    <t>15-02-2023 06:00</t>
  </si>
  <si>
    <t>15-02-2023 07:00</t>
  </si>
  <si>
    <t>15-02-2023 08:00</t>
  </si>
  <si>
    <t>15-02-2023 09:00</t>
  </si>
  <si>
    <t>15-02-2023 10:00</t>
  </si>
  <si>
    <t>15-02-2023 11:00</t>
  </si>
  <si>
    <t>15-02-2023 12:00</t>
  </si>
  <si>
    <t>15-02-2023 13:00</t>
  </si>
  <si>
    <t>15-02-2023 14:00</t>
  </si>
  <si>
    <t>15-02-2023 15:00</t>
  </si>
  <si>
    <t>15-02-2023 16:00</t>
  </si>
  <si>
    <t>15-02-2023 17:00</t>
  </si>
  <si>
    <t>15-02-2023 18:00</t>
  </si>
  <si>
    <t>15-02-2023 19:00</t>
  </si>
  <si>
    <t>15-02-2023 20:00</t>
  </si>
  <si>
    <t>15-02-2023 21:00</t>
  </si>
  <si>
    <t>15-02-2023 22:00</t>
  </si>
  <si>
    <t>15-02-2023 23:00</t>
  </si>
  <si>
    <t>15-02-2023 24:00</t>
  </si>
  <si>
    <t>16-02-2023 01:00</t>
  </si>
  <si>
    <t>16-02-2023 02:00</t>
  </si>
  <si>
    <t>16-02-2023 03:00</t>
  </si>
  <si>
    <t>16-02-2023 04:00</t>
  </si>
  <si>
    <t>16-02-2023 05:00</t>
  </si>
  <si>
    <t>16-02-2023 06:00</t>
  </si>
  <si>
    <t>16-02-2023 07:00</t>
  </si>
  <si>
    <t>16-02-2023 08:00</t>
  </si>
  <si>
    <t>16-02-2023 09:00</t>
  </si>
  <si>
    <t>16-02-2023 10:00</t>
  </si>
  <si>
    <t>16-02-2023 11:00</t>
  </si>
  <si>
    <t>16-02-2023 12:00</t>
  </si>
  <si>
    <t>16-02-2023 13:00</t>
  </si>
  <si>
    <t>16-02-2023 14:00</t>
  </si>
  <si>
    <t>16-02-2023 15:00</t>
  </si>
  <si>
    <t>16-02-2023 16:00</t>
  </si>
  <si>
    <t>16-02-2023 17:00</t>
  </si>
  <si>
    <t>16-02-2023 18:00</t>
  </si>
  <si>
    <t>16-02-2023 19:00</t>
  </si>
  <si>
    <t>16-02-2023 20:00</t>
  </si>
  <si>
    <t>16-02-2023 21:00</t>
  </si>
  <si>
    <t>16-02-2023 22:00</t>
  </si>
  <si>
    <t>16-02-2023 23:00</t>
  </si>
  <si>
    <t>16-02-2023 24:00</t>
  </si>
  <si>
    <t>17-02-2023 01:00</t>
  </si>
  <si>
    <t>17-02-2023 02:00</t>
  </si>
  <si>
    <t>17-02-2023 03:00</t>
  </si>
  <si>
    <t>17-02-2023 04:00</t>
  </si>
  <si>
    <t>17-02-2023 05:00</t>
  </si>
  <si>
    <t>17-02-2023 06:00</t>
  </si>
  <si>
    <t>17-02-2023 07:00</t>
  </si>
  <si>
    <t>17-02-2023 08:00</t>
  </si>
  <si>
    <t>17-02-2023 09:00</t>
  </si>
  <si>
    <t>17-02-2023 10:00</t>
  </si>
  <si>
    <t>17-02-2023 11:00</t>
  </si>
  <si>
    <t>17-02-2023 12:00</t>
  </si>
  <si>
    <t>17-02-2023 13:00</t>
  </si>
  <si>
    <t>17-02-2023 14:00</t>
  </si>
  <si>
    <t>17-02-2023 15:00</t>
  </si>
  <si>
    <t>17-02-2023 16:00</t>
  </si>
  <si>
    <t>17-02-2023 17:00</t>
  </si>
  <si>
    <t>17-02-2023 18:00</t>
  </si>
  <si>
    <t>17-02-2023 19:00</t>
  </si>
  <si>
    <t>17-02-2023 20:00</t>
  </si>
  <si>
    <t>17-02-2023 21:00</t>
  </si>
  <si>
    <t>17-02-2023 22:00</t>
  </si>
  <si>
    <t>17-02-2023 23:00</t>
  </si>
  <si>
    <t>17-02-2023 24:00</t>
  </si>
  <si>
    <t>18-02-2023 01:00</t>
  </si>
  <si>
    <t>18-02-2023 02:00</t>
  </si>
  <si>
    <t>18-02-2023 03:00</t>
  </si>
  <si>
    <t>18-02-2023 04:00</t>
  </si>
  <si>
    <t>18-02-2023 05:00</t>
  </si>
  <si>
    <t>18-02-2023 06:00</t>
  </si>
  <si>
    <t>18-02-2023 07:00</t>
  </si>
  <si>
    <t>18-02-2023 08:00</t>
  </si>
  <si>
    <t>18-02-2023 09:00</t>
  </si>
  <si>
    <t>18-02-2023 10:00</t>
  </si>
  <si>
    <t>18-02-2023 11:00</t>
  </si>
  <si>
    <t>18-02-2023 12:00</t>
  </si>
  <si>
    <t>18-02-2023 13:00</t>
  </si>
  <si>
    <t>18-02-2023 14:00</t>
  </si>
  <si>
    <t>18-02-2023 15:00</t>
  </si>
  <si>
    <t>18-02-2023 16:00</t>
  </si>
  <si>
    <t>18-02-2023 17:00</t>
  </si>
  <si>
    <t>18-02-2023 18:00</t>
  </si>
  <si>
    <t>18-02-2023 19:00</t>
  </si>
  <si>
    <t>18-02-2023 20:00</t>
  </si>
  <si>
    <t>18-02-2023 21:00</t>
  </si>
  <si>
    <t>18-02-2023 22:00</t>
  </si>
  <si>
    <t>18-02-2023 23:00</t>
  </si>
  <si>
    <t>18-02-2023 24:00</t>
  </si>
  <si>
    <t>19-02-2023 01:00</t>
  </si>
  <si>
    <t>19-02-2023 02:00</t>
  </si>
  <si>
    <t>19-02-2023 03:00</t>
  </si>
  <si>
    <t>19-02-2023 04:00</t>
  </si>
  <si>
    <t>19-02-2023 05:00</t>
  </si>
  <si>
    <t>19-02-2023 06:00</t>
  </si>
  <si>
    <t>19-02-2023 07:00</t>
  </si>
  <si>
    <t>19-02-2023 08:00</t>
  </si>
  <si>
    <t>19-02-2023 09:00</t>
  </si>
  <si>
    <t>19-02-2023 10:00</t>
  </si>
  <si>
    <t>19-02-2023 11:00</t>
  </si>
  <si>
    <t>19-02-2023 12:00</t>
  </si>
  <si>
    <t>19-02-2023 13:00</t>
  </si>
  <si>
    <t>19-02-2023 14:00</t>
  </si>
  <si>
    <t>19-02-2023 15:00</t>
  </si>
  <si>
    <t>19-02-2023 16:00</t>
  </si>
  <si>
    <t>19-02-2023 17:00</t>
  </si>
  <si>
    <t>19-02-2023 18:00</t>
  </si>
  <si>
    <t>19-02-2023 19:00</t>
  </si>
  <si>
    <t>19-02-2023 20:00</t>
  </si>
  <si>
    <t>19-02-2023 21:00</t>
  </si>
  <si>
    <t>19-02-2023 22:00</t>
  </si>
  <si>
    <t>19-02-2023 23:00</t>
  </si>
  <si>
    <t>19-02-2023 24:00</t>
  </si>
  <si>
    <t>20-02-2023 01:00</t>
  </si>
  <si>
    <t>20-02-2023 02:00</t>
  </si>
  <si>
    <t>20-02-2023 03:00</t>
  </si>
  <si>
    <t>20-02-2023 04:00</t>
  </si>
  <si>
    <t>20-02-2023 05:00</t>
  </si>
  <si>
    <t>20-02-2023 06:00</t>
  </si>
  <si>
    <t>20-02-2023 07:00</t>
  </si>
  <si>
    <t>20-02-2023 08:00</t>
  </si>
  <si>
    <t>20-02-2023 09:00</t>
  </si>
  <si>
    <t>20-02-2023 10:00</t>
  </si>
  <si>
    <t>20-02-2023 11:00</t>
  </si>
  <si>
    <t>20-02-2023 12:00</t>
  </si>
  <si>
    <t>20-02-2023 13:00</t>
  </si>
  <si>
    <t>20-02-2023 14:00</t>
  </si>
  <si>
    <t>20-02-2023 15:00</t>
  </si>
  <si>
    <t>20-02-2023 16:00</t>
  </si>
  <si>
    <t>20-02-2023 17:00</t>
  </si>
  <si>
    <t>20-02-2023 18:00</t>
  </si>
  <si>
    <t>20-02-2023 19:00</t>
  </si>
  <si>
    <t>20-02-2023 20:00</t>
  </si>
  <si>
    <t>20-02-2023 21:00</t>
  </si>
  <si>
    <t>20-02-2023 22:00</t>
  </si>
  <si>
    <t>20-02-2023 23:00</t>
  </si>
  <si>
    <t>20-02-2023 24:00</t>
  </si>
  <si>
    <t>21-02-2023 01:00</t>
  </si>
  <si>
    <t>21-02-2023 02:00</t>
  </si>
  <si>
    <t>21-02-2023 03:00</t>
  </si>
  <si>
    <t>21-02-2023 04:00</t>
  </si>
  <si>
    <t>21-02-2023 05:00</t>
  </si>
  <si>
    <t>21-02-2023 06:00</t>
  </si>
  <si>
    <t>21-02-2023 07:00</t>
  </si>
  <si>
    <t>21-02-2023 08:00</t>
  </si>
  <si>
    <t>21-02-2023 09:00</t>
  </si>
  <si>
    <t>21-02-2023 10:00</t>
  </si>
  <si>
    <t>21-02-2023 11:00</t>
  </si>
  <si>
    <t>21-02-2023 12:00</t>
  </si>
  <si>
    <t>21-02-2023 13:00</t>
  </si>
  <si>
    <t>21-02-2023 14:00</t>
  </si>
  <si>
    <t>21-02-2023 15:00</t>
  </si>
  <si>
    <t>21-02-2023 16:00</t>
  </si>
  <si>
    <t>21-02-2023 17:00</t>
  </si>
  <si>
    <t>21-02-2023 18:00</t>
  </si>
  <si>
    <t>21-02-2023 19:00</t>
  </si>
  <si>
    <t>21-02-2023 20:00</t>
  </si>
  <si>
    <t>21-02-2023 21:00</t>
  </si>
  <si>
    <t>21-02-2023 22:00</t>
  </si>
  <si>
    <t>21-02-2023 23:00</t>
  </si>
  <si>
    <t>21-02-2023 24:00</t>
  </si>
  <si>
    <t>22-02-2023 01:00</t>
  </si>
  <si>
    <t>22-02-2023 02:00</t>
  </si>
  <si>
    <t>22-02-2023 03:00</t>
  </si>
  <si>
    <t>22-02-2023 04:00</t>
  </si>
  <si>
    <t>22-02-2023 05:00</t>
  </si>
  <si>
    <t>22-02-2023 06:00</t>
  </si>
  <si>
    <t>22-02-2023 07:00</t>
  </si>
  <si>
    <t>22-02-2023 08:00</t>
  </si>
  <si>
    <t>22-02-2023 09:00</t>
  </si>
  <si>
    <t>22-02-2023 10:00</t>
  </si>
  <si>
    <t>22-02-2023 11:00</t>
  </si>
  <si>
    <t>22-02-2023 12:00</t>
  </si>
  <si>
    <t>22-02-2023 13:00</t>
  </si>
  <si>
    <t>22-02-2023 14:00</t>
  </si>
  <si>
    <t>22-02-2023 15:00</t>
  </si>
  <si>
    <t>22-02-2023 16:00</t>
  </si>
  <si>
    <t>22-02-2023 17:00</t>
  </si>
  <si>
    <t>22-02-2023 18:00</t>
  </si>
  <si>
    <t>22-02-2023 19:00</t>
  </si>
  <si>
    <t>22-02-2023 20:00</t>
  </si>
  <si>
    <t>22-02-2023 21:00</t>
  </si>
  <si>
    <t>22-02-2023 22:00</t>
  </si>
  <si>
    <t>22-02-2023 23:00</t>
  </si>
  <si>
    <t>22-02-2023 24:00</t>
  </si>
  <si>
    <t>23-02-2023 01:00</t>
  </si>
  <si>
    <t>23-02-2023 02:00</t>
  </si>
  <si>
    <t>23-02-2023 03:00</t>
  </si>
  <si>
    <t>23-02-2023 04:00</t>
  </si>
  <si>
    <t>23-02-2023 05:00</t>
  </si>
  <si>
    <t>23-02-2023 06:00</t>
  </si>
  <si>
    <t>23-02-2023 07:00</t>
  </si>
  <si>
    <t>23-02-2023 08:00</t>
  </si>
  <si>
    <t>23-02-2023 09:00</t>
  </si>
  <si>
    <t>23-02-2023 10:00</t>
  </si>
  <si>
    <t>23-02-2023 11:00</t>
  </si>
  <si>
    <t>23-02-2023 12:00</t>
  </si>
  <si>
    <t>23-02-2023 13:00</t>
  </si>
  <si>
    <t>23-02-2023 14:00</t>
  </si>
  <si>
    <t>23-02-2023 15:00</t>
  </si>
  <si>
    <t>23-02-2023 16:00</t>
  </si>
  <si>
    <t>23-02-2023 17:00</t>
  </si>
  <si>
    <t>23-02-2023 18:00</t>
  </si>
  <si>
    <t>23-02-2023 19:00</t>
  </si>
  <si>
    <t>23-02-2023 20:00</t>
  </si>
  <si>
    <t>23-02-2023 21:00</t>
  </si>
  <si>
    <t>23-02-2023 22:00</t>
  </si>
  <si>
    <t>23-02-2023 23:00</t>
  </si>
  <si>
    <t>23-02-2023 24:00</t>
  </si>
  <si>
    <t>24-02-2023 01:00</t>
  </si>
  <si>
    <t>24-02-2023 02:00</t>
  </si>
  <si>
    <t>24-02-2023 03:00</t>
  </si>
  <si>
    <t>24-02-2023 04:00</t>
  </si>
  <si>
    <t>24-02-2023 05:00</t>
  </si>
  <si>
    <t>24-02-2023 06:00</t>
  </si>
  <si>
    <t>24-02-2023 07:00</t>
  </si>
  <si>
    <t>24-02-2023 08:00</t>
  </si>
  <si>
    <t>24-02-2023 09:00</t>
  </si>
  <si>
    <t>24-02-2023 10:00</t>
  </si>
  <si>
    <t>24-02-2023 11:00</t>
  </si>
  <si>
    <t>24-02-2023 12:00</t>
  </si>
  <si>
    <t>24-02-2023 13:00</t>
  </si>
  <si>
    <t>24-02-2023 14:00</t>
  </si>
  <si>
    <t>24-02-2023 15:00</t>
  </si>
  <si>
    <t>24-02-2023 16:00</t>
  </si>
  <si>
    <t>24-02-2023 17:00</t>
  </si>
  <si>
    <t>24-02-2023 18:00</t>
  </si>
  <si>
    <t>24-02-2023 19:00</t>
  </si>
  <si>
    <t>24-02-2023 20:00</t>
  </si>
  <si>
    <t>24-02-2023 21:00</t>
  </si>
  <si>
    <t>24-02-2023 22:00</t>
  </si>
  <si>
    <t>24-02-2023 23:00</t>
  </si>
  <si>
    <t>24-02-2023 24:00</t>
  </si>
  <si>
    <t>25-02-2023 01:00</t>
  </si>
  <si>
    <t>25-02-2023 02:00</t>
  </si>
  <si>
    <t>25-02-2023 03:00</t>
  </si>
  <si>
    <t>25-02-2023 04:00</t>
  </si>
  <si>
    <t>25-02-2023 05:00</t>
  </si>
  <si>
    <t>25-02-2023 06:00</t>
  </si>
  <si>
    <t>25-02-2023 07:00</t>
  </si>
  <si>
    <t>25-02-2023 08:00</t>
  </si>
  <si>
    <t>25-02-2023 09:00</t>
  </si>
  <si>
    <t>25-02-2023 10:00</t>
  </si>
  <si>
    <t>25-02-2023 11:00</t>
  </si>
  <si>
    <t>25-02-2023 12:00</t>
  </si>
  <si>
    <t>25-02-2023 13:00</t>
  </si>
  <si>
    <t>25-02-2023 14:00</t>
  </si>
  <si>
    <t>25-02-2023 15:00</t>
  </si>
  <si>
    <t>25-02-2023 16:00</t>
  </si>
  <si>
    <t>25-02-2023 17:00</t>
  </si>
  <si>
    <t>25-02-2023 18:00</t>
  </si>
  <si>
    <t>25-02-2023 19:00</t>
  </si>
  <si>
    <t>25-02-2023 20:00</t>
  </si>
  <si>
    <t>25-02-2023 21:00</t>
  </si>
  <si>
    <t>25-02-2023 22:00</t>
  </si>
  <si>
    <t>25-02-2023 23:00</t>
  </si>
  <si>
    <t>25-02-2023 24:00</t>
  </si>
  <si>
    <t>26-02-2023 01:00</t>
  </si>
  <si>
    <t>26-02-2023 02:00</t>
  </si>
  <si>
    <t>26-02-2023 03:00</t>
  </si>
  <si>
    <t>26-02-2023 04:00</t>
  </si>
  <si>
    <t>26-02-2023 05:00</t>
  </si>
  <si>
    <t>26-02-2023 06:00</t>
  </si>
  <si>
    <t>26-02-2023 07:00</t>
  </si>
  <si>
    <t>26-02-2023 08:00</t>
  </si>
  <si>
    <t>26-02-2023 09:00</t>
  </si>
  <si>
    <t>26-02-2023 10:00</t>
  </si>
  <si>
    <t>26-02-2023 11:00</t>
  </si>
  <si>
    <t>26-02-2023 12:00</t>
  </si>
  <si>
    <t>26-02-2023 13:00</t>
  </si>
  <si>
    <t>26-02-2023 14:00</t>
  </si>
  <si>
    <t>26-02-2023 15:00</t>
  </si>
  <si>
    <t>26-02-2023 16:00</t>
  </si>
  <si>
    <t>26-02-2023 17:00</t>
  </si>
  <si>
    <t>26-02-2023 18:00</t>
  </si>
  <si>
    <t>26-02-2023 19:00</t>
  </si>
  <si>
    <t>26-02-2023 20:00</t>
  </si>
  <si>
    <t>26-02-2023 21:00</t>
  </si>
  <si>
    <t>26-02-2023 22:00</t>
  </si>
  <si>
    <t>26-02-2023 23:00</t>
  </si>
  <si>
    <t>26-02-2023 24:00</t>
  </si>
  <si>
    <t>27-02-2023 01:00</t>
  </si>
  <si>
    <t>27-02-2023 02:00</t>
  </si>
  <si>
    <t>27-02-2023 03:00</t>
  </si>
  <si>
    <t>27-02-2023 04:00</t>
  </si>
  <si>
    <t>27-02-2023 05:00</t>
  </si>
  <si>
    <t>27-02-2023 06:00</t>
  </si>
  <si>
    <t>27-02-2023 07:00</t>
  </si>
  <si>
    <t>27-02-2023 08:00</t>
  </si>
  <si>
    <t>27-02-2023 09:00</t>
  </si>
  <si>
    <t>27-02-2023 10:00</t>
  </si>
  <si>
    <t>27-02-2023 11:00</t>
  </si>
  <si>
    <t>27-02-2023 12:00</t>
  </si>
  <si>
    <t>27-02-2023 13:00</t>
  </si>
  <si>
    <t>27-02-2023 14:00</t>
  </si>
  <si>
    <t>27-02-2023 15:00</t>
  </si>
  <si>
    <t>27-02-2023 16:00</t>
  </si>
  <si>
    <t>27-02-2023 17:00</t>
  </si>
  <si>
    <t>27-02-2023 18:00</t>
  </si>
  <si>
    <t>27-02-2023 19:00</t>
  </si>
  <si>
    <t>27-02-2023 20:00</t>
  </si>
  <si>
    <t>27-02-2023 21:00</t>
  </si>
  <si>
    <t>27-02-2023 22:00</t>
  </si>
  <si>
    <t>27-02-2023 23:00</t>
  </si>
  <si>
    <t>27-02-2023 24:00</t>
  </si>
  <si>
    <t>28-02-2023 01:00</t>
  </si>
  <si>
    <t>28-02-2023 02:00</t>
  </si>
  <si>
    <t>28-02-2023 03:00</t>
  </si>
  <si>
    <t>28-02-2023 04:00</t>
  </si>
  <si>
    <t>28-02-2023 05:00</t>
  </si>
  <si>
    <t>28-02-2023 06:00</t>
  </si>
  <si>
    <t>28-02-2023 07:00</t>
  </si>
  <si>
    <t>28-02-2023 08:00</t>
  </si>
  <si>
    <t>28-02-2023 09:00</t>
  </si>
  <si>
    <t>28-02-2023 10:00</t>
  </si>
  <si>
    <t>28-02-2023 11:00</t>
  </si>
  <si>
    <t>28-02-2023 12:00</t>
  </si>
  <si>
    <t>28-02-2023 13:00</t>
  </si>
  <si>
    <t>28-02-2023 14:00</t>
  </si>
  <si>
    <t>28-02-2023 15:00</t>
  </si>
  <si>
    <t>28-02-2023 16:00</t>
  </si>
  <si>
    <t>28-02-2023 17:00</t>
  </si>
  <si>
    <t>28-02-2023 18:00</t>
  </si>
  <si>
    <t>28-02-2023 19:00</t>
  </si>
  <si>
    <t>28-02-2023 20:00</t>
  </si>
  <si>
    <t>28-02-2023 21:00</t>
  </si>
  <si>
    <t>28-02-2023 22:00</t>
  </si>
  <si>
    <t>28-02-2023 23:00</t>
  </si>
  <si>
    <t>28-02-2023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</si>
</sst>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2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0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Fill="1" applyBorder="1" applyAlignment="1">
      <alignment/>
    </xf>
    <xf numFmtId="0" fontId="2" fillId="0" borderId="3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4" Type="http://schemas.openxmlformats.org/officeDocument/2006/relationships/worksheet" Target="worksheets/sheet32.xml" /><Relationship Id="rId13" Type="http://schemas.openxmlformats.org/officeDocument/2006/relationships/worksheet" Target="worksheets/sheet11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19" Type="http://schemas.openxmlformats.org/officeDocument/2006/relationships/worksheet" Target="worksheets/sheet17.xml" /><Relationship Id="rId1" Type="http://schemas.openxmlformats.org/officeDocument/2006/relationships/theme" Target="theme/theme1.xml" /><Relationship Id="rId32" Type="http://schemas.openxmlformats.org/officeDocument/2006/relationships/worksheet" Target="worksheets/sheet30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22" Type="http://schemas.openxmlformats.org/officeDocument/2006/relationships/worksheet" Target="worksheets/sheet20.xml" /><Relationship Id="rId16" Type="http://schemas.openxmlformats.org/officeDocument/2006/relationships/worksheet" Target="worksheets/sheet14.xml" /><Relationship Id="rId12" Type="http://schemas.openxmlformats.org/officeDocument/2006/relationships/worksheet" Target="worksheets/sheet10.xml" /><Relationship Id="rId29" Type="http://schemas.openxmlformats.org/officeDocument/2006/relationships/worksheet" Target="worksheets/sheet27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7" Type="http://schemas.openxmlformats.org/officeDocument/2006/relationships/worksheet" Target="worksheets/sheet5.xml" /><Relationship Id="rId23" Type="http://schemas.openxmlformats.org/officeDocument/2006/relationships/worksheet" Target="worksheets/sheet21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24" Type="http://schemas.openxmlformats.org/officeDocument/2006/relationships/worksheet" Target="worksheets/sheet22.xml" /><Relationship Id="rId31" Type="http://schemas.openxmlformats.org/officeDocument/2006/relationships/worksheet" Target="worksheets/sheet29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5" Type="http://schemas.openxmlformats.org/officeDocument/2006/relationships/sharedStrings" Target="sharedStrings.xml" /><Relationship Id="rId33" Type="http://schemas.openxmlformats.org/officeDocument/2006/relationships/worksheet" Target="worksheets/sheet31.xml" /><Relationship Id="rId20" Type="http://schemas.openxmlformats.org/officeDocument/2006/relationships/worksheet" Target="worksheets/sheet18.xml" /><Relationship Id="rId8" Type="http://schemas.openxmlformats.org/officeDocument/2006/relationships/worksheet" Target="worksheets/sheet6.xml" /><Relationship Id="rId26" Type="http://schemas.openxmlformats.org/officeDocument/2006/relationships/worksheet" Target="worksheets/sheet24.xml" /><Relationship Id="rId36" Type="http://schemas.openxmlformats.org/officeDocument/2006/relationships/calcChain" Target="calcChain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576ddb-f6fa-4ff6-8d6b-681c92e831c8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60</v>
      </c>
      <c r="B9" s="53">
        <v>11.08</v>
      </c>
      <c r="C9" s="53">
        <v>85.63</v>
      </c>
      <c r="D9" s="53">
        <v>56.55</v>
      </c>
      <c r="E9" s="53">
        <v>8.31</v>
      </c>
      <c r="F9" s="53">
        <v>8.74</v>
      </c>
      <c r="G9" s="53">
        <v>79.02</v>
      </c>
      <c r="H9" s="53">
        <v>46.65</v>
      </c>
      <c r="I9" s="55" t="s">
        <v>8</v>
      </c>
      <c r="J9" s="53">
        <v>1.75</v>
      </c>
      <c r="K9" s="53">
        <v>14.08</v>
      </c>
      <c r="L9" s="53">
        <v>21.97</v>
      </c>
      <c r="M9" s="53">
        <v>55</v>
      </c>
      <c r="N9" s="53">
        <v>4.5999999999999996</v>
      </c>
      <c r="O9" s="53">
        <v>0</v>
      </c>
      <c r="P9" s="53">
        <v>1.30</v>
      </c>
      <c r="Q9" s="53">
        <v>30.33</v>
      </c>
      <c r="R9" s="45"/>
      <c r="S9" s="45"/>
      <c r="T9" s="45"/>
      <c r="U9" s="45"/>
    </row>
    <row r="10" spans="1:21" s="11" customFormat="1" ht="15">
      <c r="A10" s="52" t="s">
        <v>61</v>
      </c>
      <c r="B10" s="53">
        <v>2.94</v>
      </c>
      <c r="C10" s="53">
        <v>77.5</v>
      </c>
      <c r="D10" s="53">
        <v>45.54</v>
      </c>
      <c r="E10" s="53">
        <v>5.93</v>
      </c>
      <c r="F10" s="53">
        <v>6.93</v>
      </c>
      <c r="G10" s="53">
        <v>49.80</v>
      </c>
      <c r="H10" s="53">
        <v>34.880000000000003</v>
      </c>
      <c r="I10" s="55" t="s">
        <v>8</v>
      </c>
      <c r="J10" s="53">
        <v>1.49</v>
      </c>
      <c r="K10" s="53">
        <v>11.53</v>
      </c>
      <c r="L10" s="53">
        <v>21.36</v>
      </c>
      <c r="M10" s="53">
        <v>58</v>
      </c>
      <c r="N10" s="53">
        <v>4.5999999999999996</v>
      </c>
      <c r="O10" s="53">
        <v>0</v>
      </c>
      <c r="P10" s="53">
        <v>0.91</v>
      </c>
      <c r="Q10" s="53">
        <v>29.21</v>
      </c>
      <c r="R10" s="45"/>
      <c r="S10" s="45"/>
      <c r="T10" s="45"/>
      <c r="U10" s="45"/>
    </row>
    <row r="11" spans="1:21" s="11" customFormat="1" ht="15">
      <c r="A11" s="52" t="s">
        <v>62</v>
      </c>
      <c r="B11" s="53">
        <v>1.59</v>
      </c>
      <c r="C11" s="53">
        <v>70.25</v>
      </c>
      <c r="D11" s="53">
        <v>40.119999999999997</v>
      </c>
      <c r="E11" s="53">
        <v>5.52</v>
      </c>
      <c r="F11" s="53">
        <v>6.48</v>
      </c>
      <c r="G11" s="53">
        <v>49.80</v>
      </c>
      <c r="H11" s="53">
        <v>22.18</v>
      </c>
      <c r="I11" s="55" t="s">
        <v>8</v>
      </c>
      <c r="J11" s="53">
        <v>1.28</v>
      </c>
      <c r="K11" s="53">
        <v>13.12</v>
      </c>
      <c r="L11" s="53">
        <v>20.51</v>
      </c>
      <c r="M11" s="53">
        <v>61</v>
      </c>
      <c r="N11" s="53">
        <v>4.5999999999999996</v>
      </c>
      <c r="O11" s="53">
        <v>0</v>
      </c>
      <c r="P11" s="53">
        <v>0.71</v>
      </c>
      <c r="Q11" s="53">
        <v>27.93</v>
      </c>
      <c r="R11" s="45"/>
      <c r="S11" s="45"/>
      <c r="T11" s="45"/>
      <c r="U11" s="45"/>
    </row>
    <row r="12" spans="1:21" s="11" customFormat="1" ht="15">
      <c r="A12" s="52" t="s">
        <v>63</v>
      </c>
      <c r="B12" s="53">
        <v>2.08</v>
      </c>
      <c r="C12" s="53">
        <v>67.209999999999994</v>
      </c>
      <c r="D12" s="53">
        <v>38.99</v>
      </c>
      <c r="E12" s="53">
        <v>5.96</v>
      </c>
      <c r="F12" s="53">
        <v>5.67</v>
      </c>
      <c r="G12" s="53">
        <v>31.75</v>
      </c>
      <c r="H12" s="53">
        <v>20.32</v>
      </c>
      <c r="I12" s="55" t="s">
        <v>8</v>
      </c>
      <c r="J12" s="53">
        <v>1.33</v>
      </c>
      <c r="K12" s="53">
        <v>12.24</v>
      </c>
      <c r="L12" s="53">
        <v>19.62</v>
      </c>
      <c r="M12" s="53">
        <v>62</v>
      </c>
      <c r="N12" s="53">
        <v>4.4000000000000004</v>
      </c>
      <c r="O12" s="53">
        <v>0</v>
      </c>
      <c r="P12" s="53">
        <v>0.57999999999999996</v>
      </c>
      <c r="Q12" s="53">
        <v>26.88</v>
      </c>
      <c r="R12" s="45"/>
      <c r="S12" s="45"/>
      <c r="T12" s="45"/>
      <c r="U12" s="45"/>
    </row>
    <row r="13" spans="1:21" s="11" customFormat="1" ht="15">
      <c r="A13" s="52" t="s">
        <v>64</v>
      </c>
      <c r="B13" s="53">
        <v>2.19</v>
      </c>
      <c r="C13" s="53">
        <v>66.41</v>
      </c>
      <c r="D13" s="53">
        <v>38.74</v>
      </c>
      <c r="E13" s="53">
        <v>6.45</v>
      </c>
      <c r="F13" s="53">
        <v>5.49</v>
      </c>
      <c r="G13" s="53">
        <v>31.75</v>
      </c>
      <c r="H13" s="53">
        <v>16.170000000000002</v>
      </c>
      <c r="I13" s="55" t="s">
        <v>8</v>
      </c>
      <c r="J13" s="53">
        <v>1.1399999999999999</v>
      </c>
      <c r="K13" s="53">
        <v>12.41</v>
      </c>
      <c r="L13" s="53">
        <v>19.30</v>
      </c>
      <c r="M13" s="53">
        <v>62</v>
      </c>
      <c r="N13" s="53">
        <v>4.4000000000000004</v>
      </c>
      <c r="O13" s="53">
        <v>0</v>
      </c>
      <c r="P13" s="53">
        <v>0.51</v>
      </c>
      <c r="Q13" s="53">
        <v>28.57</v>
      </c>
      <c r="R13" s="45"/>
      <c r="S13" s="45"/>
      <c r="T13" s="45"/>
      <c r="U13" s="45"/>
    </row>
    <row r="14" spans="1:21" s="11" customFormat="1" ht="15">
      <c r="A14" s="52" t="s">
        <v>65</v>
      </c>
      <c r="B14" s="53">
        <v>3.21</v>
      </c>
      <c r="C14" s="53">
        <v>70.64</v>
      </c>
      <c r="D14" s="53">
        <v>41.98</v>
      </c>
      <c r="E14" s="53">
        <v>6.52</v>
      </c>
      <c r="F14" s="53">
        <v>5.82</v>
      </c>
      <c r="G14" s="53">
        <v>29.91</v>
      </c>
      <c r="H14" s="53">
        <v>16.170000000000002</v>
      </c>
      <c r="I14" s="55" t="s">
        <v>8</v>
      </c>
      <c r="J14" s="53">
        <v>1.1100000000000001</v>
      </c>
      <c r="K14" s="53">
        <v>45.93</v>
      </c>
      <c r="L14" s="53">
        <v>19.18</v>
      </c>
      <c r="M14" s="53">
        <v>57</v>
      </c>
      <c r="N14" s="53">
        <v>4.4000000000000004</v>
      </c>
      <c r="O14" s="53">
        <v>0</v>
      </c>
      <c r="P14" s="53">
        <v>0.46</v>
      </c>
      <c r="Q14" s="53">
        <v>28.49</v>
      </c>
      <c r="R14" s="45"/>
      <c r="S14" s="45"/>
      <c r="T14" s="45"/>
      <c r="U14" s="45"/>
    </row>
    <row r="15" spans="1:21" s="11" customFormat="1" ht="15">
      <c r="A15" s="52" t="s">
        <v>66</v>
      </c>
      <c r="B15" s="53">
        <v>6.34</v>
      </c>
      <c r="C15" s="53">
        <v>73.69</v>
      </c>
      <c r="D15" s="53">
        <v>46.17</v>
      </c>
      <c r="E15" s="53">
        <v>8.09</v>
      </c>
      <c r="F15" s="53">
        <v>5.56</v>
      </c>
      <c r="G15" s="53">
        <v>42.92</v>
      </c>
      <c r="H15" s="53">
        <v>13.65</v>
      </c>
      <c r="I15" s="55" t="s">
        <v>8</v>
      </c>
      <c r="J15" s="53">
        <v>1.35</v>
      </c>
      <c r="K15" s="53">
        <v>26.56</v>
      </c>
      <c r="L15" s="53">
        <v>18.920000000000002</v>
      </c>
      <c r="M15" s="53">
        <v>56</v>
      </c>
      <c r="N15" s="53">
        <v>17.80</v>
      </c>
      <c r="O15" s="53">
        <v>0</v>
      </c>
      <c r="P15" s="53">
        <v>0.44</v>
      </c>
      <c r="Q15" s="53">
        <v>27.48</v>
      </c>
      <c r="R15" s="45"/>
      <c r="S15" s="45"/>
      <c r="T15" s="45"/>
      <c r="U15" s="45"/>
    </row>
    <row r="16" spans="1:21" s="11" customFormat="1" ht="15">
      <c r="A16" s="52" t="s">
        <v>67</v>
      </c>
      <c r="B16" s="53">
        <v>8.86</v>
      </c>
      <c r="C16" s="53">
        <v>77.72</v>
      </c>
      <c r="D16" s="53">
        <v>50.41</v>
      </c>
      <c r="E16" s="53">
        <v>6.44</v>
      </c>
      <c r="F16" s="53">
        <v>4.79</v>
      </c>
      <c r="G16" s="53">
        <v>42.92</v>
      </c>
      <c r="H16" s="53">
        <v>18.23</v>
      </c>
      <c r="I16" s="55" t="s">
        <v>8</v>
      </c>
      <c r="J16" s="53">
        <v>0.93</v>
      </c>
      <c r="K16" s="53">
        <v>41.37</v>
      </c>
      <c r="L16" s="53">
        <v>20.34</v>
      </c>
      <c r="M16" s="53">
        <v>55</v>
      </c>
      <c r="N16" s="53">
        <v>142.80000000000001</v>
      </c>
      <c r="O16" s="53">
        <v>0</v>
      </c>
      <c r="P16" s="53">
        <v>0.55000000000000004</v>
      </c>
      <c r="Q16" s="53">
        <v>26.47</v>
      </c>
      <c r="R16" s="45"/>
      <c r="S16" s="45"/>
      <c r="T16" s="45"/>
      <c r="U16" s="45"/>
    </row>
    <row r="17" spans="1:21" s="11" customFormat="1" ht="15">
      <c r="A17" s="52" t="s">
        <v>68</v>
      </c>
      <c r="B17" s="53">
        <v>9.16</v>
      </c>
      <c r="C17" s="53">
        <v>82.32</v>
      </c>
      <c r="D17" s="53">
        <v>53.19</v>
      </c>
      <c r="E17" s="53">
        <v>5.79</v>
      </c>
      <c r="F17" s="53">
        <v>4.12</v>
      </c>
      <c r="G17" s="53">
        <v>48.27</v>
      </c>
      <c r="H17" s="53">
        <v>18.23</v>
      </c>
      <c r="I17" s="55" t="s">
        <v>8</v>
      </c>
      <c r="J17" s="53">
        <v>0.80</v>
      </c>
      <c r="K17" s="53">
        <v>65.41</v>
      </c>
      <c r="L17" s="53">
        <v>23.28</v>
      </c>
      <c r="M17" s="53">
        <v>48</v>
      </c>
      <c r="N17" s="53">
        <v>361.90</v>
      </c>
      <c r="O17" s="53">
        <v>0</v>
      </c>
      <c r="P17" s="53">
        <v>0.59</v>
      </c>
      <c r="Q17" s="53">
        <v>28.85</v>
      </c>
      <c r="R17" s="45"/>
      <c r="S17" s="45"/>
      <c r="T17" s="45"/>
      <c r="U17" s="45"/>
    </row>
    <row r="18" spans="1:21" s="11" customFormat="1" ht="15">
      <c r="A18" s="52" t="s">
        <v>69</v>
      </c>
      <c r="B18" s="53">
        <v>9.92</v>
      </c>
      <c r="C18" s="53">
        <v>86.04</v>
      </c>
      <c r="D18" s="53">
        <v>55.19</v>
      </c>
      <c r="E18" s="53">
        <v>6.05</v>
      </c>
      <c r="F18" s="53">
        <v>5.20</v>
      </c>
      <c r="G18" s="53">
        <v>48.27</v>
      </c>
      <c r="H18" s="53">
        <v>16.57</v>
      </c>
      <c r="I18" s="55" t="s">
        <v>8</v>
      </c>
      <c r="J18" s="53">
        <v>1.44</v>
      </c>
      <c r="K18" s="53">
        <v>19.41</v>
      </c>
      <c r="L18" s="53">
        <v>28.15</v>
      </c>
      <c r="M18" s="53">
        <v>39</v>
      </c>
      <c r="N18" s="53">
        <v>485.90</v>
      </c>
      <c r="O18" s="53">
        <v>0</v>
      </c>
      <c r="P18" s="53">
        <v>0.66</v>
      </c>
      <c r="Q18" s="53">
        <v>28.98</v>
      </c>
      <c r="R18" s="45"/>
      <c r="S18" s="45"/>
      <c r="T18" s="45"/>
      <c r="U18" s="45"/>
    </row>
    <row r="19" spans="1:21" s="11" customFormat="1" ht="15">
      <c r="A19" s="52" t="s">
        <v>70</v>
      </c>
      <c r="B19" s="53">
        <v>10.55</v>
      </c>
      <c r="C19" s="53">
        <v>87.08</v>
      </c>
      <c r="D19" s="53">
        <v>56.5</v>
      </c>
      <c r="E19" s="53">
        <v>7.27</v>
      </c>
      <c r="F19" s="53">
        <v>4.9800000000000004</v>
      </c>
      <c r="G19" s="53">
        <v>41.19</v>
      </c>
      <c r="H19" s="53">
        <v>16.73</v>
      </c>
      <c r="I19" s="55" t="s">
        <v>8</v>
      </c>
      <c r="J19" s="53">
        <v>1.1399999999999999</v>
      </c>
      <c r="K19" s="53">
        <v>90.75</v>
      </c>
      <c r="L19" s="53">
        <v>28.46</v>
      </c>
      <c r="M19" s="53">
        <v>38</v>
      </c>
      <c r="N19" s="53">
        <v>568.79999999999995</v>
      </c>
      <c r="O19" s="53">
        <v>0</v>
      </c>
      <c r="P19" s="53">
        <v>0.68</v>
      </c>
      <c r="Q19" s="53">
        <v>28.10</v>
      </c>
      <c r="R19" s="45"/>
      <c r="S19" s="45"/>
      <c r="T19" s="45"/>
      <c r="U19" s="45"/>
    </row>
    <row r="20" spans="1:21" s="11" customFormat="1" ht="15">
      <c r="A20" s="52" t="s">
        <v>71</v>
      </c>
      <c r="B20" s="53">
        <v>11.32</v>
      </c>
      <c r="C20" s="53">
        <v>88.54</v>
      </c>
      <c r="D20" s="53">
        <v>57.77</v>
      </c>
      <c r="E20" s="53">
        <v>9.2899999999999991</v>
      </c>
      <c r="F20" s="53">
        <v>5.77</v>
      </c>
      <c r="G20" s="53">
        <v>39.65</v>
      </c>
      <c r="H20" s="53">
        <v>17.75</v>
      </c>
      <c r="I20" s="55" t="s">
        <v>8</v>
      </c>
      <c r="J20" s="53">
        <v>1.22</v>
      </c>
      <c r="K20" s="53">
        <v>98.20</v>
      </c>
      <c r="L20" s="53">
        <v>29.43</v>
      </c>
      <c r="M20" s="53">
        <v>32</v>
      </c>
      <c r="N20" s="53">
        <v>654.40</v>
      </c>
      <c r="O20" s="53">
        <v>0</v>
      </c>
      <c r="P20" s="53">
        <v>0.69</v>
      </c>
      <c r="Q20" s="53">
        <v>30.5</v>
      </c>
      <c r="R20" s="45"/>
      <c r="S20" s="45"/>
      <c r="T20" s="45"/>
      <c r="U20" s="45"/>
    </row>
    <row r="21" spans="1:21" s="11" customFormat="1" ht="15">
      <c r="A21" s="52" t="s">
        <v>72</v>
      </c>
      <c r="B21" s="53">
        <v>7.30</v>
      </c>
      <c r="C21" s="53">
        <v>88.51</v>
      </c>
      <c r="D21" s="53">
        <v>54.65</v>
      </c>
      <c r="E21" s="53">
        <v>6.47</v>
      </c>
      <c r="F21" s="53">
        <v>5.94</v>
      </c>
      <c r="G21" s="53">
        <v>38.08</v>
      </c>
      <c r="H21" s="53">
        <v>17.75</v>
      </c>
      <c r="I21" s="55" t="s">
        <v>8</v>
      </c>
      <c r="J21" s="53">
        <v>1.1299999999999999</v>
      </c>
      <c r="K21" s="53">
        <v>91.78</v>
      </c>
      <c r="L21" s="53">
        <v>31.44</v>
      </c>
      <c r="M21" s="53">
        <v>31</v>
      </c>
      <c r="N21" s="53">
        <v>638.29999999999995</v>
      </c>
      <c r="O21" s="53">
        <v>0</v>
      </c>
      <c r="P21" s="53">
        <v>0.66</v>
      </c>
      <c r="Q21" s="53">
        <v>30.91</v>
      </c>
      <c r="R21" s="45"/>
      <c r="S21" s="45"/>
      <c r="T21" s="45"/>
      <c r="U21" s="45"/>
    </row>
    <row r="22" spans="1:21" s="11" customFormat="1" ht="15">
      <c r="A22" s="52" t="s">
        <v>73</v>
      </c>
      <c r="B22" s="53">
        <v>5.83</v>
      </c>
      <c r="C22" s="53">
        <v>88.29</v>
      </c>
      <c r="D22" s="53">
        <v>52.66</v>
      </c>
      <c r="E22" s="53">
        <v>9.52</v>
      </c>
      <c r="F22" s="53">
        <v>11.23</v>
      </c>
      <c r="G22" s="53">
        <v>39.270000000000003</v>
      </c>
      <c r="H22" s="53">
        <v>17.29</v>
      </c>
      <c r="I22" s="55" t="s">
        <v>8</v>
      </c>
      <c r="J22" s="53">
        <v>1.69</v>
      </c>
      <c r="K22" s="53">
        <v>43.72</v>
      </c>
      <c r="L22" s="53">
        <v>32.61</v>
      </c>
      <c r="M22" s="53">
        <v>25</v>
      </c>
      <c r="N22" s="53">
        <v>542.40</v>
      </c>
      <c r="O22" s="53">
        <v>0</v>
      </c>
      <c r="P22" s="53">
        <v>0.69</v>
      </c>
      <c r="Q22" s="53">
        <v>31.08</v>
      </c>
      <c r="R22" s="45"/>
      <c r="S22" s="45"/>
      <c r="T22" s="45"/>
      <c r="U22" s="45"/>
    </row>
    <row r="23" spans="1:21" s="11" customFormat="1" ht="15">
      <c r="A23" s="52" t="s">
        <v>74</v>
      </c>
      <c r="B23" s="53">
        <v>8</v>
      </c>
      <c r="C23" s="53">
        <v>81.5</v>
      </c>
      <c r="D23" s="53">
        <v>51.59</v>
      </c>
      <c r="E23" s="53">
        <v>13.05</v>
      </c>
      <c r="F23" s="53">
        <v>11.57</v>
      </c>
      <c r="G23" s="53">
        <v>64.59</v>
      </c>
      <c r="H23" s="53">
        <v>15.26</v>
      </c>
      <c r="I23" s="55" t="s">
        <v>8</v>
      </c>
      <c r="J23" s="53">
        <v>1.44</v>
      </c>
      <c r="K23" s="53">
        <v>24.82</v>
      </c>
      <c r="L23" s="53">
        <v>31.95</v>
      </c>
      <c r="M23" s="53">
        <v>21</v>
      </c>
      <c r="N23" s="53">
        <v>430</v>
      </c>
      <c r="O23" s="53">
        <v>0</v>
      </c>
      <c r="P23" s="53">
        <v>0.70</v>
      </c>
      <c r="Q23" s="53">
        <v>27.82</v>
      </c>
      <c r="R23" s="45"/>
      <c r="S23" s="45"/>
      <c r="T23" s="45"/>
      <c r="U23" s="45"/>
    </row>
    <row r="24" spans="1:21" s="11" customFormat="1" ht="15">
      <c r="A24" s="52" t="s">
        <v>75</v>
      </c>
      <c r="B24" s="53">
        <v>5.83</v>
      </c>
      <c r="C24" s="53">
        <v>85.75</v>
      </c>
      <c r="D24" s="53">
        <v>52.34</v>
      </c>
      <c r="E24" s="53">
        <v>6.79</v>
      </c>
      <c r="F24" s="53">
        <v>6.84</v>
      </c>
      <c r="G24" s="53">
        <v>64.59</v>
      </c>
      <c r="H24" s="53">
        <v>16.29</v>
      </c>
      <c r="I24" s="55" t="s">
        <v>8</v>
      </c>
      <c r="J24" s="53">
        <v>1.70</v>
      </c>
      <c r="K24" s="53">
        <v>33.17</v>
      </c>
      <c r="L24" s="53">
        <v>31.29</v>
      </c>
      <c r="M24" s="53">
        <v>22</v>
      </c>
      <c r="N24" s="53">
        <v>204</v>
      </c>
      <c r="O24" s="53">
        <v>0</v>
      </c>
      <c r="P24" s="53">
        <v>0.70</v>
      </c>
      <c r="Q24" s="53">
        <v>28.84</v>
      </c>
      <c r="R24" s="45"/>
      <c r="S24" s="45"/>
      <c r="T24" s="45"/>
      <c r="U24" s="45"/>
    </row>
    <row r="25" spans="1:21" s="11" customFormat="1" ht="15">
      <c r="A25" s="52" t="s">
        <v>76</v>
      </c>
      <c r="B25" s="53">
        <v>10.92</v>
      </c>
      <c r="C25" s="53">
        <v>86.39</v>
      </c>
      <c r="D25" s="53">
        <v>55.57</v>
      </c>
      <c r="E25" s="53">
        <v>8.83</v>
      </c>
      <c r="F25" s="53">
        <v>14.5</v>
      </c>
      <c r="G25" s="53">
        <v>52.77</v>
      </c>
      <c r="H25" s="53">
        <v>19.16</v>
      </c>
      <c r="I25" s="55" t="s">
        <v>8</v>
      </c>
      <c r="J25" s="53">
        <v>0.94</v>
      </c>
      <c r="K25" s="53">
        <v>24.02</v>
      </c>
      <c r="L25" s="53">
        <v>29.37</v>
      </c>
      <c r="M25" s="53">
        <v>27</v>
      </c>
      <c r="N25" s="53">
        <v>106.80</v>
      </c>
      <c r="O25" s="53">
        <v>0</v>
      </c>
      <c r="P25" s="53">
        <v>0.83</v>
      </c>
      <c r="Q25" s="53">
        <v>29.29</v>
      </c>
      <c r="R25" s="45"/>
      <c r="S25" s="45"/>
      <c r="T25" s="45"/>
      <c r="U25" s="45"/>
    </row>
    <row r="26" spans="1:21" s="11" customFormat="1" ht="15">
      <c r="A26" s="52" t="s">
        <v>77</v>
      </c>
      <c r="B26" s="53">
        <v>16.52</v>
      </c>
      <c r="C26" s="53">
        <v>99.34</v>
      </c>
      <c r="D26" s="53">
        <v>68.48</v>
      </c>
      <c r="E26" s="53">
        <v>10.92</v>
      </c>
      <c r="F26" s="53">
        <v>10.09</v>
      </c>
      <c r="G26" s="53">
        <v>52.67</v>
      </c>
      <c r="H26" s="53">
        <v>20.65</v>
      </c>
      <c r="I26" s="55" t="s">
        <v>8</v>
      </c>
      <c r="J26" s="53">
        <v>0.57999999999999996</v>
      </c>
      <c r="K26" s="53">
        <v>227.66</v>
      </c>
      <c r="L26" s="53">
        <v>27.48</v>
      </c>
      <c r="M26" s="53">
        <v>33</v>
      </c>
      <c r="N26" s="53">
        <v>35.299999999999997</v>
      </c>
      <c r="O26" s="53">
        <v>0</v>
      </c>
      <c r="P26" s="53">
        <v>0.95</v>
      </c>
      <c r="Q26" s="53">
        <v>30.17</v>
      </c>
      <c r="R26" s="45"/>
      <c r="S26" s="45"/>
      <c r="T26" s="45"/>
      <c r="U26" s="45"/>
    </row>
    <row r="27" spans="1:21" s="11" customFormat="1" ht="15">
      <c r="A27" s="52" t="s">
        <v>78</v>
      </c>
      <c r="B27" s="53">
        <v>28.52</v>
      </c>
      <c r="C27" s="53">
        <v>108.98</v>
      </c>
      <c r="D27" s="53">
        <v>83.43</v>
      </c>
      <c r="E27" s="53">
        <v>6.60</v>
      </c>
      <c r="F27" s="53">
        <v>4.28</v>
      </c>
      <c r="G27" s="53">
        <v>85.63</v>
      </c>
      <c r="H27" s="53">
        <v>27.36</v>
      </c>
      <c r="I27" s="55" t="s">
        <v>8</v>
      </c>
      <c r="J27" s="53">
        <v>0.15</v>
      </c>
      <c r="K27" s="53">
        <v>345.47</v>
      </c>
      <c r="L27" s="53">
        <v>24.45</v>
      </c>
      <c r="M27" s="53">
        <v>48</v>
      </c>
      <c r="N27" s="53">
        <v>4.70</v>
      </c>
      <c r="O27" s="53">
        <v>0</v>
      </c>
      <c r="P27" s="53">
        <v>1.1000000000000001</v>
      </c>
      <c r="Q27" s="53">
        <v>34.799999999999997</v>
      </c>
      <c r="R27" s="45"/>
      <c r="S27" s="45"/>
      <c r="T27" s="45"/>
      <c r="U27" s="45"/>
    </row>
    <row r="28" spans="1:21" s="11" customFormat="1" ht="15">
      <c r="A28" s="52" t="s">
        <v>79</v>
      </c>
      <c r="B28" s="53">
        <v>81.180000000000007</v>
      </c>
      <c r="C28" s="53">
        <v>130.03</v>
      </c>
      <c r="D28" s="53">
        <v>137.27000000000001</v>
      </c>
      <c r="E28" s="53">
        <v>5.36</v>
      </c>
      <c r="F28" s="53">
        <v>3.74</v>
      </c>
      <c r="G28" s="53">
        <v>114.94</v>
      </c>
      <c r="H28" s="53">
        <v>37.42</v>
      </c>
      <c r="I28" s="55" t="s">
        <v>8</v>
      </c>
      <c r="J28" s="53">
        <v>0.21</v>
      </c>
      <c r="K28" s="53">
        <v>254.27</v>
      </c>
      <c r="L28" s="53">
        <v>22.56</v>
      </c>
      <c r="M28" s="53">
        <v>52</v>
      </c>
      <c r="N28" s="53">
        <v>4.4000000000000004</v>
      </c>
      <c r="O28" s="53">
        <v>0</v>
      </c>
      <c r="P28" s="53">
        <v>1.86</v>
      </c>
      <c r="Q28" s="53">
        <v>39.549999999999997</v>
      </c>
      <c r="R28" s="45"/>
      <c r="S28" s="45"/>
      <c r="T28" s="45"/>
      <c r="U28" s="45"/>
    </row>
    <row r="29" spans="1:21" s="11" customFormat="1" ht="15">
      <c r="A29" s="52" t="s">
        <v>80</v>
      </c>
      <c r="B29" s="53">
        <v>118.5</v>
      </c>
      <c r="C29" s="53">
        <v>147.66</v>
      </c>
      <c r="D29" s="53">
        <v>176.93</v>
      </c>
      <c r="E29" s="53">
        <v>7.15</v>
      </c>
      <c r="F29" s="53">
        <v>3.96</v>
      </c>
      <c r="G29" s="53">
        <v>137.94</v>
      </c>
      <c r="H29" s="53">
        <v>47.30</v>
      </c>
      <c r="I29" s="55" t="s">
        <v>8</v>
      </c>
      <c r="J29" s="53">
        <v>0.14000000000000001</v>
      </c>
      <c r="K29" s="53">
        <v>338.11</v>
      </c>
      <c r="L29" s="53">
        <v>21.39</v>
      </c>
      <c r="M29" s="53">
        <v>57</v>
      </c>
      <c r="N29" s="53">
        <v>4.4000000000000004</v>
      </c>
      <c r="O29" s="53">
        <v>0</v>
      </c>
      <c r="P29" s="53">
        <v>2.39</v>
      </c>
      <c r="Q29" s="53">
        <v>40.03</v>
      </c>
      <c r="R29" s="45"/>
      <c r="S29" s="45"/>
      <c r="T29" s="45"/>
      <c r="U29" s="45"/>
    </row>
    <row r="30" spans="1:21" s="11" customFormat="1" ht="15">
      <c r="A30" s="52" t="s">
        <v>81</v>
      </c>
      <c r="B30" s="53">
        <v>151.10</v>
      </c>
      <c r="C30" s="53">
        <v>154.41</v>
      </c>
      <c r="D30" s="53">
        <v>206.08</v>
      </c>
      <c r="E30" s="53">
        <v>7.14</v>
      </c>
      <c r="F30" s="53">
        <v>3.66</v>
      </c>
      <c r="G30" s="53">
        <v>192.56</v>
      </c>
      <c r="H30" s="53">
        <v>63.81</v>
      </c>
      <c r="I30" s="55" t="s">
        <v>8</v>
      </c>
      <c r="J30" s="53">
        <v>0.21</v>
      </c>
      <c r="K30" s="53">
        <v>357.59</v>
      </c>
      <c r="L30" s="53">
        <v>20.59</v>
      </c>
      <c r="M30" s="53">
        <v>63</v>
      </c>
      <c r="N30" s="53">
        <v>4.5</v>
      </c>
      <c r="O30" s="53">
        <v>0</v>
      </c>
      <c r="P30" s="53">
        <v>2.85</v>
      </c>
      <c r="Q30" s="53">
        <v>43.57</v>
      </c>
      <c r="R30" s="45"/>
      <c r="S30" s="45"/>
      <c r="T30" s="45"/>
      <c r="U30" s="45"/>
    </row>
    <row r="31" spans="1:21" s="11" customFormat="1" ht="15">
      <c r="A31" s="52" t="s">
        <v>82</v>
      </c>
      <c r="B31" s="53">
        <v>150.86000000000001</v>
      </c>
      <c r="C31" s="53">
        <v>151.47</v>
      </c>
      <c r="D31" s="53">
        <v>204.54</v>
      </c>
      <c r="E31" s="53">
        <v>8.42</v>
      </c>
      <c r="F31" s="53">
        <v>3.60</v>
      </c>
      <c r="G31" s="53">
        <v>192.56</v>
      </c>
      <c r="H31" s="53">
        <v>64.31</v>
      </c>
      <c r="I31" s="55" t="s">
        <v>8</v>
      </c>
      <c r="J31" s="53">
        <v>0.95</v>
      </c>
      <c r="K31" s="53">
        <v>42.61</v>
      </c>
      <c r="L31" s="53">
        <v>21.35</v>
      </c>
      <c r="M31" s="53">
        <v>63</v>
      </c>
      <c r="N31" s="53">
        <v>4</v>
      </c>
      <c r="O31" s="53">
        <v>0</v>
      </c>
      <c r="P31" s="53">
        <v>3</v>
      </c>
      <c r="Q31" s="53">
        <v>46.20</v>
      </c>
      <c r="R31" s="45"/>
      <c r="S31" s="45"/>
      <c r="T31" s="45"/>
      <c r="U31" s="45"/>
    </row>
    <row r="32" spans="1:21" s="11" customFormat="1" ht="15">
      <c r="A32" s="52" t="s">
        <v>83</v>
      </c>
      <c r="B32" s="53">
        <v>133.97999999999999</v>
      </c>
      <c r="C32" s="53">
        <v>147.76</v>
      </c>
      <c r="D32" s="53">
        <v>189.40</v>
      </c>
      <c r="E32" s="53">
        <v>8.43</v>
      </c>
      <c r="F32" s="53">
        <v>3.58</v>
      </c>
      <c r="G32" s="53">
        <v>183.92</v>
      </c>
      <c r="H32" s="53">
        <v>68.239999999999995</v>
      </c>
      <c r="I32" s="55" t="s">
        <v>8</v>
      </c>
      <c r="J32" s="53">
        <v>0.28999999999999998</v>
      </c>
      <c r="K32" s="53">
        <v>102.35</v>
      </c>
      <c r="L32" s="53">
        <v>21.09</v>
      </c>
      <c r="M32" s="53">
        <v>47</v>
      </c>
      <c r="N32" s="53">
        <v>4.4000000000000004</v>
      </c>
      <c r="O32" s="53">
        <v>0</v>
      </c>
      <c r="P32" s="53">
        <v>2.91</v>
      </c>
      <c r="Q32" s="53">
        <v>44.65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1.5900000000000001</v>
      </c>
      <c r="C34" s="28">
        <f t="shared" si="0"/>
        <v>66.409999999999997</v>
      </c>
      <c r="D34" s="28">
        <f t="shared" si="0"/>
        <v>38.740000000000002</v>
      </c>
      <c r="E34" s="28">
        <f t="shared" si="0"/>
        <v>5.3600000000000003</v>
      </c>
      <c r="F34" s="28">
        <f t="shared" si="0"/>
        <v>3.5800000000000001</v>
      </c>
      <c r="G34" s="28">
        <f t="shared" si="0"/>
        <v>29.91</v>
      </c>
      <c r="H34" s="28">
        <f t="shared" si="0"/>
        <v>13.65</v>
      </c>
      <c r="I34" s="28">
        <f t="shared" si="0"/>
        <v>0</v>
      </c>
      <c r="J34" s="28">
        <f t="shared" si="0"/>
        <v>0.14000000000000001</v>
      </c>
      <c r="K34" s="28">
        <f t="shared" si="0"/>
        <v>11.529999999999999</v>
      </c>
      <c r="L34" s="28">
        <f t="shared" si="0"/>
        <v>18.920000000000002</v>
      </c>
      <c r="M34" s="28">
        <f t="shared" si="0"/>
        <v>21</v>
      </c>
      <c r="N34" s="28">
        <f t="shared" si="0"/>
        <v>4</v>
      </c>
      <c r="O34" s="28">
        <f t="shared" si="0"/>
        <v>0</v>
      </c>
      <c r="P34" s="28">
        <f t="shared" si="0"/>
        <v>0.44</v>
      </c>
      <c r="Q34" s="28">
        <f t="shared" si="0"/>
        <v>26.469999999999999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151.09999999999999</v>
      </c>
      <c r="C35" s="29">
        <f t="shared" si="1"/>
        <v>154.41</v>
      </c>
      <c r="D35" s="29">
        <f t="shared" si="1"/>
        <v>206.08000000000001</v>
      </c>
      <c r="E35" s="29">
        <f t="shared" si="1"/>
        <v>13.050000000000001</v>
      </c>
      <c r="F35" s="29">
        <f t="shared" si="1"/>
        <v>14.5</v>
      </c>
      <c r="G35" s="29">
        <f t="shared" si="1"/>
        <v>192.56</v>
      </c>
      <c r="H35" s="29">
        <f t="shared" si="1"/>
        <v>68.239999999999995</v>
      </c>
      <c r="I35" s="29">
        <f t="shared" si="1"/>
        <v>0</v>
      </c>
      <c r="J35" s="29">
        <f t="shared" si="1"/>
        <v>1.75</v>
      </c>
      <c r="K35" s="29">
        <f t="shared" si="1"/>
        <v>357.58999999999997</v>
      </c>
      <c r="L35" s="29">
        <f t="shared" si="1"/>
        <v>32.609999999999999</v>
      </c>
      <c r="M35" s="29">
        <f t="shared" si="1"/>
        <v>63</v>
      </c>
      <c r="N35" s="29">
        <f t="shared" si="1"/>
        <v>654.39999999999998</v>
      </c>
      <c r="O35" s="29">
        <f t="shared" si="1"/>
        <v>0</v>
      </c>
      <c r="P35" s="29">
        <f t="shared" si="1"/>
        <v>3</v>
      </c>
      <c r="Q35" s="29">
        <f t="shared" si="1"/>
        <v>46.200000000000003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33.240833333333335</v>
      </c>
      <c r="C36" s="28">
        <f t="shared" si="2"/>
        <v>95.963333333333324</v>
      </c>
      <c r="D36" s="28">
        <f t="shared" si="2"/>
        <v>79.753750000000011</v>
      </c>
      <c r="E36" s="28">
        <f t="shared" si="2"/>
        <v>7.5124999999999993</v>
      </c>
      <c r="F36" s="28">
        <f t="shared" si="2"/>
        <v>6.3558333333333339</v>
      </c>
      <c r="G36" s="28">
        <f t="shared" si="2"/>
        <v>73.115416666666661</v>
      </c>
      <c r="H36" s="28">
        <f t="shared" si="2"/>
        <v>28.01541666666667</v>
      </c>
      <c r="I36" s="28" t="e">
        <f t="shared" si="2"/>
        <v>#DIV/0!</v>
      </c>
      <c r="J36" s="28">
        <f t="shared" si="2"/>
        <v>1.0170833333333333</v>
      </c>
      <c r="K36" s="28">
        <f t="shared" si="2"/>
        <v>97.357500000000016</v>
      </c>
      <c r="L36" s="28">
        <f t="shared" si="2"/>
        <v>24.420416666666672</v>
      </c>
      <c r="M36" s="28">
        <f t="shared" si="2"/>
        <v>46.333333333333336</v>
      </c>
      <c r="N36" s="28">
        <f t="shared" si="2"/>
        <v>176.74166666666659</v>
      </c>
      <c r="O36" s="28">
        <f t="shared" si="2"/>
        <v>0</v>
      </c>
      <c r="P36" s="28">
        <f t="shared" si="2"/>
        <v>1.1133333333333333</v>
      </c>
      <c r="Q36" s="28">
        <f t="shared" si="2"/>
        <v>32.029166666666661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50.964093149782521</v>
      </c>
      <c r="C37" s="28">
        <f t="shared" si="3" ref="C37:Q37">STDEV(C9:C32)</f>
        <v>28.29289612278129</v>
      </c>
      <c r="D37" s="28">
        <f t="shared" si="3"/>
        <v>56.07079033511431</v>
      </c>
      <c r="E37" s="28">
        <f t="shared" si="3"/>
        <v>1.847367692503139</v>
      </c>
      <c r="F37" s="28">
        <f t="shared" si="3"/>
        <v>2.876256499214795</v>
      </c>
      <c r="G37" s="28">
        <f t="shared" si="3"/>
        <v>51.868724762755591</v>
      </c>
      <c r="H37" s="28">
        <f t="shared" si="3"/>
        <v>17.270840713447477</v>
      </c>
      <c r="I37" s="28" t="e">
        <f t="shared" si="3"/>
        <v>#DIV/0!</v>
      </c>
      <c r="J37" s="28">
        <f t="shared" si="3"/>
        <v>0.51148104785890247</v>
      </c>
      <c r="K37" s="28">
        <f t="shared" si="3"/>
        <v>114.83906448856456</v>
      </c>
      <c r="L37" s="28">
        <f t="shared" si="3"/>
        <v>4.7220173278935729</v>
      </c>
      <c r="M37" s="28">
        <f t="shared" si="3"/>
        <v>14.312252782498813</v>
      </c>
      <c r="N37" s="28">
        <f t="shared" si="3"/>
        <v>240.55009948515689</v>
      </c>
      <c r="O37" s="28">
        <f t="shared" si="3"/>
        <v>0</v>
      </c>
      <c r="P37" s="28">
        <f t="shared" si="3"/>
        <v>0.82766652950205188</v>
      </c>
      <c r="Q37" s="28">
        <f t="shared" si="3"/>
        <v>6.0071239712359086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ce602e-6a2c-4563-ae21-3b8b71ae870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54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84</v>
      </c>
      <c r="B9" s="53">
        <v>103.42</v>
      </c>
      <c r="C9" s="53">
        <v>133.38999999999999</v>
      </c>
      <c r="D9" s="53">
        <v>156.96</v>
      </c>
      <c r="E9" s="53">
        <v>7.86</v>
      </c>
      <c r="F9" s="53">
        <v>3.99</v>
      </c>
      <c r="G9" s="53">
        <v>142.37</v>
      </c>
      <c r="H9" s="53">
        <v>68.239999999999995</v>
      </c>
      <c r="I9" s="55" t="s">
        <v>8</v>
      </c>
      <c r="J9" s="53">
        <v>0.48</v>
      </c>
      <c r="K9" s="53">
        <v>96.56</v>
      </c>
      <c r="L9" s="53">
        <v>20.47</v>
      </c>
      <c r="M9" s="53">
        <v>39</v>
      </c>
      <c r="N9" s="53">
        <v>4.0999999999999996</v>
      </c>
      <c r="O9" s="53">
        <v>0</v>
      </c>
      <c r="P9" s="53">
        <v>2.62</v>
      </c>
      <c r="Q9" s="53">
        <v>41.45</v>
      </c>
      <c r="R9" s="45"/>
      <c r="S9" s="45"/>
      <c r="T9" s="45"/>
      <c r="U9" s="45"/>
    </row>
    <row r="10" spans="1:21" s="11" customFormat="1" ht="15">
      <c r="A10" s="52" t="s">
        <v>85</v>
      </c>
      <c r="B10" s="53">
        <v>84.23</v>
      </c>
      <c r="C10" s="53">
        <v>120.73</v>
      </c>
      <c r="D10" s="53">
        <v>134.58000000000001</v>
      </c>
      <c r="E10" s="53">
        <v>6.96</v>
      </c>
      <c r="F10" s="53">
        <v>4.32</v>
      </c>
      <c r="G10" s="53">
        <v>142.37</v>
      </c>
      <c r="H10" s="53">
        <v>58.37</v>
      </c>
      <c r="I10" s="55" t="s">
        <v>8</v>
      </c>
      <c r="J10" s="53">
        <v>0.56999999999999995</v>
      </c>
      <c r="K10" s="53">
        <v>69.39</v>
      </c>
      <c r="L10" s="53">
        <v>19.64</v>
      </c>
      <c r="M10" s="53">
        <v>35</v>
      </c>
      <c r="N10" s="53">
        <v>4.30</v>
      </c>
      <c r="O10" s="53">
        <v>0</v>
      </c>
      <c r="P10" s="53">
        <v>2.19</v>
      </c>
      <c r="Q10" s="53">
        <v>38.85</v>
      </c>
      <c r="R10" s="45"/>
      <c r="S10" s="45"/>
      <c r="T10" s="45"/>
      <c r="U10" s="45"/>
    </row>
    <row r="11" spans="1:21" s="11" customFormat="1" ht="15">
      <c r="A11" s="52" t="s">
        <v>86</v>
      </c>
      <c r="B11" s="53">
        <v>66.209999999999994</v>
      </c>
      <c r="C11" s="53">
        <v>107.90</v>
      </c>
      <c r="D11" s="53">
        <v>113.06</v>
      </c>
      <c r="E11" s="53">
        <v>8.08</v>
      </c>
      <c r="F11" s="53">
        <v>3.76</v>
      </c>
      <c r="G11" s="53">
        <v>87.04</v>
      </c>
      <c r="H11" s="53">
        <v>49.99</v>
      </c>
      <c r="I11" s="55" t="s">
        <v>8</v>
      </c>
      <c r="J11" s="53">
        <v>1.17</v>
      </c>
      <c r="K11" s="53">
        <v>21.84</v>
      </c>
      <c r="L11" s="53">
        <v>18.73</v>
      </c>
      <c r="M11" s="53">
        <v>40</v>
      </c>
      <c r="N11" s="53">
        <v>4.20</v>
      </c>
      <c r="O11" s="53">
        <v>0</v>
      </c>
      <c r="P11" s="53">
        <v>1.88</v>
      </c>
      <c r="Q11" s="53">
        <v>38.090000000000003</v>
      </c>
      <c r="R11" s="45"/>
      <c r="S11" s="45"/>
      <c r="T11" s="45"/>
      <c r="U11" s="45"/>
    </row>
    <row r="12" spans="1:21" s="11" customFormat="1" ht="15">
      <c r="A12" s="52" t="s">
        <v>87</v>
      </c>
      <c r="B12" s="53">
        <v>43.67</v>
      </c>
      <c r="C12" s="53">
        <v>96.91</v>
      </c>
      <c r="D12" s="53">
        <v>88.92</v>
      </c>
      <c r="E12" s="53">
        <v>15.74</v>
      </c>
      <c r="F12" s="53">
        <v>3.80</v>
      </c>
      <c r="G12" s="53">
        <v>102.69</v>
      </c>
      <c r="H12" s="53">
        <v>41.31</v>
      </c>
      <c r="I12" s="55" t="s">
        <v>8</v>
      </c>
      <c r="J12" s="53">
        <v>1.1200000000000001</v>
      </c>
      <c r="K12" s="53">
        <v>28.20</v>
      </c>
      <c r="L12" s="53">
        <v>18.190000000000001</v>
      </c>
      <c r="M12" s="53">
        <v>42</v>
      </c>
      <c r="N12" s="53">
        <v>4.5999999999999996</v>
      </c>
      <c r="O12" s="53">
        <v>0</v>
      </c>
      <c r="P12" s="53">
        <v>1.54</v>
      </c>
      <c r="Q12" s="53">
        <v>33.479999999999997</v>
      </c>
      <c r="R12" s="45"/>
      <c r="S12" s="45"/>
      <c r="T12" s="45"/>
      <c r="U12" s="45"/>
    </row>
    <row r="13" spans="1:21" s="11" customFormat="1" ht="15">
      <c r="A13" s="52" t="s">
        <v>88</v>
      </c>
      <c r="B13" s="53">
        <v>37.53</v>
      </c>
      <c r="C13" s="53">
        <v>93.82</v>
      </c>
      <c r="D13" s="53">
        <v>82.28</v>
      </c>
      <c r="E13" s="53">
        <v>9.82</v>
      </c>
      <c r="F13" s="53">
        <v>3.71</v>
      </c>
      <c r="G13" s="53">
        <v>135.74</v>
      </c>
      <c r="H13" s="53">
        <v>47.03</v>
      </c>
      <c r="I13" s="55" t="s">
        <v>8</v>
      </c>
      <c r="J13" s="53">
        <v>0.38</v>
      </c>
      <c r="K13" s="53">
        <v>92.52</v>
      </c>
      <c r="L13" s="53">
        <v>16.87</v>
      </c>
      <c r="M13" s="53">
        <v>44</v>
      </c>
      <c r="N13" s="53">
        <v>4.5</v>
      </c>
      <c r="O13" s="53">
        <v>0</v>
      </c>
      <c r="P13" s="53">
        <v>1.34</v>
      </c>
      <c r="Q13" s="53">
        <v>29.70</v>
      </c>
      <c r="R13" s="45"/>
      <c r="S13" s="45"/>
      <c r="T13" s="45"/>
      <c r="U13" s="45"/>
    </row>
    <row r="14" spans="1:21" s="11" customFormat="1" ht="15">
      <c r="A14" s="52" t="s">
        <v>89</v>
      </c>
      <c r="B14" s="53">
        <v>37.409999999999997</v>
      </c>
      <c r="C14" s="53">
        <v>90.64</v>
      </c>
      <c r="D14" s="53">
        <v>79.87</v>
      </c>
      <c r="E14" s="53">
        <v>9.85</v>
      </c>
      <c r="F14" s="53">
        <v>3.63</v>
      </c>
      <c r="G14" s="53">
        <v>135.74</v>
      </c>
      <c r="H14" s="53">
        <v>53.78</v>
      </c>
      <c r="I14" s="55" t="s">
        <v>8</v>
      </c>
      <c r="J14" s="53">
        <v>0.76</v>
      </c>
      <c r="K14" s="53">
        <v>351.72</v>
      </c>
      <c r="L14" s="53">
        <v>15.76</v>
      </c>
      <c r="M14" s="53">
        <v>54</v>
      </c>
      <c r="N14" s="53">
        <v>4.4000000000000004</v>
      </c>
      <c r="O14" s="53">
        <v>0</v>
      </c>
      <c r="P14" s="53">
        <v>1.26</v>
      </c>
      <c r="Q14" s="53">
        <v>30.82</v>
      </c>
      <c r="R14" s="45"/>
      <c r="S14" s="45"/>
      <c r="T14" s="45"/>
      <c r="U14" s="45"/>
    </row>
    <row r="15" spans="1:21" s="11" customFormat="1" ht="15">
      <c r="A15" s="52" t="s">
        <v>90</v>
      </c>
      <c r="B15" s="53">
        <v>43.33</v>
      </c>
      <c r="C15" s="53">
        <v>91.95</v>
      </c>
      <c r="D15" s="53">
        <v>85.91</v>
      </c>
      <c r="E15" s="53">
        <v>9.74</v>
      </c>
      <c r="F15" s="53">
        <v>3.65</v>
      </c>
      <c r="G15" s="53">
        <v>141.75</v>
      </c>
      <c r="H15" s="53">
        <v>53.78</v>
      </c>
      <c r="I15" s="55" t="s">
        <v>8</v>
      </c>
      <c r="J15" s="53">
        <v>0.5</v>
      </c>
      <c r="K15" s="53">
        <v>69.98</v>
      </c>
      <c r="L15" s="53">
        <v>14.88</v>
      </c>
      <c r="M15" s="53">
        <v>52</v>
      </c>
      <c r="N15" s="53">
        <v>19.100000000000001</v>
      </c>
      <c r="O15" s="53">
        <v>0</v>
      </c>
      <c r="P15" s="53">
        <v>1.28</v>
      </c>
      <c r="Q15" s="53">
        <v>31.04</v>
      </c>
      <c r="R15" s="45"/>
      <c r="S15" s="45"/>
      <c r="T15" s="45"/>
      <c r="U15" s="45"/>
    </row>
    <row r="16" spans="1:21" s="11" customFormat="1" ht="15">
      <c r="A16" s="52" t="s">
        <v>91</v>
      </c>
      <c r="B16" s="53">
        <v>45.33</v>
      </c>
      <c r="C16" s="53">
        <v>92.85</v>
      </c>
      <c r="D16" s="53">
        <v>88</v>
      </c>
      <c r="E16" s="53">
        <v>7.66</v>
      </c>
      <c r="F16" s="53">
        <v>3.67</v>
      </c>
      <c r="G16" s="53">
        <v>141.75</v>
      </c>
      <c r="H16" s="53">
        <v>52.68</v>
      </c>
      <c r="I16" s="55" t="s">
        <v>8</v>
      </c>
      <c r="J16" s="53">
        <v>0.65</v>
      </c>
      <c r="K16" s="53">
        <v>91.56</v>
      </c>
      <c r="L16" s="53">
        <v>19.239999999999998</v>
      </c>
      <c r="M16" s="53">
        <v>51</v>
      </c>
      <c r="N16" s="53">
        <v>255.20</v>
      </c>
      <c r="O16" s="53">
        <v>0</v>
      </c>
      <c r="P16" s="53">
        <v>1.48</v>
      </c>
      <c r="Q16" s="53">
        <v>30.09</v>
      </c>
      <c r="R16" s="45"/>
      <c r="S16" s="45"/>
      <c r="T16" s="45"/>
      <c r="U16" s="45"/>
    </row>
    <row r="17" spans="1:21" s="11" customFormat="1" ht="15">
      <c r="A17" s="52" t="s">
        <v>92</v>
      </c>
      <c r="B17" s="53">
        <v>41.99</v>
      </c>
      <c r="C17" s="53">
        <v>92.07</v>
      </c>
      <c r="D17" s="53">
        <v>84.90</v>
      </c>
      <c r="E17" s="53">
        <v>9.06</v>
      </c>
      <c r="F17" s="53">
        <v>4.6500000000000004</v>
      </c>
      <c r="G17" s="53">
        <v>128.30000000000001</v>
      </c>
      <c r="H17" s="53">
        <v>52.68</v>
      </c>
      <c r="I17" s="55" t="s">
        <v>8</v>
      </c>
      <c r="J17" s="53">
        <v>0.99</v>
      </c>
      <c r="K17" s="53">
        <v>100.42</v>
      </c>
      <c r="L17" s="53">
        <v>22.62</v>
      </c>
      <c r="M17" s="53">
        <v>33</v>
      </c>
      <c r="N17" s="53">
        <v>447.40</v>
      </c>
      <c r="O17" s="53">
        <v>0</v>
      </c>
      <c r="P17" s="53">
        <v>1.43</v>
      </c>
      <c r="Q17" s="53">
        <v>28.60</v>
      </c>
      <c r="R17" s="45"/>
      <c r="S17" s="45"/>
      <c r="T17" s="45"/>
      <c r="U17" s="45"/>
    </row>
    <row r="18" spans="1:21" s="11" customFormat="1" ht="15">
      <c r="A18" s="52" t="s">
        <v>93</v>
      </c>
      <c r="B18" s="53">
        <v>31.17</v>
      </c>
      <c r="C18" s="53">
        <v>92.58</v>
      </c>
      <c r="D18" s="53">
        <v>74.930000000000007</v>
      </c>
      <c r="E18" s="53">
        <v>7.97</v>
      </c>
      <c r="F18" s="53">
        <v>4.07</v>
      </c>
      <c r="G18" s="53">
        <v>77.45</v>
      </c>
      <c r="H18" s="53">
        <v>46.78</v>
      </c>
      <c r="I18" s="55" t="s">
        <v>8</v>
      </c>
      <c r="J18" s="53">
        <v>1.05</v>
      </c>
      <c r="K18" s="53">
        <v>38.03</v>
      </c>
      <c r="L18" s="53">
        <v>26.85</v>
      </c>
      <c r="M18" s="53">
        <v>27</v>
      </c>
      <c r="N18" s="53">
        <v>557.70000000000005</v>
      </c>
      <c r="O18" s="53">
        <v>0</v>
      </c>
      <c r="P18" s="53">
        <v>1.21</v>
      </c>
      <c r="Q18" s="53">
        <v>28.73</v>
      </c>
      <c r="R18" s="45"/>
      <c r="S18" s="45"/>
      <c r="T18" s="45"/>
      <c r="U18" s="45"/>
    </row>
    <row r="19" spans="1:21" s="11" customFormat="1" ht="15">
      <c r="A19" s="52" t="s">
        <v>94</v>
      </c>
      <c r="B19" s="53">
        <v>25.03</v>
      </c>
      <c r="C19" s="53">
        <v>96.17</v>
      </c>
      <c r="D19" s="53">
        <v>72.23</v>
      </c>
      <c r="E19" s="53">
        <v>9</v>
      </c>
      <c r="F19" s="53">
        <v>4.3499999999999996</v>
      </c>
      <c r="G19" s="53">
        <v>47.30</v>
      </c>
      <c r="H19" s="53">
        <v>33.590000000000003</v>
      </c>
      <c r="I19" s="55" t="s">
        <v>8</v>
      </c>
      <c r="J19" s="53">
        <v>1.32</v>
      </c>
      <c r="K19" s="53">
        <v>87.11</v>
      </c>
      <c r="L19" s="53">
        <v>28.37</v>
      </c>
      <c r="M19" s="53">
        <v>23</v>
      </c>
      <c r="N19" s="53">
        <v>629.40</v>
      </c>
      <c r="O19" s="53">
        <v>0</v>
      </c>
      <c r="P19" s="53">
        <v>1.06</v>
      </c>
      <c r="Q19" s="53">
        <v>28.10</v>
      </c>
      <c r="R19" s="45"/>
      <c r="S19" s="45"/>
      <c r="T19" s="45"/>
      <c r="U19" s="45"/>
    </row>
    <row r="20" spans="1:21" s="11" customFormat="1" ht="15">
      <c r="A20" s="52" t="s">
        <v>95</v>
      </c>
      <c r="B20" s="53">
        <v>21.35</v>
      </c>
      <c r="C20" s="53">
        <v>95.36</v>
      </c>
      <c r="D20" s="53">
        <v>70.16</v>
      </c>
      <c r="E20" s="53">
        <v>7.73</v>
      </c>
      <c r="F20" s="53">
        <v>5.45</v>
      </c>
      <c r="G20" s="53">
        <v>43.15</v>
      </c>
      <c r="H20" s="53">
        <v>29.40</v>
      </c>
      <c r="I20" s="55" t="s">
        <v>8</v>
      </c>
      <c r="J20" s="53">
        <v>0.88</v>
      </c>
      <c r="K20" s="53">
        <v>101.36</v>
      </c>
      <c r="L20" s="53">
        <v>30.04</v>
      </c>
      <c r="M20" s="53">
        <v>22</v>
      </c>
      <c r="N20" s="53">
        <v>735</v>
      </c>
      <c r="O20" s="53">
        <v>0</v>
      </c>
      <c r="P20" s="53">
        <v>0.95</v>
      </c>
      <c r="Q20" s="53">
        <v>26.71</v>
      </c>
      <c r="R20" s="45"/>
      <c r="S20" s="45"/>
      <c r="T20" s="45"/>
      <c r="U20" s="45"/>
    </row>
    <row r="21" spans="1:21" s="11" customFormat="1" ht="15">
      <c r="A21" s="52" t="s">
        <v>96</v>
      </c>
      <c r="B21" s="53">
        <v>15.99</v>
      </c>
      <c r="C21" s="53">
        <v>90.88</v>
      </c>
      <c r="D21" s="53">
        <v>63.24</v>
      </c>
      <c r="E21" s="53">
        <v>7.68</v>
      </c>
      <c r="F21" s="53">
        <v>5.12</v>
      </c>
      <c r="G21" s="53">
        <v>40.22</v>
      </c>
      <c r="H21" s="53">
        <v>23.58</v>
      </c>
      <c r="I21" s="55" t="s">
        <v>8</v>
      </c>
      <c r="J21" s="53">
        <v>0.78</v>
      </c>
      <c r="K21" s="53">
        <v>113.78</v>
      </c>
      <c r="L21" s="53">
        <v>31.34</v>
      </c>
      <c r="M21" s="53">
        <v>15</v>
      </c>
      <c r="N21" s="53">
        <v>741.30</v>
      </c>
      <c r="O21" s="53">
        <v>0</v>
      </c>
      <c r="P21" s="53">
        <v>0.86</v>
      </c>
      <c r="Q21" s="53">
        <v>29.17</v>
      </c>
      <c r="R21" s="45"/>
      <c r="S21" s="45"/>
      <c r="T21" s="45"/>
      <c r="U21" s="45"/>
    </row>
    <row r="22" spans="1:21" s="11" customFormat="1" ht="15">
      <c r="A22" s="52" t="s">
        <v>97</v>
      </c>
      <c r="B22" s="53">
        <v>10.89</v>
      </c>
      <c r="C22" s="53">
        <v>96.5</v>
      </c>
      <c r="D22" s="53">
        <v>60.06</v>
      </c>
      <c r="E22" s="53">
        <v>9.6999999999999993</v>
      </c>
      <c r="F22" s="53">
        <v>4.6500000000000004</v>
      </c>
      <c r="G22" s="53">
        <v>37.47</v>
      </c>
      <c r="H22" s="53">
        <v>18.920000000000002</v>
      </c>
      <c r="I22" s="55" t="s">
        <v>8</v>
      </c>
      <c r="J22" s="53">
        <v>0.79</v>
      </c>
      <c r="K22" s="53">
        <v>59.69</v>
      </c>
      <c r="L22" s="53">
        <v>32</v>
      </c>
      <c r="M22" s="53">
        <v>15</v>
      </c>
      <c r="N22" s="53">
        <v>600.10</v>
      </c>
      <c r="O22" s="53">
        <v>0</v>
      </c>
      <c r="P22" s="53">
        <v>0.82</v>
      </c>
      <c r="Q22" s="53">
        <v>29.69</v>
      </c>
      <c r="R22" s="45"/>
      <c r="S22" s="45"/>
      <c r="T22" s="45"/>
      <c r="U22" s="45"/>
    </row>
    <row r="23" spans="1:21" s="11" customFormat="1" ht="15">
      <c r="A23" s="52" t="s">
        <v>98</v>
      </c>
      <c r="B23" s="53">
        <v>7.71</v>
      </c>
      <c r="C23" s="53">
        <v>97.02</v>
      </c>
      <c r="D23" s="53">
        <v>59.85</v>
      </c>
      <c r="E23" s="53">
        <v>10.84</v>
      </c>
      <c r="F23" s="53">
        <v>8.40</v>
      </c>
      <c r="G23" s="53">
        <v>66.459999999999994</v>
      </c>
      <c r="H23" s="53">
        <v>20.80</v>
      </c>
      <c r="I23" s="55" t="s">
        <v>8</v>
      </c>
      <c r="J23" s="53">
        <v>1.28</v>
      </c>
      <c r="K23" s="53">
        <v>21.06</v>
      </c>
      <c r="L23" s="53">
        <v>32.35</v>
      </c>
      <c r="M23" s="53">
        <v>14</v>
      </c>
      <c r="N23" s="53">
        <v>458.30</v>
      </c>
      <c r="O23" s="53">
        <v>0</v>
      </c>
      <c r="P23" s="53">
        <v>0.81</v>
      </c>
      <c r="Q23" s="53">
        <v>29.35</v>
      </c>
      <c r="R23" s="45"/>
      <c r="S23" s="45"/>
      <c r="T23" s="45"/>
      <c r="U23" s="45"/>
    </row>
    <row r="24" spans="1:21" s="11" customFormat="1" ht="15">
      <c r="A24" s="52" t="s">
        <v>99</v>
      </c>
      <c r="B24" s="53">
        <v>7.74</v>
      </c>
      <c r="C24" s="53">
        <v>93.78</v>
      </c>
      <c r="D24" s="53">
        <v>57.5</v>
      </c>
      <c r="E24" s="53">
        <v>8</v>
      </c>
      <c r="F24" s="53">
        <v>9.06</v>
      </c>
      <c r="G24" s="53">
        <v>66.459999999999994</v>
      </c>
      <c r="H24" s="53">
        <v>20.80</v>
      </c>
      <c r="I24" s="55" t="s">
        <v>8</v>
      </c>
      <c r="J24" s="53">
        <v>1.18</v>
      </c>
      <c r="K24" s="53">
        <v>13.71</v>
      </c>
      <c r="L24" s="53">
        <v>32.19</v>
      </c>
      <c r="M24" s="53">
        <v>13</v>
      </c>
      <c r="N24" s="53">
        <v>199.5</v>
      </c>
      <c r="O24" s="53">
        <v>0</v>
      </c>
      <c r="P24" s="53">
        <v>0.78</v>
      </c>
      <c r="Q24" s="53">
        <v>26.66</v>
      </c>
      <c r="R24" s="45"/>
      <c r="S24" s="45"/>
      <c r="T24" s="45"/>
      <c r="U24" s="45"/>
    </row>
    <row r="25" spans="1:21" s="11" customFormat="1" ht="15">
      <c r="A25" s="52" t="s">
        <v>100</v>
      </c>
      <c r="B25" s="53">
        <v>7.42</v>
      </c>
      <c r="C25" s="53">
        <v>89.80</v>
      </c>
      <c r="D25" s="53">
        <v>55.92</v>
      </c>
      <c r="E25" s="53">
        <v>6.59</v>
      </c>
      <c r="F25" s="53">
        <v>5.37</v>
      </c>
      <c r="G25" s="53">
        <v>57.57</v>
      </c>
      <c r="H25" s="53">
        <v>19.43</v>
      </c>
      <c r="I25" s="55" t="s">
        <v>8</v>
      </c>
      <c r="J25" s="53">
        <v>1.23</v>
      </c>
      <c r="K25" s="53">
        <v>353.60</v>
      </c>
      <c r="L25" s="53">
        <v>29.46</v>
      </c>
      <c r="M25" s="53">
        <v>14</v>
      </c>
      <c r="N25" s="53">
        <v>112.70</v>
      </c>
      <c r="O25" s="53">
        <v>0</v>
      </c>
      <c r="P25" s="53">
        <v>0.74</v>
      </c>
      <c r="Q25" s="53">
        <v>28.13</v>
      </c>
      <c r="R25" s="45"/>
      <c r="S25" s="45"/>
      <c r="T25" s="45"/>
      <c r="U25" s="45"/>
    </row>
    <row r="26" spans="1:21" s="11" customFormat="1" ht="15">
      <c r="A26" s="52" t="s">
        <v>101</v>
      </c>
      <c r="B26" s="53">
        <v>20.29</v>
      </c>
      <c r="C26" s="53">
        <v>106.09</v>
      </c>
      <c r="D26" s="53">
        <v>75.23</v>
      </c>
      <c r="E26" s="53">
        <v>8.32</v>
      </c>
      <c r="F26" s="53">
        <v>4.42</v>
      </c>
      <c r="G26" s="53">
        <v>47.63</v>
      </c>
      <c r="H26" s="53">
        <v>19.43</v>
      </c>
      <c r="I26" s="55" t="s">
        <v>8</v>
      </c>
      <c r="J26" s="53">
        <v>0.68</v>
      </c>
      <c r="K26" s="53">
        <v>80.91</v>
      </c>
      <c r="L26" s="53">
        <v>26.42</v>
      </c>
      <c r="M26" s="53">
        <v>18</v>
      </c>
      <c r="N26" s="53">
        <v>28.90</v>
      </c>
      <c r="O26" s="53">
        <v>0</v>
      </c>
      <c r="P26" s="53">
        <v>1.02</v>
      </c>
      <c r="Q26" s="53">
        <v>28.73</v>
      </c>
      <c r="R26" s="45"/>
      <c r="S26" s="45"/>
      <c r="T26" s="45"/>
      <c r="U26" s="45"/>
    </row>
    <row r="27" spans="1:21" s="11" customFormat="1" ht="15">
      <c r="A27" s="52" t="s">
        <v>102</v>
      </c>
      <c r="B27" s="53">
        <v>32.03</v>
      </c>
      <c r="C27" s="53">
        <v>110.12</v>
      </c>
      <c r="D27" s="53">
        <v>86.87</v>
      </c>
      <c r="E27" s="53">
        <v>9.75</v>
      </c>
      <c r="F27" s="53">
        <v>3.75</v>
      </c>
      <c r="G27" s="53">
        <v>59.68</v>
      </c>
      <c r="H27" s="53">
        <v>20.75</v>
      </c>
      <c r="I27" s="55" t="s">
        <v>8</v>
      </c>
      <c r="J27" s="53">
        <v>0.23</v>
      </c>
      <c r="K27" s="53">
        <v>341.26</v>
      </c>
      <c r="L27" s="53">
        <v>23.64</v>
      </c>
      <c r="M27" s="53">
        <v>27</v>
      </c>
      <c r="N27" s="53">
        <v>4.5</v>
      </c>
      <c r="O27" s="53">
        <v>0</v>
      </c>
      <c r="P27" s="53">
        <v>1.1299999999999999</v>
      </c>
      <c r="Q27" s="53">
        <v>29.55</v>
      </c>
      <c r="R27" s="45"/>
      <c r="S27" s="45"/>
      <c r="T27" s="45"/>
      <c r="U27" s="45"/>
    </row>
    <row r="28" spans="1:21" s="11" customFormat="1" ht="15">
      <c r="A28" s="52" t="s">
        <v>103</v>
      </c>
      <c r="B28" s="53">
        <v>54.35</v>
      </c>
      <c r="C28" s="53">
        <v>115.14</v>
      </c>
      <c r="D28" s="53">
        <v>107.55</v>
      </c>
      <c r="E28" s="53">
        <v>6.70</v>
      </c>
      <c r="F28" s="53">
        <v>3.67</v>
      </c>
      <c r="G28" s="53">
        <v>91.42</v>
      </c>
      <c r="H28" s="53">
        <v>31.44</v>
      </c>
      <c r="I28" s="55" t="s">
        <v>8</v>
      </c>
      <c r="J28" s="53">
        <v>0.09</v>
      </c>
      <c r="K28" s="53">
        <v>313.70</v>
      </c>
      <c r="L28" s="53">
        <v>20.38</v>
      </c>
      <c r="M28" s="53">
        <v>37</v>
      </c>
      <c r="N28" s="53">
        <v>4.5</v>
      </c>
      <c r="O28" s="53">
        <v>0</v>
      </c>
      <c r="P28" s="53">
        <v>1.47</v>
      </c>
      <c r="Q28" s="53">
        <v>33.65</v>
      </c>
      <c r="R28" s="45"/>
      <c r="S28" s="45"/>
      <c r="T28" s="45"/>
      <c r="U28" s="45"/>
    </row>
    <row r="29" spans="1:21" s="11" customFormat="1" ht="15">
      <c r="A29" s="52" t="s">
        <v>104</v>
      </c>
      <c r="B29" s="53">
        <v>108.14</v>
      </c>
      <c r="C29" s="53">
        <v>142.38</v>
      </c>
      <c r="D29" s="53">
        <v>165.71</v>
      </c>
      <c r="E29" s="53">
        <v>7.11</v>
      </c>
      <c r="F29" s="53">
        <v>3.65</v>
      </c>
      <c r="G29" s="53">
        <v>182.59</v>
      </c>
      <c r="H29" s="53">
        <v>41.16</v>
      </c>
      <c r="I29" s="55" t="s">
        <v>8</v>
      </c>
      <c r="J29" s="53">
        <v>0.12</v>
      </c>
      <c r="K29" s="53">
        <v>341.09</v>
      </c>
      <c r="L29" s="53">
        <v>18.75</v>
      </c>
      <c r="M29" s="53">
        <v>47</v>
      </c>
      <c r="N29" s="53">
        <v>4.20</v>
      </c>
      <c r="O29" s="53">
        <v>0</v>
      </c>
      <c r="P29" s="53">
        <v>2.33</v>
      </c>
      <c r="Q29" s="53">
        <v>38.11</v>
      </c>
      <c r="R29" s="45"/>
      <c r="S29" s="45"/>
      <c r="T29" s="45"/>
      <c r="U29" s="45"/>
    </row>
    <row r="30" spans="1:21" s="11" customFormat="1" ht="15">
      <c r="A30" s="52" t="s">
        <v>105</v>
      </c>
      <c r="B30" s="53">
        <v>187.07</v>
      </c>
      <c r="C30" s="53">
        <v>178.49</v>
      </c>
      <c r="D30" s="53">
        <v>248.93</v>
      </c>
      <c r="E30" s="53">
        <v>8.02</v>
      </c>
      <c r="F30" s="53">
        <v>3.81</v>
      </c>
      <c r="G30" s="53">
        <v>205.63</v>
      </c>
      <c r="H30" s="53">
        <v>58.52</v>
      </c>
      <c r="I30" s="55" t="s">
        <v>8</v>
      </c>
      <c r="J30" s="53">
        <v>0.17</v>
      </c>
      <c r="K30" s="53">
        <v>353.41</v>
      </c>
      <c r="L30" s="53">
        <v>18.02</v>
      </c>
      <c r="M30" s="53">
        <v>56</v>
      </c>
      <c r="N30" s="53">
        <v>3.90</v>
      </c>
      <c r="O30" s="53">
        <v>0</v>
      </c>
      <c r="P30" s="53">
        <v>3.17</v>
      </c>
      <c r="Q30" s="53">
        <v>42.51</v>
      </c>
      <c r="R30" s="45"/>
      <c r="S30" s="45"/>
      <c r="T30" s="45"/>
      <c r="U30" s="45"/>
    </row>
    <row r="31" spans="1:21" s="11" customFormat="1" ht="15">
      <c r="A31" s="52" t="s">
        <v>106</v>
      </c>
      <c r="B31" s="53">
        <v>232.22</v>
      </c>
      <c r="C31" s="53">
        <v>191.93</v>
      </c>
      <c r="D31" s="53">
        <v>292.57</v>
      </c>
      <c r="E31" s="53">
        <v>8.8800000000000008</v>
      </c>
      <c r="F31" s="53">
        <v>3.69</v>
      </c>
      <c r="G31" s="53">
        <v>221.16</v>
      </c>
      <c r="H31" s="53">
        <v>72.56</v>
      </c>
      <c r="I31" s="55" t="s">
        <v>8</v>
      </c>
      <c r="J31" s="53">
        <v>0.15</v>
      </c>
      <c r="K31" s="53">
        <v>345.52</v>
      </c>
      <c r="L31" s="53">
        <v>17.09</v>
      </c>
      <c r="M31" s="53">
        <v>58</v>
      </c>
      <c r="N31" s="53">
        <v>4.30</v>
      </c>
      <c r="O31" s="53">
        <v>0</v>
      </c>
      <c r="P31" s="53">
        <v>3.79</v>
      </c>
      <c r="Q31" s="53">
        <v>46.56</v>
      </c>
      <c r="R31" s="45"/>
      <c r="S31" s="45"/>
      <c r="T31" s="45"/>
      <c r="U31" s="45"/>
    </row>
    <row r="32" spans="1:21" s="11" customFormat="1" ht="15">
      <c r="A32" s="52" t="s">
        <v>107</v>
      </c>
      <c r="B32" s="53">
        <v>256.27999999999997</v>
      </c>
      <c r="C32" s="53">
        <v>198.56</v>
      </c>
      <c r="D32" s="53">
        <v>315.13</v>
      </c>
      <c r="E32" s="53">
        <v>9.2799999999999994</v>
      </c>
      <c r="F32" s="53">
        <v>3.66</v>
      </c>
      <c r="G32" s="53">
        <v>221.16</v>
      </c>
      <c r="H32" s="53">
        <v>78.34</v>
      </c>
      <c r="I32" s="55" t="s">
        <v>8</v>
      </c>
      <c r="J32" s="53">
        <v>0.070000000000000007</v>
      </c>
      <c r="K32" s="53">
        <v>335.78</v>
      </c>
      <c r="L32" s="53">
        <v>16.70</v>
      </c>
      <c r="M32" s="53">
        <v>68</v>
      </c>
      <c r="N32" s="53">
        <v>4.20</v>
      </c>
      <c r="O32" s="53">
        <v>0</v>
      </c>
      <c r="P32" s="53">
        <v>4.42</v>
      </c>
      <c r="Q32" s="53">
        <v>50.88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7.4199999999999999</v>
      </c>
      <c r="C34" s="28">
        <f t="shared" si="0"/>
        <v>89.799999999999997</v>
      </c>
      <c r="D34" s="28">
        <f t="shared" si="0"/>
        <v>55.920000000000002</v>
      </c>
      <c r="E34" s="28">
        <f t="shared" si="0"/>
        <v>6.5899999999999999</v>
      </c>
      <c r="F34" s="28">
        <f t="shared" si="0"/>
        <v>3.6299999999999999</v>
      </c>
      <c r="G34" s="28">
        <f t="shared" si="0"/>
        <v>37.469999999999999</v>
      </c>
      <c r="H34" s="28">
        <f t="shared" si="0"/>
        <v>18.920000000000002</v>
      </c>
      <c r="I34" s="28">
        <f t="shared" si="0"/>
        <v>0</v>
      </c>
      <c r="J34" s="28">
        <f t="shared" si="0"/>
        <v>0.070000000000000007</v>
      </c>
      <c r="K34" s="28">
        <f t="shared" si="0"/>
        <v>13.710000000000001</v>
      </c>
      <c r="L34" s="28">
        <f t="shared" si="0"/>
        <v>14.880000000000001</v>
      </c>
      <c r="M34" s="28">
        <f t="shared" si="0"/>
        <v>13</v>
      </c>
      <c r="N34" s="28">
        <f t="shared" si="0"/>
        <v>3.8999999999999999</v>
      </c>
      <c r="O34" s="28">
        <f t="shared" si="0"/>
        <v>0</v>
      </c>
      <c r="P34" s="28">
        <f t="shared" si="0"/>
        <v>0.73999999999999999</v>
      </c>
      <c r="Q34" s="28">
        <f t="shared" si="0"/>
        <v>26.66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256.27999999999997</v>
      </c>
      <c r="C35" s="29">
        <f t="shared" si="1"/>
        <v>198.56</v>
      </c>
      <c r="D35" s="29">
        <f t="shared" si="1"/>
        <v>315.13</v>
      </c>
      <c r="E35" s="29">
        <f t="shared" si="1"/>
        <v>15.74</v>
      </c>
      <c r="F35" s="29">
        <f t="shared" si="1"/>
        <v>9.0600000000000005</v>
      </c>
      <c r="G35" s="29">
        <f t="shared" si="1"/>
        <v>221.16</v>
      </c>
      <c r="H35" s="29">
        <f t="shared" si="1"/>
        <v>78.340000000000003</v>
      </c>
      <c r="I35" s="29">
        <f t="shared" si="1"/>
        <v>0</v>
      </c>
      <c r="J35" s="29">
        <f t="shared" si="1"/>
        <v>1.3200000000000001</v>
      </c>
      <c r="K35" s="29">
        <f t="shared" si="1"/>
        <v>353.60000000000002</v>
      </c>
      <c r="L35" s="29">
        <f t="shared" si="1"/>
        <v>32.350000000000001</v>
      </c>
      <c r="M35" s="29">
        <f t="shared" si="1"/>
        <v>68</v>
      </c>
      <c r="N35" s="29">
        <f t="shared" si="1"/>
        <v>741.29999999999995</v>
      </c>
      <c r="O35" s="29">
        <f t="shared" si="1"/>
        <v>0</v>
      </c>
      <c r="P35" s="29">
        <f t="shared" si="1"/>
        <v>4.4199999999999999</v>
      </c>
      <c r="Q35" s="29">
        <f t="shared" si="1"/>
        <v>50.880000000000003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63.366666666666667</v>
      </c>
      <c r="C36" s="28">
        <f t="shared" si="2"/>
        <v>113.12749999999998</v>
      </c>
      <c r="D36" s="28">
        <f t="shared" si="2"/>
        <v>113.34833333333336</v>
      </c>
      <c r="E36" s="28">
        <f t="shared" si="2"/>
        <v>8.7641666666666662</v>
      </c>
      <c r="F36" s="28">
        <f t="shared" si="2"/>
        <v>4.5125000000000002</v>
      </c>
      <c r="G36" s="28">
        <f t="shared" si="2"/>
        <v>109.29583333333333</v>
      </c>
      <c r="H36" s="28">
        <f t="shared" si="2"/>
        <v>42.223333333333322</v>
      </c>
      <c r="I36" s="28" t="e">
        <f t="shared" si="2"/>
        <v>#DIV/0!</v>
      </c>
      <c r="J36" s="28">
        <f t="shared" si="2"/>
        <v>0.69333333333333336</v>
      </c>
      <c r="K36" s="28">
        <f t="shared" si="2"/>
        <v>159.25833333333333</v>
      </c>
      <c r="L36" s="28">
        <f t="shared" si="2"/>
        <v>22.916666666666671</v>
      </c>
      <c r="M36" s="28">
        <f t="shared" si="2"/>
        <v>35.166666666666664</v>
      </c>
      <c r="N36" s="28">
        <f t="shared" si="2"/>
        <v>201.51249999999993</v>
      </c>
      <c r="O36" s="28">
        <f t="shared" si="2"/>
        <v>0</v>
      </c>
      <c r="P36" s="28">
        <f t="shared" si="2"/>
        <v>1.6491666666666667</v>
      </c>
      <c r="Q36" s="28">
        <f t="shared" si="2"/>
        <v>33.27708333333333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69.000873949516759</v>
      </c>
      <c r="C37" s="28">
        <f t="shared" si="3" ref="C37:Q37">STDEV(C9:C32)</f>
        <v>32.713644308041431</v>
      </c>
      <c r="D37" s="28">
        <f t="shared" si="3"/>
        <v>73.143687038753953</v>
      </c>
      <c r="E37" s="28">
        <f t="shared" si="3"/>
        <v>1.8671319942783908</v>
      </c>
      <c r="F37" s="28">
        <f t="shared" si="3"/>
        <v>1.4178466526513984</v>
      </c>
      <c r="G37" s="28">
        <f t="shared" si="3"/>
        <v>58.371078895710674</v>
      </c>
      <c r="H37" s="28">
        <f t="shared" si="3"/>
        <v>18.277815649785325</v>
      </c>
      <c r="I37" s="28" t="e">
        <f t="shared" si="3"/>
        <v>#DIV/0!</v>
      </c>
      <c r="J37" s="28">
        <f t="shared" si="3"/>
        <v>0.4173275917556612</v>
      </c>
      <c r="K37" s="28">
        <f t="shared" si="3"/>
        <v>134.90619354933642</v>
      </c>
      <c r="L37" s="28">
        <f t="shared" si="3"/>
        <v>5.9816455978243024</v>
      </c>
      <c r="M37" s="28">
        <f t="shared" si="3"/>
        <v>16.396358733271995</v>
      </c>
      <c r="N37" s="28">
        <f t="shared" si="3"/>
        <v>272.80562328849851</v>
      </c>
      <c r="O37" s="28">
        <f t="shared" si="3"/>
        <v>0</v>
      </c>
      <c r="P37" s="28">
        <f t="shared" si="3"/>
        <v>0.98068705581815208</v>
      </c>
      <c r="Q37" s="28">
        <f t="shared" si="3"/>
        <v>6.6351439020905554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9b3f58-c12f-4838-83fd-73fae7bbbc6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108</v>
      </c>
      <c r="B9" s="53">
        <v>262.58</v>
      </c>
      <c r="C9" s="53">
        <v>198.80</v>
      </c>
      <c r="D9" s="53">
        <v>320.52999999999997</v>
      </c>
      <c r="E9" s="53">
        <v>9.68</v>
      </c>
      <c r="F9" s="53">
        <v>3.60</v>
      </c>
      <c r="G9" s="53">
        <v>220.5</v>
      </c>
      <c r="H9" s="53">
        <v>79.73</v>
      </c>
      <c r="I9" s="55" t="s">
        <v>8</v>
      </c>
      <c r="J9" s="53">
        <v>0.08</v>
      </c>
      <c r="K9" s="53">
        <v>353.57</v>
      </c>
      <c r="L9" s="53">
        <v>16.440000000000001</v>
      </c>
      <c r="M9" s="53">
        <v>71</v>
      </c>
      <c r="N9" s="53">
        <v>4.4000000000000004</v>
      </c>
      <c r="O9" s="53">
        <v>0</v>
      </c>
      <c r="P9" s="53">
        <v>4.8499999999999996</v>
      </c>
      <c r="Q9" s="53">
        <v>50.82</v>
      </c>
      <c r="R9" s="45"/>
      <c r="S9" s="45"/>
      <c r="T9" s="45"/>
      <c r="U9" s="45"/>
    </row>
    <row r="10" spans="1:21" s="11" customFormat="1" ht="15">
      <c r="A10" s="52" t="s">
        <v>109</v>
      </c>
      <c r="B10" s="53">
        <v>249.09</v>
      </c>
      <c r="C10" s="53">
        <v>188.76</v>
      </c>
      <c r="D10" s="53">
        <v>304.33999999999997</v>
      </c>
      <c r="E10" s="53">
        <v>10.47</v>
      </c>
      <c r="F10" s="53">
        <v>3.54</v>
      </c>
      <c r="G10" s="53">
        <v>184.77</v>
      </c>
      <c r="H10" s="53">
        <v>93.02</v>
      </c>
      <c r="I10" s="55" t="s">
        <v>8</v>
      </c>
      <c r="J10" s="53">
        <v>0.20</v>
      </c>
      <c r="K10" s="53">
        <v>260.14</v>
      </c>
      <c r="L10" s="53">
        <v>17.14</v>
      </c>
      <c r="M10" s="53">
        <v>53</v>
      </c>
      <c r="N10" s="53">
        <v>4.20</v>
      </c>
      <c r="O10" s="53">
        <v>0</v>
      </c>
      <c r="P10" s="53">
        <v>4.42</v>
      </c>
      <c r="Q10" s="53">
        <v>49.64</v>
      </c>
      <c r="R10" s="45"/>
      <c r="S10" s="45"/>
      <c r="T10" s="45"/>
      <c r="U10" s="45"/>
    </row>
    <row r="11" spans="1:21" s="11" customFormat="1" ht="15">
      <c r="A11" s="52" t="s">
        <v>110</v>
      </c>
      <c r="B11" s="53">
        <v>208.25</v>
      </c>
      <c r="C11" s="53">
        <v>167.01</v>
      </c>
      <c r="D11" s="53">
        <v>259.58999999999997</v>
      </c>
      <c r="E11" s="53">
        <v>9.75</v>
      </c>
      <c r="F11" s="53">
        <v>3.65</v>
      </c>
      <c r="G11" s="53">
        <v>217.01</v>
      </c>
      <c r="H11" s="53">
        <v>98.38</v>
      </c>
      <c r="I11" s="55" t="s">
        <v>8</v>
      </c>
      <c r="J11" s="53">
        <v>0.46</v>
      </c>
      <c r="K11" s="53">
        <v>100.11</v>
      </c>
      <c r="L11" s="53">
        <v>16.350000000000001</v>
      </c>
      <c r="M11" s="53">
        <v>49</v>
      </c>
      <c r="N11" s="53">
        <v>4.20</v>
      </c>
      <c r="O11" s="53">
        <v>0</v>
      </c>
      <c r="P11" s="53">
        <v>4.01</v>
      </c>
      <c r="Q11" s="53">
        <v>44.81</v>
      </c>
      <c r="R11" s="45"/>
      <c r="S11" s="45"/>
      <c r="T11" s="45"/>
      <c r="U11" s="45"/>
    </row>
    <row r="12" spans="1:21" s="11" customFormat="1" ht="15">
      <c r="A12" s="52" t="s">
        <v>111</v>
      </c>
      <c r="B12" s="53">
        <v>163</v>
      </c>
      <c r="C12" s="53">
        <v>145.80000000000001</v>
      </c>
      <c r="D12" s="53">
        <v>211.59</v>
      </c>
      <c r="E12" s="53">
        <v>9</v>
      </c>
      <c r="F12" s="53">
        <v>3.80</v>
      </c>
      <c r="G12" s="53">
        <v>217.01</v>
      </c>
      <c r="H12" s="53">
        <v>98.38</v>
      </c>
      <c r="I12" s="55" t="s">
        <v>8</v>
      </c>
      <c r="J12" s="53">
        <v>0.34</v>
      </c>
      <c r="K12" s="53">
        <v>87.43</v>
      </c>
      <c r="L12" s="53">
        <v>16.34</v>
      </c>
      <c r="M12" s="53">
        <v>49</v>
      </c>
      <c r="N12" s="53">
        <v>4.30</v>
      </c>
      <c r="O12" s="53">
        <v>0</v>
      </c>
      <c r="P12" s="53">
        <v>3.36</v>
      </c>
      <c r="Q12" s="53">
        <v>42.20</v>
      </c>
      <c r="R12" s="45"/>
      <c r="S12" s="45"/>
      <c r="T12" s="45"/>
      <c r="U12" s="45"/>
    </row>
    <row r="13" spans="1:21" s="11" customFormat="1" ht="15">
      <c r="A13" s="52" t="s">
        <v>112</v>
      </c>
      <c r="B13" s="53">
        <v>118.68</v>
      </c>
      <c r="C13" s="53">
        <v>128.63</v>
      </c>
      <c r="D13" s="53">
        <v>166.58</v>
      </c>
      <c r="E13" s="53">
        <v>8.5</v>
      </c>
      <c r="F13" s="53">
        <v>3.52</v>
      </c>
      <c r="G13" s="53">
        <v>186.16</v>
      </c>
      <c r="H13" s="53">
        <v>85.41</v>
      </c>
      <c r="I13" s="55" t="s">
        <v>8</v>
      </c>
      <c r="J13" s="53">
        <v>0.17</v>
      </c>
      <c r="K13" s="53">
        <v>255.66</v>
      </c>
      <c r="L13" s="53">
        <v>16.09</v>
      </c>
      <c r="M13" s="53">
        <v>50</v>
      </c>
      <c r="N13" s="53">
        <v>4.20</v>
      </c>
      <c r="O13" s="53">
        <v>0</v>
      </c>
      <c r="P13" s="53">
        <v>2.69</v>
      </c>
      <c r="Q13" s="53">
        <v>37.880000000000003</v>
      </c>
      <c r="R13" s="45"/>
      <c r="S13" s="45"/>
      <c r="T13" s="45"/>
      <c r="U13" s="45"/>
    </row>
    <row r="14" spans="1:21" s="11" customFormat="1" ht="15">
      <c r="A14" s="52" t="s">
        <v>113</v>
      </c>
      <c r="B14" s="53">
        <v>86.18</v>
      </c>
      <c r="C14" s="53">
        <v>116.22</v>
      </c>
      <c r="D14" s="53">
        <v>133.66</v>
      </c>
      <c r="E14" s="53">
        <v>7.56</v>
      </c>
      <c r="F14" s="53">
        <v>3.59</v>
      </c>
      <c r="G14" s="53">
        <v>105.17</v>
      </c>
      <c r="H14" s="53">
        <v>67.040000000000006</v>
      </c>
      <c r="I14" s="55" t="s">
        <v>8</v>
      </c>
      <c r="J14" s="53">
        <v>0.14000000000000001</v>
      </c>
      <c r="K14" s="53">
        <v>309.18</v>
      </c>
      <c r="L14" s="53">
        <v>14.65</v>
      </c>
      <c r="M14" s="53">
        <v>67</v>
      </c>
      <c r="N14" s="53">
        <v>4.5999999999999996</v>
      </c>
      <c r="O14" s="53">
        <v>0</v>
      </c>
      <c r="P14" s="53">
        <v>2.09</v>
      </c>
      <c r="Q14" s="53">
        <v>33.06</v>
      </c>
      <c r="R14" s="45"/>
      <c r="S14" s="45"/>
      <c r="T14" s="45"/>
      <c r="U14" s="45"/>
    </row>
    <row r="15" spans="1:21" s="11" customFormat="1" ht="15">
      <c r="A15" s="52" t="s">
        <v>114</v>
      </c>
      <c r="B15" s="53">
        <v>76.790000000000006</v>
      </c>
      <c r="C15" s="53">
        <v>109.20</v>
      </c>
      <c r="D15" s="53">
        <v>122.25</v>
      </c>
      <c r="E15" s="53">
        <v>7.62</v>
      </c>
      <c r="F15" s="53">
        <v>3.56</v>
      </c>
      <c r="G15" s="53">
        <v>88.16</v>
      </c>
      <c r="H15" s="53">
        <v>43.47</v>
      </c>
      <c r="I15" s="55" t="s">
        <v>8</v>
      </c>
      <c r="J15" s="53">
        <v>0.17</v>
      </c>
      <c r="K15" s="53">
        <v>307.63</v>
      </c>
      <c r="L15" s="53">
        <v>14.60</v>
      </c>
      <c r="M15" s="53">
        <v>62</v>
      </c>
      <c r="N15" s="53">
        <v>19.399999999999999</v>
      </c>
      <c r="O15" s="53">
        <v>0</v>
      </c>
      <c r="P15" s="53">
        <v>1.75</v>
      </c>
      <c r="Q15" s="53">
        <v>32.53</v>
      </c>
      <c r="R15" s="45"/>
      <c r="S15" s="45"/>
      <c r="T15" s="45"/>
      <c r="U15" s="45"/>
    </row>
    <row r="16" spans="1:21" s="11" customFormat="1" ht="15">
      <c r="A16" s="52" t="s">
        <v>115</v>
      </c>
      <c r="B16" s="53">
        <v>72.59</v>
      </c>
      <c r="C16" s="53">
        <v>111.28</v>
      </c>
      <c r="D16" s="53">
        <v>119.5</v>
      </c>
      <c r="E16" s="53">
        <v>7.84</v>
      </c>
      <c r="F16" s="53">
        <v>3.54</v>
      </c>
      <c r="G16" s="53">
        <v>91.42</v>
      </c>
      <c r="H16" s="53">
        <v>44.80</v>
      </c>
      <c r="I16" s="55" t="s">
        <v>8</v>
      </c>
      <c r="J16" s="53">
        <v>0.44</v>
      </c>
      <c r="K16" s="53">
        <v>68.83</v>
      </c>
      <c r="L16" s="53">
        <v>19.73</v>
      </c>
      <c r="M16" s="53">
        <v>57</v>
      </c>
      <c r="N16" s="53">
        <v>246.80</v>
      </c>
      <c r="O16" s="53">
        <v>0</v>
      </c>
      <c r="P16" s="53">
        <v>1.73</v>
      </c>
      <c r="Q16" s="53">
        <v>32.549999999999997</v>
      </c>
      <c r="R16" s="45"/>
      <c r="S16" s="45"/>
      <c r="T16" s="45"/>
      <c r="U16" s="45"/>
    </row>
    <row r="17" spans="1:21" s="11" customFormat="1" ht="15">
      <c r="A17" s="52" t="s">
        <v>116</v>
      </c>
      <c r="B17" s="53">
        <v>68.36</v>
      </c>
      <c r="C17" s="53">
        <v>112.40</v>
      </c>
      <c r="D17" s="53">
        <v>117.26</v>
      </c>
      <c r="E17" s="53">
        <v>7.48</v>
      </c>
      <c r="F17" s="53">
        <v>4.25</v>
      </c>
      <c r="G17" s="53">
        <v>103.96</v>
      </c>
      <c r="H17" s="53">
        <v>48.90</v>
      </c>
      <c r="I17" s="55" t="s">
        <v>8</v>
      </c>
      <c r="J17" s="53">
        <v>0.94</v>
      </c>
      <c r="K17" s="53">
        <v>77.819999999999993</v>
      </c>
      <c r="L17" s="53">
        <v>23.75</v>
      </c>
      <c r="M17" s="53">
        <v>36</v>
      </c>
      <c r="N17" s="53">
        <v>437.20</v>
      </c>
      <c r="O17" s="53">
        <v>0</v>
      </c>
      <c r="P17" s="53">
        <v>1.70</v>
      </c>
      <c r="Q17" s="53">
        <v>31.65</v>
      </c>
      <c r="R17" s="45"/>
      <c r="S17" s="45"/>
      <c r="T17" s="45"/>
      <c r="U17" s="45"/>
    </row>
    <row r="18" spans="1:21" s="11" customFormat="1" ht="15">
      <c r="A18" s="52" t="s">
        <v>117</v>
      </c>
      <c r="B18" s="53">
        <v>47.08</v>
      </c>
      <c r="C18" s="53">
        <v>104</v>
      </c>
      <c r="D18" s="53">
        <v>95.56</v>
      </c>
      <c r="E18" s="53">
        <v>7.21</v>
      </c>
      <c r="F18" s="53">
        <v>5.81</v>
      </c>
      <c r="G18" s="53">
        <v>103.96</v>
      </c>
      <c r="H18" s="53">
        <v>48.90</v>
      </c>
      <c r="I18" s="55" t="s">
        <v>8</v>
      </c>
      <c r="J18" s="53">
        <v>1.31</v>
      </c>
      <c r="K18" s="53">
        <v>50.40</v>
      </c>
      <c r="L18" s="53">
        <v>26.75</v>
      </c>
      <c r="M18" s="53">
        <v>29</v>
      </c>
      <c r="N18" s="53">
        <v>553.40</v>
      </c>
      <c r="O18" s="53">
        <v>0</v>
      </c>
      <c r="P18" s="53">
        <v>1.42</v>
      </c>
      <c r="Q18" s="53">
        <v>28.48</v>
      </c>
      <c r="R18" s="45"/>
      <c r="S18" s="45"/>
      <c r="T18" s="45"/>
      <c r="U18" s="45"/>
    </row>
    <row r="19" spans="1:21" s="11" customFormat="1" ht="15">
      <c r="A19" s="52" t="s">
        <v>118</v>
      </c>
      <c r="B19" s="53">
        <v>31.82</v>
      </c>
      <c r="C19" s="53">
        <v>102.56</v>
      </c>
      <c r="D19" s="53">
        <v>82.53</v>
      </c>
      <c r="E19" s="53">
        <v>6.47</v>
      </c>
      <c r="F19" s="53">
        <v>5.96</v>
      </c>
      <c r="G19" s="53">
        <v>80.09</v>
      </c>
      <c r="H19" s="53">
        <v>32.99</v>
      </c>
      <c r="I19" s="55" t="s">
        <v>8</v>
      </c>
      <c r="J19" s="53">
        <v>1.24</v>
      </c>
      <c r="K19" s="53">
        <v>89.5</v>
      </c>
      <c r="L19" s="53">
        <v>28.96</v>
      </c>
      <c r="M19" s="53">
        <v>21</v>
      </c>
      <c r="N19" s="53">
        <v>632.10</v>
      </c>
      <c r="O19" s="53">
        <v>0</v>
      </c>
      <c r="P19" s="53">
        <v>1.23</v>
      </c>
      <c r="Q19" s="53">
        <v>27.5</v>
      </c>
      <c r="R19" s="45"/>
      <c r="S19" s="45"/>
      <c r="T19" s="45"/>
      <c r="U19" s="45"/>
    </row>
    <row r="20" spans="1:21" s="11" customFormat="1" ht="15">
      <c r="A20" s="52" t="s">
        <v>119</v>
      </c>
      <c r="B20" s="53">
        <v>4.13</v>
      </c>
      <c r="C20" s="53">
        <v>60.78</v>
      </c>
      <c r="D20" s="53">
        <v>37.270000000000003</v>
      </c>
      <c r="E20" s="53">
        <v>12.69</v>
      </c>
      <c r="F20" s="53">
        <v>50.65</v>
      </c>
      <c r="G20" s="53">
        <v>50.09</v>
      </c>
      <c r="H20" s="53">
        <v>31.05</v>
      </c>
      <c r="I20" s="53">
        <v>0.26</v>
      </c>
      <c r="J20" s="53">
        <v>1.26</v>
      </c>
      <c r="K20" s="53">
        <v>108.58</v>
      </c>
      <c r="L20" s="53">
        <v>28.89</v>
      </c>
      <c r="M20" s="53">
        <v>15</v>
      </c>
      <c r="N20" s="53">
        <v>733.70</v>
      </c>
      <c r="O20" s="53">
        <v>0</v>
      </c>
      <c r="P20" s="53">
        <v>0.5</v>
      </c>
      <c r="Q20" s="53">
        <v>11.17</v>
      </c>
      <c r="R20" s="45"/>
      <c r="S20" s="45"/>
      <c r="T20" s="45"/>
      <c r="U20" s="45"/>
    </row>
    <row r="21" spans="1:21" s="11" customFormat="1" ht="15">
      <c r="A21" s="52" t="s">
        <v>120</v>
      </c>
      <c r="B21" s="53">
        <v>3.62</v>
      </c>
      <c r="C21" s="53">
        <v>32.61</v>
      </c>
      <c r="D21" s="53">
        <v>19.66</v>
      </c>
      <c r="E21" s="53">
        <v>16.03</v>
      </c>
      <c r="F21" s="53">
        <v>48.06</v>
      </c>
      <c r="G21" s="53">
        <v>26.25</v>
      </c>
      <c r="H21" s="53">
        <v>19.059999999999999</v>
      </c>
      <c r="I21" s="53">
        <v>0.45</v>
      </c>
      <c r="J21" s="53">
        <v>1.40</v>
      </c>
      <c r="K21" s="53">
        <v>118.57</v>
      </c>
      <c r="L21" s="53">
        <v>30.54</v>
      </c>
      <c r="M21" s="53">
        <v>15</v>
      </c>
      <c r="N21" s="53">
        <v>736.30</v>
      </c>
      <c r="O21" s="53">
        <v>0</v>
      </c>
      <c r="P21" s="53">
        <v>0.27</v>
      </c>
      <c r="Q21" s="53">
        <v>6.29</v>
      </c>
      <c r="R21" s="45"/>
      <c r="S21" s="45"/>
      <c r="T21" s="45"/>
      <c r="U21" s="45"/>
    </row>
    <row r="22" spans="1:21" s="11" customFormat="1" ht="15">
      <c r="A22" s="52" t="s">
        <v>121</v>
      </c>
      <c r="B22" s="53">
        <v>5.89</v>
      </c>
      <c r="C22" s="53">
        <v>54.62</v>
      </c>
      <c r="D22" s="53">
        <v>33.15</v>
      </c>
      <c r="E22" s="53">
        <v>10.15</v>
      </c>
      <c r="F22" s="53">
        <v>7.74</v>
      </c>
      <c r="G22" s="53">
        <v>39.97</v>
      </c>
      <c r="H22" s="53">
        <v>17.97</v>
      </c>
      <c r="I22" s="53">
        <v>0.49</v>
      </c>
      <c r="J22" s="53">
        <v>1.26</v>
      </c>
      <c r="K22" s="53">
        <v>64.47</v>
      </c>
      <c r="L22" s="53">
        <v>33.74</v>
      </c>
      <c r="M22" s="53">
        <v>12</v>
      </c>
      <c r="N22" s="53">
        <v>610.5</v>
      </c>
      <c r="O22" s="53">
        <v>0</v>
      </c>
      <c r="P22" s="53">
        <v>0.40</v>
      </c>
      <c r="Q22" s="53">
        <v>13.19</v>
      </c>
      <c r="R22" s="45"/>
      <c r="S22" s="45"/>
      <c r="T22" s="45"/>
      <c r="U22" s="45"/>
    </row>
    <row r="23" spans="1:21" s="11" customFormat="1" ht="15">
      <c r="A23" s="52" t="s">
        <v>122</v>
      </c>
      <c r="B23" s="53">
        <v>5.41</v>
      </c>
      <c r="C23" s="53">
        <v>71.72</v>
      </c>
      <c r="D23" s="53">
        <v>42.25</v>
      </c>
      <c r="E23" s="53">
        <v>9.34</v>
      </c>
      <c r="F23" s="53">
        <v>7.14</v>
      </c>
      <c r="G23" s="53">
        <v>50.11</v>
      </c>
      <c r="H23" s="53">
        <v>18.27</v>
      </c>
      <c r="I23" s="53">
        <v>0.52</v>
      </c>
      <c r="J23" s="53">
        <v>1.30</v>
      </c>
      <c r="K23" s="53">
        <v>344.25</v>
      </c>
      <c r="L23" s="53">
        <v>33.64</v>
      </c>
      <c r="M23" s="53">
        <v>11</v>
      </c>
      <c r="N23" s="53">
        <v>493.90</v>
      </c>
      <c r="O23" s="53">
        <v>0</v>
      </c>
      <c r="P23" s="53">
        <v>0.54</v>
      </c>
      <c r="Q23" s="53">
        <v>17.739999999999998</v>
      </c>
      <c r="R23" s="45"/>
      <c r="S23" s="45"/>
      <c r="T23" s="45"/>
      <c r="U23" s="45"/>
    </row>
    <row r="24" spans="1:21" s="11" customFormat="1" ht="15">
      <c r="A24" s="52" t="s">
        <v>123</v>
      </c>
      <c r="B24" s="53">
        <v>7.28</v>
      </c>
      <c r="C24" s="53">
        <v>78.05</v>
      </c>
      <c r="D24" s="53">
        <v>46.92</v>
      </c>
      <c r="E24" s="53">
        <v>16.54</v>
      </c>
      <c r="F24" s="53">
        <v>11.06</v>
      </c>
      <c r="G24" s="53">
        <v>57.53</v>
      </c>
      <c r="H24" s="53">
        <v>18.27</v>
      </c>
      <c r="I24" s="53">
        <v>0.55000000000000004</v>
      </c>
      <c r="J24" s="53">
        <v>1.25</v>
      </c>
      <c r="K24" s="53">
        <v>13.57</v>
      </c>
      <c r="L24" s="53">
        <v>32.44</v>
      </c>
      <c r="M24" s="53">
        <v>13</v>
      </c>
      <c r="N24" s="53">
        <v>171.10</v>
      </c>
      <c r="O24" s="53">
        <v>0</v>
      </c>
      <c r="P24" s="53">
        <v>0.62</v>
      </c>
      <c r="Q24" s="53">
        <v>18.55</v>
      </c>
      <c r="R24" s="45"/>
      <c r="S24" s="45"/>
      <c r="T24" s="45"/>
      <c r="U24" s="45"/>
    </row>
    <row r="25" spans="1:21" s="11" customFormat="1" ht="15">
      <c r="A25" s="52" t="s">
        <v>124</v>
      </c>
      <c r="B25" s="53">
        <v>15.65</v>
      </c>
      <c r="C25" s="53">
        <v>84.03</v>
      </c>
      <c r="D25" s="53">
        <v>57.73</v>
      </c>
      <c r="E25" s="53">
        <v>17.010000000000002</v>
      </c>
      <c r="F25" s="53">
        <v>10.30</v>
      </c>
      <c r="G25" s="53">
        <v>57.53</v>
      </c>
      <c r="H25" s="53">
        <v>18.39</v>
      </c>
      <c r="I25" s="53">
        <v>0.56000000000000005</v>
      </c>
      <c r="J25" s="53">
        <v>1.42</v>
      </c>
      <c r="K25" s="53">
        <v>16.21</v>
      </c>
      <c r="L25" s="53">
        <v>29.92</v>
      </c>
      <c r="M25" s="53">
        <v>13</v>
      </c>
      <c r="N25" s="53">
        <v>122.90</v>
      </c>
      <c r="O25" s="53">
        <v>0</v>
      </c>
      <c r="P25" s="53">
        <v>0.75</v>
      </c>
      <c r="Q25" s="53">
        <v>19.739999999999998</v>
      </c>
      <c r="R25" s="45"/>
      <c r="S25" s="45"/>
      <c r="T25" s="45"/>
      <c r="U25" s="45"/>
    </row>
    <row r="26" spans="1:21" s="11" customFormat="1" ht="15">
      <c r="A26" s="52" t="s">
        <v>125</v>
      </c>
      <c r="B26" s="53">
        <v>17.63</v>
      </c>
      <c r="C26" s="53">
        <v>92.66</v>
      </c>
      <c r="D26" s="53">
        <v>64.08</v>
      </c>
      <c r="E26" s="53">
        <v>16.61</v>
      </c>
      <c r="F26" s="53">
        <v>8.34</v>
      </c>
      <c r="G26" s="53">
        <v>66.16</v>
      </c>
      <c r="H26" s="53">
        <v>18.39</v>
      </c>
      <c r="I26" s="53">
        <v>0.60</v>
      </c>
      <c r="J26" s="53">
        <v>0.71</v>
      </c>
      <c r="K26" s="53">
        <v>70.180000000000007</v>
      </c>
      <c r="L26" s="53">
        <v>27.14</v>
      </c>
      <c r="M26" s="53">
        <v>17</v>
      </c>
      <c r="N26" s="53">
        <v>27.10</v>
      </c>
      <c r="O26" s="53">
        <v>0</v>
      </c>
      <c r="P26" s="53">
        <v>0.94</v>
      </c>
      <c r="Q26" s="53">
        <v>24.61</v>
      </c>
      <c r="R26" s="45"/>
      <c r="S26" s="45"/>
      <c r="T26" s="45"/>
      <c r="U26" s="45"/>
    </row>
    <row r="27" spans="1:21" s="11" customFormat="1" ht="15">
      <c r="A27" s="52" t="s">
        <v>126</v>
      </c>
      <c r="B27" s="53">
        <v>43.75</v>
      </c>
      <c r="C27" s="53">
        <v>109.14</v>
      </c>
      <c r="D27" s="53">
        <v>94.13</v>
      </c>
      <c r="E27" s="53">
        <v>7.43</v>
      </c>
      <c r="F27" s="53">
        <v>3.66</v>
      </c>
      <c r="G27" s="53">
        <v>76.150000000000006</v>
      </c>
      <c r="H27" s="53">
        <v>19.27</v>
      </c>
      <c r="I27" s="53">
        <v>0.65</v>
      </c>
      <c r="J27" s="53">
        <v>0.28000000000000003</v>
      </c>
      <c r="K27" s="53">
        <v>293.39</v>
      </c>
      <c r="L27" s="53">
        <v>24.51</v>
      </c>
      <c r="M27" s="53">
        <v>34</v>
      </c>
      <c r="N27" s="53">
        <v>4.9000000000000004</v>
      </c>
      <c r="O27" s="53">
        <v>0</v>
      </c>
      <c r="P27" s="53">
        <v>1.43</v>
      </c>
      <c r="Q27" s="53">
        <v>26.40</v>
      </c>
      <c r="R27" s="45"/>
      <c r="S27" s="45"/>
      <c r="T27" s="45"/>
      <c r="U27" s="45"/>
    </row>
    <row r="28" spans="1:21" s="11" customFormat="1" ht="15">
      <c r="A28" s="52" t="s">
        <v>127</v>
      </c>
      <c r="B28" s="53">
        <v>90.37</v>
      </c>
      <c r="C28" s="53">
        <v>130.54</v>
      </c>
      <c r="D28" s="53">
        <v>143.32</v>
      </c>
      <c r="E28" s="53">
        <v>6.97</v>
      </c>
      <c r="F28" s="53">
        <v>3.71</v>
      </c>
      <c r="G28" s="53">
        <v>183.94</v>
      </c>
      <c r="H28" s="53">
        <v>36.590000000000003</v>
      </c>
      <c r="I28" s="53">
        <v>0.95</v>
      </c>
      <c r="J28" s="53">
        <v>0.070000000000000007</v>
      </c>
      <c r="K28" s="53">
        <v>305.68</v>
      </c>
      <c r="L28" s="53">
        <v>20.399999999999999</v>
      </c>
      <c r="M28" s="53">
        <v>40</v>
      </c>
      <c r="N28" s="53">
        <v>4.30</v>
      </c>
      <c r="O28" s="53">
        <v>0</v>
      </c>
      <c r="P28" s="53">
        <v>1.93</v>
      </c>
      <c r="Q28" s="53">
        <v>29.09</v>
      </c>
      <c r="R28" s="45"/>
      <c r="S28" s="45"/>
      <c r="T28" s="45"/>
      <c r="U28" s="45"/>
    </row>
    <row r="29" spans="1:21" s="11" customFormat="1" ht="15">
      <c r="A29" s="52" t="s">
        <v>128</v>
      </c>
      <c r="B29" s="53">
        <v>138.51</v>
      </c>
      <c r="C29" s="53">
        <v>150.83000000000001</v>
      </c>
      <c r="D29" s="53">
        <v>193.13</v>
      </c>
      <c r="E29" s="53">
        <v>8.4700000000000006</v>
      </c>
      <c r="F29" s="53">
        <v>3.62</v>
      </c>
      <c r="G29" s="53">
        <v>237.76</v>
      </c>
      <c r="H29" s="53">
        <v>52.40</v>
      </c>
      <c r="I29" s="53">
        <v>1.22</v>
      </c>
      <c r="J29" s="53">
        <v>0.14000000000000001</v>
      </c>
      <c r="K29" s="53">
        <v>327.32</v>
      </c>
      <c r="L29" s="53">
        <v>18.920000000000002</v>
      </c>
      <c r="M29" s="53">
        <v>47</v>
      </c>
      <c r="N29" s="53">
        <v>4</v>
      </c>
      <c r="O29" s="53">
        <v>0</v>
      </c>
      <c r="P29" s="53">
        <v>2.5299999999999998</v>
      </c>
      <c r="Q29" s="53">
        <v>37.15</v>
      </c>
      <c r="R29" s="45"/>
      <c r="S29" s="45"/>
      <c r="T29" s="45"/>
      <c r="U29" s="45"/>
    </row>
    <row r="30" spans="1:21" s="11" customFormat="1" ht="15">
      <c r="A30" s="52" t="s">
        <v>129</v>
      </c>
      <c r="B30" s="53">
        <v>252.70</v>
      </c>
      <c r="C30" s="53">
        <v>204.37</v>
      </c>
      <c r="D30" s="53">
        <v>314.24</v>
      </c>
      <c r="E30" s="53">
        <v>9.32</v>
      </c>
      <c r="F30" s="53">
        <v>3.64</v>
      </c>
      <c r="G30" s="53">
        <v>237.76</v>
      </c>
      <c r="H30" s="53">
        <v>68.77</v>
      </c>
      <c r="I30" s="53">
        <v>1.54</v>
      </c>
      <c r="J30" s="53">
        <v>0.14000000000000001</v>
      </c>
      <c r="K30" s="53">
        <v>249.31</v>
      </c>
      <c r="L30" s="53">
        <v>18.03</v>
      </c>
      <c r="M30" s="53">
        <v>56</v>
      </c>
      <c r="N30" s="53">
        <v>4.30</v>
      </c>
      <c r="O30" s="53">
        <v>0</v>
      </c>
      <c r="P30" s="53">
        <v>3.63</v>
      </c>
      <c r="Q30" s="53">
        <v>47.68</v>
      </c>
      <c r="R30" s="45"/>
      <c r="S30" s="45"/>
      <c r="T30" s="45"/>
      <c r="U30" s="45"/>
    </row>
    <row r="31" spans="1:21" s="11" customFormat="1" ht="15">
      <c r="A31" s="52" t="s">
        <v>130</v>
      </c>
      <c r="B31" s="53">
        <v>343.77</v>
      </c>
      <c r="C31" s="53">
        <v>243.94</v>
      </c>
      <c r="D31" s="53">
        <v>408.86</v>
      </c>
      <c r="E31" s="53">
        <v>10.49</v>
      </c>
      <c r="F31" s="53">
        <v>3.79</v>
      </c>
      <c r="G31" s="53">
        <v>235.24</v>
      </c>
      <c r="H31" s="53">
        <v>87.34</v>
      </c>
      <c r="I31" s="53">
        <v>1.97</v>
      </c>
      <c r="J31" s="53">
        <v>0.08</v>
      </c>
      <c r="K31" s="53">
        <v>331.17</v>
      </c>
      <c r="L31" s="53">
        <v>17.399999999999999</v>
      </c>
      <c r="M31" s="53">
        <v>58</v>
      </c>
      <c r="N31" s="53">
        <v>4.0999999999999996</v>
      </c>
      <c r="O31" s="53">
        <v>0</v>
      </c>
      <c r="P31" s="53">
        <v>4.5599999999999996</v>
      </c>
      <c r="Q31" s="53">
        <v>54.72</v>
      </c>
      <c r="R31" s="45"/>
      <c r="S31" s="45"/>
      <c r="T31" s="45"/>
      <c r="U31" s="45"/>
    </row>
    <row r="32" spans="1:21" s="11" customFormat="1" ht="15">
      <c r="A32" s="52" t="s">
        <v>131</v>
      </c>
      <c r="B32" s="53">
        <v>352.68</v>
      </c>
      <c r="C32" s="53">
        <v>244.11</v>
      </c>
      <c r="D32" s="53">
        <v>415.90</v>
      </c>
      <c r="E32" s="53">
        <v>10.56</v>
      </c>
      <c r="F32" s="53">
        <v>3.60</v>
      </c>
      <c r="G32" s="62" t="s">
        <v>15</v>
      </c>
      <c r="H32" s="53">
        <v>98.46</v>
      </c>
      <c r="I32" s="53">
        <v>2.19</v>
      </c>
      <c r="J32" s="53">
        <v>0.20</v>
      </c>
      <c r="K32" s="53">
        <v>301.36</v>
      </c>
      <c r="L32" s="53">
        <v>17.46</v>
      </c>
      <c r="M32" s="53">
        <v>63</v>
      </c>
      <c r="N32" s="53">
        <v>4.0999999999999996</v>
      </c>
      <c r="O32" s="53">
        <v>0</v>
      </c>
      <c r="P32" s="53">
        <v>4.8099999999999996</v>
      </c>
      <c r="Q32" s="53">
        <v>55.83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3.6200000000000001</v>
      </c>
      <c r="C34" s="28">
        <f t="shared" si="0"/>
        <v>32.609999999999999</v>
      </c>
      <c r="D34" s="28">
        <f t="shared" si="0"/>
        <v>19.66</v>
      </c>
      <c r="E34" s="28">
        <f t="shared" si="0"/>
        <v>6.4699999999999998</v>
      </c>
      <c r="F34" s="28">
        <f t="shared" si="0"/>
        <v>3.52</v>
      </c>
      <c r="G34" s="28">
        <f t="shared" si="0"/>
        <v>26.25</v>
      </c>
      <c r="H34" s="28">
        <f t="shared" si="0"/>
        <v>17.969999999999999</v>
      </c>
      <c r="I34" s="28">
        <f t="shared" si="0"/>
        <v>0.26000000000000001</v>
      </c>
      <c r="J34" s="28">
        <f t="shared" si="0"/>
        <v>0.070000000000000007</v>
      </c>
      <c r="K34" s="28">
        <f t="shared" si="0"/>
        <v>13.57</v>
      </c>
      <c r="L34" s="28">
        <f t="shared" si="0"/>
        <v>14.6</v>
      </c>
      <c r="M34" s="28">
        <f t="shared" si="0"/>
        <v>11</v>
      </c>
      <c r="N34" s="28">
        <f t="shared" si="0"/>
        <v>4</v>
      </c>
      <c r="O34" s="28">
        <f t="shared" si="0"/>
        <v>0</v>
      </c>
      <c r="P34" s="28">
        <f t="shared" si="0"/>
        <v>0.27000000000000002</v>
      </c>
      <c r="Q34" s="28">
        <f t="shared" si="0"/>
        <v>6.29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352.68000000000001</v>
      </c>
      <c r="C35" s="29">
        <f t="shared" si="1"/>
        <v>244.11000000000001</v>
      </c>
      <c r="D35" s="29">
        <f t="shared" si="1"/>
        <v>415.89999999999998</v>
      </c>
      <c r="E35" s="29">
        <f t="shared" si="1"/>
        <v>17.010000000000002</v>
      </c>
      <c r="F35" s="29">
        <f t="shared" si="1"/>
        <v>50.649999999999999</v>
      </c>
      <c r="G35" s="29">
        <f t="shared" si="1"/>
        <v>237.75999999999999</v>
      </c>
      <c r="H35" s="29">
        <f t="shared" si="1"/>
        <v>98.459999999999994</v>
      </c>
      <c r="I35" s="29">
        <f t="shared" si="1"/>
        <v>2.1899999999999999</v>
      </c>
      <c r="J35" s="29">
        <f t="shared" si="1"/>
        <v>1.4199999999999999</v>
      </c>
      <c r="K35" s="29">
        <f t="shared" si="1"/>
        <v>353.56999999999999</v>
      </c>
      <c r="L35" s="29">
        <f t="shared" si="1"/>
        <v>33.740000000000002</v>
      </c>
      <c r="M35" s="29">
        <f t="shared" si="1"/>
        <v>71</v>
      </c>
      <c r="N35" s="29">
        <f t="shared" si="1"/>
        <v>736.29999999999995</v>
      </c>
      <c r="O35" s="29">
        <f t="shared" si="1"/>
        <v>0</v>
      </c>
      <c r="P35" s="29">
        <f t="shared" si="1"/>
        <v>4.8499999999999996</v>
      </c>
      <c r="Q35" s="29">
        <f t="shared" si="1"/>
        <v>55.829999999999998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111.07541666666667</v>
      </c>
      <c r="C36" s="28">
        <f t="shared" si="2"/>
        <v>126.75249999999998</v>
      </c>
      <c r="D36" s="28">
        <f t="shared" si="2"/>
        <v>158.50125000000003</v>
      </c>
      <c r="E36" s="28">
        <f t="shared" si="2"/>
        <v>10.132916666666667</v>
      </c>
      <c r="F36" s="28">
        <f t="shared" si="2"/>
        <v>8.7554166666666671</v>
      </c>
      <c r="G36" s="28">
        <f t="shared" si="2"/>
        <v>126.81304347826087</v>
      </c>
      <c r="H36" s="28">
        <f t="shared" si="2"/>
        <v>51.885416666666657</v>
      </c>
      <c r="I36" s="28">
        <f t="shared" si="2"/>
        <v>0.91923076923076918</v>
      </c>
      <c r="J36" s="28">
        <f t="shared" si="2"/>
        <v>0.625</v>
      </c>
      <c r="K36" s="28">
        <f t="shared" si="2"/>
        <v>187.68041666666667</v>
      </c>
      <c r="L36" s="28">
        <f t="shared" si="2"/>
        <v>22.659583333333334</v>
      </c>
      <c r="M36" s="28">
        <f t="shared" si="2"/>
        <v>39.083333333333336</v>
      </c>
      <c r="N36" s="28">
        <f t="shared" si="2"/>
        <v>201.50000000000003</v>
      </c>
      <c r="O36" s="28">
        <f t="shared" si="2"/>
        <v>0</v>
      </c>
      <c r="P36" s="28">
        <f t="shared" si="2"/>
        <v>2.1733333333333333</v>
      </c>
      <c r="Q36" s="28">
        <f t="shared" si="2"/>
        <v>32.220000000000006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110.68801238966829</v>
      </c>
      <c r="C37" s="28">
        <f t="shared" si="3" ref="C37:Q37">STDEV(C9:C32)</f>
        <v>56.810470502326027</v>
      </c>
      <c r="D37" s="28">
        <f t="shared" si="3"/>
        <v>119.5997913082554</v>
      </c>
      <c r="E37" s="28">
        <f t="shared" si="3"/>
        <v>3.2630506920427416</v>
      </c>
      <c r="F37" s="28">
        <f t="shared" si="3"/>
        <v>12.711142998982417</v>
      </c>
      <c r="G37" s="28">
        <f t="shared" si="3"/>
        <v>74.857621488140126</v>
      </c>
      <c r="H37" s="28">
        <f t="shared" si="3"/>
        <v>30.083475021746725</v>
      </c>
      <c r="I37" s="28">
        <f t="shared" si="3"/>
        <v>0.62141587709656443</v>
      </c>
      <c r="J37" s="28">
        <f t="shared" si="3"/>
        <v>0.53095484127961468</v>
      </c>
      <c r="K37" s="28">
        <f t="shared" si="3"/>
        <v>122.492019987787</v>
      </c>
      <c r="L37" s="28">
        <f t="shared" si="3"/>
        <v>6.5895823442016788</v>
      </c>
      <c r="M37" s="28">
        <f t="shared" si="3"/>
        <v>20.246130422909197</v>
      </c>
      <c r="N37" s="28">
        <f t="shared" si="3"/>
        <v>273.95777364245464</v>
      </c>
      <c r="O37" s="28">
        <f t="shared" si="3"/>
        <v>0</v>
      </c>
      <c r="P37" s="28">
        <f t="shared" si="3"/>
        <v>1.5184192772252576</v>
      </c>
      <c r="Q37" s="28">
        <f t="shared" si="3"/>
        <v>13.887028667695297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v>24</v>
      </c>
      <c r="F38" s="32">
        <v>24</v>
      </c>
      <c r="G38" s="32">
        <f t="shared" si="4"/>
        <v>23</v>
      </c>
      <c r="H38" s="32">
        <f t="shared" si="4"/>
        <v>24</v>
      </c>
      <c r="I38" s="32">
        <f>COUNT(I9:I32)+11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835b161-247e-4ac2-84ed-f0f4bebe6ae3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133</v>
      </c>
      <c r="B9" s="53">
        <v>319.33</v>
      </c>
      <c r="C9" s="53">
        <v>222</v>
      </c>
      <c r="D9" s="53">
        <v>377.41</v>
      </c>
      <c r="E9" s="53">
        <v>9.51</v>
      </c>
      <c r="F9" s="53">
        <v>3.78</v>
      </c>
      <c r="G9" s="53">
        <v>237.38</v>
      </c>
      <c r="H9" s="53">
        <v>98.46</v>
      </c>
      <c r="I9" s="53">
        <v>2.23</v>
      </c>
      <c r="J9" s="53">
        <v>0.12</v>
      </c>
      <c r="K9" s="53">
        <v>343.77</v>
      </c>
      <c r="L9" s="53">
        <v>16.809999999999999</v>
      </c>
      <c r="M9" s="53">
        <v>66</v>
      </c>
      <c r="N9" s="53">
        <v>4.20</v>
      </c>
      <c r="O9" s="53">
        <v>0</v>
      </c>
      <c r="P9" s="53">
        <v>4.49</v>
      </c>
      <c r="Q9" s="53">
        <v>54.24</v>
      </c>
      <c r="R9" s="45"/>
      <c r="S9" s="45"/>
      <c r="T9" s="45"/>
      <c r="U9" s="45"/>
    </row>
    <row r="10" spans="1:21" s="11" customFormat="1" ht="15">
      <c r="A10" s="52" t="s">
        <v>134</v>
      </c>
      <c r="B10" s="53">
        <v>267.27</v>
      </c>
      <c r="C10" s="53">
        <v>192.78</v>
      </c>
      <c r="D10" s="53">
        <v>319.54000000000002</v>
      </c>
      <c r="E10" s="53">
        <v>8.77</v>
      </c>
      <c r="F10" s="53">
        <v>3.57</v>
      </c>
      <c r="G10" s="53">
        <v>237.38</v>
      </c>
      <c r="H10" s="53">
        <v>92.44</v>
      </c>
      <c r="I10" s="53">
        <v>1.99</v>
      </c>
      <c r="J10" s="53">
        <v>0.12</v>
      </c>
      <c r="K10" s="53">
        <v>307.82</v>
      </c>
      <c r="L10" s="53">
        <v>15.95</v>
      </c>
      <c r="M10" s="53">
        <v>64</v>
      </c>
      <c r="N10" s="53">
        <v>4.30</v>
      </c>
      <c r="O10" s="53">
        <v>0</v>
      </c>
      <c r="P10" s="53">
        <v>3.56</v>
      </c>
      <c r="Q10" s="53">
        <v>50.11</v>
      </c>
      <c r="R10" s="45"/>
      <c r="S10" s="45"/>
      <c r="T10" s="45"/>
      <c r="U10" s="45"/>
    </row>
    <row r="11" spans="1:21" s="11" customFormat="1" ht="15">
      <c r="A11" s="52" t="s">
        <v>135</v>
      </c>
      <c r="B11" s="53">
        <v>209.52</v>
      </c>
      <c r="C11" s="53">
        <v>166.19</v>
      </c>
      <c r="D11" s="53">
        <v>258.55</v>
      </c>
      <c r="E11" s="53">
        <v>8.4499999999999993</v>
      </c>
      <c r="F11" s="53">
        <v>3.48</v>
      </c>
      <c r="G11" s="53">
        <v>236.70</v>
      </c>
      <c r="H11" s="53">
        <v>84.81</v>
      </c>
      <c r="I11" s="53">
        <v>1.71</v>
      </c>
      <c r="J11" s="53">
        <v>0.13</v>
      </c>
      <c r="K11" s="53">
        <v>348.86</v>
      </c>
      <c r="L11" s="53">
        <v>15.43</v>
      </c>
      <c r="M11" s="53">
        <v>63</v>
      </c>
      <c r="N11" s="53">
        <v>4.20</v>
      </c>
      <c r="O11" s="53">
        <v>0</v>
      </c>
      <c r="P11" s="53">
        <v>3.12</v>
      </c>
      <c r="Q11" s="53">
        <v>44.61</v>
      </c>
      <c r="R11" s="45"/>
      <c r="S11" s="45"/>
      <c r="T11" s="45"/>
      <c r="U11" s="45"/>
    </row>
    <row r="12" spans="1:21" s="11" customFormat="1" ht="15">
      <c r="A12" s="52" t="s">
        <v>136</v>
      </c>
      <c r="B12" s="53">
        <v>176.45</v>
      </c>
      <c r="C12" s="53">
        <v>149.59</v>
      </c>
      <c r="D12" s="53">
        <v>222.86</v>
      </c>
      <c r="E12" s="53">
        <v>8.0299999999999994</v>
      </c>
      <c r="F12" s="53">
        <v>3.58</v>
      </c>
      <c r="G12" s="53">
        <v>161.84</v>
      </c>
      <c r="H12" s="53">
        <v>76.540000000000006</v>
      </c>
      <c r="I12" s="53">
        <v>1.54</v>
      </c>
      <c r="J12" s="53">
        <v>0.19</v>
      </c>
      <c r="K12" s="53">
        <v>334.13</v>
      </c>
      <c r="L12" s="53">
        <v>14.81</v>
      </c>
      <c r="M12" s="53">
        <v>66</v>
      </c>
      <c r="N12" s="53">
        <v>4.4000000000000004</v>
      </c>
      <c r="O12" s="53">
        <v>0</v>
      </c>
      <c r="P12" s="53">
        <v>2.80</v>
      </c>
      <c r="Q12" s="53">
        <v>40.28</v>
      </c>
      <c r="R12" s="45"/>
      <c r="S12" s="45"/>
      <c r="T12" s="45"/>
      <c r="U12" s="45"/>
    </row>
    <row r="13" spans="1:21" s="11" customFormat="1" ht="15">
      <c r="A13" s="52" t="s">
        <v>137</v>
      </c>
      <c r="B13" s="53">
        <v>148.94</v>
      </c>
      <c r="C13" s="53">
        <v>134.74</v>
      </c>
      <c r="D13" s="53">
        <v>192.61</v>
      </c>
      <c r="E13" s="53">
        <v>8.7799999999999994</v>
      </c>
      <c r="F13" s="53">
        <v>3.52</v>
      </c>
      <c r="G13" s="53">
        <v>216.97</v>
      </c>
      <c r="H13" s="53">
        <v>79.84</v>
      </c>
      <c r="I13" s="53">
        <v>1.43</v>
      </c>
      <c r="J13" s="53">
        <v>0.17</v>
      </c>
      <c r="K13" s="53">
        <v>346.26</v>
      </c>
      <c r="L13" s="53">
        <v>15.51</v>
      </c>
      <c r="M13" s="53">
        <v>57</v>
      </c>
      <c r="N13" s="53">
        <v>4</v>
      </c>
      <c r="O13" s="53">
        <v>0</v>
      </c>
      <c r="P13" s="53">
        <v>2.61</v>
      </c>
      <c r="Q13" s="53">
        <v>38.450000000000003</v>
      </c>
      <c r="R13" s="45"/>
      <c r="S13" s="45"/>
      <c r="T13" s="45"/>
      <c r="U13" s="45"/>
    </row>
    <row r="14" spans="1:21" s="11" customFormat="1" ht="15">
      <c r="A14" s="52" t="s">
        <v>138</v>
      </c>
      <c r="B14" s="53">
        <v>123.72</v>
      </c>
      <c r="C14" s="53">
        <v>124.61</v>
      </c>
      <c r="D14" s="53">
        <v>166.79</v>
      </c>
      <c r="E14" s="53">
        <v>8.9600000000000009</v>
      </c>
      <c r="F14" s="53">
        <v>3.57</v>
      </c>
      <c r="G14" s="53">
        <v>216.97</v>
      </c>
      <c r="H14" s="53">
        <v>79.84</v>
      </c>
      <c r="I14" s="53">
        <v>1.24</v>
      </c>
      <c r="J14" s="53">
        <v>0.27</v>
      </c>
      <c r="K14" s="53">
        <v>298.74</v>
      </c>
      <c r="L14" s="53">
        <v>15.16</v>
      </c>
      <c r="M14" s="53">
        <v>75</v>
      </c>
      <c r="N14" s="53">
        <v>4.5999999999999996</v>
      </c>
      <c r="O14" s="53">
        <v>0</v>
      </c>
      <c r="P14" s="53">
        <v>2.36</v>
      </c>
      <c r="Q14" s="53">
        <v>36.72</v>
      </c>
      <c r="R14" s="45"/>
      <c r="S14" s="45"/>
      <c r="T14" s="45"/>
      <c r="U14" s="45"/>
    </row>
    <row r="15" spans="1:21" s="11" customFormat="1" ht="15">
      <c r="A15" s="52" t="s">
        <v>139</v>
      </c>
      <c r="B15" s="53">
        <v>106.68</v>
      </c>
      <c r="C15" s="53">
        <v>112.22</v>
      </c>
      <c r="D15" s="53">
        <v>146.29</v>
      </c>
      <c r="E15" s="53">
        <v>7.04</v>
      </c>
      <c r="F15" s="53">
        <v>3.48</v>
      </c>
      <c r="G15" s="53">
        <v>194.16</v>
      </c>
      <c r="H15" s="53">
        <v>75.14</v>
      </c>
      <c r="I15" s="55" t="s">
        <v>8</v>
      </c>
      <c r="J15" s="53">
        <v>0.26</v>
      </c>
      <c r="K15" s="53">
        <v>296.92</v>
      </c>
      <c r="L15" s="53">
        <v>13.59</v>
      </c>
      <c r="M15" s="53">
        <v>74</v>
      </c>
      <c r="N15" s="53">
        <v>19</v>
      </c>
      <c r="O15" s="53">
        <v>0</v>
      </c>
      <c r="P15" s="53">
        <v>2.12</v>
      </c>
      <c r="Q15" s="53">
        <v>33.299999999999997</v>
      </c>
      <c r="R15" s="45"/>
      <c r="S15" s="45"/>
      <c r="T15" s="45"/>
      <c r="U15" s="45"/>
    </row>
    <row r="16" spans="1:21" s="11" customFormat="1" ht="15">
      <c r="A16" s="52" t="s">
        <v>140</v>
      </c>
      <c r="B16" s="53">
        <v>109.42</v>
      </c>
      <c r="C16" s="53">
        <v>116.75</v>
      </c>
      <c r="D16" s="53">
        <v>150.99</v>
      </c>
      <c r="E16" s="53">
        <v>7.48</v>
      </c>
      <c r="F16" s="53">
        <v>3.63</v>
      </c>
      <c r="G16" s="53">
        <v>194.16</v>
      </c>
      <c r="H16" s="53">
        <v>70.86</v>
      </c>
      <c r="I16" s="55" t="s">
        <v>8</v>
      </c>
      <c r="J16" s="53">
        <v>0.22</v>
      </c>
      <c r="K16" s="53">
        <v>349.45</v>
      </c>
      <c r="L16" s="53">
        <v>19.11</v>
      </c>
      <c r="M16" s="53">
        <v>71</v>
      </c>
      <c r="N16" s="53">
        <v>221.20</v>
      </c>
      <c r="O16" s="53">
        <v>0</v>
      </c>
      <c r="P16" s="53">
        <v>2.15</v>
      </c>
      <c r="Q16" s="53">
        <v>34.340000000000003</v>
      </c>
      <c r="R16" s="45"/>
      <c r="S16" s="45"/>
      <c r="T16" s="45"/>
      <c r="U16" s="45"/>
    </row>
    <row r="17" spans="1:21" s="11" customFormat="1" ht="15">
      <c r="A17" s="52" t="s">
        <v>141</v>
      </c>
      <c r="B17" s="53">
        <v>114.83</v>
      </c>
      <c r="C17" s="53">
        <v>134.43</v>
      </c>
      <c r="D17" s="53">
        <v>162.02000000000001</v>
      </c>
      <c r="E17" s="53">
        <v>8.02</v>
      </c>
      <c r="F17" s="53">
        <v>3.69</v>
      </c>
      <c r="G17" s="53">
        <v>199.20</v>
      </c>
      <c r="H17" s="53">
        <v>81.790000000000006</v>
      </c>
      <c r="I17" s="55" t="s">
        <v>8</v>
      </c>
      <c r="J17" s="53">
        <v>0.91</v>
      </c>
      <c r="K17" s="53">
        <v>112.81</v>
      </c>
      <c r="L17" s="53">
        <v>24.56</v>
      </c>
      <c r="M17" s="53">
        <v>46</v>
      </c>
      <c r="N17" s="53">
        <v>417.80</v>
      </c>
      <c r="O17" s="53">
        <v>0</v>
      </c>
      <c r="P17" s="53">
        <v>2.23</v>
      </c>
      <c r="Q17" s="53">
        <v>35.40</v>
      </c>
      <c r="R17" s="45"/>
      <c r="S17" s="45"/>
      <c r="T17" s="45"/>
      <c r="U17" s="45"/>
    </row>
    <row r="18" spans="1:21" s="11" customFormat="1" ht="15">
      <c r="A18" s="52" t="s">
        <v>142</v>
      </c>
      <c r="B18" s="53">
        <v>101.06</v>
      </c>
      <c r="C18" s="53">
        <v>133.13999999999999</v>
      </c>
      <c r="D18" s="53">
        <v>153.33000000000001</v>
      </c>
      <c r="E18" s="53">
        <v>7.82</v>
      </c>
      <c r="F18" s="53">
        <v>3.83</v>
      </c>
      <c r="G18" s="53">
        <v>199.20</v>
      </c>
      <c r="H18" s="53">
        <v>81.790000000000006</v>
      </c>
      <c r="I18" s="55" t="s">
        <v>8</v>
      </c>
      <c r="J18" s="53">
        <v>0.95</v>
      </c>
      <c r="K18" s="53">
        <v>112.38</v>
      </c>
      <c r="L18" s="53">
        <v>25.73</v>
      </c>
      <c r="M18" s="53">
        <v>30</v>
      </c>
      <c r="N18" s="53">
        <v>523</v>
      </c>
      <c r="O18" s="53">
        <v>0</v>
      </c>
      <c r="P18" s="53">
        <v>2.0699999999999998</v>
      </c>
      <c r="Q18" s="53">
        <v>35.03</v>
      </c>
      <c r="R18" s="45"/>
      <c r="S18" s="45"/>
      <c r="T18" s="45"/>
      <c r="U18" s="45"/>
    </row>
    <row r="19" spans="1:21" s="11" customFormat="1" ht="15">
      <c r="A19" s="52" t="s">
        <v>143</v>
      </c>
      <c r="B19" s="53">
        <v>74.27</v>
      </c>
      <c r="C19" s="53">
        <v>122.51</v>
      </c>
      <c r="D19" s="53">
        <v>125.98</v>
      </c>
      <c r="E19" s="53">
        <v>7.07</v>
      </c>
      <c r="F19" s="53">
        <v>3.99</v>
      </c>
      <c r="G19" s="53">
        <v>75.78</v>
      </c>
      <c r="H19" s="53">
        <v>63.10</v>
      </c>
      <c r="I19" s="55" t="s">
        <v>8</v>
      </c>
      <c r="J19" s="53">
        <v>1.30</v>
      </c>
      <c r="K19" s="53">
        <v>110.45</v>
      </c>
      <c r="L19" s="53">
        <v>26.82</v>
      </c>
      <c r="M19" s="53">
        <v>27</v>
      </c>
      <c r="N19" s="53">
        <v>575.90</v>
      </c>
      <c r="O19" s="53">
        <v>0</v>
      </c>
      <c r="P19" s="53">
        <v>1.78</v>
      </c>
      <c r="Q19" s="53">
        <v>33.31</v>
      </c>
      <c r="R19" s="45"/>
      <c r="S19" s="45"/>
      <c r="T19" s="45"/>
      <c r="U19" s="45"/>
    </row>
    <row r="20" spans="1:21" s="11" customFormat="1" ht="15">
      <c r="A20" s="52" t="s">
        <v>144</v>
      </c>
      <c r="B20" s="53">
        <v>55.05</v>
      </c>
      <c r="C20" s="53">
        <v>117.04</v>
      </c>
      <c r="D20" s="53">
        <v>106.51</v>
      </c>
      <c r="E20" s="53">
        <v>7.64</v>
      </c>
      <c r="F20" s="53">
        <v>3.90</v>
      </c>
      <c r="G20" s="53">
        <v>59.68</v>
      </c>
      <c r="H20" s="53">
        <v>47.80</v>
      </c>
      <c r="I20" s="55" t="s">
        <v>8</v>
      </c>
      <c r="J20" s="53">
        <v>0.90</v>
      </c>
      <c r="K20" s="53">
        <v>355.91</v>
      </c>
      <c r="L20" s="53">
        <v>34.33</v>
      </c>
      <c r="M20" s="53">
        <v>21</v>
      </c>
      <c r="N20" s="53">
        <v>679.5</v>
      </c>
      <c r="O20" s="53">
        <v>0</v>
      </c>
      <c r="P20" s="53">
        <v>1.45</v>
      </c>
      <c r="Q20" s="53">
        <v>33.11</v>
      </c>
      <c r="R20" s="45"/>
      <c r="S20" s="45"/>
      <c r="T20" s="45"/>
      <c r="U20" s="45"/>
    </row>
    <row r="21" spans="1:21" s="11" customFormat="1" ht="15">
      <c r="A21" s="52" t="s">
        <v>145</v>
      </c>
      <c r="B21" s="53">
        <v>39.39</v>
      </c>
      <c r="C21" s="53">
        <v>117.49</v>
      </c>
      <c r="D21" s="53">
        <v>95.24</v>
      </c>
      <c r="E21" s="53">
        <v>7.06</v>
      </c>
      <c r="F21" s="53">
        <v>4.1100000000000003</v>
      </c>
      <c r="G21" s="53">
        <v>59.68</v>
      </c>
      <c r="H21" s="53">
        <v>37.909999999999997</v>
      </c>
      <c r="I21" s="53">
        <v>0.070000000000000007</v>
      </c>
      <c r="J21" s="53">
        <v>0.44</v>
      </c>
      <c r="K21" s="53">
        <v>346.86</v>
      </c>
      <c r="L21" s="53">
        <v>33.200000000000003</v>
      </c>
      <c r="M21" s="53">
        <v>16</v>
      </c>
      <c r="N21" s="53">
        <v>708.20</v>
      </c>
      <c r="O21" s="53">
        <v>0</v>
      </c>
      <c r="P21" s="53">
        <v>1.21</v>
      </c>
      <c r="Q21" s="53">
        <v>32.18</v>
      </c>
      <c r="R21" s="45"/>
      <c r="S21" s="45"/>
      <c r="T21" s="45"/>
      <c r="U21" s="45"/>
    </row>
    <row r="22" spans="1:21" s="11" customFormat="1" ht="15">
      <c r="A22" s="52" t="s">
        <v>146</v>
      </c>
      <c r="B22" s="53">
        <v>24.17</v>
      </c>
      <c r="C22" s="53">
        <v>114.26</v>
      </c>
      <c r="D22" s="53">
        <v>81.25</v>
      </c>
      <c r="E22" s="53">
        <v>8.4700000000000006</v>
      </c>
      <c r="F22" s="53">
        <v>8.33</v>
      </c>
      <c r="G22" s="53">
        <v>52.78</v>
      </c>
      <c r="H22" s="53">
        <v>29.40</v>
      </c>
      <c r="I22" s="53">
        <v>0.74</v>
      </c>
      <c r="J22" s="53">
        <v>0.57999999999999996</v>
      </c>
      <c r="K22" s="53">
        <v>341.99</v>
      </c>
      <c r="L22" s="53">
        <v>32.06</v>
      </c>
      <c r="M22" s="53">
        <v>16</v>
      </c>
      <c r="N22" s="53">
        <v>549.79999999999995</v>
      </c>
      <c r="O22" s="53">
        <v>0</v>
      </c>
      <c r="P22" s="53">
        <v>1.1000000000000001</v>
      </c>
      <c r="Q22" s="53">
        <v>30.39</v>
      </c>
      <c r="R22" s="45"/>
      <c r="S22" s="45"/>
      <c r="T22" s="45"/>
      <c r="U22" s="45"/>
    </row>
    <row r="23" spans="1:21" s="11" customFormat="1" ht="15">
      <c r="A23" s="52" t="s">
        <v>147</v>
      </c>
      <c r="B23" s="53">
        <v>14.41</v>
      </c>
      <c r="C23" s="53">
        <v>104.66</v>
      </c>
      <c r="D23" s="53">
        <v>67.53</v>
      </c>
      <c r="E23" s="53">
        <v>10.07</v>
      </c>
      <c r="F23" s="53">
        <v>9.9499999999999993</v>
      </c>
      <c r="G23" s="53">
        <v>62.10</v>
      </c>
      <c r="H23" s="53">
        <v>26.31</v>
      </c>
      <c r="I23" s="53">
        <v>0.69</v>
      </c>
      <c r="J23" s="53">
        <v>0.87</v>
      </c>
      <c r="K23" s="53">
        <v>357.23</v>
      </c>
      <c r="L23" s="53">
        <v>33.86</v>
      </c>
      <c r="M23" s="53">
        <v>17</v>
      </c>
      <c r="N23" s="53">
        <v>461</v>
      </c>
      <c r="O23" s="53">
        <v>0</v>
      </c>
      <c r="P23" s="53">
        <v>1.03</v>
      </c>
      <c r="Q23" s="53">
        <v>31.69</v>
      </c>
      <c r="R23" s="45"/>
      <c r="S23" s="45"/>
      <c r="T23" s="45"/>
      <c r="U23" s="45"/>
    </row>
    <row r="24" spans="1:21" s="11" customFormat="1" ht="15">
      <c r="A24" s="52" t="s">
        <v>148</v>
      </c>
      <c r="B24" s="53">
        <v>9.67</v>
      </c>
      <c r="C24" s="53">
        <v>100.99</v>
      </c>
      <c r="D24" s="53">
        <v>62.30</v>
      </c>
      <c r="E24" s="53">
        <v>5.90</v>
      </c>
      <c r="F24" s="53">
        <v>6.5</v>
      </c>
      <c r="G24" s="53">
        <v>62.10</v>
      </c>
      <c r="H24" s="53">
        <v>26.31</v>
      </c>
      <c r="I24" s="53">
        <v>0.69</v>
      </c>
      <c r="J24" s="53">
        <v>1</v>
      </c>
      <c r="K24" s="53">
        <v>358.78</v>
      </c>
      <c r="L24" s="53">
        <v>33.97</v>
      </c>
      <c r="M24" s="53">
        <v>12</v>
      </c>
      <c r="N24" s="53">
        <v>163.40</v>
      </c>
      <c r="O24" s="53">
        <v>0</v>
      </c>
      <c r="P24" s="53">
        <v>0.95</v>
      </c>
      <c r="Q24" s="53">
        <v>31.99</v>
      </c>
      <c r="R24" s="45"/>
      <c r="S24" s="45"/>
      <c r="T24" s="45"/>
      <c r="U24" s="45"/>
    </row>
    <row r="25" spans="1:21" s="11" customFormat="1" ht="15">
      <c r="A25" s="52" t="s">
        <v>149</v>
      </c>
      <c r="B25" s="53">
        <v>9.08</v>
      </c>
      <c r="C25" s="53">
        <v>95.85</v>
      </c>
      <c r="D25" s="53">
        <v>56.80</v>
      </c>
      <c r="E25" s="53">
        <v>7.85</v>
      </c>
      <c r="F25" s="53">
        <v>9.33</v>
      </c>
      <c r="G25" s="53">
        <v>33.409999999999997</v>
      </c>
      <c r="H25" s="53">
        <v>20.55</v>
      </c>
      <c r="I25" s="53">
        <v>0.63</v>
      </c>
      <c r="J25" s="53">
        <v>1.04</v>
      </c>
      <c r="K25" s="53">
        <v>349.23</v>
      </c>
      <c r="L25" s="53">
        <v>30.13</v>
      </c>
      <c r="M25" s="53">
        <v>15</v>
      </c>
      <c r="N25" s="53">
        <v>129.10</v>
      </c>
      <c r="O25" s="53">
        <v>0</v>
      </c>
      <c r="P25" s="53">
        <v>0.82</v>
      </c>
      <c r="Q25" s="53">
        <v>30.13</v>
      </c>
      <c r="R25" s="45"/>
      <c r="S25" s="45"/>
      <c r="T25" s="45"/>
      <c r="U25" s="45"/>
    </row>
    <row r="26" spans="1:21" s="11" customFormat="1" ht="15">
      <c r="A26" s="52" t="s">
        <v>150</v>
      </c>
      <c r="B26" s="53">
        <v>18.59</v>
      </c>
      <c r="C26" s="53">
        <v>99.89</v>
      </c>
      <c r="D26" s="53">
        <v>68.849999999999994</v>
      </c>
      <c r="E26" s="53">
        <v>7.92</v>
      </c>
      <c r="F26" s="53">
        <v>8.85</v>
      </c>
      <c r="G26" s="53">
        <v>35.01</v>
      </c>
      <c r="H26" s="53">
        <v>15.21</v>
      </c>
      <c r="I26" s="53">
        <v>0.61</v>
      </c>
      <c r="J26" s="53">
        <v>0.95</v>
      </c>
      <c r="K26" s="53">
        <v>357.27</v>
      </c>
      <c r="L26" s="53">
        <v>27.83</v>
      </c>
      <c r="M26" s="53">
        <v>21</v>
      </c>
      <c r="N26" s="53">
        <v>28.60</v>
      </c>
      <c r="O26" s="53">
        <v>0</v>
      </c>
      <c r="P26" s="53">
        <v>0.99</v>
      </c>
      <c r="Q26" s="53">
        <v>29.22</v>
      </c>
      <c r="R26" s="45"/>
      <c r="S26" s="45"/>
      <c r="T26" s="45"/>
      <c r="U26" s="45"/>
    </row>
    <row r="27" spans="1:21" s="11" customFormat="1" ht="15">
      <c r="A27" s="52" t="s">
        <v>151</v>
      </c>
      <c r="B27" s="53">
        <v>34.75</v>
      </c>
      <c r="C27" s="53">
        <v>111.13</v>
      </c>
      <c r="D27" s="53">
        <v>88</v>
      </c>
      <c r="E27" s="53">
        <v>7.02</v>
      </c>
      <c r="F27" s="53">
        <v>4.20</v>
      </c>
      <c r="G27" s="53">
        <v>78.70</v>
      </c>
      <c r="H27" s="53">
        <v>22.01</v>
      </c>
      <c r="I27" s="53">
        <v>0.68</v>
      </c>
      <c r="J27" s="53">
        <v>0.11</v>
      </c>
      <c r="K27" s="53">
        <v>357.05</v>
      </c>
      <c r="L27" s="53">
        <v>23.87</v>
      </c>
      <c r="M27" s="53">
        <v>33</v>
      </c>
      <c r="N27" s="53">
        <v>4.70</v>
      </c>
      <c r="O27" s="53">
        <v>0</v>
      </c>
      <c r="P27" s="53">
        <v>1.1000000000000001</v>
      </c>
      <c r="Q27" s="53">
        <v>34</v>
      </c>
      <c r="R27" s="45"/>
      <c r="S27" s="45"/>
      <c r="T27" s="45"/>
      <c r="U27" s="45"/>
    </row>
    <row r="28" spans="1:21" s="11" customFormat="1" ht="15">
      <c r="A28" s="52" t="s">
        <v>152</v>
      </c>
      <c r="B28" s="53">
        <v>88.10</v>
      </c>
      <c r="C28" s="53">
        <v>139.78</v>
      </c>
      <c r="D28" s="53">
        <v>146.60</v>
      </c>
      <c r="E28" s="53">
        <v>6.99</v>
      </c>
      <c r="F28" s="53">
        <v>3.84</v>
      </c>
      <c r="G28" s="53">
        <v>156.16</v>
      </c>
      <c r="H28" s="53">
        <v>29.96</v>
      </c>
      <c r="I28" s="53">
        <v>0.89</v>
      </c>
      <c r="J28" s="53">
        <v>0.04</v>
      </c>
      <c r="K28" s="53">
        <v>355.74</v>
      </c>
      <c r="L28" s="53">
        <v>21.22</v>
      </c>
      <c r="M28" s="53">
        <v>41</v>
      </c>
      <c r="N28" s="53">
        <v>4.5999999999999996</v>
      </c>
      <c r="O28" s="53">
        <v>0</v>
      </c>
      <c r="P28" s="53">
        <v>1.62</v>
      </c>
      <c r="Q28" s="53">
        <v>37.590000000000003</v>
      </c>
      <c r="R28" s="45"/>
      <c r="S28" s="45"/>
      <c r="T28" s="45"/>
      <c r="U28" s="45"/>
    </row>
    <row r="29" spans="1:21" s="11" customFormat="1" ht="15">
      <c r="A29" s="52" t="s">
        <v>153</v>
      </c>
      <c r="B29" s="53">
        <v>158.72999999999999</v>
      </c>
      <c r="C29" s="53">
        <v>170.76</v>
      </c>
      <c r="D29" s="53">
        <v>220.34</v>
      </c>
      <c r="E29" s="53">
        <v>8.3699999999999992</v>
      </c>
      <c r="F29" s="53">
        <v>3.51</v>
      </c>
      <c r="G29" s="53">
        <v>212.61</v>
      </c>
      <c r="H29" s="53">
        <v>51.41</v>
      </c>
      <c r="I29" s="53">
        <v>1.25</v>
      </c>
      <c r="J29" s="53">
        <v>0.13</v>
      </c>
      <c r="K29" s="53">
        <v>338.71</v>
      </c>
      <c r="L29" s="53">
        <v>19.93</v>
      </c>
      <c r="M29" s="53">
        <v>50</v>
      </c>
      <c r="N29" s="53">
        <v>4.30</v>
      </c>
      <c r="O29" s="53">
        <v>0</v>
      </c>
      <c r="P29" s="53">
        <v>2.5</v>
      </c>
      <c r="Q29" s="53">
        <v>39.61</v>
      </c>
      <c r="R29" s="45"/>
      <c r="S29" s="45"/>
      <c r="T29" s="45"/>
      <c r="U29" s="45"/>
    </row>
    <row r="30" spans="1:21" s="11" customFormat="1" ht="15">
      <c r="A30" s="52" t="s">
        <v>154</v>
      </c>
      <c r="B30" s="53">
        <v>217.92</v>
      </c>
      <c r="C30" s="53">
        <v>193.54</v>
      </c>
      <c r="D30" s="53">
        <v>280.37</v>
      </c>
      <c r="E30" s="53">
        <v>9.43</v>
      </c>
      <c r="F30" s="53">
        <v>3.60</v>
      </c>
      <c r="G30" s="53">
        <v>212.61</v>
      </c>
      <c r="H30" s="53">
        <v>70.069999999999993</v>
      </c>
      <c r="I30" s="53">
        <v>1.57</v>
      </c>
      <c r="J30" s="53">
        <v>0.06</v>
      </c>
      <c r="K30" s="53">
        <v>278.39999999999998</v>
      </c>
      <c r="L30" s="53">
        <v>18.78</v>
      </c>
      <c r="M30" s="53">
        <v>51</v>
      </c>
      <c r="N30" s="53">
        <v>4.4000000000000004</v>
      </c>
      <c r="O30" s="53">
        <v>0</v>
      </c>
      <c r="P30" s="53">
        <v>3.14</v>
      </c>
      <c r="Q30" s="53">
        <v>45.87</v>
      </c>
      <c r="R30" s="45"/>
      <c r="S30" s="45"/>
      <c r="T30" s="45"/>
      <c r="U30" s="45"/>
    </row>
    <row r="31" spans="1:21" s="11" customFormat="1" ht="15">
      <c r="A31" s="52" t="s">
        <v>155</v>
      </c>
      <c r="B31" s="53">
        <v>245.95</v>
      </c>
      <c r="C31" s="53">
        <v>203.5</v>
      </c>
      <c r="D31" s="53">
        <v>307.80</v>
      </c>
      <c r="E31" s="53">
        <v>9.9600000000000009</v>
      </c>
      <c r="F31" s="53">
        <v>3.71</v>
      </c>
      <c r="G31" s="53">
        <v>213.10</v>
      </c>
      <c r="H31" s="53">
        <v>73.819999999999993</v>
      </c>
      <c r="I31" s="53">
        <v>1.78</v>
      </c>
      <c r="J31" s="53">
        <v>0.16</v>
      </c>
      <c r="K31" s="53">
        <v>325.43</v>
      </c>
      <c r="L31" s="53">
        <v>18.54</v>
      </c>
      <c r="M31" s="53">
        <v>52</v>
      </c>
      <c r="N31" s="53">
        <v>4.20</v>
      </c>
      <c r="O31" s="53">
        <v>0</v>
      </c>
      <c r="P31" s="53">
        <v>3.64</v>
      </c>
      <c r="Q31" s="53">
        <v>51.52</v>
      </c>
      <c r="R31" s="45"/>
      <c r="S31" s="45"/>
      <c r="T31" s="45"/>
      <c r="U31" s="45"/>
    </row>
    <row r="32" spans="1:21" s="11" customFormat="1" ht="15">
      <c r="A32" s="52" t="s">
        <v>156</v>
      </c>
      <c r="B32" s="53">
        <v>246.04</v>
      </c>
      <c r="C32" s="53">
        <v>201.93</v>
      </c>
      <c r="D32" s="53">
        <v>307.56</v>
      </c>
      <c r="E32" s="53">
        <v>10.220000000000001</v>
      </c>
      <c r="F32" s="53">
        <v>4.1100000000000003</v>
      </c>
      <c r="G32" s="53">
        <v>213.10</v>
      </c>
      <c r="H32" s="53">
        <v>73.819999999999993</v>
      </c>
      <c r="I32" s="53">
        <v>1.89</v>
      </c>
      <c r="J32" s="53">
        <v>0.15</v>
      </c>
      <c r="K32" s="53">
        <v>352.18</v>
      </c>
      <c r="L32" s="53">
        <v>17.66</v>
      </c>
      <c r="M32" s="53">
        <v>59</v>
      </c>
      <c r="N32" s="53">
        <v>4.5999999999999996</v>
      </c>
      <c r="O32" s="53">
        <v>0</v>
      </c>
      <c r="P32" s="53">
        <v>3.75</v>
      </c>
      <c r="Q32" s="53">
        <v>50.70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9.0800000000000001</v>
      </c>
      <c r="C34" s="28">
        <f t="shared" si="0"/>
        <v>95.849999999999994</v>
      </c>
      <c r="D34" s="28">
        <f t="shared" si="0"/>
        <v>56.799999999999997</v>
      </c>
      <c r="E34" s="28">
        <f t="shared" si="0"/>
        <v>5.9000000000000004</v>
      </c>
      <c r="F34" s="28">
        <f t="shared" si="0"/>
        <v>3.48</v>
      </c>
      <c r="G34" s="28">
        <f t="shared" si="0"/>
        <v>33.409999999999997</v>
      </c>
      <c r="H34" s="28">
        <f t="shared" si="0"/>
        <v>15.210000000000001</v>
      </c>
      <c r="I34" s="28">
        <f t="shared" si="0"/>
        <v>0.070000000000000007</v>
      </c>
      <c r="J34" s="28">
        <f t="shared" si="0"/>
        <v>0.040000000000000001</v>
      </c>
      <c r="K34" s="28">
        <f t="shared" si="0"/>
        <v>110.45</v>
      </c>
      <c r="L34" s="28">
        <f t="shared" si="0"/>
        <v>13.59</v>
      </c>
      <c r="M34" s="28">
        <f t="shared" si="0"/>
        <v>12</v>
      </c>
      <c r="N34" s="28">
        <f t="shared" si="0"/>
        <v>4</v>
      </c>
      <c r="O34" s="28">
        <f t="shared" si="0"/>
        <v>0</v>
      </c>
      <c r="P34" s="28">
        <f t="shared" si="0"/>
        <v>0.81999999999999995</v>
      </c>
      <c r="Q34" s="28">
        <f t="shared" si="0"/>
        <v>29.219999999999999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319.32999999999998</v>
      </c>
      <c r="C35" s="29">
        <f t="shared" si="1"/>
        <v>222</v>
      </c>
      <c r="D35" s="29">
        <f t="shared" si="1"/>
        <v>377.41000000000003</v>
      </c>
      <c r="E35" s="29">
        <f t="shared" si="1"/>
        <v>10.220000000000001</v>
      </c>
      <c r="F35" s="29">
        <f t="shared" si="1"/>
        <v>9.9499999999999993</v>
      </c>
      <c r="G35" s="29">
        <f t="shared" si="1"/>
        <v>237.38</v>
      </c>
      <c r="H35" s="29">
        <f t="shared" si="1"/>
        <v>98.459999999999994</v>
      </c>
      <c r="I35" s="29">
        <f t="shared" si="1"/>
        <v>2.23</v>
      </c>
      <c r="J35" s="29">
        <f t="shared" si="1"/>
        <v>1.3</v>
      </c>
      <c r="K35" s="29">
        <f t="shared" si="1"/>
        <v>358.77999999999997</v>
      </c>
      <c r="L35" s="29">
        <f t="shared" si="1"/>
        <v>34.329999999999998</v>
      </c>
      <c r="M35" s="29">
        <f t="shared" si="1"/>
        <v>75</v>
      </c>
      <c r="N35" s="29">
        <f t="shared" si="1"/>
        <v>708.20000000000005</v>
      </c>
      <c r="O35" s="29">
        <f t="shared" si="1"/>
        <v>0</v>
      </c>
      <c r="P35" s="29">
        <f t="shared" si="1"/>
        <v>4.4900000000000002</v>
      </c>
      <c r="Q35" s="29">
        <f t="shared" si="1"/>
        <v>54.240000000000002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121.38916666666665</v>
      </c>
      <c r="C36" s="28">
        <f t="shared" si="2"/>
        <v>140.82416666666668</v>
      </c>
      <c r="D36" s="28">
        <f t="shared" si="2"/>
        <v>173.56333333333339</v>
      </c>
      <c r="E36" s="28">
        <f t="shared" si="2"/>
        <v>8.2012499999999999</v>
      </c>
      <c r="F36" s="28">
        <f t="shared" si="2"/>
        <v>4.7524999999999995</v>
      </c>
      <c r="G36" s="28">
        <f t="shared" si="2"/>
        <v>150.86583333333331</v>
      </c>
      <c r="H36" s="28">
        <f t="shared" si="2"/>
        <v>58.716249999999995</v>
      </c>
      <c r="I36" s="28">
        <f t="shared" si="2"/>
        <v>1.2016666666666669</v>
      </c>
      <c r="J36" s="28">
        <f t="shared" si="2"/>
        <v>0.46124999999999994</v>
      </c>
      <c r="K36" s="28">
        <f t="shared" si="2"/>
        <v>309.84875000000005</v>
      </c>
      <c r="L36" s="28">
        <f t="shared" si="2"/>
        <v>22.869166666666661</v>
      </c>
      <c r="M36" s="28">
        <f t="shared" si="2"/>
        <v>43.458333333333336</v>
      </c>
      <c r="N36" s="28">
        <f t="shared" si="2"/>
        <v>188.70833333333337</v>
      </c>
      <c r="O36" s="28">
        <f t="shared" si="2"/>
        <v>0</v>
      </c>
      <c r="P36" s="28">
        <f t="shared" si="2"/>
        <v>2.1912500000000006</v>
      </c>
      <c r="Q36" s="28">
        <f t="shared" si="2"/>
        <v>38.074583333333337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91.633598590144388</v>
      </c>
      <c r="C37" s="28">
        <f t="shared" si="3" ref="C37:Q37">STDEV(C9:C32)</f>
        <v>37.746900122269267</v>
      </c>
      <c r="D37" s="28">
        <f t="shared" si="3"/>
        <v>93.710102312196298</v>
      </c>
      <c r="E37" s="28">
        <f t="shared" si="3"/>
        <v>1.1153915767860303</v>
      </c>
      <c r="F37" s="28">
        <f t="shared" si="3"/>
        <v>2.0950713384139181</v>
      </c>
      <c r="G37" s="28">
        <f t="shared" si="3"/>
        <v>76.638744595592229</v>
      </c>
      <c r="H37" s="28">
        <f t="shared" si="3"/>
        <v>26.195897092035679</v>
      </c>
      <c r="I37" s="28">
        <f t="shared" si="3"/>
        <v>0.5997671116652642</v>
      </c>
      <c r="J37" s="28">
        <f t="shared" si="3"/>
        <v>0.40526226076455751</v>
      </c>
      <c r="K37" s="28">
        <f t="shared" si="3"/>
        <v>79.450002397597657</v>
      </c>
      <c r="L37" s="28">
        <f t="shared" si="3"/>
        <v>7.1146455908961599</v>
      </c>
      <c r="M37" s="28">
        <f t="shared" si="3"/>
        <v>21.562808493907458</v>
      </c>
      <c r="N37" s="28">
        <f t="shared" si="3"/>
        <v>255.10953302567845</v>
      </c>
      <c r="O37" s="28">
        <f t="shared" si="3"/>
        <v>0</v>
      </c>
      <c r="P37" s="28">
        <f t="shared" si="3"/>
        <v>1.0372132919720394</v>
      </c>
      <c r="Q37" s="28">
        <f t="shared" si="3"/>
        <v>7.4876297864437804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COUNT(I9:I32)+6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3e2a18-bd59-4357-91be-5c94a1f7cf0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157</v>
      </c>
      <c r="B9" s="53">
        <v>223.18</v>
      </c>
      <c r="C9" s="53">
        <v>186.06</v>
      </c>
      <c r="D9" s="53">
        <v>280.47000000000003</v>
      </c>
      <c r="E9" s="53">
        <v>8.42</v>
      </c>
      <c r="F9" s="53">
        <v>3.63</v>
      </c>
      <c r="G9" s="53">
        <v>164.07</v>
      </c>
      <c r="H9" s="53">
        <v>68.930000000000007</v>
      </c>
      <c r="I9" s="53">
        <v>1.86</v>
      </c>
      <c r="J9" s="53">
        <v>0.13</v>
      </c>
      <c r="K9" s="53">
        <v>350.93</v>
      </c>
      <c r="L9" s="53">
        <v>17.07</v>
      </c>
      <c r="M9" s="53">
        <v>57</v>
      </c>
      <c r="N9" s="53">
        <v>4.4000000000000004</v>
      </c>
      <c r="O9" s="53">
        <v>0</v>
      </c>
      <c r="P9" s="53">
        <v>3.54</v>
      </c>
      <c r="Q9" s="53">
        <v>47.07</v>
      </c>
      <c r="R9" s="45"/>
      <c r="S9" s="45"/>
      <c r="T9" s="45"/>
      <c r="U9" s="45"/>
    </row>
    <row r="10" spans="1:21" s="11" customFormat="1" ht="15">
      <c r="A10" s="52" t="s">
        <v>158</v>
      </c>
      <c r="B10" s="53">
        <v>181.42</v>
      </c>
      <c r="C10" s="53">
        <v>162.57</v>
      </c>
      <c r="D10" s="53">
        <v>234.01</v>
      </c>
      <c r="E10" s="53">
        <v>8.14</v>
      </c>
      <c r="F10" s="53">
        <v>3.65</v>
      </c>
      <c r="G10" s="53">
        <v>115.21</v>
      </c>
      <c r="H10" s="53">
        <v>61.41</v>
      </c>
      <c r="I10" s="53">
        <v>1.69</v>
      </c>
      <c r="J10" s="53">
        <v>0.16</v>
      </c>
      <c r="K10" s="53">
        <v>342.49</v>
      </c>
      <c r="L10" s="53">
        <v>16.149999999999999</v>
      </c>
      <c r="M10" s="53">
        <v>58</v>
      </c>
      <c r="N10" s="53">
        <v>4.30</v>
      </c>
      <c r="O10" s="53">
        <v>0</v>
      </c>
      <c r="P10" s="53">
        <v>2.83</v>
      </c>
      <c r="Q10" s="53">
        <v>42.92</v>
      </c>
      <c r="R10" s="45"/>
      <c r="S10" s="45"/>
      <c r="T10" s="45"/>
      <c r="U10" s="45"/>
    </row>
    <row r="11" spans="1:21" s="11" customFormat="1" ht="15">
      <c r="A11" s="52" t="s">
        <v>159</v>
      </c>
      <c r="B11" s="53">
        <v>149.08000000000001</v>
      </c>
      <c r="C11" s="53">
        <v>144.76</v>
      </c>
      <c r="D11" s="53">
        <v>198.26</v>
      </c>
      <c r="E11" s="53">
        <v>7.71</v>
      </c>
      <c r="F11" s="53">
        <v>3.68</v>
      </c>
      <c r="G11" s="53">
        <v>113.47</v>
      </c>
      <c r="H11" s="53">
        <v>53.73</v>
      </c>
      <c r="I11" s="53">
        <v>1.49</v>
      </c>
      <c r="J11" s="53">
        <v>0.16</v>
      </c>
      <c r="K11" s="53">
        <v>349.17</v>
      </c>
      <c r="L11" s="53">
        <v>16.760000000000002</v>
      </c>
      <c r="M11" s="53">
        <v>56</v>
      </c>
      <c r="N11" s="53">
        <v>4</v>
      </c>
      <c r="O11" s="53">
        <v>0</v>
      </c>
      <c r="P11" s="53">
        <v>2.5499999999999998</v>
      </c>
      <c r="Q11" s="53">
        <v>41.33</v>
      </c>
      <c r="R11" s="45"/>
      <c r="S11" s="45"/>
      <c r="T11" s="45"/>
      <c r="U11" s="45"/>
    </row>
    <row r="12" spans="1:21" s="11" customFormat="1" ht="15">
      <c r="A12" s="52" t="s">
        <v>160</v>
      </c>
      <c r="B12" s="53">
        <v>114.69</v>
      </c>
      <c r="C12" s="53">
        <v>130.37</v>
      </c>
      <c r="D12" s="53">
        <v>162.72999999999999</v>
      </c>
      <c r="E12" s="53">
        <v>7.31</v>
      </c>
      <c r="F12" s="53">
        <v>3.86</v>
      </c>
      <c r="G12" s="53">
        <v>113.47</v>
      </c>
      <c r="H12" s="53">
        <v>55.47</v>
      </c>
      <c r="I12" s="53">
        <v>1.29</v>
      </c>
      <c r="J12" s="53">
        <v>0.17</v>
      </c>
      <c r="K12" s="53">
        <v>327.24</v>
      </c>
      <c r="L12" s="53">
        <v>15.89</v>
      </c>
      <c r="M12" s="53">
        <v>63</v>
      </c>
      <c r="N12" s="53">
        <v>4.5999999999999996</v>
      </c>
      <c r="O12" s="53">
        <v>0</v>
      </c>
      <c r="P12" s="53">
        <v>2.19</v>
      </c>
      <c r="Q12" s="53">
        <v>37.659999999999997</v>
      </c>
      <c r="R12" s="45"/>
      <c r="S12" s="45"/>
      <c r="T12" s="45"/>
      <c r="U12" s="45"/>
    </row>
    <row r="13" spans="1:21" s="11" customFormat="1" ht="15">
      <c r="A13" s="52" t="s">
        <v>161</v>
      </c>
      <c r="B13" s="53">
        <v>96.55</v>
      </c>
      <c r="C13" s="53">
        <v>121.64</v>
      </c>
      <c r="D13" s="53">
        <v>143.37</v>
      </c>
      <c r="E13" s="53">
        <v>6.58</v>
      </c>
      <c r="F13" s="53">
        <v>3.55</v>
      </c>
      <c r="G13" s="53">
        <v>111.93</v>
      </c>
      <c r="H13" s="53">
        <v>55.47</v>
      </c>
      <c r="I13" s="53">
        <v>1.1299999999999999</v>
      </c>
      <c r="J13" s="53">
        <v>0.19</v>
      </c>
      <c r="K13" s="53">
        <v>346.12</v>
      </c>
      <c r="L13" s="53">
        <v>14.51</v>
      </c>
      <c r="M13" s="53">
        <v>65</v>
      </c>
      <c r="N13" s="53">
        <v>4.30</v>
      </c>
      <c r="O13" s="53">
        <v>0</v>
      </c>
      <c r="P13" s="53">
        <v>1.95</v>
      </c>
      <c r="Q13" s="53">
        <v>33.92</v>
      </c>
      <c r="R13" s="45"/>
      <c r="S13" s="45"/>
      <c r="T13" s="45"/>
      <c r="U13" s="45"/>
    </row>
    <row r="14" spans="1:21" s="11" customFormat="1" ht="15">
      <c r="A14" s="52" t="s">
        <v>162</v>
      </c>
      <c r="B14" s="53">
        <v>90.65</v>
      </c>
      <c r="C14" s="53">
        <v>114.10</v>
      </c>
      <c r="D14" s="53">
        <v>134.47999999999999</v>
      </c>
      <c r="E14" s="53">
        <v>6.75</v>
      </c>
      <c r="F14" s="53">
        <v>4.04</v>
      </c>
      <c r="G14" s="53">
        <v>116.85</v>
      </c>
      <c r="H14" s="53">
        <v>55.15</v>
      </c>
      <c r="I14" s="53">
        <v>1</v>
      </c>
      <c r="J14" s="53">
        <v>0.21</v>
      </c>
      <c r="K14" s="53">
        <v>276.97000000000003</v>
      </c>
      <c r="L14" s="53">
        <v>14.18</v>
      </c>
      <c r="M14" s="53">
        <v>70</v>
      </c>
      <c r="N14" s="53">
        <v>4</v>
      </c>
      <c r="O14" s="53">
        <v>0</v>
      </c>
      <c r="P14" s="53">
        <v>1.82</v>
      </c>
      <c r="Q14" s="53">
        <v>33.85</v>
      </c>
      <c r="R14" s="45"/>
      <c r="S14" s="45"/>
      <c r="T14" s="45"/>
      <c r="U14" s="45"/>
    </row>
    <row r="15" spans="1:21" s="11" customFormat="1" ht="15">
      <c r="A15" s="52" t="s">
        <v>163</v>
      </c>
      <c r="B15" s="53">
        <v>90.27</v>
      </c>
      <c r="C15" s="53">
        <v>111.63</v>
      </c>
      <c r="D15" s="53">
        <v>132.81</v>
      </c>
      <c r="E15" s="53">
        <v>6.46</v>
      </c>
      <c r="F15" s="53">
        <v>3.64</v>
      </c>
      <c r="G15" s="53">
        <v>116.85</v>
      </c>
      <c r="H15" s="53">
        <v>49.13</v>
      </c>
      <c r="I15" s="53">
        <v>0.93</v>
      </c>
      <c r="J15" s="53">
        <v>0.24</v>
      </c>
      <c r="K15" s="53">
        <v>325.07</v>
      </c>
      <c r="L15" s="53">
        <v>13.81</v>
      </c>
      <c r="M15" s="53">
        <v>78</v>
      </c>
      <c r="N15" s="53">
        <v>19.5</v>
      </c>
      <c r="O15" s="53">
        <v>0</v>
      </c>
      <c r="P15" s="53">
        <v>1.67</v>
      </c>
      <c r="Q15" s="53">
        <v>33.42</v>
      </c>
      <c r="R15" s="45"/>
      <c r="S15" s="45"/>
      <c r="T15" s="45"/>
      <c r="U15" s="45"/>
    </row>
    <row r="16" spans="1:21" s="11" customFormat="1" ht="15">
      <c r="A16" s="52" t="s">
        <v>164</v>
      </c>
      <c r="B16" s="53">
        <v>109.39</v>
      </c>
      <c r="C16" s="53">
        <v>120.51</v>
      </c>
      <c r="D16" s="53">
        <v>153.04</v>
      </c>
      <c r="E16" s="53">
        <v>6.62</v>
      </c>
      <c r="F16" s="53">
        <v>4.0199999999999996</v>
      </c>
      <c r="G16" s="53">
        <v>139.01</v>
      </c>
      <c r="H16" s="53">
        <v>51.85</v>
      </c>
      <c r="I16" s="55" t="s">
        <v>8</v>
      </c>
      <c r="J16" s="53">
        <v>0.49</v>
      </c>
      <c r="K16" s="53">
        <v>325.64</v>
      </c>
      <c r="L16" s="53">
        <v>17.59</v>
      </c>
      <c r="M16" s="53">
        <v>79</v>
      </c>
      <c r="N16" s="53">
        <v>223.80</v>
      </c>
      <c r="O16" s="53">
        <v>0</v>
      </c>
      <c r="P16" s="53">
        <v>1.77</v>
      </c>
      <c r="Q16" s="53">
        <v>33.60</v>
      </c>
      <c r="R16" s="45"/>
      <c r="S16" s="45"/>
      <c r="T16" s="45"/>
      <c r="U16" s="45"/>
    </row>
    <row r="17" spans="1:21" s="11" customFormat="1" ht="15">
      <c r="A17" s="52" t="s">
        <v>165</v>
      </c>
      <c r="B17" s="53">
        <v>100.57</v>
      </c>
      <c r="C17" s="53">
        <v>119.29</v>
      </c>
      <c r="D17" s="53">
        <v>144.61000000000001</v>
      </c>
      <c r="E17" s="53">
        <v>7.20</v>
      </c>
      <c r="F17" s="53">
        <v>3.54</v>
      </c>
      <c r="G17" s="53">
        <v>139.01</v>
      </c>
      <c r="H17" s="53">
        <v>57.34</v>
      </c>
      <c r="I17" s="55" t="s">
        <v>8</v>
      </c>
      <c r="J17" s="53">
        <v>0.97</v>
      </c>
      <c r="K17" s="53">
        <v>172.41</v>
      </c>
      <c r="L17" s="53">
        <v>21.70</v>
      </c>
      <c r="M17" s="53">
        <v>55</v>
      </c>
      <c r="N17" s="53">
        <v>376.30</v>
      </c>
      <c r="O17" s="53">
        <v>0</v>
      </c>
      <c r="P17" s="53">
        <v>1.76</v>
      </c>
      <c r="Q17" s="53">
        <v>34.090000000000003</v>
      </c>
      <c r="R17" s="45"/>
      <c r="S17" s="45"/>
      <c r="T17" s="45"/>
      <c r="U17" s="45"/>
    </row>
    <row r="18" spans="1:21" s="11" customFormat="1" ht="15">
      <c r="A18" s="52" t="s">
        <v>166</v>
      </c>
      <c r="B18" s="53">
        <v>78.41</v>
      </c>
      <c r="C18" s="53">
        <v>126.10</v>
      </c>
      <c r="D18" s="53">
        <v>127.73</v>
      </c>
      <c r="E18" s="53">
        <v>6.92</v>
      </c>
      <c r="F18" s="53">
        <v>3.70</v>
      </c>
      <c r="G18" s="53">
        <v>126.59</v>
      </c>
      <c r="H18" s="53">
        <v>57.34</v>
      </c>
      <c r="I18" s="55" t="s">
        <v>8</v>
      </c>
      <c r="J18" s="53">
        <v>0.60</v>
      </c>
      <c r="K18" s="53">
        <v>170.14</v>
      </c>
      <c r="L18" s="53">
        <v>28.56</v>
      </c>
      <c r="M18" s="53">
        <v>45</v>
      </c>
      <c r="N18" s="53">
        <v>502.20</v>
      </c>
      <c r="O18" s="53">
        <v>0</v>
      </c>
      <c r="P18" s="53">
        <v>1.69</v>
      </c>
      <c r="Q18" s="53">
        <v>34.08</v>
      </c>
      <c r="R18" s="45"/>
      <c r="S18" s="45"/>
      <c r="T18" s="45"/>
      <c r="U18" s="45"/>
    </row>
    <row r="19" spans="1:21" s="11" customFormat="1" ht="15">
      <c r="A19" s="52" t="s">
        <v>167</v>
      </c>
      <c r="B19" s="53">
        <v>51.72</v>
      </c>
      <c r="C19" s="53">
        <v>127.57</v>
      </c>
      <c r="D19" s="53">
        <v>110.69</v>
      </c>
      <c r="E19" s="53">
        <v>7.32</v>
      </c>
      <c r="F19" s="53">
        <v>3.86</v>
      </c>
      <c r="G19" s="53">
        <v>102.52</v>
      </c>
      <c r="H19" s="53">
        <v>55.33</v>
      </c>
      <c r="I19" s="55" t="s">
        <v>8</v>
      </c>
      <c r="J19" s="53">
        <v>1.1399999999999999</v>
      </c>
      <c r="K19" s="53">
        <v>124.41</v>
      </c>
      <c r="L19" s="53">
        <v>27.74</v>
      </c>
      <c r="M19" s="53">
        <v>26</v>
      </c>
      <c r="N19" s="53">
        <v>576.90</v>
      </c>
      <c r="O19" s="53">
        <v>0</v>
      </c>
      <c r="P19" s="53">
        <v>1.55</v>
      </c>
      <c r="Q19" s="53">
        <v>32.61</v>
      </c>
      <c r="R19" s="45"/>
      <c r="S19" s="45"/>
      <c r="T19" s="45"/>
      <c r="U19" s="45"/>
    </row>
    <row r="20" spans="1:21" s="11" customFormat="1" ht="15">
      <c r="A20" s="52" t="s">
        <v>168</v>
      </c>
      <c r="B20" s="53">
        <v>36.47</v>
      </c>
      <c r="C20" s="53">
        <v>119.55</v>
      </c>
      <c r="D20" s="53">
        <v>94.03</v>
      </c>
      <c r="E20" s="53">
        <v>6.39</v>
      </c>
      <c r="F20" s="53">
        <v>4.72</v>
      </c>
      <c r="G20" s="53">
        <v>83.5</v>
      </c>
      <c r="H20" s="53">
        <v>46.80</v>
      </c>
      <c r="I20" s="55" t="s">
        <v>8</v>
      </c>
      <c r="J20" s="53">
        <v>1.02</v>
      </c>
      <c r="K20" s="53">
        <v>137.74</v>
      </c>
      <c r="L20" s="53">
        <v>29.40</v>
      </c>
      <c r="M20" s="53">
        <v>20</v>
      </c>
      <c r="N20" s="53">
        <v>671.80</v>
      </c>
      <c r="O20" s="53">
        <v>0</v>
      </c>
      <c r="P20" s="53">
        <v>1.37</v>
      </c>
      <c r="Q20" s="53">
        <v>31.58</v>
      </c>
      <c r="R20" s="45"/>
      <c r="S20" s="45"/>
      <c r="T20" s="45"/>
      <c r="U20" s="45"/>
    </row>
    <row r="21" spans="1:21" s="11" customFormat="1" ht="15">
      <c r="A21" s="52" t="s">
        <v>169</v>
      </c>
      <c r="B21" s="53">
        <v>26.87</v>
      </c>
      <c r="C21" s="53">
        <v>109.12</v>
      </c>
      <c r="D21" s="53">
        <v>80.58</v>
      </c>
      <c r="E21" s="53">
        <v>6.86</v>
      </c>
      <c r="F21" s="53">
        <v>4.6500000000000004</v>
      </c>
      <c r="G21" s="53">
        <v>69.17</v>
      </c>
      <c r="H21" s="53">
        <v>44.85</v>
      </c>
      <c r="I21" s="55" t="s">
        <v>8</v>
      </c>
      <c r="J21" s="53">
        <v>0.98</v>
      </c>
      <c r="K21" s="53">
        <v>150.22</v>
      </c>
      <c r="L21" s="53">
        <v>33.29</v>
      </c>
      <c r="M21" s="53">
        <v>16</v>
      </c>
      <c r="N21" s="53">
        <v>686.90</v>
      </c>
      <c r="O21" s="53">
        <v>0</v>
      </c>
      <c r="P21" s="53">
        <v>1.17</v>
      </c>
      <c r="Q21" s="53">
        <v>32.619999999999997</v>
      </c>
      <c r="R21" s="45"/>
      <c r="S21" s="45"/>
      <c r="T21" s="45"/>
      <c r="U21" s="45"/>
    </row>
    <row r="22" spans="1:21" s="11" customFormat="1" ht="15">
      <c r="A22" s="52" t="s">
        <v>170</v>
      </c>
      <c r="B22" s="53">
        <v>15.06</v>
      </c>
      <c r="C22" s="53">
        <v>106.72</v>
      </c>
      <c r="D22" s="53">
        <v>69.78</v>
      </c>
      <c r="E22" s="53">
        <v>6.80</v>
      </c>
      <c r="F22" s="53">
        <v>6.70</v>
      </c>
      <c r="G22" s="53">
        <v>41.52</v>
      </c>
      <c r="H22" s="53">
        <v>33.840000000000003</v>
      </c>
      <c r="I22" s="55" t="s">
        <v>8</v>
      </c>
      <c r="J22" s="53">
        <v>0.71</v>
      </c>
      <c r="K22" s="53">
        <v>342.33</v>
      </c>
      <c r="L22" s="53">
        <v>33.979999999999997</v>
      </c>
      <c r="M22" s="53">
        <v>12</v>
      </c>
      <c r="N22" s="53">
        <v>601.40</v>
      </c>
      <c r="O22" s="53">
        <v>0</v>
      </c>
      <c r="P22" s="53">
        <v>1.05</v>
      </c>
      <c r="Q22" s="53">
        <v>32.19</v>
      </c>
      <c r="R22" s="45"/>
      <c r="S22" s="45"/>
      <c r="T22" s="45"/>
      <c r="U22" s="45"/>
    </row>
    <row r="23" spans="1:21" s="11" customFormat="1" ht="15">
      <c r="A23" s="52" t="s">
        <v>171</v>
      </c>
      <c r="B23" s="53">
        <v>8.5</v>
      </c>
      <c r="C23" s="53">
        <v>94.22</v>
      </c>
      <c r="D23" s="53">
        <v>56.16</v>
      </c>
      <c r="E23" s="53">
        <v>11.57</v>
      </c>
      <c r="F23" s="53">
        <v>15.39</v>
      </c>
      <c r="G23" s="53">
        <v>41.01</v>
      </c>
      <c r="H23" s="53">
        <v>27.19</v>
      </c>
      <c r="I23" s="55" t="s">
        <v>8</v>
      </c>
      <c r="J23" s="53">
        <v>0.47</v>
      </c>
      <c r="K23" s="53">
        <v>338.74</v>
      </c>
      <c r="L23" s="53">
        <v>32.74</v>
      </c>
      <c r="M23" s="53">
        <v>13</v>
      </c>
      <c r="N23" s="53">
        <v>463.10</v>
      </c>
      <c r="O23" s="53">
        <v>0</v>
      </c>
      <c r="P23" s="53">
        <v>0.94</v>
      </c>
      <c r="Q23" s="53">
        <v>30.05</v>
      </c>
      <c r="R23" s="45"/>
      <c r="S23" s="45"/>
      <c r="T23" s="45"/>
      <c r="U23" s="45"/>
    </row>
    <row r="24" spans="1:21" s="11" customFormat="1" ht="15">
      <c r="A24" s="52" t="s">
        <v>172</v>
      </c>
      <c r="B24" s="53">
        <v>10.19</v>
      </c>
      <c r="C24" s="53">
        <v>95.43</v>
      </c>
      <c r="D24" s="53">
        <v>59.33</v>
      </c>
      <c r="E24" s="53">
        <v>17.78</v>
      </c>
      <c r="F24" s="53">
        <v>22.08</v>
      </c>
      <c r="G24" s="53">
        <v>44.33</v>
      </c>
      <c r="H24" s="53">
        <v>21.15</v>
      </c>
      <c r="I24" s="55" t="s">
        <v>8</v>
      </c>
      <c r="J24" s="53">
        <v>0.85</v>
      </c>
      <c r="K24" s="53">
        <v>359.65</v>
      </c>
      <c r="L24" s="53">
        <v>32.79</v>
      </c>
      <c r="M24" s="53">
        <v>13</v>
      </c>
      <c r="N24" s="53">
        <v>161.5</v>
      </c>
      <c r="O24" s="53">
        <v>0</v>
      </c>
      <c r="P24" s="53">
        <v>0.90</v>
      </c>
      <c r="Q24" s="53">
        <v>31.46</v>
      </c>
      <c r="R24" s="45"/>
      <c r="S24" s="45"/>
      <c r="T24" s="45"/>
      <c r="U24" s="45"/>
    </row>
    <row r="25" spans="1:21" s="11" customFormat="1" ht="15">
      <c r="A25" s="52" t="s">
        <v>173</v>
      </c>
      <c r="B25" s="53">
        <v>8.4600000000000009</v>
      </c>
      <c r="C25" s="53">
        <v>98.30</v>
      </c>
      <c r="D25" s="53">
        <v>59.51</v>
      </c>
      <c r="E25" s="53">
        <v>13.75</v>
      </c>
      <c r="F25" s="53">
        <v>10.94</v>
      </c>
      <c r="G25" s="53">
        <v>44.60</v>
      </c>
      <c r="H25" s="53">
        <v>21.15</v>
      </c>
      <c r="I25" s="55" t="s">
        <v>8</v>
      </c>
      <c r="J25" s="53">
        <v>0.32</v>
      </c>
      <c r="K25" s="53">
        <v>331.36</v>
      </c>
      <c r="L25" s="53">
        <v>30.55</v>
      </c>
      <c r="M25" s="53">
        <v>16</v>
      </c>
      <c r="N25" s="53">
        <v>103.90</v>
      </c>
      <c r="O25" s="53">
        <v>0</v>
      </c>
      <c r="P25" s="53">
        <v>0.91</v>
      </c>
      <c r="Q25" s="53">
        <v>32.43</v>
      </c>
      <c r="R25" s="45"/>
      <c r="S25" s="45"/>
      <c r="T25" s="45"/>
      <c r="U25" s="45"/>
    </row>
    <row r="26" spans="1:21" s="11" customFormat="1" ht="15">
      <c r="A26" s="52" t="s">
        <v>174</v>
      </c>
      <c r="B26" s="53">
        <v>12.51</v>
      </c>
      <c r="C26" s="53">
        <v>110.89</v>
      </c>
      <c r="D26" s="53">
        <v>70.040000000000006</v>
      </c>
      <c r="E26" s="53">
        <v>19.61</v>
      </c>
      <c r="F26" s="53">
        <v>20.90</v>
      </c>
      <c r="G26" s="53">
        <v>44.60</v>
      </c>
      <c r="H26" s="53">
        <v>21.01</v>
      </c>
      <c r="I26" s="55" t="s">
        <v>8</v>
      </c>
      <c r="J26" s="53">
        <v>0.17</v>
      </c>
      <c r="K26" s="53">
        <v>269.47000000000003</v>
      </c>
      <c r="L26" s="53">
        <v>28.44</v>
      </c>
      <c r="M26" s="53">
        <v>27</v>
      </c>
      <c r="N26" s="53">
        <v>30.5</v>
      </c>
      <c r="O26" s="53">
        <v>0</v>
      </c>
      <c r="P26" s="53">
        <v>0.93</v>
      </c>
      <c r="Q26" s="53">
        <v>31.58</v>
      </c>
      <c r="R26" s="45"/>
      <c r="S26" s="45"/>
      <c r="T26" s="45"/>
      <c r="U26" s="45"/>
    </row>
    <row r="27" spans="1:21" s="11" customFormat="1" ht="15">
      <c r="A27" s="52" t="s">
        <v>175</v>
      </c>
      <c r="B27" s="53">
        <v>32.909999999999997</v>
      </c>
      <c r="C27" s="53">
        <v>120.64</v>
      </c>
      <c r="D27" s="53">
        <v>91.78</v>
      </c>
      <c r="E27" s="53">
        <v>10.51</v>
      </c>
      <c r="F27" s="53">
        <v>4.1900000000000004</v>
      </c>
      <c r="G27" s="53">
        <v>71.17</v>
      </c>
      <c r="H27" s="53">
        <v>29.90</v>
      </c>
      <c r="I27" s="55" t="s">
        <v>8</v>
      </c>
      <c r="J27" s="53">
        <v>0.19</v>
      </c>
      <c r="K27" s="53">
        <v>189.64</v>
      </c>
      <c r="L27" s="53">
        <v>24.32</v>
      </c>
      <c r="M27" s="53">
        <v>39</v>
      </c>
      <c r="N27" s="53">
        <v>4.80</v>
      </c>
      <c r="O27" s="53">
        <v>0</v>
      </c>
      <c r="P27" s="53">
        <v>1.36</v>
      </c>
      <c r="Q27" s="53">
        <v>31.29</v>
      </c>
      <c r="R27" s="45"/>
      <c r="S27" s="45"/>
      <c r="T27" s="45"/>
      <c r="U27" s="45"/>
    </row>
    <row r="28" spans="1:21" s="11" customFormat="1" ht="15">
      <c r="A28" s="52" t="s">
        <v>176</v>
      </c>
      <c r="B28" s="53">
        <v>52.57</v>
      </c>
      <c r="C28" s="53">
        <v>128.30000000000001</v>
      </c>
      <c r="D28" s="53">
        <v>111.77</v>
      </c>
      <c r="E28" s="53">
        <v>6.45</v>
      </c>
      <c r="F28" s="53">
        <v>3.85</v>
      </c>
      <c r="G28" s="53">
        <v>201.19</v>
      </c>
      <c r="H28" s="53">
        <v>42.84</v>
      </c>
      <c r="I28" s="55" t="s">
        <v>8</v>
      </c>
      <c r="J28" s="53">
        <v>0.16</v>
      </c>
      <c r="K28" s="53">
        <v>340.52</v>
      </c>
      <c r="L28" s="53">
        <v>22.36</v>
      </c>
      <c r="M28" s="53">
        <v>42</v>
      </c>
      <c r="N28" s="53">
        <v>4.5</v>
      </c>
      <c r="O28" s="53">
        <v>0</v>
      </c>
      <c r="P28" s="53">
        <v>1.76</v>
      </c>
      <c r="Q28" s="53">
        <v>37.61</v>
      </c>
      <c r="R28" s="45"/>
      <c r="S28" s="45"/>
      <c r="T28" s="45"/>
      <c r="U28" s="45"/>
    </row>
    <row r="29" spans="1:21" s="11" customFormat="1" ht="15">
      <c r="A29" s="52" t="s">
        <v>177</v>
      </c>
      <c r="B29" s="53">
        <v>101.52</v>
      </c>
      <c r="C29" s="53">
        <v>155.08000000000001</v>
      </c>
      <c r="D29" s="53">
        <v>165.81</v>
      </c>
      <c r="E29" s="53">
        <v>6.84</v>
      </c>
      <c r="F29" s="53">
        <v>3.75</v>
      </c>
      <c r="G29" s="53">
        <v>205.25</v>
      </c>
      <c r="H29" s="53">
        <v>60.09</v>
      </c>
      <c r="I29" s="55" t="s">
        <v>8</v>
      </c>
      <c r="J29" s="53">
        <v>0.18</v>
      </c>
      <c r="K29" s="53">
        <v>345.36</v>
      </c>
      <c r="L29" s="53">
        <v>21.09</v>
      </c>
      <c r="M29" s="53">
        <v>48</v>
      </c>
      <c r="N29" s="53">
        <v>4.5</v>
      </c>
      <c r="O29" s="53">
        <v>0</v>
      </c>
      <c r="P29" s="53">
        <v>2.63</v>
      </c>
      <c r="Q29" s="53">
        <v>40.74</v>
      </c>
      <c r="R29" s="45"/>
      <c r="S29" s="45"/>
      <c r="T29" s="45"/>
      <c r="U29" s="45"/>
    </row>
    <row r="30" spans="1:21" s="11" customFormat="1" ht="15">
      <c r="A30" s="52" t="s">
        <v>178</v>
      </c>
      <c r="B30" s="53">
        <v>145.25</v>
      </c>
      <c r="C30" s="53">
        <v>174.95</v>
      </c>
      <c r="D30" s="53">
        <v>211.84</v>
      </c>
      <c r="E30" s="53">
        <v>7.32</v>
      </c>
      <c r="F30" s="53">
        <v>3.61</v>
      </c>
      <c r="G30" s="53">
        <v>212.69</v>
      </c>
      <c r="H30" s="53">
        <v>65.63</v>
      </c>
      <c r="I30" s="55" t="s">
        <v>8</v>
      </c>
      <c r="J30" s="53">
        <v>0.10</v>
      </c>
      <c r="K30" s="53">
        <v>358.25</v>
      </c>
      <c r="L30" s="53">
        <v>19.68</v>
      </c>
      <c r="M30" s="53">
        <v>51</v>
      </c>
      <c r="N30" s="53">
        <v>4.4000000000000004</v>
      </c>
      <c r="O30" s="53">
        <v>0</v>
      </c>
      <c r="P30" s="53">
        <v>3</v>
      </c>
      <c r="Q30" s="53">
        <v>41.55</v>
      </c>
      <c r="R30" s="45"/>
      <c r="S30" s="45"/>
      <c r="T30" s="45"/>
      <c r="U30" s="45"/>
    </row>
    <row r="31" spans="1:21" s="11" customFormat="1" ht="15">
      <c r="A31" s="52" t="s">
        <v>179</v>
      </c>
      <c r="B31" s="53">
        <v>178.43</v>
      </c>
      <c r="C31" s="53">
        <v>183.83</v>
      </c>
      <c r="D31" s="53">
        <v>243.35</v>
      </c>
      <c r="E31" s="53">
        <v>7.79</v>
      </c>
      <c r="F31" s="53">
        <v>3.43</v>
      </c>
      <c r="G31" s="53">
        <v>212.69</v>
      </c>
      <c r="H31" s="53">
        <v>65.95</v>
      </c>
      <c r="I31" s="55" t="s">
        <v>8</v>
      </c>
      <c r="J31" s="53">
        <v>0.14000000000000001</v>
      </c>
      <c r="K31" s="53">
        <v>279.14999999999998</v>
      </c>
      <c r="L31" s="53">
        <v>18.690000000000001</v>
      </c>
      <c r="M31" s="53">
        <v>56</v>
      </c>
      <c r="N31" s="53">
        <v>4.5</v>
      </c>
      <c r="O31" s="53">
        <v>0</v>
      </c>
      <c r="P31" s="53">
        <v>3.18</v>
      </c>
      <c r="Q31" s="53">
        <v>45.80</v>
      </c>
      <c r="R31" s="45"/>
      <c r="S31" s="45"/>
      <c r="T31" s="45"/>
      <c r="U31" s="45"/>
    </row>
    <row r="32" spans="1:21" s="11" customFormat="1" ht="15">
      <c r="A32" s="52" t="s">
        <v>180</v>
      </c>
      <c r="B32" s="53">
        <v>192.51</v>
      </c>
      <c r="C32" s="53">
        <v>188.98</v>
      </c>
      <c r="D32" s="53">
        <v>257.48</v>
      </c>
      <c r="E32" s="53">
        <v>8.16</v>
      </c>
      <c r="F32" s="53">
        <v>4.3600000000000003</v>
      </c>
      <c r="G32" s="53">
        <v>190.46</v>
      </c>
      <c r="H32" s="53">
        <v>68.12</v>
      </c>
      <c r="I32" s="55" t="s">
        <v>8</v>
      </c>
      <c r="J32" s="53">
        <v>0.12</v>
      </c>
      <c r="K32" s="53">
        <v>348.06</v>
      </c>
      <c r="L32" s="53">
        <v>18.59</v>
      </c>
      <c r="M32" s="53">
        <v>60</v>
      </c>
      <c r="N32" s="53">
        <v>4.0999999999999996</v>
      </c>
      <c r="O32" s="53">
        <v>0</v>
      </c>
      <c r="P32" s="53">
        <v>3.28</v>
      </c>
      <c r="Q32" s="53">
        <v>48.51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8.4600000000000009</v>
      </c>
      <c r="C34" s="28">
        <f t="shared" si="0"/>
        <v>94.219999999999999</v>
      </c>
      <c r="D34" s="28">
        <f t="shared" si="0"/>
        <v>56.159999999999997</v>
      </c>
      <c r="E34" s="28">
        <f t="shared" si="0"/>
        <v>6.3899999999999997</v>
      </c>
      <c r="F34" s="28">
        <f t="shared" si="0"/>
        <v>3.4300000000000002</v>
      </c>
      <c r="G34" s="28">
        <f t="shared" si="0"/>
        <v>41.009999999999998</v>
      </c>
      <c r="H34" s="28">
        <f t="shared" si="0"/>
        <v>21.010000000000002</v>
      </c>
      <c r="I34" s="28">
        <f t="shared" si="0"/>
        <v>0.93000000000000005</v>
      </c>
      <c r="J34" s="28">
        <f t="shared" si="0"/>
        <v>0.10000000000000001</v>
      </c>
      <c r="K34" s="28">
        <f t="shared" si="0"/>
        <v>124.41</v>
      </c>
      <c r="L34" s="28">
        <f t="shared" si="0"/>
        <v>13.81</v>
      </c>
      <c r="M34" s="28">
        <f t="shared" si="0"/>
        <v>12</v>
      </c>
      <c r="N34" s="28">
        <f t="shared" si="0"/>
        <v>4</v>
      </c>
      <c r="O34" s="28">
        <f t="shared" si="0"/>
        <v>0</v>
      </c>
      <c r="P34" s="28">
        <f t="shared" si="0"/>
        <v>0.90000000000000002</v>
      </c>
      <c r="Q34" s="28">
        <f t="shared" si="0"/>
        <v>30.050000000000001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223.18000000000001</v>
      </c>
      <c r="C35" s="29">
        <f t="shared" si="1"/>
        <v>188.97999999999999</v>
      </c>
      <c r="D35" s="29">
        <f t="shared" si="1"/>
        <v>280.47000000000003</v>
      </c>
      <c r="E35" s="29">
        <f t="shared" si="1"/>
        <v>19.609999999999999</v>
      </c>
      <c r="F35" s="29">
        <f t="shared" si="1"/>
        <v>22.079999999999998</v>
      </c>
      <c r="G35" s="29">
        <f t="shared" si="1"/>
        <v>212.69</v>
      </c>
      <c r="H35" s="29">
        <f t="shared" si="1"/>
        <v>68.930000000000007</v>
      </c>
      <c r="I35" s="29">
        <f t="shared" si="1"/>
        <v>1.8600000000000001</v>
      </c>
      <c r="J35" s="29">
        <f t="shared" si="1"/>
        <v>1.1399999999999999</v>
      </c>
      <c r="K35" s="29">
        <f t="shared" si="1"/>
        <v>359.64999999999998</v>
      </c>
      <c r="L35" s="29">
        <f t="shared" si="1"/>
        <v>33.979999999999997</v>
      </c>
      <c r="M35" s="29">
        <f t="shared" si="1"/>
        <v>79</v>
      </c>
      <c r="N35" s="29">
        <f t="shared" si="1"/>
        <v>686.89999999999998</v>
      </c>
      <c r="O35" s="29">
        <f t="shared" si="1"/>
        <v>0</v>
      </c>
      <c r="P35" s="29">
        <f t="shared" si="1"/>
        <v>3.54</v>
      </c>
      <c r="Q35" s="29">
        <f t="shared" si="1"/>
        <v>48.509999999999998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87.799166666666679</v>
      </c>
      <c r="C36" s="28">
        <f t="shared" si="2"/>
        <v>131.27541666666664</v>
      </c>
      <c r="D36" s="28">
        <f t="shared" si="2"/>
        <v>141.4025</v>
      </c>
      <c r="E36" s="28">
        <f t="shared" si="2"/>
        <v>8.7191666666666645</v>
      </c>
      <c r="F36" s="28">
        <f t="shared" si="2"/>
        <v>6.2391666666666667</v>
      </c>
      <c r="G36" s="28">
        <f t="shared" si="2"/>
        <v>117.54833333333333</v>
      </c>
      <c r="H36" s="28">
        <f t="shared" si="2"/>
        <v>48.736250000000005</v>
      </c>
      <c r="I36" s="28">
        <f t="shared" si="2"/>
        <v>1.3414285714285714</v>
      </c>
      <c r="J36" s="28">
        <f t="shared" si="2"/>
        <v>0.41124999999999995</v>
      </c>
      <c r="K36" s="28">
        <f t="shared" si="2"/>
        <v>287.54500000000002</v>
      </c>
      <c r="L36" s="28">
        <f t="shared" si="2"/>
        <v>22.911666666666672</v>
      </c>
      <c r="M36" s="28">
        <f t="shared" si="2"/>
        <v>44.375</v>
      </c>
      <c r="N36" s="28">
        <f t="shared" si="2"/>
        <v>186.25833333333335</v>
      </c>
      <c r="O36" s="28">
        <f t="shared" si="2"/>
        <v>0</v>
      </c>
      <c r="P36" s="28">
        <f t="shared" si="2"/>
        <v>1.9083333333333334</v>
      </c>
      <c r="Q36" s="28">
        <f t="shared" si="2"/>
        <v>36.331666666666663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64.778899806533644</v>
      </c>
      <c r="C37" s="28">
        <f t="shared" si="3" ref="C37:Q37">STDEV(C9:C32)</f>
        <v>28.980763181832504</v>
      </c>
      <c r="D37" s="28">
        <f t="shared" si="3"/>
        <v>66.804223131931323</v>
      </c>
      <c r="E37" s="28">
        <f t="shared" si="3"/>
        <v>3.554708960956082</v>
      </c>
      <c r="F37" s="28">
        <f t="shared" si="3"/>
        <v>5.4376089027908341</v>
      </c>
      <c r="G37" s="28">
        <f t="shared" si="3"/>
        <v>57.052536023096046</v>
      </c>
      <c r="H37" s="28">
        <f t="shared" si="3"/>
        <v>15.320073450981829</v>
      </c>
      <c r="I37" s="28">
        <f t="shared" si="3"/>
        <v>0.35253503709695566</v>
      </c>
      <c r="J37" s="28">
        <f t="shared" si="3"/>
        <v>0.34477859940648248</v>
      </c>
      <c r="K37" s="28">
        <f t="shared" si="3"/>
        <v>81.106170944123505</v>
      </c>
      <c r="L37" s="28">
        <f t="shared" si="3"/>
        <v>6.882923839452971</v>
      </c>
      <c r="M37" s="28">
        <f t="shared" si="3"/>
        <v>21.552388145693012</v>
      </c>
      <c r="N37" s="28">
        <f t="shared" si="3"/>
        <v>253.8231512322098</v>
      </c>
      <c r="O37" s="28">
        <f t="shared" si="3"/>
        <v>0</v>
      </c>
      <c r="P37" s="28">
        <f t="shared" si="3"/>
        <v>0.81561215562655509</v>
      </c>
      <c r="Q37" s="28">
        <f t="shared" si="3"/>
        <v>5.5305724734477559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COUNT(I9:I32)+17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8dc51d-802a-4263-9db3-b6c928fca72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38" sqref="L38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181</v>
      </c>
      <c r="B9" s="53">
        <v>171.66</v>
      </c>
      <c r="C9" s="53">
        <v>178.92</v>
      </c>
      <c r="D9" s="53">
        <v>235.21</v>
      </c>
      <c r="E9" s="53">
        <v>8.43</v>
      </c>
      <c r="F9" s="53">
        <v>3.59</v>
      </c>
      <c r="G9" s="53">
        <v>190.46</v>
      </c>
      <c r="H9" s="53">
        <v>68.12</v>
      </c>
      <c r="I9" s="55" t="s">
        <v>8</v>
      </c>
      <c r="J9" s="53">
        <v>0.15</v>
      </c>
      <c r="K9" s="53">
        <v>335.58</v>
      </c>
      <c r="L9" s="53">
        <v>18.399999999999999</v>
      </c>
      <c r="M9" s="53">
        <v>57</v>
      </c>
      <c r="N9" s="53">
        <v>4.30</v>
      </c>
      <c r="O9" s="53">
        <v>0</v>
      </c>
      <c r="P9" s="53">
        <v>3.10</v>
      </c>
      <c r="Q9" s="53">
        <v>46.42</v>
      </c>
      <c r="R9" s="45"/>
      <c r="S9" s="45"/>
      <c r="T9" s="45"/>
      <c r="U9" s="45"/>
    </row>
    <row r="10" spans="1:21" s="11" customFormat="1" ht="15">
      <c r="A10" s="52" t="s">
        <v>182</v>
      </c>
      <c r="B10" s="53">
        <v>138.76</v>
      </c>
      <c r="C10" s="53">
        <v>161.72999999999999</v>
      </c>
      <c r="D10" s="53">
        <v>199.34</v>
      </c>
      <c r="E10" s="53">
        <v>8.1199999999999992</v>
      </c>
      <c r="F10" s="53">
        <v>3.48</v>
      </c>
      <c r="G10" s="53">
        <v>109.73</v>
      </c>
      <c r="H10" s="53">
        <v>59.04</v>
      </c>
      <c r="I10" s="55" t="s">
        <v>8</v>
      </c>
      <c r="J10" s="53">
        <v>0.15</v>
      </c>
      <c r="K10" s="53">
        <v>330.26</v>
      </c>
      <c r="L10" s="53">
        <v>17.20</v>
      </c>
      <c r="M10" s="53">
        <v>62</v>
      </c>
      <c r="N10" s="53">
        <v>4.5999999999999996</v>
      </c>
      <c r="O10" s="53">
        <v>0</v>
      </c>
      <c r="P10" s="53">
        <v>2.64</v>
      </c>
      <c r="Q10" s="53">
        <v>41.63</v>
      </c>
      <c r="R10" s="45"/>
      <c r="S10" s="45"/>
      <c r="T10" s="45"/>
      <c r="U10" s="45"/>
    </row>
    <row r="11" spans="1:21" s="11" customFormat="1" ht="15">
      <c r="A11" s="52" t="s">
        <v>183</v>
      </c>
      <c r="B11" s="53">
        <v>124.56</v>
      </c>
      <c r="C11" s="53">
        <v>150.05000000000001</v>
      </c>
      <c r="D11" s="53">
        <v>181.51</v>
      </c>
      <c r="E11" s="53">
        <v>7.95</v>
      </c>
      <c r="F11" s="53">
        <v>3.54</v>
      </c>
      <c r="G11" s="53">
        <v>108.43</v>
      </c>
      <c r="H11" s="53">
        <v>54.90</v>
      </c>
      <c r="I11" s="55" t="s">
        <v>8</v>
      </c>
      <c r="J11" s="53">
        <v>0.33</v>
      </c>
      <c r="K11" s="53">
        <v>323.91000000000003</v>
      </c>
      <c r="L11" s="53">
        <v>17.59</v>
      </c>
      <c r="M11" s="53">
        <v>66</v>
      </c>
      <c r="N11" s="53">
        <v>4.70</v>
      </c>
      <c r="O11" s="53">
        <v>0</v>
      </c>
      <c r="P11" s="53">
        <v>2.5299999999999998</v>
      </c>
      <c r="Q11" s="53">
        <v>39.76</v>
      </c>
      <c r="R11" s="45"/>
      <c r="S11" s="45"/>
      <c r="T11" s="45"/>
      <c r="U11" s="45"/>
    </row>
    <row r="12" spans="1:21" s="11" customFormat="1" ht="15">
      <c r="A12" s="52" t="s">
        <v>184</v>
      </c>
      <c r="B12" s="53">
        <v>96.52</v>
      </c>
      <c r="C12" s="53">
        <v>130.16</v>
      </c>
      <c r="D12" s="53">
        <v>148.05000000000001</v>
      </c>
      <c r="E12" s="53">
        <v>7.71</v>
      </c>
      <c r="F12" s="53">
        <v>3.80</v>
      </c>
      <c r="G12" s="53">
        <v>101.49</v>
      </c>
      <c r="H12" s="53">
        <v>54.80</v>
      </c>
      <c r="I12" s="55" t="s">
        <v>8</v>
      </c>
      <c r="J12" s="53">
        <v>0.11</v>
      </c>
      <c r="K12" s="53">
        <v>304.80</v>
      </c>
      <c r="L12" s="53">
        <v>15.82</v>
      </c>
      <c r="M12" s="53">
        <v>70</v>
      </c>
      <c r="N12" s="53">
        <v>4.4000000000000004</v>
      </c>
      <c r="O12" s="53">
        <v>0</v>
      </c>
      <c r="P12" s="53">
        <v>2.16</v>
      </c>
      <c r="Q12" s="53">
        <v>37.97</v>
      </c>
      <c r="R12" s="45"/>
      <c r="S12" s="45"/>
      <c r="T12" s="45"/>
      <c r="U12" s="45"/>
    </row>
    <row r="13" spans="1:21" s="11" customFormat="1" ht="15">
      <c r="A13" s="52" t="s">
        <v>185</v>
      </c>
      <c r="B13" s="53">
        <v>71.78</v>
      </c>
      <c r="C13" s="53">
        <v>115.89</v>
      </c>
      <c r="D13" s="53">
        <v>120.33</v>
      </c>
      <c r="E13" s="53">
        <v>6.49</v>
      </c>
      <c r="F13" s="53">
        <v>3.44</v>
      </c>
      <c r="G13" s="53">
        <v>88.71</v>
      </c>
      <c r="H13" s="53">
        <v>46.51</v>
      </c>
      <c r="I13" s="55" t="s">
        <v>8</v>
      </c>
      <c r="J13" s="53">
        <v>0.12</v>
      </c>
      <c r="K13" s="53">
        <v>338.63</v>
      </c>
      <c r="L13" s="53">
        <v>15.39</v>
      </c>
      <c r="M13" s="53">
        <v>70</v>
      </c>
      <c r="N13" s="53">
        <v>4.5</v>
      </c>
      <c r="O13" s="53">
        <v>0</v>
      </c>
      <c r="P13" s="53">
        <v>1.86</v>
      </c>
      <c r="Q13" s="53">
        <v>34.64</v>
      </c>
      <c r="R13" s="45"/>
      <c r="S13" s="45"/>
      <c r="T13" s="45"/>
      <c r="U13" s="45"/>
    </row>
    <row r="14" spans="1:21" s="11" customFormat="1" ht="15">
      <c r="A14" s="52" t="s">
        <v>186</v>
      </c>
      <c r="B14" s="53">
        <v>76.38</v>
      </c>
      <c r="C14" s="53">
        <v>116</v>
      </c>
      <c r="D14" s="53">
        <v>124.08</v>
      </c>
      <c r="E14" s="53">
        <v>6.49</v>
      </c>
      <c r="F14" s="53">
        <v>3.5</v>
      </c>
      <c r="G14" s="53">
        <v>107.33</v>
      </c>
      <c r="H14" s="53">
        <v>46.51</v>
      </c>
      <c r="I14" s="55" t="s">
        <v>8</v>
      </c>
      <c r="J14" s="53">
        <v>0.15</v>
      </c>
      <c r="K14" s="53">
        <v>356.83</v>
      </c>
      <c r="L14" s="53">
        <v>15.41</v>
      </c>
      <c r="M14" s="53">
        <v>70</v>
      </c>
      <c r="N14" s="53">
        <v>4.4000000000000004</v>
      </c>
      <c r="O14" s="53">
        <v>0</v>
      </c>
      <c r="P14" s="53">
        <v>1.84</v>
      </c>
      <c r="Q14" s="53">
        <v>32.880000000000003</v>
      </c>
      <c r="R14" s="45"/>
      <c r="S14" s="45"/>
      <c r="T14" s="45"/>
      <c r="U14" s="45"/>
    </row>
    <row r="15" spans="1:21" s="11" customFormat="1" ht="15">
      <c r="A15" s="52" t="s">
        <v>187</v>
      </c>
      <c r="B15" s="53">
        <v>118.78</v>
      </c>
      <c r="C15" s="53">
        <v>135.76</v>
      </c>
      <c r="D15" s="53">
        <v>168.98</v>
      </c>
      <c r="E15" s="53">
        <v>6.97</v>
      </c>
      <c r="F15" s="53">
        <v>3.51</v>
      </c>
      <c r="G15" s="53">
        <v>180.11</v>
      </c>
      <c r="H15" s="53">
        <v>54.36</v>
      </c>
      <c r="I15" s="55" t="s">
        <v>8</v>
      </c>
      <c r="J15" s="53">
        <v>0.12</v>
      </c>
      <c r="K15" s="53">
        <v>297.39</v>
      </c>
      <c r="L15" s="53">
        <v>15.06</v>
      </c>
      <c r="M15" s="53">
        <v>76</v>
      </c>
      <c r="N15" s="53">
        <v>21.20</v>
      </c>
      <c r="O15" s="53">
        <v>0</v>
      </c>
      <c r="P15" s="53">
        <v>2</v>
      </c>
      <c r="Q15" s="53">
        <v>37.11</v>
      </c>
      <c r="R15" s="45"/>
      <c r="S15" s="45"/>
      <c r="T15" s="45"/>
      <c r="U15" s="45"/>
    </row>
    <row r="16" spans="1:21" s="11" customFormat="1" ht="15">
      <c r="A16" s="52" t="s">
        <v>188</v>
      </c>
      <c r="B16" s="53">
        <v>148.96</v>
      </c>
      <c r="C16" s="53">
        <v>154.01</v>
      </c>
      <c r="D16" s="53">
        <v>203.26</v>
      </c>
      <c r="E16" s="53">
        <v>7.81</v>
      </c>
      <c r="F16" s="53">
        <v>3.55</v>
      </c>
      <c r="G16" s="53">
        <v>209.21</v>
      </c>
      <c r="H16" s="53">
        <v>67.77</v>
      </c>
      <c r="I16" s="55" t="s">
        <v>8</v>
      </c>
      <c r="J16" s="53">
        <v>0.63</v>
      </c>
      <c r="K16" s="53">
        <v>257.79000000000002</v>
      </c>
      <c r="L16" s="53">
        <v>19.079999999999998</v>
      </c>
      <c r="M16" s="53">
        <v>73</v>
      </c>
      <c r="N16" s="53">
        <v>185.20</v>
      </c>
      <c r="O16" s="53">
        <v>0</v>
      </c>
      <c r="P16" s="53">
        <v>2.10</v>
      </c>
      <c r="Q16" s="53">
        <v>40.03</v>
      </c>
      <c r="R16" s="45"/>
      <c r="S16" s="45"/>
      <c r="T16" s="45"/>
      <c r="U16" s="45"/>
    </row>
    <row r="17" spans="1:21" s="11" customFormat="1" ht="15">
      <c r="A17" s="52" t="s">
        <v>189</v>
      </c>
      <c r="B17" s="53">
        <v>130.41999999999999</v>
      </c>
      <c r="C17" s="53">
        <v>145.61000000000001</v>
      </c>
      <c r="D17" s="53">
        <v>183.76</v>
      </c>
      <c r="E17" s="53">
        <v>8.09</v>
      </c>
      <c r="F17" s="53">
        <v>3.87</v>
      </c>
      <c r="G17" s="53">
        <v>209.21</v>
      </c>
      <c r="H17" s="53">
        <v>67.77</v>
      </c>
      <c r="I17" s="55" t="s">
        <v>8</v>
      </c>
      <c r="J17" s="53">
        <v>0.52</v>
      </c>
      <c r="K17" s="53">
        <v>203.35</v>
      </c>
      <c r="L17" s="53">
        <v>24.09</v>
      </c>
      <c r="M17" s="53">
        <v>43</v>
      </c>
      <c r="N17" s="53">
        <v>357</v>
      </c>
      <c r="O17" s="53">
        <v>0</v>
      </c>
      <c r="P17" s="53">
        <v>2.0299999999999998</v>
      </c>
      <c r="Q17" s="53">
        <v>37.92</v>
      </c>
      <c r="R17" s="45"/>
      <c r="S17" s="45"/>
      <c r="T17" s="45"/>
      <c r="U17" s="45"/>
    </row>
    <row r="18" spans="1:21" s="11" customFormat="1" ht="15">
      <c r="A18" s="52" t="s">
        <v>190</v>
      </c>
      <c r="B18" s="53">
        <v>103.10</v>
      </c>
      <c r="C18" s="53">
        <v>144.65</v>
      </c>
      <c r="D18" s="53">
        <v>158.97</v>
      </c>
      <c r="E18" s="53">
        <v>7.96</v>
      </c>
      <c r="F18" s="53">
        <v>3.84</v>
      </c>
      <c r="G18" s="53">
        <v>137.11000000000001</v>
      </c>
      <c r="H18" s="53">
        <v>66.55</v>
      </c>
      <c r="I18" s="55" t="s">
        <v>8</v>
      </c>
      <c r="J18" s="53">
        <v>0.45</v>
      </c>
      <c r="K18" s="53">
        <v>160.28</v>
      </c>
      <c r="L18" s="53">
        <v>29.95</v>
      </c>
      <c r="M18" s="53">
        <v>32</v>
      </c>
      <c r="N18" s="53">
        <v>420.60</v>
      </c>
      <c r="O18" s="53">
        <v>0</v>
      </c>
      <c r="P18" s="53">
        <v>2.02</v>
      </c>
      <c r="Q18" s="53">
        <v>37.61</v>
      </c>
      <c r="R18" s="45"/>
      <c r="S18" s="45"/>
      <c r="T18" s="45"/>
      <c r="U18" s="45"/>
    </row>
    <row r="19" spans="1:21" s="11" customFormat="1" ht="15">
      <c r="A19" s="52" t="s">
        <v>191</v>
      </c>
      <c r="B19" s="53">
        <v>75.56</v>
      </c>
      <c r="C19" s="53">
        <v>166.61</v>
      </c>
      <c r="D19" s="53">
        <v>144.05000000000001</v>
      </c>
      <c r="E19" s="53">
        <v>25.45</v>
      </c>
      <c r="F19" s="53">
        <v>53.24</v>
      </c>
      <c r="G19" s="53">
        <v>150.85</v>
      </c>
      <c r="H19" s="53">
        <v>70.75</v>
      </c>
      <c r="I19" s="53">
        <v>0.43</v>
      </c>
      <c r="J19" s="53">
        <v>0.57999999999999996</v>
      </c>
      <c r="K19" s="53">
        <v>359.05</v>
      </c>
      <c r="L19" s="53">
        <v>32.14</v>
      </c>
      <c r="M19" s="53">
        <v>27</v>
      </c>
      <c r="N19" s="53">
        <v>475.40</v>
      </c>
      <c r="O19" s="53">
        <v>0</v>
      </c>
      <c r="P19" s="53">
        <v>2.81</v>
      </c>
      <c r="Q19" s="53">
        <v>37.630000000000003</v>
      </c>
      <c r="R19" s="45"/>
      <c r="S19" s="45"/>
      <c r="T19" s="45"/>
      <c r="U19" s="45"/>
    </row>
    <row r="20" spans="1:21" s="11" customFormat="1" ht="15">
      <c r="A20" s="52" t="s">
        <v>192</v>
      </c>
      <c r="B20" s="53">
        <v>2.86</v>
      </c>
      <c r="C20" s="53">
        <v>110.57</v>
      </c>
      <c r="D20" s="53">
        <v>62.13</v>
      </c>
      <c r="E20" s="53">
        <v>15.92</v>
      </c>
      <c r="F20" s="53">
        <v>45.73</v>
      </c>
      <c r="G20" s="53">
        <v>152.02000000000001</v>
      </c>
      <c r="H20" s="53">
        <v>72.47</v>
      </c>
      <c r="I20" s="53">
        <v>0.83</v>
      </c>
      <c r="J20" s="53">
        <v>0.43</v>
      </c>
      <c r="K20" s="53">
        <v>52.18</v>
      </c>
      <c r="L20" s="53">
        <v>32.729999999999997</v>
      </c>
      <c r="M20" s="53">
        <v>23</v>
      </c>
      <c r="N20" s="53">
        <v>528.60</v>
      </c>
      <c r="O20" s="53">
        <v>0</v>
      </c>
      <c r="P20" s="53">
        <v>2.41</v>
      </c>
      <c r="Q20" s="53">
        <v>13.34</v>
      </c>
      <c r="R20" s="45"/>
      <c r="S20" s="45"/>
      <c r="T20" s="45"/>
      <c r="U20" s="45"/>
    </row>
    <row r="21" spans="1:21" s="11" customFormat="1" ht="15">
      <c r="A21" s="52" t="s">
        <v>193</v>
      </c>
      <c r="B21" s="53">
        <v>4.18</v>
      </c>
      <c r="C21" s="53">
        <v>83.52</v>
      </c>
      <c r="D21" s="53">
        <v>48.25</v>
      </c>
      <c r="E21" s="53">
        <v>32.21</v>
      </c>
      <c r="F21" s="53">
        <v>48.42</v>
      </c>
      <c r="G21" s="53">
        <v>154.55000000000001</v>
      </c>
      <c r="H21" s="53">
        <v>72.47</v>
      </c>
      <c r="I21" s="53">
        <v>0.73</v>
      </c>
      <c r="J21" s="53">
        <v>0.39</v>
      </c>
      <c r="K21" s="53">
        <v>143.87</v>
      </c>
      <c r="L21" s="53">
        <v>32.72</v>
      </c>
      <c r="M21" s="53">
        <v>20</v>
      </c>
      <c r="N21" s="53">
        <v>449.40</v>
      </c>
      <c r="O21" s="53">
        <v>0</v>
      </c>
      <c r="P21" s="53">
        <v>2.2200000000000002</v>
      </c>
      <c r="Q21" s="53">
        <v>15.5</v>
      </c>
      <c r="R21" s="45"/>
      <c r="S21" s="45"/>
      <c r="T21" s="45"/>
      <c r="U21" s="45"/>
    </row>
    <row r="22" spans="1:21" s="11" customFormat="1" ht="15">
      <c r="A22" s="52" t="s">
        <v>194</v>
      </c>
      <c r="B22" s="53">
        <v>3.71</v>
      </c>
      <c r="C22" s="53">
        <v>75.12</v>
      </c>
      <c r="D22" s="53">
        <v>43.12</v>
      </c>
      <c r="E22" s="53">
        <v>19.66</v>
      </c>
      <c r="F22" s="53">
        <v>18.16</v>
      </c>
      <c r="G22" s="53">
        <v>154.55000000000001</v>
      </c>
      <c r="H22" s="53">
        <v>72.150000000000006</v>
      </c>
      <c r="I22" s="53">
        <v>0.70</v>
      </c>
      <c r="J22" s="53">
        <v>0.74</v>
      </c>
      <c r="K22" s="53">
        <v>350.79</v>
      </c>
      <c r="L22" s="53">
        <v>33.65</v>
      </c>
      <c r="M22" s="53">
        <v>16</v>
      </c>
      <c r="N22" s="53">
        <v>420.20</v>
      </c>
      <c r="O22" s="53">
        <v>0</v>
      </c>
      <c r="P22" s="53">
        <v>2</v>
      </c>
      <c r="Q22" s="53">
        <v>20.74</v>
      </c>
      <c r="R22" s="45"/>
      <c r="S22" s="45"/>
      <c r="T22" s="45"/>
      <c r="U22" s="45"/>
    </row>
    <row r="23" spans="1:21" s="11" customFormat="1" ht="15">
      <c r="A23" s="52" t="s">
        <v>195</v>
      </c>
      <c r="B23" s="53">
        <v>4.09</v>
      </c>
      <c r="C23" s="53">
        <v>70.459999999999994</v>
      </c>
      <c r="D23" s="53">
        <v>40.369999999999997</v>
      </c>
      <c r="E23" s="53">
        <v>8.14</v>
      </c>
      <c r="F23" s="53">
        <v>11.34</v>
      </c>
      <c r="G23" s="53">
        <v>147.66</v>
      </c>
      <c r="H23" s="53">
        <v>69.28</v>
      </c>
      <c r="I23" s="53">
        <v>0.71</v>
      </c>
      <c r="J23" s="53">
        <v>0.93</v>
      </c>
      <c r="K23" s="53">
        <v>348.30</v>
      </c>
      <c r="L23" s="53">
        <v>34.58</v>
      </c>
      <c r="M23" s="53">
        <v>14</v>
      </c>
      <c r="N23" s="53">
        <v>399.80</v>
      </c>
      <c r="O23" s="53">
        <v>0</v>
      </c>
      <c r="P23" s="53">
        <v>1.60</v>
      </c>
      <c r="Q23" s="53">
        <v>19.989999999999998</v>
      </c>
      <c r="R23" s="45"/>
      <c r="S23" s="45"/>
      <c r="T23" s="45"/>
      <c r="U23" s="45"/>
    </row>
    <row r="24" spans="1:21" s="11" customFormat="1" ht="15">
      <c r="A24" s="52" t="s">
        <v>196</v>
      </c>
      <c r="B24" s="53">
        <v>8.61</v>
      </c>
      <c r="C24" s="53">
        <v>66.61</v>
      </c>
      <c r="D24" s="53">
        <v>41.59</v>
      </c>
      <c r="E24" s="53">
        <v>7.79</v>
      </c>
      <c r="F24" s="53">
        <v>14.71</v>
      </c>
      <c r="G24" s="53">
        <v>70.11</v>
      </c>
      <c r="H24" s="53">
        <v>55.09</v>
      </c>
      <c r="I24" s="55" t="s">
        <v>8</v>
      </c>
      <c r="J24" s="53">
        <v>1.1000000000000001</v>
      </c>
      <c r="K24" s="53">
        <v>353.59</v>
      </c>
      <c r="L24" s="53">
        <v>34.17</v>
      </c>
      <c r="M24" s="53">
        <v>15</v>
      </c>
      <c r="N24" s="53">
        <v>183.90</v>
      </c>
      <c r="O24" s="53">
        <v>0</v>
      </c>
      <c r="P24" s="53">
        <v>1.22</v>
      </c>
      <c r="Q24" s="53">
        <v>20.60</v>
      </c>
      <c r="R24" s="45"/>
      <c r="S24" s="45"/>
      <c r="T24" s="45"/>
      <c r="U24" s="45"/>
    </row>
    <row r="25" spans="1:21" s="11" customFormat="1" ht="15">
      <c r="A25" s="52" t="s">
        <v>197</v>
      </c>
      <c r="B25" s="53">
        <v>10.67</v>
      </c>
      <c r="C25" s="53">
        <v>68.28</v>
      </c>
      <c r="D25" s="53">
        <v>45.05</v>
      </c>
      <c r="E25" s="53">
        <v>11.84</v>
      </c>
      <c r="F25" s="53">
        <v>22.11</v>
      </c>
      <c r="G25" s="53">
        <v>56.09</v>
      </c>
      <c r="H25" s="53">
        <v>45.45</v>
      </c>
      <c r="I25" s="55" t="s">
        <v>8</v>
      </c>
      <c r="J25" s="53">
        <v>0.51</v>
      </c>
      <c r="K25" s="53">
        <v>340.40</v>
      </c>
      <c r="L25" s="53">
        <v>31.35</v>
      </c>
      <c r="M25" s="53">
        <v>19</v>
      </c>
      <c r="N25" s="53">
        <v>87.30</v>
      </c>
      <c r="O25" s="53">
        <v>0</v>
      </c>
      <c r="P25" s="53">
        <v>1.1200000000000001</v>
      </c>
      <c r="Q25" s="53">
        <v>24.09</v>
      </c>
      <c r="R25" s="45"/>
      <c r="S25" s="45"/>
      <c r="T25" s="45"/>
      <c r="U25" s="45"/>
    </row>
    <row r="26" spans="1:21" s="11" customFormat="1" ht="15">
      <c r="A26" s="52" t="s">
        <v>198</v>
      </c>
      <c r="B26" s="53">
        <v>12.55</v>
      </c>
      <c r="C26" s="53">
        <v>80.09</v>
      </c>
      <c r="D26" s="53">
        <v>52.56</v>
      </c>
      <c r="E26" s="53">
        <v>6.45</v>
      </c>
      <c r="F26" s="53">
        <v>6.98</v>
      </c>
      <c r="G26" s="53">
        <v>50.65</v>
      </c>
      <c r="H26" s="53">
        <v>33.58</v>
      </c>
      <c r="I26" s="55" t="s">
        <v>8</v>
      </c>
      <c r="J26" s="53">
        <v>0.70</v>
      </c>
      <c r="K26" s="53">
        <v>286.58999999999997</v>
      </c>
      <c r="L26" s="53">
        <v>28.74</v>
      </c>
      <c r="M26" s="53">
        <v>28</v>
      </c>
      <c r="N26" s="53">
        <v>30.80</v>
      </c>
      <c r="O26" s="53">
        <v>0</v>
      </c>
      <c r="P26" s="53">
        <v>1.21</v>
      </c>
      <c r="Q26" s="53">
        <v>28.84</v>
      </c>
      <c r="R26" s="45"/>
      <c r="S26" s="45"/>
      <c r="T26" s="45"/>
      <c r="U26" s="45"/>
    </row>
    <row r="27" spans="1:21" s="11" customFormat="1" ht="15">
      <c r="A27" s="52" t="s">
        <v>199</v>
      </c>
      <c r="B27" s="53">
        <v>38.75</v>
      </c>
      <c r="C27" s="53">
        <v>91.53</v>
      </c>
      <c r="D27" s="53">
        <v>80.400000000000006</v>
      </c>
      <c r="E27" s="53">
        <v>6.24</v>
      </c>
      <c r="F27" s="53">
        <v>3.51</v>
      </c>
      <c r="G27" s="53">
        <v>118.88</v>
      </c>
      <c r="H27" s="53">
        <v>34.76</v>
      </c>
      <c r="I27" s="55" t="s">
        <v>8</v>
      </c>
      <c r="J27" s="53">
        <v>0.22</v>
      </c>
      <c r="K27" s="53">
        <v>136.22999999999999</v>
      </c>
      <c r="L27" s="53">
        <v>24.77</v>
      </c>
      <c r="M27" s="53">
        <v>43</v>
      </c>
      <c r="N27" s="53">
        <v>5</v>
      </c>
      <c r="O27" s="53">
        <v>0</v>
      </c>
      <c r="P27" s="53">
        <v>1.47</v>
      </c>
      <c r="Q27" s="53">
        <v>30.22</v>
      </c>
      <c r="R27" s="45"/>
      <c r="S27" s="45"/>
      <c r="T27" s="45"/>
      <c r="U27" s="45"/>
    </row>
    <row r="28" spans="1:21" s="11" customFormat="1" ht="15">
      <c r="A28" s="52" t="s">
        <v>200</v>
      </c>
      <c r="B28" s="53">
        <v>62.08</v>
      </c>
      <c r="C28" s="53">
        <v>89.67</v>
      </c>
      <c r="D28" s="53">
        <v>97.28</v>
      </c>
      <c r="E28" s="53">
        <v>6.22</v>
      </c>
      <c r="F28" s="53">
        <v>3.87</v>
      </c>
      <c r="G28" s="53">
        <v>149.66</v>
      </c>
      <c r="H28" s="53">
        <v>45.15</v>
      </c>
      <c r="I28" s="55" t="s">
        <v>8</v>
      </c>
      <c r="J28" s="53">
        <v>0.10</v>
      </c>
      <c r="K28" s="53">
        <v>351.16</v>
      </c>
      <c r="L28" s="53">
        <v>22.65</v>
      </c>
      <c r="M28" s="53">
        <v>48</v>
      </c>
      <c r="N28" s="53">
        <v>4.5999999999999996</v>
      </c>
      <c r="O28" s="53">
        <v>0</v>
      </c>
      <c r="P28" s="53">
        <v>1.62</v>
      </c>
      <c r="Q28" s="53">
        <v>32.60</v>
      </c>
      <c r="R28" s="45"/>
      <c r="S28" s="45"/>
      <c r="T28" s="45"/>
      <c r="U28" s="45"/>
    </row>
    <row r="29" spans="1:21" s="11" customFormat="1" ht="15">
      <c r="A29" s="52" t="s">
        <v>201</v>
      </c>
      <c r="B29" s="53">
        <v>74.14</v>
      </c>
      <c r="C29" s="53">
        <v>86.5</v>
      </c>
      <c r="D29" s="53">
        <v>105.90</v>
      </c>
      <c r="E29" s="53">
        <v>6.18</v>
      </c>
      <c r="F29" s="53">
        <v>3.66</v>
      </c>
      <c r="G29" s="53">
        <v>167.23</v>
      </c>
      <c r="H29" s="53">
        <v>50.08</v>
      </c>
      <c r="I29" s="55" t="s">
        <v>8</v>
      </c>
      <c r="J29" s="53">
        <v>0.22</v>
      </c>
      <c r="K29" s="53">
        <v>355.87</v>
      </c>
      <c r="L29" s="53">
        <v>22.29</v>
      </c>
      <c r="M29" s="53">
        <v>55</v>
      </c>
      <c r="N29" s="53">
        <v>4.5999999999999996</v>
      </c>
      <c r="O29" s="53">
        <v>0</v>
      </c>
      <c r="P29" s="53">
        <v>2.0299999999999998</v>
      </c>
      <c r="Q29" s="53">
        <v>37.56</v>
      </c>
      <c r="R29" s="45"/>
      <c r="S29" s="45"/>
      <c r="T29" s="45"/>
      <c r="U29" s="45"/>
    </row>
    <row r="30" spans="1:21" s="11" customFormat="1" ht="15">
      <c r="A30" s="52" t="s">
        <v>202</v>
      </c>
      <c r="B30" s="53">
        <v>145.19</v>
      </c>
      <c r="C30" s="53">
        <v>90.86</v>
      </c>
      <c r="D30" s="53">
        <v>165.38</v>
      </c>
      <c r="E30" s="53">
        <v>6.71</v>
      </c>
      <c r="F30" s="53">
        <v>3.49</v>
      </c>
      <c r="G30" s="53">
        <v>167.23</v>
      </c>
      <c r="H30" s="53">
        <v>67.13</v>
      </c>
      <c r="I30" s="55" t="s">
        <v>8</v>
      </c>
      <c r="J30" s="53">
        <v>0.08</v>
      </c>
      <c r="K30" s="53">
        <v>316.85000000000002</v>
      </c>
      <c r="L30" s="53">
        <v>20.149999999999999</v>
      </c>
      <c r="M30" s="53">
        <v>55</v>
      </c>
      <c r="N30" s="53">
        <v>4.5999999999999996</v>
      </c>
      <c r="O30" s="53">
        <v>0</v>
      </c>
      <c r="P30" s="53">
        <v>2.83</v>
      </c>
      <c r="Q30" s="53">
        <v>43.10</v>
      </c>
      <c r="R30" s="45"/>
      <c r="S30" s="45"/>
      <c r="T30" s="45"/>
      <c r="U30" s="45"/>
    </row>
    <row r="31" spans="1:21" s="11" customFormat="1" ht="15">
      <c r="A31" s="52" t="s">
        <v>203</v>
      </c>
      <c r="B31" s="53">
        <v>199.05</v>
      </c>
      <c r="C31" s="53">
        <v>93.40</v>
      </c>
      <c r="D31" s="53">
        <v>207.95</v>
      </c>
      <c r="E31" s="53">
        <v>7.63</v>
      </c>
      <c r="F31" s="53">
        <v>3.56</v>
      </c>
      <c r="G31" s="53">
        <v>230.38</v>
      </c>
      <c r="H31" s="53">
        <v>72.37</v>
      </c>
      <c r="I31" s="55" t="s">
        <v>8</v>
      </c>
      <c r="J31" s="53">
        <v>0.10</v>
      </c>
      <c r="K31" s="53">
        <v>325.76</v>
      </c>
      <c r="L31" s="53">
        <v>19.64</v>
      </c>
      <c r="M31" s="53">
        <v>57</v>
      </c>
      <c r="N31" s="53">
        <v>4.5</v>
      </c>
      <c r="O31" s="53">
        <v>0</v>
      </c>
      <c r="P31" s="53">
        <v>3.07</v>
      </c>
      <c r="Q31" s="53">
        <v>44.86</v>
      </c>
      <c r="R31" s="45"/>
      <c r="S31" s="45"/>
      <c r="T31" s="45"/>
      <c r="U31" s="45"/>
    </row>
    <row r="32" spans="1:21" s="11" customFormat="1" ht="15">
      <c r="A32" s="52" t="s">
        <v>204</v>
      </c>
      <c r="B32" s="53">
        <v>217.75</v>
      </c>
      <c r="C32" s="53">
        <v>88.93</v>
      </c>
      <c r="D32" s="53">
        <v>220.93</v>
      </c>
      <c r="E32" s="53">
        <v>7.56</v>
      </c>
      <c r="F32" s="53">
        <v>3.5</v>
      </c>
      <c r="G32" s="53">
        <v>246.73</v>
      </c>
      <c r="H32" s="53">
        <v>80.09</v>
      </c>
      <c r="I32" s="55" t="s">
        <v>8</v>
      </c>
      <c r="J32" s="53">
        <v>0.10</v>
      </c>
      <c r="K32" s="53">
        <v>352.07</v>
      </c>
      <c r="L32" s="53">
        <v>19.41</v>
      </c>
      <c r="M32" s="53">
        <v>58</v>
      </c>
      <c r="N32" s="53">
        <v>4.4000000000000004</v>
      </c>
      <c r="O32" s="53">
        <v>0</v>
      </c>
      <c r="P32" s="53">
        <v>3.21</v>
      </c>
      <c r="Q32" s="53">
        <v>48.67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2.8599999999999999</v>
      </c>
      <c r="C34" s="28">
        <f t="shared" si="0"/>
        <v>66.609999999999999</v>
      </c>
      <c r="D34" s="28">
        <f t="shared" si="0"/>
        <v>40.369999999999997</v>
      </c>
      <c r="E34" s="28">
        <f t="shared" si="0"/>
        <v>6.1799999999999997</v>
      </c>
      <c r="F34" s="28">
        <f t="shared" si="0"/>
        <v>3.4399999999999999</v>
      </c>
      <c r="G34" s="28">
        <f t="shared" si="0"/>
        <v>50.649999999999999</v>
      </c>
      <c r="H34" s="28">
        <f t="shared" si="0"/>
        <v>33.579999999999998</v>
      </c>
      <c r="I34" s="28">
        <f t="shared" si="0"/>
        <v>0.42999999999999999</v>
      </c>
      <c r="J34" s="28">
        <f t="shared" si="0"/>
        <v>0.080000000000000002</v>
      </c>
      <c r="K34" s="28">
        <f t="shared" si="0"/>
        <v>52.18</v>
      </c>
      <c r="L34" s="28">
        <f t="shared" si="0"/>
        <v>15.06</v>
      </c>
      <c r="M34" s="28">
        <f t="shared" si="0"/>
        <v>14</v>
      </c>
      <c r="N34" s="28">
        <f t="shared" si="0"/>
        <v>4.2999999999999998</v>
      </c>
      <c r="O34" s="28">
        <f t="shared" si="0"/>
        <v>0</v>
      </c>
      <c r="P34" s="28">
        <f t="shared" si="0"/>
        <v>1.1200000000000001</v>
      </c>
      <c r="Q34" s="28">
        <f t="shared" si="0"/>
        <v>13.34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217.75</v>
      </c>
      <c r="C35" s="29">
        <f t="shared" si="1"/>
        <v>178.91999999999999</v>
      </c>
      <c r="D35" s="29">
        <f t="shared" si="1"/>
        <v>235.21000000000001</v>
      </c>
      <c r="E35" s="29">
        <f t="shared" si="1"/>
        <v>32.210000000000001</v>
      </c>
      <c r="F35" s="29">
        <f t="shared" si="1"/>
        <v>53.240000000000002</v>
      </c>
      <c r="G35" s="29">
        <f t="shared" si="1"/>
        <v>246.72999999999999</v>
      </c>
      <c r="H35" s="29">
        <f t="shared" si="1"/>
        <v>80.090000000000003</v>
      </c>
      <c r="I35" s="29">
        <f t="shared" si="1"/>
        <v>0.82999999999999996</v>
      </c>
      <c r="J35" s="29">
        <f t="shared" si="1"/>
        <v>1.1000000000000001</v>
      </c>
      <c r="K35" s="29">
        <f t="shared" si="1"/>
        <v>359.05000000000001</v>
      </c>
      <c r="L35" s="29">
        <f t="shared" si="1"/>
        <v>34.579999999999998</v>
      </c>
      <c r="M35" s="29">
        <f t="shared" si="1"/>
        <v>76</v>
      </c>
      <c r="N35" s="29">
        <f t="shared" si="1"/>
        <v>528.60000000000002</v>
      </c>
      <c r="O35" s="29">
        <f t="shared" si="1"/>
        <v>0</v>
      </c>
      <c r="P35" s="29">
        <f t="shared" si="1"/>
        <v>3.21</v>
      </c>
      <c r="Q35" s="29">
        <f t="shared" si="1"/>
        <v>48.670000000000002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85.004583333333315</v>
      </c>
      <c r="C36" s="28">
        <f t="shared" si="2"/>
        <v>112.28875000000004</v>
      </c>
      <c r="D36" s="28">
        <f t="shared" si="2"/>
        <v>128.26875000000001</v>
      </c>
      <c r="E36" s="28">
        <f t="shared" si="2"/>
        <v>10.167499999999999</v>
      </c>
      <c r="F36" s="28">
        <f t="shared" si="2"/>
        <v>11.600000000000001</v>
      </c>
      <c r="G36" s="28">
        <f t="shared" si="2"/>
        <v>144.09916666666666</v>
      </c>
      <c r="H36" s="28">
        <f t="shared" si="2"/>
        <v>59.46458333333333</v>
      </c>
      <c r="I36" s="28">
        <f t="shared" si="2"/>
        <v>0.67999999999999994</v>
      </c>
      <c r="J36" s="28">
        <f t="shared" si="2"/>
        <v>0.37208333333333332</v>
      </c>
      <c r="K36" s="28">
        <f t="shared" si="2"/>
        <v>290.89708333333328</v>
      </c>
      <c r="L36" s="28">
        <f t="shared" si="2"/>
        <v>24.040833333333328</v>
      </c>
      <c r="M36" s="28">
        <f t="shared" si="2"/>
        <v>45.708333333333336</v>
      </c>
      <c r="N36" s="28">
        <f t="shared" si="2"/>
        <v>150.58333333333334</v>
      </c>
      <c r="O36" s="28">
        <f t="shared" si="2"/>
        <v>0</v>
      </c>
      <c r="P36" s="28">
        <f t="shared" si="2"/>
        <v>2.1291666666666664</v>
      </c>
      <c r="Q36" s="28">
        <f t="shared" si="2"/>
        <v>33.487916666666671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65.983000707966738</v>
      </c>
      <c r="C37" s="28">
        <f t="shared" si="3" ref="C37:Q37">STDEV(C9:C32)</f>
        <v>34.920497943620845</v>
      </c>
      <c r="D37" s="28">
        <f t="shared" si="3"/>
        <v>65.053418939828731</v>
      </c>
      <c r="E37" s="28">
        <f t="shared" si="3"/>
        <v>6.630931634983587</v>
      </c>
      <c r="F37" s="28">
        <f t="shared" si="3"/>
        <v>15.409793328749823</v>
      </c>
      <c r="G37" s="28">
        <f t="shared" si="3"/>
        <v>52.199224624981532</v>
      </c>
      <c r="H37" s="28">
        <f t="shared" si="3"/>
        <v>12.904371682282468</v>
      </c>
      <c r="I37" s="28">
        <f t="shared" si="3"/>
        <v>0.14899664425751338</v>
      </c>
      <c r="J37" s="28">
        <f t="shared" si="3"/>
        <v>0.29069600387116895</v>
      </c>
      <c r="K37" s="28">
        <f t="shared" si="3"/>
        <v>86.289140657854858</v>
      </c>
      <c r="L37" s="28">
        <f t="shared" si="3"/>
        <v>7.0302136257149899</v>
      </c>
      <c r="M37" s="28">
        <f t="shared" si="3"/>
        <v>21.142331669089792</v>
      </c>
      <c r="N37" s="28">
        <f t="shared" si="3"/>
        <v>195.75085910559801</v>
      </c>
      <c r="O37" s="28">
        <f t="shared" si="3"/>
        <v>0</v>
      </c>
      <c r="P37" s="28">
        <f t="shared" si="3"/>
        <v>0.60237873877448289</v>
      </c>
      <c r="Q37" s="28">
        <f t="shared" si="3"/>
        <v>9.8573702195325374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COUNT(I9:I32)+19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8f76b0-69af-4279-bec1-af575e242b0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39" sqref="G39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205</v>
      </c>
      <c r="B9" s="53">
        <v>208.83</v>
      </c>
      <c r="C9" s="53">
        <v>83.63</v>
      </c>
      <c r="D9" s="53">
        <v>212.43</v>
      </c>
      <c r="E9" s="53">
        <v>7.49</v>
      </c>
      <c r="F9" s="53">
        <v>3.43</v>
      </c>
      <c r="G9" s="53">
        <v>246.73</v>
      </c>
      <c r="H9" s="53">
        <v>80.09</v>
      </c>
      <c r="I9" s="55" t="s">
        <v>8</v>
      </c>
      <c r="J9" s="53">
        <v>0.13</v>
      </c>
      <c r="K9" s="53">
        <v>335.46</v>
      </c>
      <c r="L9" s="53">
        <v>19.079999999999998</v>
      </c>
      <c r="M9" s="53">
        <v>53</v>
      </c>
      <c r="N9" s="53">
        <v>4.5</v>
      </c>
      <c r="O9" s="53">
        <v>0</v>
      </c>
      <c r="P9" s="53">
        <v>3.11</v>
      </c>
      <c r="Q9" s="53">
        <v>49.17</v>
      </c>
      <c r="R9" s="45"/>
      <c r="S9" s="45"/>
      <c r="T9" s="45"/>
      <c r="U9" s="45"/>
    </row>
    <row r="10" spans="1:21" s="11" customFormat="1" ht="15">
      <c r="A10" s="52" t="s">
        <v>206</v>
      </c>
      <c r="B10" s="53">
        <v>153.88</v>
      </c>
      <c r="C10" s="53">
        <v>80.61</v>
      </c>
      <c r="D10" s="53">
        <v>166.70</v>
      </c>
      <c r="E10" s="53">
        <v>6.87</v>
      </c>
      <c r="F10" s="53">
        <v>3.47</v>
      </c>
      <c r="G10" s="53">
        <v>135.13999999999999</v>
      </c>
      <c r="H10" s="53">
        <v>71.55</v>
      </c>
      <c r="I10" s="55" t="s">
        <v>8</v>
      </c>
      <c r="J10" s="53">
        <v>0.15</v>
      </c>
      <c r="K10" s="53">
        <v>357.59</v>
      </c>
      <c r="L10" s="53">
        <v>18.12</v>
      </c>
      <c r="M10" s="53">
        <v>61</v>
      </c>
      <c r="N10" s="53">
        <v>4.5</v>
      </c>
      <c r="O10" s="53">
        <v>0</v>
      </c>
      <c r="P10" s="53">
        <v>2.4300000000000002</v>
      </c>
      <c r="Q10" s="53">
        <v>44.43</v>
      </c>
      <c r="R10" s="45"/>
      <c r="S10" s="45"/>
      <c r="T10" s="45"/>
      <c r="U10" s="45"/>
    </row>
    <row r="11" spans="1:21" s="11" customFormat="1" ht="15">
      <c r="A11" s="52" t="s">
        <v>207</v>
      </c>
      <c r="B11" s="53">
        <v>116.11</v>
      </c>
      <c r="C11" s="53">
        <v>79.81</v>
      </c>
      <c r="D11" s="53">
        <v>135.97</v>
      </c>
      <c r="E11" s="53">
        <v>6.51</v>
      </c>
      <c r="F11" s="53">
        <v>3.46</v>
      </c>
      <c r="G11" s="53">
        <v>121.97</v>
      </c>
      <c r="H11" s="53">
        <v>60.75</v>
      </c>
      <c r="I11" s="55" t="s">
        <v>8</v>
      </c>
      <c r="J11" s="53">
        <v>0.14000000000000001</v>
      </c>
      <c r="K11" s="53">
        <v>337.41</v>
      </c>
      <c r="L11" s="53">
        <v>17.97</v>
      </c>
      <c r="M11" s="53">
        <v>59</v>
      </c>
      <c r="N11" s="53">
        <v>4.4000000000000004</v>
      </c>
      <c r="O11" s="53">
        <v>0</v>
      </c>
      <c r="P11" s="53">
        <v>2.2200000000000002</v>
      </c>
      <c r="Q11" s="53">
        <v>39.619999999999997</v>
      </c>
      <c r="R11" s="45"/>
      <c r="S11" s="45"/>
      <c r="T11" s="45"/>
      <c r="U11" s="45"/>
    </row>
    <row r="12" spans="1:21" s="11" customFormat="1" ht="15">
      <c r="A12" s="52" t="s">
        <v>208</v>
      </c>
      <c r="B12" s="53">
        <v>98.38</v>
      </c>
      <c r="C12" s="53">
        <v>74.27</v>
      </c>
      <c r="D12" s="53">
        <v>118.69</v>
      </c>
      <c r="E12" s="53">
        <v>6.68</v>
      </c>
      <c r="F12" s="53">
        <v>3.49</v>
      </c>
      <c r="G12" s="53">
        <v>133.71</v>
      </c>
      <c r="H12" s="53">
        <v>59.02</v>
      </c>
      <c r="I12" s="55" t="s">
        <v>8</v>
      </c>
      <c r="J12" s="53">
        <v>0.30</v>
      </c>
      <c r="K12" s="53">
        <v>274.12</v>
      </c>
      <c r="L12" s="53">
        <v>17.28</v>
      </c>
      <c r="M12" s="53">
        <v>66</v>
      </c>
      <c r="N12" s="53">
        <v>4.4000000000000004</v>
      </c>
      <c r="O12" s="53">
        <v>0</v>
      </c>
      <c r="P12" s="53">
        <v>2.02</v>
      </c>
      <c r="Q12" s="53">
        <v>37.03</v>
      </c>
      <c r="R12" s="45"/>
      <c r="S12" s="45"/>
      <c r="T12" s="45"/>
      <c r="U12" s="45"/>
    </row>
    <row r="13" spans="1:21" s="11" customFormat="1" ht="15">
      <c r="A13" s="52" t="s">
        <v>209</v>
      </c>
      <c r="B13" s="53">
        <v>77.290000000000006</v>
      </c>
      <c r="C13" s="53">
        <v>68.88</v>
      </c>
      <c r="D13" s="53">
        <v>98.81</v>
      </c>
      <c r="E13" s="53">
        <v>6.24</v>
      </c>
      <c r="F13" s="53">
        <v>3.69</v>
      </c>
      <c r="G13" s="53">
        <v>133.71</v>
      </c>
      <c r="H13" s="53">
        <v>59.02</v>
      </c>
      <c r="I13" s="55" t="s">
        <v>8</v>
      </c>
      <c r="J13" s="53">
        <v>0.18</v>
      </c>
      <c r="K13" s="53">
        <v>316.47000000000003</v>
      </c>
      <c r="L13" s="53">
        <v>17.059999999999999</v>
      </c>
      <c r="M13" s="53">
        <v>66</v>
      </c>
      <c r="N13" s="53">
        <v>4.5</v>
      </c>
      <c r="O13" s="53">
        <v>0</v>
      </c>
      <c r="P13" s="53">
        <v>1.76</v>
      </c>
      <c r="Q13" s="53">
        <v>36.69</v>
      </c>
      <c r="R13" s="45"/>
      <c r="S13" s="45"/>
      <c r="T13" s="45"/>
      <c r="U13" s="45"/>
    </row>
    <row r="14" spans="1:21" s="11" customFormat="1" ht="15">
      <c r="A14" s="52" t="s">
        <v>210</v>
      </c>
      <c r="B14" s="53">
        <v>59.79</v>
      </c>
      <c r="C14" s="53">
        <v>68.42</v>
      </c>
      <c r="D14" s="53">
        <v>84.44</v>
      </c>
      <c r="E14" s="53">
        <v>6.06</v>
      </c>
      <c r="F14" s="53">
        <v>3.36</v>
      </c>
      <c r="G14" s="53">
        <v>85.12</v>
      </c>
      <c r="H14" s="53">
        <v>50.45</v>
      </c>
      <c r="I14" s="55" t="s">
        <v>8</v>
      </c>
      <c r="J14" s="53">
        <v>0.12</v>
      </c>
      <c r="K14" s="53">
        <v>343.38</v>
      </c>
      <c r="L14" s="53">
        <v>15.85</v>
      </c>
      <c r="M14" s="53">
        <v>72</v>
      </c>
      <c r="N14" s="53">
        <v>4.5999999999999996</v>
      </c>
      <c r="O14" s="53">
        <v>0</v>
      </c>
      <c r="P14" s="53">
        <v>1.53</v>
      </c>
      <c r="Q14" s="53">
        <v>34.57</v>
      </c>
      <c r="R14" s="45"/>
      <c r="S14" s="45"/>
      <c r="T14" s="45"/>
      <c r="U14" s="45"/>
    </row>
    <row r="15" spans="1:21" s="11" customFormat="1" ht="15">
      <c r="A15" s="52" t="s">
        <v>211</v>
      </c>
      <c r="B15" s="53">
        <v>64.66</v>
      </c>
      <c r="C15" s="53">
        <v>68.180000000000007</v>
      </c>
      <c r="D15" s="53">
        <v>87.92</v>
      </c>
      <c r="E15" s="53">
        <v>5.96</v>
      </c>
      <c r="F15" s="53">
        <v>3.43</v>
      </c>
      <c r="G15" s="53">
        <v>89.99</v>
      </c>
      <c r="H15" s="53">
        <v>42.95</v>
      </c>
      <c r="I15" s="55" t="s">
        <v>8</v>
      </c>
      <c r="J15" s="53">
        <v>0.15</v>
      </c>
      <c r="K15" s="53">
        <v>353.19</v>
      </c>
      <c r="L15" s="53">
        <v>16.27</v>
      </c>
      <c r="M15" s="53">
        <v>74</v>
      </c>
      <c r="N15" s="53">
        <v>20.70</v>
      </c>
      <c r="O15" s="53">
        <v>0</v>
      </c>
      <c r="P15" s="53">
        <v>1.42</v>
      </c>
      <c r="Q15" s="53">
        <v>31.93</v>
      </c>
      <c r="R15" s="45"/>
      <c r="S15" s="45"/>
      <c r="T15" s="45"/>
      <c r="U15" s="45"/>
    </row>
    <row r="16" spans="1:21" s="11" customFormat="1" ht="15">
      <c r="A16" s="52" t="s">
        <v>212</v>
      </c>
      <c r="B16" s="53">
        <v>70.39</v>
      </c>
      <c r="C16" s="53">
        <v>68.38</v>
      </c>
      <c r="D16" s="53">
        <v>92.82</v>
      </c>
      <c r="E16" s="53">
        <v>6.40</v>
      </c>
      <c r="F16" s="53">
        <v>3.49</v>
      </c>
      <c r="G16" s="53">
        <v>90.88</v>
      </c>
      <c r="H16" s="53">
        <v>42.62</v>
      </c>
      <c r="I16" s="55" t="s">
        <v>8</v>
      </c>
      <c r="J16" s="53">
        <v>0.49</v>
      </c>
      <c r="K16" s="53">
        <v>326.83</v>
      </c>
      <c r="L16" s="53">
        <v>19.07</v>
      </c>
      <c r="M16" s="53">
        <v>74</v>
      </c>
      <c r="N16" s="53">
        <v>193</v>
      </c>
      <c r="O16" s="53">
        <v>0</v>
      </c>
      <c r="P16" s="53">
        <v>1.53</v>
      </c>
      <c r="Q16" s="53">
        <v>34.520000000000003</v>
      </c>
      <c r="R16" s="45"/>
      <c r="S16" s="45"/>
      <c r="T16" s="45"/>
      <c r="U16" s="45"/>
    </row>
    <row r="17" spans="1:21" s="11" customFormat="1" ht="15">
      <c r="A17" s="52" t="s">
        <v>213</v>
      </c>
      <c r="B17" s="53">
        <v>60.20</v>
      </c>
      <c r="C17" s="53">
        <v>70.739999999999995</v>
      </c>
      <c r="D17" s="53">
        <v>84.85</v>
      </c>
      <c r="E17" s="53">
        <v>5.74</v>
      </c>
      <c r="F17" s="53">
        <v>3.49</v>
      </c>
      <c r="G17" s="53">
        <v>97.06</v>
      </c>
      <c r="H17" s="53">
        <v>43.88</v>
      </c>
      <c r="I17" s="55" t="s">
        <v>8</v>
      </c>
      <c r="J17" s="53">
        <v>0.45</v>
      </c>
      <c r="K17" s="53">
        <v>340.02</v>
      </c>
      <c r="L17" s="53">
        <v>23.24</v>
      </c>
      <c r="M17" s="53">
        <v>56</v>
      </c>
      <c r="N17" s="53">
        <v>346.80</v>
      </c>
      <c r="O17" s="53">
        <v>0</v>
      </c>
      <c r="P17" s="53">
        <v>1.45</v>
      </c>
      <c r="Q17" s="53">
        <v>33.880000000000003</v>
      </c>
      <c r="R17" s="45"/>
      <c r="S17" s="45"/>
      <c r="T17" s="45"/>
      <c r="U17" s="45"/>
    </row>
    <row r="18" spans="1:21" s="11" customFormat="1" ht="15">
      <c r="A18" s="52" t="s">
        <v>214</v>
      </c>
      <c r="B18" s="53">
        <v>41.01</v>
      </c>
      <c r="C18" s="53">
        <v>74.290000000000006</v>
      </c>
      <c r="D18" s="53">
        <v>71.19</v>
      </c>
      <c r="E18" s="53">
        <v>5.05</v>
      </c>
      <c r="F18" s="53">
        <v>3.58</v>
      </c>
      <c r="G18" s="53">
        <v>97.06</v>
      </c>
      <c r="H18" s="53">
        <v>43.88</v>
      </c>
      <c r="I18" s="55" t="s">
        <v>8</v>
      </c>
      <c r="J18" s="53">
        <v>0.36</v>
      </c>
      <c r="K18" s="53">
        <v>348.98</v>
      </c>
      <c r="L18" s="53">
        <v>27.42</v>
      </c>
      <c r="M18" s="53">
        <v>42</v>
      </c>
      <c r="N18" s="53">
        <v>460.10</v>
      </c>
      <c r="O18" s="53">
        <v>0</v>
      </c>
      <c r="P18" s="53">
        <v>1.35</v>
      </c>
      <c r="Q18" s="53">
        <v>30.65</v>
      </c>
      <c r="R18" s="45"/>
      <c r="S18" s="45"/>
      <c r="T18" s="45"/>
      <c r="U18" s="45"/>
    </row>
    <row r="19" spans="1:21" s="11" customFormat="1" ht="15">
      <c r="A19" s="52" t="s">
        <v>215</v>
      </c>
      <c r="B19" s="53">
        <v>32.700000000000003</v>
      </c>
      <c r="C19" s="53">
        <v>76.83</v>
      </c>
      <c r="D19" s="53">
        <v>66.290000000000006</v>
      </c>
      <c r="E19" s="53">
        <v>6.54</v>
      </c>
      <c r="F19" s="53">
        <v>5.77</v>
      </c>
      <c r="G19" s="53">
        <v>83.22</v>
      </c>
      <c r="H19" s="53">
        <v>41.14</v>
      </c>
      <c r="I19" s="53">
        <v>0.79</v>
      </c>
      <c r="J19" s="53">
        <v>0.5</v>
      </c>
      <c r="K19" s="53">
        <v>359.08</v>
      </c>
      <c r="L19" s="53">
        <v>32.85</v>
      </c>
      <c r="M19" s="53">
        <v>31</v>
      </c>
      <c r="N19" s="53">
        <v>522.90</v>
      </c>
      <c r="O19" s="53">
        <v>0</v>
      </c>
      <c r="P19" s="53">
        <v>1.35</v>
      </c>
      <c r="Q19" s="53">
        <v>32.22</v>
      </c>
      <c r="R19" s="45"/>
      <c r="S19" s="45"/>
      <c r="T19" s="45"/>
      <c r="U19" s="45"/>
    </row>
    <row r="20" spans="1:21" s="11" customFormat="1" ht="15">
      <c r="A20" s="52" t="s">
        <v>216</v>
      </c>
      <c r="B20" s="53">
        <v>24.17</v>
      </c>
      <c r="C20" s="53">
        <v>88.73</v>
      </c>
      <c r="D20" s="53">
        <v>63.06</v>
      </c>
      <c r="E20" s="53">
        <v>5.95</v>
      </c>
      <c r="F20" s="53">
        <v>4.7300000000000004</v>
      </c>
      <c r="G20" s="53">
        <v>83.22</v>
      </c>
      <c r="H20" s="53">
        <v>41.14</v>
      </c>
      <c r="I20" s="53">
        <v>0.74</v>
      </c>
      <c r="J20" s="53">
        <v>0.59</v>
      </c>
      <c r="K20" s="53">
        <v>71.53</v>
      </c>
      <c r="L20" s="53">
        <v>34.53</v>
      </c>
      <c r="M20" s="53">
        <v>24</v>
      </c>
      <c r="N20" s="53">
        <v>575</v>
      </c>
      <c r="O20" s="53">
        <v>0</v>
      </c>
      <c r="P20" s="53">
        <v>1.34</v>
      </c>
      <c r="Q20" s="53">
        <v>33.96</v>
      </c>
      <c r="R20" s="45"/>
      <c r="S20" s="45"/>
      <c r="T20" s="45"/>
      <c r="U20" s="45"/>
    </row>
    <row r="21" spans="1:21" s="11" customFormat="1" ht="15">
      <c r="A21" s="52" t="s">
        <v>217</v>
      </c>
      <c r="B21" s="53">
        <v>9.83</v>
      </c>
      <c r="C21" s="53">
        <v>89.83</v>
      </c>
      <c r="D21" s="53">
        <v>56.27</v>
      </c>
      <c r="E21" s="53">
        <v>7.81</v>
      </c>
      <c r="F21" s="53">
        <v>13.18</v>
      </c>
      <c r="G21" s="53">
        <v>72.61</v>
      </c>
      <c r="H21" s="53">
        <v>37.200000000000003</v>
      </c>
      <c r="I21" s="53">
        <v>0.71</v>
      </c>
      <c r="J21" s="53">
        <v>0.70</v>
      </c>
      <c r="K21" s="53">
        <v>357.23</v>
      </c>
      <c r="L21" s="53">
        <v>34.94</v>
      </c>
      <c r="M21" s="53">
        <v>20</v>
      </c>
      <c r="N21" s="53">
        <v>579.20000000000005</v>
      </c>
      <c r="O21" s="53">
        <v>0</v>
      </c>
      <c r="P21" s="53">
        <v>1.23</v>
      </c>
      <c r="Q21" s="53">
        <v>33.270000000000003</v>
      </c>
      <c r="R21" s="45"/>
      <c r="S21" s="45"/>
      <c r="T21" s="45"/>
      <c r="U21" s="45"/>
    </row>
    <row r="22" spans="1:21" s="11" customFormat="1" ht="15">
      <c r="A22" s="52" t="s">
        <v>218</v>
      </c>
      <c r="B22" s="53">
        <v>5.25</v>
      </c>
      <c r="C22" s="53">
        <v>85.64</v>
      </c>
      <c r="D22" s="53">
        <v>50.28</v>
      </c>
      <c r="E22" s="53">
        <v>6.79</v>
      </c>
      <c r="F22" s="53">
        <v>8.44</v>
      </c>
      <c r="G22" s="53">
        <v>72.61</v>
      </c>
      <c r="H22" s="53">
        <v>36.71</v>
      </c>
      <c r="I22" s="53">
        <v>0.66</v>
      </c>
      <c r="J22" s="53">
        <v>0.64</v>
      </c>
      <c r="K22" s="53">
        <v>355.79</v>
      </c>
      <c r="L22" s="53">
        <v>34.200000000000003</v>
      </c>
      <c r="M22" s="53">
        <v>17.420000000000002</v>
      </c>
      <c r="N22" s="53">
        <v>503.20</v>
      </c>
      <c r="O22" s="53">
        <v>0</v>
      </c>
      <c r="P22" s="53">
        <v>1.05</v>
      </c>
      <c r="Q22" s="53">
        <v>29.12</v>
      </c>
      <c r="R22" s="45"/>
      <c r="S22" s="45"/>
      <c r="T22" s="45"/>
      <c r="U22" s="45"/>
    </row>
    <row r="23" spans="1:21" s="11" customFormat="1" ht="15">
      <c r="A23" s="52" t="s">
        <v>219</v>
      </c>
      <c r="B23" s="53">
        <v>3.82</v>
      </c>
      <c r="C23" s="53">
        <v>73.069999999999993</v>
      </c>
      <c r="D23" s="53">
        <v>42.20</v>
      </c>
      <c r="E23" s="53">
        <v>6.40</v>
      </c>
      <c r="F23" s="53">
        <v>10</v>
      </c>
      <c r="G23" s="53">
        <v>55.16</v>
      </c>
      <c r="H23" s="53">
        <v>33.40</v>
      </c>
      <c r="I23" s="55" t="s">
        <v>8</v>
      </c>
      <c r="J23" s="53">
        <v>0.52</v>
      </c>
      <c r="K23" s="53">
        <v>356.07</v>
      </c>
      <c r="L23" s="53">
        <v>34.35</v>
      </c>
      <c r="M23" s="53">
        <v>17.13</v>
      </c>
      <c r="N23" s="53">
        <v>435.60</v>
      </c>
      <c r="O23" s="53">
        <v>0</v>
      </c>
      <c r="P23" s="53">
        <v>0.93</v>
      </c>
      <c r="Q23" s="53">
        <v>29.40</v>
      </c>
      <c r="R23" s="45"/>
      <c r="S23" s="45"/>
      <c r="T23" s="45"/>
      <c r="U23" s="45"/>
    </row>
    <row r="24" spans="1:21" s="11" customFormat="1" ht="15">
      <c r="A24" s="52" t="s">
        <v>220</v>
      </c>
      <c r="B24" s="53">
        <v>4</v>
      </c>
      <c r="C24" s="53">
        <v>69.89</v>
      </c>
      <c r="D24" s="53">
        <v>40.53</v>
      </c>
      <c r="E24" s="53">
        <v>6.77</v>
      </c>
      <c r="F24" s="53">
        <v>9.68</v>
      </c>
      <c r="G24" s="53">
        <v>35.54</v>
      </c>
      <c r="H24" s="53">
        <v>29.47</v>
      </c>
      <c r="I24" s="55" t="s">
        <v>8</v>
      </c>
      <c r="J24" s="53">
        <v>0.20</v>
      </c>
      <c r="K24" s="53">
        <v>355.21</v>
      </c>
      <c r="L24" s="53">
        <v>34.29</v>
      </c>
      <c r="M24" s="53">
        <v>19.440000000000001</v>
      </c>
      <c r="N24" s="53">
        <v>170.70</v>
      </c>
      <c r="O24" s="53">
        <v>0</v>
      </c>
      <c r="P24" s="53">
        <v>0.87</v>
      </c>
      <c r="Q24" s="53">
        <v>29.76</v>
      </c>
      <c r="R24" s="45"/>
      <c r="S24" s="45"/>
      <c r="T24" s="45"/>
      <c r="U24" s="45"/>
    </row>
    <row r="25" spans="1:21" s="11" customFormat="1" ht="15">
      <c r="A25" s="52" t="s">
        <v>221</v>
      </c>
      <c r="B25" s="53">
        <v>4.04</v>
      </c>
      <c r="C25" s="53">
        <v>65.31</v>
      </c>
      <c r="D25" s="53">
        <v>38.10</v>
      </c>
      <c r="E25" s="53">
        <v>9.57</v>
      </c>
      <c r="F25" s="53">
        <v>21.24</v>
      </c>
      <c r="G25" s="53">
        <v>66.900000000000006</v>
      </c>
      <c r="H25" s="53">
        <v>27.01</v>
      </c>
      <c r="I25" s="55" t="s">
        <v>8</v>
      </c>
      <c r="J25" s="53">
        <v>0.20</v>
      </c>
      <c r="K25" s="53">
        <v>254.19</v>
      </c>
      <c r="L25" s="53">
        <v>30.62</v>
      </c>
      <c r="M25" s="53">
        <v>22.5</v>
      </c>
      <c r="N25" s="53">
        <v>89.60</v>
      </c>
      <c r="O25" s="53">
        <v>0</v>
      </c>
      <c r="P25" s="53">
        <v>0.82</v>
      </c>
      <c r="Q25" s="53">
        <v>28.42</v>
      </c>
      <c r="R25" s="45"/>
      <c r="S25" s="45"/>
      <c r="T25" s="45"/>
      <c r="U25" s="45"/>
    </row>
    <row r="26" spans="1:21" s="11" customFormat="1" ht="15">
      <c r="A26" s="52" t="s">
        <v>222</v>
      </c>
      <c r="B26" s="53">
        <v>8.41</v>
      </c>
      <c r="C26" s="53">
        <v>69.989999999999995</v>
      </c>
      <c r="D26" s="53">
        <v>44.07</v>
      </c>
      <c r="E26" s="53">
        <v>8.7100000000000009</v>
      </c>
      <c r="F26" s="53">
        <v>11.78</v>
      </c>
      <c r="G26" s="53">
        <v>66.900000000000006</v>
      </c>
      <c r="H26" s="53">
        <v>26.59</v>
      </c>
      <c r="I26" s="55" t="s">
        <v>8</v>
      </c>
      <c r="J26" s="53">
        <v>0.13</v>
      </c>
      <c r="K26" s="53">
        <v>32.54</v>
      </c>
      <c r="L26" s="53">
        <v>29.60</v>
      </c>
      <c r="M26" s="53">
        <v>26.90</v>
      </c>
      <c r="N26" s="53">
        <v>32.700000000000003</v>
      </c>
      <c r="O26" s="53">
        <v>0</v>
      </c>
      <c r="P26" s="53">
        <v>0.88</v>
      </c>
      <c r="Q26" s="53">
        <v>27.14</v>
      </c>
      <c r="R26" s="45"/>
      <c r="S26" s="45"/>
      <c r="T26" s="45"/>
      <c r="U26" s="45"/>
    </row>
    <row r="27" spans="1:21" s="11" customFormat="1" ht="15">
      <c r="A27" s="52" t="s">
        <v>223</v>
      </c>
      <c r="B27" s="53">
        <v>13.19</v>
      </c>
      <c r="C27" s="53">
        <v>78.069999999999993</v>
      </c>
      <c r="D27" s="53">
        <v>52.47</v>
      </c>
      <c r="E27" s="53">
        <v>6.82</v>
      </c>
      <c r="F27" s="53">
        <v>5.73</v>
      </c>
      <c r="G27" s="53">
        <v>67.52</v>
      </c>
      <c r="H27" s="53">
        <v>32.47</v>
      </c>
      <c r="I27" s="55" t="s">
        <v>8</v>
      </c>
      <c r="J27" s="53">
        <v>0.14000000000000001</v>
      </c>
      <c r="K27" s="53">
        <v>322.70</v>
      </c>
      <c r="L27" s="53">
        <v>27.60</v>
      </c>
      <c r="M27" s="53">
        <v>32.44</v>
      </c>
      <c r="N27" s="53">
        <v>4.5999999999999996</v>
      </c>
      <c r="O27" s="53">
        <v>0</v>
      </c>
      <c r="P27" s="53">
        <v>1.07</v>
      </c>
      <c r="Q27" s="53">
        <v>31.97</v>
      </c>
      <c r="R27" s="45"/>
      <c r="S27" s="45"/>
      <c r="T27" s="45"/>
      <c r="U27" s="45"/>
    </row>
    <row r="28" spans="1:21" s="11" customFormat="1" ht="15">
      <c r="A28" s="52" t="s">
        <v>224</v>
      </c>
      <c r="B28" s="53">
        <v>29.70</v>
      </c>
      <c r="C28" s="53">
        <v>87.73</v>
      </c>
      <c r="D28" s="53">
        <v>71.05</v>
      </c>
      <c r="E28" s="53">
        <v>6.65</v>
      </c>
      <c r="F28" s="53">
        <v>4.55</v>
      </c>
      <c r="G28" s="53">
        <v>79.41</v>
      </c>
      <c r="H28" s="53">
        <v>34.659999999999997</v>
      </c>
      <c r="I28" s="55" t="s">
        <v>8</v>
      </c>
      <c r="J28" s="53">
        <v>0.17</v>
      </c>
      <c r="K28" s="53">
        <v>344.59</v>
      </c>
      <c r="L28" s="53">
        <v>25.29</v>
      </c>
      <c r="M28" s="53">
        <v>38.270000000000003</v>
      </c>
      <c r="N28" s="53">
        <v>4.5</v>
      </c>
      <c r="O28" s="53">
        <v>0</v>
      </c>
      <c r="P28" s="53">
        <v>1.66</v>
      </c>
      <c r="Q28" s="53">
        <v>32.49</v>
      </c>
      <c r="R28" s="45"/>
      <c r="S28" s="45"/>
      <c r="T28" s="45"/>
      <c r="U28" s="45"/>
    </row>
    <row r="29" spans="1:21" s="11" customFormat="1" ht="15">
      <c r="A29" s="52" t="s">
        <v>225</v>
      </c>
      <c r="B29" s="53">
        <v>45.60</v>
      </c>
      <c r="C29" s="53">
        <v>88.43</v>
      </c>
      <c r="D29" s="53">
        <v>82.86</v>
      </c>
      <c r="E29" s="53">
        <v>8.98</v>
      </c>
      <c r="F29" s="53">
        <v>4.26</v>
      </c>
      <c r="G29" s="53">
        <v>79.41</v>
      </c>
      <c r="H29" s="53">
        <v>40.61</v>
      </c>
      <c r="I29" s="55" t="s">
        <v>8</v>
      </c>
      <c r="J29" s="53">
        <v>0.13</v>
      </c>
      <c r="K29" s="53">
        <v>320.58999999999997</v>
      </c>
      <c r="L29" s="53">
        <v>23.95</v>
      </c>
      <c r="M29" s="53">
        <v>46.24</v>
      </c>
      <c r="N29" s="53">
        <v>4.4000000000000004</v>
      </c>
      <c r="O29" s="53">
        <v>0</v>
      </c>
      <c r="P29" s="53">
        <v>1.83</v>
      </c>
      <c r="Q29" s="53">
        <v>31.71</v>
      </c>
      <c r="R29" s="45"/>
      <c r="S29" s="45"/>
      <c r="T29" s="45"/>
      <c r="U29" s="45"/>
    </row>
    <row r="30" spans="1:21" s="11" customFormat="1" ht="15">
      <c r="A30" s="52" t="s">
        <v>226</v>
      </c>
      <c r="B30" s="53">
        <v>50.84</v>
      </c>
      <c r="C30" s="53">
        <v>86.30</v>
      </c>
      <c r="D30" s="53">
        <v>86.23</v>
      </c>
      <c r="E30" s="53">
        <v>6.68</v>
      </c>
      <c r="F30" s="53">
        <v>3.57</v>
      </c>
      <c r="G30" s="63" t="s">
        <v>14</v>
      </c>
      <c r="H30" s="53">
        <v>43.10</v>
      </c>
      <c r="I30" s="55" t="s">
        <v>8</v>
      </c>
      <c r="J30" s="53">
        <v>0.15</v>
      </c>
      <c r="K30" s="53">
        <v>333.33</v>
      </c>
      <c r="L30" s="53">
        <v>22.51</v>
      </c>
      <c r="M30" s="53">
        <v>53.85</v>
      </c>
      <c r="N30" s="53">
        <v>4.4000000000000004</v>
      </c>
      <c r="O30" s="53">
        <v>0</v>
      </c>
      <c r="P30" s="53">
        <v>1.97</v>
      </c>
      <c r="Q30" s="53">
        <v>37.67</v>
      </c>
      <c r="R30" s="45"/>
      <c r="S30" s="45"/>
      <c r="T30" s="45"/>
      <c r="U30" s="45"/>
    </row>
    <row r="31" spans="1:21" s="11" customFormat="1" ht="15">
      <c r="A31" s="52" t="s">
        <v>227</v>
      </c>
      <c r="B31" s="53">
        <v>70.319999999999993</v>
      </c>
      <c r="C31" s="53">
        <v>86.46</v>
      </c>
      <c r="D31" s="53">
        <v>102.92</v>
      </c>
      <c r="E31" s="53">
        <v>6.02</v>
      </c>
      <c r="F31" s="53">
        <v>3.55</v>
      </c>
      <c r="G31" s="53">
        <v>129.10</v>
      </c>
      <c r="H31" s="53">
        <v>44.31</v>
      </c>
      <c r="I31" s="55" t="s">
        <v>8</v>
      </c>
      <c r="J31" s="53">
        <v>0.08</v>
      </c>
      <c r="K31" s="53">
        <v>327.93</v>
      </c>
      <c r="L31" s="53">
        <v>21.76</v>
      </c>
      <c r="M31" s="53">
        <v>55.96</v>
      </c>
      <c r="N31" s="53">
        <v>4.4000000000000004</v>
      </c>
      <c r="O31" s="53">
        <v>0</v>
      </c>
      <c r="P31" s="53">
        <v>2.2000000000000002</v>
      </c>
      <c r="Q31" s="53">
        <v>39.07</v>
      </c>
      <c r="R31" s="45"/>
      <c r="S31" s="45"/>
      <c r="T31" s="45"/>
      <c r="U31" s="45"/>
    </row>
    <row r="32" spans="1:21" s="11" customFormat="1" ht="15">
      <c r="A32" s="52" t="s">
        <v>228</v>
      </c>
      <c r="B32" s="53">
        <v>73.83</v>
      </c>
      <c r="C32" s="53">
        <v>87.26</v>
      </c>
      <c r="D32" s="53">
        <v>106.17</v>
      </c>
      <c r="E32" s="53">
        <v>6.27</v>
      </c>
      <c r="F32" s="53">
        <v>3.54</v>
      </c>
      <c r="G32" s="53">
        <v>150.76</v>
      </c>
      <c r="H32" s="53">
        <v>47.74</v>
      </c>
      <c r="I32" s="55" t="s">
        <v>8</v>
      </c>
      <c r="J32" s="53">
        <v>0.09</v>
      </c>
      <c r="K32" s="53">
        <v>349.60</v>
      </c>
      <c r="L32" s="53">
        <v>20.85</v>
      </c>
      <c r="M32" s="53">
        <v>57.59</v>
      </c>
      <c r="N32" s="53">
        <v>4.5999999999999996</v>
      </c>
      <c r="O32" s="53">
        <v>0</v>
      </c>
      <c r="P32" s="53">
        <v>2.21</v>
      </c>
      <c r="Q32" s="53">
        <v>39.31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3.8199999999999998</v>
      </c>
      <c r="C34" s="28">
        <f t="shared" si="0"/>
        <v>65.310000000000002</v>
      </c>
      <c r="D34" s="28">
        <f t="shared" si="0"/>
        <v>38.100000000000001</v>
      </c>
      <c r="E34" s="28">
        <f t="shared" si="0"/>
        <v>5.0499999999999998</v>
      </c>
      <c r="F34" s="28">
        <f t="shared" si="0"/>
        <v>3.3599999999999999</v>
      </c>
      <c r="G34" s="28">
        <f t="shared" si="0"/>
        <v>35.539999999999999</v>
      </c>
      <c r="H34" s="28">
        <f t="shared" si="0"/>
        <v>26.59</v>
      </c>
      <c r="I34" s="28">
        <f t="shared" si="0"/>
        <v>0.66000000000000003</v>
      </c>
      <c r="J34" s="28">
        <f t="shared" si="0"/>
        <v>0.080000000000000002</v>
      </c>
      <c r="K34" s="28">
        <f t="shared" si="0"/>
        <v>32.539999999999999</v>
      </c>
      <c r="L34" s="28">
        <f t="shared" si="0"/>
        <v>15.85</v>
      </c>
      <c r="M34" s="28">
        <f t="shared" si="0"/>
        <v>17.129999999999999</v>
      </c>
      <c r="N34" s="28">
        <f t="shared" si="0"/>
        <v>4.4000000000000004</v>
      </c>
      <c r="O34" s="28">
        <f t="shared" si="0"/>
        <v>0</v>
      </c>
      <c r="P34" s="28">
        <f t="shared" si="0"/>
        <v>0.81999999999999995</v>
      </c>
      <c r="Q34" s="28">
        <f t="shared" si="0"/>
        <v>27.140000000000001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208.83000000000001</v>
      </c>
      <c r="C35" s="29">
        <f t="shared" si="1"/>
        <v>89.829999999999998</v>
      </c>
      <c r="D35" s="29">
        <f t="shared" si="1"/>
        <v>212.43000000000001</v>
      </c>
      <c r="E35" s="29">
        <f t="shared" si="1"/>
        <v>9.5700000000000003</v>
      </c>
      <c r="F35" s="29">
        <f t="shared" si="1"/>
        <v>21.239999999999998</v>
      </c>
      <c r="G35" s="29">
        <f t="shared" si="1"/>
        <v>246.72999999999999</v>
      </c>
      <c r="H35" s="29">
        <f t="shared" si="1"/>
        <v>80.090000000000003</v>
      </c>
      <c r="I35" s="29">
        <f t="shared" si="1"/>
        <v>0.79000000000000004</v>
      </c>
      <c r="J35" s="29">
        <f t="shared" si="1"/>
        <v>0.69999999999999996</v>
      </c>
      <c r="K35" s="29">
        <f t="shared" si="1"/>
        <v>359.07999999999998</v>
      </c>
      <c r="L35" s="29">
        <f t="shared" si="1"/>
        <v>34.939999999999998</v>
      </c>
      <c r="M35" s="29">
        <f t="shared" si="1"/>
        <v>74</v>
      </c>
      <c r="N35" s="29">
        <f t="shared" si="1"/>
        <v>579.20000000000005</v>
      </c>
      <c r="O35" s="29">
        <f t="shared" si="1"/>
        <v>0</v>
      </c>
      <c r="P35" s="29">
        <f t="shared" si="1"/>
        <v>3.1099999999999999</v>
      </c>
      <c r="Q35" s="29">
        <f t="shared" si="1"/>
        <v>49.170000000000002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55.259999999999991</v>
      </c>
      <c r="C36" s="28">
        <f t="shared" si="2"/>
        <v>77.947916666666671</v>
      </c>
      <c r="D36" s="28">
        <f t="shared" si="2"/>
        <v>85.679999999999993</v>
      </c>
      <c r="E36" s="28">
        <f t="shared" si="2"/>
        <v>6.7900000000000018</v>
      </c>
      <c r="F36" s="28">
        <f t="shared" si="2"/>
        <v>6.0379166666666668</v>
      </c>
      <c r="G36" s="28">
        <f t="shared" si="2"/>
        <v>98.857826086956536</v>
      </c>
      <c r="H36" s="28">
        <f t="shared" si="2"/>
        <v>44.573333333333331</v>
      </c>
      <c r="I36" s="28">
        <f t="shared" si="2"/>
        <v>0.72500000000000009</v>
      </c>
      <c r="J36" s="28">
        <f t="shared" si="2"/>
        <v>0.27958333333333335</v>
      </c>
      <c r="K36" s="28">
        <f t="shared" si="2"/>
        <v>311.40958333333333</v>
      </c>
      <c r="L36" s="28">
        <f t="shared" si="2"/>
        <v>24.94583333333334</v>
      </c>
      <c r="M36" s="28">
        <f t="shared" si="2"/>
        <v>45.239166666666655</v>
      </c>
      <c r="N36" s="28">
        <f t="shared" si="2"/>
        <v>165.97083333333333</v>
      </c>
      <c r="O36" s="28">
        <f t="shared" si="2"/>
        <v>0</v>
      </c>
      <c r="P36" s="28">
        <f t="shared" si="2"/>
        <v>1.5929166666666668</v>
      </c>
      <c r="Q36" s="28">
        <f t="shared" si="2"/>
        <v>34.5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50.717670704983377</v>
      </c>
      <c r="C37" s="28">
        <f t="shared" si="3" ref="C37:Q37">STDEV(C9:C32)</f>
        <v>8.1980846008801027</v>
      </c>
      <c r="D37" s="28">
        <f t="shared" si="3"/>
        <v>41.526004110572757</v>
      </c>
      <c r="E37" s="28">
        <f t="shared" si="3"/>
        <v>1.052144807358822</v>
      </c>
      <c r="F37" s="28">
        <f t="shared" si="3"/>
        <v>4.3769772964482225</v>
      </c>
      <c r="G37" s="28">
        <f t="shared" si="3"/>
        <v>43.515266491043775</v>
      </c>
      <c r="H37" s="28">
        <f t="shared" si="3"/>
        <v>13.363737002300953</v>
      </c>
      <c r="I37" s="28">
        <f t="shared" si="3"/>
        <v>0.05446711546122731</v>
      </c>
      <c r="J37" s="28">
        <f t="shared" si="3"/>
        <v>0.19581444558931119</v>
      </c>
      <c r="K37" s="28">
        <f t="shared" si="3"/>
        <v>84.029650071407517</v>
      </c>
      <c r="L37" s="28">
        <f t="shared" si="3"/>
        <v>6.7972257235015761</v>
      </c>
      <c r="M37" s="28">
        <f t="shared" si="3"/>
        <v>19.544520396679811</v>
      </c>
      <c r="N37" s="28">
        <f t="shared" si="3"/>
        <v>221.60334615109568</v>
      </c>
      <c r="O37" s="28">
        <f t="shared" si="3"/>
        <v>0</v>
      </c>
      <c r="P37" s="28">
        <f t="shared" si="3"/>
        <v>0.5735433660619067</v>
      </c>
      <c r="Q37" s="28">
        <f t="shared" si="3"/>
        <v>5.1957265048348589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 t="shared" si="4"/>
        <v>24</v>
      </c>
      <c r="I38" s="32">
        <f>COUNT(I9:I32)+20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0bb8d9-fa9e-4016-a2ad-6721bd231d5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229</v>
      </c>
      <c r="B9" s="53">
        <v>69.95</v>
      </c>
      <c r="C9" s="53">
        <v>84.40</v>
      </c>
      <c r="D9" s="53">
        <v>101.49</v>
      </c>
      <c r="E9" s="53">
        <v>6.57</v>
      </c>
      <c r="F9" s="53">
        <v>4.09</v>
      </c>
      <c r="G9" s="53">
        <v>150.76</v>
      </c>
      <c r="H9" s="53">
        <v>47.74</v>
      </c>
      <c r="I9" s="55" t="s">
        <v>8</v>
      </c>
      <c r="J9" s="53">
        <v>0.79</v>
      </c>
      <c r="K9" s="53">
        <v>358.57</v>
      </c>
      <c r="L9" s="53">
        <v>20.440000000000001</v>
      </c>
      <c r="M9" s="53">
        <v>60.47</v>
      </c>
      <c r="N9" s="53">
        <v>4.4000000000000004</v>
      </c>
      <c r="O9" s="53">
        <v>0</v>
      </c>
      <c r="P9" s="53">
        <v>2.1800000000000002</v>
      </c>
      <c r="Q9" s="53">
        <v>37.520000000000003</v>
      </c>
      <c r="R9" s="45"/>
      <c r="S9" s="45"/>
      <c r="T9" s="45"/>
      <c r="U9" s="45"/>
    </row>
    <row r="10" spans="1:21" s="11" customFormat="1" ht="15">
      <c r="A10" s="52" t="s">
        <v>230</v>
      </c>
      <c r="B10" s="53">
        <v>58.91</v>
      </c>
      <c r="C10" s="53">
        <v>79.94</v>
      </c>
      <c r="D10" s="53">
        <v>90.01</v>
      </c>
      <c r="E10" s="53">
        <v>6.80</v>
      </c>
      <c r="F10" s="53">
        <v>4.1399999999999997</v>
      </c>
      <c r="G10" s="53">
        <v>114.19</v>
      </c>
      <c r="H10" s="53">
        <v>45.82</v>
      </c>
      <c r="I10" s="55" t="s">
        <v>8</v>
      </c>
      <c r="J10" s="53">
        <v>0.15</v>
      </c>
      <c r="K10" s="53">
        <v>346.27</v>
      </c>
      <c r="L10" s="53">
        <v>20.28</v>
      </c>
      <c r="M10" s="53">
        <v>58</v>
      </c>
      <c r="N10" s="53">
        <v>4.9000000000000004</v>
      </c>
      <c r="O10" s="53">
        <v>0</v>
      </c>
      <c r="P10" s="53">
        <v>1.98</v>
      </c>
      <c r="Q10" s="53">
        <v>38.049999999999997</v>
      </c>
      <c r="R10" s="45"/>
      <c r="S10" s="45"/>
      <c r="T10" s="45"/>
      <c r="U10" s="45"/>
    </row>
    <row r="11" spans="1:21" s="11" customFormat="1" ht="15">
      <c r="A11" s="52" t="s">
        <v>231</v>
      </c>
      <c r="B11" s="53">
        <v>41.52</v>
      </c>
      <c r="C11" s="53">
        <v>78</v>
      </c>
      <c r="D11" s="53">
        <v>75.16</v>
      </c>
      <c r="E11" s="53">
        <v>5.30</v>
      </c>
      <c r="F11" s="53">
        <v>3.74</v>
      </c>
      <c r="G11" s="53">
        <v>75.650000000000006</v>
      </c>
      <c r="H11" s="53">
        <v>43.41</v>
      </c>
      <c r="I11" s="55" t="s">
        <v>8</v>
      </c>
      <c r="J11" s="53">
        <v>0.62</v>
      </c>
      <c r="K11" s="53">
        <v>357.18</v>
      </c>
      <c r="L11" s="53">
        <v>19.670000000000002</v>
      </c>
      <c r="M11" s="53">
        <v>56.07</v>
      </c>
      <c r="N11" s="53">
        <v>4.70</v>
      </c>
      <c r="O11" s="53">
        <v>0</v>
      </c>
      <c r="P11" s="53">
        <v>1.76</v>
      </c>
      <c r="Q11" s="53">
        <v>36.44</v>
      </c>
      <c r="R11" s="45"/>
      <c r="S11" s="45"/>
      <c r="T11" s="45"/>
      <c r="U11" s="45"/>
    </row>
    <row r="12" spans="1:21" s="11" customFormat="1" ht="15">
      <c r="A12" s="52" t="s">
        <v>232</v>
      </c>
      <c r="B12" s="53">
        <v>25.79</v>
      </c>
      <c r="C12" s="53">
        <v>73.34</v>
      </c>
      <c r="D12" s="53">
        <v>59.97</v>
      </c>
      <c r="E12" s="53">
        <v>5.20</v>
      </c>
      <c r="F12" s="53">
        <v>4.53</v>
      </c>
      <c r="G12" s="53">
        <v>61.73</v>
      </c>
      <c r="H12" s="53">
        <v>39.49</v>
      </c>
      <c r="I12" s="55" t="s">
        <v>8</v>
      </c>
      <c r="J12" s="53">
        <v>0.17</v>
      </c>
      <c r="K12" s="53">
        <v>341.48</v>
      </c>
      <c r="L12" s="53">
        <v>19.440000000000001</v>
      </c>
      <c r="M12" s="53">
        <v>51.28</v>
      </c>
      <c r="N12" s="53">
        <v>4.70</v>
      </c>
      <c r="O12" s="53">
        <v>0</v>
      </c>
      <c r="P12" s="53">
        <v>1.47</v>
      </c>
      <c r="Q12" s="53">
        <v>32.409999999999997</v>
      </c>
      <c r="R12" s="45"/>
      <c r="S12" s="45"/>
      <c r="T12" s="45"/>
      <c r="U12" s="45"/>
    </row>
    <row r="13" spans="1:21" s="11" customFormat="1" ht="15">
      <c r="A13" s="52" t="s">
        <v>233</v>
      </c>
      <c r="B13" s="53">
        <v>20.38</v>
      </c>
      <c r="C13" s="53">
        <v>70.11</v>
      </c>
      <c r="D13" s="53">
        <v>53.85</v>
      </c>
      <c r="E13" s="53">
        <v>6.47</v>
      </c>
      <c r="F13" s="53">
        <v>3.72</v>
      </c>
      <c r="G13" s="53">
        <v>54.10</v>
      </c>
      <c r="H13" s="53">
        <v>34.090000000000003</v>
      </c>
      <c r="I13" s="55" t="s">
        <v>8</v>
      </c>
      <c r="J13" s="53">
        <v>0.19</v>
      </c>
      <c r="K13" s="53">
        <v>245.35</v>
      </c>
      <c r="L13" s="53">
        <v>18.71</v>
      </c>
      <c r="M13" s="53">
        <v>62.11</v>
      </c>
      <c r="N13" s="53">
        <v>4.5999999999999996</v>
      </c>
      <c r="O13" s="53">
        <v>0</v>
      </c>
      <c r="P13" s="53">
        <v>1.32</v>
      </c>
      <c r="Q13" s="63" t="s">
        <v>14</v>
      </c>
      <c r="R13" s="45"/>
      <c r="S13" s="45"/>
      <c r="T13" s="45"/>
      <c r="U13" s="45"/>
    </row>
    <row r="14" spans="1:21" s="11" customFormat="1" ht="15">
      <c r="A14" s="52" t="s">
        <v>234</v>
      </c>
      <c r="B14" s="53">
        <v>22.38</v>
      </c>
      <c r="C14" s="53">
        <v>65.44</v>
      </c>
      <c r="D14" s="53">
        <v>52.62</v>
      </c>
      <c r="E14" s="53">
        <v>5.98</v>
      </c>
      <c r="F14" s="53">
        <v>3.51</v>
      </c>
      <c r="G14" s="53">
        <v>51.54</v>
      </c>
      <c r="H14" s="53">
        <v>29.25</v>
      </c>
      <c r="I14" s="55" t="s">
        <v>8</v>
      </c>
      <c r="J14" s="53">
        <v>0.28000000000000003</v>
      </c>
      <c r="K14" s="53">
        <v>352.42</v>
      </c>
      <c r="L14" s="53">
        <v>18.09</v>
      </c>
      <c r="M14" s="53">
        <v>59.35</v>
      </c>
      <c r="N14" s="53">
        <v>4.5</v>
      </c>
      <c r="O14" s="53">
        <v>0</v>
      </c>
      <c r="P14" s="53">
        <v>1.19</v>
      </c>
      <c r="Q14" s="63" t="s">
        <v>14</v>
      </c>
      <c r="R14" s="45"/>
      <c r="S14" s="45"/>
      <c r="T14" s="45"/>
      <c r="U14" s="45"/>
    </row>
    <row r="15" spans="1:21" s="11" customFormat="1" ht="15">
      <c r="A15" s="52" t="s">
        <v>235</v>
      </c>
      <c r="B15" s="53">
        <v>27.10</v>
      </c>
      <c r="C15" s="53">
        <v>65.41</v>
      </c>
      <c r="D15" s="53">
        <v>56.48</v>
      </c>
      <c r="E15" s="53">
        <v>6.29</v>
      </c>
      <c r="F15" s="53">
        <v>3.56</v>
      </c>
      <c r="G15" s="53">
        <v>76.58</v>
      </c>
      <c r="H15" s="53">
        <v>29.25</v>
      </c>
      <c r="I15" s="55" t="s">
        <v>8</v>
      </c>
      <c r="J15" s="53">
        <v>0.52</v>
      </c>
      <c r="K15" s="53">
        <v>284.56</v>
      </c>
      <c r="L15" s="53">
        <v>18.52</v>
      </c>
      <c r="M15" s="53">
        <v>54.67</v>
      </c>
      <c r="N15" s="53">
        <v>20.100000000000001</v>
      </c>
      <c r="O15" s="53">
        <v>0</v>
      </c>
      <c r="P15" s="53">
        <v>1.04</v>
      </c>
      <c r="Q15" s="63" t="s">
        <v>14</v>
      </c>
      <c r="R15" s="45"/>
      <c r="S15" s="45"/>
      <c r="T15" s="45"/>
      <c r="U15" s="45"/>
    </row>
    <row r="16" spans="1:21" s="11" customFormat="1" ht="15">
      <c r="A16" s="52" t="s">
        <v>236</v>
      </c>
      <c r="B16" s="53">
        <v>31.14</v>
      </c>
      <c r="C16" s="53">
        <v>65.11</v>
      </c>
      <c r="D16" s="53">
        <v>59.10</v>
      </c>
      <c r="E16" s="53">
        <v>7.33</v>
      </c>
      <c r="F16" s="53">
        <v>3.45</v>
      </c>
      <c r="G16" s="53">
        <v>93.80</v>
      </c>
      <c r="H16" s="53">
        <v>35.92</v>
      </c>
      <c r="I16" s="55" t="s">
        <v>8</v>
      </c>
      <c r="J16" s="53">
        <v>0.43</v>
      </c>
      <c r="K16" s="53">
        <v>123.02</v>
      </c>
      <c r="L16" s="53">
        <v>21.89</v>
      </c>
      <c r="M16" s="53">
        <v>51.64</v>
      </c>
      <c r="N16" s="53">
        <v>180</v>
      </c>
      <c r="O16" s="53">
        <v>0</v>
      </c>
      <c r="P16" s="53">
        <v>1.08</v>
      </c>
      <c r="Q16" s="63" t="s">
        <v>14</v>
      </c>
      <c r="R16" s="45"/>
      <c r="S16" s="45"/>
      <c r="T16" s="45"/>
      <c r="U16" s="45"/>
    </row>
    <row r="17" spans="1:21" s="11" customFormat="1" ht="15">
      <c r="A17" s="52" t="s">
        <v>237</v>
      </c>
      <c r="B17" s="53">
        <v>35.380000000000003</v>
      </c>
      <c r="C17" s="53">
        <v>65.47</v>
      </c>
      <c r="D17" s="53">
        <v>62.97</v>
      </c>
      <c r="E17" s="53">
        <v>11.97</v>
      </c>
      <c r="F17" s="53">
        <v>3.66</v>
      </c>
      <c r="G17" s="53">
        <v>131.26</v>
      </c>
      <c r="H17" s="53">
        <v>48.87</v>
      </c>
      <c r="I17" s="55" t="s">
        <v>8</v>
      </c>
      <c r="J17" s="53">
        <v>0.74</v>
      </c>
      <c r="K17" s="53">
        <v>38.96</v>
      </c>
      <c r="L17" s="53">
        <v>28.21</v>
      </c>
      <c r="M17" s="53">
        <v>38.479999999999997</v>
      </c>
      <c r="N17" s="53">
        <v>358.60</v>
      </c>
      <c r="O17" s="53">
        <v>0</v>
      </c>
      <c r="P17" s="53">
        <v>1.26</v>
      </c>
      <c r="Q17" s="63" t="s">
        <v>14</v>
      </c>
      <c r="R17" s="45"/>
      <c r="S17" s="45"/>
      <c r="T17" s="45"/>
      <c r="U17" s="45"/>
    </row>
    <row r="18" spans="1:21" s="11" customFormat="1" ht="15">
      <c r="A18" s="52" t="s">
        <v>238</v>
      </c>
      <c r="B18" s="53">
        <v>34.159999999999997</v>
      </c>
      <c r="C18" s="53">
        <v>69.010000000000005</v>
      </c>
      <c r="D18" s="53">
        <v>62.88</v>
      </c>
      <c r="E18" s="53">
        <v>9.76</v>
      </c>
      <c r="F18" s="53">
        <v>3.78</v>
      </c>
      <c r="G18" s="53">
        <v>131.26</v>
      </c>
      <c r="H18" s="53">
        <v>48.87</v>
      </c>
      <c r="I18" s="55" t="s">
        <v>8</v>
      </c>
      <c r="J18" s="53">
        <v>1.58</v>
      </c>
      <c r="K18" s="53">
        <v>114.62</v>
      </c>
      <c r="L18" s="53">
        <v>28.96</v>
      </c>
      <c r="M18" s="53">
        <v>33.950000000000003</v>
      </c>
      <c r="N18" s="53">
        <v>471.70</v>
      </c>
      <c r="O18" s="53">
        <v>0</v>
      </c>
      <c r="P18" s="53">
        <v>1.27</v>
      </c>
      <c r="Q18" s="63" t="s">
        <v>14</v>
      </c>
      <c r="R18" s="45"/>
      <c r="S18" s="45"/>
      <c r="T18" s="45"/>
      <c r="U18" s="45"/>
    </row>
    <row r="19" spans="1:21" s="11" customFormat="1" ht="15">
      <c r="A19" s="52" t="s">
        <v>239</v>
      </c>
      <c r="B19" s="53">
        <v>24.30</v>
      </c>
      <c r="C19" s="53">
        <v>68.30</v>
      </c>
      <c r="D19" s="53">
        <v>55.99</v>
      </c>
      <c r="E19" s="53">
        <v>11.10</v>
      </c>
      <c r="F19" s="53">
        <v>9.90</v>
      </c>
      <c r="G19" s="53">
        <v>89.94</v>
      </c>
      <c r="H19" s="53">
        <v>46.37</v>
      </c>
      <c r="I19" s="53">
        <v>0.57999999999999996</v>
      </c>
      <c r="J19" s="53">
        <v>1.30</v>
      </c>
      <c r="K19" s="53">
        <v>123.65</v>
      </c>
      <c r="L19" s="53">
        <v>31.08</v>
      </c>
      <c r="M19" s="53">
        <v>31.08</v>
      </c>
      <c r="N19" s="53">
        <v>535.5</v>
      </c>
      <c r="O19" s="53">
        <v>0</v>
      </c>
      <c r="P19" s="53">
        <v>1.0900000000000001</v>
      </c>
      <c r="Q19" s="63" t="s">
        <v>14</v>
      </c>
      <c r="R19" s="45"/>
      <c r="S19" s="45"/>
      <c r="T19" s="45"/>
      <c r="U19" s="45"/>
    </row>
    <row r="20" spans="1:21" s="11" customFormat="1" ht="15">
      <c r="A20" s="52" t="s">
        <v>240</v>
      </c>
      <c r="B20" s="53">
        <v>11.64</v>
      </c>
      <c r="C20" s="53">
        <v>57.96</v>
      </c>
      <c r="D20" s="53">
        <v>37.17</v>
      </c>
      <c r="E20" s="53">
        <v>25.45</v>
      </c>
      <c r="F20" s="53">
        <v>20.81</v>
      </c>
      <c r="G20" s="64" t="s">
        <v>12</v>
      </c>
      <c r="H20" s="64" t="s">
        <v>12</v>
      </c>
      <c r="I20" s="53">
        <v>0.57999999999999996</v>
      </c>
      <c r="J20" s="53">
        <v>1</v>
      </c>
      <c r="K20" s="53">
        <v>16.32</v>
      </c>
      <c r="L20" s="53">
        <v>34.659999999999997</v>
      </c>
      <c r="M20" s="53">
        <v>22.76</v>
      </c>
      <c r="N20" s="53">
        <v>564.20000000000005</v>
      </c>
      <c r="O20" s="53">
        <v>0</v>
      </c>
      <c r="P20" s="53">
        <v>0.81</v>
      </c>
      <c r="Q20" s="63" t="s">
        <v>14</v>
      </c>
      <c r="R20" s="45"/>
      <c r="S20" s="45"/>
      <c r="T20" s="45"/>
      <c r="U20" s="45"/>
    </row>
    <row r="21" spans="1:21" s="11" customFormat="1" ht="15">
      <c r="A21" s="52" t="s">
        <v>241</v>
      </c>
      <c r="B21" s="53">
        <v>6.5</v>
      </c>
      <c r="C21" s="53">
        <v>58.52</v>
      </c>
      <c r="D21" s="53">
        <v>36.159999999999997</v>
      </c>
      <c r="E21" s="53">
        <v>6.88</v>
      </c>
      <c r="F21" s="53">
        <v>12.12</v>
      </c>
      <c r="G21" s="64" t="s">
        <v>12</v>
      </c>
      <c r="H21" s="64" t="s">
        <v>12</v>
      </c>
      <c r="I21" s="53">
        <v>0.56000000000000005</v>
      </c>
      <c r="J21" s="53">
        <v>1.1599999999999999</v>
      </c>
      <c r="K21" s="53">
        <v>359.71</v>
      </c>
      <c r="L21" s="53">
        <v>34.97</v>
      </c>
      <c r="M21" s="53">
        <v>19.46</v>
      </c>
      <c r="N21" s="53">
        <v>609.5</v>
      </c>
      <c r="O21" s="53">
        <v>0</v>
      </c>
      <c r="P21" s="53">
        <v>0.74</v>
      </c>
      <c r="Q21" s="63" t="s">
        <v>14</v>
      </c>
      <c r="R21" s="45"/>
      <c r="S21" s="45"/>
      <c r="T21" s="45"/>
      <c r="U21" s="45"/>
    </row>
    <row r="22" spans="1:21" s="11" customFormat="1" ht="15">
      <c r="A22" s="52" t="s">
        <v>242</v>
      </c>
      <c r="B22" s="53">
        <v>4.95</v>
      </c>
      <c r="C22" s="53">
        <v>53.63</v>
      </c>
      <c r="D22" s="53">
        <v>31.96</v>
      </c>
      <c r="E22" s="53">
        <v>4.29</v>
      </c>
      <c r="F22" s="53">
        <v>9.08</v>
      </c>
      <c r="G22" s="53">
        <v>76.150000000000006</v>
      </c>
      <c r="H22" s="53">
        <v>21.43</v>
      </c>
      <c r="I22" s="53">
        <v>0.52</v>
      </c>
      <c r="J22" s="53">
        <v>1.03</v>
      </c>
      <c r="K22" s="53">
        <v>354.85</v>
      </c>
      <c r="L22" s="53">
        <v>34.979999999999997</v>
      </c>
      <c r="M22" s="53">
        <v>20.010000000000002</v>
      </c>
      <c r="N22" s="53">
        <v>554</v>
      </c>
      <c r="O22" s="53">
        <v>0</v>
      </c>
      <c r="P22" s="53">
        <v>0.64</v>
      </c>
      <c r="Q22" s="63" t="s">
        <v>14</v>
      </c>
      <c r="R22" s="45"/>
      <c r="S22" s="45"/>
      <c r="T22" s="45"/>
      <c r="U22" s="45"/>
    </row>
    <row r="23" spans="1:21" s="11" customFormat="1" ht="15">
      <c r="A23" s="52" t="s">
        <v>243</v>
      </c>
      <c r="B23" s="65" t="s">
        <v>4</v>
      </c>
      <c r="C23" s="65" t="s">
        <v>4</v>
      </c>
      <c r="D23" s="65" t="s">
        <v>4</v>
      </c>
      <c r="E23" s="65" t="s">
        <v>4</v>
      </c>
      <c r="F23" s="65" t="s">
        <v>4</v>
      </c>
      <c r="G23" s="65" t="s">
        <v>4</v>
      </c>
      <c r="H23" s="65" t="s">
        <v>4</v>
      </c>
      <c r="I23" s="65" t="s">
        <v>4</v>
      </c>
      <c r="J23" s="65" t="s">
        <v>4</v>
      </c>
      <c r="K23" s="65" t="s">
        <v>4</v>
      </c>
      <c r="L23" s="65" t="s">
        <v>4</v>
      </c>
      <c r="M23" s="65" t="s">
        <v>4</v>
      </c>
      <c r="N23" s="65" t="s">
        <v>4</v>
      </c>
      <c r="O23" s="65" t="s">
        <v>4</v>
      </c>
      <c r="P23" s="65" t="s">
        <v>4</v>
      </c>
      <c r="Q23" s="65" t="s">
        <v>4</v>
      </c>
      <c r="R23" s="45"/>
      <c r="S23" s="45"/>
      <c r="T23" s="45"/>
      <c r="U23" s="45"/>
    </row>
    <row r="24" spans="1:21" s="11" customFormat="1" ht="15">
      <c r="A24" s="52" t="s">
        <v>244</v>
      </c>
      <c r="B24" s="65" t="s">
        <v>4</v>
      </c>
      <c r="C24" s="65" t="s">
        <v>4</v>
      </c>
      <c r="D24" s="65" t="s">
        <v>4</v>
      </c>
      <c r="E24" s="65" t="s">
        <v>4</v>
      </c>
      <c r="F24" s="65" t="s">
        <v>4</v>
      </c>
      <c r="G24" s="65" t="s">
        <v>4</v>
      </c>
      <c r="H24" s="65" t="s">
        <v>4</v>
      </c>
      <c r="I24" s="65" t="s">
        <v>4</v>
      </c>
      <c r="J24" s="65" t="s">
        <v>4</v>
      </c>
      <c r="K24" s="65" t="s">
        <v>4</v>
      </c>
      <c r="L24" s="65" t="s">
        <v>4</v>
      </c>
      <c r="M24" s="65" t="s">
        <v>4</v>
      </c>
      <c r="N24" s="65" t="s">
        <v>4</v>
      </c>
      <c r="O24" s="65" t="s">
        <v>4</v>
      </c>
      <c r="P24" s="65" t="s">
        <v>4</v>
      </c>
      <c r="Q24" s="65" t="s">
        <v>4</v>
      </c>
      <c r="R24" s="45"/>
      <c r="S24" s="45"/>
      <c r="T24" s="45"/>
      <c r="U24" s="45"/>
    </row>
    <row r="25" spans="1:21" s="11" customFormat="1" ht="15">
      <c r="A25" s="52" t="s">
        <v>245</v>
      </c>
      <c r="B25" s="53">
        <v>5.99</v>
      </c>
      <c r="C25" s="53">
        <v>37.46</v>
      </c>
      <c r="D25" s="53">
        <v>24.29</v>
      </c>
      <c r="E25" s="63" t="s">
        <v>14</v>
      </c>
      <c r="F25" s="53">
        <v>8.61</v>
      </c>
      <c r="G25" s="53">
        <v>50.20</v>
      </c>
      <c r="H25" s="53">
        <v>18.329999999999998</v>
      </c>
      <c r="I25" s="53">
        <v>0.53</v>
      </c>
      <c r="J25" s="53">
        <v>0.66</v>
      </c>
      <c r="K25" s="53">
        <v>359.47</v>
      </c>
      <c r="L25" s="53">
        <v>30.75</v>
      </c>
      <c r="M25" s="53">
        <v>24.34</v>
      </c>
      <c r="N25" s="53">
        <v>131.40</v>
      </c>
      <c r="O25" s="53">
        <v>0</v>
      </c>
      <c r="P25" s="53">
        <v>0.34</v>
      </c>
      <c r="Q25" s="63" t="s">
        <v>14</v>
      </c>
      <c r="R25" s="45"/>
      <c r="S25" s="45"/>
      <c r="T25" s="45"/>
      <c r="U25" s="45"/>
    </row>
    <row r="26" spans="1:21" s="11" customFormat="1" ht="15">
      <c r="A26" s="52" t="s">
        <v>246</v>
      </c>
      <c r="B26" s="53">
        <v>16.170000000000002</v>
      </c>
      <c r="C26" s="53">
        <v>55.31</v>
      </c>
      <c r="D26" s="53">
        <v>42.30</v>
      </c>
      <c r="E26" s="63" t="s">
        <v>14</v>
      </c>
      <c r="F26" s="53">
        <v>10.89</v>
      </c>
      <c r="G26" s="53">
        <v>47.23</v>
      </c>
      <c r="H26" s="53">
        <v>16.68</v>
      </c>
      <c r="I26" s="53">
        <v>0.54</v>
      </c>
      <c r="J26" s="53">
        <v>0.41</v>
      </c>
      <c r="K26" s="53">
        <v>354.33</v>
      </c>
      <c r="L26" s="53">
        <v>29.28</v>
      </c>
      <c r="M26" s="53">
        <v>29.13</v>
      </c>
      <c r="N26" s="53">
        <v>30.40</v>
      </c>
      <c r="O26" s="53">
        <v>0</v>
      </c>
      <c r="P26" s="53">
        <v>0.60</v>
      </c>
      <c r="Q26" s="63" t="s">
        <v>14</v>
      </c>
      <c r="R26" s="45"/>
      <c r="S26" s="45"/>
      <c r="T26" s="45"/>
      <c r="U26" s="45"/>
    </row>
    <row r="27" spans="1:21" s="11" customFormat="1" ht="15">
      <c r="A27" s="52" t="s">
        <v>247</v>
      </c>
      <c r="B27" s="53">
        <v>35.549999999999997</v>
      </c>
      <c r="C27" s="53">
        <v>64.36</v>
      </c>
      <c r="D27" s="53">
        <v>62.40</v>
      </c>
      <c r="E27" s="63" t="s">
        <v>14</v>
      </c>
      <c r="F27" s="53">
        <v>5.64</v>
      </c>
      <c r="G27" s="53">
        <v>66.97</v>
      </c>
      <c r="H27" s="53">
        <v>22.51</v>
      </c>
      <c r="I27" s="53">
        <v>0.67</v>
      </c>
      <c r="J27" s="53">
        <v>0.28999999999999998</v>
      </c>
      <c r="K27" s="53">
        <v>228.56</v>
      </c>
      <c r="L27" s="53">
        <v>26.95</v>
      </c>
      <c r="M27" s="53">
        <v>42.06</v>
      </c>
      <c r="N27" s="53">
        <v>4.5999999999999996</v>
      </c>
      <c r="O27" s="53">
        <v>0</v>
      </c>
      <c r="P27" s="53">
        <v>0.90</v>
      </c>
      <c r="Q27" s="63" t="s">
        <v>14</v>
      </c>
      <c r="R27" s="45"/>
      <c r="S27" s="45"/>
      <c r="T27" s="45"/>
      <c r="U27" s="45"/>
    </row>
    <row r="28" spans="1:21" s="11" customFormat="1" ht="15">
      <c r="A28" s="52" t="s">
        <v>248</v>
      </c>
      <c r="B28" s="53">
        <v>42.90</v>
      </c>
      <c r="C28" s="53">
        <v>61.58</v>
      </c>
      <c r="D28" s="53">
        <v>66.28</v>
      </c>
      <c r="E28" s="63" t="s">
        <v>14</v>
      </c>
      <c r="F28" s="53">
        <v>4.82</v>
      </c>
      <c r="G28" s="53">
        <v>179.61</v>
      </c>
      <c r="H28" s="53">
        <v>38.33</v>
      </c>
      <c r="I28" s="53">
        <v>0.79</v>
      </c>
      <c r="J28" s="53">
        <v>0.19</v>
      </c>
      <c r="K28" s="53">
        <v>356.09</v>
      </c>
      <c r="L28" s="53">
        <v>24.5</v>
      </c>
      <c r="M28" s="53">
        <v>51.55</v>
      </c>
      <c r="N28" s="53">
        <v>4.4000000000000004</v>
      </c>
      <c r="O28" s="53">
        <v>0</v>
      </c>
      <c r="P28" s="53">
        <v>1.47</v>
      </c>
      <c r="Q28" s="63" t="s">
        <v>14</v>
      </c>
      <c r="R28" s="45"/>
      <c r="S28" s="45"/>
      <c r="T28" s="45"/>
      <c r="U28" s="45"/>
    </row>
    <row r="29" spans="1:21" s="11" customFormat="1" ht="15">
      <c r="A29" s="52" t="s">
        <v>249</v>
      </c>
      <c r="B29" s="53">
        <v>40.619999999999997</v>
      </c>
      <c r="C29" s="53">
        <v>62.31</v>
      </c>
      <c r="D29" s="53">
        <v>65.680000000000007</v>
      </c>
      <c r="E29" s="63" t="s">
        <v>14</v>
      </c>
      <c r="F29" s="53">
        <v>4.71</v>
      </c>
      <c r="G29" s="53">
        <v>179.61</v>
      </c>
      <c r="H29" s="53">
        <v>38.380000000000003</v>
      </c>
      <c r="I29" s="53">
        <v>0.90</v>
      </c>
      <c r="J29" s="53">
        <v>0.40</v>
      </c>
      <c r="K29" s="53">
        <v>341.58</v>
      </c>
      <c r="L29" s="53">
        <v>24.75</v>
      </c>
      <c r="M29" s="53">
        <v>34.56</v>
      </c>
      <c r="N29" s="53">
        <v>4.0999999999999996</v>
      </c>
      <c r="O29" s="53">
        <v>0</v>
      </c>
      <c r="P29" s="53">
        <v>1.51</v>
      </c>
      <c r="Q29" s="63" t="s">
        <v>14</v>
      </c>
      <c r="R29" s="45"/>
      <c r="S29" s="45"/>
      <c r="T29" s="45"/>
      <c r="U29" s="45"/>
    </row>
    <row r="30" spans="1:21" s="11" customFormat="1" ht="15">
      <c r="A30" s="52" t="s">
        <v>250</v>
      </c>
      <c r="B30" s="53">
        <v>38.72</v>
      </c>
      <c r="C30" s="53">
        <v>61.65</v>
      </c>
      <c r="D30" s="53">
        <v>63.5</v>
      </c>
      <c r="E30" s="63" t="s">
        <v>14</v>
      </c>
      <c r="F30" s="53">
        <v>4.8600000000000003</v>
      </c>
      <c r="G30" s="53">
        <v>80.78</v>
      </c>
      <c r="H30" s="53">
        <v>38.380000000000003</v>
      </c>
      <c r="I30" s="53">
        <v>0.84</v>
      </c>
      <c r="J30" s="53">
        <v>0.23</v>
      </c>
      <c r="K30" s="53">
        <v>336.01</v>
      </c>
      <c r="L30" s="53">
        <v>22.87</v>
      </c>
      <c r="M30" s="53">
        <v>38.53</v>
      </c>
      <c r="N30" s="53">
        <v>4.5999999999999996</v>
      </c>
      <c r="O30" s="53">
        <v>0</v>
      </c>
      <c r="P30" s="53">
        <v>1.44</v>
      </c>
      <c r="Q30" s="63" t="s">
        <v>14</v>
      </c>
      <c r="R30" s="45"/>
      <c r="S30" s="45"/>
      <c r="T30" s="45"/>
      <c r="U30" s="45"/>
    </row>
    <row r="31" spans="1:21" s="11" customFormat="1" ht="15">
      <c r="A31" s="52" t="s">
        <v>251</v>
      </c>
      <c r="B31" s="53">
        <v>40.58</v>
      </c>
      <c r="C31" s="53">
        <v>60.56</v>
      </c>
      <c r="D31" s="53">
        <v>64.680000000000007</v>
      </c>
      <c r="E31" s="63" t="s">
        <v>14</v>
      </c>
      <c r="F31" s="53">
        <v>4.8600000000000003</v>
      </c>
      <c r="G31" s="53">
        <v>85.82</v>
      </c>
      <c r="H31" s="53">
        <v>29.10</v>
      </c>
      <c r="I31" s="53">
        <v>0.84</v>
      </c>
      <c r="J31" s="53">
        <v>1.30</v>
      </c>
      <c r="K31" s="53">
        <v>357.5</v>
      </c>
      <c r="L31" s="53">
        <v>21.34</v>
      </c>
      <c r="M31" s="53">
        <v>40.229999999999997</v>
      </c>
      <c r="N31" s="53">
        <v>4.20</v>
      </c>
      <c r="O31" s="53">
        <v>0</v>
      </c>
      <c r="P31" s="53">
        <v>1.47</v>
      </c>
      <c r="Q31" s="63" t="s">
        <v>14</v>
      </c>
      <c r="R31" s="45"/>
      <c r="S31" s="45"/>
      <c r="T31" s="45"/>
      <c r="U31" s="45"/>
    </row>
    <row r="32" spans="1:21" s="11" customFormat="1" ht="15">
      <c r="A32" s="52" t="s">
        <v>252</v>
      </c>
      <c r="B32" s="53">
        <v>35.78</v>
      </c>
      <c r="C32" s="53">
        <v>57.65</v>
      </c>
      <c r="D32" s="53">
        <v>59.32</v>
      </c>
      <c r="E32" s="63" t="s">
        <v>14</v>
      </c>
      <c r="F32" s="53">
        <v>4.8099999999999996</v>
      </c>
      <c r="G32" s="53">
        <v>85.82</v>
      </c>
      <c r="H32" s="53">
        <v>29.10</v>
      </c>
      <c r="I32" s="53">
        <v>0.86</v>
      </c>
      <c r="J32" s="53">
        <v>1.24</v>
      </c>
      <c r="K32" s="53">
        <v>357.98</v>
      </c>
      <c r="L32" s="53">
        <v>21.67</v>
      </c>
      <c r="M32" s="53">
        <v>36.64</v>
      </c>
      <c r="N32" s="53">
        <v>4.20</v>
      </c>
      <c r="O32" s="53">
        <v>0</v>
      </c>
      <c r="P32" s="53">
        <v>1.31</v>
      </c>
      <c r="Q32" s="63" t="s">
        <v>14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4.9500000000000002</v>
      </c>
      <c r="C34" s="28">
        <f t="shared" si="0"/>
        <v>37.460000000000001</v>
      </c>
      <c r="D34" s="28">
        <f t="shared" si="0"/>
        <v>24.289999999999999</v>
      </c>
      <c r="E34" s="28">
        <f t="shared" si="0"/>
        <v>4.29</v>
      </c>
      <c r="F34" s="28">
        <f t="shared" si="0"/>
        <v>3.4500000000000002</v>
      </c>
      <c r="G34" s="28">
        <f t="shared" si="0"/>
        <v>47.229999999999997</v>
      </c>
      <c r="H34" s="28">
        <f t="shared" si="0"/>
        <v>16.68</v>
      </c>
      <c r="I34" s="28">
        <f t="shared" si="0"/>
        <v>0.52000000000000002</v>
      </c>
      <c r="J34" s="28">
        <f t="shared" si="0"/>
        <v>0.14999999999999999</v>
      </c>
      <c r="K34" s="28">
        <f t="shared" si="0"/>
        <v>16.32</v>
      </c>
      <c r="L34" s="28">
        <f t="shared" si="0"/>
        <v>18.09</v>
      </c>
      <c r="M34" s="28">
        <f t="shared" si="0"/>
        <v>19.460000000000001</v>
      </c>
      <c r="N34" s="28">
        <f t="shared" si="0"/>
        <v>4.0999999999999996</v>
      </c>
      <c r="O34" s="28">
        <f t="shared" si="0"/>
        <v>0</v>
      </c>
      <c r="P34" s="28">
        <f t="shared" si="0"/>
        <v>0.34000000000000002</v>
      </c>
      <c r="Q34" s="28">
        <f t="shared" si="0"/>
        <v>32.409999999999997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69.950000000000003</v>
      </c>
      <c r="C35" s="29">
        <f t="shared" si="1"/>
        <v>84.400000000000006</v>
      </c>
      <c r="D35" s="29">
        <f t="shared" si="1"/>
        <v>101.48999999999999</v>
      </c>
      <c r="E35" s="29">
        <f t="shared" si="1"/>
        <v>25.449999999999999</v>
      </c>
      <c r="F35" s="29">
        <f t="shared" si="1"/>
        <v>20.809999999999999</v>
      </c>
      <c r="G35" s="29">
        <f t="shared" si="1"/>
        <v>179.61000000000001</v>
      </c>
      <c r="H35" s="29">
        <f t="shared" si="1"/>
        <v>48.869999999999997</v>
      </c>
      <c r="I35" s="29">
        <f t="shared" si="1"/>
        <v>0.90000000000000002</v>
      </c>
      <c r="J35" s="29">
        <f t="shared" si="1"/>
        <v>1.5800000000000001</v>
      </c>
      <c r="K35" s="29">
        <f t="shared" si="1"/>
        <v>359.70999999999998</v>
      </c>
      <c r="L35" s="29">
        <f t="shared" si="1"/>
        <v>34.979999999999997</v>
      </c>
      <c r="M35" s="29">
        <f t="shared" si="1"/>
        <v>62.109999999999999</v>
      </c>
      <c r="N35" s="29">
        <f t="shared" si="1"/>
        <v>609.5</v>
      </c>
      <c r="O35" s="29">
        <f t="shared" si="1"/>
        <v>0</v>
      </c>
      <c r="P35" s="29">
        <f t="shared" si="1"/>
        <v>2.1800000000000002</v>
      </c>
      <c r="Q35" s="29">
        <f t="shared" si="1"/>
        <v>38.049999999999997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30.473181818181821</v>
      </c>
      <c r="C36" s="28">
        <f t="shared" si="2"/>
        <v>64.341818181818184</v>
      </c>
      <c r="D36" s="28">
        <f t="shared" si="2"/>
        <v>58.375454545454545</v>
      </c>
      <c r="E36" s="28">
        <f t="shared" si="2"/>
        <v>8.5278571428571421</v>
      </c>
      <c r="F36" s="28">
        <f t="shared" si="2"/>
        <v>6.3313636363636361</v>
      </c>
      <c r="G36" s="28">
        <f t="shared" si="2"/>
        <v>94.150000000000006</v>
      </c>
      <c r="H36" s="28">
        <f t="shared" si="2"/>
        <v>35.06600000000001</v>
      </c>
      <c r="I36" s="28">
        <f t="shared" si="2"/>
        <v>0.6841666666666667</v>
      </c>
      <c r="J36" s="28">
        <f t="shared" si="2"/>
        <v>0.66727272727272724</v>
      </c>
      <c r="K36" s="28">
        <f t="shared" si="2"/>
        <v>277.6581818181819</v>
      </c>
      <c r="L36" s="28">
        <f t="shared" si="2"/>
        <v>25.091363636363635</v>
      </c>
      <c r="M36" s="28">
        <f t="shared" si="2"/>
        <v>41.653181818181821</v>
      </c>
      <c r="N36" s="28">
        <f t="shared" si="2"/>
        <v>159.51363636363635</v>
      </c>
      <c r="O36" s="28">
        <f t="shared" si="2"/>
        <v>0</v>
      </c>
      <c r="P36" s="28">
        <f t="shared" si="2"/>
        <v>1.221363636363636</v>
      </c>
      <c r="Q36" s="28">
        <f t="shared" si="2"/>
        <v>36.104999999999997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16.377000244641476</v>
      </c>
      <c r="C37" s="28">
        <f t="shared" si="3" ref="C37:Q37">STDEV(C9:C32)</f>
        <v>9.9036860075831079</v>
      </c>
      <c r="D37" s="28">
        <f t="shared" si="3"/>
        <v>17.605239947046272</v>
      </c>
      <c r="E37" s="28">
        <f t="shared" si="3"/>
        <v>5.3529131947314132</v>
      </c>
      <c r="F37" s="28">
        <f t="shared" si="3"/>
        <v>4.1726527995127256</v>
      </c>
      <c r="G37" s="28">
        <f t="shared" si="3"/>
        <v>40.794910415264695</v>
      </c>
      <c r="H37" s="28">
        <f t="shared" si="3"/>
        <v>10.283418641063291</v>
      </c>
      <c r="I37" s="28">
        <f t="shared" si="3"/>
        <v>0.14957262348762093</v>
      </c>
      <c r="J37" s="28">
        <f t="shared" si="3"/>
        <v>0.44395604478030215</v>
      </c>
      <c r="K37" s="28">
        <f t="shared" si="3"/>
        <v>115.87383922000848</v>
      </c>
      <c r="L37" s="28">
        <f t="shared" si="3"/>
        <v>5.694491319273526</v>
      </c>
      <c r="M37" s="28">
        <f t="shared" si="3"/>
        <v>13.910727750078218</v>
      </c>
      <c r="N37" s="28">
        <f t="shared" si="3"/>
        <v>231.56184465587785</v>
      </c>
      <c r="O37" s="28">
        <f t="shared" si="3"/>
        <v>0</v>
      </c>
      <c r="P37" s="28">
        <f t="shared" si="3"/>
        <v>0.44715284970094049</v>
      </c>
      <c r="Q37" s="28">
        <f t="shared" si="3"/>
        <v>2.552808910461835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COUNT(E9:E32)+10</f>
        <v>24</v>
      </c>
      <c r="F38" s="32">
        <f>COUNT(F9:F32)+2</f>
        <v>24</v>
      </c>
      <c r="G38" s="32">
        <f>COUNT(G9:G32)+4</f>
        <v>24</v>
      </c>
      <c r="H38" s="32">
        <f>COUNT(H9:H32)+4</f>
        <v>24</v>
      </c>
      <c r="I38" s="32">
        <f>COUNT(I9:I32)+12</f>
        <v>24</v>
      </c>
      <c r="J38" s="32">
        <f t="shared" si="4" ref="J38:P38">COUNT(J9:J32)+2</f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COUNT(Q9:Q32)+20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4b3800-5777-4f87-adc1-c5a14a76ba7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253</v>
      </c>
      <c r="B9" s="53">
        <v>24.35</v>
      </c>
      <c r="C9" s="53">
        <v>56.43</v>
      </c>
      <c r="D9" s="53">
        <v>49.48</v>
      </c>
      <c r="E9" s="63" t="s">
        <v>14</v>
      </c>
      <c r="F9" s="53">
        <v>4.7300000000000004</v>
      </c>
      <c r="G9" s="53">
        <v>63.92</v>
      </c>
      <c r="H9" s="53">
        <v>27.48</v>
      </c>
      <c r="I9" s="53">
        <v>0.72</v>
      </c>
      <c r="J9" s="53">
        <v>0.41</v>
      </c>
      <c r="K9" s="53">
        <v>346.59</v>
      </c>
      <c r="L9" s="53">
        <v>20.010000000000002</v>
      </c>
      <c r="M9" s="53">
        <v>47.39</v>
      </c>
      <c r="N9" s="53">
        <v>4.9000000000000004</v>
      </c>
      <c r="O9" s="53">
        <v>0</v>
      </c>
      <c r="P9" s="53">
        <v>1.1499999999999999</v>
      </c>
      <c r="Q9" s="63" t="s">
        <v>14</v>
      </c>
      <c r="R9" s="45"/>
      <c r="S9" s="45"/>
      <c r="T9" s="45"/>
      <c r="U9" s="45"/>
    </row>
    <row r="10" spans="1:21" s="11" customFormat="1" ht="15">
      <c r="A10" s="52" t="s">
        <v>254</v>
      </c>
      <c r="B10" s="53">
        <v>22.04</v>
      </c>
      <c r="C10" s="53">
        <v>54.44</v>
      </c>
      <c r="D10" s="53">
        <v>46.23</v>
      </c>
      <c r="E10" s="63" t="s">
        <v>14</v>
      </c>
      <c r="F10" s="53">
        <v>4.54</v>
      </c>
      <c r="G10" s="53">
        <v>110.91</v>
      </c>
      <c r="H10" s="53">
        <v>39.549999999999997</v>
      </c>
      <c r="I10" s="53">
        <v>0.70</v>
      </c>
      <c r="J10" s="53">
        <v>0.09</v>
      </c>
      <c r="K10" s="53">
        <v>334.29</v>
      </c>
      <c r="L10" s="53">
        <v>18.75</v>
      </c>
      <c r="M10" s="53">
        <v>47.73</v>
      </c>
      <c r="N10" s="53">
        <v>4.5999999999999996</v>
      </c>
      <c r="O10" s="53">
        <v>0</v>
      </c>
      <c r="P10" s="53">
        <v>1.0900000000000001</v>
      </c>
      <c r="Q10" s="63" t="s">
        <v>14</v>
      </c>
      <c r="R10" s="45"/>
      <c r="S10" s="45"/>
      <c r="T10" s="45"/>
      <c r="U10" s="45"/>
    </row>
    <row r="11" spans="1:21" s="11" customFormat="1" ht="15">
      <c r="A11" s="52" t="s">
        <v>255</v>
      </c>
      <c r="B11" s="53">
        <v>22.10</v>
      </c>
      <c r="C11" s="53">
        <v>52.93</v>
      </c>
      <c r="D11" s="53">
        <v>45.54</v>
      </c>
      <c r="E11" s="63" t="s">
        <v>14</v>
      </c>
      <c r="F11" s="53">
        <v>4.55</v>
      </c>
      <c r="G11" s="53">
        <v>138.91</v>
      </c>
      <c r="H11" s="53">
        <v>50.15</v>
      </c>
      <c r="I11" s="53">
        <v>0.70</v>
      </c>
      <c r="J11" s="53">
        <v>0.06</v>
      </c>
      <c r="K11" s="53">
        <v>341.58</v>
      </c>
      <c r="L11" s="53">
        <v>18.48</v>
      </c>
      <c r="M11" s="53">
        <v>55.60</v>
      </c>
      <c r="N11" s="53">
        <v>4.4000000000000004</v>
      </c>
      <c r="O11" s="53">
        <v>0</v>
      </c>
      <c r="P11" s="53">
        <v>1.1299999999999999</v>
      </c>
      <c r="Q11" s="63" t="s">
        <v>14</v>
      </c>
      <c r="R11" s="45"/>
      <c r="S11" s="45"/>
      <c r="T11" s="45"/>
      <c r="U11" s="45"/>
    </row>
    <row r="12" spans="1:21" s="11" customFormat="1" ht="15">
      <c r="A12" s="52" t="s">
        <v>256</v>
      </c>
      <c r="B12" s="53">
        <v>21.89</v>
      </c>
      <c r="C12" s="53">
        <v>51.81</v>
      </c>
      <c r="D12" s="53">
        <v>44.96</v>
      </c>
      <c r="E12" s="63" t="s">
        <v>14</v>
      </c>
      <c r="F12" s="53">
        <v>4.57</v>
      </c>
      <c r="G12" s="53">
        <v>138.91</v>
      </c>
      <c r="H12" s="53">
        <v>53.95</v>
      </c>
      <c r="I12" s="53">
        <v>0.70</v>
      </c>
      <c r="J12" s="53">
        <v>0.070000000000000007</v>
      </c>
      <c r="K12" s="53">
        <v>278.32</v>
      </c>
      <c r="L12" s="53">
        <v>17.38</v>
      </c>
      <c r="M12" s="53">
        <v>57.95</v>
      </c>
      <c r="N12" s="53">
        <v>4.30</v>
      </c>
      <c r="O12" s="53">
        <v>0</v>
      </c>
      <c r="P12" s="53">
        <v>1.26</v>
      </c>
      <c r="Q12" s="63" t="s">
        <v>14</v>
      </c>
      <c r="R12" s="45"/>
      <c r="S12" s="45"/>
      <c r="T12" s="45"/>
      <c r="U12" s="45"/>
    </row>
    <row r="13" spans="1:21" s="11" customFormat="1" ht="15">
      <c r="A13" s="52" t="s">
        <v>257</v>
      </c>
      <c r="B13" s="53">
        <v>18.96</v>
      </c>
      <c r="C13" s="53">
        <v>52.14</v>
      </c>
      <c r="D13" s="53">
        <v>42.31</v>
      </c>
      <c r="E13" s="63" t="s">
        <v>14</v>
      </c>
      <c r="F13" s="53">
        <v>4.6100000000000003</v>
      </c>
      <c r="G13" s="53">
        <v>125.28</v>
      </c>
      <c r="H13" s="53">
        <v>54.45</v>
      </c>
      <c r="I13" s="53">
        <v>0.68</v>
      </c>
      <c r="J13" s="53">
        <v>0.22</v>
      </c>
      <c r="K13" s="53">
        <v>260.99</v>
      </c>
      <c r="L13" s="53">
        <v>17.920000000000002</v>
      </c>
      <c r="M13" s="53">
        <v>56.27</v>
      </c>
      <c r="N13" s="53">
        <v>4.5</v>
      </c>
      <c r="O13" s="53">
        <v>0</v>
      </c>
      <c r="P13" s="53">
        <v>1.37</v>
      </c>
      <c r="Q13" s="63" t="s">
        <v>14</v>
      </c>
      <c r="R13" s="45"/>
      <c r="S13" s="45"/>
      <c r="T13" s="45"/>
      <c r="U13" s="45"/>
    </row>
    <row r="14" spans="1:21" s="11" customFormat="1" ht="15">
      <c r="A14" s="52" t="s">
        <v>258</v>
      </c>
      <c r="B14" s="53">
        <v>20.56</v>
      </c>
      <c r="C14" s="53">
        <v>52.22</v>
      </c>
      <c r="D14" s="53">
        <v>43.86</v>
      </c>
      <c r="E14" s="63" t="s">
        <v>14</v>
      </c>
      <c r="F14" s="53">
        <v>4.59</v>
      </c>
      <c r="G14" s="53">
        <v>116.43</v>
      </c>
      <c r="H14" s="53">
        <v>60.36</v>
      </c>
      <c r="I14" s="53">
        <v>0.68</v>
      </c>
      <c r="J14" s="53">
        <v>0.22</v>
      </c>
      <c r="K14" s="53">
        <v>288.06</v>
      </c>
      <c r="L14" s="53">
        <v>16.739999999999998</v>
      </c>
      <c r="M14" s="53">
        <v>60.55</v>
      </c>
      <c r="N14" s="53">
        <v>4.5</v>
      </c>
      <c r="O14" s="53">
        <v>0</v>
      </c>
      <c r="P14" s="53">
        <v>1.44</v>
      </c>
      <c r="Q14" s="63" t="s">
        <v>14</v>
      </c>
      <c r="R14" s="45"/>
      <c r="S14" s="45"/>
      <c r="T14" s="45"/>
      <c r="U14" s="45"/>
    </row>
    <row r="15" spans="1:21" s="11" customFormat="1" ht="15">
      <c r="A15" s="52" t="s">
        <v>259</v>
      </c>
      <c r="B15" s="53">
        <v>29.21</v>
      </c>
      <c r="C15" s="53">
        <v>52.68</v>
      </c>
      <c r="D15" s="53">
        <v>51.31</v>
      </c>
      <c r="E15" s="63" t="s">
        <v>14</v>
      </c>
      <c r="F15" s="53">
        <v>4.6399999999999997</v>
      </c>
      <c r="G15" s="53">
        <v>111.96</v>
      </c>
      <c r="H15" s="53">
        <v>60.36</v>
      </c>
      <c r="I15" s="53">
        <v>0.66</v>
      </c>
      <c r="J15" s="53">
        <v>0.16</v>
      </c>
      <c r="K15" s="53">
        <v>355.88</v>
      </c>
      <c r="L15" s="53">
        <v>16.440000000000001</v>
      </c>
      <c r="M15" s="53">
        <v>62.68</v>
      </c>
      <c r="N15" s="53">
        <v>23.90</v>
      </c>
      <c r="O15" s="53">
        <v>0</v>
      </c>
      <c r="P15" s="53">
        <v>1.44</v>
      </c>
      <c r="Q15" s="63" t="s">
        <v>14</v>
      </c>
      <c r="R15" s="45"/>
      <c r="S15" s="45"/>
      <c r="T15" s="45"/>
      <c r="U15" s="45"/>
    </row>
    <row r="16" spans="1:21" s="11" customFormat="1" ht="15">
      <c r="A16" s="52" t="s">
        <v>260</v>
      </c>
      <c r="B16" s="53">
        <v>53.88</v>
      </c>
      <c r="C16" s="53">
        <v>56.54</v>
      </c>
      <c r="D16" s="53">
        <v>73.22</v>
      </c>
      <c r="E16" s="63" t="s">
        <v>14</v>
      </c>
      <c r="F16" s="53">
        <v>4.58</v>
      </c>
      <c r="G16" s="53">
        <v>121.10</v>
      </c>
      <c r="H16" s="53">
        <v>52.57</v>
      </c>
      <c r="I16" s="53">
        <v>0.67</v>
      </c>
      <c r="J16" s="53">
        <v>0.80</v>
      </c>
      <c r="K16" s="53">
        <v>308.30</v>
      </c>
      <c r="L16" s="53">
        <v>21.10</v>
      </c>
      <c r="M16" s="53">
        <v>62.33</v>
      </c>
      <c r="N16" s="53">
        <v>231.5</v>
      </c>
      <c r="O16" s="53">
        <v>0</v>
      </c>
      <c r="P16" s="53">
        <v>1.45</v>
      </c>
      <c r="Q16" s="63" t="s">
        <v>14</v>
      </c>
      <c r="R16" s="45"/>
      <c r="S16" s="45"/>
      <c r="T16" s="45"/>
      <c r="U16" s="45"/>
    </row>
    <row r="17" spans="1:21" s="11" customFormat="1" ht="15">
      <c r="A17" s="52" t="s">
        <v>261</v>
      </c>
      <c r="B17" s="53">
        <v>52.66</v>
      </c>
      <c r="C17" s="53">
        <v>57.17</v>
      </c>
      <c r="D17" s="53">
        <v>72.42</v>
      </c>
      <c r="E17" s="63" t="s">
        <v>14</v>
      </c>
      <c r="F17" s="53">
        <v>4.62</v>
      </c>
      <c r="G17" s="53">
        <v>121.10</v>
      </c>
      <c r="H17" s="53">
        <v>52.57</v>
      </c>
      <c r="I17" s="53">
        <v>0.68</v>
      </c>
      <c r="J17" s="53">
        <v>1.21</v>
      </c>
      <c r="K17" s="53">
        <v>113.19</v>
      </c>
      <c r="L17" s="53">
        <v>23.51</v>
      </c>
      <c r="M17" s="53">
        <v>38.85</v>
      </c>
      <c r="N17" s="53">
        <v>399.10</v>
      </c>
      <c r="O17" s="53">
        <v>0</v>
      </c>
      <c r="P17" s="53">
        <v>1.40</v>
      </c>
      <c r="Q17" s="63" t="s">
        <v>14</v>
      </c>
      <c r="R17" s="45"/>
      <c r="S17" s="45"/>
      <c r="T17" s="45"/>
      <c r="U17" s="45"/>
    </row>
    <row r="18" spans="1:21" s="11" customFormat="1" ht="15">
      <c r="A18" s="52" t="s">
        <v>262</v>
      </c>
      <c r="B18" s="53">
        <v>41.40</v>
      </c>
      <c r="C18" s="53">
        <v>58.32</v>
      </c>
      <c r="D18" s="53">
        <v>63.66</v>
      </c>
      <c r="E18" s="63" t="s">
        <v>14</v>
      </c>
      <c r="F18" s="53">
        <v>4.8499999999999996</v>
      </c>
      <c r="G18" s="53">
        <v>65.790000000000006</v>
      </c>
      <c r="H18" s="53">
        <v>42.98</v>
      </c>
      <c r="I18" s="53">
        <v>0.68</v>
      </c>
      <c r="J18" s="53">
        <v>1.41</v>
      </c>
      <c r="K18" s="53">
        <v>116.14</v>
      </c>
      <c r="L18" s="53">
        <v>25.68</v>
      </c>
      <c r="M18" s="53">
        <v>33.75</v>
      </c>
      <c r="N18" s="53">
        <v>494.40</v>
      </c>
      <c r="O18" s="53">
        <v>0</v>
      </c>
      <c r="P18" s="53">
        <v>1.25</v>
      </c>
      <c r="Q18" s="63" t="s">
        <v>14</v>
      </c>
      <c r="R18" s="45"/>
      <c r="S18" s="45"/>
      <c r="T18" s="45"/>
      <c r="U18" s="45"/>
    </row>
    <row r="19" spans="1:21" s="11" customFormat="1" ht="15">
      <c r="A19" s="52" t="s">
        <v>263</v>
      </c>
      <c r="B19" s="53">
        <v>26.59</v>
      </c>
      <c r="C19" s="53">
        <v>62.72</v>
      </c>
      <c r="D19" s="53">
        <v>52.78</v>
      </c>
      <c r="E19" s="63" t="s">
        <v>14</v>
      </c>
      <c r="F19" s="53">
        <v>5.20</v>
      </c>
      <c r="G19" s="53">
        <v>60.38</v>
      </c>
      <c r="H19" s="53">
        <v>34.020000000000003</v>
      </c>
      <c r="I19" s="53">
        <v>0.69</v>
      </c>
      <c r="J19" s="53">
        <v>1.40</v>
      </c>
      <c r="K19" s="53">
        <v>115.45</v>
      </c>
      <c r="L19" s="53">
        <v>28.14</v>
      </c>
      <c r="M19" s="53">
        <v>29.52</v>
      </c>
      <c r="N19" s="53">
        <v>558.90</v>
      </c>
      <c r="O19" s="53">
        <v>0</v>
      </c>
      <c r="P19" s="53">
        <v>1.06</v>
      </c>
      <c r="Q19" s="53">
        <v>18.190000000000001</v>
      </c>
      <c r="R19" s="45"/>
      <c r="S19" s="45"/>
      <c r="T19" s="45"/>
      <c r="U19" s="45"/>
    </row>
    <row r="20" spans="1:21" s="11" customFormat="1" ht="15">
      <c r="A20" s="52" t="s">
        <v>264</v>
      </c>
      <c r="B20" s="53">
        <v>14.72</v>
      </c>
      <c r="C20" s="53">
        <v>64.099999999999994</v>
      </c>
      <c r="D20" s="53">
        <v>45.78</v>
      </c>
      <c r="E20" s="63" t="s">
        <v>14</v>
      </c>
      <c r="F20" s="53">
        <v>7.5</v>
      </c>
      <c r="G20" s="53">
        <v>51.49</v>
      </c>
      <c r="H20" s="53">
        <v>30.64</v>
      </c>
      <c r="I20" s="53">
        <v>0.63</v>
      </c>
      <c r="J20" s="53">
        <v>1</v>
      </c>
      <c r="K20" s="53">
        <v>91.08</v>
      </c>
      <c r="L20" s="53">
        <v>31.81</v>
      </c>
      <c r="M20" s="53">
        <v>24.04</v>
      </c>
      <c r="N20" s="53">
        <v>623.60</v>
      </c>
      <c r="O20" s="53">
        <v>0</v>
      </c>
      <c r="P20" s="53">
        <v>0.88</v>
      </c>
      <c r="Q20" s="53">
        <v>15</v>
      </c>
      <c r="R20" s="45"/>
      <c r="S20" s="45"/>
      <c r="T20" s="45"/>
      <c r="U20" s="45"/>
    </row>
    <row r="21" spans="1:21" s="11" customFormat="1" ht="15">
      <c r="A21" s="52" t="s">
        <v>265</v>
      </c>
      <c r="B21" s="53">
        <v>10.70</v>
      </c>
      <c r="C21" s="53">
        <v>65.099999999999994</v>
      </c>
      <c r="D21" s="53">
        <v>43.32</v>
      </c>
      <c r="E21" s="63" t="s">
        <v>14</v>
      </c>
      <c r="F21" s="53">
        <v>7.63</v>
      </c>
      <c r="G21" s="53">
        <v>47.36</v>
      </c>
      <c r="H21" s="53">
        <v>25.16</v>
      </c>
      <c r="I21" s="53">
        <v>0.61</v>
      </c>
      <c r="J21" s="53">
        <v>1.01</v>
      </c>
      <c r="K21" s="53">
        <v>152.13</v>
      </c>
      <c r="L21" s="53">
        <v>33.119999999999997</v>
      </c>
      <c r="M21" s="53">
        <v>20.260000000000002</v>
      </c>
      <c r="N21" s="53">
        <v>635.40</v>
      </c>
      <c r="O21" s="53">
        <v>0</v>
      </c>
      <c r="P21" s="53">
        <v>0.80</v>
      </c>
      <c r="Q21" s="53">
        <v>13.26</v>
      </c>
      <c r="R21" s="45"/>
      <c r="S21" s="45"/>
      <c r="T21" s="45"/>
      <c r="U21" s="45"/>
    </row>
    <row r="22" spans="1:21" s="11" customFormat="1" ht="15">
      <c r="A22" s="52" t="s">
        <v>266</v>
      </c>
      <c r="B22" s="53">
        <v>6.72</v>
      </c>
      <c r="C22" s="53">
        <v>61.44</v>
      </c>
      <c r="D22" s="53">
        <v>38.11</v>
      </c>
      <c r="E22" s="63" t="s">
        <v>14</v>
      </c>
      <c r="F22" s="53">
        <v>8.18</v>
      </c>
      <c r="G22" s="53">
        <v>47.36</v>
      </c>
      <c r="H22" s="53">
        <v>22.56</v>
      </c>
      <c r="I22" s="53">
        <v>0.62</v>
      </c>
      <c r="J22" s="53">
        <v>0.89</v>
      </c>
      <c r="K22" s="53">
        <v>156.62</v>
      </c>
      <c r="L22" s="53">
        <v>32.200000000000003</v>
      </c>
      <c r="M22" s="53">
        <v>19.489999999999998</v>
      </c>
      <c r="N22" s="53">
        <v>567.20000000000005</v>
      </c>
      <c r="O22" s="53">
        <v>0</v>
      </c>
      <c r="P22" s="53">
        <v>0.71</v>
      </c>
      <c r="Q22" s="53">
        <v>14.09</v>
      </c>
      <c r="R22" s="45"/>
      <c r="S22" s="45"/>
      <c r="T22" s="45"/>
      <c r="U22" s="45"/>
    </row>
    <row r="23" spans="1:21" s="11" customFormat="1" ht="15">
      <c r="A23" s="52" t="s">
        <v>267</v>
      </c>
      <c r="B23" s="53">
        <v>3.75</v>
      </c>
      <c r="C23" s="53">
        <v>58.94</v>
      </c>
      <c r="D23" s="53">
        <v>34.229999999999997</v>
      </c>
      <c r="E23" s="53">
        <v>8.36</v>
      </c>
      <c r="F23" s="53">
        <v>12.35</v>
      </c>
      <c r="G23" s="53">
        <v>44.60</v>
      </c>
      <c r="H23" s="53">
        <v>22.56</v>
      </c>
      <c r="I23" s="63" t="s">
        <v>14</v>
      </c>
      <c r="J23" s="53">
        <v>0.53</v>
      </c>
      <c r="K23" s="53">
        <v>355.33</v>
      </c>
      <c r="L23" s="53">
        <v>34.25</v>
      </c>
      <c r="M23" s="53">
        <v>17.16</v>
      </c>
      <c r="N23" s="53">
        <v>464.20</v>
      </c>
      <c r="O23" s="53">
        <v>0</v>
      </c>
      <c r="P23" s="53">
        <v>0.66</v>
      </c>
      <c r="Q23" s="53">
        <v>12.53</v>
      </c>
      <c r="R23" s="45"/>
      <c r="S23" s="45"/>
      <c r="T23" s="45"/>
      <c r="U23" s="45"/>
    </row>
    <row r="24" spans="1:21" s="11" customFormat="1" ht="15">
      <c r="A24" s="52" t="s">
        <v>268</v>
      </c>
      <c r="B24" s="53">
        <v>6.03</v>
      </c>
      <c r="C24" s="53">
        <v>60.36</v>
      </c>
      <c r="D24" s="53">
        <v>36.26</v>
      </c>
      <c r="E24" s="53">
        <v>15.73</v>
      </c>
      <c r="F24" s="53">
        <v>19.03</v>
      </c>
      <c r="G24" s="53">
        <v>46.95</v>
      </c>
      <c r="H24" s="53">
        <v>22.74</v>
      </c>
      <c r="I24" s="63" t="s">
        <v>14</v>
      </c>
      <c r="J24" s="53">
        <v>0.55000000000000004</v>
      </c>
      <c r="K24" s="53">
        <v>341.61</v>
      </c>
      <c r="L24" s="53">
        <v>33.24</v>
      </c>
      <c r="M24" s="53">
        <v>15.67</v>
      </c>
      <c r="N24" s="53">
        <v>353.20</v>
      </c>
      <c r="O24" s="53">
        <v>0</v>
      </c>
      <c r="P24" s="53">
        <v>0.65</v>
      </c>
      <c r="Q24" s="53">
        <v>12.82</v>
      </c>
      <c r="R24" s="45"/>
      <c r="S24" s="45"/>
      <c r="T24" s="45"/>
      <c r="U24" s="45"/>
    </row>
    <row r="25" spans="1:21" s="11" customFormat="1" ht="15">
      <c r="A25" s="52" t="s">
        <v>269</v>
      </c>
      <c r="B25" s="53">
        <v>4.76</v>
      </c>
      <c r="C25" s="53">
        <v>57.07</v>
      </c>
      <c r="D25" s="53">
        <v>33.39</v>
      </c>
      <c r="E25" s="53">
        <v>16.690000000000001</v>
      </c>
      <c r="F25" s="53">
        <v>21.41</v>
      </c>
      <c r="G25" s="53">
        <v>46.95</v>
      </c>
      <c r="H25" s="53">
        <v>22.74</v>
      </c>
      <c r="I25" s="63" t="s">
        <v>14</v>
      </c>
      <c r="J25" s="53">
        <v>0.51</v>
      </c>
      <c r="K25" s="53">
        <v>327.64</v>
      </c>
      <c r="L25" s="53">
        <v>31.26</v>
      </c>
      <c r="M25" s="53">
        <v>17.93</v>
      </c>
      <c r="N25" s="53">
        <v>116.10</v>
      </c>
      <c r="O25" s="53">
        <v>0</v>
      </c>
      <c r="P25" s="53">
        <v>0.63</v>
      </c>
      <c r="Q25" s="53">
        <v>15.81</v>
      </c>
      <c r="R25" s="45"/>
      <c r="S25" s="45"/>
      <c r="T25" s="45"/>
      <c r="U25" s="45"/>
    </row>
    <row r="26" spans="1:21" s="11" customFormat="1" ht="15">
      <c r="A26" s="52" t="s">
        <v>270</v>
      </c>
      <c r="B26" s="53">
        <v>3.52</v>
      </c>
      <c r="C26" s="53">
        <v>58.40</v>
      </c>
      <c r="D26" s="53">
        <v>33.56</v>
      </c>
      <c r="E26" s="53">
        <v>8.2899999999999991</v>
      </c>
      <c r="F26" s="53">
        <v>10.37</v>
      </c>
      <c r="G26" s="53">
        <v>50.98</v>
      </c>
      <c r="H26" s="53">
        <v>21.73</v>
      </c>
      <c r="I26" s="63" t="s">
        <v>14</v>
      </c>
      <c r="J26" s="53">
        <v>0.39</v>
      </c>
      <c r="K26" s="53">
        <v>247.81</v>
      </c>
      <c r="L26" s="53">
        <v>29.06</v>
      </c>
      <c r="M26" s="53">
        <v>24.68</v>
      </c>
      <c r="N26" s="53">
        <v>31.40</v>
      </c>
      <c r="O26" s="53">
        <v>0</v>
      </c>
      <c r="P26" s="53">
        <v>0.62</v>
      </c>
      <c r="Q26" s="53">
        <v>16.079999999999998</v>
      </c>
      <c r="R26" s="45"/>
      <c r="S26" s="45"/>
      <c r="T26" s="45"/>
      <c r="U26" s="45"/>
    </row>
    <row r="27" spans="1:21" s="11" customFormat="1" ht="15">
      <c r="A27" s="52" t="s">
        <v>271</v>
      </c>
      <c r="B27" s="53">
        <v>38.94</v>
      </c>
      <c r="C27" s="53">
        <v>82.11</v>
      </c>
      <c r="D27" s="53">
        <v>75.349999999999994</v>
      </c>
      <c r="E27" s="53">
        <v>8.82</v>
      </c>
      <c r="F27" s="53">
        <v>5.99</v>
      </c>
      <c r="G27" s="53">
        <v>127.78</v>
      </c>
      <c r="H27" s="53">
        <v>28.11</v>
      </c>
      <c r="I27" s="53">
        <v>0.68</v>
      </c>
      <c r="J27" s="53">
        <v>0.26</v>
      </c>
      <c r="K27" s="53">
        <v>307.49</v>
      </c>
      <c r="L27" s="53">
        <v>25.43</v>
      </c>
      <c r="M27" s="53">
        <v>39.700000000000003</v>
      </c>
      <c r="N27" s="53">
        <v>5</v>
      </c>
      <c r="O27" s="53">
        <v>0</v>
      </c>
      <c r="P27" s="53">
        <v>1.1299999999999999</v>
      </c>
      <c r="Q27" s="53">
        <v>19.97</v>
      </c>
      <c r="R27" s="45"/>
      <c r="S27" s="45"/>
      <c r="T27" s="45"/>
      <c r="U27" s="45"/>
    </row>
    <row r="28" spans="1:21" s="11" customFormat="1" ht="15">
      <c r="A28" s="52" t="s">
        <v>272</v>
      </c>
      <c r="B28" s="53">
        <v>66.239999999999995</v>
      </c>
      <c r="C28" s="53">
        <v>79.31</v>
      </c>
      <c r="D28" s="53">
        <v>95.70</v>
      </c>
      <c r="E28" s="53">
        <v>8.75</v>
      </c>
      <c r="F28" s="53">
        <v>4.5999999999999996</v>
      </c>
      <c r="G28" s="53">
        <v>183.73</v>
      </c>
      <c r="H28" s="53">
        <v>47.65</v>
      </c>
      <c r="I28" s="53">
        <v>0.89</v>
      </c>
      <c r="J28" s="53">
        <v>0.14000000000000001</v>
      </c>
      <c r="K28" s="53">
        <v>96.40</v>
      </c>
      <c r="L28" s="53">
        <v>23.18</v>
      </c>
      <c r="M28" s="53">
        <v>51.68</v>
      </c>
      <c r="N28" s="53">
        <v>4.5</v>
      </c>
      <c r="O28" s="53">
        <v>0</v>
      </c>
      <c r="P28" s="53">
        <v>1.70</v>
      </c>
      <c r="Q28" s="53">
        <v>22.42</v>
      </c>
      <c r="R28" s="45"/>
      <c r="S28" s="45"/>
      <c r="T28" s="45"/>
      <c r="U28" s="45"/>
    </row>
    <row r="29" spans="1:21" s="11" customFormat="1" ht="15">
      <c r="A29" s="52" t="s">
        <v>273</v>
      </c>
      <c r="B29" s="53">
        <v>86.90</v>
      </c>
      <c r="C29" s="53">
        <v>76.319999999999993</v>
      </c>
      <c r="D29" s="53">
        <v>109.98</v>
      </c>
      <c r="E29" s="53">
        <v>8.39</v>
      </c>
      <c r="F29" s="53">
        <v>4.5999999999999996</v>
      </c>
      <c r="G29" s="53">
        <v>248.86</v>
      </c>
      <c r="H29" s="53">
        <v>67.260000000000005</v>
      </c>
      <c r="I29" s="53">
        <v>1.1200000000000001</v>
      </c>
      <c r="J29" s="53">
        <v>0.10</v>
      </c>
      <c r="K29" s="53">
        <v>344.65</v>
      </c>
      <c r="L29" s="53">
        <v>22.13</v>
      </c>
      <c r="M29" s="53">
        <v>52.63</v>
      </c>
      <c r="N29" s="53">
        <v>4.0999999999999996</v>
      </c>
      <c r="O29" s="53">
        <v>0</v>
      </c>
      <c r="P29" s="53">
        <v>2.39</v>
      </c>
      <c r="Q29" s="53">
        <v>27.27</v>
      </c>
      <c r="R29" s="45"/>
      <c r="S29" s="45"/>
      <c r="T29" s="45"/>
      <c r="U29" s="45"/>
    </row>
    <row r="30" spans="1:21" s="11" customFormat="1" ht="15">
      <c r="A30" s="52" t="s">
        <v>274</v>
      </c>
      <c r="B30" s="53">
        <v>150.99</v>
      </c>
      <c r="C30" s="53">
        <v>78.69</v>
      </c>
      <c r="D30" s="53">
        <v>163.33000000000001</v>
      </c>
      <c r="E30" s="53">
        <v>9.33</v>
      </c>
      <c r="F30" s="53">
        <v>4.58</v>
      </c>
      <c r="G30" s="53">
        <v>248.86</v>
      </c>
      <c r="H30" s="53">
        <v>77.89</v>
      </c>
      <c r="I30" s="53">
        <v>1.49</v>
      </c>
      <c r="J30" s="53">
        <v>0.10</v>
      </c>
      <c r="K30" s="53">
        <v>306.69</v>
      </c>
      <c r="L30" s="53">
        <v>21.58</v>
      </c>
      <c r="M30" s="53">
        <v>54.38</v>
      </c>
      <c r="N30" s="53">
        <v>4.5</v>
      </c>
      <c r="O30" s="53">
        <v>0</v>
      </c>
      <c r="P30" s="53">
        <v>3.39</v>
      </c>
      <c r="Q30" s="53">
        <v>30.14</v>
      </c>
      <c r="R30" s="45"/>
      <c r="S30" s="45"/>
      <c r="T30" s="45"/>
      <c r="U30" s="45"/>
    </row>
    <row r="31" spans="1:21" s="11" customFormat="1" ht="15">
      <c r="A31" s="52" t="s">
        <v>275</v>
      </c>
      <c r="B31" s="53">
        <v>184.23</v>
      </c>
      <c r="C31" s="53">
        <v>80.39</v>
      </c>
      <c r="D31" s="53">
        <v>190.51</v>
      </c>
      <c r="E31" s="53">
        <v>9.56</v>
      </c>
      <c r="F31" s="53">
        <v>4.53</v>
      </c>
      <c r="G31" s="53">
        <v>196.12</v>
      </c>
      <c r="H31" s="53">
        <v>80.790000000000006</v>
      </c>
      <c r="I31" s="53">
        <v>1.74</v>
      </c>
      <c r="J31" s="53">
        <v>0.11</v>
      </c>
      <c r="K31" s="53">
        <v>299.14999999999998</v>
      </c>
      <c r="L31" s="53">
        <v>20.260000000000002</v>
      </c>
      <c r="M31" s="53">
        <v>54.75</v>
      </c>
      <c r="N31" s="53">
        <v>4.5</v>
      </c>
      <c r="O31" s="53">
        <v>0</v>
      </c>
      <c r="P31" s="53">
        <v>3.69</v>
      </c>
      <c r="Q31" s="53">
        <v>31.25</v>
      </c>
      <c r="R31" s="45"/>
      <c r="S31" s="45"/>
      <c r="T31" s="45"/>
      <c r="U31" s="45"/>
    </row>
    <row r="32" spans="1:21" s="11" customFormat="1" ht="15">
      <c r="A32" s="52" t="s">
        <v>276</v>
      </c>
      <c r="B32" s="53">
        <v>189.58</v>
      </c>
      <c r="C32" s="53">
        <v>78.98</v>
      </c>
      <c r="D32" s="53">
        <v>192.75</v>
      </c>
      <c r="E32" s="53">
        <v>9.67</v>
      </c>
      <c r="F32" s="53">
        <v>4.58</v>
      </c>
      <c r="G32" s="53">
        <v>196.12</v>
      </c>
      <c r="H32" s="53">
        <v>80.790000000000006</v>
      </c>
      <c r="I32" s="53">
        <v>1.79</v>
      </c>
      <c r="J32" s="53">
        <v>0.10</v>
      </c>
      <c r="K32" s="53">
        <v>334.84</v>
      </c>
      <c r="L32" s="53">
        <v>19.600000000000001</v>
      </c>
      <c r="M32" s="53">
        <v>62.04</v>
      </c>
      <c r="N32" s="53">
        <v>4.4000000000000004</v>
      </c>
      <c r="O32" s="53">
        <v>0</v>
      </c>
      <c r="P32" s="53">
        <v>3.71</v>
      </c>
      <c r="Q32" s="53">
        <v>32.18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3.52</v>
      </c>
      <c r="C34" s="28">
        <f t="shared" si="0"/>
        <v>51.810000000000002</v>
      </c>
      <c r="D34" s="28">
        <f t="shared" si="0"/>
        <v>33.390000000000001</v>
      </c>
      <c r="E34" s="28">
        <f t="shared" si="0"/>
        <v>8.2899999999999991</v>
      </c>
      <c r="F34" s="28">
        <f t="shared" si="0"/>
        <v>4.5300000000000002</v>
      </c>
      <c r="G34" s="28">
        <f t="shared" si="0"/>
        <v>44.600000000000001</v>
      </c>
      <c r="H34" s="28">
        <f t="shared" si="0"/>
        <v>21.73</v>
      </c>
      <c r="I34" s="28">
        <f t="shared" si="0"/>
        <v>0.60999999999999999</v>
      </c>
      <c r="J34" s="28">
        <f t="shared" si="0"/>
        <v>0.059999999999999998</v>
      </c>
      <c r="K34" s="28">
        <f t="shared" si="0"/>
        <v>91.079999999999998</v>
      </c>
      <c r="L34" s="28">
        <f t="shared" si="0"/>
        <v>16.440000000000001</v>
      </c>
      <c r="M34" s="28">
        <f t="shared" si="0"/>
        <v>15.67</v>
      </c>
      <c r="N34" s="28">
        <f t="shared" si="0"/>
        <v>4.0999999999999996</v>
      </c>
      <c r="O34" s="28">
        <f t="shared" si="0"/>
        <v>0</v>
      </c>
      <c r="P34" s="28">
        <f t="shared" si="0"/>
        <v>0.62</v>
      </c>
      <c r="Q34" s="28">
        <f t="shared" si="0"/>
        <v>12.529999999999999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189.58000000000001</v>
      </c>
      <c r="C35" s="29">
        <f t="shared" si="1"/>
        <v>82.109999999999999</v>
      </c>
      <c r="D35" s="29">
        <f t="shared" si="1"/>
        <v>192.75</v>
      </c>
      <c r="E35" s="29">
        <f t="shared" si="1"/>
        <v>16.690000000000001</v>
      </c>
      <c r="F35" s="29">
        <f t="shared" si="1"/>
        <v>21.41</v>
      </c>
      <c r="G35" s="29">
        <f t="shared" si="1"/>
        <v>248.86000000000001</v>
      </c>
      <c r="H35" s="29">
        <f t="shared" si="1"/>
        <v>80.790000000000006</v>
      </c>
      <c r="I35" s="29">
        <f t="shared" si="1"/>
        <v>1.79</v>
      </c>
      <c r="J35" s="29">
        <f t="shared" si="1"/>
        <v>1.4099999999999999</v>
      </c>
      <c r="K35" s="29">
        <f t="shared" si="1"/>
        <v>355.88</v>
      </c>
      <c r="L35" s="29">
        <f t="shared" si="1"/>
        <v>34.25</v>
      </c>
      <c r="M35" s="29">
        <f t="shared" si="1"/>
        <v>62.68</v>
      </c>
      <c r="N35" s="29">
        <f t="shared" si="1"/>
        <v>635.39999999999998</v>
      </c>
      <c r="O35" s="29">
        <f t="shared" si="1"/>
        <v>0</v>
      </c>
      <c r="P35" s="29">
        <f t="shared" si="1"/>
        <v>3.71</v>
      </c>
      <c r="Q35" s="29">
        <f t="shared" si="1"/>
        <v>32.18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45.863333333333337</v>
      </c>
      <c r="C36" s="28">
        <f t="shared" si="2"/>
        <v>62.858750000000015</v>
      </c>
      <c r="D36" s="28">
        <f t="shared" si="2"/>
        <v>69.918333333333337</v>
      </c>
      <c r="E36" s="28">
        <f t="shared" si="2"/>
        <v>10.359</v>
      </c>
      <c r="F36" s="28">
        <f t="shared" si="2"/>
        <v>6.9512500000000008</v>
      </c>
      <c r="G36" s="28">
        <f t="shared" si="2"/>
        <v>112.99374999999999</v>
      </c>
      <c r="H36" s="28">
        <f t="shared" si="2"/>
        <v>44.960833333333333</v>
      </c>
      <c r="I36" s="28">
        <f t="shared" si="2"/>
        <v>0.85649999999999993</v>
      </c>
      <c r="J36" s="28">
        <f t="shared" si="2"/>
        <v>0.48916666666666669</v>
      </c>
      <c r="K36" s="28">
        <f t="shared" si="2"/>
        <v>259.17624999999992</v>
      </c>
      <c r="L36" s="28">
        <f t="shared" si="2"/>
        <v>24.219583333333336</v>
      </c>
      <c r="M36" s="28">
        <f t="shared" si="2"/>
        <v>41.95958333333332</v>
      </c>
      <c r="N36" s="28">
        <f t="shared" si="2"/>
        <v>189.71249999999998</v>
      </c>
      <c r="O36" s="28">
        <f t="shared" si="2"/>
        <v>0</v>
      </c>
      <c r="P36" s="28">
        <f t="shared" si="2"/>
        <v>1.4583333333333333</v>
      </c>
      <c r="Q36" s="28">
        <f t="shared" si="2"/>
        <v>20.072142857142861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54.33104410577058</v>
      </c>
      <c r="C37" s="28">
        <f t="shared" si="3" ref="C37:Q37">STDEV(C9:C32)</f>
        <v>10.386745865472578</v>
      </c>
      <c r="D37" s="28">
        <f t="shared" si="3"/>
        <v>47.709806909715319</v>
      </c>
      <c r="E37" s="28">
        <f t="shared" si="3"/>
        <v>3.130713266263069</v>
      </c>
      <c r="F37" s="28">
        <f t="shared" si="3"/>
        <v>4.5885939046443331</v>
      </c>
      <c r="G37" s="28">
        <f t="shared" si="3"/>
        <v>64.151402832097844</v>
      </c>
      <c r="H37" s="28">
        <f t="shared" si="3"/>
        <v>19.576501423160757</v>
      </c>
      <c r="I37" s="28">
        <f t="shared" si="3"/>
        <v>0.37281680276115858</v>
      </c>
      <c r="J37" s="28">
        <f t="shared" si="3"/>
        <v>0.44495155248405538</v>
      </c>
      <c r="K37" s="28">
        <f t="shared" si="3"/>
        <v>96.070158458262483</v>
      </c>
      <c r="L37" s="28">
        <f t="shared" si="3"/>
        <v>5.9623452339163983</v>
      </c>
      <c r="M37" s="28">
        <f t="shared" si="3"/>
        <v>16.868544556985821</v>
      </c>
      <c r="N37" s="28">
        <f t="shared" si="3"/>
        <v>244.57001364862163</v>
      </c>
      <c r="O37" s="28">
        <f t="shared" si="3"/>
        <v>0</v>
      </c>
      <c r="P37" s="28">
        <f t="shared" si="3"/>
        <v>0.91877359971661809</v>
      </c>
      <c r="Q37" s="28">
        <f t="shared" si="3"/>
        <v>7.2604271738825812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>COUNT(E9:E32)+14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COUNT(Q9:Q32)+10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320ce3-0df3-41c3-a099-4a88c4a5a8e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277</v>
      </c>
      <c r="B9" s="53">
        <v>190.69</v>
      </c>
      <c r="C9" s="53">
        <v>73.86</v>
      </c>
      <c r="D9" s="53">
        <v>192.49</v>
      </c>
      <c r="E9" s="53">
        <v>8.36</v>
      </c>
      <c r="F9" s="53">
        <v>4.54</v>
      </c>
      <c r="G9" s="53">
        <v>181.62</v>
      </c>
      <c r="H9" s="53">
        <v>77.87</v>
      </c>
      <c r="I9" s="53">
        <v>1.81</v>
      </c>
      <c r="J9" s="53">
        <v>0.14000000000000001</v>
      </c>
      <c r="K9" s="53">
        <v>351.30</v>
      </c>
      <c r="L9" s="53">
        <v>18.78</v>
      </c>
      <c r="M9" s="53">
        <v>65.31</v>
      </c>
      <c r="N9" s="53">
        <v>4.4000000000000004</v>
      </c>
      <c r="O9" s="53">
        <v>0</v>
      </c>
      <c r="P9" s="53">
        <v>3.68</v>
      </c>
      <c r="Q9" s="53">
        <v>32.83</v>
      </c>
      <c r="R9" s="45"/>
      <c r="S9" s="45"/>
      <c r="T9" s="45"/>
      <c r="U9" s="45"/>
    </row>
    <row r="10" spans="1:21" s="11" customFormat="1" ht="15">
      <c r="A10" s="52" t="s">
        <v>278</v>
      </c>
      <c r="B10" s="53">
        <v>186.06</v>
      </c>
      <c r="C10" s="53">
        <v>71.22</v>
      </c>
      <c r="D10" s="53">
        <v>187.32</v>
      </c>
      <c r="E10" s="53">
        <v>8.39</v>
      </c>
      <c r="F10" s="53">
        <v>4.51</v>
      </c>
      <c r="G10" s="53">
        <v>180.90</v>
      </c>
      <c r="H10" s="53">
        <v>72.989999999999995</v>
      </c>
      <c r="I10" s="53">
        <v>1.79</v>
      </c>
      <c r="J10" s="53">
        <v>0.17</v>
      </c>
      <c r="K10" s="53">
        <v>292.26</v>
      </c>
      <c r="L10" s="53">
        <v>18.260000000000002</v>
      </c>
      <c r="M10" s="53">
        <v>64.5</v>
      </c>
      <c r="N10" s="53">
        <v>4.30</v>
      </c>
      <c r="O10" s="53">
        <v>0</v>
      </c>
      <c r="P10" s="53">
        <v>3.31</v>
      </c>
      <c r="Q10" s="53">
        <v>31.98</v>
      </c>
      <c r="R10" s="45"/>
      <c r="S10" s="45"/>
      <c r="T10" s="45"/>
      <c r="U10" s="45"/>
    </row>
    <row r="11" spans="1:21" s="11" customFormat="1" ht="15">
      <c r="A11" s="52" t="s">
        <v>279</v>
      </c>
      <c r="B11" s="53">
        <v>152.93</v>
      </c>
      <c r="C11" s="53">
        <v>67.86</v>
      </c>
      <c r="D11" s="53">
        <v>158.90</v>
      </c>
      <c r="E11" s="53">
        <v>8.0299999999999994</v>
      </c>
      <c r="F11" s="53">
        <v>4.55</v>
      </c>
      <c r="G11" s="53">
        <v>153.11000000000001</v>
      </c>
      <c r="H11" s="53">
        <v>67.92</v>
      </c>
      <c r="I11" s="53">
        <v>1.67</v>
      </c>
      <c r="J11" s="53">
        <v>0.12</v>
      </c>
      <c r="K11" s="53">
        <v>285.29000000000002</v>
      </c>
      <c r="L11" s="53">
        <v>17.91</v>
      </c>
      <c r="M11" s="53">
        <v>69.22</v>
      </c>
      <c r="N11" s="53">
        <v>4.5</v>
      </c>
      <c r="O11" s="53">
        <v>0</v>
      </c>
      <c r="P11" s="53">
        <v>2.89</v>
      </c>
      <c r="Q11" s="53">
        <v>28.76</v>
      </c>
      <c r="R11" s="45"/>
      <c r="S11" s="45"/>
      <c r="T11" s="45"/>
      <c r="U11" s="45"/>
    </row>
    <row r="12" spans="1:21" s="11" customFormat="1" ht="15">
      <c r="A12" s="52" t="s">
        <v>280</v>
      </c>
      <c r="B12" s="53">
        <v>122.26</v>
      </c>
      <c r="C12" s="53">
        <v>62</v>
      </c>
      <c r="D12" s="53">
        <v>131.07</v>
      </c>
      <c r="E12" s="53">
        <v>7.95</v>
      </c>
      <c r="F12" s="53">
        <v>4.5</v>
      </c>
      <c r="G12" s="53">
        <v>99.21</v>
      </c>
      <c r="H12" s="53">
        <v>57.76</v>
      </c>
      <c r="I12" s="53">
        <v>1.49</v>
      </c>
      <c r="J12" s="53">
        <v>0.16</v>
      </c>
      <c r="K12" s="53">
        <v>336.56</v>
      </c>
      <c r="L12" s="53">
        <v>17.29</v>
      </c>
      <c r="M12" s="53">
        <v>78.959999999999994</v>
      </c>
      <c r="N12" s="53">
        <v>4.20</v>
      </c>
      <c r="O12" s="53">
        <v>0</v>
      </c>
      <c r="P12" s="53">
        <v>2.4500000000000002</v>
      </c>
      <c r="Q12" s="53">
        <v>26.77</v>
      </c>
      <c r="R12" s="45"/>
      <c r="S12" s="45"/>
      <c r="T12" s="45"/>
      <c r="U12" s="45"/>
    </row>
    <row r="13" spans="1:21" s="11" customFormat="1" ht="15">
      <c r="A13" s="52" t="s">
        <v>281</v>
      </c>
      <c r="B13" s="53">
        <v>94.11</v>
      </c>
      <c r="C13" s="53">
        <v>58.38</v>
      </c>
      <c r="D13" s="53">
        <v>106.5</v>
      </c>
      <c r="E13" s="53">
        <v>6.18</v>
      </c>
      <c r="F13" s="53">
        <v>4.51</v>
      </c>
      <c r="G13" s="53">
        <v>79.67</v>
      </c>
      <c r="H13" s="53">
        <v>51.74</v>
      </c>
      <c r="I13" s="53">
        <v>1.32</v>
      </c>
      <c r="J13" s="53">
        <v>0.17</v>
      </c>
      <c r="K13" s="53">
        <v>322.20</v>
      </c>
      <c r="L13" s="53">
        <v>16.37</v>
      </c>
      <c r="M13" s="53">
        <v>75.819999999999993</v>
      </c>
      <c r="N13" s="53">
        <v>4.20</v>
      </c>
      <c r="O13" s="53">
        <v>0</v>
      </c>
      <c r="P13" s="53">
        <v>2.04</v>
      </c>
      <c r="Q13" s="53">
        <v>25.80</v>
      </c>
      <c r="R13" s="45"/>
      <c r="S13" s="45"/>
      <c r="T13" s="45"/>
      <c r="U13" s="45"/>
    </row>
    <row r="14" spans="1:21" s="11" customFormat="1" ht="15">
      <c r="A14" s="52" t="s">
        <v>282</v>
      </c>
      <c r="B14" s="53">
        <v>70.72</v>
      </c>
      <c r="C14" s="53">
        <v>58.25</v>
      </c>
      <c r="D14" s="53">
        <v>87.64</v>
      </c>
      <c r="E14" s="53">
        <v>6.04</v>
      </c>
      <c r="F14" s="53">
        <v>4.5199999999999996</v>
      </c>
      <c r="G14" s="53">
        <v>71.430000000000007</v>
      </c>
      <c r="H14" s="53">
        <v>37.92</v>
      </c>
      <c r="I14" s="53">
        <v>1.02</v>
      </c>
      <c r="J14" s="53">
        <v>0.16</v>
      </c>
      <c r="K14" s="53">
        <v>279.02999999999997</v>
      </c>
      <c r="L14" s="53">
        <v>16.149999999999999</v>
      </c>
      <c r="M14" s="53">
        <v>83.68</v>
      </c>
      <c r="N14" s="53">
        <v>4.4000000000000004</v>
      </c>
      <c r="O14" s="53">
        <v>0</v>
      </c>
      <c r="P14" s="53">
        <v>1.69</v>
      </c>
      <c r="Q14" s="53">
        <v>23.79</v>
      </c>
      <c r="R14" s="45"/>
      <c r="S14" s="45"/>
      <c r="T14" s="45"/>
      <c r="U14" s="45"/>
    </row>
    <row r="15" spans="1:21" s="11" customFormat="1" ht="15">
      <c r="A15" s="52" t="s">
        <v>283</v>
      </c>
      <c r="B15" s="53">
        <v>57.17</v>
      </c>
      <c r="C15" s="53">
        <v>57.41</v>
      </c>
      <c r="D15" s="53">
        <v>76.09</v>
      </c>
      <c r="E15" s="53">
        <v>6.02</v>
      </c>
      <c r="F15" s="53">
        <v>4.5199999999999996</v>
      </c>
      <c r="G15" s="53">
        <v>82.03</v>
      </c>
      <c r="H15" s="53">
        <v>36.799999999999997</v>
      </c>
      <c r="I15" s="53">
        <v>0.89</v>
      </c>
      <c r="J15" s="53">
        <v>0.25</v>
      </c>
      <c r="K15" s="53">
        <v>262.31</v>
      </c>
      <c r="L15" s="53">
        <v>16.34</v>
      </c>
      <c r="M15" s="53">
        <v>80.88</v>
      </c>
      <c r="N15" s="53">
        <v>23</v>
      </c>
      <c r="O15" s="53">
        <v>0</v>
      </c>
      <c r="P15" s="53">
        <v>1.5</v>
      </c>
      <c r="Q15" s="53">
        <v>21.80</v>
      </c>
      <c r="R15" s="45"/>
      <c r="S15" s="45"/>
      <c r="T15" s="45"/>
      <c r="U15" s="45"/>
    </row>
    <row r="16" spans="1:21" s="11" customFormat="1" ht="15">
      <c r="A16" s="52" t="s">
        <v>284</v>
      </c>
      <c r="B16" s="53">
        <v>53.71</v>
      </c>
      <c r="C16" s="53">
        <v>61.26</v>
      </c>
      <c r="D16" s="53">
        <v>74.05</v>
      </c>
      <c r="E16" s="53">
        <v>6.25</v>
      </c>
      <c r="F16" s="53">
        <v>4.53</v>
      </c>
      <c r="G16" s="53">
        <v>82.03</v>
      </c>
      <c r="H16" s="53">
        <v>37.61</v>
      </c>
      <c r="I16" s="53">
        <v>0.83</v>
      </c>
      <c r="J16" s="53">
        <v>0.55000000000000004</v>
      </c>
      <c r="K16" s="53">
        <v>223</v>
      </c>
      <c r="L16" s="53">
        <v>20.92</v>
      </c>
      <c r="M16" s="53">
        <v>70.45</v>
      </c>
      <c r="N16" s="53">
        <v>233.70</v>
      </c>
      <c r="O16" s="53">
        <v>0</v>
      </c>
      <c r="P16" s="53">
        <v>1.47</v>
      </c>
      <c r="Q16" s="53">
        <v>22.34</v>
      </c>
      <c r="R16" s="45"/>
      <c r="S16" s="45"/>
      <c r="T16" s="45"/>
      <c r="U16" s="45"/>
    </row>
    <row r="17" spans="1:21" s="11" customFormat="1" ht="15">
      <c r="A17" s="52" t="s">
        <v>285</v>
      </c>
      <c r="B17" s="53">
        <v>45.13</v>
      </c>
      <c r="C17" s="53">
        <v>64.72</v>
      </c>
      <c r="D17" s="53">
        <v>69.209999999999994</v>
      </c>
      <c r="E17" s="53">
        <v>5.84</v>
      </c>
      <c r="F17" s="53">
        <v>4.5</v>
      </c>
      <c r="G17" s="53">
        <v>63.41</v>
      </c>
      <c r="H17" s="53">
        <v>37.61</v>
      </c>
      <c r="I17" s="53">
        <v>0.76</v>
      </c>
      <c r="J17" s="53">
        <v>1.1200000000000001</v>
      </c>
      <c r="K17" s="53">
        <v>190.27</v>
      </c>
      <c r="L17" s="53">
        <v>23.95</v>
      </c>
      <c r="M17" s="53">
        <v>55.58</v>
      </c>
      <c r="N17" s="53">
        <v>393.90</v>
      </c>
      <c r="O17" s="53">
        <v>0</v>
      </c>
      <c r="P17" s="53">
        <v>1.40</v>
      </c>
      <c r="Q17" s="53">
        <v>21.99</v>
      </c>
      <c r="R17" s="45"/>
      <c r="S17" s="45"/>
      <c r="T17" s="45"/>
      <c r="U17" s="45"/>
    </row>
    <row r="18" spans="1:21" s="11" customFormat="1" ht="15">
      <c r="A18" s="52" t="s">
        <v>286</v>
      </c>
      <c r="B18" s="53">
        <v>29.45</v>
      </c>
      <c r="C18" s="53">
        <v>69.12</v>
      </c>
      <c r="D18" s="53">
        <v>58.83</v>
      </c>
      <c r="E18" s="53">
        <v>5.77</v>
      </c>
      <c r="F18" s="53">
        <v>4.63</v>
      </c>
      <c r="G18" s="53">
        <v>64.040000000000006</v>
      </c>
      <c r="H18" s="53">
        <v>33.92</v>
      </c>
      <c r="I18" s="53">
        <v>0.72</v>
      </c>
      <c r="J18" s="53">
        <v>0.35</v>
      </c>
      <c r="K18" s="53">
        <v>157.52000000000001</v>
      </c>
      <c r="L18" s="53">
        <v>30.81</v>
      </c>
      <c r="M18" s="53">
        <v>42.01</v>
      </c>
      <c r="N18" s="53">
        <v>488.70</v>
      </c>
      <c r="O18" s="53">
        <v>0</v>
      </c>
      <c r="P18" s="53">
        <v>1.28</v>
      </c>
      <c r="Q18" s="53">
        <v>20.41</v>
      </c>
      <c r="R18" s="45"/>
      <c r="S18" s="45"/>
      <c r="T18" s="45"/>
      <c r="U18" s="45"/>
    </row>
    <row r="19" spans="1:21" s="11" customFormat="1" ht="15">
      <c r="A19" s="52" t="s">
        <v>287</v>
      </c>
      <c r="B19" s="53">
        <v>20.80</v>
      </c>
      <c r="C19" s="53">
        <v>68.87</v>
      </c>
      <c r="D19" s="53">
        <v>52.97</v>
      </c>
      <c r="E19" s="53">
        <v>6.67</v>
      </c>
      <c r="F19" s="53">
        <v>20.16</v>
      </c>
      <c r="G19" s="53">
        <v>64.040000000000006</v>
      </c>
      <c r="H19" s="53">
        <v>33.92</v>
      </c>
      <c r="I19" s="53">
        <v>0.70</v>
      </c>
      <c r="J19" s="53">
        <v>0.67</v>
      </c>
      <c r="K19" s="53">
        <v>106.91</v>
      </c>
      <c r="L19" s="53">
        <v>32.590000000000003</v>
      </c>
      <c r="M19" s="53">
        <v>25.88</v>
      </c>
      <c r="N19" s="53">
        <v>549.70000000000005</v>
      </c>
      <c r="O19" s="53">
        <v>0</v>
      </c>
      <c r="P19" s="53">
        <v>1.21</v>
      </c>
      <c r="Q19" s="53">
        <v>15.28</v>
      </c>
      <c r="R19" s="45"/>
      <c r="S19" s="45"/>
      <c r="T19" s="45"/>
      <c r="U19" s="45"/>
    </row>
    <row r="20" spans="1:21" s="11" customFormat="1" ht="15">
      <c r="A20" s="52" t="s">
        <v>288</v>
      </c>
      <c r="B20" s="63" t="s">
        <v>14</v>
      </c>
      <c r="C20" s="63" t="s">
        <v>14</v>
      </c>
      <c r="D20" s="63" t="s">
        <v>14</v>
      </c>
      <c r="E20" s="53">
        <v>4.5</v>
      </c>
      <c r="F20" s="53">
        <v>17.29</v>
      </c>
      <c r="G20" s="53">
        <v>56.44</v>
      </c>
      <c r="H20" s="53">
        <v>29.99</v>
      </c>
      <c r="I20" s="53">
        <v>0.56999999999999995</v>
      </c>
      <c r="J20" s="53">
        <v>0.51</v>
      </c>
      <c r="K20" s="53">
        <v>91.43</v>
      </c>
      <c r="L20" s="53">
        <v>33.83</v>
      </c>
      <c r="M20" s="53">
        <v>22.66</v>
      </c>
      <c r="N20" s="53">
        <v>603.60</v>
      </c>
      <c r="O20" s="53">
        <v>0</v>
      </c>
      <c r="P20" s="53">
        <v>1.1200000000000001</v>
      </c>
      <c r="Q20" s="53">
        <v>17.43</v>
      </c>
      <c r="R20" s="45"/>
      <c r="S20" s="45"/>
      <c r="T20" s="45"/>
      <c r="U20" s="45"/>
    </row>
    <row r="21" spans="1:21" s="11" customFormat="1" ht="15">
      <c r="A21" s="52" t="s">
        <v>289</v>
      </c>
      <c r="B21" s="53">
        <v>0.82</v>
      </c>
      <c r="C21" s="53">
        <v>70.58</v>
      </c>
      <c r="D21" s="53">
        <v>39.32</v>
      </c>
      <c r="E21" s="53">
        <v>5.79</v>
      </c>
      <c r="F21" s="53">
        <v>20.23</v>
      </c>
      <c r="G21" s="53">
        <v>43.87</v>
      </c>
      <c r="H21" s="53">
        <v>29.99</v>
      </c>
      <c r="I21" s="53">
        <v>0.56000000000000005</v>
      </c>
      <c r="J21" s="53">
        <v>0.60</v>
      </c>
      <c r="K21" s="53">
        <v>352.36</v>
      </c>
      <c r="L21" s="53">
        <v>36.29</v>
      </c>
      <c r="M21" s="53">
        <v>19.079999999999998</v>
      </c>
      <c r="N21" s="53">
        <v>617</v>
      </c>
      <c r="O21" s="53">
        <v>0</v>
      </c>
      <c r="P21" s="53">
        <v>0.95</v>
      </c>
      <c r="Q21" s="53">
        <v>17.45</v>
      </c>
      <c r="R21" s="45"/>
      <c r="S21" s="45"/>
      <c r="T21" s="45"/>
      <c r="U21" s="45"/>
    </row>
    <row r="22" spans="1:21" s="11" customFormat="1" ht="15">
      <c r="A22" s="52" t="s">
        <v>290</v>
      </c>
      <c r="B22" s="53">
        <v>2.4900000000000002</v>
      </c>
      <c r="C22" s="53">
        <v>62.25</v>
      </c>
      <c r="D22" s="53">
        <v>36.03</v>
      </c>
      <c r="E22" s="53">
        <v>6.23</v>
      </c>
      <c r="F22" s="53">
        <v>23.91</v>
      </c>
      <c r="G22" s="53">
        <v>41.75</v>
      </c>
      <c r="H22" s="53">
        <v>24.66</v>
      </c>
      <c r="I22" s="53">
        <v>0.56999999999999995</v>
      </c>
      <c r="J22" s="53">
        <v>0.97</v>
      </c>
      <c r="K22" s="53">
        <v>350.13</v>
      </c>
      <c r="L22" s="53">
        <v>36.89</v>
      </c>
      <c r="M22" s="53">
        <v>14.64</v>
      </c>
      <c r="N22" s="53">
        <v>559.90</v>
      </c>
      <c r="O22" s="53">
        <v>0</v>
      </c>
      <c r="P22" s="53">
        <v>0.63</v>
      </c>
      <c r="Q22" s="53">
        <v>6.11</v>
      </c>
      <c r="R22" s="45"/>
      <c r="S22" s="45"/>
      <c r="T22" s="45"/>
      <c r="U22" s="45"/>
    </row>
    <row r="23" spans="1:21" s="11" customFormat="1" ht="15">
      <c r="A23" s="52" t="s">
        <v>291</v>
      </c>
      <c r="B23" s="53">
        <v>3.33</v>
      </c>
      <c r="C23" s="53">
        <v>62.20</v>
      </c>
      <c r="D23" s="53">
        <v>37</v>
      </c>
      <c r="E23" s="53">
        <v>6.29</v>
      </c>
      <c r="F23" s="53">
        <v>10.24</v>
      </c>
      <c r="G23" s="53">
        <v>40.94</v>
      </c>
      <c r="H23" s="53">
        <v>22.35</v>
      </c>
      <c r="I23" s="53">
        <v>0.54</v>
      </c>
      <c r="J23" s="53">
        <v>1.08</v>
      </c>
      <c r="K23" s="53">
        <v>355.45</v>
      </c>
      <c r="L23" s="53">
        <v>36.96</v>
      </c>
      <c r="M23" s="53">
        <v>13.63</v>
      </c>
      <c r="N23" s="53">
        <v>472.60</v>
      </c>
      <c r="O23" s="53">
        <v>0</v>
      </c>
      <c r="P23" s="53">
        <v>0.61</v>
      </c>
      <c r="Q23" s="53">
        <v>14.84</v>
      </c>
      <c r="R23" s="45"/>
      <c r="S23" s="45"/>
      <c r="T23" s="45"/>
      <c r="U23" s="45"/>
    </row>
    <row r="24" spans="1:21" s="11" customFormat="1" ht="15">
      <c r="A24" s="52" t="s">
        <v>292</v>
      </c>
      <c r="B24" s="53">
        <v>3.75</v>
      </c>
      <c r="C24" s="53">
        <v>62.52</v>
      </c>
      <c r="D24" s="53">
        <v>36.85</v>
      </c>
      <c r="E24" s="53">
        <v>5.23</v>
      </c>
      <c r="F24" s="53">
        <v>12.53</v>
      </c>
      <c r="G24" s="53">
        <v>40.94</v>
      </c>
      <c r="H24" s="53">
        <v>22.35</v>
      </c>
      <c r="I24" s="53">
        <v>0.52</v>
      </c>
      <c r="J24" s="53">
        <v>0.90</v>
      </c>
      <c r="K24" s="53">
        <v>355.75</v>
      </c>
      <c r="L24" s="53">
        <v>36.40</v>
      </c>
      <c r="M24" s="53">
        <v>14.23</v>
      </c>
      <c r="N24" s="53">
        <v>407.10</v>
      </c>
      <c r="O24" s="53">
        <v>0</v>
      </c>
      <c r="P24" s="53">
        <v>0.56000000000000005</v>
      </c>
      <c r="Q24" s="53">
        <v>15.48</v>
      </c>
      <c r="R24" s="45"/>
      <c r="S24" s="45"/>
      <c r="T24" s="45"/>
      <c r="U24" s="45"/>
    </row>
    <row r="25" spans="1:21" s="11" customFormat="1" ht="15">
      <c r="A25" s="52" t="s">
        <v>293</v>
      </c>
      <c r="B25" s="53">
        <v>8.1199999999999992</v>
      </c>
      <c r="C25" s="53">
        <v>65.22</v>
      </c>
      <c r="D25" s="53">
        <v>41.54</v>
      </c>
      <c r="E25" s="53">
        <v>6.10</v>
      </c>
      <c r="F25" s="53">
        <v>15.92</v>
      </c>
      <c r="G25" s="53">
        <v>33.75</v>
      </c>
      <c r="H25" s="53">
        <v>16.54</v>
      </c>
      <c r="I25" s="53">
        <v>0.53</v>
      </c>
      <c r="J25" s="53">
        <v>1.22</v>
      </c>
      <c r="K25" s="53">
        <v>357.45</v>
      </c>
      <c r="L25" s="53">
        <v>33.659999999999997</v>
      </c>
      <c r="M25" s="53">
        <v>16.25</v>
      </c>
      <c r="N25" s="53">
        <v>114.40</v>
      </c>
      <c r="O25" s="53">
        <v>0</v>
      </c>
      <c r="P25" s="53">
        <v>0.65</v>
      </c>
      <c r="Q25" s="53">
        <v>16.239999999999998</v>
      </c>
      <c r="R25" s="45"/>
      <c r="S25" s="45"/>
      <c r="T25" s="45"/>
      <c r="U25" s="45"/>
    </row>
    <row r="26" spans="1:21" s="11" customFormat="1" ht="15">
      <c r="A26" s="52" t="s">
        <v>294</v>
      </c>
      <c r="B26" s="53">
        <v>23.37</v>
      </c>
      <c r="C26" s="53">
        <v>100.96</v>
      </c>
      <c r="D26" s="53">
        <v>73.03</v>
      </c>
      <c r="E26" s="53">
        <v>9.02</v>
      </c>
      <c r="F26" s="53">
        <v>16.71</v>
      </c>
      <c r="G26" s="53">
        <v>40.840000000000003</v>
      </c>
      <c r="H26" s="53">
        <v>14.91</v>
      </c>
      <c r="I26" s="53">
        <v>0.54</v>
      </c>
      <c r="J26" s="53">
        <v>0.35</v>
      </c>
      <c r="K26" s="53">
        <v>354.72</v>
      </c>
      <c r="L26" s="53">
        <v>30.77</v>
      </c>
      <c r="M26" s="53">
        <v>23.47</v>
      </c>
      <c r="N26" s="53">
        <v>29.10</v>
      </c>
      <c r="O26" s="53">
        <v>0</v>
      </c>
      <c r="P26" s="53">
        <v>1</v>
      </c>
      <c r="Q26" s="53">
        <v>16.11</v>
      </c>
      <c r="R26" s="45"/>
      <c r="S26" s="45"/>
      <c r="T26" s="45"/>
      <c r="U26" s="45"/>
    </row>
    <row r="27" spans="1:21" s="11" customFormat="1" ht="15">
      <c r="A27" s="52" t="s">
        <v>295</v>
      </c>
      <c r="B27" s="53">
        <v>49.73</v>
      </c>
      <c r="C27" s="53">
        <v>114.18</v>
      </c>
      <c r="D27" s="53">
        <v>102.89</v>
      </c>
      <c r="E27" s="53">
        <v>4.0999999999999996</v>
      </c>
      <c r="F27" s="53">
        <v>4.97</v>
      </c>
      <c r="G27" s="53">
        <v>111.76</v>
      </c>
      <c r="H27" s="53">
        <v>24.10</v>
      </c>
      <c r="I27" s="53">
        <v>0.63</v>
      </c>
      <c r="J27" s="53">
        <v>0.23</v>
      </c>
      <c r="K27" s="53">
        <v>136.49</v>
      </c>
      <c r="L27" s="53">
        <v>26.63</v>
      </c>
      <c r="M27" s="53">
        <v>34.840000000000003</v>
      </c>
      <c r="N27" s="53">
        <v>5.20</v>
      </c>
      <c r="O27" s="53">
        <v>0</v>
      </c>
      <c r="P27" s="53">
        <v>1.07</v>
      </c>
      <c r="Q27" s="53">
        <v>22.5</v>
      </c>
      <c r="R27" s="45"/>
      <c r="S27" s="45"/>
      <c r="T27" s="45"/>
      <c r="U27" s="45"/>
    </row>
    <row r="28" spans="1:21" s="11" customFormat="1" ht="15">
      <c r="A28" s="52" t="s">
        <v>296</v>
      </c>
      <c r="B28" s="53">
        <v>108.56</v>
      </c>
      <c r="C28" s="53">
        <v>147.62</v>
      </c>
      <c r="D28" s="53">
        <v>168.53</v>
      </c>
      <c r="E28" s="53">
        <v>5.08</v>
      </c>
      <c r="F28" s="53">
        <v>4.5199999999999996</v>
      </c>
      <c r="G28" s="53">
        <v>177.05</v>
      </c>
      <c r="H28" s="53">
        <v>40.28</v>
      </c>
      <c r="I28" s="53">
        <v>0.83</v>
      </c>
      <c r="J28" s="53">
        <v>0.18</v>
      </c>
      <c r="K28" s="53">
        <v>324.20</v>
      </c>
      <c r="L28" s="53">
        <v>24.67</v>
      </c>
      <c r="M28" s="53">
        <v>47.39</v>
      </c>
      <c r="N28" s="53">
        <v>4.4000000000000004</v>
      </c>
      <c r="O28" s="53">
        <v>0</v>
      </c>
      <c r="P28" s="53">
        <v>2.08</v>
      </c>
      <c r="Q28" s="53">
        <v>25.72</v>
      </c>
      <c r="R28" s="45"/>
      <c r="S28" s="45"/>
      <c r="T28" s="45"/>
      <c r="U28" s="45"/>
    </row>
    <row r="29" spans="1:21" s="11" customFormat="1" ht="15">
      <c r="A29" s="52" t="s">
        <v>297</v>
      </c>
      <c r="B29" s="53">
        <v>112.98</v>
      </c>
      <c r="C29" s="53">
        <v>148.86000000000001</v>
      </c>
      <c r="D29" s="53">
        <v>172.75</v>
      </c>
      <c r="E29" s="53">
        <v>7.30</v>
      </c>
      <c r="F29" s="53">
        <v>4.63</v>
      </c>
      <c r="G29" s="53">
        <v>246.12</v>
      </c>
      <c r="H29" s="53">
        <v>58.82</v>
      </c>
      <c r="I29" s="53">
        <v>1.1599999999999999</v>
      </c>
      <c r="J29" s="53">
        <v>0.33</v>
      </c>
      <c r="K29" s="53">
        <v>331.03</v>
      </c>
      <c r="L29" s="53">
        <v>23.91</v>
      </c>
      <c r="M29" s="53">
        <v>48.86</v>
      </c>
      <c r="N29" s="53">
        <v>4.4000000000000004</v>
      </c>
      <c r="O29" s="53">
        <v>0</v>
      </c>
      <c r="P29" s="53">
        <v>2.17</v>
      </c>
      <c r="Q29" s="53">
        <v>30.99</v>
      </c>
      <c r="R29" s="45"/>
      <c r="S29" s="45"/>
      <c r="T29" s="45"/>
      <c r="U29" s="45"/>
    </row>
    <row r="30" spans="1:21" s="11" customFormat="1" ht="15">
      <c r="A30" s="52" t="s">
        <v>298</v>
      </c>
      <c r="B30" s="53">
        <v>102.54</v>
      </c>
      <c r="C30" s="53">
        <v>135.63999999999999</v>
      </c>
      <c r="D30" s="53">
        <v>157.09</v>
      </c>
      <c r="E30" s="53">
        <v>6.55</v>
      </c>
      <c r="F30" s="53">
        <v>4.6100000000000003</v>
      </c>
      <c r="G30" s="53">
        <v>246.12</v>
      </c>
      <c r="H30" s="53">
        <v>58.82</v>
      </c>
      <c r="I30" s="53">
        <v>1.19</v>
      </c>
      <c r="J30" s="53">
        <v>0.17</v>
      </c>
      <c r="K30" s="53">
        <v>339.73</v>
      </c>
      <c r="L30" s="53">
        <v>23.37</v>
      </c>
      <c r="M30" s="53">
        <v>47.21</v>
      </c>
      <c r="N30" s="53">
        <v>4.5</v>
      </c>
      <c r="O30" s="53">
        <v>0</v>
      </c>
      <c r="P30" s="53">
        <v>2.19</v>
      </c>
      <c r="Q30" s="53">
        <v>33.700000000000003</v>
      </c>
      <c r="R30" s="45"/>
      <c r="S30" s="45"/>
      <c r="T30" s="45"/>
      <c r="U30" s="45"/>
    </row>
    <row r="31" spans="1:21" s="11" customFormat="1" ht="15">
      <c r="A31" s="52" t="s">
        <v>299</v>
      </c>
      <c r="B31" s="53">
        <v>108.40</v>
      </c>
      <c r="C31" s="53">
        <v>139.82</v>
      </c>
      <c r="D31" s="53">
        <v>164.02</v>
      </c>
      <c r="E31" s="53">
        <v>6.70</v>
      </c>
      <c r="F31" s="53">
        <v>4.57</v>
      </c>
      <c r="G31" s="53">
        <v>162.41</v>
      </c>
      <c r="H31" s="53">
        <v>53.80</v>
      </c>
      <c r="I31" s="53">
        <v>1.22</v>
      </c>
      <c r="J31" s="53">
        <v>0.13</v>
      </c>
      <c r="K31" s="53">
        <v>342.57</v>
      </c>
      <c r="L31" s="53">
        <v>21.72</v>
      </c>
      <c r="M31" s="53">
        <v>48.46</v>
      </c>
      <c r="N31" s="53">
        <v>4.5</v>
      </c>
      <c r="O31" s="53">
        <v>0</v>
      </c>
      <c r="P31" s="53">
        <v>2.38</v>
      </c>
      <c r="Q31" s="53">
        <v>35.33</v>
      </c>
      <c r="R31" s="45"/>
      <c r="S31" s="45"/>
      <c r="T31" s="45"/>
      <c r="U31" s="45"/>
    </row>
    <row r="32" spans="1:21" s="11" customFormat="1" ht="15">
      <c r="A32" s="52" t="s">
        <v>300</v>
      </c>
      <c r="B32" s="53">
        <v>105.04</v>
      </c>
      <c r="C32" s="53">
        <v>138.44</v>
      </c>
      <c r="D32" s="53">
        <v>160.63</v>
      </c>
      <c r="E32" s="53">
        <v>6.30</v>
      </c>
      <c r="F32" s="53">
        <v>4.58</v>
      </c>
      <c r="G32" s="53">
        <v>162.41</v>
      </c>
      <c r="H32" s="53">
        <v>53.71</v>
      </c>
      <c r="I32" s="53">
        <v>1.23</v>
      </c>
      <c r="J32" s="53">
        <v>0.19</v>
      </c>
      <c r="K32" s="53">
        <v>351.57</v>
      </c>
      <c r="L32" s="53">
        <v>20.81</v>
      </c>
      <c r="M32" s="53">
        <v>48.82</v>
      </c>
      <c r="N32" s="53">
        <v>4.5</v>
      </c>
      <c r="O32" s="53">
        <v>0</v>
      </c>
      <c r="P32" s="53">
        <v>2.33</v>
      </c>
      <c r="Q32" s="53">
        <v>35.32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0.81999999999999995</v>
      </c>
      <c r="C34" s="28">
        <f t="shared" si="0"/>
        <v>57.409999999999997</v>
      </c>
      <c r="D34" s="28">
        <f t="shared" si="0"/>
        <v>36.030000000000001</v>
      </c>
      <c r="E34" s="28">
        <f t="shared" si="0"/>
        <v>4.0999999999999996</v>
      </c>
      <c r="F34" s="28">
        <f t="shared" si="0"/>
        <v>4.5</v>
      </c>
      <c r="G34" s="28">
        <f t="shared" si="0"/>
        <v>33.75</v>
      </c>
      <c r="H34" s="28">
        <f t="shared" si="0"/>
        <v>14.91</v>
      </c>
      <c r="I34" s="28">
        <f t="shared" si="0"/>
        <v>0.52000000000000002</v>
      </c>
      <c r="J34" s="28">
        <f t="shared" si="0"/>
        <v>0.12</v>
      </c>
      <c r="K34" s="28">
        <f t="shared" si="0"/>
        <v>91.430000000000007</v>
      </c>
      <c r="L34" s="28">
        <f t="shared" si="0"/>
        <v>16.149999999999999</v>
      </c>
      <c r="M34" s="28">
        <f t="shared" si="0"/>
        <v>13.630000000000001</v>
      </c>
      <c r="N34" s="28">
        <f t="shared" si="0"/>
        <v>4.2000000000000002</v>
      </c>
      <c r="O34" s="28">
        <f t="shared" si="0"/>
        <v>0</v>
      </c>
      <c r="P34" s="28">
        <f t="shared" si="0"/>
        <v>0.56000000000000005</v>
      </c>
      <c r="Q34" s="28">
        <f t="shared" si="0"/>
        <v>6.1100000000000003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190.69</v>
      </c>
      <c r="C35" s="29">
        <f t="shared" si="1"/>
        <v>148.86000000000001</v>
      </c>
      <c r="D35" s="29">
        <f t="shared" si="1"/>
        <v>192.49000000000001</v>
      </c>
      <c r="E35" s="29">
        <f t="shared" si="1"/>
        <v>9.0199999999999996</v>
      </c>
      <c r="F35" s="29">
        <f t="shared" si="1"/>
        <v>23.91</v>
      </c>
      <c r="G35" s="29">
        <f t="shared" si="1"/>
        <v>246.12</v>
      </c>
      <c r="H35" s="29">
        <f t="shared" si="1"/>
        <v>77.870000000000005</v>
      </c>
      <c r="I35" s="29">
        <f t="shared" si="1"/>
        <v>1.8100000000000001</v>
      </c>
      <c r="J35" s="29">
        <f t="shared" si="1"/>
        <v>1.22</v>
      </c>
      <c r="K35" s="29">
        <f t="shared" si="1"/>
        <v>357.44999999999999</v>
      </c>
      <c r="L35" s="29">
        <f t="shared" si="1"/>
        <v>36.960000000000001</v>
      </c>
      <c r="M35" s="29">
        <f t="shared" si="1"/>
        <v>83.680000000000007</v>
      </c>
      <c r="N35" s="29">
        <f t="shared" si="1"/>
        <v>617</v>
      </c>
      <c r="O35" s="29">
        <f t="shared" si="1"/>
        <v>0</v>
      </c>
      <c r="P35" s="29">
        <f t="shared" si="1"/>
        <v>3.6800000000000002</v>
      </c>
      <c r="Q35" s="29">
        <f t="shared" si="1"/>
        <v>35.329999999999998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71.833043478260862</v>
      </c>
      <c r="C36" s="28">
        <f t="shared" si="2"/>
        <v>85.271304347826089</v>
      </c>
      <c r="D36" s="28">
        <f t="shared" si="2"/>
        <v>103.68478260869566</v>
      </c>
      <c r="E36" s="28">
        <f t="shared" si="2"/>
        <v>6.4454166666666675</v>
      </c>
      <c r="F36" s="28">
        <f t="shared" si="2"/>
        <v>8.7575000000000003</v>
      </c>
      <c r="G36" s="28">
        <f t="shared" si="2"/>
        <v>105.24541666666664</v>
      </c>
      <c r="H36" s="28">
        <f t="shared" si="2"/>
        <v>41.51583333333334</v>
      </c>
      <c r="I36" s="28">
        <f t="shared" si="2"/>
        <v>0.96208333333333329</v>
      </c>
      <c r="J36" s="28">
        <f t="shared" si="2"/>
        <v>0.44666666666666671</v>
      </c>
      <c r="K36" s="28">
        <f t="shared" si="2"/>
        <v>285.39708333333328</v>
      </c>
      <c r="L36" s="28">
        <f t="shared" si="2"/>
        <v>25.63666666666666</v>
      </c>
      <c r="M36" s="28">
        <f t="shared" si="2"/>
        <v>46.326250000000009</v>
      </c>
      <c r="N36" s="28">
        <f t="shared" si="2"/>
        <v>189.42499999999995</v>
      </c>
      <c r="O36" s="28">
        <f t="shared" si="2"/>
        <v>0</v>
      </c>
      <c r="P36" s="28">
        <f t="shared" si="2"/>
        <v>1.6941666666666666</v>
      </c>
      <c r="Q36" s="28">
        <f t="shared" si="2"/>
        <v>23.290416666666669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58.367802957918407</v>
      </c>
      <c r="C37" s="28">
        <f t="shared" si="3" ref="C37:Q37">STDEV(C9:C32)</f>
        <v>33.358015433713817</v>
      </c>
      <c r="D37" s="28">
        <f t="shared" si="3"/>
        <v>55.392637914959998</v>
      </c>
      <c r="E37" s="28">
        <f t="shared" si="3"/>
        <v>1.2203206248917604</v>
      </c>
      <c r="F37" s="28">
        <f t="shared" si="3"/>
        <v>6.5114709818769887</v>
      </c>
      <c r="G37" s="28">
        <f t="shared" si="3"/>
        <v>66.28050582179317</v>
      </c>
      <c r="H37" s="28">
        <f t="shared" si="3"/>
        <v>17.910822309349768</v>
      </c>
      <c r="I37" s="28">
        <f t="shared" si="3"/>
        <v>0.42072379834370338</v>
      </c>
      <c r="J37" s="28">
        <f t="shared" si="3"/>
        <v>0.3593432011766523</v>
      </c>
      <c r="K37" s="28">
        <f t="shared" si="3"/>
        <v>86.628030531300354</v>
      </c>
      <c r="L37" s="28">
        <f t="shared" si="3"/>
        <v>7.471768702003037</v>
      </c>
      <c r="M37" s="28">
        <f t="shared" si="3"/>
        <v>23.615465053094169</v>
      </c>
      <c r="N37" s="28">
        <f t="shared" si="3"/>
        <v>242.44231093279652</v>
      </c>
      <c r="O37" s="28">
        <f t="shared" si="3"/>
        <v>0</v>
      </c>
      <c r="P37" s="28">
        <f t="shared" si="3"/>
        <v>0.86454268718844363</v>
      </c>
      <c r="Q37" s="28">
        <f t="shared" si="3"/>
        <v>7.6712248776312393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 t="shared" si="4" ref="E38:Q38">COUNT(E9:E32)</f>
        <v>24</v>
      </c>
      <c r="F38" s="32">
        <f t="shared" si="4"/>
        <v>24</v>
      </c>
      <c r="G38" s="32">
        <f t="shared" si="4"/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e52613-c787-41f4-9c7e-4ae9b09431f8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301</v>
      </c>
      <c r="B9" s="53">
        <v>96.08</v>
      </c>
      <c r="C9" s="53">
        <v>131.40</v>
      </c>
      <c r="D9" s="53">
        <v>149.56</v>
      </c>
      <c r="E9" s="53">
        <v>6.91</v>
      </c>
      <c r="F9" s="53">
        <v>4.6100000000000003</v>
      </c>
      <c r="G9" s="53">
        <v>120.51</v>
      </c>
      <c r="H9" s="53">
        <v>51.34</v>
      </c>
      <c r="I9" s="53">
        <v>1.17</v>
      </c>
      <c r="J9" s="53">
        <v>0.13</v>
      </c>
      <c r="K9" s="53">
        <v>347.15</v>
      </c>
      <c r="L9" s="53">
        <v>19.95</v>
      </c>
      <c r="M9" s="53">
        <v>55.54</v>
      </c>
      <c r="N9" s="53">
        <v>4.5</v>
      </c>
      <c r="O9" s="53">
        <v>0</v>
      </c>
      <c r="P9" s="53">
        <v>2.2200000000000002</v>
      </c>
      <c r="Q9" s="53">
        <v>34.76</v>
      </c>
      <c r="R9" s="45"/>
      <c r="S9" s="45"/>
      <c r="T9" s="45"/>
      <c r="U9" s="45"/>
    </row>
    <row r="10" spans="1:21" s="11" customFormat="1" ht="15">
      <c r="A10" s="52" t="s">
        <v>302</v>
      </c>
      <c r="B10" s="53">
        <v>82.03</v>
      </c>
      <c r="C10" s="53">
        <v>120.5</v>
      </c>
      <c r="D10" s="53">
        <v>132.29</v>
      </c>
      <c r="E10" s="53">
        <v>6.73</v>
      </c>
      <c r="F10" s="53">
        <v>4.5199999999999996</v>
      </c>
      <c r="G10" s="53">
        <v>77.31</v>
      </c>
      <c r="H10" s="53">
        <v>42.22</v>
      </c>
      <c r="I10" s="53">
        <v>1.1299999999999999</v>
      </c>
      <c r="J10" s="53">
        <v>0.16</v>
      </c>
      <c r="K10" s="53">
        <v>318.08999999999997</v>
      </c>
      <c r="L10" s="53">
        <v>20.79</v>
      </c>
      <c r="M10" s="53">
        <v>60.29</v>
      </c>
      <c r="N10" s="53">
        <v>4.30</v>
      </c>
      <c r="O10" s="53">
        <v>0</v>
      </c>
      <c r="P10" s="53">
        <v>1.89</v>
      </c>
      <c r="Q10" s="53">
        <v>34.94</v>
      </c>
      <c r="R10" s="45"/>
      <c r="S10" s="45"/>
      <c r="T10" s="45"/>
      <c r="U10" s="45"/>
    </row>
    <row r="11" spans="1:21" s="11" customFormat="1" ht="15">
      <c r="A11" s="52" t="s">
        <v>303</v>
      </c>
      <c r="B11" s="53">
        <v>61.76</v>
      </c>
      <c r="C11" s="53">
        <v>105.93</v>
      </c>
      <c r="D11" s="53">
        <v>107.98</v>
      </c>
      <c r="E11" s="53">
        <v>6.16</v>
      </c>
      <c r="F11" s="53">
        <v>4.57</v>
      </c>
      <c r="G11" s="53">
        <v>77.31</v>
      </c>
      <c r="H11" s="53">
        <v>39.35</v>
      </c>
      <c r="I11" s="53">
        <v>0.97</v>
      </c>
      <c r="J11" s="53">
        <v>0.17</v>
      </c>
      <c r="K11" s="53">
        <v>342.28</v>
      </c>
      <c r="L11" s="53">
        <v>19.309999999999999</v>
      </c>
      <c r="M11" s="53">
        <v>61.44</v>
      </c>
      <c r="N11" s="53">
        <v>4.4000000000000004</v>
      </c>
      <c r="O11" s="53">
        <v>0</v>
      </c>
      <c r="P11" s="53">
        <v>1.68</v>
      </c>
      <c r="Q11" s="53">
        <v>34.049999999999997</v>
      </c>
      <c r="R11" s="45"/>
      <c r="S11" s="45"/>
      <c r="T11" s="45"/>
      <c r="U11" s="45"/>
    </row>
    <row r="12" spans="1:21" s="11" customFormat="1" ht="15">
      <c r="A12" s="52" t="s">
        <v>304</v>
      </c>
      <c r="B12" s="53">
        <v>44.23</v>
      </c>
      <c r="C12" s="53">
        <v>95.78</v>
      </c>
      <c r="D12" s="53">
        <v>88.33</v>
      </c>
      <c r="E12" s="53">
        <v>6.32</v>
      </c>
      <c r="F12" s="53">
        <v>4.51</v>
      </c>
      <c r="G12" s="53">
        <v>62.18</v>
      </c>
      <c r="H12" s="53">
        <v>31.57</v>
      </c>
      <c r="I12" s="53">
        <v>0.81</v>
      </c>
      <c r="J12" s="53">
        <v>0.09</v>
      </c>
      <c r="K12" s="53">
        <v>341.35</v>
      </c>
      <c r="L12" s="53">
        <v>18.78</v>
      </c>
      <c r="M12" s="53">
        <v>56.19</v>
      </c>
      <c r="N12" s="53">
        <v>4.5999999999999996</v>
      </c>
      <c r="O12" s="53">
        <v>0</v>
      </c>
      <c r="P12" s="53">
        <v>1.41</v>
      </c>
      <c r="Q12" s="53">
        <v>32.08</v>
      </c>
      <c r="R12" s="45"/>
      <c r="S12" s="45"/>
      <c r="T12" s="45"/>
      <c r="U12" s="45"/>
    </row>
    <row r="13" spans="1:21" s="11" customFormat="1" ht="15">
      <c r="A13" s="52" t="s">
        <v>305</v>
      </c>
      <c r="B13" s="53">
        <v>36.19</v>
      </c>
      <c r="C13" s="53">
        <v>91.30</v>
      </c>
      <c r="D13" s="53">
        <v>79.41</v>
      </c>
      <c r="E13" s="53">
        <v>5.95</v>
      </c>
      <c r="F13" s="53">
        <v>4.55</v>
      </c>
      <c r="G13" s="53">
        <v>62.18</v>
      </c>
      <c r="H13" s="53">
        <v>28.79</v>
      </c>
      <c r="I13" s="53">
        <v>0.77</v>
      </c>
      <c r="J13" s="53">
        <v>0.23</v>
      </c>
      <c r="K13" s="53">
        <v>288.64999999999998</v>
      </c>
      <c r="L13" s="53">
        <v>19.010000000000002</v>
      </c>
      <c r="M13" s="53">
        <v>55.57</v>
      </c>
      <c r="N13" s="53">
        <v>4.0999999999999996</v>
      </c>
      <c r="O13" s="53">
        <v>0</v>
      </c>
      <c r="P13" s="53">
        <v>1.23</v>
      </c>
      <c r="Q13" s="53">
        <v>31.62</v>
      </c>
      <c r="R13" s="45"/>
      <c r="S13" s="45"/>
      <c r="T13" s="45"/>
      <c r="U13" s="45"/>
    </row>
    <row r="14" spans="1:21" s="11" customFormat="1" ht="15">
      <c r="A14" s="52" t="s">
        <v>306</v>
      </c>
      <c r="B14" s="53">
        <v>29.15</v>
      </c>
      <c r="C14" s="53">
        <v>86.84</v>
      </c>
      <c r="D14" s="53">
        <v>71.30</v>
      </c>
      <c r="E14" s="53">
        <v>5.71</v>
      </c>
      <c r="F14" s="53">
        <v>4.59</v>
      </c>
      <c r="G14" s="53">
        <v>60.47</v>
      </c>
      <c r="H14" s="53">
        <v>28.79</v>
      </c>
      <c r="I14" s="53">
        <v>0.74</v>
      </c>
      <c r="J14" s="53">
        <v>0.31</v>
      </c>
      <c r="K14" s="53">
        <v>255.15</v>
      </c>
      <c r="L14" s="53">
        <v>18.559999999999999</v>
      </c>
      <c r="M14" s="53">
        <v>60.67</v>
      </c>
      <c r="N14" s="53">
        <v>4.20</v>
      </c>
      <c r="O14" s="53">
        <v>0</v>
      </c>
      <c r="P14" s="53">
        <v>1.07</v>
      </c>
      <c r="Q14" s="53">
        <v>31.59</v>
      </c>
      <c r="R14" s="45"/>
      <c r="S14" s="45"/>
      <c r="T14" s="45"/>
      <c r="U14" s="45"/>
    </row>
    <row r="15" spans="1:21" s="11" customFormat="1" ht="15">
      <c r="A15" s="52" t="s">
        <v>307</v>
      </c>
      <c r="B15" s="53">
        <v>24.51</v>
      </c>
      <c r="C15" s="53">
        <v>84.60</v>
      </c>
      <c r="D15" s="53">
        <v>66.34</v>
      </c>
      <c r="E15" s="53">
        <v>5.86</v>
      </c>
      <c r="F15" s="53">
        <v>4.51</v>
      </c>
      <c r="G15" s="53">
        <v>60.47</v>
      </c>
      <c r="H15" s="53">
        <v>25.92</v>
      </c>
      <c r="I15" s="53">
        <v>0.69</v>
      </c>
      <c r="J15" s="53">
        <v>0.19</v>
      </c>
      <c r="K15" s="53">
        <v>333.59</v>
      </c>
      <c r="L15" s="53">
        <v>18.170000000000002</v>
      </c>
      <c r="M15" s="53">
        <v>63.42</v>
      </c>
      <c r="N15" s="53">
        <v>21.10</v>
      </c>
      <c r="O15" s="53">
        <v>0</v>
      </c>
      <c r="P15" s="53">
        <v>0.98</v>
      </c>
      <c r="Q15" s="53">
        <v>31.39</v>
      </c>
      <c r="R15" s="45"/>
      <c r="S15" s="45"/>
      <c r="T15" s="45"/>
      <c r="U15" s="45"/>
    </row>
    <row r="16" spans="1:21" s="11" customFormat="1" ht="15">
      <c r="A16" s="52" t="s">
        <v>308</v>
      </c>
      <c r="B16" s="53">
        <v>23.96</v>
      </c>
      <c r="C16" s="53">
        <v>84.26</v>
      </c>
      <c r="D16" s="53">
        <v>65.709999999999994</v>
      </c>
      <c r="E16" s="53">
        <v>6</v>
      </c>
      <c r="F16" s="53">
        <v>4.58</v>
      </c>
      <c r="G16" s="53">
        <v>56.29</v>
      </c>
      <c r="H16" s="53">
        <v>26.21</v>
      </c>
      <c r="I16" s="53">
        <v>0.67</v>
      </c>
      <c r="J16" s="53">
        <v>0.45</v>
      </c>
      <c r="K16" s="53">
        <v>309.63</v>
      </c>
      <c r="L16" s="53">
        <v>22.03</v>
      </c>
      <c r="M16" s="53">
        <v>57.16</v>
      </c>
      <c r="N16" s="53">
        <v>240.60</v>
      </c>
      <c r="O16" s="53">
        <v>0</v>
      </c>
      <c r="P16" s="53">
        <v>0.95</v>
      </c>
      <c r="Q16" s="53">
        <v>29.92</v>
      </c>
      <c r="R16" s="45"/>
      <c r="S16" s="45"/>
      <c r="T16" s="45"/>
      <c r="U16" s="45"/>
    </row>
    <row r="17" spans="1:21" s="11" customFormat="1" ht="15">
      <c r="A17" s="52" t="s">
        <v>309</v>
      </c>
      <c r="B17" s="53">
        <v>21.52</v>
      </c>
      <c r="C17" s="53">
        <v>83.32</v>
      </c>
      <c r="D17" s="53">
        <v>63.24</v>
      </c>
      <c r="E17" s="53">
        <v>6.43</v>
      </c>
      <c r="F17" s="53">
        <v>4.70</v>
      </c>
      <c r="G17" s="53">
        <v>56.29</v>
      </c>
      <c r="H17" s="53">
        <v>26.21</v>
      </c>
      <c r="I17" s="53">
        <v>0.66</v>
      </c>
      <c r="J17" s="53">
        <v>0.87</v>
      </c>
      <c r="K17" s="53">
        <v>185.74</v>
      </c>
      <c r="L17" s="53">
        <v>26.32</v>
      </c>
      <c r="M17" s="53">
        <v>44.74</v>
      </c>
      <c r="N17" s="53">
        <v>395.70</v>
      </c>
      <c r="O17" s="53">
        <v>0</v>
      </c>
      <c r="P17" s="53">
        <v>0.92</v>
      </c>
      <c r="Q17" s="53">
        <v>30.55</v>
      </c>
      <c r="R17" s="45"/>
      <c r="S17" s="45"/>
      <c r="T17" s="45"/>
      <c r="U17" s="45"/>
    </row>
    <row r="18" spans="1:21" s="11" customFormat="1" ht="15">
      <c r="A18" s="52" t="s">
        <v>310</v>
      </c>
      <c r="B18" s="53">
        <v>13.47</v>
      </c>
      <c r="C18" s="53">
        <v>85.07</v>
      </c>
      <c r="D18" s="53">
        <v>56.20</v>
      </c>
      <c r="E18" s="53">
        <v>5.99</v>
      </c>
      <c r="F18" s="53">
        <v>4.83</v>
      </c>
      <c r="G18" s="53">
        <v>36.729999999999997</v>
      </c>
      <c r="H18" s="53">
        <v>24.07</v>
      </c>
      <c r="I18" s="53">
        <v>0.64</v>
      </c>
      <c r="J18" s="53">
        <v>0.5</v>
      </c>
      <c r="K18" s="53">
        <v>349.24</v>
      </c>
      <c r="L18" s="53">
        <v>31.99</v>
      </c>
      <c r="M18" s="53">
        <v>38.68</v>
      </c>
      <c r="N18" s="53">
        <v>486.10</v>
      </c>
      <c r="O18" s="53">
        <v>0</v>
      </c>
      <c r="P18" s="53">
        <v>0.85</v>
      </c>
      <c r="Q18" s="53">
        <v>30.47</v>
      </c>
      <c r="R18" s="45"/>
      <c r="S18" s="45"/>
      <c r="T18" s="45"/>
      <c r="U18" s="45"/>
    </row>
    <row r="19" spans="1:21" s="11" customFormat="1" ht="15">
      <c r="A19" s="52" t="s">
        <v>311</v>
      </c>
      <c r="B19" s="53">
        <v>7.87</v>
      </c>
      <c r="C19" s="53">
        <v>88.69</v>
      </c>
      <c r="D19" s="53">
        <v>53.91</v>
      </c>
      <c r="E19" s="53">
        <v>7.46</v>
      </c>
      <c r="F19" s="53">
        <v>5.33</v>
      </c>
      <c r="G19" s="53">
        <v>59.77</v>
      </c>
      <c r="H19" s="53">
        <v>24.35</v>
      </c>
      <c r="I19" s="53">
        <v>0.62</v>
      </c>
      <c r="J19" s="53">
        <v>0.49</v>
      </c>
      <c r="K19" s="53">
        <v>349.03</v>
      </c>
      <c r="L19" s="53">
        <v>36.549999999999997</v>
      </c>
      <c r="M19" s="53">
        <v>26.71</v>
      </c>
      <c r="N19" s="53">
        <v>530.70000000000005</v>
      </c>
      <c r="O19" s="53">
        <v>0</v>
      </c>
      <c r="P19" s="53">
        <v>0.92</v>
      </c>
      <c r="Q19" s="53">
        <v>29.36</v>
      </c>
      <c r="R19" s="45"/>
      <c r="S19" s="45"/>
      <c r="T19" s="45"/>
      <c r="U19" s="45"/>
    </row>
    <row r="20" spans="1:21" s="11" customFormat="1" ht="15">
      <c r="A20" s="52" t="s">
        <v>312</v>
      </c>
      <c r="B20" s="53">
        <v>5.90</v>
      </c>
      <c r="C20" s="53">
        <v>91.71</v>
      </c>
      <c r="D20" s="53">
        <v>54.63</v>
      </c>
      <c r="E20" s="53">
        <v>10.79</v>
      </c>
      <c r="F20" s="53">
        <v>7.55</v>
      </c>
      <c r="G20" s="53">
        <v>67.66</v>
      </c>
      <c r="H20" s="53">
        <v>28.34</v>
      </c>
      <c r="I20" s="53">
        <v>0.62</v>
      </c>
      <c r="J20" s="53">
        <v>0.27</v>
      </c>
      <c r="K20" s="53">
        <v>354.22</v>
      </c>
      <c r="L20" s="53">
        <v>36.07</v>
      </c>
      <c r="M20" s="53">
        <v>18.78</v>
      </c>
      <c r="N20" s="53">
        <v>607.79999999999995</v>
      </c>
      <c r="O20" s="53">
        <v>0</v>
      </c>
      <c r="P20" s="53">
        <v>1.1499999999999999</v>
      </c>
      <c r="Q20" s="53">
        <v>29.07</v>
      </c>
      <c r="R20" s="45"/>
      <c r="S20" s="45"/>
      <c r="T20" s="45"/>
      <c r="U20" s="45"/>
    </row>
    <row r="21" spans="1:21" s="11" customFormat="1" ht="15">
      <c r="A21" s="52" t="s">
        <v>313</v>
      </c>
      <c r="B21" s="53">
        <v>1.54</v>
      </c>
      <c r="C21" s="53">
        <v>88.87</v>
      </c>
      <c r="D21" s="53">
        <v>50.28</v>
      </c>
      <c r="E21" s="53">
        <v>8.17</v>
      </c>
      <c r="F21" s="53">
        <v>8.93</v>
      </c>
      <c r="G21" s="53">
        <v>67.66</v>
      </c>
      <c r="H21" s="53">
        <v>28.34</v>
      </c>
      <c r="I21" s="53">
        <v>0.59</v>
      </c>
      <c r="J21" s="53">
        <v>0.43</v>
      </c>
      <c r="K21" s="53">
        <v>29.07</v>
      </c>
      <c r="L21" s="53">
        <v>35.79</v>
      </c>
      <c r="M21" s="53">
        <v>17.91</v>
      </c>
      <c r="N21" s="53">
        <v>592.90</v>
      </c>
      <c r="O21" s="53">
        <v>0</v>
      </c>
      <c r="P21" s="53">
        <v>1.1599999999999999</v>
      </c>
      <c r="Q21" s="53">
        <v>27.30</v>
      </c>
      <c r="R21" s="45"/>
      <c r="S21" s="45"/>
      <c r="T21" s="45"/>
      <c r="U21" s="45"/>
    </row>
    <row r="22" spans="1:21" s="11" customFormat="1" ht="15">
      <c r="A22" s="52" t="s">
        <v>314</v>
      </c>
      <c r="B22" s="53">
        <v>1.34</v>
      </c>
      <c r="C22" s="53">
        <v>79.12</v>
      </c>
      <c r="D22" s="53">
        <v>44.56</v>
      </c>
      <c r="E22" s="53">
        <v>7.96</v>
      </c>
      <c r="F22" s="53">
        <v>8.77</v>
      </c>
      <c r="G22" s="53">
        <v>61.19</v>
      </c>
      <c r="H22" s="53">
        <v>28.14</v>
      </c>
      <c r="I22" s="53">
        <v>0.57999999999999996</v>
      </c>
      <c r="J22" s="53">
        <v>1.23</v>
      </c>
      <c r="K22" s="53">
        <v>356.84</v>
      </c>
      <c r="L22" s="53">
        <v>37.36</v>
      </c>
      <c r="M22" s="53">
        <v>12.77</v>
      </c>
      <c r="N22" s="53">
        <v>559.10</v>
      </c>
      <c r="O22" s="53">
        <v>0</v>
      </c>
      <c r="P22" s="53">
        <v>0.95</v>
      </c>
      <c r="Q22" s="53">
        <v>23.69</v>
      </c>
      <c r="R22" s="45"/>
      <c r="S22" s="45"/>
      <c r="T22" s="45"/>
      <c r="U22" s="45"/>
    </row>
    <row r="23" spans="1:21" s="11" customFormat="1" ht="15">
      <c r="A23" s="52" t="s">
        <v>315</v>
      </c>
      <c r="B23" s="53">
        <v>1.35</v>
      </c>
      <c r="C23" s="53">
        <v>70.87</v>
      </c>
      <c r="D23" s="53">
        <v>40.18</v>
      </c>
      <c r="E23" s="53">
        <v>7.12</v>
      </c>
      <c r="F23" s="53">
        <v>9.40</v>
      </c>
      <c r="G23" s="53">
        <v>67.81</v>
      </c>
      <c r="H23" s="53">
        <v>28.14</v>
      </c>
      <c r="I23" s="53">
        <v>0.54</v>
      </c>
      <c r="J23" s="53">
        <v>0.86</v>
      </c>
      <c r="K23" s="53">
        <v>354.82</v>
      </c>
      <c r="L23" s="53">
        <v>36.619999999999997</v>
      </c>
      <c r="M23" s="53">
        <v>13.78</v>
      </c>
      <c r="N23" s="53">
        <v>468</v>
      </c>
      <c r="O23" s="53">
        <v>0</v>
      </c>
      <c r="P23" s="53">
        <v>0.75</v>
      </c>
      <c r="Q23" s="53">
        <v>20.350000000000001</v>
      </c>
      <c r="R23" s="45"/>
      <c r="S23" s="45"/>
      <c r="T23" s="45"/>
      <c r="U23" s="45"/>
    </row>
    <row r="24" spans="1:21" s="11" customFormat="1" ht="15">
      <c r="A24" s="52" t="s">
        <v>316</v>
      </c>
      <c r="B24" s="53">
        <v>1.35</v>
      </c>
      <c r="C24" s="53">
        <v>67.33</v>
      </c>
      <c r="D24" s="53">
        <v>38.19</v>
      </c>
      <c r="E24" s="53">
        <v>7.20</v>
      </c>
      <c r="F24" s="53">
        <v>9.08</v>
      </c>
      <c r="G24" s="53">
        <v>67.81</v>
      </c>
      <c r="H24" s="53">
        <v>26.41</v>
      </c>
      <c r="I24" s="53">
        <v>0.53</v>
      </c>
      <c r="J24" s="53">
        <v>1.49</v>
      </c>
      <c r="K24" s="53">
        <v>342.15</v>
      </c>
      <c r="L24" s="53">
        <v>36.32</v>
      </c>
      <c r="M24" s="53">
        <v>12.66</v>
      </c>
      <c r="N24" s="53">
        <v>395.5</v>
      </c>
      <c r="O24" s="53">
        <v>0</v>
      </c>
      <c r="P24" s="53">
        <v>0.63</v>
      </c>
      <c r="Q24" s="53">
        <v>20.239999999999998</v>
      </c>
      <c r="R24" s="45"/>
      <c r="S24" s="45"/>
      <c r="T24" s="45"/>
      <c r="U24" s="45"/>
    </row>
    <row r="25" spans="1:21" s="11" customFormat="1" ht="15">
      <c r="A25" s="52" t="s">
        <v>317</v>
      </c>
      <c r="B25" s="53">
        <v>1.1399999999999999</v>
      </c>
      <c r="C25" s="53">
        <v>62.68</v>
      </c>
      <c r="D25" s="53">
        <v>35.47</v>
      </c>
      <c r="E25" s="53">
        <v>7.18</v>
      </c>
      <c r="F25" s="53">
        <v>9.02</v>
      </c>
      <c r="G25" s="53">
        <v>49.33</v>
      </c>
      <c r="H25" s="53">
        <v>20.96</v>
      </c>
      <c r="I25" s="53">
        <v>0.53</v>
      </c>
      <c r="J25" s="53">
        <v>0.86</v>
      </c>
      <c r="K25" s="53">
        <v>356.76</v>
      </c>
      <c r="L25" s="53">
        <v>33.51</v>
      </c>
      <c r="M25" s="53">
        <v>15.97</v>
      </c>
      <c r="N25" s="53">
        <v>158</v>
      </c>
      <c r="O25" s="53">
        <v>0</v>
      </c>
      <c r="P25" s="53">
        <v>0.52</v>
      </c>
      <c r="Q25" s="53">
        <v>20.21</v>
      </c>
      <c r="R25" s="45"/>
      <c r="S25" s="45"/>
      <c r="T25" s="45"/>
      <c r="U25" s="45"/>
    </row>
    <row r="26" spans="1:21" s="11" customFormat="1" ht="15">
      <c r="A26" s="52" t="s">
        <v>318</v>
      </c>
      <c r="B26" s="53">
        <v>6.36</v>
      </c>
      <c r="C26" s="53">
        <v>75.12</v>
      </c>
      <c r="D26" s="53">
        <v>46.56</v>
      </c>
      <c r="E26" s="53">
        <v>11.03</v>
      </c>
      <c r="F26" s="53">
        <v>13.34</v>
      </c>
      <c r="G26" s="53">
        <v>41.71</v>
      </c>
      <c r="H26" s="53">
        <v>18.73</v>
      </c>
      <c r="I26" s="53">
        <v>0.53</v>
      </c>
      <c r="J26" s="53">
        <v>0.39</v>
      </c>
      <c r="K26" s="53">
        <v>359.94</v>
      </c>
      <c r="L26" s="53">
        <v>31.30</v>
      </c>
      <c r="M26" s="53">
        <v>21.46</v>
      </c>
      <c r="N26" s="53">
        <v>33</v>
      </c>
      <c r="O26" s="53">
        <v>0</v>
      </c>
      <c r="P26" s="53">
        <v>0.72</v>
      </c>
      <c r="Q26" s="53">
        <v>19.97</v>
      </c>
      <c r="R26" s="45"/>
      <c r="S26" s="45"/>
      <c r="T26" s="45"/>
      <c r="U26" s="45"/>
    </row>
    <row r="27" spans="1:21" s="11" customFormat="1" ht="15">
      <c r="A27" s="52" t="s">
        <v>319</v>
      </c>
      <c r="B27" s="53">
        <v>21.47</v>
      </c>
      <c r="C27" s="53">
        <v>95.17</v>
      </c>
      <c r="D27" s="53">
        <v>69.739999999999995</v>
      </c>
      <c r="E27" s="53">
        <v>16.07</v>
      </c>
      <c r="F27" s="53">
        <v>10.14</v>
      </c>
      <c r="G27" s="53">
        <v>54.08</v>
      </c>
      <c r="H27" s="53">
        <v>20.329999999999998</v>
      </c>
      <c r="I27" s="53">
        <v>0.62</v>
      </c>
      <c r="J27" s="53">
        <v>0.14000000000000001</v>
      </c>
      <c r="K27" s="53">
        <v>317.70999999999998</v>
      </c>
      <c r="L27" s="53">
        <v>28.06</v>
      </c>
      <c r="M27" s="53">
        <v>26.12</v>
      </c>
      <c r="N27" s="53">
        <v>4.9000000000000004</v>
      </c>
      <c r="O27" s="53">
        <v>0</v>
      </c>
      <c r="P27" s="53">
        <v>1.17</v>
      </c>
      <c r="Q27" s="53">
        <v>22.88</v>
      </c>
      <c r="R27" s="45"/>
      <c r="S27" s="45"/>
      <c r="T27" s="45"/>
      <c r="U27" s="45"/>
    </row>
    <row r="28" spans="1:21" s="11" customFormat="1" ht="15">
      <c r="A28" s="52" t="s">
        <v>320</v>
      </c>
      <c r="B28" s="53">
        <v>20.100000000000001</v>
      </c>
      <c r="C28" s="53">
        <v>95.81</v>
      </c>
      <c r="D28" s="53">
        <v>69</v>
      </c>
      <c r="E28" s="53">
        <v>10.83</v>
      </c>
      <c r="F28" s="53">
        <v>5.82</v>
      </c>
      <c r="G28" s="53">
        <v>85.96</v>
      </c>
      <c r="H28" s="53">
        <v>27.48</v>
      </c>
      <c r="I28" s="53">
        <v>0.67</v>
      </c>
      <c r="J28" s="53">
        <v>0.16</v>
      </c>
      <c r="K28" s="53">
        <v>344.58</v>
      </c>
      <c r="L28" s="53">
        <v>26.62</v>
      </c>
      <c r="M28" s="53">
        <v>29.37</v>
      </c>
      <c r="N28" s="53">
        <v>4.4000000000000004</v>
      </c>
      <c r="O28" s="53">
        <v>0</v>
      </c>
      <c r="P28" s="53">
        <v>1.24</v>
      </c>
      <c r="Q28" s="53">
        <v>27.47</v>
      </c>
      <c r="R28" s="45"/>
      <c r="S28" s="45"/>
      <c r="T28" s="45"/>
      <c r="U28" s="45"/>
    </row>
    <row r="29" spans="1:21" s="11" customFormat="1" ht="15">
      <c r="A29" s="52" t="s">
        <v>321</v>
      </c>
      <c r="B29" s="53">
        <v>27.05</v>
      </c>
      <c r="C29" s="53">
        <v>104.38</v>
      </c>
      <c r="D29" s="53">
        <v>79.30</v>
      </c>
      <c r="E29" s="53">
        <v>7.25</v>
      </c>
      <c r="F29" s="53">
        <v>5.65</v>
      </c>
      <c r="G29" s="53">
        <v>85.96</v>
      </c>
      <c r="H29" s="53">
        <v>28.62</v>
      </c>
      <c r="I29" s="53">
        <v>0.76</v>
      </c>
      <c r="J29" s="53">
        <v>1.05</v>
      </c>
      <c r="K29" s="53">
        <v>23.24</v>
      </c>
      <c r="L29" s="53">
        <v>25.29</v>
      </c>
      <c r="M29" s="53">
        <v>31.44</v>
      </c>
      <c r="N29" s="53">
        <v>4.0999999999999996</v>
      </c>
      <c r="O29" s="53">
        <v>0</v>
      </c>
      <c r="P29" s="53">
        <v>1.46</v>
      </c>
      <c r="Q29" s="53">
        <v>28.81</v>
      </c>
      <c r="R29" s="45"/>
      <c r="S29" s="45"/>
      <c r="T29" s="45"/>
      <c r="U29" s="45"/>
    </row>
    <row r="30" spans="1:21" s="11" customFormat="1" ht="15">
      <c r="A30" s="52" t="s">
        <v>322</v>
      </c>
      <c r="B30" s="53">
        <v>25.91</v>
      </c>
      <c r="C30" s="53">
        <v>104.88</v>
      </c>
      <c r="D30" s="53">
        <v>78.66</v>
      </c>
      <c r="E30" s="53">
        <v>7.58</v>
      </c>
      <c r="F30" s="53">
        <v>5.51</v>
      </c>
      <c r="G30" s="53">
        <v>82.84</v>
      </c>
      <c r="H30" s="53">
        <v>28.62</v>
      </c>
      <c r="I30" s="53">
        <v>0.72</v>
      </c>
      <c r="J30" s="53">
        <v>1.20</v>
      </c>
      <c r="K30" s="53">
        <v>354</v>
      </c>
      <c r="L30" s="53">
        <v>25.28</v>
      </c>
      <c r="M30" s="53">
        <v>32.880000000000003</v>
      </c>
      <c r="N30" s="53">
        <v>3.90</v>
      </c>
      <c r="O30" s="53">
        <v>0</v>
      </c>
      <c r="P30" s="53">
        <v>1.44</v>
      </c>
      <c r="Q30" s="53">
        <v>28.23</v>
      </c>
      <c r="R30" s="45"/>
      <c r="S30" s="45"/>
      <c r="T30" s="45"/>
      <c r="U30" s="45"/>
    </row>
    <row r="31" spans="1:21" s="11" customFormat="1" ht="15">
      <c r="A31" s="52" t="s">
        <v>323</v>
      </c>
      <c r="B31" s="53">
        <v>22.14</v>
      </c>
      <c r="C31" s="53">
        <v>99.10</v>
      </c>
      <c r="D31" s="53">
        <v>72.260000000000005</v>
      </c>
      <c r="E31" s="53">
        <v>8.39</v>
      </c>
      <c r="F31" s="53">
        <v>6.02</v>
      </c>
      <c r="G31" s="53">
        <v>72.39</v>
      </c>
      <c r="H31" s="53">
        <v>26.43</v>
      </c>
      <c r="I31" s="53">
        <v>0.70</v>
      </c>
      <c r="J31" s="53">
        <v>1.04</v>
      </c>
      <c r="K31" s="53">
        <v>14.41</v>
      </c>
      <c r="L31" s="53">
        <v>24.46</v>
      </c>
      <c r="M31" s="53">
        <v>36.57</v>
      </c>
      <c r="N31" s="53">
        <v>4.5999999999999996</v>
      </c>
      <c r="O31" s="53">
        <v>0</v>
      </c>
      <c r="P31" s="53">
        <v>1.35</v>
      </c>
      <c r="Q31" s="53">
        <v>29.73</v>
      </c>
      <c r="R31" s="45"/>
      <c r="S31" s="45"/>
      <c r="T31" s="45"/>
      <c r="U31" s="45"/>
    </row>
    <row r="32" spans="1:21" s="11" customFormat="1" ht="15">
      <c r="A32" s="52" t="s">
        <v>324</v>
      </c>
      <c r="B32" s="53">
        <v>20.30</v>
      </c>
      <c r="C32" s="53">
        <v>95.35</v>
      </c>
      <c r="D32" s="53">
        <v>68.89</v>
      </c>
      <c r="E32" s="53">
        <v>7.24</v>
      </c>
      <c r="F32" s="53">
        <v>4.62</v>
      </c>
      <c r="G32" s="53">
        <v>62.01</v>
      </c>
      <c r="H32" s="53">
        <v>25.05</v>
      </c>
      <c r="I32" s="53">
        <v>0.72</v>
      </c>
      <c r="J32" s="53">
        <v>0.79</v>
      </c>
      <c r="K32" s="53">
        <v>24.93</v>
      </c>
      <c r="L32" s="53">
        <v>22.94</v>
      </c>
      <c r="M32" s="53">
        <v>37.54</v>
      </c>
      <c r="N32" s="53">
        <v>4.30</v>
      </c>
      <c r="O32" s="53">
        <v>0</v>
      </c>
      <c r="P32" s="53">
        <v>1.32</v>
      </c>
      <c r="Q32" s="53">
        <v>30.02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1.1399999999999999</v>
      </c>
      <c r="C34" s="28">
        <f t="shared" si="0"/>
        <v>62.68</v>
      </c>
      <c r="D34" s="28">
        <f t="shared" si="0"/>
        <v>35.469999999999999</v>
      </c>
      <c r="E34" s="28">
        <f t="shared" si="0"/>
        <v>5.71</v>
      </c>
      <c r="F34" s="28">
        <f t="shared" si="0"/>
        <v>4.5099999999999998</v>
      </c>
      <c r="G34" s="28">
        <f t="shared" si="0"/>
        <v>36.729999999999997</v>
      </c>
      <c r="H34" s="28">
        <f t="shared" si="0"/>
        <v>18.73</v>
      </c>
      <c r="I34" s="28">
        <f t="shared" si="0"/>
        <v>0.53000000000000003</v>
      </c>
      <c r="J34" s="28">
        <f t="shared" si="0"/>
        <v>0.089999999999999997</v>
      </c>
      <c r="K34" s="28">
        <f t="shared" si="0"/>
        <v>14.41</v>
      </c>
      <c r="L34" s="28">
        <f t="shared" si="0"/>
        <v>18.170000000000002</v>
      </c>
      <c r="M34" s="28">
        <f t="shared" si="0"/>
        <v>12.66</v>
      </c>
      <c r="N34" s="28">
        <f t="shared" si="0"/>
        <v>3.8999999999999999</v>
      </c>
      <c r="O34" s="28">
        <f t="shared" si="0"/>
        <v>0</v>
      </c>
      <c r="P34" s="28">
        <f t="shared" si="0"/>
        <v>0.52000000000000002</v>
      </c>
      <c r="Q34" s="28">
        <f t="shared" si="0"/>
        <v>19.969999999999999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96.079999999999998</v>
      </c>
      <c r="C35" s="29">
        <f t="shared" si="1"/>
        <v>131.40000000000001</v>
      </c>
      <c r="D35" s="29">
        <f t="shared" si="1"/>
        <v>149.56</v>
      </c>
      <c r="E35" s="29">
        <f t="shared" si="1"/>
        <v>16.07</v>
      </c>
      <c r="F35" s="29">
        <f t="shared" si="1"/>
        <v>13.34</v>
      </c>
      <c r="G35" s="29">
        <f t="shared" si="1"/>
        <v>120.51000000000001</v>
      </c>
      <c r="H35" s="29">
        <f t="shared" si="1"/>
        <v>51.340000000000003</v>
      </c>
      <c r="I35" s="29">
        <f t="shared" si="1"/>
        <v>1.1699999999999999</v>
      </c>
      <c r="J35" s="29">
        <f t="shared" si="1"/>
        <v>1.49</v>
      </c>
      <c r="K35" s="29">
        <f t="shared" si="1"/>
        <v>359.94</v>
      </c>
      <c r="L35" s="29">
        <f t="shared" si="1"/>
        <v>37.359999999999999</v>
      </c>
      <c r="M35" s="29">
        <f t="shared" si="1"/>
        <v>63.420000000000002</v>
      </c>
      <c r="N35" s="29">
        <f t="shared" si="1"/>
        <v>607.79999999999995</v>
      </c>
      <c r="O35" s="29">
        <f t="shared" si="1"/>
        <v>0</v>
      </c>
      <c r="P35" s="29">
        <f t="shared" si="1"/>
        <v>2.2200000000000002</v>
      </c>
      <c r="Q35" s="29">
        <f t="shared" si="1"/>
        <v>34.939999999999998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24.86333333333333</v>
      </c>
      <c r="C36" s="28">
        <f t="shared" si="2"/>
        <v>91.170000000000002</v>
      </c>
      <c r="D36" s="28">
        <f t="shared" si="2"/>
        <v>70.082916666666677</v>
      </c>
      <c r="E36" s="28">
        <f t="shared" si="2"/>
        <v>7.7637500000000017</v>
      </c>
      <c r="F36" s="28">
        <f t="shared" si="2"/>
        <v>6.4645833333333336</v>
      </c>
      <c r="G36" s="28">
        <f t="shared" si="2"/>
        <v>66.496666666666655</v>
      </c>
      <c r="H36" s="28">
        <f t="shared" si="2"/>
        <v>28.517083333333328</v>
      </c>
      <c r="I36" s="28">
        <f t="shared" si="2"/>
        <v>0.70749999999999991</v>
      </c>
      <c r="J36" s="28">
        <f t="shared" si="2"/>
        <v>0.5625</v>
      </c>
      <c r="K36" s="28">
        <f t="shared" si="2"/>
        <v>277.19041666666664</v>
      </c>
      <c r="L36" s="28">
        <f t="shared" si="2"/>
        <v>27.128333333333334</v>
      </c>
      <c r="M36" s="28">
        <f t="shared" si="2"/>
        <v>36.985833333333332</v>
      </c>
      <c r="N36" s="28">
        <f t="shared" si="2"/>
        <v>189.20000000000002</v>
      </c>
      <c r="O36" s="28">
        <f t="shared" si="2"/>
        <v>0</v>
      </c>
      <c r="P36" s="28">
        <f t="shared" si="2"/>
        <v>1.1658333333333333</v>
      </c>
      <c r="Q36" s="28">
        <f t="shared" si="2"/>
        <v>28.279166666666669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24.838452424428134</v>
      </c>
      <c r="C37" s="28">
        <f t="shared" si="3" ref="C37:Q37">STDEV(C9:C32)</f>
        <v>15.622351045022439</v>
      </c>
      <c r="D37" s="28">
        <f t="shared" si="3"/>
        <v>27.732628950651094</v>
      </c>
      <c r="E37" s="28">
        <f t="shared" si="3"/>
        <v>2.3422115385473461</v>
      </c>
      <c r="F37" s="28">
        <f t="shared" si="3"/>
        <v>2.4422405592560597</v>
      </c>
      <c r="G37" s="28">
        <f t="shared" si="3"/>
        <v>16.911576345591069</v>
      </c>
      <c r="H37" s="28">
        <f t="shared" si="3"/>
        <v>7.0161090908966486</v>
      </c>
      <c r="I37" s="28">
        <f t="shared" si="3"/>
        <v>0.17009588088972782</v>
      </c>
      <c r="J37" s="28">
        <f t="shared" si="3"/>
        <v>0.41889346990665144</v>
      </c>
      <c r="K37" s="28">
        <f t="shared" si="3"/>
        <v>122.47708987111476</v>
      </c>
      <c r="L37" s="28">
        <f t="shared" si="3"/>
        <v>6.9348067693005087</v>
      </c>
      <c r="M37" s="28">
        <f t="shared" si="3"/>
        <v>17.880876575309433</v>
      </c>
      <c r="N37" s="28">
        <f t="shared" si="3"/>
        <v>238.56440749143437</v>
      </c>
      <c r="O37" s="28">
        <f t="shared" si="3"/>
        <v>0</v>
      </c>
      <c r="P37" s="28">
        <f t="shared" si="3"/>
        <v>0.39685630590458321</v>
      </c>
      <c r="Q37" s="28">
        <f t="shared" si="3"/>
        <v>4.6590602865409503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bf4045-110c-4184-b00a-0b2f8bae1de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325</v>
      </c>
      <c r="B9" s="53">
        <v>16.79</v>
      </c>
      <c r="C9" s="53">
        <v>91.71</v>
      </c>
      <c r="D9" s="53">
        <v>64.08</v>
      </c>
      <c r="E9" s="53">
        <v>9.44</v>
      </c>
      <c r="F9" s="53">
        <v>5.70</v>
      </c>
      <c r="G9" s="53">
        <v>61.68</v>
      </c>
      <c r="H9" s="53">
        <v>24.71</v>
      </c>
      <c r="I9" s="53">
        <v>0.67</v>
      </c>
      <c r="J9" s="53">
        <v>0.67</v>
      </c>
      <c r="K9" s="53">
        <v>25.68</v>
      </c>
      <c r="L9" s="53">
        <v>22.44</v>
      </c>
      <c r="M9" s="53">
        <v>38.64</v>
      </c>
      <c r="N9" s="53">
        <v>4.30</v>
      </c>
      <c r="O9" s="53">
        <v>0</v>
      </c>
      <c r="P9" s="53">
        <v>1.22</v>
      </c>
      <c r="Q9" s="53">
        <v>29.70</v>
      </c>
      <c r="R9" s="45"/>
      <c r="S9" s="45"/>
      <c r="T9" s="45"/>
      <c r="U9" s="45"/>
    </row>
    <row r="10" spans="1:21" s="11" customFormat="1" ht="15">
      <c r="A10" s="52" t="s">
        <v>326</v>
      </c>
      <c r="B10" s="53">
        <v>14.30</v>
      </c>
      <c r="C10" s="53">
        <v>86.25</v>
      </c>
      <c r="D10" s="53">
        <v>59.07</v>
      </c>
      <c r="E10" s="53">
        <v>8.25</v>
      </c>
      <c r="F10" s="53">
        <v>5.08</v>
      </c>
      <c r="G10" s="53">
        <v>63.39</v>
      </c>
      <c r="H10" s="53">
        <v>27.94</v>
      </c>
      <c r="I10" s="53">
        <v>0.69</v>
      </c>
      <c r="J10" s="53">
        <v>0.66</v>
      </c>
      <c r="K10" s="53">
        <v>358.68</v>
      </c>
      <c r="L10" s="53">
        <v>21.92</v>
      </c>
      <c r="M10" s="53">
        <v>40.85</v>
      </c>
      <c r="N10" s="53">
        <v>4.9000000000000004</v>
      </c>
      <c r="O10" s="53">
        <v>0</v>
      </c>
      <c r="P10" s="53">
        <v>1.1000000000000001</v>
      </c>
      <c r="Q10" s="53">
        <v>29.18</v>
      </c>
      <c r="R10" s="45"/>
      <c r="S10" s="45"/>
      <c r="T10" s="45"/>
      <c r="U10" s="45"/>
    </row>
    <row r="11" spans="1:21" s="11" customFormat="1" ht="15">
      <c r="A11" s="52" t="s">
        <v>327</v>
      </c>
      <c r="B11" s="53">
        <v>13.32</v>
      </c>
      <c r="C11" s="53">
        <v>84.28</v>
      </c>
      <c r="D11" s="53">
        <v>57.19</v>
      </c>
      <c r="E11" s="53">
        <v>7.63</v>
      </c>
      <c r="F11" s="53">
        <v>4.7300000000000004</v>
      </c>
      <c r="G11" s="53">
        <v>63.55</v>
      </c>
      <c r="H11" s="53">
        <v>29.73</v>
      </c>
      <c r="I11" s="53">
        <v>0.70</v>
      </c>
      <c r="J11" s="53">
        <v>0.55000000000000004</v>
      </c>
      <c r="K11" s="53">
        <v>352.26</v>
      </c>
      <c r="L11" s="53">
        <v>20.90</v>
      </c>
      <c r="M11" s="53">
        <v>45.27</v>
      </c>
      <c r="N11" s="53">
        <v>4.4000000000000004</v>
      </c>
      <c r="O11" s="53">
        <v>0</v>
      </c>
      <c r="P11" s="53">
        <v>1.05</v>
      </c>
      <c r="Q11" s="53">
        <v>30.09</v>
      </c>
      <c r="R11" s="45"/>
      <c r="S11" s="45"/>
      <c r="T11" s="45"/>
      <c r="U11" s="45"/>
    </row>
    <row r="12" spans="1:21" s="11" customFormat="1" ht="15">
      <c r="A12" s="52" t="s">
        <v>328</v>
      </c>
      <c r="B12" s="53">
        <v>9.81</v>
      </c>
      <c r="C12" s="53">
        <v>80.510000000000005</v>
      </c>
      <c r="D12" s="53">
        <v>52.30</v>
      </c>
      <c r="E12" s="53">
        <v>9.4600000000000009</v>
      </c>
      <c r="F12" s="53">
        <v>4.71</v>
      </c>
      <c r="G12" s="53">
        <v>63.55</v>
      </c>
      <c r="H12" s="53">
        <v>29.73</v>
      </c>
      <c r="I12" s="53">
        <v>0.64</v>
      </c>
      <c r="J12" s="53">
        <v>0.60</v>
      </c>
      <c r="K12" s="53">
        <v>344.79</v>
      </c>
      <c r="L12" s="53">
        <v>19.79</v>
      </c>
      <c r="M12" s="53">
        <v>48.28</v>
      </c>
      <c r="N12" s="53">
        <v>4.70</v>
      </c>
      <c r="O12" s="53">
        <v>0</v>
      </c>
      <c r="P12" s="53">
        <v>0.91</v>
      </c>
      <c r="Q12" s="53">
        <v>29.96</v>
      </c>
      <c r="R12" s="45"/>
      <c r="S12" s="45"/>
      <c r="T12" s="45"/>
      <c r="U12" s="45"/>
    </row>
    <row r="13" spans="1:21" s="11" customFormat="1" ht="15">
      <c r="A13" s="52" t="s">
        <v>329</v>
      </c>
      <c r="B13" s="53">
        <v>7.34</v>
      </c>
      <c r="C13" s="53">
        <v>77.63</v>
      </c>
      <c r="D13" s="53">
        <v>48.73</v>
      </c>
      <c r="E13" s="53">
        <v>6.84</v>
      </c>
      <c r="F13" s="53">
        <v>4.7300000000000004</v>
      </c>
      <c r="G13" s="53">
        <v>62.60</v>
      </c>
      <c r="H13" s="53">
        <v>29</v>
      </c>
      <c r="I13" s="53">
        <v>0.60</v>
      </c>
      <c r="J13" s="53">
        <v>0.96</v>
      </c>
      <c r="K13" s="53">
        <v>359.54</v>
      </c>
      <c r="L13" s="53">
        <v>19.55</v>
      </c>
      <c r="M13" s="53">
        <v>49.73</v>
      </c>
      <c r="N13" s="53">
        <v>4.0999999999999996</v>
      </c>
      <c r="O13" s="53">
        <v>0</v>
      </c>
      <c r="P13" s="53">
        <v>0.80</v>
      </c>
      <c r="Q13" s="53">
        <v>28.64</v>
      </c>
      <c r="R13" s="45"/>
      <c r="S13" s="45"/>
      <c r="T13" s="45"/>
      <c r="U13" s="45"/>
    </row>
    <row r="14" spans="1:21" s="11" customFormat="1" ht="15">
      <c r="A14" s="52" t="s">
        <v>330</v>
      </c>
      <c r="B14" s="53">
        <v>8.02</v>
      </c>
      <c r="C14" s="53">
        <v>76.099999999999994</v>
      </c>
      <c r="D14" s="53">
        <v>48.43</v>
      </c>
      <c r="E14" s="53">
        <v>7.57</v>
      </c>
      <c r="F14" s="53">
        <v>4.6900000000000004</v>
      </c>
      <c r="G14" s="53">
        <v>53.22</v>
      </c>
      <c r="H14" s="53">
        <v>25.92</v>
      </c>
      <c r="I14" s="53">
        <v>0.63</v>
      </c>
      <c r="J14" s="53">
        <v>0.88</v>
      </c>
      <c r="K14" s="53">
        <v>354.42</v>
      </c>
      <c r="L14" s="53">
        <v>19.11</v>
      </c>
      <c r="M14" s="53">
        <v>54.95</v>
      </c>
      <c r="N14" s="53">
        <v>4.5999999999999996</v>
      </c>
      <c r="O14" s="53">
        <v>0</v>
      </c>
      <c r="P14" s="53">
        <v>0.72</v>
      </c>
      <c r="Q14" s="53">
        <v>28.71</v>
      </c>
      <c r="R14" s="45"/>
      <c r="S14" s="45"/>
      <c r="T14" s="45"/>
      <c r="U14" s="45"/>
    </row>
    <row r="15" spans="1:21" s="11" customFormat="1" ht="15">
      <c r="A15" s="52" t="s">
        <v>331</v>
      </c>
      <c r="B15" s="53">
        <v>10.48</v>
      </c>
      <c r="C15" s="53">
        <v>78.58</v>
      </c>
      <c r="D15" s="53">
        <v>51.78</v>
      </c>
      <c r="E15" s="53">
        <v>7.70</v>
      </c>
      <c r="F15" s="53">
        <v>4.6100000000000003</v>
      </c>
      <c r="G15" s="53">
        <v>49.79</v>
      </c>
      <c r="H15" s="53">
        <v>22.90</v>
      </c>
      <c r="I15" s="53">
        <v>0.62</v>
      </c>
      <c r="J15" s="53">
        <v>0.27</v>
      </c>
      <c r="K15" s="53">
        <v>340.89</v>
      </c>
      <c r="L15" s="53">
        <v>18.260000000000002</v>
      </c>
      <c r="M15" s="53">
        <v>57.02</v>
      </c>
      <c r="N15" s="53">
        <v>22.40</v>
      </c>
      <c r="O15" s="53">
        <v>0</v>
      </c>
      <c r="P15" s="53">
        <v>0.75</v>
      </c>
      <c r="Q15" s="53">
        <v>29.30</v>
      </c>
      <c r="R15" s="45"/>
      <c r="S15" s="45"/>
      <c r="T15" s="45"/>
      <c r="U15" s="45"/>
    </row>
    <row r="16" spans="1:21" s="11" customFormat="1" ht="15">
      <c r="A16" s="52" t="s">
        <v>332</v>
      </c>
      <c r="B16" s="53">
        <v>21.78</v>
      </c>
      <c r="C16" s="53">
        <v>88.06</v>
      </c>
      <c r="D16" s="53">
        <v>66.06</v>
      </c>
      <c r="E16" s="53">
        <v>7.22</v>
      </c>
      <c r="F16" s="53">
        <v>4.5</v>
      </c>
      <c r="G16" s="53">
        <v>63.82</v>
      </c>
      <c r="H16" s="53">
        <v>29.62</v>
      </c>
      <c r="I16" s="53">
        <v>0.60</v>
      </c>
      <c r="J16" s="53">
        <v>0.41</v>
      </c>
      <c r="K16" s="53">
        <v>359.39</v>
      </c>
      <c r="L16" s="53">
        <v>25.49</v>
      </c>
      <c r="M16" s="53">
        <v>60.15</v>
      </c>
      <c r="N16" s="53">
        <v>237.70</v>
      </c>
      <c r="O16" s="53">
        <v>0</v>
      </c>
      <c r="P16" s="53">
        <v>0.84</v>
      </c>
      <c r="Q16" s="53">
        <v>29.79</v>
      </c>
      <c r="R16" s="45"/>
      <c r="S16" s="45"/>
      <c r="T16" s="45"/>
      <c r="U16" s="45"/>
    </row>
    <row r="17" spans="1:21" s="11" customFormat="1" ht="15">
      <c r="A17" s="52" t="s">
        <v>333</v>
      </c>
      <c r="B17" s="53">
        <v>25.94</v>
      </c>
      <c r="C17" s="53">
        <v>95.96</v>
      </c>
      <c r="D17" s="53">
        <v>73.760000000000005</v>
      </c>
      <c r="E17" s="53">
        <v>14.85</v>
      </c>
      <c r="F17" s="53">
        <v>5.0199999999999996</v>
      </c>
      <c r="G17" s="53">
        <v>78.83</v>
      </c>
      <c r="H17" s="53">
        <v>37.71</v>
      </c>
      <c r="I17" s="53">
        <v>0.62</v>
      </c>
      <c r="J17" s="53">
        <v>0.94</v>
      </c>
      <c r="K17" s="53">
        <v>18.77</v>
      </c>
      <c r="L17" s="53">
        <v>31.09</v>
      </c>
      <c r="M17" s="53">
        <v>33.57</v>
      </c>
      <c r="N17" s="53">
        <v>375.60</v>
      </c>
      <c r="O17" s="53">
        <v>0</v>
      </c>
      <c r="P17" s="53">
        <v>1.02</v>
      </c>
      <c r="Q17" s="53">
        <v>29.32</v>
      </c>
      <c r="R17" s="45"/>
      <c r="S17" s="45"/>
      <c r="T17" s="45"/>
      <c r="U17" s="45"/>
    </row>
    <row r="18" spans="1:21" s="11" customFormat="1" ht="15">
      <c r="A18" s="52" t="s">
        <v>334</v>
      </c>
      <c r="B18" s="53">
        <v>26.45</v>
      </c>
      <c r="C18" s="53">
        <v>97.44</v>
      </c>
      <c r="D18" s="53">
        <v>74.989999999999995</v>
      </c>
      <c r="E18" s="53">
        <v>13.03</v>
      </c>
      <c r="F18" s="53">
        <v>5.21</v>
      </c>
      <c r="G18" s="53">
        <v>88.05</v>
      </c>
      <c r="H18" s="53">
        <v>41.62</v>
      </c>
      <c r="I18" s="53">
        <v>0.64</v>
      </c>
      <c r="J18" s="53">
        <v>1.29</v>
      </c>
      <c r="K18" s="53">
        <v>95.10</v>
      </c>
      <c r="L18" s="53">
        <v>30.45</v>
      </c>
      <c r="M18" s="53">
        <v>35.450000000000003</v>
      </c>
      <c r="N18" s="53">
        <v>494.30</v>
      </c>
      <c r="O18" s="53">
        <v>0</v>
      </c>
      <c r="P18" s="53">
        <v>1.06</v>
      </c>
      <c r="Q18" s="53">
        <v>30.27</v>
      </c>
      <c r="R18" s="45"/>
      <c r="S18" s="45"/>
      <c r="T18" s="45"/>
      <c r="U18" s="45"/>
    </row>
    <row r="19" spans="1:21" s="11" customFormat="1" ht="15">
      <c r="A19" s="52" t="s">
        <v>335</v>
      </c>
      <c r="B19" s="53">
        <v>19.89</v>
      </c>
      <c r="C19" s="53">
        <v>93.45</v>
      </c>
      <c r="D19" s="53">
        <v>67.53</v>
      </c>
      <c r="E19" s="53">
        <v>9.43</v>
      </c>
      <c r="F19" s="53">
        <v>5.1100000000000003</v>
      </c>
      <c r="G19" s="53">
        <v>88.05</v>
      </c>
      <c r="H19" s="53">
        <v>41.62</v>
      </c>
      <c r="I19" s="53">
        <v>0.63</v>
      </c>
      <c r="J19" s="53">
        <v>1.22</v>
      </c>
      <c r="K19" s="53">
        <v>93.23</v>
      </c>
      <c r="L19" s="53">
        <v>32.35</v>
      </c>
      <c r="M19" s="53">
        <v>33.159999999999997</v>
      </c>
      <c r="N19" s="53">
        <v>525.20000000000005</v>
      </c>
      <c r="O19" s="53">
        <v>0</v>
      </c>
      <c r="P19" s="53">
        <v>0.96</v>
      </c>
      <c r="Q19" s="53">
        <v>30.01</v>
      </c>
      <c r="R19" s="45"/>
      <c r="S19" s="45"/>
      <c r="T19" s="45"/>
      <c r="U19" s="45"/>
    </row>
    <row r="20" spans="1:21" s="11" customFormat="1" ht="15">
      <c r="A20" s="52" t="s">
        <v>336</v>
      </c>
      <c r="B20" s="53">
        <v>11.84</v>
      </c>
      <c r="C20" s="53">
        <v>89.73</v>
      </c>
      <c r="D20" s="53">
        <v>59.02</v>
      </c>
      <c r="E20" s="53">
        <v>10.43</v>
      </c>
      <c r="F20" s="53">
        <v>8.1999999999999993</v>
      </c>
      <c r="G20" s="53">
        <v>78.66</v>
      </c>
      <c r="H20" s="53">
        <v>33.36</v>
      </c>
      <c r="I20" s="53">
        <v>0.63</v>
      </c>
      <c r="J20" s="53">
        <v>2.1800000000000002</v>
      </c>
      <c r="K20" s="53">
        <v>359.74</v>
      </c>
      <c r="L20" s="53">
        <v>33.5</v>
      </c>
      <c r="M20" s="53">
        <v>24.25</v>
      </c>
      <c r="N20" s="53">
        <v>607.10</v>
      </c>
      <c r="O20" s="53">
        <v>0</v>
      </c>
      <c r="P20" s="53">
        <v>0.85</v>
      </c>
      <c r="Q20" s="53">
        <v>28.31</v>
      </c>
      <c r="R20" s="45"/>
      <c r="S20" s="45"/>
      <c r="T20" s="45"/>
      <c r="U20" s="45"/>
    </row>
    <row r="21" spans="1:21" s="11" customFormat="1" ht="15">
      <c r="A21" s="52" t="s">
        <v>337</v>
      </c>
      <c r="B21" s="53">
        <v>5.73</v>
      </c>
      <c r="C21" s="53">
        <v>85.38</v>
      </c>
      <c r="D21" s="53">
        <v>51.72</v>
      </c>
      <c r="E21" s="53">
        <v>7.90</v>
      </c>
      <c r="F21" s="53">
        <v>10.07</v>
      </c>
      <c r="G21" s="53">
        <v>67.45</v>
      </c>
      <c r="H21" s="53">
        <v>29.33</v>
      </c>
      <c r="I21" s="53">
        <v>0.60</v>
      </c>
      <c r="J21" s="53">
        <v>2.16</v>
      </c>
      <c r="K21" s="53">
        <v>359.26</v>
      </c>
      <c r="L21" s="53">
        <v>33.700000000000003</v>
      </c>
      <c r="M21" s="53">
        <v>19.43</v>
      </c>
      <c r="N21" s="53">
        <v>617.70000000000005</v>
      </c>
      <c r="O21" s="53">
        <v>0</v>
      </c>
      <c r="P21" s="53">
        <v>0.73</v>
      </c>
      <c r="Q21" s="53">
        <v>24</v>
      </c>
      <c r="R21" s="45"/>
      <c r="S21" s="45"/>
      <c r="T21" s="45"/>
      <c r="U21" s="45"/>
    </row>
    <row r="22" spans="1:21" s="11" customFormat="1" ht="15">
      <c r="A22" s="52" t="s">
        <v>338</v>
      </c>
      <c r="B22" s="53">
        <v>3.30</v>
      </c>
      <c r="C22" s="53">
        <v>80.41</v>
      </c>
      <c r="D22" s="53">
        <v>47.02</v>
      </c>
      <c r="E22" s="53">
        <v>7.76</v>
      </c>
      <c r="F22" s="53">
        <v>8.57</v>
      </c>
      <c r="G22" s="53">
        <v>67.45</v>
      </c>
      <c r="H22" s="53">
        <v>28.21</v>
      </c>
      <c r="I22" s="53">
        <v>0.56000000000000005</v>
      </c>
      <c r="J22" s="53">
        <v>2.12</v>
      </c>
      <c r="K22" s="53">
        <v>357.58</v>
      </c>
      <c r="L22" s="53">
        <v>33.92</v>
      </c>
      <c r="M22" s="53">
        <v>20.70</v>
      </c>
      <c r="N22" s="53">
        <v>529.90</v>
      </c>
      <c r="O22" s="53">
        <v>0</v>
      </c>
      <c r="P22" s="53">
        <v>0.66</v>
      </c>
      <c r="Q22" s="53">
        <v>23.68</v>
      </c>
      <c r="R22" s="45"/>
      <c r="S22" s="45"/>
      <c r="T22" s="45"/>
      <c r="U22" s="45"/>
    </row>
    <row r="23" spans="1:21" s="11" customFormat="1" ht="15">
      <c r="A23" s="52" t="s">
        <v>339</v>
      </c>
      <c r="B23" s="53">
        <v>1.96</v>
      </c>
      <c r="C23" s="53">
        <v>75.58</v>
      </c>
      <c r="D23" s="53">
        <v>43.28</v>
      </c>
      <c r="E23" s="53">
        <v>6.82</v>
      </c>
      <c r="F23" s="53">
        <v>8.75</v>
      </c>
      <c r="G23" s="53">
        <v>62.96</v>
      </c>
      <c r="H23" s="53">
        <v>26.01</v>
      </c>
      <c r="I23" s="53">
        <v>0.56000000000000005</v>
      </c>
      <c r="J23" s="53">
        <v>2.0499999999999998</v>
      </c>
      <c r="K23" s="53">
        <v>358.79</v>
      </c>
      <c r="L23" s="53">
        <v>33.979999999999997</v>
      </c>
      <c r="M23" s="53">
        <v>18.649999999999999</v>
      </c>
      <c r="N23" s="53">
        <v>469.30</v>
      </c>
      <c r="O23" s="53">
        <v>0</v>
      </c>
      <c r="P23" s="53">
        <v>0.61</v>
      </c>
      <c r="Q23" s="53">
        <v>23.01</v>
      </c>
      <c r="R23" s="45"/>
      <c r="S23" s="45"/>
      <c r="T23" s="45"/>
      <c r="U23" s="45"/>
    </row>
    <row r="24" spans="1:21" s="11" customFormat="1" ht="15">
      <c r="A24" s="52" t="s">
        <v>340</v>
      </c>
      <c r="B24" s="53">
        <v>4.1500000000000004</v>
      </c>
      <c r="C24" s="53">
        <v>70.44</v>
      </c>
      <c r="D24" s="53">
        <v>40.97</v>
      </c>
      <c r="E24" s="53">
        <v>7.56</v>
      </c>
      <c r="F24" s="53">
        <v>13.11</v>
      </c>
      <c r="G24" s="53">
        <v>57.44</v>
      </c>
      <c r="H24" s="53">
        <v>23.29</v>
      </c>
      <c r="I24" s="53">
        <v>0.55000000000000004</v>
      </c>
      <c r="J24" s="53">
        <v>1.49</v>
      </c>
      <c r="K24" s="53">
        <v>358.91</v>
      </c>
      <c r="L24" s="53">
        <v>32.65</v>
      </c>
      <c r="M24" s="53">
        <v>20.010000000000002</v>
      </c>
      <c r="N24" s="53">
        <v>371.20</v>
      </c>
      <c r="O24" s="53">
        <v>0</v>
      </c>
      <c r="P24" s="53">
        <v>0.56000000000000005</v>
      </c>
      <c r="Q24" s="53">
        <v>21.04</v>
      </c>
      <c r="R24" s="45"/>
      <c r="S24" s="45"/>
      <c r="T24" s="45"/>
      <c r="U24" s="45"/>
    </row>
    <row r="25" spans="1:21" s="11" customFormat="1" ht="15">
      <c r="A25" s="52" t="s">
        <v>341</v>
      </c>
      <c r="B25" s="53">
        <v>3.57</v>
      </c>
      <c r="C25" s="53">
        <v>73.739999999999995</v>
      </c>
      <c r="D25" s="53">
        <v>43.28</v>
      </c>
      <c r="E25" s="53">
        <v>7.38</v>
      </c>
      <c r="F25" s="53">
        <v>10.64</v>
      </c>
      <c r="G25" s="53">
        <v>59.17</v>
      </c>
      <c r="H25" s="53">
        <v>23.29</v>
      </c>
      <c r="I25" s="53">
        <v>0.56000000000000005</v>
      </c>
      <c r="J25" s="53">
        <v>1.5</v>
      </c>
      <c r="K25" s="53">
        <v>352.18</v>
      </c>
      <c r="L25" s="53">
        <v>30.47</v>
      </c>
      <c r="M25" s="53">
        <v>21.26</v>
      </c>
      <c r="N25" s="53">
        <v>155.69999999999999</v>
      </c>
      <c r="O25" s="53">
        <v>0</v>
      </c>
      <c r="P25" s="53">
        <v>0.56999999999999995</v>
      </c>
      <c r="Q25" s="53">
        <v>22.79</v>
      </c>
      <c r="R25" s="45"/>
      <c r="S25" s="45"/>
      <c r="T25" s="45"/>
      <c r="U25" s="45"/>
    </row>
    <row r="26" spans="1:21" s="11" customFormat="1" ht="15">
      <c r="A26" s="52" t="s">
        <v>342</v>
      </c>
      <c r="B26" s="53">
        <v>7.25</v>
      </c>
      <c r="C26" s="53">
        <v>81</v>
      </c>
      <c r="D26" s="53">
        <v>50.52</v>
      </c>
      <c r="E26" s="53">
        <v>6.66</v>
      </c>
      <c r="F26" s="53">
        <v>7.46</v>
      </c>
      <c r="G26" s="53">
        <v>59.17</v>
      </c>
      <c r="H26" s="53">
        <v>23.87</v>
      </c>
      <c r="I26" s="53">
        <v>0.56999999999999995</v>
      </c>
      <c r="J26" s="53">
        <v>0.82</v>
      </c>
      <c r="K26" s="53">
        <v>29.63</v>
      </c>
      <c r="L26" s="53">
        <v>28.62</v>
      </c>
      <c r="M26" s="53">
        <v>23.16</v>
      </c>
      <c r="N26" s="53">
        <v>39.90</v>
      </c>
      <c r="O26" s="53">
        <v>0</v>
      </c>
      <c r="P26" s="53">
        <v>0.74</v>
      </c>
      <c r="Q26" s="53">
        <v>24.27</v>
      </c>
      <c r="R26" s="45"/>
      <c r="S26" s="45"/>
      <c r="T26" s="45"/>
      <c r="U26" s="45"/>
    </row>
    <row r="27" spans="1:21" s="11" customFormat="1" ht="15">
      <c r="A27" s="52" t="s">
        <v>343</v>
      </c>
      <c r="B27" s="53">
        <v>31.29</v>
      </c>
      <c r="C27" s="53">
        <v>106.92</v>
      </c>
      <c r="D27" s="53">
        <v>84.10</v>
      </c>
      <c r="E27" s="53">
        <v>7.90</v>
      </c>
      <c r="F27" s="53">
        <v>5.51</v>
      </c>
      <c r="G27" s="53">
        <v>70.790000000000006</v>
      </c>
      <c r="H27" s="53">
        <v>26.17</v>
      </c>
      <c r="I27" s="53">
        <v>0.65</v>
      </c>
      <c r="J27" s="53">
        <v>0.12</v>
      </c>
      <c r="K27" s="53">
        <v>159.01</v>
      </c>
      <c r="L27" s="53">
        <v>26.38</v>
      </c>
      <c r="M27" s="53">
        <v>38.43</v>
      </c>
      <c r="N27" s="53">
        <v>5.0999999999999996</v>
      </c>
      <c r="O27" s="53">
        <v>0</v>
      </c>
      <c r="P27" s="53">
        <v>1.29</v>
      </c>
      <c r="Q27" s="53">
        <v>24.64</v>
      </c>
      <c r="R27" s="45"/>
      <c r="S27" s="45"/>
      <c r="T27" s="45"/>
      <c r="U27" s="45"/>
    </row>
    <row r="28" spans="1:21" s="11" customFormat="1" ht="15">
      <c r="A28" s="52" t="s">
        <v>344</v>
      </c>
      <c r="B28" s="53">
        <v>54.91</v>
      </c>
      <c r="C28" s="53">
        <v>115.12</v>
      </c>
      <c r="D28" s="53">
        <v>107.56</v>
      </c>
      <c r="E28" s="53">
        <v>8.32</v>
      </c>
      <c r="F28" s="53">
        <v>4.6399999999999997</v>
      </c>
      <c r="G28" s="53">
        <v>158.91</v>
      </c>
      <c r="H28" s="53">
        <v>34.909999999999997</v>
      </c>
      <c r="I28" s="53">
        <v>0.82</v>
      </c>
      <c r="J28" s="53">
        <v>0.15</v>
      </c>
      <c r="K28" s="53">
        <v>285.58999999999997</v>
      </c>
      <c r="L28" s="53">
        <v>23.65</v>
      </c>
      <c r="M28" s="53">
        <v>43.69</v>
      </c>
      <c r="N28" s="53">
        <v>4.4000000000000004</v>
      </c>
      <c r="O28" s="53">
        <v>0</v>
      </c>
      <c r="P28" s="53">
        <v>1.91</v>
      </c>
      <c r="Q28" s="53">
        <v>27.13</v>
      </c>
      <c r="R28" s="45"/>
      <c r="S28" s="45"/>
      <c r="T28" s="45"/>
      <c r="U28" s="45"/>
    </row>
    <row r="29" spans="1:21" s="11" customFormat="1" ht="15">
      <c r="A29" s="52" t="s">
        <v>345</v>
      </c>
      <c r="B29" s="53">
        <v>50.41</v>
      </c>
      <c r="C29" s="53">
        <v>111.38</v>
      </c>
      <c r="D29" s="53">
        <v>101.89</v>
      </c>
      <c r="E29" s="53">
        <v>7.35</v>
      </c>
      <c r="F29" s="53">
        <v>4.74</v>
      </c>
      <c r="G29" s="53">
        <v>177.32</v>
      </c>
      <c r="H29" s="53">
        <v>46.54</v>
      </c>
      <c r="I29" s="53">
        <v>1.01</v>
      </c>
      <c r="J29" s="53">
        <v>0.60</v>
      </c>
      <c r="K29" s="53">
        <v>359.25</v>
      </c>
      <c r="L29" s="53">
        <v>23.76</v>
      </c>
      <c r="M29" s="53">
        <v>47.76</v>
      </c>
      <c r="N29" s="53">
        <v>4.0999999999999996</v>
      </c>
      <c r="O29" s="53">
        <v>0</v>
      </c>
      <c r="P29" s="53">
        <v>2.0099999999999998</v>
      </c>
      <c r="Q29" s="53">
        <v>31.54</v>
      </c>
      <c r="R29" s="45"/>
      <c r="S29" s="45"/>
      <c r="T29" s="45"/>
      <c r="U29" s="45"/>
    </row>
    <row r="30" spans="1:21" s="11" customFormat="1" ht="15">
      <c r="A30" s="52" t="s">
        <v>346</v>
      </c>
      <c r="B30" s="53">
        <v>47.69</v>
      </c>
      <c r="C30" s="53">
        <v>110.30</v>
      </c>
      <c r="D30" s="53">
        <v>98.99</v>
      </c>
      <c r="E30" s="53">
        <v>9.58</v>
      </c>
      <c r="F30" s="53">
        <v>4.88</v>
      </c>
      <c r="G30" s="53">
        <v>177.32</v>
      </c>
      <c r="H30" s="53">
        <v>46.54</v>
      </c>
      <c r="I30" s="53">
        <v>0.99</v>
      </c>
      <c r="J30" s="53">
        <v>0.85</v>
      </c>
      <c r="K30" s="53">
        <v>18.940000000000001</v>
      </c>
      <c r="L30" s="53">
        <v>23.34</v>
      </c>
      <c r="M30" s="53">
        <v>30.87</v>
      </c>
      <c r="N30" s="53">
        <v>4.30</v>
      </c>
      <c r="O30" s="53">
        <v>0</v>
      </c>
      <c r="P30" s="53">
        <v>1.97</v>
      </c>
      <c r="Q30" s="53">
        <v>31.5</v>
      </c>
      <c r="R30" s="45"/>
      <c r="S30" s="45"/>
      <c r="T30" s="45"/>
      <c r="U30" s="45"/>
    </row>
    <row r="31" spans="1:21" s="11" customFormat="1" ht="15">
      <c r="A31" s="52" t="s">
        <v>347</v>
      </c>
      <c r="B31" s="53">
        <v>43.86</v>
      </c>
      <c r="C31" s="53">
        <v>109.73</v>
      </c>
      <c r="D31" s="53">
        <v>95.73</v>
      </c>
      <c r="E31" s="53">
        <v>17.72</v>
      </c>
      <c r="F31" s="53">
        <v>5.41</v>
      </c>
      <c r="G31" s="53">
        <v>116.20</v>
      </c>
      <c r="H31" s="53">
        <v>46.49</v>
      </c>
      <c r="I31" s="53">
        <v>0.86</v>
      </c>
      <c r="J31" s="53">
        <v>0.97</v>
      </c>
      <c r="K31" s="53">
        <v>19.690000000000001</v>
      </c>
      <c r="L31" s="53">
        <v>22.69</v>
      </c>
      <c r="M31" s="53">
        <v>31.38</v>
      </c>
      <c r="N31" s="53">
        <v>4.20</v>
      </c>
      <c r="O31" s="53">
        <v>0</v>
      </c>
      <c r="P31" s="53">
        <v>1.87</v>
      </c>
      <c r="Q31" s="53">
        <v>29.81</v>
      </c>
      <c r="R31" s="45"/>
      <c r="S31" s="45"/>
      <c r="T31" s="45"/>
      <c r="U31" s="45"/>
    </row>
    <row r="32" spans="1:21" s="11" customFormat="1" ht="15">
      <c r="A32" s="52" t="s">
        <v>348</v>
      </c>
      <c r="B32" s="53">
        <v>37.5</v>
      </c>
      <c r="C32" s="53">
        <v>103.68</v>
      </c>
      <c r="D32" s="53">
        <v>87.29</v>
      </c>
      <c r="E32" s="53">
        <v>13.51</v>
      </c>
      <c r="F32" s="53">
        <v>5.0599999999999996</v>
      </c>
      <c r="G32" s="53">
        <v>115.76</v>
      </c>
      <c r="H32" s="53">
        <v>46.49</v>
      </c>
      <c r="I32" s="53">
        <v>0.86</v>
      </c>
      <c r="J32" s="53">
        <v>0.64</v>
      </c>
      <c r="K32" s="53">
        <v>18.690000000000001</v>
      </c>
      <c r="L32" s="53">
        <v>21.69</v>
      </c>
      <c r="M32" s="53">
        <v>33.25</v>
      </c>
      <c r="N32" s="53">
        <v>4.5</v>
      </c>
      <c r="O32" s="53">
        <v>0</v>
      </c>
      <c r="P32" s="53">
        <v>1.98</v>
      </c>
      <c r="Q32" s="53">
        <v>29.30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1.96</v>
      </c>
      <c r="C34" s="28">
        <f t="shared" si="0"/>
        <v>70.439999999999998</v>
      </c>
      <c r="D34" s="28">
        <f t="shared" si="0"/>
        <v>40.969999999999999</v>
      </c>
      <c r="E34" s="28">
        <f t="shared" si="0"/>
        <v>6.6600000000000001</v>
      </c>
      <c r="F34" s="28">
        <f t="shared" si="0"/>
        <v>4.5</v>
      </c>
      <c r="G34" s="28">
        <f t="shared" si="0"/>
        <v>49.789999999999999</v>
      </c>
      <c r="H34" s="28">
        <f t="shared" si="0"/>
        <v>22.899999999999999</v>
      </c>
      <c r="I34" s="28">
        <f t="shared" si="0"/>
        <v>0.55000000000000004</v>
      </c>
      <c r="J34" s="28">
        <f t="shared" si="0"/>
        <v>0.12</v>
      </c>
      <c r="K34" s="28">
        <f t="shared" si="0"/>
        <v>18.690000000000001</v>
      </c>
      <c r="L34" s="28">
        <f t="shared" si="0"/>
        <v>18.260000000000002</v>
      </c>
      <c r="M34" s="28">
        <f t="shared" si="0"/>
        <v>18.649999999999999</v>
      </c>
      <c r="N34" s="28">
        <f t="shared" si="0"/>
        <v>4.0999999999999996</v>
      </c>
      <c r="O34" s="28">
        <f t="shared" si="0"/>
        <v>0</v>
      </c>
      <c r="P34" s="28">
        <f t="shared" si="0"/>
        <v>0.56000000000000005</v>
      </c>
      <c r="Q34" s="28">
        <f t="shared" si="0"/>
        <v>21.039999999999999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54.909999999999997</v>
      </c>
      <c r="C35" s="29">
        <f t="shared" si="1"/>
        <v>115.12</v>
      </c>
      <c r="D35" s="29">
        <f t="shared" si="1"/>
        <v>107.56</v>
      </c>
      <c r="E35" s="29">
        <f t="shared" si="1"/>
        <v>17.719999999999999</v>
      </c>
      <c r="F35" s="29">
        <f t="shared" si="1"/>
        <v>13.109999999999999</v>
      </c>
      <c r="G35" s="29">
        <f t="shared" si="1"/>
        <v>177.31999999999999</v>
      </c>
      <c r="H35" s="29">
        <f t="shared" si="1"/>
        <v>46.539999999999999</v>
      </c>
      <c r="I35" s="29">
        <f t="shared" si="1"/>
        <v>1.01</v>
      </c>
      <c r="J35" s="29">
        <f t="shared" si="1"/>
        <v>2.1800000000000002</v>
      </c>
      <c r="K35" s="29">
        <f t="shared" si="1"/>
        <v>359.74000000000001</v>
      </c>
      <c r="L35" s="29">
        <f t="shared" si="1"/>
        <v>33.979999999999997</v>
      </c>
      <c r="M35" s="29">
        <f t="shared" si="1"/>
        <v>60.149999999999999</v>
      </c>
      <c r="N35" s="29">
        <f t="shared" si="1"/>
        <v>617.70000000000005</v>
      </c>
      <c r="O35" s="29">
        <f t="shared" si="1"/>
        <v>0</v>
      </c>
      <c r="P35" s="29">
        <f t="shared" si="1"/>
        <v>2.0099999999999998</v>
      </c>
      <c r="Q35" s="29">
        <f t="shared" si="1"/>
        <v>31.539999999999999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19.899166666666666</v>
      </c>
      <c r="C36" s="28">
        <f t="shared" si="2"/>
        <v>90.140833333333333</v>
      </c>
      <c r="D36" s="28">
        <f t="shared" si="2"/>
        <v>65.637083333333337</v>
      </c>
      <c r="E36" s="28">
        <f t="shared" si="2"/>
        <v>9.1795833333333352</v>
      </c>
      <c r="F36" s="28">
        <f t="shared" si="2"/>
        <v>6.2970833333333331</v>
      </c>
      <c r="G36" s="28">
        <f t="shared" si="2"/>
        <v>83.547083333333333</v>
      </c>
      <c r="H36" s="28">
        <f t="shared" si="2"/>
        <v>32.291666666666664</v>
      </c>
      <c r="I36" s="28">
        <f t="shared" si="2"/>
        <v>0.6775000000000001</v>
      </c>
      <c r="J36" s="28">
        <f t="shared" si="2"/>
        <v>1.0041666666666667</v>
      </c>
      <c r="K36" s="28">
        <f t="shared" si="2"/>
        <v>239.1670833333333</v>
      </c>
      <c r="L36" s="28">
        <f t="shared" si="2"/>
        <v>26.237500000000001</v>
      </c>
      <c r="M36" s="28">
        <f t="shared" si="2"/>
        <v>36.246249999999996</v>
      </c>
      <c r="N36" s="28">
        <f t="shared" si="2"/>
        <v>187.48333333333335</v>
      </c>
      <c r="O36" s="28">
        <f t="shared" si="2"/>
        <v>0</v>
      </c>
      <c r="P36" s="28">
        <f t="shared" si="2"/>
        <v>1.0908333333333333</v>
      </c>
      <c r="Q36" s="28">
        <f t="shared" si="2"/>
        <v>27.74958333333333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16.334822211051662</v>
      </c>
      <c r="C37" s="28">
        <f t="shared" si="3" ref="C37:Q37">STDEV(C9:C32)</f>
        <v>13.407796536754809</v>
      </c>
      <c r="D37" s="28">
        <f t="shared" si="3"/>
        <v>20.372855871001001</v>
      </c>
      <c r="E37" s="28">
        <f t="shared" si="3"/>
        <v>2.8369924049593607</v>
      </c>
      <c r="F37" s="28">
        <f t="shared" si="3"/>
        <v>2.3584436267546676</v>
      </c>
      <c r="G37" s="28">
        <f t="shared" si="3"/>
        <v>37.880351276912926</v>
      </c>
      <c r="H37" s="28">
        <f t="shared" si="3"/>
        <v>8.3204142176711215</v>
      </c>
      <c r="I37" s="28">
        <f t="shared" si="3"/>
        <v>0.13188433667751989</v>
      </c>
      <c r="J37" s="28">
        <f t="shared" si="3"/>
        <v>0.62717390048476607</v>
      </c>
      <c r="K37" s="28">
        <f t="shared" si="3"/>
        <v>150.88089372456409</v>
      </c>
      <c r="L37" s="28">
        <f t="shared" si="3"/>
        <v>5.4697692901032173</v>
      </c>
      <c r="M37" s="28">
        <f t="shared" si="3"/>
        <v>12.678010683514378</v>
      </c>
      <c r="N37" s="28">
        <f t="shared" si="3"/>
        <v>236.79660629667643</v>
      </c>
      <c r="O37" s="28">
        <f t="shared" si="3"/>
        <v>0</v>
      </c>
      <c r="P37" s="28">
        <f t="shared" si="3"/>
        <v>0.48824367282942954</v>
      </c>
      <c r="Q37" s="28">
        <f t="shared" si="3"/>
        <v>3.0834882550191232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6c9291-9d9b-40d7-837c-ff79a135763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349</v>
      </c>
      <c r="B9" s="53">
        <v>34.130000000000003</v>
      </c>
      <c r="C9" s="53">
        <v>98.74</v>
      </c>
      <c r="D9" s="53">
        <v>81.87</v>
      </c>
      <c r="E9" s="53">
        <v>10.93</v>
      </c>
      <c r="F9" s="53">
        <v>4.6900000000000004</v>
      </c>
      <c r="G9" s="53">
        <v>132.59</v>
      </c>
      <c r="H9" s="53">
        <v>45.20</v>
      </c>
      <c r="I9" s="53">
        <v>0.77</v>
      </c>
      <c r="J9" s="53">
        <v>0.32</v>
      </c>
      <c r="K9" s="53">
        <v>70.95</v>
      </c>
      <c r="L9" s="53">
        <v>20.38</v>
      </c>
      <c r="M9" s="53">
        <v>43.13</v>
      </c>
      <c r="N9" s="53">
        <v>4.5999999999999996</v>
      </c>
      <c r="O9" s="53">
        <v>0</v>
      </c>
      <c r="P9" s="53">
        <v>1.91</v>
      </c>
      <c r="Q9" s="53">
        <v>29.59</v>
      </c>
      <c r="R9" s="45"/>
      <c r="S9" s="45"/>
      <c r="T9" s="45"/>
      <c r="U9" s="45"/>
    </row>
    <row r="10" spans="1:21" s="11" customFormat="1" ht="15">
      <c r="A10" s="52" t="s">
        <v>350</v>
      </c>
      <c r="B10" s="53">
        <v>31.26</v>
      </c>
      <c r="C10" s="53">
        <v>95.85</v>
      </c>
      <c r="D10" s="53">
        <v>77.97</v>
      </c>
      <c r="E10" s="53">
        <v>10.36</v>
      </c>
      <c r="F10" s="53">
        <v>4.6100000000000003</v>
      </c>
      <c r="G10" s="53">
        <v>132.59</v>
      </c>
      <c r="H10" s="53">
        <v>48.46</v>
      </c>
      <c r="I10" s="53">
        <v>0.72</v>
      </c>
      <c r="J10" s="53">
        <v>0.26</v>
      </c>
      <c r="K10" s="53">
        <v>357.91</v>
      </c>
      <c r="L10" s="53">
        <v>18.670000000000002</v>
      </c>
      <c r="M10" s="53">
        <v>47.77</v>
      </c>
      <c r="N10" s="53">
        <v>4.4000000000000004</v>
      </c>
      <c r="O10" s="53">
        <v>0</v>
      </c>
      <c r="P10" s="53">
        <v>1.66</v>
      </c>
      <c r="Q10" s="53">
        <v>29.71</v>
      </c>
      <c r="R10" s="45"/>
      <c r="S10" s="45"/>
      <c r="T10" s="45"/>
      <c r="U10" s="45"/>
    </row>
    <row r="11" spans="1:21" s="11" customFormat="1" ht="15">
      <c r="A11" s="52" t="s">
        <v>351</v>
      </c>
      <c r="B11" s="53">
        <v>26.60</v>
      </c>
      <c r="C11" s="53">
        <v>90.41</v>
      </c>
      <c r="D11" s="53">
        <v>71.23</v>
      </c>
      <c r="E11" s="53">
        <v>8.83</v>
      </c>
      <c r="F11" s="53">
        <v>4.75</v>
      </c>
      <c r="G11" s="53">
        <v>129.25</v>
      </c>
      <c r="H11" s="53">
        <v>48.69</v>
      </c>
      <c r="I11" s="53">
        <v>0.70</v>
      </c>
      <c r="J11" s="53">
        <v>0.52</v>
      </c>
      <c r="K11" s="53">
        <v>15.91</v>
      </c>
      <c r="L11" s="53">
        <v>18.02</v>
      </c>
      <c r="M11" s="53">
        <v>47.38</v>
      </c>
      <c r="N11" s="53">
        <v>4.20</v>
      </c>
      <c r="O11" s="53">
        <v>0</v>
      </c>
      <c r="P11" s="53">
        <v>1.53</v>
      </c>
      <c r="Q11" s="53">
        <v>28.48</v>
      </c>
      <c r="R11" s="45"/>
      <c r="S11" s="45"/>
      <c r="T11" s="45"/>
      <c r="U11" s="45"/>
    </row>
    <row r="12" spans="1:21" s="11" customFormat="1" ht="15">
      <c r="A12" s="52" t="s">
        <v>352</v>
      </c>
      <c r="B12" s="53">
        <v>21.78</v>
      </c>
      <c r="C12" s="53">
        <v>85.39</v>
      </c>
      <c r="D12" s="53">
        <v>64.59</v>
      </c>
      <c r="E12" s="53">
        <v>7.81</v>
      </c>
      <c r="F12" s="53">
        <v>4.66</v>
      </c>
      <c r="G12" s="53">
        <v>115.90</v>
      </c>
      <c r="H12" s="53">
        <v>48.69</v>
      </c>
      <c r="I12" s="53">
        <v>0.73</v>
      </c>
      <c r="J12" s="53">
        <v>0.28000000000000003</v>
      </c>
      <c r="K12" s="53">
        <v>271.76</v>
      </c>
      <c r="L12" s="53">
        <v>17.5</v>
      </c>
      <c r="M12" s="53">
        <v>44.81</v>
      </c>
      <c r="N12" s="53">
        <v>4.5999999999999996</v>
      </c>
      <c r="O12" s="53">
        <v>0</v>
      </c>
      <c r="P12" s="53">
        <v>1.35</v>
      </c>
      <c r="Q12" s="53">
        <v>28.53</v>
      </c>
      <c r="R12" s="45"/>
      <c r="S12" s="45"/>
      <c r="T12" s="45"/>
      <c r="U12" s="45"/>
    </row>
    <row r="13" spans="1:21" s="11" customFormat="1" ht="15">
      <c r="A13" s="52" t="s">
        <v>353</v>
      </c>
      <c r="B13" s="53">
        <v>17.059999999999999</v>
      </c>
      <c r="C13" s="53">
        <v>81.13</v>
      </c>
      <c r="D13" s="53">
        <v>58.46</v>
      </c>
      <c r="E13" s="53">
        <v>9.25</v>
      </c>
      <c r="F13" s="53">
        <v>4.6399999999999997</v>
      </c>
      <c r="G13" s="53">
        <v>98.63</v>
      </c>
      <c r="H13" s="53">
        <v>55.53</v>
      </c>
      <c r="I13" s="53">
        <v>0.68</v>
      </c>
      <c r="J13" s="53">
        <v>0.25</v>
      </c>
      <c r="K13" s="53">
        <v>268.22000000000003</v>
      </c>
      <c r="L13" s="53">
        <v>16.899999999999999</v>
      </c>
      <c r="M13" s="53">
        <v>40.200000000000003</v>
      </c>
      <c r="N13" s="53">
        <v>4.20</v>
      </c>
      <c r="O13" s="53">
        <v>0</v>
      </c>
      <c r="P13" s="53">
        <v>1.20</v>
      </c>
      <c r="Q13" s="53">
        <v>28.46</v>
      </c>
      <c r="R13" s="45"/>
      <c r="S13" s="45"/>
      <c r="T13" s="45"/>
      <c r="U13" s="45"/>
    </row>
    <row r="14" spans="1:21" s="11" customFormat="1" ht="15">
      <c r="A14" s="52" t="s">
        <v>354</v>
      </c>
      <c r="B14" s="53">
        <v>16.12</v>
      </c>
      <c r="C14" s="53">
        <v>79.33</v>
      </c>
      <c r="D14" s="53">
        <v>56.42</v>
      </c>
      <c r="E14" s="53">
        <v>8.66</v>
      </c>
      <c r="F14" s="53">
        <v>4.58</v>
      </c>
      <c r="G14" s="53">
        <v>98.63</v>
      </c>
      <c r="H14" s="53">
        <v>55.53</v>
      </c>
      <c r="I14" s="53">
        <v>0.67</v>
      </c>
      <c r="J14" s="53">
        <v>0.10</v>
      </c>
      <c r="K14" s="53">
        <v>306.72000000000003</v>
      </c>
      <c r="L14" s="53">
        <v>15.82</v>
      </c>
      <c r="M14" s="53">
        <v>57.15</v>
      </c>
      <c r="N14" s="53">
        <v>4.4000000000000004</v>
      </c>
      <c r="O14" s="53">
        <v>0</v>
      </c>
      <c r="P14" s="53">
        <v>1.1000000000000001</v>
      </c>
      <c r="Q14" s="53">
        <v>27.38</v>
      </c>
      <c r="R14" s="45"/>
      <c r="S14" s="45"/>
      <c r="T14" s="45"/>
      <c r="U14" s="45"/>
    </row>
    <row r="15" spans="1:21" s="11" customFormat="1" ht="15">
      <c r="A15" s="52" t="s">
        <v>355</v>
      </c>
      <c r="B15" s="53">
        <v>17.690000000000001</v>
      </c>
      <c r="C15" s="53">
        <v>78.290000000000006</v>
      </c>
      <c r="D15" s="53">
        <v>57.40</v>
      </c>
      <c r="E15" s="53">
        <v>7.58</v>
      </c>
      <c r="F15" s="53">
        <v>4.68</v>
      </c>
      <c r="G15" s="53">
        <v>100.20</v>
      </c>
      <c r="H15" s="53">
        <v>54.10</v>
      </c>
      <c r="I15" s="53">
        <v>0.63</v>
      </c>
      <c r="J15" s="53">
        <v>0.13</v>
      </c>
      <c r="K15" s="53">
        <v>318.49</v>
      </c>
      <c r="L15" s="53">
        <v>14.86</v>
      </c>
      <c r="M15" s="53">
        <v>51.79</v>
      </c>
      <c r="N15" s="53">
        <v>23.30</v>
      </c>
      <c r="O15" s="53">
        <v>0</v>
      </c>
      <c r="P15" s="53">
        <v>1.03</v>
      </c>
      <c r="Q15" s="53">
        <v>26.27</v>
      </c>
      <c r="R15" s="45"/>
      <c r="S15" s="45"/>
      <c r="T15" s="45"/>
      <c r="U15" s="45"/>
    </row>
    <row r="16" spans="1:21" s="11" customFormat="1" ht="15">
      <c r="A16" s="52" t="s">
        <v>356</v>
      </c>
      <c r="B16" s="53">
        <v>23.61</v>
      </c>
      <c r="C16" s="53">
        <v>85.30</v>
      </c>
      <c r="D16" s="53">
        <v>65.569999999999993</v>
      </c>
      <c r="E16" s="53">
        <v>7.65</v>
      </c>
      <c r="F16" s="53">
        <v>4.72</v>
      </c>
      <c r="G16" s="53">
        <v>100.20</v>
      </c>
      <c r="H16" s="53">
        <v>44.58</v>
      </c>
      <c r="I16" s="53">
        <v>0.65</v>
      </c>
      <c r="J16" s="53">
        <v>0.76</v>
      </c>
      <c r="K16" s="53">
        <v>353.41</v>
      </c>
      <c r="L16" s="53">
        <v>22.40</v>
      </c>
      <c r="M16" s="53">
        <v>48.10</v>
      </c>
      <c r="N16" s="53">
        <v>258.30</v>
      </c>
      <c r="O16" s="53">
        <v>0</v>
      </c>
      <c r="P16" s="53">
        <v>1.02</v>
      </c>
      <c r="Q16" s="53">
        <v>26.74</v>
      </c>
      <c r="R16" s="45"/>
      <c r="S16" s="45"/>
      <c r="T16" s="45"/>
      <c r="U16" s="45"/>
    </row>
    <row r="17" spans="1:21" s="11" customFormat="1" ht="15">
      <c r="A17" s="52" t="s">
        <v>357</v>
      </c>
      <c r="B17" s="53">
        <v>21.42</v>
      </c>
      <c r="C17" s="53">
        <v>87.91</v>
      </c>
      <c r="D17" s="53">
        <v>64.73</v>
      </c>
      <c r="E17" s="53">
        <v>7.14</v>
      </c>
      <c r="F17" s="53">
        <v>4.79</v>
      </c>
      <c r="G17" s="53">
        <v>91.18</v>
      </c>
      <c r="H17" s="53">
        <v>42</v>
      </c>
      <c r="I17" s="53">
        <v>0.63</v>
      </c>
      <c r="J17" s="53">
        <v>1.08</v>
      </c>
      <c r="K17" s="53">
        <v>357.08</v>
      </c>
      <c r="L17" s="53">
        <v>28.81</v>
      </c>
      <c r="M17" s="53">
        <v>27.25</v>
      </c>
      <c r="N17" s="53">
        <v>429.90</v>
      </c>
      <c r="O17" s="53">
        <v>0</v>
      </c>
      <c r="P17" s="53">
        <v>0.95</v>
      </c>
      <c r="Q17" s="53">
        <v>26.41</v>
      </c>
      <c r="R17" s="45"/>
      <c r="S17" s="45"/>
      <c r="T17" s="45"/>
      <c r="U17" s="45"/>
    </row>
    <row r="18" spans="1:21" s="11" customFormat="1" ht="15">
      <c r="A18" s="52" t="s">
        <v>358</v>
      </c>
      <c r="B18" s="53">
        <v>16.28</v>
      </c>
      <c r="C18" s="53">
        <v>87.37</v>
      </c>
      <c r="D18" s="53">
        <v>61.27</v>
      </c>
      <c r="E18" s="53">
        <v>7.32</v>
      </c>
      <c r="F18" s="53">
        <v>5.52</v>
      </c>
      <c r="G18" s="53">
        <v>58.47</v>
      </c>
      <c r="H18" s="53">
        <v>34.380000000000003</v>
      </c>
      <c r="I18" s="53">
        <v>0.62</v>
      </c>
      <c r="J18" s="53">
        <v>1.83</v>
      </c>
      <c r="K18" s="53">
        <v>358.92</v>
      </c>
      <c r="L18" s="53">
        <v>30.81</v>
      </c>
      <c r="M18" s="53">
        <v>19.91</v>
      </c>
      <c r="N18" s="53">
        <v>516.60</v>
      </c>
      <c r="O18" s="53">
        <v>0</v>
      </c>
      <c r="P18" s="53">
        <v>0.87</v>
      </c>
      <c r="Q18" s="53">
        <v>24.64</v>
      </c>
      <c r="R18" s="45"/>
      <c r="S18" s="45"/>
      <c r="T18" s="45"/>
      <c r="U18" s="45"/>
    </row>
    <row r="19" spans="1:21" s="11" customFormat="1" ht="15">
      <c r="A19" s="52" t="s">
        <v>359</v>
      </c>
      <c r="B19" s="53">
        <v>9.41</v>
      </c>
      <c r="C19" s="53">
        <v>83.82</v>
      </c>
      <c r="D19" s="53">
        <v>53.80</v>
      </c>
      <c r="E19" s="53">
        <v>7.90</v>
      </c>
      <c r="F19" s="53">
        <v>6.37</v>
      </c>
      <c r="G19" s="53">
        <v>57.24</v>
      </c>
      <c r="H19" s="53">
        <v>30.93</v>
      </c>
      <c r="I19" s="53">
        <v>0.57999999999999996</v>
      </c>
      <c r="J19" s="53">
        <v>2.23</v>
      </c>
      <c r="K19" s="53">
        <v>19.55</v>
      </c>
      <c r="L19" s="53">
        <v>31.66</v>
      </c>
      <c r="M19" s="53">
        <v>17.600000000000001</v>
      </c>
      <c r="N19" s="53">
        <v>571.90</v>
      </c>
      <c r="O19" s="53">
        <v>0</v>
      </c>
      <c r="P19" s="53">
        <v>0.78</v>
      </c>
      <c r="Q19" s="53">
        <v>22.5</v>
      </c>
      <c r="R19" s="45"/>
      <c r="S19" s="45"/>
      <c r="T19" s="45"/>
      <c r="U19" s="45"/>
    </row>
    <row r="20" spans="1:21" s="11" customFormat="1" ht="15">
      <c r="A20" s="52" t="s">
        <v>360</v>
      </c>
      <c r="B20" s="53">
        <v>4.18</v>
      </c>
      <c r="C20" s="53">
        <v>79.03</v>
      </c>
      <c r="D20" s="53">
        <v>46.97</v>
      </c>
      <c r="E20" s="53">
        <v>6.90</v>
      </c>
      <c r="F20" s="53">
        <v>6.55</v>
      </c>
      <c r="G20" s="53">
        <v>55.21</v>
      </c>
      <c r="H20" s="53">
        <v>27.76</v>
      </c>
      <c r="I20" s="53">
        <v>0.56999999999999995</v>
      </c>
      <c r="J20" s="53">
        <v>1.84</v>
      </c>
      <c r="K20" s="53">
        <v>15.53</v>
      </c>
      <c r="L20" s="53">
        <v>33.130000000000003</v>
      </c>
      <c r="M20" s="53">
        <v>14.58</v>
      </c>
      <c r="N20" s="53">
        <v>652.5</v>
      </c>
      <c r="O20" s="53">
        <v>0</v>
      </c>
      <c r="P20" s="53">
        <v>0.71</v>
      </c>
      <c r="Q20" s="53">
        <v>21.83</v>
      </c>
      <c r="R20" s="45"/>
      <c r="S20" s="45"/>
      <c r="T20" s="45"/>
      <c r="U20" s="45"/>
    </row>
    <row r="21" spans="1:21" s="11" customFormat="1" ht="15">
      <c r="A21" s="52" t="s">
        <v>361</v>
      </c>
      <c r="B21" s="53">
        <v>3.12</v>
      </c>
      <c r="C21" s="53">
        <v>74.02</v>
      </c>
      <c r="D21" s="53">
        <v>42.82</v>
      </c>
      <c r="E21" s="53">
        <v>6.39</v>
      </c>
      <c r="F21" s="53">
        <v>6.81</v>
      </c>
      <c r="G21" s="53">
        <v>42.08</v>
      </c>
      <c r="H21" s="53">
        <v>25.19</v>
      </c>
      <c r="I21" s="53">
        <v>0.55000000000000004</v>
      </c>
      <c r="J21" s="53">
        <v>1.1200000000000001</v>
      </c>
      <c r="K21" s="53">
        <v>19.84</v>
      </c>
      <c r="L21" s="53">
        <v>33.409999999999997</v>
      </c>
      <c r="M21" s="53">
        <v>11.98</v>
      </c>
      <c r="N21" s="53">
        <v>658.10</v>
      </c>
      <c r="O21" s="53">
        <v>0</v>
      </c>
      <c r="P21" s="53">
        <v>0.66</v>
      </c>
      <c r="Q21" s="53">
        <v>20.89</v>
      </c>
      <c r="R21" s="45"/>
      <c r="S21" s="45"/>
      <c r="T21" s="45"/>
      <c r="U21" s="45"/>
    </row>
    <row r="22" spans="1:21" s="11" customFormat="1" ht="15">
      <c r="A22" s="52" t="s">
        <v>362</v>
      </c>
      <c r="B22" s="53">
        <v>3.48</v>
      </c>
      <c r="C22" s="53">
        <v>71.33</v>
      </c>
      <c r="D22" s="53">
        <v>42</v>
      </c>
      <c r="E22" s="53">
        <v>6.41</v>
      </c>
      <c r="F22" s="53">
        <v>6.75</v>
      </c>
      <c r="G22" s="53">
        <v>28.73</v>
      </c>
      <c r="H22" s="53">
        <v>20.94</v>
      </c>
      <c r="I22" s="53">
        <v>0.56999999999999995</v>
      </c>
      <c r="J22" s="53">
        <v>1.37</v>
      </c>
      <c r="K22" s="53">
        <v>10.37</v>
      </c>
      <c r="L22" s="53">
        <v>33.409999999999997</v>
      </c>
      <c r="M22" s="53">
        <v>11.76</v>
      </c>
      <c r="N22" s="53">
        <v>581.20000000000005</v>
      </c>
      <c r="O22" s="53">
        <v>0</v>
      </c>
      <c r="P22" s="53">
        <v>0.61</v>
      </c>
      <c r="Q22" s="53">
        <v>20.239999999999998</v>
      </c>
      <c r="R22" s="45"/>
      <c r="S22" s="45"/>
      <c r="T22" s="45"/>
      <c r="U22" s="45"/>
    </row>
    <row r="23" spans="1:21" s="11" customFormat="1" ht="15">
      <c r="A23" s="52" t="s">
        <v>363</v>
      </c>
      <c r="B23" s="53">
        <v>2.82</v>
      </c>
      <c r="C23" s="53">
        <v>70.290000000000006</v>
      </c>
      <c r="D23" s="53">
        <v>41.05</v>
      </c>
      <c r="E23" s="53">
        <v>6.32</v>
      </c>
      <c r="F23" s="53">
        <v>7.38</v>
      </c>
      <c r="G23" s="53">
        <v>36.25</v>
      </c>
      <c r="H23" s="53">
        <v>19.61</v>
      </c>
      <c r="I23" s="53">
        <v>0.56000000000000005</v>
      </c>
      <c r="J23" s="53">
        <v>0.76</v>
      </c>
      <c r="K23" s="53">
        <v>18.84</v>
      </c>
      <c r="L23" s="53">
        <v>33.21</v>
      </c>
      <c r="M23" s="53">
        <v>12.04</v>
      </c>
      <c r="N23" s="53">
        <v>495.20</v>
      </c>
      <c r="O23" s="53">
        <v>0</v>
      </c>
      <c r="P23" s="53">
        <v>0.59</v>
      </c>
      <c r="Q23" s="53">
        <v>21.51</v>
      </c>
      <c r="R23" s="45"/>
      <c r="S23" s="45"/>
      <c r="T23" s="45"/>
      <c r="U23" s="45"/>
    </row>
    <row r="24" spans="1:21" s="11" customFormat="1" ht="15">
      <c r="A24" s="52" t="s">
        <v>364</v>
      </c>
      <c r="B24" s="53">
        <v>2.36</v>
      </c>
      <c r="C24" s="53">
        <v>68.59</v>
      </c>
      <c r="D24" s="53">
        <v>39.729999999999997</v>
      </c>
      <c r="E24" s="53">
        <v>5.89</v>
      </c>
      <c r="F24" s="53">
        <v>7.06</v>
      </c>
      <c r="G24" s="53">
        <v>36.25</v>
      </c>
      <c r="H24" s="53">
        <v>17</v>
      </c>
      <c r="I24" s="53">
        <v>0.54</v>
      </c>
      <c r="J24" s="53">
        <v>1.41</v>
      </c>
      <c r="K24" s="53">
        <v>355.05</v>
      </c>
      <c r="L24" s="53">
        <v>32.18</v>
      </c>
      <c r="M24" s="53">
        <v>13.13</v>
      </c>
      <c r="N24" s="53">
        <v>412.5</v>
      </c>
      <c r="O24" s="53">
        <v>0</v>
      </c>
      <c r="P24" s="53">
        <v>0.56000000000000005</v>
      </c>
      <c r="Q24" s="53">
        <v>21.66</v>
      </c>
      <c r="R24" s="45"/>
      <c r="S24" s="45"/>
      <c r="T24" s="45"/>
      <c r="U24" s="45"/>
    </row>
    <row r="25" spans="1:21" s="11" customFormat="1" ht="15">
      <c r="A25" s="52" t="s">
        <v>365</v>
      </c>
      <c r="B25" s="53">
        <v>5.47</v>
      </c>
      <c r="C25" s="53">
        <v>72.099999999999994</v>
      </c>
      <c r="D25" s="53">
        <v>44.18</v>
      </c>
      <c r="E25" s="53">
        <v>6.35</v>
      </c>
      <c r="F25" s="53">
        <v>8.56</v>
      </c>
      <c r="G25" s="53">
        <v>31.97</v>
      </c>
      <c r="H25" s="53">
        <v>16.739999999999998</v>
      </c>
      <c r="I25" s="53">
        <v>0.55000000000000004</v>
      </c>
      <c r="J25" s="53">
        <v>1.39</v>
      </c>
      <c r="K25" s="53">
        <v>348.41</v>
      </c>
      <c r="L25" s="53">
        <v>29.67</v>
      </c>
      <c r="M25" s="53">
        <v>15.24</v>
      </c>
      <c r="N25" s="53">
        <v>168.80</v>
      </c>
      <c r="O25" s="53">
        <v>0</v>
      </c>
      <c r="P25" s="53">
        <v>0.56000000000000005</v>
      </c>
      <c r="Q25" s="53">
        <v>20.47</v>
      </c>
      <c r="R25" s="45"/>
      <c r="S25" s="45"/>
      <c r="T25" s="45"/>
      <c r="U25" s="45"/>
    </row>
    <row r="26" spans="1:21" s="11" customFormat="1" ht="15">
      <c r="A26" s="52" t="s">
        <v>366</v>
      </c>
      <c r="B26" s="53">
        <v>7.56</v>
      </c>
      <c r="C26" s="53">
        <v>76.19</v>
      </c>
      <c r="D26" s="53">
        <v>48.11</v>
      </c>
      <c r="E26" s="53">
        <v>6.29</v>
      </c>
      <c r="F26" s="53">
        <v>7.68</v>
      </c>
      <c r="G26" s="53">
        <v>30.32</v>
      </c>
      <c r="H26" s="53">
        <v>15.57</v>
      </c>
      <c r="I26" s="53">
        <v>0.55000000000000004</v>
      </c>
      <c r="J26" s="53">
        <v>0.25</v>
      </c>
      <c r="K26" s="53">
        <v>347.33</v>
      </c>
      <c r="L26" s="53">
        <v>27.80</v>
      </c>
      <c r="M26" s="53">
        <v>16.809999999999999</v>
      </c>
      <c r="N26" s="53">
        <v>33</v>
      </c>
      <c r="O26" s="53">
        <v>0</v>
      </c>
      <c r="P26" s="53">
        <v>0.63</v>
      </c>
      <c r="Q26" s="53">
        <v>23.17</v>
      </c>
      <c r="R26" s="45"/>
      <c r="S26" s="45"/>
      <c r="T26" s="45"/>
      <c r="U26" s="45"/>
    </row>
    <row r="27" spans="1:21" s="11" customFormat="1" ht="15">
      <c r="A27" s="52" t="s">
        <v>367</v>
      </c>
      <c r="B27" s="53">
        <v>16.18</v>
      </c>
      <c r="C27" s="53">
        <v>87.83</v>
      </c>
      <c r="D27" s="53">
        <v>61.44</v>
      </c>
      <c r="E27" s="53">
        <v>6.42</v>
      </c>
      <c r="F27" s="53">
        <v>4.99</v>
      </c>
      <c r="G27" s="53">
        <v>41.93</v>
      </c>
      <c r="H27" s="53">
        <v>15.28</v>
      </c>
      <c r="I27" s="53">
        <v>0.56999999999999995</v>
      </c>
      <c r="J27" s="53">
        <v>0.25</v>
      </c>
      <c r="K27" s="53">
        <v>322.27</v>
      </c>
      <c r="L27" s="53">
        <v>25.37</v>
      </c>
      <c r="M27" s="53">
        <v>20.59</v>
      </c>
      <c r="N27" s="53">
        <v>4.4000000000000004</v>
      </c>
      <c r="O27" s="53">
        <v>0</v>
      </c>
      <c r="P27" s="53">
        <v>0.92</v>
      </c>
      <c r="Q27" s="53">
        <v>25.23</v>
      </c>
      <c r="R27" s="45"/>
      <c r="S27" s="45"/>
      <c r="T27" s="45"/>
      <c r="U27" s="45"/>
    </row>
    <row r="28" spans="1:21" s="11" customFormat="1" ht="15">
      <c r="A28" s="52" t="s">
        <v>368</v>
      </c>
      <c r="B28" s="53">
        <v>28.24</v>
      </c>
      <c r="C28" s="53">
        <v>100.77</v>
      </c>
      <c r="D28" s="53">
        <v>78.260000000000005</v>
      </c>
      <c r="E28" s="53">
        <v>6.79</v>
      </c>
      <c r="F28" s="53">
        <v>4.7300000000000004</v>
      </c>
      <c r="G28" s="53">
        <v>62.07</v>
      </c>
      <c r="H28" s="53">
        <v>20.89</v>
      </c>
      <c r="I28" s="53">
        <v>0.66</v>
      </c>
      <c r="J28" s="53">
        <v>0.11</v>
      </c>
      <c r="K28" s="53">
        <v>329.04</v>
      </c>
      <c r="L28" s="53">
        <v>23</v>
      </c>
      <c r="M28" s="53">
        <v>22.58</v>
      </c>
      <c r="N28" s="53">
        <v>4.20</v>
      </c>
      <c r="O28" s="53">
        <v>0</v>
      </c>
      <c r="P28" s="53">
        <v>1.21</v>
      </c>
      <c r="Q28" s="53">
        <v>25.94</v>
      </c>
      <c r="R28" s="45"/>
      <c r="S28" s="45"/>
      <c r="T28" s="45"/>
      <c r="U28" s="45"/>
    </row>
    <row r="29" spans="1:21" s="11" customFormat="1" ht="15">
      <c r="A29" s="52" t="s">
        <v>369</v>
      </c>
      <c r="B29" s="53">
        <v>26.81</v>
      </c>
      <c r="C29" s="53">
        <v>95.71</v>
      </c>
      <c r="D29" s="53">
        <v>74.12</v>
      </c>
      <c r="E29" s="53">
        <v>7.02</v>
      </c>
      <c r="F29" s="53">
        <v>4.82</v>
      </c>
      <c r="G29" s="53">
        <v>72.13</v>
      </c>
      <c r="H29" s="53">
        <v>21.20</v>
      </c>
      <c r="I29" s="53">
        <v>0.71</v>
      </c>
      <c r="J29" s="53">
        <v>0.21</v>
      </c>
      <c r="K29" s="53">
        <v>355.12</v>
      </c>
      <c r="L29" s="53">
        <v>22.25</v>
      </c>
      <c r="M29" s="53">
        <v>27.83</v>
      </c>
      <c r="N29" s="53">
        <v>4.0999999999999996</v>
      </c>
      <c r="O29" s="53">
        <v>0</v>
      </c>
      <c r="P29" s="53">
        <v>1.22</v>
      </c>
      <c r="Q29" s="53">
        <v>27.27</v>
      </c>
      <c r="R29" s="45"/>
      <c r="S29" s="45"/>
      <c r="T29" s="45"/>
      <c r="U29" s="45"/>
    </row>
    <row r="30" spans="1:21" s="11" customFormat="1" ht="15">
      <c r="A30" s="52" t="s">
        <v>370</v>
      </c>
      <c r="B30" s="53">
        <v>26.85</v>
      </c>
      <c r="C30" s="53">
        <v>94.68</v>
      </c>
      <c r="D30" s="53">
        <v>73.78</v>
      </c>
      <c r="E30" s="53">
        <v>6.98</v>
      </c>
      <c r="F30" s="53">
        <v>4.78</v>
      </c>
      <c r="G30" s="53">
        <v>72.13</v>
      </c>
      <c r="H30" s="53">
        <v>21.21</v>
      </c>
      <c r="I30" s="53">
        <v>0.74</v>
      </c>
      <c r="J30" s="53">
        <v>0.23</v>
      </c>
      <c r="K30" s="53">
        <v>355.28</v>
      </c>
      <c r="L30" s="53">
        <v>21.64</v>
      </c>
      <c r="M30" s="53">
        <v>33.10</v>
      </c>
      <c r="N30" s="53">
        <v>3.80</v>
      </c>
      <c r="O30" s="53">
        <v>0</v>
      </c>
      <c r="P30" s="53">
        <v>1.21</v>
      </c>
      <c r="Q30" s="53">
        <v>28.47</v>
      </c>
      <c r="R30" s="45"/>
      <c r="S30" s="45"/>
      <c r="T30" s="45"/>
      <c r="U30" s="45"/>
    </row>
    <row r="31" spans="1:21" s="11" customFormat="1" ht="15">
      <c r="A31" s="52" t="s">
        <v>371</v>
      </c>
      <c r="B31" s="53">
        <v>21.36</v>
      </c>
      <c r="C31" s="53">
        <v>94.15</v>
      </c>
      <c r="D31" s="53">
        <v>68.42</v>
      </c>
      <c r="E31" s="53">
        <v>6.57</v>
      </c>
      <c r="F31" s="53">
        <v>4.6900000000000004</v>
      </c>
      <c r="G31" s="53">
        <v>61.90</v>
      </c>
      <c r="H31" s="53">
        <v>21.21</v>
      </c>
      <c r="I31" s="53">
        <v>0.69</v>
      </c>
      <c r="J31" s="53">
        <v>0.38</v>
      </c>
      <c r="K31" s="53">
        <v>357.42</v>
      </c>
      <c r="L31" s="53">
        <v>20.36</v>
      </c>
      <c r="M31" s="53">
        <v>35.130000000000003</v>
      </c>
      <c r="N31" s="53">
        <v>4.4000000000000004</v>
      </c>
      <c r="O31" s="53">
        <v>0</v>
      </c>
      <c r="P31" s="53">
        <v>1.1499999999999999</v>
      </c>
      <c r="Q31" s="53">
        <v>28.05</v>
      </c>
      <c r="R31" s="45"/>
      <c r="S31" s="45"/>
      <c r="T31" s="45"/>
      <c r="U31" s="45"/>
    </row>
    <row r="32" spans="1:21" s="11" customFormat="1" ht="15">
      <c r="A32" s="52" t="s">
        <v>372</v>
      </c>
      <c r="B32" s="53">
        <v>18.09</v>
      </c>
      <c r="C32" s="53">
        <v>94</v>
      </c>
      <c r="D32" s="53">
        <v>66.38</v>
      </c>
      <c r="E32" s="53">
        <v>6.94</v>
      </c>
      <c r="F32" s="53">
        <v>4.66</v>
      </c>
      <c r="G32" s="53">
        <v>59.01</v>
      </c>
      <c r="H32" s="53">
        <v>20.91</v>
      </c>
      <c r="I32" s="53">
        <v>0.68</v>
      </c>
      <c r="J32" s="53">
        <v>0.71</v>
      </c>
      <c r="K32" s="53">
        <v>355.68</v>
      </c>
      <c r="L32" s="53">
        <v>19.29</v>
      </c>
      <c r="M32" s="53">
        <v>39.82</v>
      </c>
      <c r="N32" s="53">
        <v>4.5</v>
      </c>
      <c r="O32" s="53">
        <v>0</v>
      </c>
      <c r="P32" s="53">
        <v>1.06</v>
      </c>
      <c r="Q32" s="53">
        <v>27.11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2.3599999999999999</v>
      </c>
      <c r="C34" s="28">
        <f t="shared" si="0"/>
        <v>68.590000000000003</v>
      </c>
      <c r="D34" s="28">
        <f t="shared" si="0"/>
        <v>39.729999999999997</v>
      </c>
      <c r="E34" s="28">
        <f t="shared" si="0"/>
        <v>5.8899999999999997</v>
      </c>
      <c r="F34" s="28">
        <f t="shared" si="0"/>
        <v>4.5800000000000001</v>
      </c>
      <c r="G34" s="28">
        <f t="shared" si="0"/>
        <v>28.73</v>
      </c>
      <c r="H34" s="28">
        <f t="shared" si="0"/>
        <v>15.279999999999999</v>
      </c>
      <c r="I34" s="28">
        <f t="shared" si="0"/>
        <v>0.54000000000000004</v>
      </c>
      <c r="J34" s="28">
        <f t="shared" si="0"/>
        <v>0.10000000000000001</v>
      </c>
      <c r="K34" s="28">
        <f t="shared" si="0"/>
        <v>10.369999999999999</v>
      </c>
      <c r="L34" s="28">
        <f t="shared" si="0"/>
        <v>14.859999999999999</v>
      </c>
      <c r="M34" s="28">
        <f t="shared" si="0"/>
        <v>11.76</v>
      </c>
      <c r="N34" s="28">
        <f t="shared" si="0"/>
        <v>3.7999999999999998</v>
      </c>
      <c r="O34" s="28">
        <f t="shared" si="0"/>
        <v>0</v>
      </c>
      <c r="P34" s="28">
        <f t="shared" si="0"/>
        <v>0.56000000000000005</v>
      </c>
      <c r="Q34" s="28">
        <f t="shared" si="0"/>
        <v>20.239999999999998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34.130000000000003</v>
      </c>
      <c r="C35" s="29">
        <f t="shared" si="1"/>
        <v>100.77</v>
      </c>
      <c r="D35" s="29">
        <f t="shared" si="1"/>
        <v>81.870000000000005</v>
      </c>
      <c r="E35" s="29">
        <f t="shared" si="1"/>
        <v>10.93</v>
      </c>
      <c r="F35" s="29">
        <f t="shared" si="1"/>
        <v>8.5600000000000005</v>
      </c>
      <c r="G35" s="29">
        <f t="shared" si="1"/>
        <v>132.59</v>
      </c>
      <c r="H35" s="29">
        <f t="shared" si="1"/>
        <v>55.530000000000001</v>
      </c>
      <c r="I35" s="29">
        <f t="shared" si="1"/>
        <v>0.77000000000000002</v>
      </c>
      <c r="J35" s="29">
        <f t="shared" si="1"/>
        <v>2.23</v>
      </c>
      <c r="K35" s="29">
        <f t="shared" si="1"/>
        <v>358.92000000000002</v>
      </c>
      <c r="L35" s="29">
        <f t="shared" si="1"/>
        <v>33.409999999999997</v>
      </c>
      <c r="M35" s="29">
        <f t="shared" si="1"/>
        <v>57.149999999999999</v>
      </c>
      <c r="N35" s="29">
        <f t="shared" si="1"/>
        <v>658.10000000000002</v>
      </c>
      <c r="O35" s="29">
        <f t="shared" si="1"/>
        <v>0</v>
      </c>
      <c r="P35" s="29">
        <f t="shared" si="1"/>
        <v>1.9099999999999999</v>
      </c>
      <c r="Q35" s="29">
        <f t="shared" si="1"/>
        <v>29.710000000000001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16.745000000000001</v>
      </c>
      <c r="C36" s="28">
        <f t="shared" si="2"/>
        <v>84.676249999999996</v>
      </c>
      <c r="D36" s="28">
        <f t="shared" si="2"/>
        <v>60.023749999999986</v>
      </c>
      <c r="E36" s="28">
        <f t="shared" si="2"/>
        <v>7.4458333333333329</v>
      </c>
      <c r="F36" s="28">
        <f t="shared" si="2"/>
        <v>5.5612499999999985</v>
      </c>
      <c r="G36" s="28">
        <f t="shared" si="2"/>
        <v>72.702500000000015</v>
      </c>
      <c r="H36" s="28">
        <f t="shared" si="2"/>
        <v>32.150000000000013</v>
      </c>
      <c r="I36" s="28">
        <f t="shared" si="2"/>
        <v>0.63833333333333353</v>
      </c>
      <c r="J36" s="28">
        <f t="shared" si="2"/>
        <v>0.74124999999999996</v>
      </c>
      <c r="K36" s="28">
        <f t="shared" si="2"/>
        <v>245.37916666666672</v>
      </c>
      <c r="L36" s="28">
        <f t="shared" si="2"/>
        <v>24.606249999999999</v>
      </c>
      <c r="M36" s="28">
        <f t="shared" si="2"/>
        <v>29.986666666666675</v>
      </c>
      <c r="N36" s="28">
        <f t="shared" si="2"/>
        <v>202.21249999999998</v>
      </c>
      <c r="O36" s="28">
        <f t="shared" si="2"/>
        <v>0</v>
      </c>
      <c r="P36" s="28">
        <f t="shared" si="2"/>
        <v>1.0204166666666663</v>
      </c>
      <c r="Q36" s="28">
        <f t="shared" si="2"/>
        <v>25.439583333333335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9.8919409446363868</v>
      </c>
      <c r="C37" s="28">
        <f t="shared" si="3" ref="C37:Q37">STDEV(C9:C32)</f>
        <v>9.6543105094586252</v>
      </c>
      <c r="D37" s="28">
        <f t="shared" si="3"/>
        <v>12.939158568335246</v>
      </c>
      <c r="E37" s="28">
        <f t="shared" si="3"/>
        <v>1.3088193041877543</v>
      </c>
      <c r="F37" s="28">
        <f t="shared" si="3"/>
        <v>1.2232363080032391</v>
      </c>
      <c r="G37" s="28">
        <f t="shared" si="3"/>
        <v>33.963890447765607</v>
      </c>
      <c r="H37" s="28">
        <f t="shared" si="3"/>
        <v>14.455343528319851</v>
      </c>
      <c r="I37" s="28">
        <f t="shared" si="3"/>
        <v>0.07118052168020754</v>
      </c>
      <c r="J37" s="28">
        <f t="shared" si="3"/>
        <v>0.63876451740500761</v>
      </c>
      <c r="K37" s="28">
        <f t="shared" si="3"/>
        <v>147.31588520610376</v>
      </c>
      <c r="L37" s="28">
        <f t="shared" si="3"/>
        <v>6.4201915266704122</v>
      </c>
      <c r="M37" s="28">
        <f t="shared" si="3"/>
        <v>14.87795645933261</v>
      </c>
      <c r="N37" s="28">
        <f t="shared" si="3"/>
        <v>255.92922648144608</v>
      </c>
      <c r="O37" s="28">
        <f t="shared" si="3"/>
        <v>0</v>
      </c>
      <c r="P37" s="28">
        <f t="shared" si="3"/>
        <v>0.36051266837376411</v>
      </c>
      <c r="Q37" s="28">
        <f t="shared" si="3"/>
        <v>3.1104249383486637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8e2236-10bb-4f1a-a9f1-a3f3768b389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373</v>
      </c>
      <c r="B9" s="53">
        <v>16.329999999999998</v>
      </c>
      <c r="C9" s="53">
        <v>90.56</v>
      </c>
      <c r="D9" s="53">
        <v>63.07</v>
      </c>
      <c r="E9" s="53">
        <v>6.89</v>
      </c>
      <c r="F9" s="53">
        <v>4.79</v>
      </c>
      <c r="G9" s="53">
        <v>57.25</v>
      </c>
      <c r="H9" s="53">
        <v>20.91</v>
      </c>
      <c r="I9" s="53">
        <v>0.67</v>
      </c>
      <c r="J9" s="53">
        <v>0.73</v>
      </c>
      <c r="K9" s="53">
        <v>356.47</v>
      </c>
      <c r="L9" s="53">
        <v>18.309999999999999</v>
      </c>
      <c r="M9" s="53">
        <v>35.14</v>
      </c>
      <c r="N9" s="53">
        <v>4.5999999999999996</v>
      </c>
      <c r="O9" s="53">
        <v>0</v>
      </c>
      <c r="P9" s="53">
        <v>0.96</v>
      </c>
      <c r="Q9" s="53">
        <v>26.96</v>
      </c>
      <c r="R9" s="45"/>
      <c r="S9" s="45"/>
      <c r="T9" s="45"/>
      <c r="U9" s="45"/>
    </row>
    <row r="10" spans="1:21" s="11" customFormat="1" ht="15">
      <c r="A10" s="52" t="s">
        <v>374</v>
      </c>
      <c r="B10" s="53">
        <v>10.62</v>
      </c>
      <c r="C10" s="53">
        <v>83.01</v>
      </c>
      <c r="D10" s="53">
        <v>54.33</v>
      </c>
      <c r="E10" s="53">
        <v>10.30</v>
      </c>
      <c r="F10" s="53">
        <v>5.0199999999999996</v>
      </c>
      <c r="G10" s="53">
        <v>50.21</v>
      </c>
      <c r="H10" s="53">
        <v>18.43</v>
      </c>
      <c r="I10" s="53">
        <v>0.63</v>
      </c>
      <c r="J10" s="53">
        <v>0.57999999999999996</v>
      </c>
      <c r="K10" s="53">
        <v>347.23</v>
      </c>
      <c r="L10" s="53">
        <v>17.28</v>
      </c>
      <c r="M10" s="53">
        <v>38.35</v>
      </c>
      <c r="N10" s="53">
        <v>4.0999999999999996</v>
      </c>
      <c r="O10" s="53">
        <v>0</v>
      </c>
      <c r="P10" s="53">
        <v>0.84</v>
      </c>
      <c r="Q10" s="53">
        <v>27.04</v>
      </c>
      <c r="R10" s="45"/>
      <c r="S10" s="45"/>
      <c r="T10" s="45"/>
      <c r="U10" s="45"/>
    </row>
    <row r="11" spans="1:21" s="11" customFormat="1" ht="15">
      <c r="A11" s="52" t="s">
        <v>375</v>
      </c>
      <c r="B11" s="53">
        <v>5.83</v>
      </c>
      <c r="C11" s="53">
        <v>77.55</v>
      </c>
      <c r="D11" s="53">
        <v>47.48</v>
      </c>
      <c r="E11" s="53">
        <v>15.74</v>
      </c>
      <c r="F11" s="53">
        <v>5.16</v>
      </c>
      <c r="G11" s="53">
        <v>57.31</v>
      </c>
      <c r="H11" s="53">
        <v>26.55</v>
      </c>
      <c r="I11" s="53">
        <v>0.63</v>
      </c>
      <c r="J11" s="53">
        <v>1.05</v>
      </c>
      <c r="K11" s="53">
        <v>353.75</v>
      </c>
      <c r="L11" s="53">
        <v>16.95</v>
      </c>
      <c r="M11" s="53">
        <v>36.96</v>
      </c>
      <c r="N11" s="53">
        <v>4.80</v>
      </c>
      <c r="O11" s="53">
        <v>0</v>
      </c>
      <c r="P11" s="53">
        <v>0.87</v>
      </c>
      <c r="Q11" s="53">
        <v>26.53</v>
      </c>
      <c r="R11" s="45"/>
      <c r="S11" s="45"/>
      <c r="T11" s="45"/>
      <c r="U11" s="45"/>
    </row>
    <row r="12" spans="1:21" s="11" customFormat="1" ht="15">
      <c r="A12" s="52" t="s">
        <v>376</v>
      </c>
      <c r="B12" s="53">
        <v>4.18</v>
      </c>
      <c r="C12" s="53">
        <v>74.900000000000006</v>
      </c>
      <c r="D12" s="53">
        <v>44.69</v>
      </c>
      <c r="E12" s="53">
        <v>13.24</v>
      </c>
      <c r="F12" s="53">
        <v>5.30</v>
      </c>
      <c r="G12" s="53">
        <v>57.31</v>
      </c>
      <c r="H12" s="53">
        <v>26.55</v>
      </c>
      <c r="I12" s="53">
        <v>0.57999999999999996</v>
      </c>
      <c r="J12" s="53">
        <v>0.81</v>
      </c>
      <c r="K12" s="53">
        <v>359.48</v>
      </c>
      <c r="L12" s="53">
        <v>16.170000000000002</v>
      </c>
      <c r="M12" s="53">
        <v>38.83</v>
      </c>
      <c r="N12" s="53">
        <v>3.70</v>
      </c>
      <c r="O12" s="53">
        <v>0</v>
      </c>
      <c r="P12" s="53">
        <v>0.89</v>
      </c>
      <c r="Q12" s="53">
        <v>24.93</v>
      </c>
      <c r="R12" s="45"/>
      <c r="S12" s="45"/>
      <c r="T12" s="45"/>
      <c r="U12" s="45"/>
    </row>
    <row r="13" spans="1:21" s="11" customFormat="1" ht="15">
      <c r="A13" s="52" t="s">
        <v>377</v>
      </c>
      <c r="B13" s="53">
        <v>3.44</v>
      </c>
      <c r="C13" s="53">
        <v>69.959999999999994</v>
      </c>
      <c r="D13" s="53">
        <v>41.20</v>
      </c>
      <c r="E13" s="53">
        <v>7.89</v>
      </c>
      <c r="F13" s="53">
        <v>5.36</v>
      </c>
      <c r="G13" s="53">
        <v>49.08</v>
      </c>
      <c r="H13" s="53">
        <v>23.43</v>
      </c>
      <c r="I13" s="53">
        <v>0.59</v>
      </c>
      <c r="J13" s="53">
        <v>1.22</v>
      </c>
      <c r="K13" s="53">
        <v>357</v>
      </c>
      <c r="L13" s="53">
        <v>16.05</v>
      </c>
      <c r="M13" s="53">
        <v>40.119999999999997</v>
      </c>
      <c r="N13" s="53">
        <v>4.20</v>
      </c>
      <c r="O13" s="53">
        <v>0</v>
      </c>
      <c r="P13" s="53">
        <v>0.78</v>
      </c>
      <c r="Q13" s="53">
        <v>24.52</v>
      </c>
      <c r="R13" s="45"/>
      <c r="S13" s="45"/>
      <c r="T13" s="45"/>
      <c r="U13" s="45"/>
    </row>
    <row r="14" spans="1:21" s="11" customFormat="1" ht="15">
      <c r="A14" s="52" t="s">
        <v>378</v>
      </c>
      <c r="B14" s="53">
        <v>4.37</v>
      </c>
      <c r="C14" s="53">
        <v>73.239999999999995</v>
      </c>
      <c r="D14" s="53">
        <v>43.93</v>
      </c>
      <c r="E14" s="53">
        <v>9.06</v>
      </c>
      <c r="F14" s="53">
        <v>5.05</v>
      </c>
      <c r="G14" s="53">
        <v>45.60</v>
      </c>
      <c r="H14" s="53">
        <v>19.690000000000001</v>
      </c>
      <c r="I14" s="53">
        <v>0.57999999999999996</v>
      </c>
      <c r="J14" s="53">
        <v>0.48</v>
      </c>
      <c r="K14" s="53">
        <v>264.47000000000003</v>
      </c>
      <c r="L14" s="53">
        <v>15.67</v>
      </c>
      <c r="M14" s="53">
        <v>42.54</v>
      </c>
      <c r="N14" s="53">
        <v>4.5</v>
      </c>
      <c r="O14" s="53">
        <v>0</v>
      </c>
      <c r="P14" s="53">
        <v>0.73</v>
      </c>
      <c r="Q14" s="53">
        <v>24.93</v>
      </c>
      <c r="R14" s="45"/>
      <c r="S14" s="45"/>
      <c r="T14" s="45"/>
      <c r="U14" s="45"/>
    </row>
    <row r="15" spans="1:21" s="11" customFormat="1" ht="15">
      <c r="A15" s="52" t="s">
        <v>379</v>
      </c>
      <c r="B15" s="53">
        <v>7.57</v>
      </c>
      <c r="C15" s="53">
        <v>78.099999999999994</v>
      </c>
      <c r="D15" s="53">
        <v>49.17</v>
      </c>
      <c r="E15" s="53">
        <v>11.17</v>
      </c>
      <c r="F15" s="53">
        <v>4.7300000000000004</v>
      </c>
      <c r="G15" s="53">
        <v>64.33</v>
      </c>
      <c r="H15" s="53">
        <v>28.46</v>
      </c>
      <c r="I15" s="53">
        <v>0.57999999999999996</v>
      </c>
      <c r="J15" s="53">
        <v>0.42</v>
      </c>
      <c r="K15" s="53">
        <v>92.5</v>
      </c>
      <c r="L15" s="53">
        <v>15.98</v>
      </c>
      <c r="M15" s="53">
        <v>43.04</v>
      </c>
      <c r="N15" s="53">
        <v>23.90</v>
      </c>
      <c r="O15" s="53">
        <v>0</v>
      </c>
      <c r="P15" s="53">
        <v>0.86</v>
      </c>
      <c r="Q15" s="53">
        <v>24.33</v>
      </c>
      <c r="R15" s="45"/>
      <c r="S15" s="45"/>
      <c r="T15" s="45"/>
      <c r="U15" s="45"/>
    </row>
    <row r="16" spans="1:21" s="11" customFormat="1" ht="15">
      <c r="A16" s="52" t="s">
        <v>380</v>
      </c>
      <c r="B16" s="53">
        <v>19.13</v>
      </c>
      <c r="C16" s="53">
        <v>87.49</v>
      </c>
      <c r="D16" s="53">
        <v>63.62</v>
      </c>
      <c r="E16" s="53">
        <v>16.920000000000002</v>
      </c>
      <c r="F16" s="53">
        <v>4.7300000000000004</v>
      </c>
      <c r="G16" s="53">
        <v>147.66</v>
      </c>
      <c r="H16" s="53">
        <v>47.14</v>
      </c>
      <c r="I16" s="53">
        <v>0.61</v>
      </c>
      <c r="J16" s="53">
        <v>1.1399999999999999</v>
      </c>
      <c r="K16" s="53">
        <v>21.38</v>
      </c>
      <c r="L16" s="53">
        <v>22.26</v>
      </c>
      <c r="M16" s="53">
        <v>43.47</v>
      </c>
      <c r="N16" s="53">
        <v>231</v>
      </c>
      <c r="O16" s="53">
        <v>0</v>
      </c>
      <c r="P16" s="53">
        <v>1.1000000000000001</v>
      </c>
      <c r="Q16" s="53">
        <v>23.81</v>
      </c>
      <c r="R16" s="45"/>
      <c r="S16" s="45"/>
      <c r="T16" s="45"/>
      <c r="U16" s="45"/>
    </row>
    <row r="17" spans="1:21" s="11" customFormat="1" ht="15">
      <c r="A17" s="52" t="s">
        <v>381</v>
      </c>
      <c r="B17" s="53">
        <v>23.79</v>
      </c>
      <c r="C17" s="53">
        <v>95.30</v>
      </c>
      <c r="D17" s="53">
        <v>71.41</v>
      </c>
      <c r="E17" s="53">
        <v>21.02</v>
      </c>
      <c r="F17" s="53">
        <v>4.9400000000000004</v>
      </c>
      <c r="G17" s="53">
        <v>147.66</v>
      </c>
      <c r="H17" s="53">
        <v>49.77</v>
      </c>
      <c r="I17" s="53">
        <v>0.60</v>
      </c>
      <c r="J17" s="53">
        <v>1.1299999999999999</v>
      </c>
      <c r="K17" s="53">
        <v>21.86</v>
      </c>
      <c r="L17" s="53">
        <v>26.90</v>
      </c>
      <c r="M17" s="53">
        <v>24.93</v>
      </c>
      <c r="N17" s="53">
        <v>424.5</v>
      </c>
      <c r="O17" s="53">
        <v>0</v>
      </c>
      <c r="P17" s="53">
        <v>1.24</v>
      </c>
      <c r="Q17" s="53">
        <v>25.05</v>
      </c>
      <c r="R17" s="45"/>
      <c r="S17" s="45"/>
      <c r="T17" s="45"/>
      <c r="U17" s="45"/>
    </row>
    <row r="18" spans="1:21" s="11" customFormat="1" ht="15">
      <c r="A18" s="52" t="s">
        <v>382</v>
      </c>
      <c r="B18" s="53">
        <v>21.91</v>
      </c>
      <c r="C18" s="53">
        <v>95.48</v>
      </c>
      <c r="D18" s="53">
        <v>70.27</v>
      </c>
      <c r="E18" s="53">
        <v>11.47</v>
      </c>
      <c r="F18" s="53">
        <v>5.1100000000000003</v>
      </c>
      <c r="G18" s="53">
        <v>143.55000000000001</v>
      </c>
      <c r="H18" s="53">
        <v>49.77</v>
      </c>
      <c r="I18" s="53">
        <v>0.60</v>
      </c>
      <c r="J18" s="53">
        <v>1.04</v>
      </c>
      <c r="K18" s="53">
        <v>43.36</v>
      </c>
      <c r="L18" s="53">
        <v>28.72</v>
      </c>
      <c r="M18" s="53">
        <v>16.54</v>
      </c>
      <c r="N18" s="53">
        <v>495.60</v>
      </c>
      <c r="O18" s="53">
        <v>0</v>
      </c>
      <c r="P18" s="53">
        <v>1.1599999999999999</v>
      </c>
      <c r="Q18" s="53">
        <v>25.12</v>
      </c>
      <c r="R18" s="45"/>
      <c r="S18" s="45"/>
      <c r="T18" s="45"/>
      <c r="U18" s="45"/>
    </row>
    <row r="19" spans="1:21" s="11" customFormat="1" ht="15">
      <c r="A19" s="52" t="s">
        <v>383</v>
      </c>
      <c r="B19" s="53">
        <v>18.11</v>
      </c>
      <c r="C19" s="53">
        <v>95.42</v>
      </c>
      <c r="D19" s="53">
        <v>67.180000000000007</v>
      </c>
      <c r="E19" s="53">
        <v>68.709999999999994</v>
      </c>
      <c r="F19" s="53">
        <v>14.06</v>
      </c>
      <c r="G19" s="53">
        <v>49.13</v>
      </c>
      <c r="H19" s="53">
        <v>43.17</v>
      </c>
      <c r="I19" s="53">
        <v>0.60</v>
      </c>
      <c r="J19" s="53">
        <v>1.0900000000000001</v>
      </c>
      <c r="K19" s="53">
        <v>15.62</v>
      </c>
      <c r="L19" s="53">
        <v>32.479999999999997</v>
      </c>
      <c r="M19" s="53">
        <v>14</v>
      </c>
      <c r="N19" s="53">
        <v>532</v>
      </c>
      <c r="O19" s="53">
        <v>0</v>
      </c>
      <c r="P19" s="53">
        <v>1.08</v>
      </c>
      <c r="Q19" s="53">
        <v>24.62</v>
      </c>
      <c r="R19" s="45"/>
      <c r="S19" s="45"/>
      <c r="T19" s="45"/>
      <c r="U19" s="45"/>
    </row>
    <row r="20" spans="1:21" s="11" customFormat="1" ht="15">
      <c r="A20" s="52" t="s">
        <v>384</v>
      </c>
      <c r="B20" s="53">
        <v>6.88</v>
      </c>
      <c r="C20" s="53">
        <v>86.19</v>
      </c>
      <c r="D20" s="53">
        <v>53.08</v>
      </c>
      <c r="E20" s="53">
        <v>46.08</v>
      </c>
      <c r="F20" s="53">
        <v>24.76</v>
      </c>
      <c r="G20" s="53">
        <v>57.31</v>
      </c>
      <c r="H20" s="53">
        <v>30.36</v>
      </c>
      <c r="I20" s="53">
        <v>0.52</v>
      </c>
      <c r="J20" s="53">
        <v>0.88</v>
      </c>
      <c r="K20" s="53">
        <v>205.27</v>
      </c>
      <c r="L20" s="53">
        <v>32.770000000000003</v>
      </c>
      <c r="M20" s="53">
        <v>12.01</v>
      </c>
      <c r="N20" s="53">
        <v>595.29999999999995</v>
      </c>
      <c r="O20" s="53">
        <v>0</v>
      </c>
      <c r="P20" s="53">
        <v>0.97</v>
      </c>
      <c r="Q20" s="53">
        <v>13.86</v>
      </c>
      <c r="R20" s="45"/>
      <c r="S20" s="45"/>
      <c r="T20" s="45"/>
      <c r="U20" s="45"/>
    </row>
    <row r="21" spans="1:21" s="11" customFormat="1" ht="15">
      <c r="A21" s="52" t="s">
        <v>385</v>
      </c>
      <c r="B21" s="53">
        <v>1.76</v>
      </c>
      <c r="C21" s="53">
        <v>62.87</v>
      </c>
      <c r="D21" s="53">
        <v>35.94</v>
      </c>
      <c r="E21" s="53">
        <v>17.36</v>
      </c>
      <c r="F21" s="53">
        <v>10.63</v>
      </c>
      <c r="G21" s="53">
        <v>57.31</v>
      </c>
      <c r="H21" s="53">
        <v>29.46</v>
      </c>
      <c r="I21" s="53">
        <v>0.49</v>
      </c>
      <c r="J21" s="53">
        <v>0.96</v>
      </c>
      <c r="K21" s="53">
        <v>173.53</v>
      </c>
      <c r="L21" s="53">
        <v>30.42</v>
      </c>
      <c r="M21" s="53">
        <v>11.15</v>
      </c>
      <c r="N21" s="53">
        <v>610.90</v>
      </c>
      <c r="O21" s="53">
        <v>0</v>
      </c>
      <c r="P21" s="53">
        <v>0.64</v>
      </c>
      <c r="Q21" s="53">
        <v>14.49</v>
      </c>
      <c r="R21" s="45"/>
      <c r="S21" s="45"/>
      <c r="T21" s="45"/>
      <c r="U21" s="45"/>
    </row>
    <row r="22" spans="1:21" s="11" customFormat="1" ht="15">
      <c r="A22" s="52" t="s">
        <v>386</v>
      </c>
      <c r="B22" s="53">
        <v>2.2200000000000002</v>
      </c>
      <c r="C22" s="53">
        <v>63.43</v>
      </c>
      <c r="D22" s="53">
        <v>36.79</v>
      </c>
      <c r="E22" s="53">
        <v>33.770000000000003</v>
      </c>
      <c r="F22" s="53">
        <v>18.510000000000002</v>
      </c>
      <c r="G22" s="53">
        <v>50.79</v>
      </c>
      <c r="H22" s="53">
        <v>21.44</v>
      </c>
      <c r="I22" s="53">
        <v>0.49</v>
      </c>
      <c r="J22" s="53">
        <v>0.39</v>
      </c>
      <c r="K22" s="53">
        <v>336.61</v>
      </c>
      <c r="L22" s="53">
        <v>32.049999999999997</v>
      </c>
      <c r="M22" s="53">
        <v>10.45</v>
      </c>
      <c r="N22" s="53">
        <v>526.40</v>
      </c>
      <c r="O22" s="53">
        <v>0</v>
      </c>
      <c r="P22" s="53">
        <v>0.61</v>
      </c>
      <c r="Q22" s="53">
        <v>15.37</v>
      </c>
      <c r="R22" s="45"/>
      <c r="S22" s="45"/>
      <c r="T22" s="45"/>
      <c r="U22" s="45"/>
    </row>
    <row r="23" spans="1:21" s="11" customFormat="1" ht="15">
      <c r="A23" s="52" t="s">
        <v>387</v>
      </c>
      <c r="B23" s="53">
        <v>3.26</v>
      </c>
      <c r="C23" s="53">
        <v>62.65</v>
      </c>
      <c r="D23" s="53">
        <v>37.19</v>
      </c>
      <c r="E23" s="53">
        <v>22.01</v>
      </c>
      <c r="F23" s="53">
        <v>15.54</v>
      </c>
      <c r="G23" s="53">
        <v>64.739999999999995</v>
      </c>
      <c r="H23" s="53">
        <v>25.99</v>
      </c>
      <c r="I23" s="53">
        <v>0.54</v>
      </c>
      <c r="J23" s="53">
        <v>0.95</v>
      </c>
      <c r="K23" s="53">
        <v>342.36</v>
      </c>
      <c r="L23" s="53">
        <v>32.409999999999997</v>
      </c>
      <c r="M23" s="53">
        <v>9.2100000000000009</v>
      </c>
      <c r="N23" s="53">
        <v>436.30</v>
      </c>
      <c r="O23" s="53">
        <v>0</v>
      </c>
      <c r="P23" s="53">
        <v>0.61</v>
      </c>
      <c r="Q23" s="53">
        <v>16.05</v>
      </c>
      <c r="R23" s="45"/>
      <c r="S23" s="45"/>
      <c r="T23" s="45"/>
      <c r="U23" s="45"/>
    </row>
    <row r="24" spans="1:21" s="11" customFormat="1" ht="15">
      <c r="A24" s="52" t="s">
        <v>388</v>
      </c>
      <c r="B24" s="53">
        <v>2.62</v>
      </c>
      <c r="C24" s="53">
        <v>62.78</v>
      </c>
      <c r="D24" s="53">
        <v>36.74</v>
      </c>
      <c r="E24" s="53">
        <v>9.82</v>
      </c>
      <c r="F24" s="53">
        <v>12.51</v>
      </c>
      <c r="G24" s="53">
        <v>64.739999999999995</v>
      </c>
      <c r="H24" s="53">
        <v>25.99</v>
      </c>
      <c r="I24" s="53">
        <v>0.52</v>
      </c>
      <c r="J24" s="53">
        <v>0.84</v>
      </c>
      <c r="K24" s="53">
        <v>353.85</v>
      </c>
      <c r="L24" s="53">
        <v>33.07</v>
      </c>
      <c r="M24" s="53">
        <v>9.90</v>
      </c>
      <c r="N24" s="53">
        <v>400.90</v>
      </c>
      <c r="O24" s="53">
        <v>0</v>
      </c>
      <c r="P24" s="53">
        <v>0.56000000000000005</v>
      </c>
      <c r="Q24" s="53">
        <v>16.399999999999999</v>
      </c>
      <c r="R24" s="45"/>
      <c r="S24" s="45"/>
      <c r="T24" s="45"/>
      <c r="U24" s="45"/>
    </row>
    <row r="25" spans="1:21" s="11" customFormat="1" ht="15">
      <c r="A25" s="52" t="s">
        <v>389</v>
      </c>
      <c r="B25" s="53">
        <v>4.3099999999999996</v>
      </c>
      <c r="C25" s="53">
        <v>68.02</v>
      </c>
      <c r="D25" s="53">
        <v>40.119999999999997</v>
      </c>
      <c r="E25" s="53">
        <v>7.57</v>
      </c>
      <c r="F25" s="53">
        <v>20.55</v>
      </c>
      <c r="G25" s="53">
        <v>52.84</v>
      </c>
      <c r="H25" s="53">
        <v>19.559999999999999</v>
      </c>
      <c r="I25" s="53">
        <v>0.51</v>
      </c>
      <c r="J25" s="53">
        <v>0.41</v>
      </c>
      <c r="K25" s="53">
        <v>358.94</v>
      </c>
      <c r="L25" s="53">
        <v>30.85</v>
      </c>
      <c r="M25" s="53">
        <v>13.65</v>
      </c>
      <c r="N25" s="53">
        <v>170.60</v>
      </c>
      <c r="O25" s="53">
        <v>0</v>
      </c>
      <c r="P25" s="53">
        <v>0.65</v>
      </c>
      <c r="Q25" s="53">
        <v>16.34</v>
      </c>
      <c r="R25" s="45"/>
      <c r="S25" s="45"/>
      <c r="T25" s="45"/>
      <c r="U25" s="45"/>
    </row>
    <row r="26" spans="1:21" s="11" customFormat="1" ht="15">
      <c r="A26" s="52" t="s">
        <v>390</v>
      </c>
      <c r="B26" s="53">
        <v>12.38</v>
      </c>
      <c r="C26" s="53">
        <v>87.26</v>
      </c>
      <c r="D26" s="53">
        <v>58.09</v>
      </c>
      <c r="E26" s="53">
        <v>7.48</v>
      </c>
      <c r="F26" s="53">
        <v>13.56</v>
      </c>
      <c r="G26" s="53">
        <v>58.67</v>
      </c>
      <c r="H26" s="53">
        <v>19.13</v>
      </c>
      <c r="I26" s="53">
        <v>0.55000000000000004</v>
      </c>
      <c r="J26" s="53">
        <v>0.26</v>
      </c>
      <c r="K26" s="53">
        <v>350.69</v>
      </c>
      <c r="L26" s="53">
        <v>28.23</v>
      </c>
      <c r="M26" s="53">
        <v>16.100000000000001</v>
      </c>
      <c r="N26" s="53">
        <v>32</v>
      </c>
      <c r="O26" s="53">
        <v>0</v>
      </c>
      <c r="P26" s="53">
        <v>0.81</v>
      </c>
      <c r="Q26" s="53">
        <v>18.760000000000002</v>
      </c>
      <c r="R26" s="45"/>
      <c r="S26" s="45"/>
      <c r="T26" s="45"/>
      <c r="U26" s="45"/>
    </row>
    <row r="27" spans="1:21" s="11" customFormat="1" ht="15">
      <c r="A27" s="52" t="s">
        <v>391</v>
      </c>
      <c r="B27" s="53">
        <v>15.41</v>
      </c>
      <c r="C27" s="53">
        <v>89.5</v>
      </c>
      <c r="D27" s="53">
        <v>61.75</v>
      </c>
      <c r="E27" s="53">
        <v>6.94</v>
      </c>
      <c r="F27" s="53">
        <v>9.89</v>
      </c>
      <c r="G27" s="53">
        <v>70.040000000000006</v>
      </c>
      <c r="H27" s="53">
        <v>22.82</v>
      </c>
      <c r="I27" s="53">
        <v>0.59</v>
      </c>
      <c r="J27" s="53">
        <v>0.15</v>
      </c>
      <c r="K27" s="53">
        <v>272.08</v>
      </c>
      <c r="L27" s="53">
        <v>25.86</v>
      </c>
      <c r="M27" s="53">
        <v>34.19</v>
      </c>
      <c r="N27" s="53">
        <v>4.70</v>
      </c>
      <c r="O27" s="53">
        <v>0</v>
      </c>
      <c r="P27" s="53">
        <v>0.93</v>
      </c>
      <c r="Q27" s="53">
        <v>22.88</v>
      </c>
      <c r="R27" s="45"/>
      <c r="S27" s="45"/>
      <c r="T27" s="45"/>
      <c r="U27" s="45"/>
    </row>
    <row r="28" spans="1:21" s="11" customFormat="1" ht="15">
      <c r="A28" s="52" t="s">
        <v>392</v>
      </c>
      <c r="B28" s="53">
        <v>48.15</v>
      </c>
      <c r="C28" s="53">
        <v>115.90</v>
      </c>
      <c r="D28" s="53">
        <v>102.58</v>
      </c>
      <c r="E28" s="53">
        <v>7.95</v>
      </c>
      <c r="F28" s="53">
        <v>4.66</v>
      </c>
      <c r="G28" s="53">
        <v>173.87</v>
      </c>
      <c r="H28" s="53">
        <v>34.19</v>
      </c>
      <c r="I28" s="53">
        <v>0.73</v>
      </c>
      <c r="J28" s="53">
        <v>0.11</v>
      </c>
      <c r="K28" s="53">
        <v>284.80</v>
      </c>
      <c r="L28" s="53">
        <v>22.83</v>
      </c>
      <c r="M28" s="53">
        <v>34.159999999999997</v>
      </c>
      <c r="N28" s="53">
        <v>4.30</v>
      </c>
      <c r="O28" s="53">
        <v>0</v>
      </c>
      <c r="P28" s="53">
        <v>1.54</v>
      </c>
      <c r="Q28" s="53">
        <v>26.63</v>
      </c>
      <c r="R28" s="45"/>
      <c r="S28" s="45"/>
      <c r="T28" s="45"/>
      <c r="U28" s="45"/>
    </row>
    <row r="29" spans="1:21" s="11" customFormat="1" ht="15">
      <c r="A29" s="52" t="s">
        <v>393</v>
      </c>
      <c r="B29" s="53">
        <v>79.58</v>
      </c>
      <c r="C29" s="53">
        <v>139.77000000000001</v>
      </c>
      <c r="D29" s="53">
        <v>140.96</v>
      </c>
      <c r="E29" s="53">
        <v>7.95</v>
      </c>
      <c r="F29" s="53">
        <v>4.5599999999999996</v>
      </c>
      <c r="G29" s="53">
        <v>181.66</v>
      </c>
      <c r="H29" s="53">
        <v>44.33</v>
      </c>
      <c r="I29" s="53">
        <v>1.02</v>
      </c>
      <c r="J29" s="53">
        <v>0.26</v>
      </c>
      <c r="K29" s="53">
        <v>346.64</v>
      </c>
      <c r="L29" s="53">
        <v>21.73</v>
      </c>
      <c r="M29" s="53">
        <v>42.75</v>
      </c>
      <c r="N29" s="53">
        <v>4.20</v>
      </c>
      <c r="O29" s="53">
        <v>0</v>
      </c>
      <c r="P29" s="53">
        <v>2.09</v>
      </c>
      <c r="Q29" s="53">
        <v>28.05</v>
      </c>
      <c r="R29" s="45"/>
      <c r="S29" s="45"/>
      <c r="T29" s="45"/>
      <c r="U29" s="45"/>
    </row>
    <row r="30" spans="1:21" s="11" customFormat="1" ht="15">
      <c r="A30" s="52" t="s">
        <v>394</v>
      </c>
      <c r="B30" s="53">
        <v>80.12</v>
      </c>
      <c r="C30" s="53">
        <v>139.49</v>
      </c>
      <c r="D30" s="53">
        <v>141.22999999999999</v>
      </c>
      <c r="E30" s="53">
        <v>8</v>
      </c>
      <c r="F30" s="53">
        <v>4.62</v>
      </c>
      <c r="G30" s="53">
        <v>181.66</v>
      </c>
      <c r="H30" s="53">
        <v>48.46</v>
      </c>
      <c r="I30" s="53">
        <v>1.1299999999999999</v>
      </c>
      <c r="J30" s="53">
        <v>0.15</v>
      </c>
      <c r="K30" s="53">
        <v>186.66</v>
      </c>
      <c r="L30" s="53">
        <v>21.78</v>
      </c>
      <c r="M30" s="53">
        <v>43.83</v>
      </c>
      <c r="N30" s="53">
        <v>4.5999999999999996</v>
      </c>
      <c r="O30" s="53">
        <v>0</v>
      </c>
      <c r="P30" s="53">
        <v>2.19</v>
      </c>
      <c r="Q30" s="53">
        <v>29.86</v>
      </c>
      <c r="R30" s="45"/>
      <c r="S30" s="45"/>
      <c r="T30" s="45"/>
      <c r="U30" s="45"/>
    </row>
    <row r="31" spans="1:21" s="11" customFormat="1" ht="15">
      <c r="A31" s="52" t="s">
        <v>395</v>
      </c>
      <c r="B31" s="53">
        <v>78.78</v>
      </c>
      <c r="C31" s="53">
        <v>138.91</v>
      </c>
      <c r="D31" s="53">
        <v>139.84</v>
      </c>
      <c r="E31" s="53">
        <v>8.2100000000000009</v>
      </c>
      <c r="F31" s="53">
        <v>4.63</v>
      </c>
      <c r="G31" s="53">
        <v>170.35</v>
      </c>
      <c r="H31" s="53">
        <v>48.46</v>
      </c>
      <c r="I31" s="53">
        <v>1.1200000000000001</v>
      </c>
      <c r="J31" s="53">
        <v>0.15</v>
      </c>
      <c r="K31" s="53">
        <v>353.73</v>
      </c>
      <c r="L31" s="53">
        <v>20.21</v>
      </c>
      <c r="M31" s="53">
        <v>46.71</v>
      </c>
      <c r="N31" s="53">
        <v>4.5</v>
      </c>
      <c r="O31" s="53">
        <v>0</v>
      </c>
      <c r="P31" s="53">
        <v>2.2200000000000002</v>
      </c>
      <c r="Q31" s="53">
        <v>31.38</v>
      </c>
      <c r="R31" s="45"/>
      <c r="S31" s="45"/>
      <c r="T31" s="45"/>
      <c r="U31" s="45"/>
    </row>
    <row r="32" spans="1:21" s="11" customFormat="1" ht="15">
      <c r="A32" s="52" t="s">
        <v>396</v>
      </c>
      <c r="B32" s="53">
        <v>76.39</v>
      </c>
      <c r="C32" s="53">
        <v>137.5</v>
      </c>
      <c r="D32" s="53">
        <v>137.13999999999999</v>
      </c>
      <c r="E32" s="53">
        <v>7.70</v>
      </c>
      <c r="F32" s="53">
        <v>4.5199999999999996</v>
      </c>
      <c r="G32" s="53">
        <v>127.67</v>
      </c>
      <c r="H32" s="53">
        <v>47.98</v>
      </c>
      <c r="I32" s="53">
        <v>1.1200000000000001</v>
      </c>
      <c r="J32" s="53">
        <v>0.12</v>
      </c>
      <c r="K32" s="53">
        <v>354.58</v>
      </c>
      <c r="L32" s="53">
        <v>19.5</v>
      </c>
      <c r="M32" s="53">
        <v>41.91</v>
      </c>
      <c r="N32" s="53">
        <v>4.5</v>
      </c>
      <c r="O32" s="53">
        <v>0</v>
      </c>
      <c r="P32" s="53">
        <v>2.16</v>
      </c>
      <c r="Q32" s="53">
        <v>31.29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1.76</v>
      </c>
      <c r="C34" s="28">
        <f t="shared" si="0"/>
        <v>62.649999999999999</v>
      </c>
      <c r="D34" s="28">
        <f t="shared" si="0"/>
        <v>35.939999999999998</v>
      </c>
      <c r="E34" s="28">
        <f t="shared" si="0"/>
        <v>6.8899999999999997</v>
      </c>
      <c r="F34" s="28">
        <f t="shared" si="0"/>
        <v>4.5199999999999996</v>
      </c>
      <c r="G34" s="28">
        <f t="shared" si="0"/>
        <v>45.600000000000001</v>
      </c>
      <c r="H34" s="28">
        <f t="shared" si="0"/>
        <v>18.43</v>
      </c>
      <c r="I34" s="28">
        <f t="shared" si="0"/>
        <v>0.48999999999999999</v>
      </c>
      <c r="J34" s="28">
        <f t="shared" si="0"/>
        <v>0.11</v>
      </c>
      <c r="K34" s="28">
        <f t="shared" si="0"/>
        <v>15.619999999999999</v>
      </c>
      <c r="L34" s="28">
        <f t="shared" si="0"/>
        <v>15.67</v>
      </c>
      <c r="M34" s="28">
        <f t="shared" si="0"/>
        <v>9.2100000000000009</v>
      </c>
      <c r="N34" s="28">
        <f t="shared" si="0"/>
        <v>3.7000000000000002</v>
      </c>
      <c r="O34" s="28">
        <f t="shared" si="0"/>
        <v>0</v>
      </c>
      <c r="P34" s="28">
        <f t="shared" si="0"/>
        <v>0.56000000000000005</v>
      </c>
      <c r="Q34" s="28">
        <f t="shared" si="0"/>
        <v>13.859999999999999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80.120000000000005</v>
      </c>
      <c r="C35" s="29">
        <f t="shared" si="1"/>
        <v>139.77000000000001</v>
      </c>
      <c r="D35" s="29">
        <f t="shared" si="1"/>
        <v>141.22999999999999</v>
      </c>
      <c r="E35" s="29">
        <f t="shared" si="1"/>
        <v>68.709999999999994</v>
      </c>
      <c r="F35" s="29">
        <f t="shared" si="1"/>
        <v>24.760000000000002</v>
      </c>
      <c r="G35" s="29">
        <f t="shared" si="1"/>
        <v>181.66</v>
      </c>
      <c r="H35" s="29">
        <f t="shared" si="1"/>
        <v>49.770000000000003</v>
      </c>
      <c r="I35" s="29">
        <f t="shared" si="1"/>
        <v>1.1299999999999999</v>
      </c>
      <c r="J35" s="29">
        <f t="shared" si="1"/>
        <v>1.22</v>
      </c>
      <c r="K35" s="29">
        <f t="shared" si="1"/>
        <v>359.48000000000002</v>
      </c>
      <c r="L35" s="29">
        <f t="shared" si="1"/>
        <v>33.07</v>
      </c>
      <c r="M35" s="29">
        <f t="shared" si="1"/>
        <v>46.710000000000001</v>
      </c>
      <c r="N35" s="29">
        <f t="shared" si="1"/>
        <v>610.89999999999998</v>
      </c>
      <c r="O35" s="29">
        <f t="shared" si="1"/>
        <v>0</v>
      </c>
      <c r="P35" s="29">
        <f t="shared" si="1"/>
        <v>2.2200000000000002</v>
      </c>
      <c r="Q35" s="29">
        <f t="shared" si="1"/>
        <v>31.379999999999999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22.797499999999999</v>
      </c>
      <c r="C36" s="28">
        <f t="shared" si="2"/>
        <v>90.636666666666656</v>
      </c>
      <c r="D36" s="28">
        <f t="shared" si="2"/>
        <v>68.24166666666666</v>
      </c>
      <c r="E36" s="28">
        <f t="shared" si="2"/>
        <v>15.968749999999998</v>
      </c>
      <c r="F36" s="28">
        <f t="shared" si="2"/>
        <v>8.8829166666666666</v>
      </c>
      <c r="G36" s="28">
        <f t="shared" si="2"/>
        <v>90.864166666666677</v>
      </c>
      <c r="H36" s="28">
        <f t="shared" si="2"/>
        <v>32.168333333333344</v>
      </c>
      <c r="I36" s="28">
        <f t="shared" si="2"/>
        <v>0.66666666666666685</v>
      </c>
      <c r="J36" s="28">
        <f t="shared" si="2"/>
        <v>0.63833333333333331</v>
      </c>
      <c r="K36" s="28">
        <f t="shared" si="2"/>
        <v>256.36916666666667</v>
      </c>
      <c r="L36" s="28">
        <f t="shared" si="2"/>
        <v>24.103333333333339</v>
      </c>
      <c r="M36" s="28">
        <f t="shared" si="2"/>
        <v>29.16416666666667</v>
      </c>
      <c r="N36" s="28">
        <f t="shared" si="2"/>
        <v>188.83750000000001</v>
      </c>
      <c r="O36" s="28">
        <f t="shared" si="2"/>
        <v>0</v>
      </c>
      <c r="P36" s="28">
        <f t="shared" si="2"/>
        <v>1.10375</v>
      </c>
      <c r="Q36" s="28">
        <f t="shared" si="2"/>
        <v>23.300000000000001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27.489256280764771</v>
      </c>
      <c r="C37" s="28">
        <f t="shared" si="3" ref="C37:Q37">STDEV(C9:C32)</f>
        <v>25.556648019077461</v>
      </c>
      <c r="D37" s="28">
        <f t="shared" si="3"/>
        <v>35.965822625118015</v>
      </c>
      <c r="E37" s="28">
        <f t="shared" si="3"/>
        <v>14.64207704216501</v>
      </c>
      <c r="F37" s="28">
        <f t="shared" si="3"/>
        <v>6.0168737217975581</v>
      </c>
      <c r="G37" s="28">
        <f t="shared" si="3"/>
        <v>50.943843329576197</v>
      </c>
      <c r="H37" s="28">
        <f t="shared" si="3"/>
        <v>11.685203079728314</v>
      </c>
      <c r="I37" s="28">
        <f t="shared" si="3"/>
        <v>0.20512279814501463</v>
      </c>
      <c r="J37" s="28">
        <f t="shared" si="3"/>
        <v>0.38693518912049141</v>
      </c>
      <c r="K37" s="28">
        <f t="shared" si="3"/>
        <v>127.58587276697267</v>
      </c>
      <c r="L37" s="28">
        <f t="shared" si="3"/>
        <v>6.3966429148194521</v>
      </c>
      <c r="M37" s="28">
        <f t="shared" si="3"/>
        <v>13.905750739287264</v>
      </c>
      <c r="N37" s="28">
        <f t="shared" si="3"/>
        <v>237.10780672696029</v>
      </c>
      <c r="O37" s="28">
        <f t="shared" si="3"/>
        <v>0</v>
      </c>
      <c r="P37" s="28">
        <f t="shared" si="3"/>
        <v>0.53405595293898245</v>
      </c>
      <c r="Q37" s="28">
        <f t="shared" si="3"/>
        <v>5.3523046641041594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0c8c11-c770-4293-9184-61474bfe603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397</v>
      </c>
      <c r="B9" s="53">
        <v>61.81</v>
      </c>
      <c r="C9" s="53">
        <v>125.79</v>
      </c>
      <c r="D9" s="53">
        <v>118.99</v>
      </c>
      <c r="E9" s="53">
        <v>7.01</v>
      </c>
      <c r="F9" s="53">
        <v>4.66</v>
      </c>
      <c r="G9" s="53">
        <v>105.46</v>
      </c>
      <c r="H9" s="53">
        <v>44.96</v>
      </c>
      <c r="I9" s="53">
        <v>1.02</v>
      </c>
      <c r="J9" s="53">
        <v>0.23</v>
      </c>
      <c r="K9" s="53">
        <v>358.94</v>
      </c>
      <c r="L9" s="53">
        <v>18.760000000000002</v>
      </c>
      <c r="M9" s="53">
        <v>44.21</v>
      </c>
      <c r="N9" s="53">
        <v>4.4000000000000004</v>
      </c>
      <c r="O9" s="53">
        <v>0</v>
      </c>
      <c r="P9" s="53">
        <v>1.94</v>
      </c>
      <c r="Q9" s="53">
        <v>29.58</v>
      </c>
      <c r="R9" s="45"/>
      <c r="S9" s="45"/>
      <c r="T9" s="45"/>
      <c r="U9" s="45"/>
    </row>
    <row r="10" spans="1:21" s="11" customFormat="1" ht="15">
      <c r="A10" s="52" t="s">
        <v>398</v>
      </c>
      <c r="B10" s="53">
        <v>49.83</v>
      </c>
      <c r="C10" s="53">
        <v>114.64</v>
      </c>
      <c r="D10" s="53">
        <v>103.22</v>
      </c>
      <c r="E10" s="53">
        <v>7.08</v>
      </c>
      <c r="F10" s="53">
        <v>4.5999999999999996</v>
      </c>
      <c r="G10" s="53">
        <v>89.67</v>
      </c>
      <c r="H10" s="53">
        <v>36.71</v>
      </c>
      <c r="I10" s="53">
        <v>0.91</v>
      </c>
      <c r="J10" s="53">
        <v>0.16</v>
      </c>
      <c r="K10" s="53">
        <v>30.93</v>
      </c>
      <c r="L10" s="53">
        <v>18.37</v>
      </c>
      <c r="M10" s="53">
        <v>45.86</v>
      </c>
      <c r="N10" s="53">
        <v>4.5999999999999996</v>
      </c>
      <c r="O10" s="53">
        <v>0</v>
      </c>
      <c r="P10" s="53">
        <v>1.56</v>
      </c>
      <c r="Q10" s="53">
        <v>28.90</v>
      </c>
      <c r="R10" s="45"/>
      <c r="S10" s="45"/>
      <c r="T10" s="45"/>
      <c r="U10" s="45"/>
    </row>
    <row r="11" spans="1:21" s="11" customFormat="1" ht="15">
      <c r="A11" s="52" t="s">
        <v>399</v>
      </c>
      <c r="B11" s="53">
        <v>40.270000000000003</v>
      </c>
      <c r="C11" s="53">
        <v>106.02</v>
      </c>
      <c r="D11" s="53">
        <v>90.80</v>
      </c>
      <c r="E11" s="53">
        <v>6.67</v>
      </c>
      <c r="F11" s="53">
        <v>4.57</v>
      </c>
      <c r="G11" s="53">
        <v>73.92</v>
      </c>
      <c r="H11" s="53">
        <v>36.29</v>
      </c>
      <c r="I11" s="53">
        <v>0.87</v>
      </c>
      <c r="J11" s="53">
        <v>0.72</v>
      </c>
      <c r="K11" s="53">
        <v>354.26</v>
      </c>
      <c r="L11" s="53">
        <v>18.30</v>
      </c>
      <c r="M11" s="53">
        <v>44.40</v>
      </c>
      <c r="N11" s="53">
        <v>4.20</v>
      </c>
      <c r="O11" s="53">
        <v>0</v>
      </c>
      <c r="P11" s="53">
        <v>1.36</v>
      </c>
      <c r="Q11" s="53">
        <v>29.14</v>
      </c>
      <c r="R11" s="45"/>
      <c r="S11" s="45"/>
      <c r="T11" s="45"/>
      <c r="U11" s="45"/>
    </row>
    <row r="12" spans="1:21" s="11" customFormat="1" ht="15">
      <c r="A12" s="52" t="s">
        <v>400</v>
      </c>
      <c r="B12" s="53">
        <v>24.38</v>
      </c>
      <c r="C12" s="53">
        <v>95.30</v>
      </c>
      <c r="D12" s="53">
        <v>72.150000000000006</v>
      </c>
      <c r="E12" s="53">
        <v>6.06</v>
      </c>
      <c r="F12" s="53">
        <v>4.62</v>
      </c>
      <c r="G12" s="53">
        <v>58.13</v>
      </c>
      <c r="H12" s="53">
        <v>33.06</v>
      </c>
      <c r="I12" s="53">
        <v>0.73</v>
      </c>
      <c r="J12" s="53">
        <v>0.73</v>
      </c>
      <c r="K12" s="53">
        <v>357.78</v>
      </c>
      <c r="L12" s="53">
        <v>18.43</v>
      </c>
      <c r="M12" s="53">
        <v>40.659999999999997</v>
      </c>
      <c r="N12" s="53">
        <v>3.90</v>
      </c>
      <c r="O12" s="53">
        <v>0</v>
      </c>
      <c r="P12" s="53">
        <v>1.07</v>
      </c>
      <c r="Q12" s="53">
        <v>27.29</v>
      </c>
      <c r="R12" s="45"/>
      <c r="S12" s="45"/>
      <c r="T12" s="45"/>
      <c r="U12" s="45"/>
    </row>
    <row r="13" spans="1:21" s="11" customFormat="1" ht="15">
      <c r="A13" s="52" t="s">
        <v>401</v>
      </c>
      <c r="B13" s="53">
        <v>14.91</v>
      </c>
      <c r="C13" s="53">
        <v>88.88</v>
      </c>
      <c r="D13" s="53">
        <v>61.01</v>
      </c>
      <c r="E13" s="53">
        <v>10.050000000000001</v>
      </c>
      <c r="F13" s="53">
        <v>4.67</v>
      </c>
      <c r="G13" s="53">
        <v>49.66</v>
      </c>
      <c r="H13" s="53">
        <v>26.02</v>
      </c>
      <c r="I13" s="53">
        <v>0.66</v>
      </c>
      <c r="J13" s="53">
        <v>0.67</v>
      </c>
      <c r="K13" s="53">
        <v>348.32</v>
      </c>
      <c r="L13" s="53">
        <v>17.899999999999999</v>
      </c>
      <c r="M13" s="53">
        <v>43.17</v>
      </c>
      <c r="N13" s="53">
        <v>4.4000000000000004</v>
      </c>
      <c r="O13" s="53">
        <v>0</v>
      </c>
      <c r="P13" s="53">
        <v>0.94</v>
      </c>
      <c r="Q13" s="53">
        <v>25.15</v>
      </c>
      <c r="R13" s="45"/>
      <c r="S13" s="45"/>
      <c r="T13" s="45"/>
      <c r="U13" s="45"/>
    </row>
    <row r="14" spans="1:21" s="11" customFormat="1" ht="15">
      <c r="A14" s="52" t="s">
        <v>402</v>
      </c>
      <c r="B14" s="53">
        <v>11.93</v>
      </c>
      <c r="C14" s="53">
        <v>85.38</v>
      </c>
      <c r="D14" s="53">
        <v>56.68</v>
      </c>
      <c r="E14" s="53">
        <v>9.61</v>
      </c>
      <c r="F14" s="53">
        <v>4.59</v>
      </c>
      <c r="G14" s="53">
        <v>63.33</v>
      </c>
      <c r="H14" s="53">
        <v>28.18</v>
      </c>
      <c r="I14" s="53">
        <v>0.67</v>
      </c>
      <c r="J14" s="53">
        <v>0.70</v>
      </c>
      <c r="K14" s="53">
        <v>356.91</v>
      </c>
      <c r="L14" s="53">
        <v>17.579999999999998</v>
      </c>
      <c r="M14" s="53">
        <v>43.99</v>
      </c>
      <c r="N14" s="53">
        <v>4.5999999999999996</v>
      </c>
      <c r="O14" s="53">
        <v>0</v>
      </c>
      <c r="P14" s="53">
        <v>0.91</v>
      </c>
      <c r="Q14" s="53">
        <v>25.98</v>
      </c>
      <c r="R14" s="45"/>
      <c r="S14" s="45"/>
      <c r="T14" s="45"/>
      <c r="U14" s="45"/>
    </row>
    <row r="15" spans="1:21" s="11" customFormat="1" ht="15">
      <c r="A15" s="52" t="s">
        <v>403</v>
      </c>
      <c r="B15" s="53">
        <v>14.54</v>
      </c>
      <c r="C15" s="53">
        <v>88.76</v>
      </c>
      <c r="D15" s="53">
        <v>60.64</v>
      </c>
      <c r="E15" s="53">
        <v>11.04</v>
      </c>
      <c r="F15" s="53">
        <v>4.59</v>
      </c>
      <c r="G15" s="53">
        <v>95.57</v>
      </c>
      <c r="H15" s="53">
        <v>41.08</v>
      </c>
      <c r="I15" s="53">
        <v>0.62</v>
      </c>
      <c r="J15" s="53">
        <v>0.42</v>
      </c>
      <c r="K15" s="53">
        <v>137.22999999999999</v>
      </c>
      <c r="L15" s="53">
        <v>17.82</v>
      </c>
      <c r="M15" s="53">
        <v>45.96</v>
      </c>
      <c r="N15" s="53">
        <v>26.5</v>
      </c>
      <c r="O15" s="53">
        <v>0</v>
      </c>
      <c r="P15" s="53">
        <v>0.94</v>
      </c>
      <c r="Q15" s="53">
        <v>26.08</v>
      </c>
      <c r="R15" s="45"/>
      <c r="S15" s="45"/>
      <c r="T15" s="45"/>
      <c r="U15" s="45"/>
    </row>
    <row r="16" spans="1:21" s="11" customFormat="1" ht="15">
      <c r="A16" s="52" t="s">
        <v>404</v>
      </c>
      <c r="B16" s="53">
        <v>18.079999999999998</v>
      </c>
      <c r="C16" s="53">
        <v>90.11</v>
      </c>
      <c r="D16" s="53">
        <v>64.23</v>
      </c>
      <c r="E16" s="53">
        <v>12.33</v>
      </c>
      <c r="F16" s="53">
        <v>4.57</v>
      </c>
      <c r="G16" s="53">
        <v>127.49</v>
      </c>
      <c r="H16" s="53">
        <v>49.80</v>
      </c>
      <c r="I16" s="53">
        <v>0.61</v>
      </c>
      <c r="J16" s="53">
        <v>0.28000000000000003</v>
      </c>
      <c r="K16" s="53">
        <v>165.33</v>
      </c>
      <c r="L16" s="53">
        <v>23.28</v>
      </c>
      <c r="M16" s="53">
        <v>47.82</v>
      </c>
      <c r="N16" s="53">
        <v>225.70</v>
      </c>
      <c r="O16" s="53">
        <v>0</v>
      </c>
      <c r="P16" s="53">
        <v>1.1599999999999999</v>
      </c>
      <c r="Q16" s="53">
        <v>25.39</v>
      </c>
      <c r="R16" s="45"/>
      <c r="S16" s="45"/>
      <c r="T16" s="45"/>
      <c r="U16" s="45"/>
    </row>
    <row r="17" spans="1:21" s="11" customFormat="1" ht="15">
      <c r="A17" s="52" t="s">
        <v>405</v>
      </c>
      <c r="B17" s="53">
        <v>20.46</v>
      </c>
      <c r="C17" s="53">
        <v>94.18</v>
      </c>
      <c r="D17" s="53">
        <v>67.78</v>
      </c>
      <c r="E17" s="53">
        <v>9.60</v>
      </c>
      <c r="F17" s="53">
        <v>4.6900000000000004</v>
      </c>
      <c r="G17" s="53">
        <v>127.49</v>
      </c>
      <c r="H17" s="53">
        <v>50.5</v>
      </c>
      <c r="I17" s="53">
        <v>0.67</v>
      </c>
      <c r="J17" s="53">
        <v>1.05</v>
      </c>
      <c r="K17" s="53">
        <v>262.73</v>
      </c>
      <c r="L17" s="53">
        <v>24.90</v>
      </c>
      <c r="M17" s="53">
        <v>40.82</v>
      </c>
      <c r="N17" s="53">
        <v>370.5</v>
      </c>
      <c r="O17" s="53">
        <v>0</v>
      </c>
      <c r="P17" s="53">
        <v>1.26</v>
      </c>
      <c r="Q17" s="53">
        <v>26</v>
      </c>
      <c r="R17" s="45"/>
      <c r="S17" s="45"/>
      <c r="T17" s="45"/>
      <c r="U17" s="45"/>
    </row>
    <row r="18" spans="1:21" s="11" customFormat="1" ht="15">
      <c r="A18" s="52" t="s">
        <v>406</v>
      </c>
      <c r="B18" s="53">
        <v>17.66</v>
      </c>
      <c r="C18" s="53">
        <v>103.80</v>
      </c>
      <c r="D18" s="53">
        <v>67.86</v>
      </c>
      <c r="E18" s="53">
        <v>8.9700000000000006</v>
      </c>
      <c r="F18" s="53">
        <v>4.80</v>
      </c>
      <c r="G18" s="53">
        <v>123.27</v>
      </c>
      <c r="H18" s="53">
        <v>50.5</v>
      </c>
      <c r="I18" s="53">
        <v>0.67</v>
      </c>
      <c r="J18" s="53">
        <v>0.35</v>
      </c>
      <c r="K18" s="53">
        <v>205.51</v>
      </c>
      <c r="L18" s="53">
        <v>30.54</v>
      </c>
      <c r="M18" s="53">
        <v>35.54</v>
      </c>
      <c r="N18" s="53">
        <v>454.5</v>
      </c>
      <c r="O18" s="53">
        <v>0</v>
      </c>
      <c r="P18" s="53">
        <v>1.39</v>
      </c>
      <c r="Q18" s="53">
        <v>27.49</v>
      </c>
      <c r="R18" s="45"/>
      <c r="S18" s="45"/>
      <c r="T18" s="45"/>
      <c r="U18" s="45"/>
    </row>
    <row r="19" spans="1:21" s="11" customFormat="1" ht="15">
      <c r="A19" s="52" t="s">
        <v>407</v>
      </c>
      <c r="B19" s="53">
        <v>11.59</v>
      </c>
      <c r="C19" s="53">
        <v>109.14</v>
      </c>
      <c r="D19" s="53">
        <v>68.11</v>
      </c>
      <c r="E19" s="53">
        <v>10.25</v>
      </c>
      <c r="F19" s="53">
        <v>5.61</v>
      </c>
      <c r="G19" s="53">
        <v>117.5</v>
      </c>
      <c r="H19" s="53">
        <v>49.29</v>
      </c>
      <c r="I19" s="53">
        <v>0.65</v>
      </c>
      <c r="J19" s="53">
        <v>0.51</v>
      </c>
      <c r="K19" s="53">
        <v>153.81</v>
      </c>
      <c r="L19" s="53">
        <v>32.479999999999997</v>
      </c>
      <c r="M19" s="53">
        <v>21.68</v>
      </c>
      <c r="N19" s="53">
        <v>492</v>
      </c>
      <c r="O19" s="53">
        <v>0</v>
      </c>
      <c r="P19" s="53">
        <v>1.40</v>
      </c>
      <c r="Q19" s="53">
        <v>27.57</v>
      </c>
      <c r="R19" s="45"/>
      <c r="S19" s="45"/>
      <c r="T19" s="45"/>
      <c r="U19" s="45"/>
    </row>
    <row r="20" spans="1:21" s="11" customFormat="1" ht="15">
      <c r="A20" s="52" t="s">
        <v>408</v>
      </c>
      <c r="B20" s="53">
        <v>6.56</v>
      </c>
      <c r="C20" s="53">
        <v>108.12</v>
      </c>
      <c r="D20" s="53">
        <v>64.930000000000007</v>
      </c>
      <c r="E20" s="53">
        <v>16.850000000000001</v>
      </c>
      <c r="F20" s="53">
        <v>8.90</v>
      </c>
      <c r="G20" s="53">
        <v>87.95</v>
      </c>
      <c r="H20" s="53">
        <v>46.64</v>
      </c>
      <c r="I20" s="53">
        <v>0.64</v>
      </c>
      <c r="J20" s="53">
        <v>1.08</v>
      </c>
      <c r="K20" s="53">
        <v>183.5</v>
      </c>
      <c r="L20" s="53">
        <v>34.31</v>
      </c>
      <c r="M20" s="53">
        <v>22.10</v>
      </c>
      <c r="N20" s="53">
        <v>557.70000000000005</v>
      </c>
      <c r="O20" s="53">
        <v>0</v>
      </c>
      <c r="P20" s="53">
        <v>1.36</v>
      </c>
      <c r="Q20" s="53">
        <v>26.99</v>
      </c>
      <c r="R20" s="45"/>
      <c r="S20" s="45"/>
      <c r="T20" s="45"/>
      <c r="U20" s="45"/>
    </row>
    <row r="21" spans="1:21" s="11" customFormat="1" ht="15">
      <c r="A21" s="52" t="s">
        <v>409</v>
      </c>
      <c r="B21" s="53">
        <v>5.07</v>
      </c>
      <c r="C21" s="53">
        <v>98.03</v>
      </c>
      <c r="D21" s="53">
        <v>58.16</v>
      </c>
      <c r="E21" s="53">
        <v>12.24</v>
      </c>
      <c r="F21" s="53">
        <v>10.55</v>
      </c>
      <c r="G21" s="53">
        <v>87.84</v>
      </c>
      <c r="H21" s="53">
        <v>46.28</v>
      </c>
      <c r="I21" s="53">
        <v>0.66</v>
      </c>
      <c r="J21" s="53">
        <v>0.72</v>
      </c>
      <c r="K21" s="53">
        <v>21.89</v>
      </c>
      <c r="L21" s="53">
        <v>35.21</v>
      </c>
      <c r="M21" s="53">
        <v>12.68</v>
      </c>
      <c r="N21" s="53">
        <v>590.79999999999995</v>
      </c>
      <c r="O21" s="53">
        <v>0</v>
      </c>
      <c r="P21" s="53">
        <v>1.30</v>
      </c>
      <c r="Q21" s="53">
        <v>29.29</v>
      </c>
      <c r="R21" s="45"/>
      <c r="S21" s="45"/>
      <c r="T21" s="45"/>
      <c r="U21" s="45"/>
    </row>
    <row r="22" spans="1:21" s="11" customFormat="1" ht="15">
      <c r="A22" s="52" t="s">
        <v>410</v>
      </c>
      <c r="B22" s="53">
        <v>3.53</v>
      </c>
      <c r="C22" s="53">
        <v>93.22</v>
      </c>
      <c r="D22" s="53">
        <v>54.27</v>
      </c>
      <c r="E22" s="53">
        <v>8.42</v>
      </c>
      <c r="F22" s="53">
        <v>8.35</v>
      </c>
      <c r="G22" s="53">
        <v>72.680000000000007</v>
      </c>
      <c r="H22" s="53">
        <v>38.82</v>
      </c>
      <c r="I22" s="53">
        <v>0.68</v>
      </c>
      <c r="J22" s="53">
        <v>1.07</v>
      </c>
      <c r="K22" s="53">
        <v>356.12</v>
      </c>
      <c r="L22" s="53">
        <v>36.29</v>
      </c>
      <c r="M22" s="53">
        <v>13.91</v>
      </c>
      <c r="N22" s="53">
        <v>539.29999999999995</v>
      </c>
      <c r="O22" s="53">
        <v>0</v>
      </c>
      <c r="P22" s="53">
        <v>1.08</v>
      </c>
      <c r="Q22" s="53">
        <v>30.86</v>
      </c>
      <c r="R22" s="45"/>
      <c r="S22" s="45"/>
      <c r="T22" s="45"/>
      <c r="U22" s="45"/>
    </row>
    <row r="23" spans="1:21" s="11" customFormat="1" ht="15">
      <c r="A23" s="52" t="s">
        <v>411</v>
      </c>
      <c r="B23" s="53">
        <v>3.44</v>
      </c>
      <c r="C23" s="53">
        <v>82.59</v>
      </c>
      <c r="D23" s="53">
        <v>48.19</v>
      </c>
      <c r="E23" s="53">
        <v>7.55</v>
      </c>
      <c r="F23" s="53">
        <v>9.09</v>
      </c>
      <c r="G23" s="53">
        <v>56.10</v>
      </c>
      <c r="H23" s="53">
        <v>30.21</v>
      </c>
      <c r="I23" s="53">
        <v>0.63</v>
      </c>
      <c r="J23" s="53">
        <v>1.32</v>
      </c>
      <c r="K23" s="53">
        <v>357.79</v>
      </c>
      <c r="L23" s="53">
        <v>35.86</v>
      </c>
      <c r="M23" s="53">
        <v>13.09</v>
      </c>
      <c r="N23" s="53">
        <v>462.70</v>
      </c>
      <c r="O23" s="53">
        <v>0</v>
      </c>
      <c r="P23" s="53">
        <v>0.92</v>
      </c>
      <c r="Q23" s="53">
        <v>30.76</v>
      </c>
      <c r="R23" s="45"/>
      <c r="S23" s="45"/>
      <c r="T23" s="45"/>
      <c r="U23" s="45"/>
    </row>
    <row r="24" spans="1:21" s="11" customFormat="1" ht="15">
      <c r="A24" s="52" t="s">
        <v>412</v>
      </c>
      <c r="B24" s="53">
        <v>5.0599999999999996</v>
      </c>
      <c r="C24" s="53">
        <v>79.92</v>
      </c>
      <c r="D24" s="53">
        <v>46.94</v>
      </c>
      <c r="E24" s="53">
        <v>7.48</v>
      </c>
      <c r="F24" s="53">
        <v>12.93</v>
      </c>
      <c r="G24" s="53">
        <v>53.85</v>
      </c>
      <c r="H24" s="53">
        <v>23.60</v>
      </c>
      <c r="I24" s="53">
        <v>0.59</v>
      </c>
      <c r="J24" s="53">
        <v>1.1200000000000001</v>
      </c>
      <c r="K24" s="53">
        <v>6.79</v>
      </c>
      <c r="L24" s="53">
        <v>35.57</v>
      </c>
      <c r="M24" s="53">
        <v>13.89</v>
      </c>
      <c r="N24" s="53">
        <v>396.20</v>
      </c>
      <c r="O24" s="53">
        <v>0</v>
      </c>
      <c r="P24" s="53">
        <v>0.84</v>
      </c>
      <c r="Q24" s="53">
        <v>26.97</v>
      </c>
      <c r="R24" s="45"/>
      <c r="S24" s="45"/>
      <c r="T24" s="45"/>
      <c r="U24" s="45"/>
    </row>
    <row r="25" spans="1:21" s="11" customFormat="1" ht="15">
      <c r="A25" s="52" t="s">
        <v>413</v>
      </c>
      <c r="B25" s="53">
        <v>5.09</v>
      </c>
      <c r="C25" s="53">
        <v>80.489999999999995</v>
      </c>
      <c r="D25" s="53">
        <v>47.77</v>
      </c>
      <c r="E25" s="53">
        <v>6.68</v>
      </c>
      <c r="F25" s="53">
        <v>10.92</v>
      </c>
      <c r="G25" s="53">
        <v>42.54</v>
      </c>
      <c r="H25" s="53">
        <v>23.60</v>
      </c>
      <c r="I25" s="53">
        <v>0.62</v>
      </c>
      <c r="J25" s="53">
        <v>0.85</v>
      </c>
      <c r="K25" s="53">
        <v>355.45</v>
      </c>
      <c r="L25" s="53">
        <v>32.659999999999997</v>
      </c>
      <c r="M25" s="53">
        <v>17.62</v>
      </c>
      <c r="N25" s="53">
        <v>173.20</v>
      </c>
      <c r="O25" s="53">
        <v>0</v>
      </c>
      <c r="P25" s="53">
        <v>0.78</v>
      </c>
      <c r="Q25" s="53">
        <v>28.42</v>
      </c>
      <c r="R25" s="45"/>
      <c r="S25" s="45"/>
      <c r="T25" s="45"/>
      <c r="U25" s="45"/>
    </row>
    <row r="26" spans="1:21" s="11" customFormat="1" ht="15">
      <c r="A26" s="52" t="s">
        <v>414</v>
      </c>
      <c r="B26" s="53">
        <v>16.25</v>
      </c>
      <c r="C26" s="53">
        <v>93.06</v>
      </c>
      <c r="D26" s="53">
        <v>64.39</v>
      </c>
      <c r="E26" s="53">
        <v>7.77</v>
      </c>
      <c r="F26" s="53">
        <v>9.18</v>
      </c>
      <c r="G26" s="53">
        <v>43.51</v>
      </c>
      <c r="H26" s="53">
        <v>18.29</v>
      </c>
      <c r="I26" s="53">
        <v>0.60</v>
      </c>
      <c r="J26" s="53">
        <v>0.54</v>
      </c>
      <c r="K26" s="53">
        <v>45.13</v>
      </c>
      <c r="L26" s="53">
        <v>30.44</v>
      </c>
      <c r="M26" s="53">
        <v>27.13</v>
      </c>
      <c r="N26" s="53">
        <v>33.299999999999997</v>
      </c>
      <c r="O26" s="53">
        <v>0</v>
      </c>
      <c r="P26" s="53">
        <v>1.1200000000000001</v>
      </c>
      <c r="Q26" s="53">
        <v>27.90</v>
      </c>
      <c r="R26" s="45"/>
      <c r="S26" s="45"/>
      <c r="T26" s="45"/>
      <c r="U26" s="45"/>
    </row>
    <row r="27" spans="1:21" s="11" customFormat="1" ht="15">
      <c r="A27" s="52" t="s">
        <v>415</v>
      </c>
      <c r="B27" s="53">
        <v>49.45</v>
      </c>
      <c r="C27" s="53">
        <v>123.94</v>
      </c>
      <c r="D27" s="53">
        <v>108.06</v>
      </c>
      <c r="E27" s="53">
        <v>8.40</v>
      </c>
      <c r="F27" s="53">
        <v>5.85</v>
      </c>
      <c r="G27" s="53">
        <v>138.91999999999999</v>
      </c>
      <c r="H27" s="53">
        <v>22.84</v>
      </c>
      <c r="I27" s="53">
        <v>0.81</v>
      </c>
      <c r="J27" s="53">
        <v>0.19</v>
      </c>
      <c r="K27" s="53">
        <v>303.42</v>
      </c>
      <c r="L27" s="53">
        <v>26.87</v>
      </c>
      <c r="M27" s="53">
        <v>34.630000000000003</v>
      </c>
      <c r="N27" s="53">
        <v>5</v>
      </c>
      <c r="O27" s="53">
        <v>0</v>
      </c>
      <c r="P27" s="53">
        <v>1.5</v>
      </c>
      <c r="Q27" s="53">
        <v>27.54</v>
      </c>
      <c r="R27" s="45"/>
      <c r="S27" s="45"/>
      <c r="T27" s="45"/>
      <c r="U27" s="45"/>
    </row>
    <row r="28" spans="1:21" s="11" customFormat="1" ht="15">
      <c r="A28" s="52" t="s">
        <v>416</v>
      </c>
      <c r="B28" s="53">
        <v>59.32</v>
      </c>
      <c r="C28" s="53">
        <v>126.42</v>
      </c>
      <c r="D28" s="53">
        <v>117.34</v>
      </c>
      <c r="E28" s="53">
        <v>8.44</v>
      </c>
      <c r="F28" s="53">
        <v>4.6399999999999997</v>
      </c>
      <c r="G28" s="53">
        <v>183.40</v>
      </c>
      <c r="H28" s="53">
        <v>41.04</v>
      </c>
      <c r="I28" s="53">
        <v>1.01</v>
      </c>
      <c r="J28" s="53">
        <v>0.18</v>
      </c>
      <c r="K28" s="53">
        <v>353.52</v>
      </c>
      <c r="L28" s="53">
        <v>24.5</v>
      </c>
      <c r="M28" s="53">
        <v>41.32</v>
      </c>
      <c r="N28" s="53">
        <v>4.4000000000000004</v>
      </c>
      <c r="O28" s="53">
        <v>0</v>
      </c>
      <c r="P28" s="53">
        <v>1.93</v>
      </c>
      <c r="Q28" s="53">
        <v>32.74</v>
      </c>
      <c r="R28" s="45"/>
      <c r="S28" s="45"/>
      <c r="T28" s="45"/>
      <c r="U28" s="45"/>
    </row>
    <row r="29" spans="1:21" s="11" customFormat="1" ht="15">
      <c r="A29" s="52" t="s">
        <v>417</v>
      </c>
      <c r="B29" s="53">
        <v>58.79</v>
      </c>
      <c r="C29" s="53">
        <v>122.81</v>
      </c>
      <c r="D29" s="53">
        <v>114.22</v>
      </c>
      <c r="E29" s="53">
        <v>8.89</v>
      </c>
      <c r="F29" s="53">
        <v>4.57</v>
      </c>
      <c r="G29" s="53">
        <v>183.40</v>
      </c>
      <c r="H29" s="53">
        <v>42.85</v>
      </c>
      <c r="I29" s="53">
        <v>1.04</v>
      </c>
      <c r="J29" s="53">
        <v>0.47</v>
      </c>
      <c r="K29" s="53">
        <v>353.74</v>
      </c>
      <c r="L29" s="53">
        <v>24.23</v>
      </c>
      <c r="M29" s="53">
        <v>34.32</v>
      </c>
      <c r="N29" s="53">
        <v>3.60</v>
      </c>
      <c r="O29" s="53">
        <v>0</v>
      </c>
      <c r="P29" s="53">
        <v>1.88</v>
      </c>
      <c r="Q29" s="53">
        <v>34.65</v>
      </c>
      <c r="R29" s="45"/>
      <c r="S29" s="45"/>
      <c r="T29" s="45"/>
      <c r="U29" s="45"/>
    </row>
    <row r="30" spans="1:21" s="11" customFormat="1" ht="15">
      <c r="A30" s="52" t="s">
        <v>418</v>
      </c>
      <c r="B30" s="53">
        <v>55.31</v>
      </c>
      <c r="C30" s="53">
        <v>120.48</v>
      </c>
      <c r="D30" s="53">
        <v>110.84</v>
      </c>
      <c r="E30" s="53">
        <v>8.7200000000000006</v>
      </c>
      <c r="F30" s="53">
        <v>4.93</v>
      </c>
      <c r="G30" s="53">
        <v>137.94999999999999</v>
      </c>
      <c r="H30" s="53">
        <v>42.85</v>
      </c>
      <c r="I30" s="53">
        <v>1.03</v>
      </c>
      <c r="J30" s="53">
        <v>0.20</v>
      </c>
      <c r="K30" s="53">
        <v>351.05</v>
      </c>
      <c r="L30" s="53">
        <v>23.73</v>
      </c>
      <c r="M30" s="53">
        <v>36.11</v>
      </c>
      <c r="N30" s="53">
        <v>4.5</v>
      </c>
      <c r="O30" s="53">
        <v>0</v>
      </c>
      <c r="P30" s="53">
        <v>1.81</v>
      </c>
      <c r="Q30" s="53">
        <v>33.86</v>
      </c>
      <c r="R30" s="45"/>
      <c r="S30" s="45"/>
      <c r="T30" s="45"/>
      <c r="U30" s="45"/>
    </row>
    <row r="31" spans="1:21" s="11" customFormat="1" ht="15">
      <c r="A31" s="52" t="s">
        <v>419</v>
      </c>
      <c r="B31" s="53">
        <v>49.63</v>
      </c>
      <c r="C31" s="53">
        <v>116.21</v>
      </c>
      <c r="D31" s="53">
        <v>103.93</v>
      </c>
      <c r="E31" s="53">
        <v>9.2899999999999991</v>
      </c>
      <c r="F31" s="53">
        <v>4.96</v>
      </c>
      <c r="G31" s="53">
        <v>74.819999999999993</v>
      </c>
      <c r="H31" s="53">
        <v>38.15</v>
      </c>
      <c r="I31" s="53">
        <v>0.92</v>
      </c>
      <c r="J31" s="53">
        <v>1.1100000000000001</v>
      </c>
      <c r="K31" s="53">
        <v>11.67</v>
      </c>
      <c r="L31" s="53">
        <v>22.42</v>
      </c>
      <c r="M31" s="53">
        <v>37.14</v>
      </c>
      <c r="N31" s="53">
        <v>4.5</v>
      </c>
      <c r="O31" s="53">
        <v>0</v>
      </c>
      <c r="P31" s="53">
        <v>1.72</v>
      </c>
      <c r="Q31" s="53">
        <v>32.74</v>
      </c>
      <c r="R31" s="45"/>
      <c r="S31" s="45"/>
      <c r="T31" s="45"/>
      <c r="U31" s="45"/>
    </row>
    <row r="32" spans="1:21" s="11" customFormat="1" ht="15">
      <c r="A32" s="52" t="s">
        <v>420</v>
      </c>
      <c r="B32" s="53">
        <v>44.66</v>
      </c>
      <c r="C32" s="53">
        <v>110.05</v>
      </c>
      <c r="D32" s="53">
        <v>96.55</v>
      </c>
      <c r="E32" s="53">
        <v>8.36</v>
      </c>
      <c r="F32" s="53">
        <v>4.6399999999999997</v>
      </c>
      <c r="G32" s="53">
        <v>74.819999999999993</v>
      </c>
      <c r="H32" s="53">
        <v>34.19</v>
      </c>
      <c r="I32" s="53">
        <v>0.85</v>
      </c>
      <c r="J32" s="53">
        <v>1.44</v>
      </c>
      <c r="K32" s="53">
        <v>358.97</v>
      </c>
      <c r="L32" s="53">
        <v>22.30</v>
      </c>
      <c r="M32" s="53">
        <v>38.67</v>
      </c>
      <c r="N32" s="53">
        <v>4.5</v>
      </c>
      <c r="O32" s="53">
        <v>0</v>
      </c>
      <c r="P32" s="53">
        <v>1.58</v>
      </c>
      <c r="Q32" s="53">
        <v>32.19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3.4399999999999999</v>
      </c>
      <c r="C34" s="28">
        <f t="shared" si="0"/>
        <v>79.920000000000002</v>
      </c>
      <c r="D34" s="28">
        <f t="shared" si="0"/>
        <v>46.939999999999998</v>
      </c>
      <c r="E34" s="28">
        <f t="shared" si="0"/>
        <v>6.0599999999999996</v>
      </c>
      <c r="F34" s="28">
        <f t="shared" si="0"/>
        <v>4.5700000000000003</v>
      </c>
      <c r="G34" s="28">
        <f t="shared" si="0"/>
        <v>42.539999999999999</v>
      </c>
      <c r="H34" s="28">
        <f t="shared" si="0"/>
        <v>18.289999999999999</v>
      </c>
      <c r="I34" s="28">
        <f t="shared" si="0"/>
        <v>0.58999999999999997</v>
      </c>
      <c r="J34" s="28">
        <f t="shared" si="0"/>
        <v>0.16</v>
      </c>
      <c r="K34" s="28">
        <f t="shared" si="0"/>
        <v>6.79</v>
      </c>
      <c r="L34" s="28">
        <f t="shared" si="0"/>
        <v>17.579999999999998</v>
      </c>
      <c r="M34" s="28">
        <f t="shared" si="0"/>
        <v>12.68</v>
      </c>
      <c r="N34" s="28">
        <f t="shared" si="0"/>
        <v>3.6000000000000001</v>
      </c>
      <c r="O34" s="28">
        <f t="shared" si="0"/>
        <v>0</v>
      </c>
      <c r="P34" s="28">
        <f t="shared" si="0"/>
        <v>0.78000000000000003</v>
      </c>
      <c r="Q34" s="28">
        <f t="shared" si="0"/>
        <v>25.149999999999999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61.810000000000002</v>
      </c>
      <c r="C35" s="29">
        <f t="shared" si="1"/>
        <v>126.42</v>
      </c>
      <c r="D35" s="29">
        <f t="shared" si="1"/>
        <v>118.98999999999999</v>
      </c>
      <c r="E35" s="29">
        <f t="shared" si="1"/>
        <v>16.850000000000001</v>
      </c>
      <c r="F35" s="29">
        <f t="shared" si="1"/>
        <v>12.93</v>
      </c>
      <c r="G35" s="29">
        <f t="shared" si="1"/>
        <v>183.40000000000001</v>
      </c>
      <c r="H35" s="29">
        <f t="shared" si="1"/>
        <v>50.5</v>
      </c>
      <c r="I35" s="29">
        <f t="shared" si="1"/>
        <v>1.04</v>
      </c>
      <c r="J35" s="29">
        <f t="shared" si="1"/>
        <v>1.4399999999999999</v>
      </c>
      <c r="K35" s="29">
        <f t="shared" si="1"/>
        <v>358.97000000000003</v>
      </c>
      <c r="L35" s="29">
        <f t="shared" si="1"/>
        <v>36.289999999999999</v>
      </c>
      <c r="M35" s="29">
        <f t="shared" si="1"/>
        <v>47.82</v>
      </c>
      <c r="N35" s="29">
        <f t="shared" si="1"/>
        <v>590.79999999999995</v>
      </c>
      <c r="O35" s="29">
        <f t="shared" si="1"/>
        <v>0</v>
      </c>
      <c r="P35" s="29">
        <f t="shared" si="1"/>
        <v>1.9399999999999999</v>
      </c>
      <c r="Q35" s="29">
        <f t="shared" si="1"/>
        <v>34.649999999999999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26.984166666666663</v>
      </c>
      <c r="C36" s="28">
        <f t="shared" si="2"/>
        <v>102.38916666666667</v>
      </c>
      <c r="D36" s="28">
        <f t="shared" si="2"/>
        <v>77.794166666666669</v>
      </c>
      <c r="E36" s="28">
        <f t="shared" si="2"/>
        <v>9.0733333333333324</v>
      </c>
      <c r="F36" s="28">
        <f t="shared" si="2"/>
        <v>6.3116666666666648</v>
      </c>
      <c r="G36" s="28">
        <f t="shared" si="2"/>
        <v>94.55291666666669</v>
      </c>
      <c r="H36" s="28">
        <f t="shared" si="2"/>
        <v>37.322916666666679</v>
      </c>
      <c r="I36" s="28">
        <f t="shared" si="2"/>
        <v>0.75666666666666682</v>
      </c>
      <c r="J36" s="28">
        <f t="shared" si="2"/>
        <v>0.67125000000000001</v>
      </c>
      <c r="K36" s="28">
        <f t="shared" si="2"/>
        <v>241.28291666666664</v>
      </c>
      <c r="L36" s="28">
        <f t="shared" si="2"/>
        <v>25.947916666666661</v>
      </c>
      <c r="M36" s="28">
        <f t="shared" si="2"/>
        <v>33.196666666666673</v>
      </c>
      <c r="N36" s="28">
        <f t="shared" si="2"/>
        <v>182.29166666666666</v>
      </c>
      <c r="O36" s="28">
        <f t="shared" si="2"/>
        <v>0</v>
      </c>
      <c r="P36" s="28">
        <f t="shared" si="2"/>
        <v>1.3229166666666667</v>
      </c>
      <c r="Q36" s="28">
        <f t="shared" si="2"/>
        <v>28.895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21.015219519416778</v>
      </c>
      <c r="C37" s="28">
        <f t="shared" si="3" ref="C37:Q37">STDEV(C9:C32)</f>
        <v>15.20829976966712</v>
      </c>
      <c r="D37" s="28">
        <f t="shared" si="3"/>
        <v>24.663481174059537</v>
      </c>
      <c r="E37" s="28">
        <f t="shared" si="3"/>
        <v>2.3336939679897877</v>
      </c>
      <c r="F37" s="28">
        <f t="shared" si="3"/>
        <v>2.5621978789731492</v>
      </c>
      <c r="G37" s="28">
        <f t="shared" si="3"/>
        <v>40.560565286255283</v>
      </c>
      <c r="H37" s="28">
        <f t="shared" si="3"/>
        <v>9.7879550998270943</v>
      </c>
      <c r="I37" s="28">
        <f t="shared" si="3"/>
        <v>0.15647382519454842</v>
      </c>
      <c r="J37" s="28">
        <f t="shared" si="3"/>
        <v>0.38844520065646793</v>
      </c>
      <c r="K37" s="28">
        <f t="shared" si="3"/>
        <v>136.3654067595167</v>
      </c>
      <c r="L37" s="28">
        <f t="shared" si="3"/>
        <v>6.7638122638479432</v>
      </c>
      <c r="M37" s="28">
        <f t="shared" si="3"/>
        <v>12.06436494181418</v>
      </c>
      <c r="N37" s="28">
        <f t="shared" si="3"/>
        <v>227.78178328633186</v>
      </c>
      <c r="O37" s="28">
        <f t="shared" si="3"/>
        <v>0</v>
      </c>
      <c r="P37" s="28">
        <f t="shared" si="3"/>
        <v>0.35938932706161014</v>
      </c>
      <c r="Q37" s="28">
        <f t="shared" si="3"/>
        <v>2.7506963545223617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446642-ee8a-4fac-bdd0-38829903b55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421</v>
      </c>
      <c r="B9" s="53">
        <v>32.54</v>
      </c>
      <c r="C9" s="53">
        <v>100.48</v>
      </c>
      <c r="D9" s="53">
        <v>81.55</v>
      </c>
      <c r="E9" s="53">
        <v>10.220000000000001</v>
      </c>
      <c r="F9" s="53">
        <v>4.54</v>
      </c>
      <c r="G9" s="53">
        <v>75.39</v>
      </c>
      <c r="H9" s="53">
        <v>32.380000000000003</v>
      </c>
      <c r="I9" s="53">
        <v>0.76</v>
      </c>
      <c r="J9" s="53">
        <v>0.82</v>
      </c>
      <c r="K9" s="53">
        <v>352.31</v>
      </c>
      <c r="L9" s="53">
        <v>20.78</v>
      </c>
      <c r="M9" s="53">
        <v>43.36</v>
      </c>
      <c r="N9" s="53">
        <v>4.5</v>
      </c>
      <c r="O9" s="53">
        <v>0</v>
      </c>
      <c r="P9" s="53">
        <v>1.38</v>
      </c>
      <c r="Q9" s="53">
        <v>31.10</v>
      </c>
      <c r="R9" s="45"/>
      <c r="S9" s="45"/>
      <c r="T9" s="45"/>
      <c r="U9" s="45"/>
    </row>
    <row r="10" spans="1:21" s="11" customFormat="1" ht="15">
      <c r="A10" s="52" t="s">
        <v>422</v>
      </c>
      <c r="B10" s="53">
        <v>24.42</v>
      </c>
      <c r="C10" s="53">
        <v>95.06</v>
      </c>
      <c r="D10" s="53">
        <v>72.05</v>
      </c>
      <c r="E10" s="53">
        <v>9.5500000000000007</v>
      </c>
      <c r="F10" s="53">
        <v>4.59</v>
      </c>
      <c r="G10" s="53">
        <v>88.17</v>
      </c>
      <c r="H10" s="53">
        <v>35.409999999999997</v>
      </c>
      <c r="I10" s="53">
        <v>0.74</v>
      </c>
      <c r="J10" s="53">
        <v>0.85</v>
      </c>
      <c r="K10" s="53">
        <v>355.83</v>
      </c>
      <c r="L10" s="53">
        <v>20.190000000000001</v>
      </c>
      <c r="M10" s="53">
        <v>46</v>
      </c>
      <c r="N10" s="53">
        <v>4.80</v>
      </c>
      <c r="O10" s="53">
        <v>0</v>
      </c>
      <c r="P10" s="53">
        <v>1.26</v>
      </c>
      <c r="Q10" s="53">
        <v>28.97</v>
      </c>
      <c r="R10" s="45"/>
      <c r="S10" s="45"/>
      <c r="T10" s="45"/>
      <c r="U10" s="45"/>
    </row>
    <row r="11" spans="1:21" s="11" customFormat="1" ht="15">
      <c r="A11" s="52" t="s">
        <v>423</v>
      </c>
      <c r="B11" s="53">
        <v>21.02</v>
      </c>
      <c r="C11" s="53">
        <v>91.91</v>
      </c>
      <c r="D11" s="53">
        <v>67.58</v>
      </c>
      <c r="E11" s="53">
        <v>9.2799999999999994</v>
      </c>
      <c r="F11" s="53">
        <v>4.63</v>
      </c>
      <c r="G11" s="53">
        <v>110.96</v>
      </c>
      <c r="H11" s="53">
        <v>42.18</v>
      </c>
      <c r="I11" s="53">
        <v>0.66</v>
      </c>
      <c r="J11" s="53">
        <v>0.17</v>
      </c>
      <c r="K11" s="53">
        <v>323.97000000000003</v>
      </c>
      <c r="L11" s="53">
        <v>19.52</v>
      </c>
      <c r="M11" s="53">
        <v>53.96</v>
      </c>
      <c r="N11" s="53">
        <v>4.5999999999999996</v>
      </c>
      <c r="O11" s="53">
        <v>0</v>
      </c>
      <c r="P11" s="53">
        <v>1.24</v>
      </c>
      <c r="Q11" s="53">
        <v>29.27</v>
      </c>
      <c r="R11" s="45"/>
      <c r="S11" s="45"/>
      <c r="T11" s="45"/>
      <c r="U11" s="45"/>
    </row>
    <row r="12" spans="1:21" s="11" customFormat="1" ht="15">
      <c r="A12" s="52" t="s">
        <v>424</v>
      </c>
      <c r="B12" s="53">
        <v>21.46</v>
      </c>
      <c r="C12" s="53">
        <v>89.37</v>
      </c>
      <c r="D12" s="53">
        <v>65.88</v>
      </c>
      <c r="E12" s="53">
        <v>8.02</v>
      </c>
      <c r="F12" s="53">
        <v>4.53</v>
      </c>
      <c r="G12" s="53">
        <v>122.90</v>
      </c>
      <c r="H12" s="53">
        <v>52.15</v>
      </c>
      <c r="I12" s="53">
        <v>0.66</v>
      </c>
      <c r="J12" s="53">
        <v>0.13</v>
      </c>
      <c r="K12" s="53">
        <v>311.62</v>
      </c>
      <c r="L12" s="53">
        <v>18.45</v>
      </c>
      <c r="M12" s="53">
        <v>60.26</v>
      </c>
      <c r="N12" s="53">
        <v>4.70</v>
      </c>
      <c r="O12" s="53">
        <v>0</v>
      </c>
      <c r="P12" s="53">
        <v>1.23</v>
      </c>
      <c r="Q12" s="53">
        <v>30</v>
      </c>
      <c r="R12" s="45"/>
      <c r="S12" s="45"/>
      <c r="T12" s="45"/>
      <c r="U12" s="45"/>
    </row>
    <row r="13" spans="1:21" s="11" customFormat="1" ht="15">
      <c r="A13" s="52" t="s">
        <v>425</v>
      </c>
      <c r="B13" s="53">
        <v>26.34</v>
      </c>
      <c r="C13" s="53">
        <v>90.13</v>
      </c>
      <c r="D13" s="53">
        <v>70.86</v>
      </c>
      <c r="E13" s="53">
        <v>8.1300000000000008</v>
      </c>
      <c r="F13" s="53">
        <v>4.5</v>
      </c>
      <c r="G13" s="53">
        <v>139.75</v>
      </c>
      <c r="H13" s="53">
        <v>55.22</v>
      </c>
      <c r="I13" s="53">
        <v>0.65</v>
      </c>
      <c r="J13" s="53">
        <v>0.12</v>
      </c>
      <c r="K13" s="53">
        <v>350.68</v>
      </c>
      <c r="L13" s="53">
        <v>17.25</v>
      </c>
      <c r="M13" s="53">
        <v>58.96</v>
      </c>
      <c r="N13" s="53">
        <v>4.5</v>
      </c>
      <c r="O13" s="53">
        <v>0</v>
      </c>
      <c r="P13" s="53">
        <v>1.29</v>
      </c>
      <c r="Q13" s="53">
        <v>29.41</v>
      </c>
      <c r="R13" s="45"/>
      <c r="S13" s="45"/>
      <c r="T13" s="45"/>
      <c r="U13" s="45"/>
    </row>
    <row r="14" spans="1:21" s="11" customFormat="1" ht="15">
      <c r="A14" s="52" t="s">
        <v>426</v>
      </c>
      <c r="B14" s="53">
        <v>31.32</v>
      </c>
      <c r="C14" s="53">
        <v>93.40</v>
      </c>
      <c r="D14" s="53">
        <v>76.66</v>
      </c>
      <c r="E14" s="53">
        <v>9.25</v>
      </c>
      <c r="F14" s="53">
        <v>4.54</v>
      </c>
      <c r="G14" s="53">
        <v>151.34</v>
      </c>
      <c r="H14" s="53">
        <v>62.53</v>
      </c>
      <c r="I14" s="53">
        <v>0.72</v>
      </c>
      <c r="J14" s="53">
        <v>0.18</v>
      </c>
      <c r="K14" s="53">
        <v>359.74</v>
      </c>
      <c r="L14" s="53">
        <v>17.73</v>
      </c>
      <c r="M14" s="53">
        <v>56.75</v>
      </c>
      <c r="N14" s="53">
        <v>4.20</v>
      </c>
      <c r="O14" s="53">
        <v>0</v>
      </c>
      <c r="P14" s="53">
        <v>1.37</v>
      </c>
      <c r="Q14" s="53">
        <v>28.44</v>
      </c>
      <c r="R14" s="45"/>
      <c r="S14" s="45"/>
      <c r="T14" s="45"/>
      <c r="U14" s="45"/>
    </row>
    <row r="15" spans="1:21" s="11" customFormat="1" ht="15">
      <c r="A15" s="52" t="s">
        <v>427</v>
      </c>
      <c r="B15" s="53">
        <v>36.39</v>
      </c>
      <c r="C15" s="53">
        <v>97.20</v>
      </c>
      <c r="D15" s="53">
        <v>82.82</v>
      </c>
      <c r="E15" s="53">
        <v>10.210000000000001</v>
      </c>
      <c r="F15" s="53">
        <v>4.51</v>
      </c>
      <c r="G15" s="53">
        <v>159.56</v>
      </c>
      <c r="H15" s="53">
        <v>67.09</v>
      </c>
      <c r="I15" s="53">
        <v>0.69</v>
      </c>
      <c r="J15" s="53">
        <v>0.35</v>
      </c>
      <c r="K15" s="53">
        <v>271.14</v>
      </c>
      <c r="L15" s="53">
        <v>18.03</v>
      </c>
      <c r="M15" s="53">
        <v>53.08</v>
      </c>
      <c r="N15" s="53">
        <v>26.40</v>
      </c>
      <c r="O15" s="53">
        <v>0</v>
      </c>
      <c r="P15" s="53">
        <v>1.51</v>
      </c>
      <c r="Q15" s="53">
        <v>29.88</v>
      </c>
      <c r="R15" s="45"/>
      <c r="S15" s="45"/>
      <c r="T15" s="45"/>
      <c r="U15" s="45"/>
    </row>
    <row r="16" spans="1:21" s="11" customFormat="1" ht="15">
      <c r="A16" s="52" t="s">
        <v>428</v>
      </c>
      <c r="B16" s="53">
        <v>44.71</v>
      </c>
      <c r="C16" s="53">
        <v>104.29</v>
      </c>
      <c r="D16" s="53">
        <v>93.40</v>
      </c>
      <c r="E16" s="53">
        <v>14.22</v>
      </c>
      <c r="F16" s="53">
        <v>4.51</v>
      </c>
      <c r="G16" s="53">
        <v>176.69</v>
      </c>
      <c r="H16" s="53">
        <v>75.95</v>
      </c>
      <c r="I16" s="53">
        <v>0.68</v>
      </c>
      <c r="J16" s="53">
        <v>0.65</v>
      </c>
      <c r="K16" s="53">
        <v>269.42</v>
      </c>
      <c r="L16" s="53">
        <v>20.41</v>
      </c>
      <c r="M16" s="53">
        <v>52.11</v>
      </c>
      <c r="N16" s="53">
        <v>207.10</v>
      </c>
      <c r="O16" s="53">
        <v>0</v>
      </c>
      <c r="P16" s="53">
        <v>1.58</v>
      </c>
      <c r="Q16" s="53">
        <v>29.97</v>
      </c>
      <c r="R16" s="45"/>
      <c r="S16" s="45"/>
      <c r="T16" s="45"/>
      <c r="U16" s="45"/>
    </row>
    <row r="17" spans="1:21" s="11" customFormat="1" ht="15">
      <c r="A17" s="52" t="s">
        <v>429</v>
      </c>
      <c r="B17" s="53">
        <v>43.28</v>
      </c>
      <c r="C17" s="53">
        <v>108.04</v>
      </c>
      <c r="D17" s="53">
        <v>92.38</v>
      </c>
      <c r="E17" s="53">
        <v>11.26</v>
      </c>
      <c r="F17" s="53">
        <v>4.5599999999999996</v>
      </c>
      <c r="G17" s="53">
        <v>176.69</v>
      </c>
      <c r="H17" s="53">
        <v>75.95</v>
      </c>
      <c r="I17" s="53">
        <v>0.70</v>
      </c>
      <c r="J17" s="53">
        <v>0.41</v>
      </c>
      <c r="K17" s="53">
        <v>256.67</v>
      </c>
      <c r="L17" s="53">
        <v>28.22</v>
      </c>
      <c r="M17" s="53">
        <v>50.17</v>
      </c>
      <c r="N17" s="53">
        <v>360</v>
      </c>
      <c r="O17" s="53">
        <v>0</v>
      </c>
      <c r="P17" s="53">
        <v>1.60</v>
      </c>
      <c r="Q17" s="53">
        <v>29.65</v>
      </c>
      <c r="R17" s="45"/>
      <c r="S17" s="45"/>
      <c r="T17" s="45"/>
      <c r="U17" s="45"/>
    </row>
    <row r="18" spans="1:21" s="11" customFormat="1" ht="15">
      <c r="A18" s="52" t="s">
        <v>430</v>
      </c>
      <c r="B18" s="53">
        <v>39.22</v>
      </c>
      <c r="C18" s="53">
        <v>110.40</v>
      </c>
      <c r="D18" s="53">
        <v>92.13</v>
      </c>
      <c r="E18" s="53">
        <v>12.16</v>
      </c>
      <c r="F18" s="53">
        <v>5.86</v>
      </c>
      <c r="G18" s="53">
        <v>152.52000000000001</v>
      </c>
      <c r="H18" s="53">
        <v>71.12</v>
      </c>
      <c r="I18" s="53">
        <v>0.69</v>
      </c>
      <c r="J18" s="53">
        <v>1.23</v>
      </c>
      <c r="K18" s="53">
        <v>23.64</v>
      </c>
      <c r="L18" s="53">
        <v>34.520000000000003</v>
      </c>
      <c r="M18" s="53">
        <v>26.92</v>
      </c>
      <c r="N18" s="53">
        <v>464.20</v>
      </c>
      <c r="O18" s="53">
        <v>0</v>
      </c>
      <c r="P18" s="53">
        <v>1.61</v>
      </c>
      <c r="Q18" s="53">
        <v>30.15</v>
      </c>
      <c r="R18" s="45"/>
      <c r="S18" s="45"/>
      <c r="T18" s="45"/>
      <c r="U18" s="45"/>
    </row>
    <row r="19" spans="1:21" s="11" customFormat="1" ht="15">
      <c r="A19" s="52" t="s">
        <v>431</v>
      </c>
      <c r="B19" s="53">
        <v>32.590000000000003</v>
      </c>
      <c r="C19" s="53">
        <v>110.60</v>
      </c>
      <c r="D19" s="53">
        <v>87.18</v>
      </c>
      <c r="E19" s="53">
        <v>11.28</v>
      </c>
      <c r="F19" s="53">
        <v>7.92</v>
      </c>
      <c r="G19" s="53">
        <v>146.01</v>
      </c>
      <c r="H19" s="53">
        <v>68.900000000000006</v>
      </c>
      <c r="I19" s="53">
        <v>0.69</v>
      </c>
      <c r="J19" s="53">
        <v>1.54</v>
      </c>
      <c r="K19" s="53">
        <v>22.63</v>
      </c>
      <c r="L19" s="53">
        <v>35.619999999999997</v>
      </c>
      <c r="M19" s="53">
        <v>15.72</v>
      </c>
      <c r="N19" s="53">
        <v>517.70000000000005</v>
      </c>
      <c r="O19" s="53">
        <v>0</v>
      </c>
      <c r="P19" s="53">
        <v>1.54</v>
      </c>
      <c r="Q19" s="53">
        <v>30.60</v>
      </c>
      <c r="R19" s="45"/>
      <c r="S19" s="45"/>
      <c r="T19" s="45"/>
      <c r="U19" s="45"/>
    </row>
    <row r="20" spans="1:21" s="11" customFormat="1" ht="15">
      <c r="A20" s="52" t="s">
        <v>432</v>
      </c>
      <c r="B20" s="53">
        <v>3.12</v>
      </c>
      <c r="C20" s="53">
        <v>79.72</v>
      </c>
      <c r="D20" s="53">
        <v>46.5</v>
      </c>
      <c r="E20" s="64" t="s">
        <v>12</v>
      </c>
      <c r="F20" s="53">
        <v>8.64</v>
      </c>
      <c r="G20" s="64" t="s">
        <v>12</v>
      </c>
      <c r="H20" s="64" t="s">
        <v>12</v>
      </c>
      <c r="I20" s="53">
        <v>0.53</v>
      </c>
      <c r="J20" s="53">
        <v>1.58</v>
      </c>
      <c r="K20" s="53">
        <v>359.97</v>
      </c>
      <c r="L20" s="53">
        <v>36.69</v>
      </c>
      <c r="M20" s="53">
        <v>14.89</v>
      </c>
      <c r="N20" s="53">
        <v>589.40</v>
      </c>
      <c r="O20" s="53">
        <v>0</v>
      </c>
      <c r="P20" s="53">
        <v>0.90</v>
      </c>
      <c r="Q20" s="53">
        <v>17.04</v>
      </c>
      <c r="R20" s="45"/>
      <c r="S20" s="45"/>
      <c r="T20" s="45"/>
      <c r="U20" s="45"/>
    </row>
    <row r="21" spans="1:21" s="11" customFormat="1" ht="15">
      <c r="A21" s="52" t="s">
        <v>433</v>
      </c>
      <c r="B21" s="53">
        <v>2.48</v>
      </c>
      <c r="C21" s="53">
        <v>74.819999999999993</v>
      </c>
      <c r="D21" s="53">
        <v>43.28</v>
      </c>
      <c r="E21" s="53">
        <v>10.10</v>
      </c>
      <c r="F21" s="53">
        <v>8.1199999999999992</v>
      </c>
      <c r="G21" s="53">
        <v>41.38</v>
      </c>
      <c r="H21" s="53">
        <v>25.42</v>
      </c>
      <c r="I21" s="53">
        <v>0.53</v>
      </c>
      <c r="J21" s="53">
        <v>1.47</v>
      </c>
      <c r="K21" s="53">
        <v>357.90</v>
      </c>
      <c r="L21" s="53">
        <v>36.68</v>
      </c>
      <c r="M21" s="53">
        <v>14.94</v>
      </c>
      <c r="N21" s="53">
        <v>602</v>
      </c>
      <c r="O21" s="53">
        <v>0</v>
      </c>
      <c r="P21" s="53">
        <v>0.59</v>
      </c>
      <c r="Q21" s="53">
        <v>17.41</v>
      </c>
      <c r="R21" s="45"/>
      <c r="S21" s="45"/>
      <c r="T21" s="45"/>
      <c r="U21" s="45"/>
    </row>
    <row r="22" spans="1:21" s="11" customFormat="1" ht="15">
      <c r="A22" s="52" t="s">
        <v>434</v>
      </c>
      <c r="B22" s="53">
        <v>4.45</v>
      </c>
      <c r="C22" s="53">
        <v>68.75</v>
      </c>
      <c r="D22" s="53">
        <v>39.90</v>
      </c>
      <c r="E22" s="53">
        <v>3.97</v>
      </c>
      <c r="F22" s="53">
        <v>7.5</v>
      </c>
      <c r="G22" s="53">
        <v>46.20</v>
      </c>
      <c r="H22" s="53">
        <v>25.42</v>
      </c>
      <c r="I22" s="53">
        <v>0.51</v>
      </c>
      <c r="J22" s="53">
        <v>1.81</v>
      </c>
      <c r="K22" s="53">
        <v>14.51</v>
      </c>
      <c r="L22" s="53">
        <v>36.67</v>
      </c>
      <c r="M22" s="53">
        <v>14.33</v>
      </c>
      <c r="N22" s="53">
        <v>538.70000000000005</v>
      </c>
      <c r="O22" s="53">
        <v>0</v>
      </c>
      <c r="P22" s="53">
        <v>0.56999999999999995</v>
      </c>
      <c r="Q22" s="53">
        <v>18.760000000000002</v>
      </c>
      <c r="R22" s="45"/>
      <c r="S22" s="45"/>
      <c r="T22" s="45"/>
      <c r="U22" s="45"/>
    </row>
    <row r="23" spans="1:21" s="11" customFormat="1" ht="15">
      <c r="A23" s="52" t="s">
        <v>435</v>
      </c>
      <c r="B23" s="53">
        <v>2.57</v>
      </c>
      <c r="C23" s="53">
        <v>66.02</v>
      </c>
      <c r="D23" s="53">
        <v>38.479999999999997</v>
      </c>
      <c r="E23" s="53">
        <v>4.25</v>
      </c>
      <c r="F23" s="53">
        <v>5.31</v>
      </c>
      <c r="G23" s="53">
        <v>46.20</v>
      </c>
      <c r="H23" s="53">
        <v>23.61</v>
      </c>
      <c r="I23" s="53">
        <v>0.53</v>
      </c>
      <c r="J23" s="53">
        <v>1.55</v>
      </c>
      <c r="K23" s="53">
        <v>353.82</v>
      </c>
      <c r="L23" s="53">
        <v>36.450000000000003</v>
      </c>
      <c r="M23" s="53">
        <v>15.49</v>
      </c>
      <c r="N23" s="53">
        <v>462.80</v>
      </c>
      <c r="O23" s="53">
        <v>0</v>
      </c>
      <c r="P23" s="53">
        <v>0.55000000000000004</v>
      </c>
      <c r="Q23" s="53">
        <v>20.04</v>
      </c>
      <c r="R23" s="45"/>
      <c r="S23" s="45"/>
      <c r="T23" s="45"/>
      <c r="U23" s="45"/>
    </row>
    <row r="24" spans="1:21" s="11" customFormat="1" ht="15">
      <c r="A24" s="52" t="s">
        <v>436</v>
      </c>
      <c r="B24" s="53">
        <v>4.5</v>
      </c>
      <c r="C24" s="53">
        <v>67.400000000000006</v>
      </c>
      <c r="D24" s="53">
        <v>40.11</v>
      </c>
      <c r="E24" s="53">
        <v>4.3899999999999997</v>
      </c>
      <c r="F24" s="53">
        <v>11.97</v>
      </c>
      <c r="G24" s="53">
        <v>42.23</v>
      </c>
      <c r="H24" s="53">
        <v>23.61</v>
      </c>
      <c r="I24" s="53">
        <v>0.52</v>
      </c>
      <c r="J24" s="53">
        <v>1.83</v>
      </c>
      <c r="K24" s="53">
        <v>358.63</v>
      </c>
      <c r="L24" s="53">
        <v>35.799999999999997</v>
      </c>
      <c r="M24" s="53">
        <v>16.72</v>
      </c>
      <c r="N24" s="53">
        <v>381.40</v>
      </c>
      <c r="O24" s="53">
        <v>0</v>
      </c>
      <c r="P24" s="53">
        <v>0.54</v>
      </c>
      <c r="Q24" s="53">
        <v>20.51</v>
      </c>
      <c r="R24" s="45"/>
      <c r="S24" s="45"/>
      <c r="T24" s="45"/>
      <c r="U24" s="45"/>
    </row>
    <row r="25" spans="1:21" s="11" customFormat="1" ht="15">
      <c r="A25" s="52" t="s">
        <v>437</v>
      </c>
      <c r="B25" s="53">
        <v>5.65</v>
      </c>
      <c r="C25" s="53">
        <v>67.80</v>
      </c>
      <c r="D25" s="53">
        <v>41.77</v>
      </c>
      <c r="E25" s="53">
        <v>4.04</v>
      </c>
      <c r="F25" s="53">
        <v>10.62</v>
      </c>
      <c r="G25" s="53">
        <v>41.54</v>
      </c>
      <c r="H25" s="53">
        <v>17.5</v>
      </c>
      <c r="I25" s="53">
        <v>0.53</v>
      </c>
      <c r="J25" s="53">
        <v>1.43</v>
      </c>
      <c r="K25" s="53">
        <v>15.95</v>
      </c>
      <c r="L25" s="53">
        <v>33.22</v>
      </c>
      <c r="M25" s="53">
        <v>19.489999999999998</v>
      </c>
      <c r="N25" s="53">
        <v>194.30</v>
      </c>
      <c r="O25" s="53">
        <v>0</v>
      </c>
      <c r="P25" s="53">
        <v>0.57999999999999996</v>
      </c>
      <c r="Q25" s="53">
        <v>21.31</v>
      </c>
      <c r="R25" s="45"/>
      <c r="S25" s="45"/>
      <c r="T25" s="45"/>
      <c r="U25" s="45"/>
    </row>
    <row r="26" spans="1:21" s="11" customFormat="1" ht="15">
      <c r="A26" s="52" t="s">
        <v>438</v>
      </c>
      <c r="B26" s="53">
        <v>8.56</v>
      </c>
      <c r="C26" s="53">
        <v>82.80</v>
      </c>
      <c r="D26" s="53">
        <v>52.56</v>
      </c>
      <c r="E26" s="53">
        <v>3.41</v>
      </c>
      <c r="F26" s="53">
        <v>6.5</v>
      </c>
      <c r="G26" s="53">
        <v>38.54</v>
      </c>
      <c r="H26" s="53">
        <v>13.06</v>
      </c>
      <c r="I26" s="53">
        <v>0.56000000000000005</v>
      </c>
      <c r="J26" s="53">
        <v>1.52</v>
      </c>
      <c r="K26" s="53">
        <v>25.03</v>
      </c>
      <c r="L26" s="53">
        <v>31.04</v>
      </c>
      <c r="M26" s="53">
        <v>22.56</v>
      </c>
      <c r="N26" s="53">
        <v>34.799999999999997</v>
      </c>
      <c r="O26" s="53">
        <v>0</v>
      </c>
      <c r="P26" s="53">
        <v>0.77</v>
      </c>
      <c r="Q26" s="53">
        <v>22.48</v>
      </c>
      <c r="R26" s="45"/>
      <c r="S26" s="45"/>
      <c r="T26" s="45"/>
      <c r="U26" s="45"/>
    </row>
    <row r="27" spans="1:21" s="11" customFormat="1" ht="15">
      <c r="A27" s="52" t="s">
        <v>439</v>
      </c>
      <c r="B27" s="53">
        <v>19.03</v>
      </c>
      <c r="C27" s="53">
        <v>100.93</v>
      </c>
      <c r="D27" s="53">
        <v>70.959999999999994</v>
      </c>
      <c r="E27" s="53">
        <v>3.97</v>
      </c>
      <c r="F27" s="53">
        <v>3.91</v>
      </c>
      <c r="G27" s="53">
        <v>49.02</v>
      </c>
      <c r="H27" s="53">
        <v>17.38</v>
      </c>
      <c r="I27" s="53">
        <v>0.63</v>
      </c>
      <c r="J27" s="53">
        <v>0.18</v>
      </c>
      <c r="K27" s="53">
        <v>335.64</v>
      </c>
      <c r="L27" s="53">
        <v>28.13</v>
      </c>
      <c r="M27" s="53">
        <v>34.26</v>
      </c>
      <c r="N27" s="53">
        <v>5.30</v>
      </c>
      <c r="O27" s="53">
        <v>0</v>
      </c>
      <c r="P27" s="53">
        <v>1.1299999999999999</v>
      </c>
      <c r="Q27" s="53">
        <v>24.39</v>
      </c>
      <c r="R27" s="45"/>
      <c r="S27" s="45"/>
      <c r="T27" s="45"/>
      <c r="U27" s="45"/>
    </row>
    <row r="28" spans="1:21" s="11" customFormat="1" ht="15">
      <c r="A28" s="52" t="s">
        <v>440</v>
      </c>
      <c r="B28" s="53">
        <v>46.24</v>
      </c>
      <c r="C28" s="53">
        <v>119.38</v>
      </c>
      <c r="D28" s="53">
        <v>102.97</v>
      </c>
      <c r="E28" s="53">
        <v>5.86</v>
      </c>
      <c r="F28" s="53">
        <v>1.91</v>
      </c>
      <c r="G28" s="53">
        <v>154.65</v>
      </c>
      <c r="H28" s="53">
        <v>30.42</v>
      </c>
      <c r="I28" s="53">
        <v>0.86</v>
      </c>
      <c r="J28" s="53">
        <v>0.20</v>
      </c>
      <c r="K28" s="53">
        <v>345.56</v>
      </c>
      <c r="L28" s="53">
        <v>25.38</v>
      </c>
      <c r="M28" s="53">
        <v>38.26</v>
      </c>
      <c r="N28" s="53">
        <v>4.4000000000000004</v>
      </c>
      <c r="O28" s="53">
        <v>0</v>
      </c>
      <c r="P28" s="53">
        <v>1.68</v>
      </c>
      <c r="Q28" s="53">
        <v>25.64</v>
      </c>
      <c r="R28" s="45"/>
      <c r="S28" s="45"/>
      <c r="T28" s="45"/>
      <c r="U28" s="45"/>
    </row>
    <row r="29" spans="1:21" s="11" customFormat="1" ht="15">
      <c r="A29" s="52" t="s">
        <v>441</v>
      </c>
      <c r="B29" s="53">
        <v>51.67</v>
      </c>
      <c r="C29" s="53">
        <v>119.48</v>
      </c>
      <c r="D29" s="53">
        <v>107.37</v>
      </c>
      <c r="E29" s="53">
        <v>5.13</v>
      </c>
      <c r="F29" s="53">
        <v>1.80</v>
      </c>
      <c r="G29" s="53">
        <v>154.65</v>
      </c>
      <c r="H29" s="53">
        <v>38.25</v>
      </c>
      <c r="I29" s="53">
        <v>0.95</v>
      </c>
      <c r="J29" s="53">
        <v>0.26</v>
      </c>
      <c r="K29" s="53">
        <v>108.89</v>
      </c>
      <c r="L29" s="53">
        <v>24.76</v>
      </c>
      <c r="M29" s="53">
        <v>47.64</v>
      </c>
      <c r="N29" s="53">
        <v>4.4000000000000004</v>
      </c>
      <c r="O29" s="53">
        <v>0</v>
      </c>
      <c r="P29" s="53">
        <v>1.67</v>
      </c>
      <c r="Q29" s="53">
        <v>28.81</v>
      </c>
      <c r="R29" s="45"/>
      <c r="S29" s="45"/>
      <c r="T29" s="45"/>
      <c r="U29" s="45"/>
    </row>
    <row r="30" spans="1:21" s="11" customFormat="1" ht="15">
      <c r="A30" s="52" t="s">
        <v>442</v>
      </c>
      <c r="B30" s="53">
        <v>50.38</v>
      </c>
      <c r="C30" s="53">
        <v>117.94</v>
      </c>
      <c r="D30" s="53">
        <v>105.49</v>
      </c>
      <c r="E30" s="53">
        <v>5.1100000000000003</v>
      </c>
      <c r="F30" s="53">
        <v>1.67</v>
      </c>
      <c r="G30" s="53">
        <v>150.37</v>
      </c>
      <c r="H30" s="53">
        <v>46.89</v>
      </c>
      <c r="I30" s="53">
        <v>1.01</v>
      </c>
      <c r="J30" s="53">
        <v>0.78</v>
      </c>
      <c r="K30" s="53">
        <v>78.75</v>
      </c>
      <c r="L30" s="53">
        <v>25.04</v>
      </c>
      <c r="M30" s="53">
        <v>41.79</v>
      </c>
      <c r="N30" s="53">
        <v>4.4000000000000004</v>
      </c>
      <c r="O30" s="53">
        <v>0</v>
      </c>
      <c r="P30" s="53">
        <v>1.89</v>
      </c>
      <c r="Q30" s="53">
        <v>31.11</v>
      </c>
      <c r="R30" s="45"/>
      <c r="S30" s="45"/>
      <c r="T30" s="45"/>
      <c r="U30" s="45"/>
    </row>
    <row r="31" spans="1:21" s="11" customFormat="1" ht="15">
      <c r="A31" s="52" t="s">
        <v>443</v>
      </c>
      <c r="B31" s="53">
        <v>48.74</v>
      </c>
      <c r="C31" s="53">
        <v>121.80</v>
      </c>
      <c r="D31" s="53">
        <v>106.30</v>
      </c>
      <c r="E31" s="53">
        <v>5.52</v>
      </c>
      <c r="F31" s="53">
        <v>2.10</v>
      </c>
      <c r="G31" s="53">
        <v>150.37</v>
      </c>
      <c r="H31" s="53">
        <v>46.89</v>
      </c>
      <c r="I31" s="53">
        <v>1.04</v>
      </c>
      <c r="J31" s="53">
        <v>0.40</v>
      </c>
      <c r="K31" s="53">
        <v>68.760000000000005</v>
      </c>
      <c r="L31" s="53">
        <v>24.46</v>
      </c>
      <c r="M31" s="53">
        <v>35.24</v>
      </c>
      <c r="N31" s="53">
        <v>4.4000000000000004</v>
      </c>
      <c r="O31" s="53">
        <v>0</v>
      </c>
      <c r="P31" s="53">
        <v>1.87</v>
      </c>
      <c r="Q31" s="53">
        <v>30.94</v>
      </c>
      <c r="R31" s="45"/>
      <c r="S31" s="45"/>
      <c r="T31" s="45"/>
      <c r="U31" s="45"/>
    </row>
    <row r="32" spans="1:21" s="11" customFormat="1" ht="15">
      <c r="A32" s="52" t="s">
        <v>444</v>
      </c>
      <c r="B32" s="53">
        <v>40.18</v>
      </c>
      <c r="C32" s="53">
        <v>115.57</v>
      </c>
      <c r="D32" s="53">
        <v>96</v>
      </c>
      <c r="E32" s="53">
        <v>5.57</v>
      </c>
      <c r="F32" s="53">
        <v>3.55</v>
      </c>
      <c r="G32" s="53">
        <v>110.92</v>
      </c>
      <c r="H32" s="53">
        <v>43.55</v>
      </c>
      <c r="I32" s="53">
        <v>0.99</v>
      </c>
      <c r="J32" s="53">
        <v>0.35</v>
      </c>
      <c r="K32" s="53">
        <v>77.56</v>
      </c>
      <c r="L32" s="53">
        <v>23.54</v>
      </c>
      <c r="M32" s="53">
        <v>36.18</v>
      </c>
      <c r="N32" s="53">
        <v>4.30</v>
      </c>
      <c r="O32" s="53">
        <v>0</v>
      </c>
      <c r="P32" s="53">
        <v>1.74</v>
      </c>
      <c r="Q32" s="53">
        <v>30.65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2.48</v>
      </c>
      <c r="C34" s="28">
        <f t="shared" si="0"/>
        <v>66.019999999999996</v>
      </c>
      <c r="D34" s="28">
        <f t="shared" si="0"/>
        <v>38.479999999999997</v>
      </c>
      <c r="E34" s="28">
        <f t="shared" si="0"/>
        <v>3.4100000000000001</v>
      </c>
      <c r="F34" s="28">
        <f t="shared" si="0"/>
        <v>1.6699999999999999</v>
      </c>
      <c r="G34" s="28">
        <f t="shared" si="0"/>
        <v>38.539999999999999</v>
      </c>
      <c r="H34" s="28">
        <f t="shared" si="0"/>
        <v>13.06</v>
      </c>
      <c r="I34" s="28">
        <f t="shared" si="0"/>
        <v>0.51000000000000001</v>
      </c>
      <c r="J34" s="28">
        <f t="shared" si="0"/>
        <v>0.12</v>
      </c>
      <c r="K34" s="28">
        <f t="shared" si="0"/>
        <v>14.51</v>
      </c>
      <c r="L34" s="28">
        <f t="shared" si="0"/>
        <v>17.25</v>
      </c>
      <c r="M34" s="28">
        <f t="shared" si="0"/>
        <v>14.33</v>
      </c>
      <c r="N34" s="28">
        <f t="shared" si="0"/>
        <v>4.2000000000000002</v>
      </c>
      <c r="O34" s="28">
        <f t="shared" si="0"/>
        <v>0</v>
      </c>
      <c r="P34" s="28">
        <f t="shared" si="0"/>
        <v>0.54000000000000004</v>
      </c>
      <c r="Q34" s="28">
        <f t="shared" si="0"/>
        <v>17.039999999999999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51.670000000000002</v>
      </c>
      <c r="C35" s="29">
        <f t="shared" si="1"/>
        <v>121.8</v>
      </c>
      <c r="D35" s="29">
        <f t="shared" si="1"/>
        <v>107.37</v>
      </c>
      <c r="E35" s="29">
        <f t="shared" si="1"/>
        <v>14.220000000000001</v>
      </c>
      <c r="F35" s="29">
        <f t="shared" si="1"/>
        <v>11.970000000000001</v>
      </c>
      <c r="G35" s="29">
        <f t="shared" si="1"/>
        <v>176.69</v>
      </c>
      <c r="H35" s="29">
        <f t="shared" si="1"/>
        <v>75.950000000000003</v>
      </c>
      <c r="I35" s="29">
        <f t="shared" si="1"/>
        <v>1.04</v>
      </c>
      <c r="J35" s="29">
        <f t="shared" si="1"/>
        <v>1.8300000000000001</v>
      </c>
      <c r="K35" s="29">
        <f t="shared" si="1"/>
        <v>359.97000000000003</v>
      </c>
      <c r="L35" s="29">
        <f t="shared" si="1"/>
        <v>36.689999999999998</v>
      </c>
      <c r="M35" s="29">
        <f t="shared" si="1"/>
        <v>60.259999999999998</v>
      </c>
      <c r="N35" s="29">
        <f t="shared" si="1"/>
        <v>602</v>
      </c>
      <c r="O35" s="29">
        <f t="shared" si="1"/>
        <v>0</v>
      </c>
      <c r="P35" s="29">
        <f t="shared" si="1"/>
        <v>1.8899999999999999</v>
      </c>
      <c r="Q35" s="29">
        <f t="shared" si="1"/>
        <v>31.109999999999999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26.702500000000004</v>
      </c>
      <c r="C36" s="28">
        <f t="shared" si="2"/>
        <v>95.553750000000022</v>
      </c>
      <c r="D36" s="28">
        <f t="shared" si="2"/>
        <v>73.924166666666665</v>
      </c>
      <c r="E36" s="28">
        <f t="shared" si="2"/>
        <v>7.6043478260869568</v>
      </c>
      <c r="F36" s="28">
        <f t="shared" si="2"/>
        <v>5.345416666666666</v>
      </c>
      <c r="G36" s="28">
        <f t="shared" si="2"/>
        <v>109.82826086956523</v>
      </c>
      <c r="H36" s="28">
        <f t="shared" si="2"/>
        <v>43.081739130434769</v>
      </c>
      <c r="I36" s="28">
        <f t="shared" si="2"/>
        <v>0.70124999999999982</v>
      </c>
      <c r="J36" s="28">
        <f t="shared" si="2"/>
        <v>0.82541666666666691</v>
      </c>
      <c r="K36" s="28">
        <f t="shared" si="2"/>
        <v>224.94250000000008</v>
      </c>
      <c r="L36" s="28">
        <f t="shared" si="2"/>
        <v>27.02416666666667</v>
      </c>
      <c r="M36" s="28">
        <f t="shared" si="2"/>
        <v>36.211666666666666</v>
      </c>
      <c r="N36" s="28">
        <f t="shared" si="2"/>
        <v>184.7208333333333</v>
      </c>
      <c r="O36" s="28">
        <f t="shared" si="2"/>
        <v>0</v>
      </c>
      <c r="P36" s="28">
        <f t="shared" si="2"/>
        <v>1.2537499999999999</v>
      </c>
      <c r="Q36" s="28">
        <f t="shared" si="2"/>
        <v>26.522083333333338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17.172266632694349</v>
      </c>
      <c r="C37" s="28">
        <f t="shared" si="3" ref="C37:Q37">STDEV(C9:C32)</f>
        <v>18.116032009269158</v>
      </c>
      <c r="D37" s="28">
        <f t="shared" si="3"/>
        <v>23.527537966256123</v>
      </c>
      <c r="E37" s="28">
        <f t="shared" si="3"/>
        <v>3.1849986814425044</v>
      </c>
      <c r="F37" s="28">
        <f t="shared" si="3"/>
        <v>2.658852284542053</v>
      </c>
      <c r="G37" s="28">
        <f t="shared" si="3"/>
        <v>50.942425045979235</v>
      </c>
      <c r="H37" s="28">
        <f t="shared" si="3"/>
        <v>19.980833009337641</v>
      </c>
      <c r="I37" s="28">
        <f t="shared" si="3"/>
        <v>0.16211409026013074</v>
      </c>
      <c r="J37" s="28">
        <f t="shared" si="3"/>
        <v>0.61871521275361663</v>
      </c>
      <c r="K37" s="28">
        <f t="shared" si="3"/>
        <v>144.05614621751977</v>
      </c>
      <c r="L37" s="28">
        <f t="shared" si="3"/>
        <v>7.1789989108731973</v>
      </c>
      <c r="M37" s="28">
        <f t="shared" si="3"/>
        <v>16.218341111402165</v>
      </c>
      <c r="N37" s="28">
        <f t="shared" si="3"/>
        <v>231.87470938299697</v>
      </c>
      <c r="O37" s="28">
        <f t="shared" si="3"/>
        <v>0</v>
      </c>
      <c r="P37" s="28">
        <f t="shared" si="3"/>
        <v>0.44961638237985557</v>
      </c>
      <c r="Q37" s="28">
        <f t="shared" si="3"/>
        <v>4.8650286912480194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ef5a3-2aa5-4bb0-83b1-e0e02323cf2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445</v>
      </c>
      <c r="B9" s="53">
        <v>35.89</v>
      </c>
      <c r="C9" s="53">
        <v>107.24</v>
      </c>
      <c r="D9" s="53">
        <v>87.40</v>
      </c>
      <c r="E9" s="53">
        <v>4.45</v>
      </c>
      <c r="F9" s="53">
        <v>3.48</v>
      </c>
      <c r="G9" s="53">
        <v>110.92</v>
      </c>
      <c r="H9" s="53">
        <v>40.06</v>
      </c>
      <c r="I9" s="53">
        <v>0.98</v>
      </c>
      <c r="J9" s="53">
        <v>0.37</v>
      </c>
      <c r="K9" s="53">
        <v>72.239999999999995</v>
      </c>
      <c r="L9" s="53">
        <v>22.67</v>
      </c>
      <c r="M9" s="53">
        <v>38.03</v>
      </c>
      <c r="N9" s="53">
        <v>4.30</v>
      </c>
      <c r="O9" s="53">
        <v>0</v>
      </c>
      <c r="P9" s="53">
        <v>1.62</v>
      </c>
      <c r="Q9" s="53">
        <v>31.70</v>
      </c>
      <c r="R9" s="45"/>
      <c r="S9" s="45"/>
      <c r="T9" s="45"/>
      <c r="U9" s="45"/>
    </row>
    <row r="10" spans="1:21" s="11" customFormat="1" ht="15">
      <c r="A10" s="52" t="s">
        <v>446</v>
      </c>
      <c r="B10" s="53">
        <v>27.67</v>
      </c>
      <c r="C10" s="53">
        <v>103.09</v>
      </c>
      <c r="D10" s="53">
        <v>79.08</v>
      </c>
      <c r="E10" s="53">
        <v>4.0199999999999996</v>
      </c>
      <c r="F10" s="53">
        <v>1.55</v>
      </c>
      <c r="G10" s="53">
        <v>72.67</v>
      </c>
      <c r="H10" s="53">
        <v>31.02</v>
      </c>
      <c r="I10" s="53">
        <v>0.90</v>
      </c>
      <c r="J10" s="53">
        <v>0.38</v>
      </c>
      <c r="K10" s="53">
        <v>82.89</v>
      </c>
      <c r="L10" s="53">
        <v>21.95</v>
      </c>
      <c r="M10" s="53">
        <v>40.46</v>
      </c>
      <c r="N10" s="53">
        <v>4.0999999999999996</v>
      </c>
      <c r="O10" s="53">
        <v>0</v>
      </c>
      <c r="P10" s="53">
        <v>1.38</v>
      </c>
      <c r="Q10" s="53">
        <v>31.16</v>
      </c>
      <c r="R10" s="45"/>
      <c r="S10" s="45"/>
      <c r="T10" s="45"/>
      <c r="U10" s="45"/>
    </row>
    <row r="11" spans="1:21" s="11" customFormat="1" ht="15">
      <c r="A11" s="52" t="s">
        <v>447</v>
      </c>
      <c r="B11" s="53">
        <v>14.56</v>
      </c>
      <c r="C11" s="53">
        <v>93.58</v>
      </c>
      <c r="D11" s="53">
        <v>63.32</v>
      </c>
      <c r="E11" s="53">
        <v>4.3600000000000003</v>
      </c>
      <c r="F11" s="53">
        <v>3.30</v>
      </c>
      <c r="G11" s="53">
        <v>72.150000000000006</v>
      </c>
      <c r="H11" s="53">
        <v>30.17</v>
      </c>
      <c r="I11" s="53">
        <v>0.77</v>
      </c>
      <c r="J11" s="53">
        <v>0.71</v>
      </c>
      <c r="K11" s="53">
        <v>66.36</v>
      </c>
      <c r="L11" s="53">
        <v>21.36</v>
      </c>
      <c r="M11" s="53">
        <v>42.66</v>
      </c>
      <c r="N11" s="53">
        <v>4.20</v>
      </c>
      <c r="O11" s="53">
        <v>0</v>
      </c>
      <c r="P11" s="53">
        <v>1.19</v>
      </c>
      <c r="Q11" s="53">
        <v>29.32</v>
      </c>
      <c r="R11" s="45"/>
      <c r="S11" s="45"/>
      <c r="T11" s="45"/>
      <c r="U11" s="45"/>
    </row>
    <row r="12" spans="1:21" s="11" customFormat="1" ht="15">
      <c r="A12" s="52" t="s">
        <v>448</v>
      </c>
      <c r="B12" s="53">
        <v>9.39</v>
      </c>
      <c r="C12" s="53">
        <v>88.13</v>
      </c>
      <c r="D12" s="53">
        <v>56.14</v>
      </c>
      <c r="E12" s="53">
        <v>4.83</v>
      </c>
      <c r="F12" s="53">
        <v>2.84</v>
      </c>
      <c r="G12" s="53">
        <v>52.05</v>
      </c>
      <c r="H12" s="53">
        <v>27.76</v>
      </c>
      <c r="I12" s="53">
        <v>0.72</v>
      </c>
      <c r="J12" s="53">
        <v>0.59</v>
      </c>
      <c r="K12" s="53">
        <v>27.24</v>
      </c>
      <c r="L12" s="53">
        <v>20.89</v>
      </c>
      <c r="M12" s="53">
        <v>45.78</v>
      </c>
      <c r="N12" s="53">
        <v>4.20</v>
      </c>
      <c r="O12" s="53">
        <v>0</v>
      </c>
      <c r="P12" s="53">
        <v>1.04</v>
      </c>
      <c r="Q12" s="53">
        <v>27.79</v>
      </c>
      <c r="R12" s="45"/>
      <c r="S12" s="45"/>
      <c r="T12" s="45"/>
      <c r="U12" s="45"/>
    </row>
    <row r="13" spans="1:21" s="11" customFormat="1" ht="15">
      <c r="A13" s="52" t="s">
        <v>449</v>
      </c>
      <c r="B13" s="53">
        <v>7.12</v>
      </c>
      <c r="C13" s="53">
        <v>89.71</v>
      </c>
      <c r="D13" s="53">
        <v>54.94</v>
      </c>
      <c r="E13" s="53">
        <v>8.19</v>
      </c>
      <c r="F13" s="53">
        <v>1.81</v>
      </c>
      <c r="G13" s="53">
        <v>84.05</v>
      </c>
      <c r="H13" s="53">
        <v>30.75</v>
      </c>
      <c r="I13" s="53">
        <v>0.74</v>
      </c>
      <c r="J13" s="53">
        <v>0.75</v>
      </c>
      <c r="K13" s="53">
        <v>49.90</v>
      </c>
      <c r="L13" s="53">
        <v>20.25</v>
      </c>
      <c r="M13" s="53">
        <v>51.70</v>
      </c>
      <c r="N13" s="53">
        <v>4.5</v>
      </c>
      <c r="O13" s="53">
        <v>0</v>
      </c>
      <c r="P13" s="53">
        <v>1.0900000000000001</v>
      </c>
      <c r="Q13" s="53">
        <v>28.71</v>
      </c>
      <c r="R13" s="45"/>
      <c r="S13" s="45"/>
      <c r="T13" s="45"/>
      <c r="U13" s="45"/>
    </row>
    <row r="14" spans="1:21" s="11" customFormat="1" ht="15">
      <c r="A14" s="52" t="s">
        <v>450</v>
      </c>
      <c r="B14" s="53">
        <v>7.79</v>
      </c>
      <c r="C14" s="53">
        <v>93.21</v>
      </c>
      <c r="D14" s="53">
        <v>57.69</v>
      </c>
      <c r="E14" s="53">
        <v>8.17</v>
      </c>
      <c r="F14" s="53">
        <v>1.80</v>
      </c>
      <c r="G14" s="53">
        <v>114.84</v>
      </c>
      <c r="H14" s="53">
        <v>37.99</v>
      </c>
      <c r="I14" s="53">
        <v>0.66</v>
      </c>
      <c r="J14" s="53">
        <v>0.5</v>
      </c>
      <c r="K14" s="53">
        <v>79.19</v>
      </c>
      <c r="L14" s="53">
        <v>19.52</v>
      </c>
      <c r="M14" s="53">
        <v>54.41</v>
      </c>
      <c r="N14" s="53">
        <v>4.20</v>
      </c>
      <c r="O14" s="53">
        <v>0</v>
      </c>
      <c r="P14" s="53">
        <v>1.48</v>
      </c>
      <c r="Q14" s="53">
        <v>28.39</v>
      </c>
      <c r="R14" s="45"/>
      <c r="S14" s="45"/>
      <c r="T14" s="45"/>
      <c r="U14" s="45"/>
    </row>
    <row r="15" spans="1:21" s="11" customFormat="1" ht="15">
      <c r="A15" s="52" t="s">
        <v>451</v>
      </c>
      <c r="B15" s="53">
        <v>9.91</v>
      </c>
      <c r="C15" s="53">
        <v>95.84</v>
      </c>
      <c r="D15" s="53">
        <v>60.84</v>
      </c>
      <c r="E15" s="53">
        <v>6.77</v>
      </c>
      <c r="F15" s="53">
        <v>1.55</v>
      </c>
      <c r="G15" s="53">
        <v>114.84</v>
      </c>
      <c r="H15" s="53">
        <v>42.23</v>
      </c>
      <c r="I15" s="53">
        <v>0.64</v>
      </c>
      <c r="J15" s="53">
        <v>0.25</v>
      </c>
      <c r="K15" s="53">
        <v>75.19</v>
      </c>
      <c r="L15" s="53">
        <v>18.559999999999999</v>
      </c>
      <c r="M15" s="53">
        <v>57.75</v>
      </c>
      <c r="N15" s="53">
        <v>26.10</v>
      </c>
      <c r="O15" s="53">
        <v>0</v>
      </c>
      <c r="P15" s="53">
        <v>1.61</v>
      </c>
      <c r="Q15" s="53">
        <v>27.28</v>
      </c>
      <c r="R15" s="45"/>
      <c r="S15" s="45"/>
      <c r="T15" s="45"/>
      <c r="U15" s="45"/>
    </row>
    <row r="16" spans="1:21" s="11" customFormat="1" ht="15">
      <c r="A16" s="52" t="s">
        <v>452</v>
      </c>
      <c r="B16" s="53">
        <v>14.64</v>
      </c>
      <c r="C16" s="53">
        <v>100.63</v>
      </c>
      <c r="D16" s="53">
        <v>67.28</v>
      </c>
      <c r="E16" s="53">
        <v>7.88</v>
      </c>
      <c r="F16" s="53">
        <v>1.59</v>
      </c>
      <c r="G16" s="53">
        <v>121.56</v>
      </c>
      <c r="H16" s="53">
        <v>47.67</v>
      </c>
      <c r="I16" s="53">
        <v>0.64</v>
      </c>
      <c r="J16" s="53">
        <v>1.1000000000000001</v>
      </c>
      <c r="K16" s="53">
        <v>24.61</v>
      </c>
      <c r="L16" s="53">
        <v>23.34</v>
      </c>
      <c r="M16" s="53">
        <v>54.76</v>
      </c>
      <c r="N16" s="53">
        <v>185.80</v>
      </c>
      <c r="O16" s="53">
        <v>0</v>
      </c>
      <c r="P16" s="53">
        <v>1.78</v>
      </c>
      <c r="Q16" s="53">
        <v>28.70</v>
      </c>
      <c r="R16" s="45"/>
      <c r="S16" s="45"/>
      <c r="T16" s="45"/>
      <c r="U16" s="45"/>
    </row>
    <row r="17" spans="1:21" s="11" customFormat="1" ht="15">
      <c r="A17" s="52" t="s">
        <v>453</v>
      </c>
      <c r="B17" s="53">
        <v>14.31</v>
      </c>
      <c r="C17" s="53">
        <v>104.76</v>
      </c>
      <c r="D17" s="53">
        <v>67.70</v>
      </c>
      <c r="E17" s="53">
        <v>10.24</v>
      </c>
      <c r="F17" s="53">
        <v>1.79</v>
      </c>
      <c r="G17" s="53">
        <v>125.05</v>
      </c>
      <c r="H17" s="53">
        <v>50.02</v>
      </c>
      <c r="I17" s="53">
        <v>0.65</v>
      </c>
      <c r="J17" s="53">
        <v>1.64</v>
      </c>
      <c r="K17" s="53">
        <v>24.74</v>
      </c>
      <c r="L17" s="53">
        <v>27.26</v>
      </c>
      <c r="M17" s="53">
        <v>38.71</v>
      </c>
      <c r="N17" s="53">
        <v>338.5</v>
      </c>
      <c r="O17" s="53">
        <v>0</v>
      </c>
      <c r="P17" s="53">
        <v>1.76</v>
      </c>
      <c r="Q17" s="53">
        <v>28.66</v>
      </c>
      <c r="R17" s="45"/>
      <c r="S17" s="45"/>
      <c r="T17" s="45"/>
      <c r="U17" s="45"/>
    </row>
    <row r="18" spans="1:21" s="11" customFormat="1" ht="15">
      <c r="A18" s="52" t="s">
        <v>454</v>
      </c>
      <c r="B18" s="53">
        <v>11.40</v>
      </c>
      <c r="C18" s="53">
        <v>106.78</v>
      </c>
      <c r="D18" s="53">
        <v>68.08</v>
      </c>
      <c r="E18" s="53">
        <v>10.02</v>
      </c>
      <c r="F18" s="53">
        <v>3.65</v>
      </c>
      <c r="G18" s="53">
        <v>125.05</v>
      </c>
      <c r="H18" s="53">
        <v>50.11</v>
      </c>
      <c r="I18" s="53">
        <v>0.62</v>
      </c>
      <c r="J18" s="53">
        <v>0.83</v>
      </c>
      <c r="K18" s="53">
        <v>58.25</v>
      </c>
      <c r="L18" s="53">
        <v>29.22</v>
      </c>
      <c r="M18" s="53">
        <v>32.68</v>
      </c>
      <c r="N18" s="53">
        <v>562.90</v>
      </c>
      <c r="O18" s="53">
        <v>0</v>
      </c>
      <c r="P18" s="53">
        <v>1.60</v>
      </c>
      <c r="Q18" s="53">
        <v>26.96</v>
      </c>
      <c r="R18" s="45"/>
      <c r="S18" s="45"/>
      <c r="T18" s="45"/>
      <c r="U18" s="45"/>
    </row>
    <row r="19" spans="1:21" s="11" customFormat="1" ht="15">
      <c r="A19" s="52" t="s">
        <v>455</v>
      </c>
      <c r="B19" s="53">
        <v>9.4700000000000006</v>
      </c>
      <c r="C19" s="53">
        <v>107.5</v>
      </c>
      <c r="D19" s="53">
        <v>66.91</v>
      </c>
      <c r="E19" s="53">
        <v>8.8800000000000008</v>
      </c>
      <c r="F19" s="53">
        <v>4.12</v>
      </c>
      <c r="G19" s="53">
        <v>105.81</v>
      </c>
      <c r="H19" s="53">
        <v>50.11</v>
      </c>
      <c r="I19" s="53">
        <v>0.61</v>
      </c>
      <c r="J19" s="53">
        <v>0.87</v>
      </c>
      <c r="K19" s="53">
        <v>102.86</v>
      </c>
      <c r="L19" s="53">
        <v>30.73</v>
      </c>
      <c r="M19" s="53">
        <v>31.17</v>
      </c>
      <c r="N19" s="53">
        <v>582.90</v>
      </c>
      <c r="O19" s="53">
        <v>0</v>
      </c>
      <c r="P19" s="53">
        <v>1.45</v>
      </c>
      <c r="Q19" s="53">
        <v>26.48</v>
      </c>
      <c r="R19" s="45"/>
      <c r="S19" s="45"/>
      <c r="T19" s="45"/>
      <c r="U19" s="45"/>
    </row>
    <row r="20" spans="1:21" s="11" customFormat="1" ht="15">
      <c r="A20" s="52" t="s">
        <v>456</v>
      </c>
      <c r="B20" s="53">
        <v>7.10</v>
      </c>
      <c r="C20" s="53">
        <v>107.76</v>
      </c>
      <c r="D20" s="53">
        <v>64.34</v>
      </c>
      <c r="E20" s="53">
        <v>7.76</v>
      </c>
      <c r="F20" s="53">
        <v>3.07</v>
      </c>
      <c r="G20" s="53">
        <v>77.88</v>
      </c>
      <c r="H20" s="53">
        <v>42.53</v>
      </c>
      <c r="I20" s="53">
        <v>0.64</v>
      </c>
      <c r="J20" s="53">
        <v>0.88</v>
      </c>
      <c r="K20" s="53">
        <v>359.33</v>
      </c>
      <c r="L20" s="53">
        <v>34.78</v>
      </c>
      <c r="M20" s="53">
        <v>27.54</v>
      </c>
      <c r="N20" s="53">
        <v>573</v>
      </c>
      <c r="O20" s="53">
        <v>0</v>
      </c>
      <c r="P20" s="53">
        <v>1.38</v>
      </c>
      <c r="Q20" s="53">
        <v>28.18</v>
      </c>
      <c r="R20" s="45"/>
      <c r="S20" s="45"/>
      <c r="T20" s="45"/>
      <c r="U20" s="45"/>
    </row>
    <row r="21" spans="1:21" s="11" customFormat="1" ht="15">
      <c r="A21" s="52" t="s">
        <v>457</v>
      </c>
      <c r="B21" s="53">
        <v>2.86</v>
      </c>
      <c r="C21" s="53">
        <v>107.31</v>
      </c>
      <c r="D21" s="53">
        <v>61.51</v>
      </c>
      <c r="E21" s="53">
        <v>9.44</v>
      </c>
      <c r="F21" s="53">
        <v>6.72</v>
      </c>
      <c r="G21" s="53">
        <v>77.88</v>
      </c>
      <c r="H21" s="53">
        <v>40.98</v>
      </c>
      <c r="I21" s="53">
        <v>0.63</v>
      </c>
      <c r="J21" s="53">
        <v>0.87</v>
      </c>
      <c r="K21" s="53">
        <v>345.5</v>
      </c>
      <c r="L21" s="53">
        <v>33.69</v>
      </c>
      <c r="M21" s="53">
        <v>24.60</v>
      </c>
      <c r="N21" s="53">
        <v>570.10</v>
      </c>
      <c r="O21" s="53">
        <v>0</v>
      </c>
      <c r="P21" s="53">
        <v>1.32</v>
      </c>
      <c r="Q21" s="53">
        <v>28.02</v>
      </c>
      <c r="R21" s="45"/>
      <c r="S21" s="45"/>
      <c r="T21" s="45"/>
      <c r="U21" s="45"/>
    </row>
    <row r="22" spans="1:21" s="11" customFormat="1" ht="15">
      <c r="A22" s="52" t="s">
        <v>458</v>
      </c>
      <c r="B22" s="53">
        <v>2.68</v>
      </c>
      <c r="C22" s="53">
        <v>98.37</v>
      </c>
      <c r="D22" s="53">
        <v>56.09</v>
      </c>
      <c r="E22" s="53">
        <v>17.239999999999998</v>
      </c>
      <c r="F22" s="53">
        <v>8.27</v>
      </c>
      <c r="G22" s="53">
        <v>69.069999999999993</v>
      </c>
      <c r="H22" s="53">
        <v>39.83</v>
      </c>
      <c r="I22" s="53">
        <v>0.61</v>
      </c>
      <c r="J22" s="53">
        <v>0.92</v>
      </c>
      <c r="K22" s="53">
        <v>357.84</v>
      </c>
      <c r="L22" s="53">
        <v>34.35</v>
      </c>
      <c r="M22" s="53">
        <v>22.82</v>
      </c>
      <c r="N22" s="53">
        <v>467.40</v>
      </c>
      <c r="O22" s="53">
        <v>0</v>
      </c>
      <c r="P22" s="53">
        <v>1.18</v>
      </c>
      <c r="Q22" s="53">
        <v>26.77</v>
      </c>
      <c r="R22" s="45"/>
      <c r="S22" s="45"/>
      <c r="T22" s="45"/>
      <c r="U22" s="45"/>
    </row>
    <row r="23" spans="1:21" s="11" customFormat="1" ht="15">
      <c r="A23" s="52" t="s">
        <v>459</v>
      </c>
      <c r="B23" s="53">
        <v>3.29</v>
      </c>
      <c r="C23" s="53">
        <v>100.28</v>
      </c>
      <c r="D23" s="53">
        <v>57.44</v>
      </c>
      <c r="E23" s="53">
        <v>25.88</v>
      </c>
      <c r="F23" s="53">
        <v>11.53</v>
      </c>
      <c r="G23" s="53">
        <v>77.39</v>
      </c>
      <c r="H23" s="53">
        <v>39.03</v>
      </c>
      <c r="I23" s="53">
        <v>0.61</v>
      </c>
      <c r="J23" s="53">
        <v>1.44</v>
      </c>
      <c r="K23" s="53">
        <v>352.73</v>
      </c>
      <c r="L23" s="53">
        <v>34.67</v>
      </c>
      <c r="M23" s="53">
        <v>21.31</v>
      </c>
      <c r="N23" s="53">
        <v>367.20</v>
      </c>
      <c r="O23" s="53">
        <v>0</v>
      </c>
      <c r="P23" s="53">
        <v>1.18</v>
      </c>
      <c r="Q23" s="53">
        <v>28.45</v>
      </c>
      <c r="R23" s="45"/>
      <c r="S23" s="45"/>
      <c r="T23" s="45"/>
      <c r="U23" s="45"/>
    </row>
    <row r="24" spans="1:21" s="11" customFormat="1" ht="15">
      <c r="A24" s="52" t="s">
        <v>460</v>
      </c>
      <c r="B24" s="53">
        <v>2.39</v>
      </c>
      <c r="C24" s="53">
        <v>102.30</v>
      </c>
      <c r="D24" s="53">
        <v>57.97</v>
      </c>
      <c r="E24" s="53">
        <v>10.67</v>
      </c>
      <c r="F24" s="53">
        <v>6.56</v>
      </c>
      <c r="G24" s="53">
        <v>95.29</v>
      </c>
      <c r="H24" s="53">
        <v>40.86</v>
      </c>
      <c r="I24" s="53">
        <v>0.62</v>
      </c>
      <c r="J24" s="53">
        <v>1.46</v>
      </c>
      <c r="K24" s="53">
        <v>358.31</v>
      </c>
      <c r="L24" s="53">
        <v>33.979999999999997</v>
      </c>
      <c r="M24" s="53">
        <v>21.47</v>
      </c>
      <c r="N24" s="53">
        <v>303.5</v>
      </c>
      <c r="O24" s="53">
        <v>0</v>
      </c>
      <c r="P24" s="53">
        <v>1.18</v>
      </c>
      <c r="Q24" s="53">
        <v>29.07</v>
      </c>
      <c r="R24" s="45"/>
      <c r="S24" s="45"/>
      <c r="T24" s="45"/>
      <c r="U24" s="45"/>
    </row>
    <row r="25" spans="1:21" s="11" customFormat="1" ht="15">
      <c r="A25" s="52" t="s">
        <v>461</v>
      </c>
      <c r="B25" s="53">
        <v>2.0699999999999998</v>
      </c>
      <c r="C25" s="53">
        <v>98.97</v>
      </c>
      <c r="D25" s="53">
        <v>55.56</v>
      </c>
      <c r="E25" s="53">
        <v>9.3800000000000008</v>
      </c>
      <c r="F25" s="53">
        <v>8.64</v>
      </c>
      <c r="G25" s="53">
        <v>95.29</v>
      </c>
      <c r="H25" s="53">
        <v>40.86</v>
      </c>
      <c r="I25" s="53">
        <v>0.61</v>
      </c>
      <c r="J25" s="53">
        <v>1.68</v>
      </c>
      <c r="K25" s="53">
        <v>359.03</v>
      </c>
      <c r="L25" s="53">
        <v>31.58</v>
      </c>
      <c r="M25" s="53">
        <v>25.42</v>
      </c>
      <c r="N25" s="53">
        <v>180.20</v>
      </c>
      <c r="O25" s="53">
        <v>0</v>
      </c>
      <c r="P25" s="53">
        <v>1.1200000000000001</v>
      </c>
      <c r="Q25" s="53">
        <v>28.04</v>
      </c>
      <c r="R25" s="45"/>
      <c r="S25" s="45"/>
      <c r="T25" s="45"/>
      <c r="U25" s="45"/>
    </row>
    <row r="26" spans="1:21" s="11" customFormat="1" ht="15">
      <c r="A26" s="52" t="s">
        <v>462</v>
      </c>
      <c r="B26" s="53">
        <v>5.41</v>
      </c>
      <c r="C26" s="53">
        <v>96.84</v>
      </c>
      <c r="D26" s="53">
        <v>57.11</v>
      </c>
      <c r="E26" s="53">
        <v>14.64</v>
      </c>
      <c r="F26" s="53">
        <v>12.33</v>
      </c>
      <c r="G26" s="53">
        <v>76.400000000000006</v>
      </c>
      <c r="H26" s="53">
        <v>34.99</v>
      </c>
      <c r="I26" s="53">
        <v>0.59</v>
      </c>
      <c r="J26" s="53">
        <v>1.1100000000000001</v>
      </c>
      <c r="K26" s="53">
        <v>19.940000000000001</v>
      </c>
      <c r="L26" s="53">
        <v>29.24</v>
      </c>
      <c r="M26" s="53">
        <v>32.53</v>
      </c>
      <c r="N26" s="53">
        <v>37.10</v>
      </c>
      <c r="O26" s="53">
        <v>0</v>
      </c>
      <c r="P26" s="53">
        <v>1.20</v>
      </c>
      <c r="Q26" s="53">
        <v>27.13</v>
      </c>
      <c r="R26" s="45"/>
      <c r="S26" s="45"/>
      <c r="T26" s="45"/>
      <c r="U26" s="45"/>
    </row>
    <row r="27" spans="1:21" s="11" customFormat="1" ht="15">
      <c r="A27" s="52" t="s">
        <v>463</v>
      </c>
      <c r="B27" s="53">
        <v>5.77</v>
      </c>
      <c r="C27" s="53">
        <v>106.86</v>
      </c>
      <c r="D27" s="53">
        <v>62.09</v>
      </c>
      <c r="E27" s="53">
        <v>10.78</v>
      </c>
      <c r="F27" s="53">
        <v>8.0399999999999991</v>
      </c>
      <c r="G27" s="53">
        <v>87.14</v>
      </c>
      <c r="H27" s="53">
        <v>38.67</v>
      </c>
      <c r="I27" s="53">
        <v>0.64</v>
      </c>
      <c r="J27" s="53">
        <v>0.96</v>
      </c>
      <c r="K27" s="53">
        <v>22.35</v>
      </c>
      <c r="L27" s="53">
        <v>26.80</v>
      </c>
      <c r="M27" s="53">
        <v>35.340000000000003</v>
      </c>
      <c r="N27" s="53">
        <v>4.80</v>
      </c>
      <c r="O27" s="53">
        <v>0</v>
      </c>
      <c r="P27" s="53">
        <v>1.41</v>
      </c>
      <c r="Q27" s="53">
        <v>29.82</v>
      </c>
      <c r="R27" s="45"/>
      <c r="S27" s="45"/>
      <c r="T27" s="45"/>
      <c r="U27" s="45"/>
    </row>
    <row r="28" spans="1:21" s="11" customFormat="1" ht="15">
      <c r="A28" s="52" t="s">
        <v>464</v>
      </c>
      <c r="B28" s="53">
        <v>8.9700000000000006</v>
      </c>
      <c r="C28" s="53">
        <v>122.60</v>
      </c>
      <c r="D28" s="53">
        <v>74.86</v>
      </c>
      <c r="E28" s="53">
        <v>8.23</v>
      </c>
      <c r="F28" s="53">
        <v>3.11</v>
      </c>
      <c r="G28" s="53">
        <v>99.70</v>
      </c>
      <c r="H28" s="53">
        <v>39.76</v>
      </c>
      <c r="I28" s="53">
        <v>0.70</v>
      </c>
      <c r="J28" s="53">
        <v>0.12</v>
      </c>
      <c r="K28" s="53">
        <v>133.74</v>
      </c>
      <c r="L28" s="53">
        <v>25.48</v>
      </c>
      <c r="M28" s="53">
        <v>38.590000000000003</v>
      </c>
      <c r="N28" s="53">
        <v>4.5999999999999996</v>
      </c>
      <c r="O28" s="53">
        <v>0</v>
      </c>
      <c r="P28" s="53">
        <v>1.68</v>
      </c>
      <c r="Q28" s="53">
        <v>29.98</v>
      </c>
      <c r="R28" s="45"/>
      <c r="S28" s="45"/>
      <c r="T28" s="45"/>
      <c r="U28" s="45"/>
    </row>
    <row r="29" spans="1:21" s="11" customFormat="1" ht="15">
      <c r="A29" s="52" t="s">
        <v>465</v>
      </c>
      <c r="B29" s="53">
        <v>33.24</v>
      </c>
      <c r="C29" s="53">
        <v>141.61000000000001</v>
      </c>
      <c r="D29" s="53">
        <v>104.25</v>
      </c>
      <c r="E29" s="53">
        <v>14.29</v>
      </c>
      <c r="F29" s="53">
        <v>1.55</v>
      </c>
      <c r="G29" s="53">
        <v>132.94</v>
      </c>
      <c r="H29" s="53">
        <v>50.96</v>
      </c>
      <c r="I29" s="53">
        <v>0.93</v>
      </c>
      <c r="J29" s="53">
        <v>0.24</v>
      </c>
      <c r="K29" s="53">
        <v>338.05</v>
      </c>
      <c r="L29" s="53">
        <v>23.75</v>
      </c>
      <c r="M29" s="53">
        <v>47.74</v>
      </c>
      <c r="N29" s="53">
        <v>4.70</v>
      </c>
      <c r="O29" s="53">
        <v>0</v>
      </c>
      <c r="P29" s="53">
        <v>2.44</v>
      </c>
      <c r="Q29" s="53">
        <v>29.04</v>
      </c>
      <c r="R29" s="45"/>
      <c r="S29" s="45"/>
      <c r="T29" s="45"/>
      <c r="U29" s="45"/>
    </row>
    <row r="30" spans="1:21" s="11" customFormat="1" ht="15">
      <c r="A30" s="52" t="s">
        <v>466</v>
      </c>
      <c r="B30" s="53">
        <v>38.82</v>
      </c>
      <c r="C30" s="53">
        <v>138.56</v>
      </c>
      <c r="D30" s="53">
        <v>106.28</v>
      </c>
      <c r="E30" s="53">
        <v>8.42</v>
      </c>
      <c r="F30" s="53">
        <v>1.48</v>
      </c>
      <c r="G30" s="53">
        <v>231.17</v>
      </c>
      <c r="H30" s="53">
        <v>65.27</v>
      </c>
      <c r="I30" s="53">
        <v>1.08</v>
      </c>
      <c r="J30" s="53">
        <v>0.21</v>
      </c>
      <c r="K30" s="53">
        <v>302.16000000000003</v>
      </c>
      <c r="L30" s="53">
        <v>23.27</v>
      </c>
      <c r="M30" s="53">
        <v>54.49</v>
      </c>
      <c r="N30" s="53">
        <v>4.5</v>
      </c>
      <c r="O30" s="53">
        <v>0</v>
      </c>
      <c r="P30" s="53">
        <v>2.5299999999999998</v>
      </c>
      <c r="Q30" s="53">
        <v>32.28</v>
      </c>
      <c r="R30" s="45"/>
      <c r="S30" s="45"/>
      <c r="T30" s="45"/>
      <c r="U30" s="45"/>
    </row>
    <row r="31" spans="1:21" s="11" customFormat="1" ht="15">
      <c r="A31" s="52" t="s">
        <v>467</v>
      </c>
      <c r="B31" s="53">
        <v>47.78</v>
      </c>
      <c r="C31" s="53">
        <v>141.47999999999999</v>
      </c>
      <c r="D31" s="53">
        <v>116.39</v>
      </c>
      <c r="E31" s="53">
        <v>6.80</v>
      </c>
      <c r="F31" s="53">
        <v>1.51</v>
      </c>
      <c r="G31" s="53">
        <v>232.75</v>
      </c>
      <c r="H31" s="53">
        <v>75.36</v>
      </c>
      <c r="I31" s="53">
        <v>1.19</v>
      </c>
      <c r="J31" s="53">
        <v>0.46</v>
      </c>
      <c r="K31" s="53">
        <v>81.25</v>
      </c>
      <c r="L31" s="53">
        <v>22.11</v>
      </c>
      <c r="M31" s="53">
        <v>52.93</v>
      </c>
      <c r="N31" s="53">
        <v>4.30</v>
      </c>
      <c r="O31" s="53">
        <v>0</v>
      </c>
      <c r="P31" s="53">
        <v>2.69</v>
      </c>
      <c r="Q31" s="53">
        <v>34.39</v>
      </c>
      <c r="R31" s="45"/>
      <c r="S31" s="45"/>
      <c r="T31" s="45"/>
      <c r="U31" s="45"/>
    </row>
    <row r="32" spans="1:21" s="11" customFormat="1" ht="15">
      <c r="A32" s="52" t="s">
        <v>468</v>
      </c>
      <c r="B32" s="53">
        <v>45.65</v>
      </c>
      <c r="C32" s="53">
        <v>141.44</v>
      </c>
      <c r="D32" s="53">
        <v>114.67</v>
      </c>
      <c r="E32" s="53">
        <v>6.98</v>
      </c>
      <c r="F32" s="53">
        <v>3.42</v>
      </c>
      <c r="G32" s="53">
        <v>232.75</v>
      </c>
      <c r="H32" s="53">
        <v>75.36</v>
      </c>
      <c r="I32" s="53">
        <v>1.17</v>
      </c>
      <c r="J32" s="53">
        <v>0.61</v>
      </c>
      <c r="K32" s="53">
        <v>349.81</v>
      </c>
      <c r="L32" s="53">
        <v>22.23</v>
      </c>
      <c r="M32" s="53">
        <v>50.53</v>
      </c>
      <c r="N32" s="53">
        <v>4.5</v>
      </c>
      <c r="O32" s="53">
        <v>0</v>
      </c>
      <c r="P32" s="53">
        <v>2.65</v>
      </c>
      <c r="Q32" s="53">
        <v>34.04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2.0699999999999998</v>
      </c>
      <c r="C34" s="28">
        <f t="shared" si="0"/>
        <v>88.129999999999995</v>
      </c>
      <c r="D34" s="28">
        <f t="shared" si="0"/>
        <v>54.939999999999998</v>
      </c>
      <c r="E34" s="28">
        <f t="shared" si="0"/>
        <v>4.0199999999999996</v>
      </c>
      <c r="F34" s="28">
        <f t="shared" si="0"/>
        <v>1.48</v>
      </c>
      <c r="G34" s="28">
        <f t="shared" si="0"/>
        <v>52.049999999999997</v>
      </c>
      <c r="H34" s="28">
        <f t="shared" si="0"/>
        <v>27.760000000000002</v>
      </c>
      <c r="I34" s="28">
        <f t="shared" si="0"/>
        <v>0.58999999999999997</v>
      </c>
      <c r="J34" s="28">
        <f t="shared" si="0"/>
        <v>0.12</v>
      </c>
      <c r="K34" s="28">
        <f t="shared" si="0"/>
        <v>19.940000000000001</v>
      </c>
      <c r="L34" s="28">
        <f t="shared" si="0"/>
        <v>18.559999999999999</v>
      </c>
      <c r="M34" s="28">
        <f t="shared" si="0"/>
        <v>21.309999999999999</v>
      </c>
      <c r="N34" s="28">
        <f t="shared" si="0"/>
        <v>4.0999999999999996</v>
      </c>
      <c r="O34" s="28">
        <f t="shared" si="0"/>
        <v>0</v>
      </c>
      <c r="P34" s="28">
        <f t="shared" si="0"/>
        <v>1.04</v>
      </c>
      <c r="Q34" s="28">
        <f t="shared" si="0"/>
        <v>26.48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47.780000000000001</v>
      </c>
      <c r="C35" s="29">
        <f t="shared" si="1"/>
        <v>141.61000000000001</v>
      </c>
      <c r="D35" s="29">
        <f t="shared" si="1"/>
        <v>116.39</v>
      </c>
      <c r="E35" s="29">
        <f t="shared" si="1"/>
        <v>25.879999999999999</v>
      </c>
      <c r="F35" s="29">
        <f t="shared" si="1"/>
        <v>12.33</v>
      </c>
      <c r="G35" s="29">
        <f t="shared" si="1"/>
        <v>232.75</v>
      </c>
      <c r="H35" s="29">
        <f t="shared" si="1"/>
        <v>75.359999999999999</v>
      </c>
      <c r="I35" s="29">
        <f t="shared" si="1"/>
        <v>1.1899999999999999</v>
      </c>
      <c r="J35" s="29">
        <f t="shared" si="1"/>
        <v>1.6799999999999999</v>
      </c>
      <c r="K35" s="29">
        <f t="shared" si="1"/>
        <v>359.32999999999998</v>
      </c>
      <c r="L35" s="29">
        <f t="shared" si="1"/>
        <v>34.780000000000001</v>
      </c>
      <c r="M35" s="29">
        <f t="shared" si="1"/>
        <v>57.75</v>
      </c>
      <c r="N35" s="29">
        <f t="shared" si="1"/>
        <v>582.89999999999998</v>
      </c>
      <c r="O35" s="29">
        <f t="shared" si="1"/>
        <v>0</v>
      </c>
      <c r="P35" s="29">
        <f t="shared" si="1"/>
        <v>2.6899999999999999</v>
      </c>
      <c r="Q35" s="29">
        <f t="shared" si="1"/>
        <v>34.390000000000001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15.340833333333331</v>
      </c>
      <c r="C36" s="28">
        <f t="shared" si="2"/>
        <v>108.11874999999998</v>
      </c>
      <c r="D36" s="28">
        <f t="shared" si="2"/>
        <v>71.580833333333331</v>
      </c>
      <c r="E36" s="28">
        <f t="shared" si="2"/>
        <v>9.5133333333333319</v>
      </c>
      <c r="F36" s="28">
        <f t="shared" si="2"/>
        <v>4.3212500000000009</v>
      </c>
      <c r="G36" s="28">
        <f t="shared" si="2"/>
        <v>111.86000000000001</v>
      </c>
      <c r="H36" s="28">
        <f t="shared" si="2"/>
        <v>44.264583333333327</v>
      </c>
      <c r="I36" s="28">
        <f t="shared" si="2"/>
        <v>0.74791666666666645</v>
      </c>
      <c r="J36" s="28">
        <f t="shared" si="2"/>
        <v>0.7895833333333333</v>
      </c>
      <c r="K36" s="28">
        <f t="shared" si="2"/>
        <v>168.47958333333332</v>
      </c>
      <c r="L36" s="28">
        <f t="shared" si="2"/>
        <v>26.320000000000004</v>
      </c>
      <c r="M36" s="28">
        <f t="shared" si="2"/>
        <v>39.309166666666663</v>
      </c>
      <c r="N36" s="28">
        <f t="shared" si="2"/>
        <v>176.98333333333335</v>
      </c>
      <c r="O36" s="28">
        <f t="shared" si="2"/>
        <v>0</v>
      </c>
      <c r="P36" s="28">
        <f t="shared" si="2"/>
        <v>1.5816666666666663</v>
      </c>
      <c r="Q36" s="28">
        <f t="shared" si="2"/>
        <v>29.181666666666661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14.389591321708798</v>
      </c>
      <c r="C37" s="28">
        <f t="shared" si="3" ref="C37:Q37">STDEV(C9:C32)</f>
        <v>16.554760332723646</v>
      </c>
      <c r="D37" s="28">
        <f t="shared" si="3"/>
        <v>19.502277886278428</v>
      </c>
      <c r="E37" s="28">
        <f t="shared" si="3"/>
        <v>4.7483183903600947</v>
      </c>
      <c r="F37" s="28">
        <f t="shared" si="3"/>
        <v>3.2887929760218144</v>
      </c>
      <c r="G37" s="28">
        <f t="shared" si="3"/>
        <v>50.974255821166636</v>
      </c>
      <c r="H37" s="28">
        <f t="shared" si="3"/>
        <v>12.588694023215647</v>
      </c>
      <c r="I37" s="28">
        <f t="shared" si="3"/>
        <v>0.18756979377349686</v>
      </c>
      <c r="J37" s="28">
        <f t="shared" si="3"/>
        <v>0.44964216851863975</v>
      </c>
      <c r="K37" s="28">
        <f t="shared" si="3"/>
        <v>144.03609386053711</v>
      </c>
      <c r="L37" s="28">
        <f t="shared" si="3"/>
        <v>5.4120943466823483</v>
      </c>
      <c r="M37" s="28">
        <f t="shared" si="3"/>
        <v>11.912820246771293</v>
      </c>
      <c r="N37" s="28">
        <f t="shared" si="3"/>
        <v>227.22289127383397</v>
      </c>
      <c r="O37" s="28">
        <f t="shared" si="3"/>
        <v>0</v>
      </c>
      <c r="P37" s="28">
        <f t="shared" si="3"/>
        <v>0.50335972672906004</v>
      </c>
      <c r="Q37" s="28">
        <f t="shared" si="3"/>
        <v>2.1370472653857595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5e72d0-7c6c-4dfd-9b71-7853e7c413b1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66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469</v>
      </c>
      <c r="B9" s="53">
        <v>32.68</v>
      </c>
      <c r="C9" s="53">
        <v>131.19999999999999</v>
      </c>
      <c r="D9" s="53">
        <v>98.61</v>
      </c>
      <c r="E9" s="53">
        <v>9.4499999999999993</v>
      </c>
      <c r="F9" s="53">
        <v>2.83</v>
      </c>
      <c r="G9" s="53">
        <v>134.09</v>
      </c>
      <c r="H9" s="53">
        <v>69.59</v>
      </c>
      <c r="I9" s="53">
        <v>0.98</v>
      </c>
      <c r="J9" s="53">
        <v>0.34</v>
      </c>
      <c r="K9" s="53">
        <v>44.45</v>
      </c>
      <c r="L9" s="53">
        <v>21.44</v>
      </c>
      <c r="M9" s="53">
        <v>57.17</v>
      </c>
      <c r="N9" s="53">
        <v>4.70</v>
      </c>
      <c r="O9" s="53">
        <v>0</v>
      </c>
      <c r="P9" s="53">
        <v>2.4300000000000002</v>
      </c>
      <c r="Q9" s="53">
        <v>32.090000000000003</v>
      </c>
      <c r="R9" s="45"/>
      <c r="S9" s="45"/>
      <c r="T9" s="45"/>
      <c r="U9" s="45"/>
    </row>
    <row r="10" spans="1:21" s="11" customFormat="1" ht="15">
      <c r="A10" s="52" t="s">
        <v>470</v>
      </c>
      <c r="B10" s="53">
        <v>27.19</v>
      </c>
      <c r="C10" s="53">
        <v>121.31</v>
      </c>
      <c r="D10" s="53">
        <v>88.76</v>
      </c>
      <c r="E10" s="53">
        <v>8.75</v>
      </c>
      <c r="F10" s="53">
        <v>3.03</v>
      </c>
      <c r="G10" s="53">
        <v>137.09</v>
      </c>
      <c r="H10" s="53">
        <v>67.36</v>
      </c>
      <c r="I10" s="53">
        <v>0.94</v>
      </c>
      <c r="J10" s="53">
        <v>1.1299999999999999</v>
      </c>
      <c r="K10" s="53">
        <v>34.119999999999997</v>
      </c>
      <c r="L10" s="53">
        <v>21.61</v>
      </c>
      <c r="M10" s="53">
        <v>53.46</v>
      </c>
      <c r="N10" s="53">
        <v>3.90</v>
      </c>
      <c r="O10" s="53">
        <v>0</v>
      </c>
      <c r="P10" s="53">
        <v>2.25</v>
      </c>
      <c r="Q10" s="53">
        <v>32.700000000000003</v>
      </c>
      <c r="R10" s="45"/>
      <c r="S10" s="45"/>
      <c r="T10" s="45"/>
      <c r="U10" s="45"/>
    </row>
    <row r="11" spans="1:21" s="11" customFormat="1" ht="15">
      <c r="A11" s="52" t="s">
        <v>471</v>
      </c>
      <c r="B11" s="53">
        <v>17.84</v>
      </c>
      <c r="C11" s="53">
        <v>117.51</v>
      </c>
      <c r="D11" s="53">
        <v>79.150000000000006</v>
      </c>
      <c r="E11" s="53">
        <v>9.93</v>
      </c>
      <c r="F11" s="53">
        <v>2.0299999999999998</v>
      </c>
      <c r="G11" s="53">
        <v>137.09</v>
      </c>
      <c r="H11" s="53">
        <v>67.36</v>
      </c>
      <c r="I11" s="53">
        <v>0.89</v>
      </c>
      <c r="J11" s="53">
        <v>0.99</v>
      </c>
      <c r="K11" s="53">
        <v>37.31</v>
      </c>
      <c r="L11" s="53">
        <v>21.55</v>
      </c>
      <c r="M11" s="53">
        <v>52.64</v>
      </c>
      <c r="N11" s="53">
        <v>4.5</v>
      </c>
      <c r="O11" s="53">
        <v>0</v>
      </c>
      <c r="P11" s="53">
        <v>2.0099999999999998</v>
      </c>
      <c r="Q11" s="53">
        <v>31.87</v>
      </c>
      <c r="R11" s="45"/>
      <c r="S11" s="45"/>
      <c r="T11" s="45"/>
      <c r="U11" s="45"/>
    </row>
    <row r="12" spans="1:21" s="11" customFormat="1" ht="15">
      <c r="A12" s="52" t="s">
        <v>472</v>
      </c>
      <c r="B12" s="53">
        <v>8.26</v>
      </c>
      <c r="C12" s="53">
        <v>108.60</v>
      </c>
      <c r="D12" s="53">
        <v>66.56</v>
      </c>
      <c r="E12" s="53">
        <v>11.88</v>
      </c>
      <c r="F12" s="53">
        <v>3.08</v>
      </c>
      <c r="G12" s="53">
        <v>156.66999999999999</v>
      </c>
      <c r="H12" s="53">
        <v>66.97</v>
      </c>
      <c r="I12" s="53">
        <v>0.78</v>
      </c>
      <c r="J12" s="53">
        <v>0.91</v>
      </c>
      <c r="K12" s="53">
        <v>24.40</v>
      </c>
      <c r="L12" s="53">
        <v>21.25</v>
      </c>
      <c r="M12" s="53">
        <v>52.16</v>
      </c>
      <c r="N12" s="53">
        <v>4.5</v>
      </c>
      <c r="O12" s="53">
        <v>0</v>
      </c>
      <c r="P12" s="53">
        <v>1.88</v>
      </c>
      <c r="Q12" s="53">
        <v>29.80</v>
      </c>
      <c r="R12" s="45"/>
      <c r="S12" s="45"/>
      <c r="T12" s="45"/>
      <c r="U12" s="45"/>
    </row>
    <row r="13" spans="1:21" s="11" customFormat="1" ht="15">
      <c r="A13" s="52" t="s">
        <v>473</v>
      </c>
      <c r="B13" s="53">
        <v>5.59</v>
      </c>
      <c r="C13" s="53">
        <v>101.01</v>
      </c>
      <c r="D13" s="53">
        <v>60.23</v>
      </c>
      <c r="E13" s="53">
        <v>7.69</v>
      </c>
      <c r="F13" s="53">
        <v>4.04</v>
      </c>
      <c r="G13" s="53">
        <v>156.66999999999999</v>
      </c>
      <c r="H13" s="53">
        <v>66.97</v>
      </c>
      <c r="I13" s="53">
        <v>0.71</v>
      </c>
      <c r="J13" s="53">
        <v>0.61</v>
      </c>
      <c r="K13" s="53">
        <v>36.81</v>
      </c>
      <c r="L13" s="53">
        <v>21.02</v>
      </c>
      <c r="M13" s="53">
        <v>51.77</v>
      </c>
      <c r="N13" s="53">
        <v>4.5</v>
      </c>
      <c r="O13" s="53">
        <v>0</v>
      </c>
      <c r="P13" s="53">
        <v>1.82</v>
      </c>
      <c r="Q13" s="53">
        <v>28.29</v>
      </c>
      <c r="R13" s="45"/>
      <c r="S13" s="45"/>
      <c r="T13" s="45"/>
      <c r="U13" s="45"/>
    </row>
    <row r="14" spans="1:21" s="11" customFormat="1" ht="15">
      <c r="A14" s="52" t="s">
        <v>474</v>
      </c>
      <c r="B14" s="53">
        <v>3.82</v>
      </c>
      <c r="C14" s="53">
        <v>96.44</v>
      </c>
      <c r="D14" s="53">
        <v>56.29</v>
      </c>
      <c r="E14" s="53">
        <v>6.33</v>
      </c>
      <c r="F14" s="53">
        <v>2.75</v>
      </c>
      <c r="G14" s="53">
        <v>107.27</v>
      </c>
      <c r="H14" s="53">
        <v>62.46</v>
      </c>
      <c r="I14" s="53">
        <v>0.70</v>
      </c>
      <c r="J14" s="53">
        <v>0.39</v>
      </c>
      <c r="K14" s="53">
        <v>67.62</v>
      </c>
      <c r="L14" s="53">
        <v>20.149999999999999</v>
      </c>
      <c r="M14" s="53">
        <v>53.82</v>
      </c>
      <c r="N14" s="53">
        <v>4.4000000000000004</v>
      </c>
      <c r="O14" s="53">
        <v>0</v>
      </c>
      <c r="P14" s="53">
        <v>1.63</v>
      </c>
      <c r="Q14" s="53">
        <v>29.55</v>
      </c>
      <c r="R14" s="45"/>
      <c r="S14" s="45"/>
      <c r="T14" s="45"/>
      <c r="U14" s="45"/>
    </row>
    <row r="15" spans="1:21" s="11" customFormat="1" ht="15">
      <c r="A15" s="52" t="s">
        <v>475</v>
      </c>
      <c r="B15" s="53">
        <v>2.70</v>
      </c>
      <c r="C15" s="53">
        <v>92.24</v>
      </c>
      <c r="D15" s="53">
        <v>53</v>
      </c>
      <c r="E15" s="53">
        <v>5.52</v>
      </c>
      <c r="F15" s="53">
        <v>2.3199999999999998</v>
      </c>
      <c r="G15" s="53">
        <v>85.78</v>
      </c>
      <c r="H15" s="53">
        <v>54.91</v>
      </c>
      <c r="I15" s="53">
        <v>0.67</v>
      </c>
      <c r="J15" s="53">
        <v>0.91</v>
      </c>
      <c r="K15" s="53">
        <v>129.18</v>
      </c>
      <c r="L15" s="53">
        <v>20.12</v>
      </c>
      <c r="M15" s="53">
        <v>54.30</v>
      </c>
      <c r="N15" s="53">
        <v>26.5</v>
      </c>
      <c r="O15" s="53">
        <v>0</v>
      </c>
      <c r="P15" s="53">
        <v>1.42</v>
      </c>
      <c r="Q15" s="53">
        <v>29</v>
      </c>
      <c r="R15" s="45"/>
      <c r="S15" s="45"/>
      <c r="T15" s="45"/>
      <c r="U15" s="45"/>
    </row>
    <row r="16" spans="1:21" s="11" customFormat="1" ht="15">
      <c r="A16" s="52" t="s">
        <v>476</v>
      </c>
      <c r="B16" s="53">
        <v>4.3600000000000003</v>
      </c>
      <c r="C16" s="53">
        <v>91.83</v>
      </c>
      <c r="D16" s="53">
        <v>54.18</v>
      </c>
      <c r="E16" s="53">
        <v>5.07</v>
      </c>
      <c r="F16" s="53">
        <v>1.70</v>
      </c>
      <c r="G16" s="53">
        <v>85.22</v>
      </c>
      <c r="H16" s="53">
        <v>46.60</v>
      </c>
      <c r="I16" s="53">
        <v>0.64</v>
      </c>
      <c r="J16" s="53">
        <v>0.39</v>
      </c>
      <c r="K16" s="53">
        <v>227.62</v>
      </c>
      <c r="L16" s="53">
        <v>22.36</v>
      </c>
      <c r="M16" s="53">
        <v>57.56</v>
      </c>
      <c r="N16" s="53">
        <v>172</v>
      </c>
      <c r="O16" s="53">
        <v>0</v>
      </c>
      <c r="P16" s="53">
        <v>1.28</v>
      </c>
      <c r="Q16" s="53">
        <v>27.49</v>
      </c>
      <c r="R16" s="45"/>
      <c r="S16" s="45"/>
      <c r="T16" s="45"/>
      <c r="U16" s="45"/>
    </row>
    <row r="17" spans="1:21" s="11" customFormat="1" ht="15">
      <c r="A17" s="52" t="s">
        <v>477</v>
      </c>
      <c r="B17" s="53">
        <v>5</v>
      </c>
      <c r="C17" s="53">
        <v>92.03</v>
      </c>
      <c r="D17" s="53">
        <v>54.65</v>
      </c>
      <c r="E17" s="53">
        <v>6.55</v>
      </c>
      <c r="F17" s="53">
        <v>2.19</v>
      </c>
      <c r="G17" s="53">
        <v>116.26</v>
      </c>
      <c r="H17" s="53">
        <v>50.68</v>
      </c>
      <c r="I17" s="53">
        <v>0.65</v>
      </c>
      <c r="J17" s="53">
        <v>1.60</v>
      </c>
      <c r="K17" s="53">
        <v>107.68</v>
      </c>
      <c r="L17" s="53">
        <v>24.66</v>
      </c>
      <c r="M17" s="53">
        <v>49.96</v>
      </c>
      <c r="N17" s="53">
        <v>361.20</v>
      </c>
      <c r="O17" s="53">
        <v>0</v>
      </c>
      <c r="P17" s="53">
        <v>1.27</v>
      </c>
      <c r="Q17" s="53">
        <v>29.08</v>
      </c>
      <c r="R17" s="45"/>
      <c r="S17" s="45"/>
      <c r="T17" s="45"/>
      <c r="U17" s="45"/>
    </row>
    <row r="18" spans="1:21" s="11" customFormat="1" ht="15">
      <c r="A18" s="52" t="s">
        <v>478</v>
      </c>
      <c r="B18" s="53">
        <v>4.4800000000000004</v>
      </c>
      <c r="C18" s="53">
        <v>93.28</v>
      </c>
      <c r="D18" s="53">
        <v>54.37</v>
      </c>
      <c r="E18" s="53">
        <v>5.75</v>
      </c>
      <c r="F18" s="53">
        <v>2.59</v>
      </c>
      <c r="G18" s="53">
        <v>116.26</v>
      </c>
      <c r="H18" s="53">
        <v>50.68</v>
      </c>
      <c r="I18" s="53">
        <v>0.66</v>
      </c>
      <c r="J18" s="53">
        <v>0.89</v>
      </c>
      <c r="K18" s="53">
        <v>104.83</v>
      </c>
      <c r="L18" s="53">
        <v>27.5</v>
      </c>
      <c r="M18" s="53">
        <v>41.25</v>
      </c>
      <c r="N18" s="53">
        <v>520.5</v>
      </c>
      <c r="O18" s="53">
        <v>0</v>
      </c>
      <c r="P18" s="53">
        <v>1.23</v>
      </c>
      <c r="Q18" s="53">
        <v>29.28</v>
      </c>
      <c r="R18" s="45"/>
      <c r="S18" s="45"/>
      <c r="T18" s="45"/>
      <c r="U18" s="45"/>
    </row>
    <row r="19" spans="1:21" s="11" customFormat="1" ht="15">
      <c r="A19" s="52" t="s">
        <v>479</v>
      </c>
      <c r="B19" s="53">
        <v>3.02</v>
      </c>
      <c r="C19" s="53">
        <v>92.99</v>
      </c>
      <c r="D19" s="53">
        <v>53.33</v>
      </c>
      <c r="E19" s="53">
        <v>23.65</v>
      </c>
      <c r="F19" s="53">
        <v>40.57</v>
      </c>
      <c r="G19" s="53">
        <v>92</v>
      </c>
      <c r="H19" s="53">
        <v>47.56</v>
      </c>
      <c r="I19" s="53">
        <v>0.67</v>
      </c>
      <c r="J19" s="53">
        <v>0.80</v>
      </c>
      <c r="K19" s="53">
        <v>132.38</v>
      </c>
      <c r="L19" s="53">
        <v>30.18</v>
      </c>
      <c r="M19" s="53">
        <v>34.380000000000003</v>
      </c>
      <c r="N19" s="53">
        <v>539.10</v>
      </c>
      <c r="O19" s="53">
        <v>0</v>
      </c>
      <c r="P19" s="53">
        <v>1.22</v>
      </c>
      <c r="Q19" s="53">
        <v>28.65</v>
      </c>
      <c r="R19" s="45"/>
      <c r="S19" s="45"/>
      <c r="T19" s="45"/>
      <c r="U19" s="45"/>
    </row>
    <row r="20" spans="1:21" s="11" customFormat="1" ht="15">
      <c r="A20" s="52" t="s">
        <v>480</v>
      </c>
      <c r="B20" s="53">
        <v>1.98</v>
      </c>
      <c r="C20" s="53">
        <v>60.46</v>
      </c>
      <c r="D20" s="53">
        <v>34.950000000000003</v>
      </c>
      <c r="E20" s="53">
        <v>14.86</v>
      </c>
      <c r="F20" s="53">
        <v>23.47</v>
      </c>
      <c r="G20" s="53">
        <v>88.43</v>
      </c>
      <c r="H20" s="53">
        <v>44.42</v>
      </c>
      <c r="I20" s="53">
        <v>0.54</v>
      </c>
      <c r="J20" s="53">
        <v>0.86</v>
      </c>
      <c r="K20" s="53">
        <v>151.38999999999999</v>
      </c>
      <c r="L20" s="53">
        <v>31.28</v>
      </c>
      <c r="M20" s="53">
        <v>30.90</v>
      </c>
      <c r="N20" s="53">
        <v>557.60</v>
      </c>
      <c r="O20" s="53">
        <v>0</v>
      </c>
      <c r="P20" s="53">
        <v>0.80</v>
      </c>
      <c r="Q20" s="53">
        <v>15.94</v>
      </c>
      <c r="R20" s="45"/>
      <c r="S20" s="45"/>
      <c r="T20" s="45"/>
      <c r="U20" s="45"/>
    </row>
    <row r="21" spans="1:21" s="11" customFormat="1" ht="15">
      <c r="A21" s="52" t="s">
        <v>481</v>
      </c>
      <c r="B21" s="53">
        <v>1.55</v>
      </c>
      <c r="C21" s="53">
        <v>50.48</v>
      </c>
      <c r="D21" s="53">
        <v>29.11</v>
      </c>
      <c r="E21" s="53">
        <v>17</v>
      </c>
      <c r="F21" s="53">
        <v>40.06</v>
      </c>
      <c r="G21" s="53">
        <v>63.87</v>
      </c>
      <c r="H21" s="53">
        <v>40.770000000000003</v>
      </c>
      <c r="I21" s="53">
        <v>0.49</v>
      </c>
      <c r="J21" s="53">
        <v>1.1100000000000001</v>
      </c>
      <c r="K21" s="53">
        <v>116.78</v>
      </c>
      <c r="L21" s="53">
        <v>33.43</v>
      </c>
      <c r="M21" s="53">
        <v>27.97</v>
      </c>
      <c r="N21" s="53">
        <v>544.70000000000005</v>
      </c>
      <c r="O21" s="53">
        <v>0</v>
      </c>
      <c r="P21" s="53">
        <v>0.69</v>
      </c>
      <c r="Q21" s="53">
        <v>15.82</v>
      </c>
      <c r="R21" s="45"/>
      <c r="S21" s="45"/>
      <c r="T21" s="45"/>
      <c r="U21" s="45"/>
    </row>
    <row r="22" spans="1:21" s="11" customFormat="1" ht="15">
      <c r="A22" s="52" t="s">
        <v>482</v>
      </c>
      <c r="B22" s="53">
        <v>2.46</v>
      </c>
      <c r="C22" s="53">
        <v>56.23</v>
      </c>
      <c r="D22" s="53">
        <v>31.77</v>
      </c>
      <c r="E22" s="53">
        <v>10.56</v>
      </c>
      <c r="F22" s="53">
        <v>20.399999999999999</v>
      </c>
      <c r="G22" s="53">
        <v>50.94</v>
      </c>
      <c r="H22" s="53">
        <v>35.21</v>
      </c>
      <c r="I22" s="53">
        <v>0.5</v>
      </c>
      <c r="J22" s="53">
        <v>0.79</v>
      </c>
      <c r="K22" s="53">
        <v>100.02</v>
      </c>
      <c r="L22" s="53">
        <v>33.60</v>
      </c>
      <c r="M22" s="53">
        <v>26.38</v>
      </c>
      <c r="N22" s="53">
        <v>474.40</v>
      </c>
      <c r="O22" s="53">
        <v>0</v>
      </c>
      <c r="P22" s="53">
        <v>0.79</v>
      </c>
      <c r="Q22" s="53">
        <v>16.940000000000001</v>
      </c>
      <c r="R22" s="45"/>
      <c r="S22" s="45"/>
      <c r="T22" s="45"/>
      <c r="U22" s="45"/>
    </row>
    <row r="23" spans="1:21" s="11" customFormat="1" ht="15">
      <c r="A23" s="52" t="s">
        <v>483</v>
      </c>
      <c r="B23" s="53">
        <v>1.96</v>
      </c>
      <c r="C23" s="53">
        <v>63.12</v>
      </c>
      <c r="D23" s="53">
        <v>36.409999999999997</v>
      </c>
      <c r="E23" s="53">
        <v>19.309999999999999</v>
      </c>
      <c r="F23" s="53">
        <v>21.70</v>
      </c>
      <c r="G23" s="53">
        <v>53.51</v>
      </c>
      <c r="H23" s="53">
        <v>33.520000000000003</v>
      </c>
      <c r="I23" s="53">
        <v>0.53</v>
      </c>
      <c r="J23" s="53">
        <v>1.06</v>
      </c>
      <c r="K23" s="53">
        <v>176.52</v>
      </c>
      <c r="L23" s="53">
        <v>33.700000000000003</v>
      </c>
      <c r="M23" s="53">
        <v>25.89</v>
      </c>
      <c r="N23" s="53">
        <v>384.10</v>
      </c>
      <c r="O23" s="53">
        <v>0</v>
      </c>
      <c r="P23" s="53">
        <v>0.85</v>
      </c>
      <c r="Q23" s="53">
        <v>19.02</v>
      </c>
      <c r="R23" s="45"/>
      <c r="S23" s="45"/>
      <c r="T23" s="45"/>
      <c r="U23" s="45"/>
    </row>
    <row r="24" spans="1:21" s="11" customFormat="1" ht="15">
      <c r="A24" s="52" t="s">
        <v>484</v>
      </c>
      <c r="B24" s="53">
        <v>2.64</v>
      </c>
      <c r="C24" s="53">
        <v>63.32</v>
      </c>
      <c r="D24" s="53">
        <v>36.83</v>
      </c>
      <c r="E24" s="53">
        <v>15.77</v>
      </c>
      <c r="F24" s="53">
        <v>24.97</v>
      </c>
      <c r="G24" s="53">
        <v>58.73</v>
      </c>
      <c r="H24" s="53">
        <v>32.90</v>
      </c>
      <c r="I24" s="53">
        <v>0.56000000000000005</v>
      </c>
      <c r="J24" s="53">
        <v>1.01</v>
      </c>
      <c r="K24" s="53">
        <v>121.78</v>
      </c>
      <c r="L24" s="53">
        <v>32.01</v>
      </c>
      <c r="M24" s="53">
        <v>26.38</v>
      </c>
      <c r="N24" s="53">
        <v>294.70</v>
      </c>
      <c r="O24" s="53">
        <v>0</v>
      </c>
      <c r="P24" s="53">
        <v>0.85</v>
      </c>
      <c r="Q24" s="53">
        <v>22.01</v>
      </c>
      <c r="R24" s="45"/>
      <c r="S24" s="45"/>
      <c r="T24" s="45"/>
      <c r="U24" s="45"/>
    </row>
    <row r="25" spans="1:21" s="11" customFormat="1" ht="15">
      <c r="A25" s="52" t="s">
        <v>485</v>
      </c>
      <c r="B25" s="53">
        <v>2.54</v>
      </c>
      <c r="C25" s="53">
        <v>75.19</v>
      </c>
      <c r="D25" s="53">
        <v>43.53</v>
      </c>
      <c r="E25" s="53">
        <v>16.059999999999999</v>
      </c>
      <c r="F25" s="53">
        <v>20.51</v>
      </c>
      <c r="G25" s="53">
        <v>59.33</v>
      </c>
      <c r="H25" s="53">
        <v>33.92</v>
      </c>
      <c r="I25" s="53">
        <v>0.56999999999999995</v>
      </c>
      <c r="J25" s="53">
        <v>1.04</v>
      </c>
      <c r="K25" s="53">
        <v>105.74</v>
      </c>
      <c r="L25" s="53">
        <v>31.54</v>
      </c>
      <c r="M25" s="53">
        <v>29.54</v>
      </c>
      <c r="N25" s="53">
        <v>134.5</v>
      </c>
      <c r="O25" s="53">
        <v>0</v>
      </c>
      <c r="P25" s="53">
        <v>0.93</v>
      </c>
      <c r="Q25" s="53">
        <v>23.34</v>
      </c>
      <c r="R25" s="45"/>
      <c r="S25" s="45"/>
      <c r="T25" s="45"/>
      <c r="U25" s="45"/>
    </row>
    <row r="26" spans="1:21" s="11" customFormat="1" ht="15">
      <c r="A26" s="52" t="s">
        <v>486</v>
      </c>
      <c r="B26" s="53">
        <v>2.99</v>
      </c>
      <c r="C26" s="53">
        <v>83.71</v>
      </c>
      <c r="D26" s="53">
        <v>48.59</v>
      </c>
      <c r="E26" s="53">
        <v>18.850000000000001</v>
      </c>
      <c r="F26" s="53">
        <v>21.62</v>
      </c>
      <c r="G26" s="53">
        <v>78.319999999999993</v>
      </c>
      <c r="H26" s="53">
        <v>37.72</v>
      </c>
      <c r="I26" s="53">
        <v>0.56999999999999995</v>
      </c>
      <c r="J26" s="53">
        <v>1.25</v>
      </c>
      <c r="K26" s="53">
        <v>22.97</v>
      </c>
      <c r="L26" s="53">
        <v>30.12</v>
      </c>
      <c r="M26" s="53">
        <v>35.01</v>
      </c>
      <c r="N26" s="53">
        <v>38</v>
      </c>
      <c r="O26" s="53">
        <v>0</v>
      </c>
      <c r="P26" s="53">
        <v>1.18</v>
      </c>
      <c r="Q26" s="53">
        <v>23.81</v>
      </c>
      <c r="R26" s="45"/>
      <c r="S26" s="45"/>
      <c r="T26" s="45"/>
      <c r="U26" s="45"/>
    </row>
    <row r="27" spans="1:21" s="11" customFormat="1" ht="15">
      <c r="A27" s="52" t="s">
        <v>487</v>
      </c>
      <c r="B27" s="53">
        <v>7.33</v>
      </c>
      <c r="C27" s="53">
        <v>116.41</v>
      </c>
      <c r="D27" s="53">
        <v>70.12</v>
      </c>
      <c r="E27" s="53">
        <v>28.42</v>
      </c>
      <c r="F27" s="53">
        <v>14.87</v>
      </c>
      <c r="G27" s="53">
        <v>92.75</v>
      </c>
      <c r="H27" s="53">
        <v>40.06</v>
      </c>
      <c r="I27" s="53">
        <v>0.65</v>
      </c>
      <c r="J27" s="53">
        <v>0.80</v>
      </c>
      <c r="K27" s="53">
        <v>66.45</v>
      </c>
      <c r="L27" s="53">
        <v>28.25</v>
      </c>
      <c r="M27" s="53">
        <v>37.93</v>
      </c>
      <c r="N27" s="53">
        <v>5.0999999999999996</v>
      </c>
      <c r="O27" s="53">
        <v>0</v>
      </c>
      <c r="P27" s="53">
        <v>2.19</v>
      </c>
      <c r="Q27" s="53">
        <v>25.5</v>
      </c>
      <c r="R27" s="45"/>
      <c r="S27" s="45"/>
      <c r="T27" s="45"/>
      <c r="U27" s="45"/>
    </row>
    <row r="28" spans="1:21" s="11" customFormat="1" ht="15">
      <c r="A28" s="52" t="s">
        <v>488</v>
      </c>
      <c r="B28" s="53">
        <v>9.01</v>
      </c>
      <c r="C28" s="53">
        <v>114.43</v>
      </c>
      <c r="D28" s="53">
        <v>68.430000000000007</v>
      </c>
      <c r="E28" s="53">
        <v>33.090000000000003</v>
      </c>
      <c r="F28" s="53">
        <v>5.57</v>
      </c>
      <c r="G28" s="53">
        <v>120.5</v>
      </c>
      <c r="H28" s="53">
        <v>45.85</v>
      </c>
      <c r="I28" s="53">
        <v>0.93</v>
      </c>
      <c r="J28" s="53">
        <v>0.54</v>
      </c>
      <c r="K28" s="53">
        <v>112.92</v>
      </c>
      <c r="L28" s="53">
        <v>26.79</v>
      </c>
      <c r="M28" s="53">
        <v>42.40</v>
      </c>
      <c r="N28" s="53">
        <v>4.5</v>
      </c>
      <c r="O28" s="53">
        <v>0</v>
      </c>
      <c r="P28" s="53">
        <v>2.2400000000000002</v>
      </c>
      <c r="Q28" s="53">
        <v>32.340000000000003</v>
      </c>
      <c r="R28" s="45"/>
      <c r="S28" s="45"/>
      <c r="T28" s="45"/>
      <c r="U28" s="45"/>
    </row>
    <row r="29" spans="1:21" s="11" customFormat="1" ht="15">
      <c r="A29" s="52" t="s">
        <v>489</v>
      </c>
      <c r="B29" s="53">
        <v>18.72</v>
      </c>
      <c r="C29" s="53">
        <v>130.13999999999999</v>
      </c>
      <c r="D29" s="53">
        <v>86.83</v>
      </c>
      <c r="E29" s="53">
        <v>7.95</v>
      </c>
      <c r="F29" s="53">
        <v>1.82</v>
      </c>
      <c r="G29" s="53">
        <v>220.74</v>
      </c>
      <c r="H29" s="53">
        <v>115.70</v>
      </c>
      <c r="I29" s="53">
        <v>1.1000000000000001</v>
      </c>
      <c r="J29" s="53">
        <v>0.31</v>
      </c>
      <c r="K29" s="53">
        <v>76</v>
      </c>
      <c r="L29" s="53">
        <v>25.63</v>
      </c>
      <c r="M29" s="53">
        <v>41.70</v>
      </c>
      <c r="N29" s="53">
        <v>4.5</v>
      </c>
      <c r="O29" s="53">
        <v>0</v>
      </c>
      <c r="P29" s="53">
        <v>3.14</v>
      </c>
      <c r="Q29" s="53">
        <v>35.200000000000003</v>
      </c>
      <c r="R29" s="45"/>
      <c r="S29" s="45"/>
      <c r="T29" s="45"/>
      <c r="U29" s="45"/>
    </row>
    <row r="30" spans="1:21" s="11" customFormat="1" ht="15">
      <c r="A30" s="52" t="s">
        <v>490</v>
      </c>
      <c r="B30" s="53">
        <v>29.04</v>
      </c>
      <c r="C30" s="53">
        <v>141.41999999999999</v>
      </c>
      <c r="D30" s="53">
        <v>101.33</v>
      </c>
      <c r="E30" s="53">
        <v>14.29</v>
      </c>
      <c r="F30" s="53">
        <v>2.5299999999999998</v>
      </c>
      <c r="G30" s="53">
        <v>220.74</v>
      </c>
      <c r="H30" s="53">
        <v>115.70</v>
      </c>
      <c r="I30" s="53">
        <v>1.31</v>
      </c>
      <c r="J30" s="53">
        <v>0.36</v>
      </c>
      <c r="K30" s="53">
        <v>336.51</v>
      </c>
      <c r="L30" s="53">
        <v>25.10</v>
      </c>
      <c r="M30" s="53">
        <v>47.12</v>
      </c>
      <c r="N30" s="53">
        <v>4.70</v>
      </c>
      <c r="O30" s="53">
        <v>0</v>
      </c>
      <c r="P30" s="53">
        <v>3.60</v>
      </c>
      <c r="Q30" s="53">
        <v>34.67</v>
      </c>
      <c r="R30" s="45"/>
      <c r="S30" s="45"/>
      <c r="T30" s="45"/>
      <c r="U30" s="45"/>
    </row>
    <row r="31" spans="1:21" s="11" customFormat="1" ht="15">
      <c r="A31" s="52" t="s">
        <v>491</v>
      </c>
      <c r="B31" s="53">
        <v>32.840000000000003</v>
      </c>
      <c r="C31" s="53">
        <v>135.04</v>
      </c>
      <c r="D31" s="53">
        <v>100.17</v>
      </c>
      <c r="E31" s="53">
        <v>9.4700000000000006</v>
      </c>
      <c r="F31" s="53">
        <v>2.76</v>
      </c>
      <c r="G31" s="53">
        <v>170.98</v>
      </c>
      <c r="H31" s="53">
        <v>75.819999999999993</v>
      </c>
      <c r="I31" s="53">
        <v>1.36</v>
      </c>
      <c r="J31" s="53">
        <v>0.11</v>
      </c>
      <c r="K31" s="53">
        <v>355.04</v>
      </c>
      <c r="L31" s="53">
        <v>23.75</v>
      </c>
      <c r="M31" s="53">
        <v>54.12</v>
      </c>
      <c r="N31" s="53">
        <v>4.80</v>
      </c>
      <c r="O31" s="53">
        <v>0</v>
      </c>
      <c r="P31" s="53">
        <v>3.54</v>
      </c>
      <c r="Q31" s="53">
        <v>35.880000000000003</v>
      </c>
      <c r="R31" s="45"/>
      <c r="S31" s="45"/>
      <c r="T31" s="45"/>
      <c r="U31" s="45"/>
    </row>
    <row r="32" spans="1:21" s="11" customFormat="1" ht="15">
      <c r="A32" s="52" t="s">
        <v>492</v>
      </c>
      <c r="B32" s="53">
        <v>30.91</v>
      </c>
      <c r="C32" s="53">
        <v>127.33</v>
      </c>
      <c r="D32" s="53">
        <v>94.91</v>
      </c>
      <c r="E32" s="53">
        <v>6.55</v>
      </c>
      <c r="F32" s="53">
        <v>1.68</v>
      </c>
      <c r="G32" s="53">
        <v>177.27</v>
      </c>
      <c r="H32" s="53">
        <v>83.5</v>
      </c>
      <c r="I32" s="53">
        <v>1.40</v>
      </c>
      <c r="J32" s="53">
        <v>0.20</v>
      </c>
      <c r="K32" s="53">
        <v>283.17</v>
      </c>
      <c r="L32" s="53">
        <v>22.71</v>
      </c>
      <c r="M32" s="53">
        <v>60.80</v>
      </c>
      <c r="N32" s="53">
        <v>4.80</v>
      </c>
      <c r="O32" s="53">
        <v>0</v>
      </c>
      <c r="P32" s="53">
        <v>3.49</v>
      </c>
      <c r="Q32" s="53">
        <v>37.74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1.55</v>
      </c>
      <c r="C34" s="28">
        <f t="shared" si="0"/>
        <v>50.479999999999997</v>
      </c>
      <c r="D34" s="28">
        <f t="shared" si="0"/>
        <v>29.109999999999999</v>
      </c>
      <c r="E34" s="28">
        <f t="shared" si="0"/>
        <v>5.0700000000000003</v>
      </c>
      <c r="F34" s="28">
        <f t="shared" si="0"/>
        <v>1.6799999999999999</v>
      </c>
      <c r="G34" s="28">
        <f t="shared" si="0"/>
        <v>50.939999999999998</v>
      </c>
      <c r="H34" s="28">
        <f t="shared" si="0"/>
        <v>32.899999999999999</v>
      </c>
      <c r="I34" s="28">
        <f t="shared" si="0"/>
        <v>0.48999999999999999</v>
      </c>
      <c r="J34" s="28">
        <f t="shared" si="0"/>
        <v>0.11</v>
      </c>
      <c r="K34" s="28">
        <f t="shared" si="0"/>
        <v>22.969999999999999</v>
      </c>
      <c r="L34" s="28">
        <f t="shared" si="0"/>
        <v>20.120000000000001</v>
      </c>
      <c r="M34" s="28">
        <f t="shared" si="0"/>
        <v>25.890000000000001</v>
      </c>
      <c r="N34" s="28">
        <f t="shared" si="0"/>
        <v>3.8999999999999999</v>
      </c>
      <c r="O34" s="28">
        <f t="shared" si="0"/>
        <v>0</v>
      </c>
      <c r="P34" s="28">
        <f t="shared" si="0"/>
        <v>0.68999999999999995</v>
      </c>
      <c r="Q34" s="28">
        <f t="shared" si="0"/>
        <v>15.82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32.840000000000003</v>
      </c>
      <c r="C35" s="29">
        <f t="shared" si="1"/>
        <v>141.41999999999999</v>
      </c>
      <c r="D35" s="29">
        <f t="shared" si="1"/>
        <v>101.33</v>
      </c>
      <c r="E35" s="29">
        <f t="shared" si="1"/>
        <v>33.090000000000003</v>
      </c>
      <c r="F35" s="29">
        <f t="shared" si="1"/>
        <v>40.57</v>
      </c>
      <c r="G35" s="29">
        <f t="shared" si="1"/>
        <v>220.74000000000001</v>
      </c>
      <c r="H35" s="29">
        <f t="shared" si="1"/>
        <v>115.7</v>
      </c>
      <c r="I35" s="29">
        <f t="shared" si="1"/>
        <v>1.3999999999999999</v>
      </c>
      <c r="J35" s="29">
        <f t="shared" si="1"/>
        <v>1.6000000000000001</v>
      </c>
      <c r="K35" s="29">
        <f t="shared" si="1"/>
        <v>355.04000000000002</v>
      </c>
      <c r="L35" s="29">
        <f t="shared" si="1"/>
        <v>33.700000000000003</v>
      </c>
      <c r="M35" s="29">
        <f t="shared" si="1"/>
        <v>60.799999999999997</v>
      </c>
      <c r="N35" s="29">
        <f t="shared" si="1"/>
        <v>557.60000000000002</v>
      </c>
      <c r="O35" s="29">
        <f t="shared" si="1"/>
        <v>0</v>
      </c>
      <c r="P35" s="29">
        <f t="shared" si="1"/>
        <v>3.6000000000000001</v>
      </c>
      <c r="Q35" s="29">
        <f t="shared" si="1"/>
        <v>37.740000000000002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10.787916666666668</v>
      </c>
      <c r="C36" s="28">
        <f t="shared" si="2"/>
        <v>98.155000000000015</v>
      </c>
      <c r="D36" s="28">
        <f t="shared" si="2"/>
        <v>62.587916666666672</v>
      </c>
      <c r="E36" s="28">
        <f t="shared" si="2"/>
        <v>13.031250000000002</v>
      </c>
      <c r="F36" s="28">
        <f t="shared" si="2"/>
        <v>11.212083333333332</v>
      </c>
      <c r="G36" s="28">
        <f t="shared" si="2"/>
        <v>115.85458333333331</v>
      </c>
      <c r="H36" s="28">
        <f t="shared" si="2"/>
        <v>57.759583333333325</v>
      </c>
      <c r="I36" s="28">
        <f t="shared" si="2"/>
        <v>0.78333333333333333</v>
      </c>
      <c r="J36" s="28">
        <f t="shared" si="2"/>
        <v>0.7666666666666665</v>
      </c>
      <c r="K36" s="28">
        <f t="shared" si="2"/>
        <v>123.82041666666667</v>
      </c>
      <c r="L36" s="28">
        <f t="shared" si="2"/>
        <v>26.239583333333339</v>
      </c>
      <c r="M36" s="28">
        <f t="shared" si="2"/>
        <v>43.525416666666665</v>
      </c>
      <c r="N36" s="28">
        <f t="shared" si="2"/>
        <v>170.92499999999998</v>
      </c>
      <c r="O36" s="28">
        <f t="shared" si="2"/>
        <v>0</v>
      </c>
      <c r="P36" s="28">
        <f t="shared" si="2"/>
        <v>1.7804166666666668</v>
      </c>
      <c r="Q36" s="28">
        <f t="shared" si="2"/>
        <v>27.750416666666663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11.28319873670069</v>
      </c>
      <c r="C37" s="28">
        <f t="shared" si="3" ref="C37:Q37">STDEV(C9:C32)</f>
        <v>26.880646504906441</v>
      </c>
      <c r="D37" s="28">
        <f t="shared" si="3"/>
        <v>22.913481503286423</v>
      </c>
      <c r="E37" s="28">
        <f t="shared" si="3"/>
        <v>7.4586729863556354</v>
      </c>
      <c r="F37" s="28">
        <f t="shared" si="3"/>
        <v>12.388455698812878</v>
      </c>
      <c r="G37" s="28">
        <f t="shared" si="3"/>
        <v>49.274100347304582</v>
      </c>
      <c r="H37" s="28">
        <f t="shared" si="3"/>
        <v>22.994864356533256</v>
      </c>
      <c r="I37" s="28">
        <f t="shared" si="3"/>
        <v>0.27398296784046028</v>
      </c>
      <c r="J37" s="28">
        <f t="shared" si="3"/>
        <v>0.37204098262640828</v>
      </c>
      <c r="K37" s="28">
        <f t="shared" si="3"/>
        <v>92.873204750823604</v>
      </c>
      <c r="L37" s="28">
        <f t="shared" si="3"/>
        <v>4.7358828929104844</v>
      </c>
      <c r="M37" s="28">
        <f t="shared" si="3"/>
        <v>11.586414075251618</v>
      </c>
      <c r="N37" s="28">
        <f t="shared" si="3"/>
        <v>219.4826590159133</v>
      </c>
      <c r="O37" s="28">
        <f t="shared" si="3"/>
        <v>0</v>
      </c>
      <c r="P37" s="28">
        <f t="shared" si="3"/>
        <v>0.92055030406753968</v>
      </c>
      <c r="Q37" s="28">
        <f t="shared" si="3"/>
        <v>6.299766371904604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d4d242-c30b-445c-8b6d-d8057fa68d6f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493</v>
      </c>
      <c r="B9" s="53">
        <v>43.72</v>
      </c>
      <c r="C9" s="53">
        <v>131.22</v>
      </c>
      <c r="D9" s="53">
        <v>107.48</v>
      </c>
      <c r="E9" s="53">
        <v>5.56</v>
      </c>
      <c r="F9" s="53">
        <v>1.64</v>
      </c>
      <c r="G9" s="53">
        <v>177.27</v>
      </c>
      <c r="H9" s="53">
        <v>115.07</v>
      </c>
      <c r="I9" s="53">
        <v>1.35</v>
      </c>
      <c r="J9" s="53">
        <v>0.14000000000000001</v>
      </c>
      <c r="K9" s="53">
        <v>142.56</v>
      </c>
      <c r="L9" s="53">
        <v>21.64</v>
      </c>
      <c r="M9" s="53">
        <v>64.61</v>
      </c>
      <c r="N9" s="53">
        <v>4.70</v>
      </c>
      <c r="O9" s="53">
        <v>0</v>
      </c>
      <c r="P9" s="53">
        <v>3.65</v>
      </c>
      <c r="Q9" s="53">
        <v>36.979999999999997</v>
      </c>
      <c r="R9" s="45"/>
      <c r="S9" s="45"/>
      <c r="T9" s="45"/>
      <c r="U9" s="45"/>
    </row>
    <row r="10" spans="1:21" s="11" customFormat="1" ht="15">
      <c r="A10" s="52" t="s">
        <v>494</v>
      </c>
      <c r="B10" s="53">
        <v>42.06</v>
      </c>
      <c r="C10" s="53">
        <v>127.76</v>
      </c>
      <c r="D10" s="53">
        <v>104.24</v>
      </c>
      <c r="E10" s="53">
        <v>6.20</v>
      </c>
      <c r="F10" s="53">
        <v>2.0499999999999998</v>
      </c>
      <c r="G10" s="53">
        <v>249.45</v>
      </c>
      <c r="H10" s="53">
        <v>117.09</v>
      </c>
      <c r="I10" s="53">
        <v>1.35</v>
      </c>
      <c r="J10" s="53">
        <v>0.34</v>
      </c>
      <c r="K10" s="53">
        <v>313.31</v>
      </c>
      <c r="L10" s="53">
        <v>22.59</v>
      </c>
      <c r="M10" s="53">
        <v>63.40</v>
      </c>
      <c r="N10" s="53">
        <v>4.80</v>
      </c>
      <c r="O10" s="53">
        <v>0</v>
      </c>
      <c r="P10" s="53">
        <v>3.48</v>
      </c>
      <c r="Q10" s="53">
        <v>35.53</v>
      </c>
      <c r="R10" s="45"/>
      <c r="S10" s="45"/>
      <c r="T10" s="45"/>
      <c r="U10" s="45"/>
    </row>
    <row r="11" spans="1:21" s="11" customFormat="1" ht="15">
      <c r="A11" s="52" t="s">
        <v>495</v>
      </c>
      <c r="B11" s="53">
        <v>37.659999999999997</v>
      </c>
      <c r="C11" s="53">
        <v>119.04</v>
      </c>
      <c r="D11" s="53">
        <v>95.81</v>
      </c>
      <c r="E11" s="53">
        <v>5.48</v>
      </c>
      <c r="F11" s="53">
        <v>1.96</v>
      </c>
      <c r="G11" s="53">
        <v>249.45</v>
      </c>
      <c r="H11" s="53">
        <v>117.09</v>
      </c>
      <c r="I11" s="53">
        <v>1.36</v>
      </c>
      <c r="J11" s="53">
        <v>0.14000000000000001</v>
      </c>
      <c r="K11" s="53">
        <v>355.66</v>
      </c>
      <c r="L11" s="53">
        <v>21.06</v>
      </c>
      <c r="M11" s="53">
        <v>68.14</v>
      </c>
      <c r="N11" s="53">
        <v>4.70</v>
      </c>
      <c r="O11" s="53">
        <v>0</v>
      </c>
      <c r="P11" s="53">
        <v>3.30</v>
      </c>
      <c r="Q11" s="53">
        <v>36.39</v>
      </c>
      <c r="R11" s="45"/>
      <c r="S11" s="45"/>
      <c r="T11" s="45"/>
      <c r="U11" s="45"/>
    </row>
    <row r="12" spans="1:21" s="11" customFormat="1" ht="15">
      <c r="A12" s="52" t="s">
        <v>496</v>
      </c>
      <c r="B12" s="53">
        <v>35.60</v>
      </c>
      <c r="C12" s="53">
        <v>113.96</v>
      </c>
      <c r="D12" s="53">
        <v>91.44</v>
      </c>
      <c r="E12" s="53">
        <v>4.87</v>
      </c>
      <c r="F12" s="53">
        <v>1.56</v>
      </c>
      <c r="G12" s="53">
        <v>192.12</v>
      </c>
      <c r="H12" s="53">
        <v>103.46</v>
      </c>
      <c r="I12" s="53">
        <v>1.31</v>
      </c>
      <c r="J12" s="53">
        <v>0.10</v>
      </c>
      <c r="K12" s="53">
        <v>340.76</v>
      </c>
      <c r="L12" s="53">
        <v>20.309999999999999</v>
      </c>
      <c r="M12" s="53">
        <v>70.44</v>
      </c>
      <c r="N12" s="53">
        <v>4.5999999999999996</v>
      </c>
      <c r="O12" s="53">
        <v>0</v>
      </c>
      <c r="P12" s="53">
        <v>3.08</v>
      </c>
      <c r="Q12" s="53">
        <v>36.01</v>
      </c>
      <c r="R12" s="45"/>
      <c r="S12" s="45"/>
      <c r="T12" s="45"/>
      <c r="U12" s="45"/>
    </row>
    <row r="13" spans="1:21" s="11" customFormat="1" ht="15">
      <c r="A13" s="52" t="s">
        <v>497</v>
      </c>
      <c r="B13" s="53">
        <v>32.31</v>
      </c>
      <c r="C13" s="53">
        <v>109.80</v>
      </c>
      <c r="D13" s="53">
        <v>86.51</v>
      </c>
      <c r="E13" s="53">
        <v>5.65</v>
      </c>
      <c r="F13" s="53">
        <v>1.69</v>
      </c>
      <c r="G13" s="53">
        <v>190.48</v>
      </c>
      <c r="H13" s="53">
        <v>103.46</v>
      </c>
      <c r="I13" s="53">
        <v>1.1399999999999999</v>
      </c>
      <c r="J13" s="53">
        <v>0.13</v>
      </c>
      <c r="K13" s="53">
        <v>356.08</v>
      </c>
      <c r="L13" s="53">
        <v>19.88</v>
      </c>
      <c r="M13" s="53">
        <v>72.66</v>
      </c>
      <c r="N13" s="53">
        <v>4.5999999999999996</v>
      </c>
      <c r="O13" s="53">
        <v>0</v>
      </c>
      <c r="P13" s="53">
        <v>2.83</v>
      </c>
      <c r="Q13" s="53">
        <v>34.51</v>
      </c>
      <c r="R13" s="45"/>
      <c r="S13" s="45"/>
      <c r="T13" s="45"/>
      <c r="U13" s="45"/>
    </row>
    <row r="14" spans="1:21" s="11" customFormat="1" ht="15">
      <c r="A14" s="52" t="s">
        <v>498</v>
      </c>
      <c r="B14" s="53">
        <v>35.96</v>
      </c>
      <c r="C14" s="53">
        <v>106.18</v>
      </c>
      <c r="D14" s="53">
        <v>86.79</v>
      </c>
      <c r="E14" s="53">
        <v>5.45</v>
      </c>
      <c r="F14" s="53">
        <v>1.49</v>
      </c>
      <c r="G14" s="53">
        <v>218.47</v>
      </c>
      <c r="H14" s="53">
        <v>102.71</v>
      </c>
      <c r="I14" s="53">
        <v>1.0900000000000001</v>
      </c>
      <c r="J14" s="53">
        <v>0.10</v>
      </c>
      <c r="K14" s="53">
        <v>159.32</v>
      </c>
      <c r="L14" s="53">
        <v>19.75</v>
      </c>
      <c r="M14" s="53">
        <v>73.569999999999993</v>
      </c>
      <c r="N14" s="53">
        <v>4.5999999999999996</v>
      </c>
      <c r="O14" s="53">
        <v>0</v>
      </c>
      <c r="P14" s="53">
        <v>2.68</v>
      </c>
      <c r="Q14" s="53">
        <v>33.32</v>
      </c>
      <c r="R14" s="45"/>
      <c r="S14" s="45"/>
      <c r="T14" s="45"/>
      <c r="U14" s="45"/>
    </row>
    <row r="15" spans="1:21" s="11" customFormat="1" ht="15">
      <c r="A15" s="52" t="s">
        <v>499</v>
      </c>
      <c r="B15" s="53">
        <v>42.17</v>
      </c>
      <c r="C15" s="53">
        <v>109.86</v>
      </c>
      <c r="D15" s="53">
        <v>94.44</v>
      </c>
      <c r="E15" s="53">
        <v>5.76</v>
      </c>
      <c r="F15" s="53">
        <v>1.69</v>
      </c>
      <c r="G15" s="53">
        <v>218.47</v>
      </c>
      <c r="H15" s="53">
        <v>131.33000000000001</v>
      </c>
      <c r="I15" s="53">
        <v>1.07</v>
      </c>
      <c r="J15" s="53">
        <v>0.40</v>
      </c>
      <c r="K15" s="53">
        <v>273.70</v>
      </c>
      <c r="L15" s="53">
        <v>20.53</v>
      </c>
      <c r="M15" s="53">
        <v>69.040000000000006</v>
      </c>
      <c r="N15" s="53">
        <v>23.80</v>
      </c>
      <c r="O15" s="53">
        <v>0</v>
      </c>
      <c r="P15" s="53">
        <v>2.64</v>
      </c>
      <c r="Q15" s="53">
        <v>34.58</v>
      </c>
      <c r="R15" s="45"/>
      <c r="S15" s="45"/>
      <c r="T15" s="45"/>
      <c r="U15" s="45"/>
    </row>
    <row r="16" spans="1:21" s="11" customFormat="1" ht="15">
      <c r="A16" s="52" t="s">
        <v>500</v>
      </c>
      <c r="B16" s="53">
        <v>43.26</v>
      </c>
      <c r="C16" s="53">
        <v>111.28</v>
      </c>
      <c r="D16" s="53">
        <v>96.10</v>
      </c>
      <c r="E16" s="53">
        <v>6.14</v>
      </c>
      <c r="F16" s="53">
        <v>1.59</v>
      </c>
      <c r="G16" s="9" t="s">
        <v>15</v>
      </c>
      <c r="H16" s="53">
        <v>131.33000000000001</v>
      </c>
      <c r="I16" s="53">
        <v>1.01</v>
      </c>
      <c r="J16" s="53">
        <v>0.65</v>
      </c>
      <c r="K16" s="53">
        <v>114.96</v>
      </c>
      <c r="L16" s="53">
        <v>22.78</v>
      </c>
      <c r="M16" s="53">
        <v>64.06</v>
      </c>
      <c r="N16" s="53">
        <v>151.5</v>
      </c>
      <c r="O16" s="53">
        <v>0</v>
      </c>
      <c r="P16" s="53">
        <v>2.56</v>
      </c>
      <c r="Q16" s="53">
        <v>34.549999999999997</v>
      </c>
      <c r="R16" s="45"/>
      <c r="S16" s="45"/>
      <c r="T16" s="45"/>
      <c r="U16" s="45"/>
    </row>
    <row r="17" spans="1:21" s="11" customFormat="1" ht="15">
      <c r="A17" s="52" t="s">
        <v>501</v>
      </c>
      <c r="B17" s="53">
        <v>33.67</v>
      </c>
      <c r="C17" s="53">
        <v>109.25</v>
      </c>
      <c r="D17" s="53">
        <v>87.29</v>
      </c>
      <c r="E17" s="53">
        <v>5.48</v>
      </c>
      <c r="F17" s="53">
        <v>1.63</v>
      </c>
      <c r="G17" s="53">
        <v>143.82</v>
      </c>
      <c r="H17" s="53">
        <v>127.62</v>
      </c>
      <c r="I17" s="53">
        <v>0.92</v>
      </c>
      <c r="J17" s="53">
        <v>1.03</v>
      </c>
      <c r="K17" s="53">
        <v>114.82</v>
      </c>
      <c r="L17" s="53">
        <v>26.31</v>
      </c>
      <c r="M17" s="53">
        <v>54.65</v>
      </c>
      <c r="N17" s="53">
        <v>317.80</v>
      </c>
      <c r="O17" s="53">
        <v>0</v>
      </c>
      <c r="P17" s="53">
        <v>2.42</v>
      </c>
      <c r="Q17" s="53">
        <v>32.85</v>
      </c>
      <c r="R17" s="45"/>
      <c r="S17" s="45"/>
      <c r="T17" s="45"/>
      <c r="U17" s="45"/>
    </row>
    <row r="18" spans="1:21" s="11" customFormat="1" ht="15">
      <c r="A18" s="52" t="s">
        <v>502</v>
      </c>
      <c r="B18" s="53">
        <v>25.94</v>
      </c>
      <c r="C18" s="53">
        <v>107.09</v>
      </c>
      <c r="D18" s="53">
        <v>79.11</v>
      </c>
      <c r="E18" s="53">
        <v>6.06</v>
      </c>
      <c r="F18" s="53">
        <v>3.36</v>
      </c>
      <c r="G18" s="53">
        <v>143.82</v>
      </c>
      <c r="H18" s="53">
        <v>92.11</v>
      </c>
      <c r="I18" s="53">
        <v>0.89</v>
      </c>
      <c r="J18" s="53">
        <v>0.64</v>
      </c>
      <c r="K18" s="53">
        <v>129.88999999999999</v>
      </c>
      <c r="L18" s="53">
        <v>29.03</v>
      </c>
      <c r="M18" s="53">
        <v>44.57</v>
      </c>
      <c r="N18" s="53">
        <v>502.5</v>
      </c>
      <c r="O18" s="53">
        <v>0</v>
      </c>
      <c r="P18" s="53">
        <v>2.2200000000000002</v>
      </c>
      <c r="Q18" s="53">
        <v>34.06</v>
      </c>
      <c r="R18" s="45"/>
      <c r="S18" s="45"/>
      <c r="T18" s="45"/>
      <c r="U18" s="45"/>
    </row>
    <row r="19" spans="1:21" s="11" customFormat="1" ht="15">
      <c r="A19" s="52" t="s">
        <v>503</v>
      </c>
      <c r="B19" s="53">
        <v>16.62</v>
      </c>
      <c r="C19" s="53">
        <v>107.71</v>
      </c>
      <c r="D19" s="53">
        <v>72.27</v>
      </c>
      <c r="E19" s="53">
        <v>5.43</v>
      </c>
      <c r="F19" s="53">
        <v>2.23</v>
      </c>
      <c r="G19" s="53">
        <v>106.72</v>
      </c>
      <c r="H19" s="53">
        <v>70.63</v>
      </c>
      <c r="I19" s="53">
        <v>0.86</v>
      </c>
      <c r="J19" s="53">
        <v>0.53</v>
      </c>
      <c r="K19" s="53">
        <v>174.18</v>
      </c>
      <c r="L19" s="53">
        <v>31.28</v>
      </c>
      <c r="M19" s="53">
        <v>37.97</v>
      </c>
      <c r="N19" s="53">
        <v>528.29999999999995</v>
      </c>
      <c r="O19" s="53">
        <v>0</v>
      </c>
      <c r="P19" s="53">
        <v>1.96</v>
      </c>
      <c r="Q19" s="53">
        <v>33.979999999999997</v>
      </c>
      <c r="R19" s="45"/>
      <c r="S19" s="45"/>
      <c r="T19" s="45"/>
      <c r="U19" s="45"/>
    </row>
    <row r="20" spans="1:21" s="11" customFormat="1" ht="15">
      <c r="A20" s="52" t="s">
        <v>504</v>
      </c>
      <c r="B20" s="53">
        <v>4.83</v>
      </c>
      <c r="C20" s="53">
        <v>106.44</v>
      </c>
      <c r="D20" s="53">
        <v>62.62</v>
      </c>
      <c r="E20" s="53">
        <v>6.88</v>
      </c>
      <c r="F20" s="53">
        <v>8.1199999999999992</v>
      </c>
      <c r="G20" s="53">
        <v>76.48</v>
      </c>
      <c r="H20" s="53">
        <v>44.73</v>
      </c>
      <c r="I20" s="53">
        <v>0.77</v>
      </c>
      <c r="J20" s="53">
        <v>0.52</v>
      </c>
      <c r="K20" s="53">
        <v>248.83</v>
      </c>
      <c r="L20" s="53">
        <v>32.08</v>
      </c>
      <c r="M20" s="53">
        <v>34.869999999999997</v>
      </c>
      <c r="N20" s="53">
        <v>535.60</v>
      </c>
      <c r="O20" s="53">
        <v>0</v>
      </c>
      <c r="P20" s="53">
        <v>1.62</v>
      </c>
      <c r="Q20" s="53">
        <v>32.270000000000003</v>
      </c>
      <c r="R20" s="45"/>
      <c r="S20" s="45"/>
      <c r="T20" s="45"/>
      <c r="U20" s="45"/>
    </row>
    <row r="21" spans="1:21" s="11" customFormat="1" ht="15">
      <c r="A21" s="52" t="s">
        <v>505</v>
      </c>
      <c r="B21" s="53">
        <v>2.41</v>
      </c>
      <c r="C21" s="53">
        <v>96.38</v>
      </c>
      <c r="D21" s="53">
        <v>54.85</v>
      </c>
      <c r="E21" s="53">
        <v>6.53</v>
      </c>
      <c r="F21" s="53">
        <v>8.5299999999999994</v>
      </c>
      <c r="G21" s="53">
        <v>74.84</v>
      </c>
      <c r="H21" s="53">
        <v>44.73</v>
      </c>
      <c r="I21" s="53">
        <v>0.76</v>
      </c>
      <c r="J21" s="53">
        <v>1.18</v>
      </c>
      <c r="K21" s="53">
        <v>358.53</v>
      </c>
      <c r="L21" s="53">
        <v>36.82</v>
      </c>
      <c r="M21" s="53">
        <v>31.38</v>
      </c>
      <c r="N21" s="53">
        <v>511.20</v>
      </c>
      <c r="O21" s="53">
        <v>0</v>
      </c>
      <c r="P21" s="53">
        <v>1.38</v>
      </c>
      <c r="Q21" s="53">
        <v>30.53</v>
      </c>
      <c r="R21" s="45"/>
      <c r="S21" s="45"/>
      <c r="T21" s="45"/>
      <c r="U21" s="45"/>
    </row>
    <row r="22" spans="1:21" s="11" customFormat="1" ht="15">
      <c r="A22" s="52" t="s">
        <v>506</v>
      </c>
      <c r="B22" s="53">
        <v>2.48</v>
      </c>
      <c r="C22" s="53">
        <v>90.93</v>
      </c>
      <c r="D22" s="53">
        <v>51.59</v>
      </c>
      <c r="E22" s="53">
        <v>7.33</v>
      </c>
      <c r="F22" s="53">
        <v>10.61</v>
      </c>
      <c r="G22" s="53">
        <v>71.80</v>
      </c>
      <c r="H22" s="53">
        <v>39.56</v>
      </c>
      <c r="I22" s="53">
        <v>0.75</v>
      </c>
      <c r="J22" s="53">
        <v>1.0900000000000001</v>
      </c>
      <c r="K22" s="53">
        <v>352.26</v>
      </c>
      <c r="L22" s="53">
        <v>36.39</v>
      </c>
      <c r="M22" s="53">
        <v>22.66</v>
      </c>
      <c r="N22" s="53">
        <v>487.40</v>
      </c>
      <c r="O22" s="53">
        <v>0</v>
      </c>
      <c r="P22" s="53">
        <v>1.32</v>
      </c>
      <c r="Q22" s="53">
        <v>32</v>
      </c>
      <c r="R22" s="45"/>
      <c r="S22" s="45"/>
      <c r="T22" s="45"/>
      <c r="U22" s="45"/>
    </row>
    <row r="23" spans="1:21" s="11" customFormat="1" ht="15">
      <c r="A23" s="52" t="s">
        <v>507</v>
      </c>
      <c r="B23" s="53">
        <v>1.1399999999999999</v>
      </c>
      <c r="C23" s="53">
        <v>86.65</v>
      </c>
      <c r="D23" s="53">
        <v>48.56</v>
      </c>
      <c r="E23" s="53">
        <v>5.89</v>
      </c>
      <c r="F23" s="53">
        <v>7.95</v>
      </c>
      <c r="G23" s="53">
        <v>71.80</v>
      </c>
      <c r="H23" s="53">
        <v>39.56</v>
      </c>
      <c r="I23" s="53">
        <v>0.71</v>
      </c>
      <c r="J23" s="53">
        <v>0.78</v>
      </c>
      <c r="K23" s="53">
        <v>148.13999999999999</v>
      </c>
      <c r="L23" s="53">
        <v>35.340000000000003</v>
      </c>
      <c r="M23" s="53">
        <v>24.24</v>
      </c>
      <c r="N23" s="53">
        <v>408.5</v>
      </c>
      <c r="O23" s="53">
        <v>0</v>
      </c>
      <c r="P23" s="53">
        <v>1.1399999999999999</v>
      </c>
      <c r="Q23" s="53">
        <v>31.01</v>
      </c>
      <c r="R23" s="45"/>
      <c r="S23" s="45"/>
      <c r="T23" s="45"/>
      <c r="U23" s="45"/>
    </row>
    <row r="24" spans="1:21" s="11" customFormat="1" ht="15">
      <c r="A24" s="52" t="s">
        <v>508</v>
      </c>
      <c r="B24" s="53">
        <v>2.4500000000000002</v>
      </c>
      <c r="C24" s="53">
        <v>74.91</v>
      </c>
      <c r="D24" s="53">
        <v>43.19</v>
      </c>
      <c r="E24" s="53">
        <v>17.79</v>
      </c>
      <c r="F24" s="53">
        <v>43.78</v>
      </c>
      <c r="G24" s="53">
        <v>60.68</v>
      </c>
      <c r="H24" s="53">
        <v>33.270000000000003</v>
      </c>
      <c r="I24" s="53">
        <v>0.66</v>
      </c>
      <c r="J24" s="53">
        <v>0.52</v>
      </c>
      <c r="K24" s="53">
        <v>129.5</v>
      </c>
      <c r="L24" s="53">
        <v>33.69</v>
      </c>
      <c r="M24" s="53">
        <v>25.43</v>
      </c>
      <c r="N24" s="53">
        <v>283.89999999999998</v>
      </c>
      <c r="O24" s="53">
        <v>0</v>
      </c>
      <c r="P24" s="53">
        <v>0.97</v>
      </c>
      <c r="Q24" s="53">
        <v>29.81</v>
      </c>
      <c r="R24" s="45"/>
      <c r="S24" s="45"/>
      <c r="T24" s="45"/>
      <c r="U24" s="45"/>
    </row>
    <row r="25" spans="1:21" s="11" customFormat="1" ht="15">
      <c r="A25" s="52" t="s">
        <v>509</v>
      </c>
      <c r="B25" s="53">
        <v>2.77</v>
      </c>
      <c r="C25" s="53">
        <v>83.96</v>
      </c>
      <c r="D25" s="53">
        <v>48.09</v>
      </c>
      <c r="E25" s="53">
        <v>25.89</v>
      </c>
      <c r="F25" s="53">
        <v>40.159999999999997</v>
      </c>
      <c r="G25" s="53">
        <v>68.80</v>
      </c>
      <c r="H25" s="53">
        <v>33.01</v>
      </c>
      <c r="I25" s="53">
        <v>0.61</v>
      </c>
      <c r="J25" s="53">
        <v>0.85</v>
      </c>
      <c r="K25" s="53">
        <v>358.68</v>
      </c>
      <c r="L25" s="53">
        <v>32.299999999999997</v>
      </c>
      <c r="M25" s="53">
        <v>27.66</v>
      </c>
      <c r="N25" s="53">
        <v>122.20</v>
      </c>
      <c r="O25" s="53">
        <v>0</v>
      </c>
      <c r="P25" s="53">
        <v>1</v>
      </c>
      <c r="Q25" s="53">
        <v>30.89</v>
      </c>
      <c r="R25" s="45"/>
      <c r="S25" s="45"/>
      <c r="T25" s="45"/>
      <c r="U25" s="45"/>
    </row>
    <row r="26" spans="1:21" s="11" customFormat="1" ht="15">
      <c r="A26" s="52" t="s">
        <v>510</v>
      </c>
      <c r="B26" s="53">
        <v>2.98</v>
      </c>
      <c r="C26" s="53">
        <v>98.18</v>
      </c>
      <c r="D26" s="53">
        <v>56.58</v>
      </c>
      <c r="E26" s="53">
        <v>9.24</v>
      </c>
      <c r="F26" s="53">
        <v>10.71</v>
      </c>
      <c r="G26" s="53">
        <v>69.53</v>
      </c>
      <c r="H26" s="53">
        <v>34.909999999999997</v>
      </c>
      <c r="I26" s="53">
        <v>0.67</v>
      </c>
      <c r="J26" s="53">
        <v>1.29</v>
      </c>
      <c r="K26" s="53">
        <v>79.14</v>
      </c>
      <c r="L26" s="53">
        <v>31.07</v>
      </c>
      <c r="M26" s="53">
        <v>31.51</v>
      </c>
      <c r="N26" s="53">
        <v>41</v>
      </c>
      <c r="O26" s="53">
        <v>0</v>
      </c>
      <c r="P26" s="53">
        <v>1.35</v>
      </c>
      <c r="Q26" s="53">
        <v>31.97</v>
      </c>
      <c r="R26" s="45"/>
      <c r="S26" s="45"/>
      <c r="T26" s="45"/>
      <c r="U26" s="45"/>
    </row>
    <row r="27" spans="1:21" s="11" customFormat="1" ht="15">
      <c r="A27" s="52" t="s">
        <v>511</v>
      </c>
      <c r="B27" s="53">
        <v>17.350000000000001</v>
      </c>
      <c r="C27" s="53">
        <v>129.75</v>
      </c>
      <c r="D27" s="53">
        <v>85.52</v>
      </c>
      <c r="E27" s="53">
        <v>9.41</v>
      </c>
      <c r="F27" s="53">
        <v>5.79</v>
      </c>
      <c r="G27" s="53">
        <v>90.20</v>
      </c>
      <c r="H27" s="53">
        <v>42.09</v>
      </c>
      <c r="I27" s="53">
        <v>0.70</v>
      </c>
      <c r="J27" s="53">
        <v>0.13</v>
      </c>
      <c r="K27" s="53">
        <v>109.63</v>
      </c>
      <c r="L27" s="53">
        <v>27.98</v>
      </c>
      <c r="M27" s="53">
        <v>43.43</v>
      </c>
      <c r="N27" s="53">
        <v>5.30</v>
      </c>
      <c r="O27" s="53">
        <v>0</v>
      </c>
      <c r="P27" s="53">
        <v>1.77</v>
      </c>
      <c r="Q27" s="53">
        <v>31.11</v>
      </c>
      <c r="R27" s="45"/>
      <c r="S27" s="45"/>
      <c r="T27" s="45"/>
      <c r="U27" s="45"/>
    </row>
    <row r="28" spans="1:21" s="11" customFormat="1" ht="15">
      <c r="A28" s="52" t="s">
        <v>512</v>
      </c>
      <c r="B28" s="53">
        <v>33.58</v>
      </c>
      <c r="C28" s="53">
        <v>134.24</v>
      </c>
      <c r="D28" s="53">
        <v>101.01</v>
      </c>
      <c r="E28" s="53">
        <v>9.61</v>
      </c>
      <c r="F28" s="53">
        <v>5.77</v>
      </c>
      <c r="G28" s="53">
        <v>129.59</v>
      </c>
      <c r="H28" s="53">
        <v>45.83</v>
      </c>
      <c r="I28" s="53">
        <v>0.87</v>
      </c>
      <c r="J28" s="53">
        <v>0.26</v>
      </c>
      <c r="K28" s="53">
        <v>236.32</v>
      </c>
      <c r="L28" s="53">
        <v>25.65</v>
      </c>
      <c r="M28" s="53">
        <v>49.97</v>
      </c>
      <c r="N28" s="53">
        <v>4.4000000000000004</v>
      </c>
      <c r="O28" s="53">
        <v>0</v>
      </c>
      <c r="P28" s="53">
        <v>2.2400000000000002</v>
      </c>
      <c r="Q28" s="53">
        <v>30.82</v>
      </c>
      <c r="R28" s="45"/>
      <c r="S28" s="45"/>
      <c r="T28" s="45"/>
      <c r="U28" s="45"/>
    </row>
    <row r="29" spans="1:21" s="11" customFormat="1" ht="15">
      <c r="A29" s="52" t="s">
        <v>513</v>
      </c>
      <c r="B29" s="53">
        <v>40.409999999999997</v>
      </c>
      <c r="C29" s="53">
        <v>135.24</v>
      </c>
      <c r="D29" s="53">
        <v>107.04</v>
      </c>
      <c r="E29" s="53">
        <v>6.73</v>
      </c>
      <c r="F29" s="53">
        <v>1.63</v>
      </c>
      <c r="G29" s="53">
        <v>129.59</v>
      </c>
      <c r="H29" s="53">
        <v>60.03</v>
      </c>
      <c r="I29" s="53">
        <v>1.1200000000000001</v>
      </c>
      <c r="J29" s="53">
        <v>0.25</v>
      </c>
      <c r="K29" s="53">
        <v>353.67</v>
      </c>
      <c r="L29" s="53">
        <v>24.40</v>
      </c>
      <c r="M29" s="53">
        <v>57.18</v>
      </c>
      <c r="N29" s="53">
        <v>4.5999999999999996</v>
      </c>
      <c r="O29" s="53">
        <v>0</v>
      </c>
      <c r="P29" s="53">
        <v>2.61</v>
      </c>
      <c r="Q29" s="53">
        <v>35.72</v>
      </c>
      <c r="R29" s="45"/>
      <c r="S29" s="45"/>
      <c r="T29" s="45"/>
      <c r="U29" s="45"/>
    </row>
    <row r="30" spans="1:21" s="11" customFormat="1" ht="15">
      <c r="A30" s="52" t="s">
        <v>514</v>
      </c>
      <c r="B30" s="53">
        <v>52.98</v>
      </c>
      <c r="C30" s="53">
        <v>141.41</v>
      </c>
      <c r="D30" s="53">
        <v>120.53</v>
      </c>
      <c r="E30" s="53">
        <v>5.15</v>
      </c>
      <c r="F30" s="53">
        <v>1.46</v>
      </c>
      <c r="G30" s="53">
        <v>196.34</v>
      </c>
      <c r="H30" s="53">
        <v>72.69</v>
      </c>
      <c r="I30" s="53">
        <v>1.20</v>
      </c>
      <c r="J30" s="53">
        <v>0.30</v>
      </c>
      <c r="K30" s="53">
        <v>315.02</v>
      </c>
      <c r="L30" s="53">
        <v>23.76</v>
      </c>
      <c r="M30" s="53">
        <v>62.89</v>
      </c>
      <c r="N30" s="53">
        <v>4.4000000000000004</v>
      </c>
      <c r="O30" s="53">
        <v>0</v>
      </c>
      <c r="P30" s="53">
        <v>2.66</v>
      </c>
      <c r="Q30" s="53">
        <v>36.380000000000003</v>
      </c>
      <c r="R30" s="45"/>
      <c r="S30" s="45"/>
      <c r="T30" s="45"/>
      <c r="U30" s="45"/>
    </row>
    <row r="31" spans="1:21" s="11" customFormat="1" ht="15">
      <c r="A31" s="52" t="s">
        <v>515</v>
      </c>
      <c r="B31" s="53">
        <v>65.28</v>
      </c>
      <c r="C31" s="53">
        <v>147.02000000000001</v>
      </c>
      <c r="D31" s="53">
        <v>133.49</v>
      </c>
      <c r="E31" s="53">
        <v>5.58</v>
      </c>
      <c r="F31" s="53">
        <v>1.52</v>
      </c>
      <c r="G31" s="53">
        <v>196.34</v>
      </c>
      <c r="H31" s="53">
        <v>72.69</v>
      </c>
      <c r="I31" s="53">
        <v>1.23</v>
      </c>
      <c r="J31" s="53">
        <v>0.22</v>
      </c>
      <c r="K31" s="53">
        <v>351.24</v>
      </c>
      <c r="L31" s="53">
        <v>23.87</v>
      </c>
      <c r="M31" s="53">
        <v>64.39</v>
      </c>
      <c r="N31" s="53">
        <v>4.70</v>
      </c>
      <c r="O31" s="53">
        <v>0</v>
      </c>
      <c r="P31" s="53">
        <v>2.81</v>
      </c>
      <c r="Q31" s="53">
        <v>36.049999999999997</v>
      </c>
      <c r="R31" s="45"/>
      <c r="S31" s="45"/>
      <c r="T31" s="45"/>
      <c r="U31" s="45"/>
    </row>
    <row r="32" spans="1:21" s="11" customFormat="1" ht="15">
      <c r="A32" s="52" t="s">
        <v>516</v>
      </c>
      <c r="B32" s="53">
        <v>65.73</v>
      </c>
      <c r="C32" s="53">
        <v>144.96</v>
      </c>
      <c r="D32" s="53">
        <v>132.32</v>
      </c>
      <c r="E32" s="53">
        <v>5.14</v>
      </c>
      <c r="F32" s="53">
        <v>1.46</v>
      </c>
      <c r="G32" s="53">
        <v>159.06</v>
      </c>
      <c r="H32" s="53">
        <v>71.06</v>
      </c>
      <c r="I32" s="53">
        <v>1.29</v>
      </c>
      <c r="J32" s="53">
        <v>0.21</v>
      </c>
      <c r="K32" s="53">
        <v>341.43</v>
      </c>
      <c r="L32" s="53">
        <v>22.63</v>
      </c>
      <c r="M32" s="53">
        <v>64.430000000000007</v>
      </c>
      <c r="N32" s="53">
        <v>4.5</v>
      </c>
      <c r="O32" s="53">
        <v>0</v>
      </c>
      <c r="P32" s="53">
        <v>2.81</v>
      </c>
      <c r="Q32" s="53">
        <v>36.590000000000003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1.1399999999999999</v>
      </c>
      <c r="C34" s="28">
        <f t="shared" si="0"/>
        <v>74.909999999999997</v>
      </c>
      <c r="D34" s="28">
        <f t="shared" si="0"/>
        <v>43.189999999999998</v>
      </c>
      <c r="E34" s="28">
        <f t="shared" si="0"/>
        <v>4.8700000000000001</v>
      </c>
      <c r="F34" s="28">
        <f t="shared" si="0"/>
        <v>1.46</v>
      </c>
      <c r="G34" s="28">
        <f t="shared" si="0"/>
        <v>60.68</v>
      </c>
      <c r="H34" s="28">
        <f t="shared" si="0"/>
        <v>33.009999999999998</v>
      </c>
      <c r="I34" s="28">
        <f t="shared" si="0"/>
        <v>0.60999999999999999</v>
      </c>
      <c r="J34" s="28">
        <f t="shared" si="0"/>
        <v>0.10000000000000001</v>
      </c>
      <c r="K34" s="28">
        <f t="shared" si="0"/>
        <v>79.140000000000001</v>
      </c>
      <c r="L34" s="28">
        <f t="shared" si="0"/>
        <v>19.75</v>
      </c>
      <c r="M34" s="28">
        <f t="shared" si="0"/>
        <v>22.66</v>
      </c>
      <c r="N34" s="28">
        <f t="shared" si="0"/>
        <v>4.4000000000000004</v>
      </c>
      <c r="O34" s="28">
        <f t="shared" si="0"/>
        <v>0</v>
      </c>
      <c r="P34" s="28">
        <f t="shared" si="0"/>
        <v>0.96999999999999997</v>
      </c>
      <c r="Q34" s="28">
        <f t="shared" si="0"/>
        <v>29.809999999999999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65.730000000000004</v>
      </c>
      <c r="C35" s="29">
        <f t="shared" si="1"/>
        <v>147.02000000000001</v>
      </c>
      <c r="D35" s="29">
        <f t="shared" si="1"/>
        <v>133.49000000000001</v>
      </c>
      <c r="E35" s="29">
        <f t="shared" si="1"/>
        <v>25.890000000000001</v>
      </c>
      <c r="F35" s="29">
        <f t="shared" si="1"/>
        <v>43.780000000000001</v>
      </c>
      <c r="G35" s="29">
        <f t="shared" si="1"/>
        <v>249.44999999999999</v>
      </c>
      <c r="H35" s="29">
        <f t="shared" si="1"/>
        <v>131.33000000000001</v>
      </c>
      <c r="I35" s="29">
        <f t="shared" si="1"/>
        <v>1.3600000000000001</v>
      </c>
      <c r="J35" s="29">
        <f t="shared" si="1"/>
        <v>1.29</v>
      </c>
      <c r="K35" s="29">
        <f t="shared" si="1"/>
        <v>358.68000000000001</v>
      </c>
      <c r="L35" s="29">
        <f t="shared" si="1"/>
        <v>36.82</v>
      </c>
      <c r="M35" s="29">
        <f t="shared" si="1"/>
        <v>73.569999999999993</v>
      </c>
      <c r="N35" s="29">
        <f t="shared" si="1"/>
        <v>535.60000000000002</v>
      </c>
      <c r="O35" s="29">
        <f t="shared" si="1"/>
        <v>0</v>
      </c>
      <c r="P35" s="29">
        <f t="shared" si="1"/>
        <v>3.6499999999999999</v>
      </c>
      <c r="Q35" s="29">
        <f t="shared" si="1"/>
        <v>36.979999999999997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28.473333333333333</v>
      </c>
      <c r="C36" s="28">
        <f t="shared" si="2"/>
        <v>113.46749999999999</v>
      </c>
      <c r="D36" s="28">
        <f t="shared" si="2"/>
        <v>85.286249999999981</v>
      </c>
      <c r="E36" s="28">
        <f t="shared" si="2"/>
        <v>7.6354166666666652</v>
      </c>
      <c r="F36" s="28">
        <f t="shared" si="2"/>
        <v>7.015833333333334</v>
      </c>
      <c r="G36" s="28">
        <f t="shared" si="2"/>
        <v>142.83130434782612</v>
      </c>
      <c r="H36" s="28">
        <f t="shared" si="2"/>
        <v>76.919166666666669</v>
      </c>
      <c r="I36" s="28">
        <f t="shared" si="2"/>
        <v>0.98708333333333342</v>
      </c>
      <c r="J36" s="28">
        <f t="shared" si="2"/>
        <v>0.49166666666666675</v>
      </c>
      <c r="K36" s="28">
        <f t="shared" si="2"/>
        <v>244.06791666666663</v>
      </c>
      <c r="L36" s="28">
        <f t="shared" si="2"/>
        <v>26.71416666666666</v>
      </c>
      <c r="M36" s="28">
        <f t="shared" si="2"/>
        <v>50.964583333333344</v>
      </c>
      <c r="N36" s="28">
        <f t="shared" si="2"/>
        <v>165.40000000000001</v>
      </c>
      <c r="O36" s="28">
        <f t="shared" si="2"/>
        <v>0</v>
      </c>
      <c r="P36" s="28">
        <f t="shared" si="2"/>
        <v>2.2708333333333339</v>
      </c>
      <c r="Q36" s="28">
        <f t="shared" si="2"/>
        <v>33.662916666666668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20.310302732885322</v>
      </c>
      <c r="C37" s="28">
        <f t="shared" si="3" ref="C37:Q37">STDEV(C9:C32)</f>
        <v>19.732167788972806</v>
      </c>
      <c r="D37" s="28">
        <f t="shared" si="3"/>
        <v>26.225603787553556</v>
      </c>
      <c r="E37" s="28">
        <f t="shared" si="3"/>
        <v>4.7249274014819918</v>
      </c>
      <c r="F37" s="28">
        <f t="shared" si="3"/>
        <v>11.22101402713237</v>
      </c>
      <c r="G37" s="28">
        <f t="shared" si="3"/>
        <v>62.956876821602442</v>
      </c>
      <c r="H37" s="28">
        <f t="shared" si="3"/>
        <v>35.210874421636149</v>
      </c>
      <c r="I37" s="28">
        <f t="shared" si="3"/>
        <v>0.25276693452349663</v>
      </c>
      <c r="J37" s="28">
        <f t="shared" si="3"/>
        <v>0.37123374409342563</v>
      </c>
      <c r="K37" s="28">
        <f t="shared" si="3"/>
        <v>104.76532151014092</v>
      </c>
      <c r="L37" s="28">
        <f t="shared" si="3"/>
        <v>5.6353310281741065</v>
      </c>
      <c r="M37" s="28">
        <f t="shared" si="3"/>
        <v>17.507851152918555</v>
      </c>
      <c r="N37" s="28">
        <f t="shared" si="3"/>
        <v>213.62794760985747</v>
      </c>
      <c r="O37" s="28">
        <f t="shared" si="3"/>
        <v>0</v>
      </c>
      <c r="P37" s="28">
        <f t="shared" si="3"/>
        <v>0.79548681658611697</v>
      </c>
      <c r="Q37" s="28">
        <f t="shared" si="3"/>
        <v>2.2674952263343959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07e478-e81a-4f07-bffd-4d17339ae504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66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517</v>
      </c>
      <c r="B9" s="53">
        <v>60.87</v>
      </c>
      <c r="C9" s="53">
        <v>136.41999999999999</v>
      </c>
      <c r="D9" s="53">
        <v>123.82</v>
      </c>
      <c r="E9" s="53">
        <v>4.67</v>
      </c>
      <c r="F9" s="53">
        <v>1.40</v>
      </c>
      <c r="G9" s="53">
        <v>159.06</v>
      </c>
      <c r="H9" s="53">
        <v>64.459999999999994</v>
      </c>
      <c r="I9" s="53">
        <v>1.32</v>
      </c>
      <c r="J9" s="53">
        <v>0.26</v>
      </c>
      <c r="K9" s="53">
        <v>277.76</v>
      </c>
      <c r="L9" s="53">
        <v>22.91</v>
      </c>
      <c r="M9" s="53">
        <v>62.63</v>
      </c>
      <c r="N9" s="53">
        <v>4.70</v>
      </c>
      <c r="O9" s="53">
        <v>0</v>
      </c>
      <c r="P9" s="53">
        <v>2.73</v>
      </c>
      <c r="Q9" s="53">
        <v>37.869999999999997</v>
      </c>
      <c r="R9" s="45"/>
      <c r="S9" s="45"/>
      <c r="T9" s="45"/>
      <c r="U9" s="45"/>
    </row>
    <row r="10" spans="1:21" s="11" customFormat="1" ht="15">
      <c r="A10" s="52" t="s">
        <v>518</v>
      </c>
      <c r="B10" s="53">
        <v>51.36</v>
      </c>
      <c r="C10" s="53">
        <v>128.88999999999999</v>
      </c>
      <c r="D10" s="53">
        <v>112.31</v>
      </c>
      <c r="E10" s="53">
        <v>4.5199999999999996</v>
      </c>
      <c r="F10" s="53">
        <v>2.35</v>
      </c>
      <c r="G10" s="53">
        <v>136.19999999999999</v>
      </c>
      <c r="H10" s="53">
        <v>63.70</v>
      </c>
      <c r="I10" s="53">
        <v>1.1599999999999999</v>
      </c>
      <c r="J10" s="53">
        <v>0.10</v>
      </c>
      <c r="K10" s="53">
        <v>304.43</v>
      </c>
      <c r="L10" s="53">
        <v>21.61</v>
      </c>
      <c r="M10" s="53">
        <v>61.99</v>
      </c>
      <c r="N10" s="53">
        <v>4.5</v>
      </c>
      <c r="O10" s="53">
        <v>0</v>
      </c>
      <c r="P10" s="53">
        <v>2.2799999999999998</v>
      </c>
      <c r="Q10" s="53">
        <v>36.65</v>
      </c>
      <c r="R10" s="45"/>
      <c r="S10" s="45"/>
      <c r="T10" s="45"/>
      <c r="U10" s="45"/>
    </row>
    <row r="11" spans="1:21" s="11" customFormat="1" ht="15">
      <c r="A11" s="52" t="s">
        <v>519</v>
      </c>
      <c r="B11" s="53">
        <v>35.159999999999997</v>
      </c>
      <c r="C11" s="53">
        <v>112.87</v>
      </c>
      <c r="D11" s="53">
        <v>90.49</v>
      </c>
      <c r="E11" s="53">
        <v>4.03</v>
      </c>
      <c r="F11" s="53">
        <v>1.91</v>
      </c>
      <c r="G11" s="53">
        <v>96.84</v>
      </c>
      <c r="H11" s="53">
        <v>52.89</v>
      </c>
      <c r="I11" s="53">
        <v>1.02</v>
      </c>
      <c r="J11" s="53">
        <v>0.11</v>
      </c>
      <c r="K11" s="53">
        <v>328.24</v>
      </c>
      <c r="L11" s="53">
        <v>20.81</v>
      </c>
      <c r="M11" s="53">
        <v>55.06</v>
      </c>
      <c r="N11" s="53">
        <v>4.5</v>
      </c>
      <c r="O11" s="53">
        <v>0</v>
      </c>
      <c r="P11" s="53">
        <v>2.04</v>
      </c>
      <c r="Q11" s="53">
        <v>33.909999999999997</v>
      </c>
      <c r="R11" s="45"/>
      <c r="S11" s="45"/>
      <c r="T11" s="45"/>
      <c r="U11" s="45"/>
    </row>
    <row r="12" spans="1:21" s="11" customFormat="1" ht="15">
      <c r="A12" s="52" t="s">
        <v>520</v>
      </c>
      <c r="B12" s="53">
        <v>31.13</v>
      </c>
      <c r="C12" s="53">
        <v>107.62</v>
      </c>
      <c r="D12" s="53">
        <v>84.35</v>
      </c>
      <c r="E12" s="53">
        <v>3.95</v>
      </c>
      <c r="F12" s="53">
        <v>1.52</v>
      </c>
      <c r="G12" s="53">
        <v>82.20</v>
      </c>
      <c r="H12" s="53">
        <v>46.05</v>
      </c>
      <c r="I12" s="53">
        <v>0.95</v>
      </c>
      <c r="J12" s="53">
        <v>0.55000000000000004</v>
      </c>
      <c r="K12" s="53">
        <v>358.76</v>
      </c>
      <c r="L12" s="53">
        <v>20.34</v>
      </c>
      <c r="M12" s="53">
        <v>56.18</v>
      </c>
      <c r="N12" s="53">
        <v>4.5</v>
      </c>
      <c r="O12" s="53">
        <v>0</v>
      </c>
      <c r="P12" s="53">
        <v>1.83</v>
      </c>
      <c r="Q12" s="53">
        <v>34.15</v>
      </c>
      <c r="R12" s="45"/>
      <c r="S12" s="45"/>
      <c r="T12" s="45"/>
      <c r="U12" s="45"/>
    </row>
    <row r="13" spans="1:21" s="11" customFormat="1" ht="15">
      <c r="A13" s="52" t="s">
        <v>521</v>
      </c>
      <c r="B13" s="53">
        <v>25.05</v>
      </c>
      <c r="C13" s="53">
        <v>103.94</v>
      </c>
      <c r="D13" s="53">
        <v>77.45</v>
      </c>
      <c r="E13" s="53">
        <v>5.40</v>
      </c>
      <c r="F13" s="53">
        <v>1.51</v>
      </c>
      <c r="G13" s="53">
        <v>61.28</v>
      </c>
      <c r="H13" s="53">
        <v>42.15</v>
      </c>
      <c r="I13" s="53">
        <v>0.91</v>
      </c>
      <c r="J13" s="53">
        <v>0.80</v>
      </c>
      <c r="K13" s="53">
        <v>358.56</v>
      </c>
      <c r="L13" s="53">
        <v>19.87</v>
      </c>
      <c r="M13" s="53">
        <v>62.45</v>
      </c>
      <c r="N13" s="53">
        <v>4.4000000000000004</v>
      </c>
      <c r="O13" s="53">
        <v>0</v>
      </c>
      <c r="P13" s="53">
        <v>1.60</v>
      </c>
      <c r="Q13" s="53">
        <v>33.840000000000003</v>
      </c>
      <c r="R13" s="45"/>
      <c r="S13" s="45"/>
      <c r="T13" s="45"/>
      <c r="U13" s="45"/>
    </row>
    <row r="14" spans="1:21" s="11" customFormat="1" ht="15">
      <c r="A14" s="52" t="s">
        <v>522</v>
      </c>
      <c r="B14" s="53">
        <v>18.739999999999998</v>
      </c>
      <c r="C14" s="53">
        <v>100.52</v>
      </c>
      <c r="D14" s="53">
        <v>70.5</v>
      </c>
      <c r="E14" s="53">
        <v>5.24</v>
      </c>
      <c r="F14" s="53">
        <v>1.43</v>
      </c>
      <c r="G14" s="53">
        <v>90.23</v>
      </c>
      <c r="H14" s="53">
        <v>46.17</v>
      </c>
      <c r="I14" s="53">
        <v>0.80</v>
      </c>
      <c r="J14" s="53">
        <v>0.53</v>
      </c>
      <c r="K14" s="53">
        <v>174.06</v>
      </c>
      <c r="L14" s="53">
        <v>19.059999999999999</v>
      </c>
      <c r="M14" s="53">
        <v>66.930000000000007</v>
      </c>
      <c r="N14" s="53">
        <v>4.70</v>
      </c>
      <c r="O14" s="53">
        <v>0</v>
      </c>
      <c r="P14" s="53">
        <v>1.52</v>
      </c>
      <c r="Q14" s="53">
        <v>32</v>
      </c>
      <c r="R14" s="45"/>
      <c r="S14" s="45"/>
      <c r="T14" s="45"/>
      <c r="U14" s="45"/>
    </row>
    <row r="15" spans="1:21" s="11" customFormat="1" ht="15">
      <c r="A15" s="52" t="s">
        <v>523</v>
      </c>
      <c r="B15" s="53">
        <v>26.16</v>
      </c>
      <c r="C15" s="53">
        <v>103.79</v>
      </c>
      <c r="D15" s="53">
        <v>78.260000000000005</v>
      </c>
      <c r="E15" s="53">
        <v>5.32</v>
      </c>
      <c r="F15" s="53">
        <v>1.41</v>
      </c>
      <c r="G15" s="53">
        <v>163.11000000000001</v>
      </c>
      <c r="H15" s="53">
        <v>59.09</v>
      </c>
      <c r="I15" s="53">
        <v>0.75</v>
      </c>
      <c r="J15" s="53">
        <v>0.16</v>
      </c>
      <c r="K15" s="53">
        <v>332.38</v>
      </c>
      <c r="L15" s="53">
        <v>18.440000000000001</v>
      </c>
      <c r="M15" s="53">
        <v>73.17</v>
      </c>
      <c r="N15" s="53">
        <v>27.10</v>
      </c>
      <c r="O15" s="53">
        <v>0</v>
      </c>
      <c r="P15" s="53">
        <v>1.65</v>
      </c>
      <c r="Q15" s="53">
        <v>30.81</v>
      </c>
      <c r="R15" s="45"/>
      <c r="S15" s="45"/>
      <c r="T15" s="45"/>
      <c r="U15" s="45"/>
    </row>
    <row r="16" spans="1:21" s="11" customFormat="1" ht="15">
      <c r="A16" s="52" t="s">
        <v>524</v>
      </c>
      <c r="B16" s="53">
        <v>44.45</v>
      </c>
      <c r="C16" s="53">
        <v>115.65</v>
      </c>
      <c r="D16" s="53">
        <v>99.47</v>
      </c>
      <c r="E16" s="53">
        <v>5.86</v>
      </c>
      <c r="F16" s="53">
        <v>1.40</v>
      </c>
      <c r="G16" s="53">
        <v>203.77</v>
      </c>
      <c r="H16" s="53">
        <v>76.239999999999995</v>
      </c>
      <c r="I16" s="53">
        <v>0.77</v>
      </c>
      <c r="J16" s="53">
        <v>0.23</v>
      </c>
      <c r="K16" s="53">
        <v>303.91000000000003</v>
      </c>
      <c r="L16" s="53">
        <v>24.81</v>
      </c>
      <c r="M16" s="53">
        <v>68.739999999999995</v>
      </c>
      <c r="N16" s="53">
        <v>181.10</v>
      </c>
      <c r="O16" s="53">
        <v>0</v>
      </c>
      <c r="P16" s="53">
        <v>1.95</v>
      </c>
      <c r="Q16" s="53">
        <v>32.94</v>
      </c>
      <c r="R16" s="45"/>
      <c r="S16" s="45"/>
      <c r="T16" s="45"/>
      <c r="U16" s="45"/>
    </row>
    <row r="17" spans="1:21" s="11" customFormat="1" ht="15">
      <c r="A17" s="52" t="s">
        <v>525</v>
      </c>
      <c r="B17" s="53">
        <v>47.59</v>
      </c>
      <c r="C17" s="53">
        <v>123.11</v>
      </c>
      <c r="D17" s="53">
        <v>105.03</v>
      </c>
      <c r="E17" s="53">
        <v>9.85</v>
      </c>
      <c r="F17" s="53">
        <v>2.96</v>
      </c>
      <c r="G17" s="53">
        <v>206.41</v>
      </c>
      <c r="H17" s="53">
        <v>84.52</v>
      </c>
      <c r="I17" s="53">
        <v>0.80</v>
      </c>
      <c r="J17" s="53">
        <v>0.73</v>
      </c>
      <c r="K17" s="53">
        <v>25.31</v>
      </c>
      <c r="L17" s="53">
        <v>30.22</v>
      </c>
      <c r="M17" s="53">
        <v>48.13</v>
      </c>
      <c r="N17" s="53">
        <v>374</v>
      </c>
      <c r="O17" s="53">
        <v>0</v>
      </c>
      <c r="P17" s="53">
        <v>2.0099999999999998</v>
      </c>
      <c r="Q17" s="53">
        <v>33.31</v>
      </c>
      <c r="R17" s="45"/>
      <c r="S17" s="45"/>
      <c r="T17" s="45"/>
      <c r="U17" s="45"/>
    </row>
    <row r="18" spans="1:21" s="11" customFormat="1" ht="15">
      <c r="A18" s="52" t="s">
        <v>526</v>
      </c>
      <c r="B18" s="53">
        <v>34.03</v>
      </c>
      <c r="C18" s="53">
        <v>121.27</v>
      </c>
      <c r="D18" s="53">
        <v>94.21</v>
      </c>
      <c r="E18" s="53">
        <v>9.99</v>
      </c>
      <c r="F18" s="53">
        <v>6.59</v>
      </c>
      <c r="G18" s="53">
        <v>206.41</v>
      </c>
      <c r="H18" s="53">
        <v>84.52</v>
      </c>
      <c r="I18" s="53">
        <v>0.77</v>
      </c>
      <c r="J18" s="53">
        <v>0.99</v>
      </c>
      <c r="K18" s="53">
        <v>50.41</v>
      </c>
      <c r="L18" s="53">
        <v>32.94</v>
      </c>
      <c r="M18" s="53">
        <v>32.11</v>
      </c>
      <c r="N18" s="53">
        <v>552.60</v>
      </c>
      <c r="O18" s="53">
        <v>0</v>
      </c>
      <c r="P18" s="53">
        <v>1.90</v>
      </c>
      <c r="Q18" s="53">
        <v>31.68</v>
      </c>
      <c r="R18" s="45"/>
      <c r="S18" s="45"/>
      <c r="T18" s="45"/>
      <c r="U18" s="45"/>
    </row>
    <row r="19" spans="1:21" s="11" customFormat="1" ht="15">
      <c r="A19" s="52" t="s">
        <v>527</v>
      </c>
      <c r="B19" s="53">
        <v>23.79</v>
      </c>
      <c r="C19" s="53">
        <v>120.12</v>
      </c>
      <c r="D19" s="53">
        <v>84.67</v>
      </c>
      <c r="E19" s="53">
        <v>8.35</v>
      </c>
      <c r="F19" s="53">
        <v>6.74</v>
      </c>
      <c r="G19" s="53">
        <v>150.61000000000001</v>
      </c>
      <c r="H19" s="53">
        <v>73.73</v>
      </c>
      <c r="I19" s="53">
        <v>0.73</v>
      </c>
      <c r="J19" s="53">
        <v>1.57</v>
      </c>
      <c r="K19" s="53">
        <v>118.51</v>
      </c>
      <c r="L19" s="53">
        <v>33.10</v>
      </c>
      <c r="M19" s="53">
        <v>31.16</v>
      </c>
      <c r="N19" s="53">
        <v>581</v>
      </c>
      <c r="O19" s="53">
        <v>0</v>
      </c>
      <c r="P19" s="53">
        <v>1.73</v>
      </c>
      <c r="Q19" s="53">
        <v>30.99</v>
      </c>
      <c r="R19" s="45"/>
      <c r="S19" s="45"/>
      <c r="T19" s="45"/>
      <c r="U19" s="45"/>
    </row>
    <row r="20" spans="1:21" s="11" customFormat="1" ht="15">
      <c r="A20" s="52" t="s">
        <v>528</v>
      </c>
      <c r="B20" s="53">
        <v>13.15</v>
      </c>
      <c r="C20" s="53">
        <v>117.52</v>
      </c>
      <c r="D20" s="53">
        <v>75.400000000000006</v>
      </c>
      <c r="E20" s="53">
        <v>5.28</v>
      </c>
      <c r="F20" s="53">
        <v>5.72</v>
      </c>
      <c r="G20" s="53">
        <v>87.78</v>
      </c>
      <c r="H20" s="53">
        <v>55.68</v>
      </c>
      <c r="I20" s="53">
        <v>0.73</v>
      </c>
      <c r="J20" s="53">
        <v>1.38</v>
      </c>
      <c r="K20" s="53">
        <v>125.34</v>
      </c>
      <c r="L20" s="53">
        <v>32.5</v>
      </c>
      <c r="M20" s="53">
        <v>29.44</v>
      </c>
      <c r="N20" s="53">
        <v>579.79999999999995</v>
      </c>
      <c r="O20" s="53">
        <v>0</v>
      </c>
      <c r="P20" s="53">
        <v>1.53</v>
      </c>
      <c r="Q20" s="53">
        <v>30.90</v>
      </c>
      <c r="R20" s="45"/>
      <c r="S20" s="45"/>
      <c r="T20" s="45"/>
      <c r="U20" s="45"/>
    </row>
    <row r="21" spans="1:21" s="11" customFormat="1" ht="15">
      <c r="A21" s="52" t="s">
        <v>529</v>
      </c>
      <c r="B21" s="53">
        <v>2.99</v>
      </c>
      <c r="C21" s="53">
        <v>106.09</v>
      </c>
      <c r="D21" s="53">
        <v>60.95</v>
      </c>
      <c r="E21" s="53">
        <v>13.45</v>
      </c>
      <c r="F21" s="53">
        <v>20.21</v>
      </c>
      <c r="G21" s="53">
        <v>58.44</v>
      </c>
      <c r="H21" s="53">
        <v>44.08</v>
      </c>
      <c r="I21" s="53">
        <v>0.68</v>
      </c>
      <c r="J21" s="53">
        <v>1.65</v>
      </c>
      <c r="K21" s="53">
        <v>156.11000000000001</v>
      </c>
      <c r="L21" s="53">
        <v>36.770000000000003</v>
      </c>
      <c r="M21" s="53">
        <v>24.32</v>
      </c>
      <c r="N21" s="53">
        <v>526.79999999999995</v>
      </c>
      <c r="O21" s="53">
        <v>0</v>
      </c>
      <c r="P21" s="53">
        <v>1.25</v>
      </c>
      <c r="Q21" s="53">
        <v>29.56</v>
      </c>
      <c r="R21" s="45"/>
      <c r="S21" s="45"/>
      <c r="T21" s="45"/>
      <c r="U21" s="45"/>
    </row>
    <row r="22" spans="1:21" s="11" customFormat="1" ht="15">
      <c r="A22" s="52" t="s">
        <v>530</v>
      </c>
      <c r="B22" s="53">
        <v>2.11</v>
      </c>
      <c r="C22" s="53">
        <v>97.14</v>
      </c>
      <c r="D22" s="53">
        <v>55.21</v>
      </c>
      <c r="E22" s="53">
        <v>9.26</v>
      </c>
      <c r="F22" s="53">
        <v>32.85</v>
      </c>
      <c r="G22" s="53">
        <v>63.5</v>
      </c>
      <c r="H22" s="53">
        <v>33.85</v>
      </c>
      <c r="I22" s="53">
        <v>0.65</v>
      </c>
      <c r="J22" s="53">
        <v>1.39</v>
      </c>
      <c r="K22" s="53">
        <v>356.16</v>
      </c>
      <c r="L22" s="53">
        <v>37.68</v>
      </c>
      <c r="M22" s="53">
        <v>15.55</v>
      </c>
      <c r="N22" s="53">
        <v>489</v>
      </c>
      <c r="O22" s="53">
        <v>0</v>
      </c>
      <c r="P22" s="53">
        <v>1.06</v>
      </c>
      <c r="Q22" s="53">
        <v>27.89</v>
      </c>
      <c r="R22" s="45"/>
      <c r="S22" s="45"/>
      <c r="T22" s="45"/>
      <c r="U22" s="45"/>
    </row>
    <row r="23" spans="1:21" s="11" customFormat="1" ht="15">
      <c r="A23" s="52" t="s">
        <v>531</v>
      </c>
      <c r="B23" s="53">
        <v>3.26</v>
      </c>
      <c r="C23" s="53">
        <v>80.489999999999995</v>
      </c>
      <c r="D23" s="53">
        <v>45.77</v>
      </c>
      <c r="E23" s="53">
        <v>11.32</v>
      </c>
      <c r="F23" s="53">
        <v>43.78</v>
      </c>
      <c r="G23" s="53">
        <v>63.5</v>
      </c>
      <c r="H23" s="53">
        <v>33.85</v>
      </c>
      <c r="I23" s="53">
        <v>0.54</v>
      </c>
      <c r="J23" s="53">
        <v>0.76</v>
      </c>
      <c r="K23" s="53">
        <v>356.51</v>
      </c>
      <c r="L23" s="53">
        <v>37.18</v>
      </c>
      <c r="M23" s="53">
        <v>15.46</v>
      </c>
      <c r="N23" s="53">
        <v>436.60</v>
      </c>
      <c r="O23" s="53">
        <v>0</v>
      </c>
      <c r="P23" s="53">
        <v>0.65</v>
      </c>
      <c r="Q23" s="53">
        <v>19.70</v>
      </c>
      <c r="R23" s="45"/>
      <c r="S23" s="45"/>
      <c r="T23" s="45"/>
      <c r="U23" s="45"/>
    </row>
    <row r="24" spans="1:21" s="11" customFormat="1" ht="15">
      <c r="A24" s="52" t="s">
        <v>532</v>
      </c>
      <c r="B24" s="53">
        <v>3.16</v>
      </c>
      <c r="C24" s="53">
        <v>78.20</v>
      </c>
      <c r="D24" s="53">
        <v>45.69</v>
      </c>
      <c r="E24" s="53">
        <v>3.84</v>
      </c>
      <c r="F24" s="53">
        <v>14.02</v>
      </c>
      <c r="G24" s="53">
        <v>45.86</v>
      </c>
      <c r="H24" s="53">
        <v>31.13</v>
      </c>
      <c r="I24" s="53">
        <v>0.48</v>
      </c>
      <c r="J24" s="53">
        <v>0.67</v>
      </c>
      <c r="K24" s="53">
        <v>358.88</v>
      </c>
      <c r="L24" s="53">
        <v>37.299999999999997</v>
      </c>
      <c r="M24" s="53">
        <v>12.80</v>
      </c>
      <c r="N24" s="53">
        <v>373.10</v>
      </c>
      <c r="O24" s="53">
        <v>0</v>
      </c>
      <c r="P24" s="53">
        <v>0.56999999999999995</v>
      </c>
      <c r="Q24" s="53">
        <v>17.95</v>
      </c>
      <c r="R24" s="45"/>
      <c r="S24" s="45"/>
      <c r="T24" s="45"/>
      <c r="U24" s="45"/>
    </row>
    <row r="25" spans="1:21" s="11" customFormat="1" ht="15">
      <c r="A25" s="52" t="s">
        <v>533</v>
      </c>
      <c r="B25" s="53">
        <v>9.01</v>
      </c>
      <c r="C25" s="53">
        <v>82.17</v>
      </c>
      <c r="D25" s="53">
        <v>50.81</v>
      </c>
      <c r="E25" s="53">
        <v>4.7699999999999996</v>
      </c>
      <c r="F25" s="53">
        <v>17.260000000000002</v>
      </c>
      <c r="G25" s="53">
        <v>40.270000000000003</v>
      </c>
      <c r="H25" s="53">
        <v>22.41</v>
      </c>
      <c r="I25" s="53">
        <v>0.51</v>
      </c>
      <c r="J25" s="53">
        <v>1.05</v>
      </c>
      <c r="K25" s="53">
        <v>358.29</v>
      </c>
      <c r="L25" s="53">
        <v>34.950000000000003</v>
      </c>
      <c r="M25" s="53">
        <v>9.3800000000000008</v>
      </c>
      <c r="N25" s="53">
        <v>130.69999999999999</v>
      </c>
      <c r="O25" s="53">
        <v>0</v>
      </c>
      <c r="P25" s="53">
        <v>0.62</v>
      </c>
      <c r="Q25" s="53">
        <v>27.94</v>
      </c>
      <c r="R25" s="45"/>
      <c r="S25" s="45"/>
      <c r="T25" s="45"/>
      <c r="U25" s="45"/>
    </row>
    <row r="26" spans="1:21" s="11" customFormat="1" ht="15">
      <c r="A26" s="52" t="s">
        <v>534</v>
      </c>
      <c r="B26" s="53">
        <v>39.159999999999997</v>
      </c>
      <c r="C26" s="53">
        <v>104.24</v>
      </c>
      <c r="D26" s="53">
        <v>88.93</v>
      </c>
      <c r="E26" s="53">
        <v>4.99</v>
      </c>
      <c r="F26" s="53">
        <v>25.59</v>
      </c>
      <c r="G26" s="53">
        <v>35.090000000000003</v>
      </c>
      <c r="H26" s="53">
        <v>17.559999999999999</v>
      </c>
      <c r="I26" s="53">
        <v>0.56999999999999995</v>
      </c>
      <c r="J26" s="53">
        <v>0.10</v>
      </c>
      <c r="K26" s="53">
        <v>294.51</v>
      </c>
      <c r="L26" s="53">
        <v>31.97</v>
      </c>
      <c r="M26" s="53">
        <v>17.21</v>
      </c>
      <c r="N26" s="53">
        <v>35.799999999999997</v>
      </c>
      <c r="O26" s="53">
        <v>0</v>
      </c>
      <c r="P26" s="53">
        <v>1.07</v>
      </c>
      <c r="Q26" s="53">
        <v>28</v>
      </c>
      <c r="R26" s="45"/>
      <c r="S26" s="45"/>
      <c r="T26" s="45"/>
      <c r="U26" s="45"/>
    </row>
    <row r="27" spans="1:21" s="11" customFormat="1" ht="15">
      <c r="A27" s="52" t="s">
        <v>535</v>
      </c>
      <c r="B27" s="53">
        <v>50.25</v>
      </c>
      <c r="C27" s="53">
        <v>114.77</v>
      </c>
      <c r="D27" s="53">
        <v>103.64</v>
      </c>
      <c r="E27" s="53">
        <v>4.2699999999999996</v>
      </c>
      <c r="F27" s="53">
        <v>2.0499999999999998</v>
      </c>
      <c r="G27" s="53">
        <v>82.54</v>
      </c>
      <c r="H27" s="53">
        <v>30.25</v>
      </c>
      <c r="I27" s="53">
        <v>0.72</v>
      </c>
      <c r="J27" s="53">
        <v>0.26</v>
      </c>
      <c r="K27" s="53">
        <v>113.56</v>
      </c>
      <c r="L27" s="53">
        <v>27.63</v>
      </c>
      <c r="M27" s="53">
        <v>28.92</v>
      </c>
      <c r="N27" s="53">
        <v>5.20</v>
      </c>
      <c r="O27" s="53">
        <v>0</v>
      </c>
      <c r="P27" s="53">
        <v>0.97</v>
      </c>
      <c r="Q27" s="53">
        <v>26.03</v>
      </c>
      <c r="R27" s="45"/>
      <c r="S27" s="45"/>
      <c r="T27" s="45"/>
      <c r="U27" s="45"/>
    </row>
    <row r="28" spans="1:21" s="11" customFormat="1" ht="15">
      <c r="A28" s="52" t="s">
        <v>536</v>
      </c>
      <c r="B28" s="53">
        <v>109.06</v>
      </c>
      <c r="C28" s="53">
        <v>125.57</v>
      </c>
      <c r="D28" s="53">
        <v>156.76</v>
      </c>
      <c r="E28" s="53">
        <v>4.28</v>
      </c>
      <c r="F28" s="53">
        <v>1.69</v>
      </c>
      <c r="G28" s="53">
        <v>131.26</v>
      </c>
      <c r="H28" s="53">
        <v>38.96</v>
      </c>
      <c r="I28" s="53">
        <v>0.89</v>
      </c>
      <c r="J28" s="53">
        <v>0.070000000000000007</v>
      </c>
      <c r="K28" s="53">
        <v>343.61</v>
      </c>
      <c r="L28" s="53">
        <v>24.97</v>
      </c>
      <c r="M28" s="53">
        <v>33.159999999999997</v>
      </c>
      <c r="N28" s="53">
        <v>4.30</v>
      </c>
      <c r="O28" s="53">
        <v>0</v>
      </c>
      <c r="P28" s="53">
        <v>1.82</v>
      </c>
      <c r="Q28" s="53">
        <v>27.60</v>
      </c>
      <c r="R28" s="45"/>
      <c r="S28" s="45"/>
      <c r="T28" s="45"/>
      <c r="U28" s="45"/>
    </row>
    <row r="29" spans="1:21" s="11" customFormat="1" ht="15">
      <c r="A29" s="52" t="s">
        <v>537</v>
      </c>
      <c r="B29" s="53">
        <v>145.24</v>
      </c>
      <c r="C29" s="53">
        <v>132.24</v>
      </c>
      <c r="D29" s="53">
        <v>189.19</v>
      </c>
      <c r="E29" s="53">
        <v>6.49</v>
      </c>
      <c r="F29" s="53">
        <v>1.54</v>
      </c>
      <c r="G29" s="53">
        <v>171.78</v>
      </c>
      <c r="H29" s="53">
        <v>50.77</v>
      </c>
      <c r="I29" s="53">
        <v>1.21</v>
      </c>
      <c r="J29" s="53">
        <v>0.20</v>
      </c>
      <c r="K29" s="53">
        <v>164.5</v>
      </c>
      <c r="L29" s="53">
        <v>24.08</v>
      </c>
      <c r="M29" s="53">
        <v>36.99</v>
      </c>
      <c r="N29" s="53">
        <v>4.20</v>
      </c>
      <c r="O29" s="53">
        <v>0</v>
      </c>
      <c r="P29" s="53">
        <v>2.4900000000000002</v>
      </c>
      <c r="Q29" s="53">
        <v>29.02</v>
      </c>
      <c r="R29" s="45"/>
      <c r="S29" s="45"/>
      <c r="T29" s="45"/>
      <c r="U29" s="45"/>
    </row>
    <row r="30" spans="1:21" s="11" customFormat="1" ht="15">
      <c r="A30" s="52" t="s">
        <v>538</v>
      </c>
      <c r="B30" s="53">
        <v>131.34</v>
      </c>
      <c r="C30" s="53">
        <v>124.82</v>
      </c>
      <c r="D30" s="53">
        <v>174.21</v>
      </c>
      <c r="E30" s="53">
        <v>6.48</v>
      </c>
      <c r="F30" s="53">
        <v>1.58</v>
      </c>
      <c r="G30" s="53">
        <v>198.94</v>
      </c>
      <c r="H30" s="53">
        <v>59.65</v>
      </c>
      <c r="I30" s="53">
        <v>1.25</v>
      </c>
      <c r="J30" s="53">
        <v>0.18</v>
      </c>
      <c r="K30" s="53">
        <v>350.35</v>
      </c>
      <c r="L30" s="53">
        <v>23.16</v>
      </c>
      <c r="M30" s="53">
        <v>41.96</v>
      </c>
      <c r="N30" s="53">
        <v>4.5999999999999996</v>
      </c>
      <c r="O30" s="53">
        <v>0</v>
      </c>
      <c r="P30" s="53">
        <v>2.2000000000000002</v>
      </c>
      <c r="Q30" s="53">
        <v>34.31</v>
      </c>
      <c r="R30" s="45"/>
      <c r="S30" s="45"/>
      <c r="T30" s="45"/>
      <c r="U30" s="45"/>
    </row>
    <row r="31" spans="1:21" s="11" customFormat="1" ht="15">
      <c r="A31" s="52" t="s">
        <v>539</v>
      </c>
      <c r="B31" s="53">
        <v>135.63999999999999</v>
      </c>
      <c r="C31" s="53">
        <v>123.10</v>
      </c>
      <c r="D31" s="53">
        <v>176.71</v>
      </c>
      <c r="E31" s="53">
        <v>5.53</v>
      </c>
      <c r="F31" s="53">
        <v>1.40</v>
      </c>
      <c r="G31" s="53">
        <v>198.94</v>
      </c>
      <c r="H31" s="53">
        <v>59.65</v>
      </c>
      <c r="I31" s="53">
        <v>1.20</v>
      </c>
      <c r="J31" s="53">
        <v>0.16</v>
      </c>
      <c r="K31" s="53">
        <v>120.57</v>
      </c>
      <c r="L31" s="53">
        <v>22.21</v>
      </c>
      <c r="M31" s="53">
        <v>50.90</v>
      </c>
      <c r="N31" s="53">
        <v>4.5</v>
      </c>
      <c r="O31" s="53">
        <v>0</v>
      </c>
      <c r="P31" s="53">
        <v>2.2999999999999998</v>
      </c>
      <c r="Q31" s="53">
        <v>34.51</v>
      </c>
      <c r="R31" s="45"/>
      <c r="S31" s="45"/>
      <c r="T31" s="45"/>
      <c r="U31" s="45"/>
    </row>
    <row r="32" spans="1:21" s="11" customFormat="1" ht="15">
      <c r="A32" s="52" t="s">
        <v>540</v>
      </c>
      <c r="B32" s="53">
        <v>157.40</v>
      </c>
      <c r="C32" s="53">
        <v>126.56</v>
      </c>
      <c r="D32" s="53">
        <v>195.80</v>
      </c>
      <c r="E32" s="53">
        <v>5.85</v>
      </c>
      <c r="F32" s="53">
        <v>1.52</v>
      </c>
      <c r="G32" s="53">
        <v>154.47</v>
      </c>
      <c r="H32" s="53">
        <v>57.61</v>
      </c>
      <c r="I32" s="53">
        <v>1.20</v>
      </c>
      <c r="J32" s="53">
        <v>0.11</v>
      </c>
      <c r="K32" s="53">
        <v>113.01</v>
      </c>
      <c r="L32" s="53">
        <v>20.97</v>
      </c>
      <c r="M32" s="53">
        <v>54.44</v>
      </c>
      <c r="N32" s="53">
        <v>4.4000000000000004</v>
      </c>
      <c r="O32" s="53">
        <v>0</v>
      </c>
      <c r="P32" s="53">
        <v>2.29</v>
      </c>
      <c r="Q32" s="53">
        <v>34.60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2.1099999999999999</v>
      </c>
      <c r="C34" s="28">
        <f t="shared" si="0"/>
        <v>78.200000000000003</v>
      </c>
      <c r="D34" s="28">
        <f t="shared" si="0"/>
        <v>45.689999999999998</v>
      </c>
      <c r="E34" s="28">
        <f t="shared" si="0"/>
        <v>3.8399999999999999</v>
      </c>
      <c r="F34" s="28">
        <f t="shared" si="0"/>
        <v>1.3999999999999999</v>
      </c>
      <c r="G34" s="28">
        <f t="shared" si="0"/>
        <v>35.090000000000003</v>
      </c>
      <c r="H34" s="28">
        <f t="shared" si="0"/>
        <v>17.559999999999999</v>
      </c>
      <c r="I34" s="28">
        <f t="shared" si="0"/>
        <v>0.47999999999999998</v>
      </c>
      <c r="J34" s="28">
        <f t="shared" si="0"/>
        <v>0.070000000000000007</v>
      </c>
      <c r="K34" s="28">
        <f t="shared" si="0"/>
        <v>25.309999999999999</v>
      </c>
      <c r="L34" s="28">
        <f t="shared" si="0"/>
        <v>18.440000000000001</v>
      </c>
      <c r="M34" s="28">
        <f t="shared" si="0"/>
        <v>9.3800000000000008</v>
      </c>
      <c r="N34" s="28">
        <f t="shared" si="0"/>
        <v>4.2000000000000002</v>
      </c>
      <c r="O34" s="28">
        <f t="shared" si="0"/>
        <v>0</v>
      </c>
      <c r="P34" s="28">
        <f t="shared" si="0"/>
        <v>0.56999999999999995</v>
      </c>
      <c r="Q34" s="28">
        <f t="shared" si="0"/>
        <v>17.949999999999999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157.40000000000001</v>
      </c>
      <c r="C35" s="29">
        <f t="shared" si="1"/>
        <v>136.41999999999999</v>
      </c>
      <c r="D35" s="29">
        <f t="shared" si="1"/>
        <v>195.80000000000001</v>
      </c>
      <c r="E35" s="29">
        <f t="shared" si="1"/>
        <v>13.449999999999999</v>
      </c>
      <c r="F35" s="29">
        <f t="shared" si="1"/>
        <v>43.780000000000001</v>
      </c>
      <c r="G35" s="29">
        <f t="shared" si="1"/>
        <v>206.41</v>
      </c>
      <c r="H35" s="29">
        <f t="shared" si="1"/>
        <v>84.519999999999996</v>
      </c>
      <c r="I35" s="29">
        <f t="shared" si="1"/>
        <v>1.3200000000000001</v>
      </c>
      <c r="J35" s="29">
        <f t="shared" si="1"/>
        <v>1.6499999999999999</v>
      </c>
      <c r="K35" s="29">
        <f t="shared" si="1"/>
        <v>358.88</v>
      </c>
      <c r="L35" s="29">
        <f t="shared" si="1"/>
        <v>37.68</v>
      </c>
      <c r="M35" s="29">
        <f t="shared" si="1"/>
        <v>73.170000000000002</v>
      </c>
      <c r="N35" s="29">
        <f t="shared" si="1"/>
        <v>581</v>
      </c>
      <c r="O35" s="29">
        <f t="shared" si="1"/>
        <v>0</v>
      </c>
      <c r="P35" s="29">
        <f t="shared" si="1"/>
        <v>2.73</v>
      </c>
      <c r="Q35" s="29">
        <f t="shared" si="1"/>
        <v>37.869999999999997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50.00416666666667</v>
      </c>
      <c r="C36" s="28">
        <f t="shared" si="2"/>
        <v>111.96291666666667</v>
      </c>
      <c r="D36" s="28">
        <f t="shared" si="2"/>
        <v>101.65125000000002</v>
      </c>
      <c r="E36" s="28">
        <f t="shared" si="2"/>
        <v>6.3745833333333328</v>
      </c>
      <c r="F36" s="28">
        <f t="shared" si="2"/>
        <v>8.2679166666666681</v>
      </c>
      <c r="G36" s="28">
        <f t="shared" si="2"/>
        <v>120.35375000000001</v>
      </c>
      <c r="H36" s="28">
        <f t="shared" si="2"/>
        <v>51.207083333333337</v>
      </c>
      <c r="I36" s="28">
        <f t="shared" si="2"/>
        <v>0.85875000000000012</v>
      </c>
      <c r="J36" s="28">
        <f t="shared" si="2"/>
        <v>0.58374999999999999</v>
      </c>
      <c r="K36" s="28">
        <f t="shared" si="2"/>
        <v>243.48875000000001</v>
      </c>
      <c r="L36" s="28">
        <f t="shared" si="2"/>
        <v>27.311666666666671</v>
      </c>
      <c r="M36" s="28">
        <f t="shared" si="2"/>
        <v>41.211666666666673</v>
      </c>
      <c r="N36" s="28">
        <f t="shared" si="2"/>
        <v>180.92083333333332</v>
      </c>
      <c r="O36" s="28">
        <f t="shared" si="2"/>
        <v>0</v>
      </c>
      <c r="P36" s="28">
        <f t="shared" si="2"/>
        <v>1.6691666666666665</v>
      </c>
      <c r="Q36" s="28">
        <f t="shared" si="2"/>
        <v>30.673333333333332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48.420505170996442</v>
      </c>
      <c r="C37" s="28">
        <f t="shared" si="3" ref="C37:Q37">STDEV(C9:C32)</f>
        <v>16.052783716110692</v>
      </c>
      <c r="D37" s="28">
        <f t="shared" si="3"/>
        <v>45.426584374513354</v>
      </c>
      <c r="E37" s="28">
        <f t="shared" si="3"/>
        <v>2.5974451982613647</v>
      </c>
      <c r="F37" s="28">
        <f t="shared" si="3"/>
        <v>11.574362966475094</v>
      </c>
      <c r="G37" s="28">
        <f t="shared" si="3"/>
        <v>59.332844765229162</v>
      </c>
      <c r="H37" s="28">
        <f t="shared" si="3"/>
        <v>18.290986489945332</v>
      </c>
      <c r="I37" s="28">
        <f t="shared" si="3"/>
        <v>0.25223026918998437</v>
      </c>
      <c r="J37" s="28">
        <f t="shared" si="3"/>
        <v>0.51379925448860231</v>
      </c>
      <c r="K37" s="28">
        <f t="shared" si="3"/>
        <v>115.78319579630002</v>
      </c>
      <c r="L37" s="28">
        <f t="shared" si="3"/>
        <v>6.6770819366251173</v>
      </c>
      <c r="M37" s="28">
        <f t="shared" si="3"/>
        <v>19.863635261379034</v>
      </c>
      <c r="N37" s="28">
        <f t="shared" si="3"/>
        <v>231.44177966216131</v>
      </c>
      <c r="O37" s="28">
        <f t="shared" si="3"/>
        <v>0</v>
      </c>
      <c r="P37" s="28">
        <f t="shared" si="3"/>
        <v>0.60665093943621429</v>
      </c>
      <c r="Q37" s="28">
        <f t="shared" si="3"/>
        <v>4.7463584820975928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c3cec5-b810-486b-a5f6-9e1b1449f20a}">
  <sheetPr codeName=""/>
  <dimension ref="A1:U119"/>
  <sheetViews>
    <sheetView workbookViewId="0" topLeftCell="A1">
      <pane xSplit="1" ySplit="8" topLeftCell="B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541</v>
      </c>
      <c r="B9" s="53">
        <v>146.09</v>
      </c>
      <c r="C9" s="53">
        <v>124.04</v>
      </c>
      <c r="D9" s="53">
        <v>185.60</v>
      </c>
      <c r="E9" s="53">
        <v>4.5</v>
      </c>
      <c r="F9" s="53">
        <v>1.44</v>
      </c>
      <c r="G9" s="53">
        <v>154.47</v>
      </c>
      <c r="H9" s="53">
        <v>57.61</v>
      </c>
      <c r="I9" s="53">
        <v>1.19</v>
      </c>
      <c r="J9" s="53">
        <v>0.09</v>
      </c>
      <c r="K9" s="53">
        <v>342.85</v>
      </c>
      <c r="L9" s="53">
        <v>20.170000000000002</v>
      </c>
      <c r="M9" s="53">
        <v>54.82</v>
      </c>
      <c r="N9" s="53">
        <v>4.4000000000000004</v>
      </c>
      <c r="O9" s="53">
        <v>0</v>
      </c>
      <c r="P9" s="53">
        <v>2.1800000000000002</v>
      </c>
      <c r="Q9" s="53">
        <v>34.24</v>
      </c>
      <c r="R9" s="45"/>
      <c r="S9" s="45"/>
      <c r="T9" s="45"/>
      <c r="U9" s="45"/>
    </row>
    <row r="10" spans="1:21" s="11" customFormat="1" ht="15">
      <c r="A10" s="52" t="s">
        <v>542</v>
      </c>
      <c r="B10" s="53">
        <v>128.37</v>
      </c>
      <c r="C10" s="53">
        <v>118.48</v>
      </c>
      <c r="D10" s="53">
        <v>167.88</v>
      </c>
      <c r="E10" s="53">
        <v>4.70</v>
      </c>
      <c r="F10" s="53">
        <v>1.45</v>
      </c>
      <c r="G10" s="53">
        <v>119.84</v>
      </c>
      <c r="H10" s="53">
        <v>48.92</v>
      </c>
      <c r="I10" s="53">
        <v>1.1499999999999999</v>
      </c>
      <c r="J10" s="53">
        <v>0.10</v>
      </c>
      <c r="K10" s="53">
        <v>298.62</v>
      </c>
      <c r="L10" s="53">
        <v>19.34</v>
      </c>
      <c r="M10" s="53">
        <v>59.08</v>
      </c>
      <c r="N10" s="53">
        <v>4.4000000000000004</v>
      </c>
      <c r="O10" s="53">
        <v>0</v>
      </c>
      <c r="P10" s="53">
        <v>1.93</v>
      </c>
      <c r="Q10" s="53">
        <v>34.85</v>
      </c>
      <c r="R10" s="45"/>
      <c r="S10" s="45"/>
      <c r="T10" s="45"/>
      <c r="U10" s="45"/>
    </row>
    <row r="11" spans="1:21" s="11" customFormat="1" ht="15">
      <c r="A11" s="52" t="s">
        <v>543</v>
      </c>
      <c r="B11" s="53">
        <v>103.56</v>
      </c>
      <c r="C11" s="53">
        <v>113.75</v>
      </c>
      <c r="D11" s="53">
        <v>145.82</v>
      </c>
      <c r="E11" s="53">
        <v>4.13</v>
      </c>
      <c r="F11" s="53">
        <v>1.40</v>
      </c>
      <c r="G11" s="53">
        <v>109.74</v>
      </c>
      <c r="H11" s="53">
        <v>44.07</v>
      </c>
      <c r="I11" s="53">
        <v>1.07</v>
      </c>
      <c r="J11" s="53">
        <v>0.14000000000000001</v>
      </c>
      <c r="K11" s="53">
        <v>319.30</v>
      </c>
      <c r="L11" s="53">
        <v>19.12</v>
      </c>
      <c r="M11" s="53">
        <v>62.16</v>
      </c>
      <c r="N11" s="53">
        <v>4.4000000000000004</v>
      </c>
      <c r="O11" s="53">
        <v>0</v>
      </c>
      <c r="P11" s="53">
        <v>1.75</v>
      </c>
      <c r="Q11" s="53">
        <v>33.57</v>
      </c>
      <c r="R11" s="45"/>
      <c r="S11" s="45"/>
      <c r="T11" s="45"/>
      <c r="U11" s="45"/>
    </row>
    <row r="12" spans="1:21" s="11" customFormat="1" ht="15">
      <c r="A12" s="52" t="s">
        <v>544</v>
      </c>
      <c r="B12" s="53">
        <v>77.150000000000006</v>
      </c>
      <c r="C12" s="53">
        <v>107.55</v>
      </c>
      <c r="D12" s="53">
        <v>121.22</v>
      </c>
      <c r="E12" s="53">
        <v>3.94</v>
      </c>
      <c r="F12" s="53">
        <v>1.43</v>
      </c>
      <c r="G12" s="53">
        <v>80.489999999999995</v>
      </c>
      <c r="H12" s="53">
        <v>43.11</v>
      </c>
      <c r="I12" s="53">
        <v>0.97</v>
      </c>
      <c r="J12" s="53">
        <v>0.14000000000000001</v>
      </c>
      <c r="K12" s="53">
        <v>341.85</v>
      </c>
      <c r="L12" s="53">
        <v>18.399999999999999</v>
      </c>
      <c r="M12" s="53">
        <v>66.25</v>
      </c>
      <c r="N12" s="53">
        <v>4.5999999999999996</v>
      </c>
      <c r="O12" s="53">
        <v>0</v>
      </c>
      <c r="P12" s="53">
        <v>1.57</v>
      </c>
      <c r="Q12" s="53">
        <v>30.75</v>
      </c>
      <c r="R12" s="45"/>
      <c r="S12" s="45"/>
      <c r="T12" s="45"/>
      <c r="U12" s="45"/>
    </row>
    <row r="13" spans="1:21" s="11" customFormat="1" ht="15">
      <c r="A13" s="52" t="s">
        <v>545</v>
      </c>
      <c r="B13" s="53">
        <v>65.39</v>
      </c>
      <c r="C13" s="53">
        <v>104.11</v>
      </c>
      <c r="D13" s="53">
        <v>109.13</v>
      </c>
      <c r="E13" s="53">
        <v>4.43</v>
      </c>
      <c r="F13" s="53">
        <v>1.45</v>
      </c>
      <c r="G13" s="53">
        <v>93.72</v>
      </c>
      <c r="H13" s="53">
        <v>40.92</v>
      </c>
      <c r="I13" s="53">
        <v>0.86</v>
      </c>
      <c r="J13" s="53">
        <v>0.13</v>
      </c>
      <c r="K13" s="53">
        <v>318.01</v>
      </c>
      <c r="L13" s="53">
        <v>18.80</v>
      </c>
      <c r="M13" s="53">
        <v>67.13</v>
      </c>
      <c r="N13" s="53">
        <v>4.5</v>
      </c>
      <c r="O13" s="53">
        <v>0</v>
      </c>
      <c r="P13" s="53">
        <v>1.43</v>
      </c>
      <c r="Q13" s="53">
        <v>30.79</v>
      </c>
      <c r="R13" s="45"/>
      <c r="S13" s="45"/>
      <c r="T13" s="45"/>
      <c r="U13" s="45"/>
    </row>
    <row r="14" spans="1:21" s="11" customFormat="1" ht="15">
      <c r="A14" s="52" t="s">
        <v>546</v>
      </c>
      <c r="B14" s="53">
        <v>85.25</v>
      </c>
      <c r="C14" s="53">
        <v>105.16</v>
      </c>
      <c r="D14" s="53">
        <v>126.40</v>
      </c>
      <c r="E14" s="53">
        <v>4.59</v>
      </c>
      <c r="F14" s="53">
        <v>1.47</v>
      </c>
      <c r="G14" s="53">
        <v>133.77000000000001</v>
      </c>
      <c r="H14" s="53">
        <v>42.49</v>
      </c>
      <c r="I14" s="53">
        <v>0.84</v>
      </c>
      <c r="J14" s="53">
        <v>0.13</v>
      </c>
      <c r="K14" s="53">
        <v>350.28</v>
      </c>
      <c r="L14" s="53">
        <v>17.79</v>
      </c>
      <c r="M14" s="53">
        <v>67.36</v>
      </c>
      <c r="N14" s="53">
        <v>4.5</v>
      </c>
      <c r="O14" s="53">
        <v>0</v>
      </c>
      <c r="P14" s="53">
        <v>1.37</v>
      </c>
      <c r="Q14" s="53">
        <v>31.56</v>
      </c>
      <c r="R14" s="45"/>
      <c r="S14" s="45"/>
      <c r="T14" s="45"/>
      <c r="U14" s="45"/>
    </row>
    <row r="15" spans="1:21" s="11" customFormat="1" ht="15">
      <c r="A15" s="52" t="s">
        <v>547</v>
      </c>
      <c r="B15" s="53">
        <v>90.45</v>
      </c>
      <c r="C15" s="53">
        <v>105.23</v>
      </c>
      <c r="D15" s="53">
        <v>130.51</v>
      </c>
      <c r="E15" s="53">
        <v>4.72</v>
      </c>
      <c r="F15" s="53">
        <v>1.41</v>
      </c>
      <c r="G15" s="53">
        <v>133.77000000000001</v>
      </c>
      <c r="H15" s="53">
        <v>42.49</v>
      </c>
      <c r="I15" s="53">
        <v>0.83</v>
      </c>
      <c r="J15" s="53">
        <v>0.20</v>
      </c>
      <c r="K15" s="53">
        <v>326.01</v>
      </c>
      <c r="L15" s="53">
        <v>18.079999999999998</v>
      </c>
      <c r="M15" s="53">
        <v>63.78</v>
      </c>
      <c r="N15" s="53">
        <v>28</v>
      </c>
      <c r="O15" s="53">
        <v>0</v>
      </c>
      <c r="P15" s="53">
        <v>1.35</v>
      </c>
      <c r="Q15" s="53">
        <v>31.42</v>
      </c>
      <c r="R15" s="45"/>
      <c r="S15" s="45"/>
      <c r="T15" s="45"/>
      <c r="U15" s="45"/>
    </row>
    <row r="16" spans="1:21" s="11" customFormat="1" ht="15">
      <c r="A16" s="52" t="s">
        <v>548</v>
      </c>
      <c r="B16" s="53">
        <v>84.16</v>
      </c>
      <c r="C16" s="53">
        <v>104.26</v>
      </c>
      <c r="D16" s="53">
        <v>124.89</v>
      </c>
      <c r="E16" s="53">
        <v>4.71</v>
      </c>
      <c r="F16" s="53">
        <v>1.56</v>
      </c>
      <c r="G16" s="53">
        <v>106.96</v>
      </c>
      <c r="H16" s="53">
        <v>42.98</v>
      </c>
      <c r="I16" s="53">
        <v>0.82</v>
      </c>
      <c r="J16" s="53">
        <v>0.74</v>
      </c>
      <c r="K16" s="53">
        <v>234.05</v>
      </c>
      <c r="L16" s="53">
        <v>23.75</v>
      </c>
      <c r="M16" s="53">
        <v>59.96</v>
      </c>
      <c r="N16" s="53">
        <v>242.5</v>
      </c>
      <c r="O16" s="53">
        <v>0</v>
      </c>
      <c r="P16" s="53">
        <v>1.31</v>
      </c>
      <c r="Q16" s="53">
        <v>29.74</v>
      </c>
      <c r="R16" s="45"/>
      <c r="S16" s="45"/>
      <c r="T16" s="45"/>
      <c r="U16" s="45"/>
    </row>
    <row r="17" spans="1:21" s="11" customFormat="1" ht="15">
      <c r="A17" s="52" t="s">
        <v>549</v>
      </c>
      <c r="B17" s="53">
        <v>74.510000000000005</v>
      </c>
      <c r="C17" s="53">
        <v>108.93</v>
      </c>
      <c r="D17" s="53">
        <v>117.88</v>
      </c>
      <c r="E17" s="53">
        <v>5.95</v>
      </c>
      <c r="F17" s="53">
        <v>1.46</v>
      </c>
      <c r="G17" s="53">
        <v>86.06</v>
      </c>
      <c r="H17" s="53">
        <v>42.98</v>
      </c>
      <c r="I17" s="53">
        <v>0.80</v>
      </c>
      <c r="J17" s="53">
        <v>1.31</v>
      </c>
      <c r="K17" s="53">
        <v>232.01</v>
      </c>
      <c r="L17" s="53">
        <v>25.77</v>
      </c>
      <c r="M17" s="53">
        <v>43.91</v>
      </c>
      <c r="N17" s="53">
        <v>443</v>
      </c>
      <c r="O17" s="53">
        <v>0</v>
      </c>
      <c r="P17" s="53">
        <v>1.30</v>
      </c>
      <c r="Q17" s="53">
        <v>30.97</v>
      </c>
      <c r="R17" s="45"/>
      <c r="S17" s="45"/>
      <c r="T17" s="45"/>
      <c r="U17" s="45"/>
    </row>
    <row r="18" spans="1:21" s="11" customFormat="1" ht="15">
      <c r="A18" s="52" t="s">
        <v>550</v>
      </c>
      <c r="B18" s="53">
        <v>51.43</v>
      </c>
      <c r="C18" s="53">
        <v>119.20</v>
      </c>
      <c r="D18" s="53">
        <v>102.52</v>
      </c>
      <c r="E18" s="53">
        <v>6.5</v>
      </c>
      <c r="F18" s="53">
        <v>1.68</v>
      </c>
      <c r="G18" s="53">
        <v>84.51</v>
      </c>
      <c r="H18" s="53">
        <v>41.67</v>
      </c>
      <c r="I18" s="53">
        <v>0.77</v>
      </c>
      <c r="J18" s="53">
        <v>0.99</v>
      </c>
      <c r="K18" s="53">
        <v>194.35</v>
      </c>
      <c r="L18" s="53">
        <v>30.26</v>
      </c>
      <c r="M18" s="53">
        <v>35.90</v>
      </c>
      <c r="N18" s="53">
        <v>595.70000000000005</v>
      </c>
      <c r="O18" s="53">
        <v>0</v>
      </c>
      <c r="P18" s="53">
        <v>1.24</v>
      </c>
      <c r="Q18" s="53">
        <v>30.53</v>
      </c>
      <c r="R18" s="45"/>
      <c r="S18" s="45"/>
      <c r="T18" s="45"/>
      <c r="U18" s="45"/>
    </row>
    <row r="19" spans="1:21" s="11" customFormat="1" ht="15">
      <c r="A19" s="52" t="s">
        <v>551</v>
      </c>
      <c r="B19" s="53">
        <v>16.98</v>
      </c>
      <c r="C19" s="53">
        <v>101.65</v>
      </c>
      <c r="D19" s="53">
        <v>69.72</v>
      </c>
      <c r="E19" s="53">
        <v>25.65</v>
      </c>
      <c r="F19" s="53">
        <v>58.21</v>
      </c>
      <c r="G19" s="53">
        <v>73.290000000000006</v>
      </c>
      <c r="H19" s="53">
        <v>41.67</v>
      </c>
      <c r="I19" s="53">
        <v>0.73</v>
      </c>
      <c r="J19" s="53">
        <v>0.44</v>
      </c>
      <c r="K19" s="53">
        <v>292.58999999999997</v>
      </c>
      <c r="L19" s="53">
        <v>34.299999999999997</v>
      </c>
      <c r="M19" s="53">
        <v>28.07</v>
      </c>
      <c r="N19" s="53">
        <v>603.29999999999995</v>
      </c>
      <c r="O19" s="53">
        <v>0</v>
      </c>
      <c r="P19" s="53">
        <v>1.33</v>
      </c>
      <c r="Q19" s="53">
        <v>28.02</v>
      </c>
      <c r="R19" s="45"/>
      <c r="S19" s="45"/>
      <c r="T19" s="45"/>
      <c r="U19" s="45"/>
    </row>
    <row r="20" spans="1:21" s="11" customFormat="1" ht="15">
      <c r="A20" s="52" t="s">
        <v>552</v>
      </c>
      <c r="B20" s="53">
        <v>1.93</v>
      </c>
      <c r="C20" s="53">
        <v>72.84</v>
      </c>
      <c r="D20" s="53">
        <v>41.74</v>
      </c>
      <c r="E20" s="53">
        <v>27.61</v>
      </c>
      <c r="F20" s="53">
        <v>72.67</v>
      </c>
      <c r="G20" s="18" t="s">
        <v>12</v>
      </c>
      <c r="H20" s="18" t="s">
        <v>12</v>
      </c>
      <c r="I20" s="53">
        <v>0.49</v>
      </c>
      <c r="J20" s="53">
        <v>0.61</v>
      </c>
      <c r="K20" s="53">
        <v>354.40</v>
      </c>
      <c r="L20" s="53">
        <v>36.96</v>
      </c>
      <c r="M20" s="53">
        <v>19.940000000000001</v>
      </c>
      <c r="N20" s="53">
        <v>580.5</v>
      </c>
      <c r="O20" s="53">
        <v>0</v>
      </c>
      <c r="P20" s="18" t="s">
        <v>12</v>
      </c>
      <c r="Q20" s="53">
        <v>12</v>
      </c>
      <c r="R20" s="45"/>
      <c r="S20" s="45"/>
      <c r="T20" s="45"/>
      <c r="U20" s="45"/>
    </row>
    <row r="21" spans="1:21" s="11" customFormat="1" ht="15">
      <c r="A21" s="52" t="s">
        <v>553</v>
      </c>
      <c r="B21" s="53">
        <v>1.04</v>
      </c>
      <c r="C21" s="53">
        <v>70.260000000000005</v>
      </c>
      <c r="D21" s="53">
        <v>39.200000000000003</v>
      </c>
      <c r="E21" s="53">
        <v>34.82</v>
      </c>
      <c r="F21" s="53">
        <v>72.91</v>
      </c>
      <c r="G21" s="53">
        <v>66.28</v>
      </c>
      <c r="H21" s="53">
        <v>45.44</v>
      </c>
      <c r="I21" s="53">
        <v>0.51</v>
      </c>
      <c r="J21" s="53">
        <v>0.26</v>
      </c>
      <c r="K21" s="53">
        <v>220.96</v>
      </c>
      <c r="L21" s="53">
        <v>36.53</v>
      </c>
      <c r="M21" s="53">
        <v>17.399999999999999</v>
      </c>
      <c r="N21" s="53">
        <v>541.60</v>
      </c>
      <c r="O21" s="53">
        <v>0</v>
      </c>
      <c r="P21" s="53">
        <v>1.31</v>
      </c>
      <c r="Q21" s="53">
        <v>13.87</v>
      </c>
      <c r="R21" s="45"/>
      <c r="S21" s="45"/>
      <c r="T21" s="45"/>
      <c r="U21" s="45"/>
    </row>
    <row r="22" spans="1:21" s="11" customFormat="1" ht="15">
      <c r="A22" s="52" t="s">
        <v>554</v>
      </c>
      <c r="B22" s="53">
        <v>4.78</v>
      </c>
      <c r="C22" s="53">
        <v>77.430000000000007</v>
      </c>
      <c r="D22" s="53">
        <v>46.24</v>
      </c>
      <c r="E22" s="53">
        <v>25.64</v>
      </c>
      <c r="F22" s="53">
        <v>28.97</v>
      </c>
      <c r="G22" s="53">
        <v>68.989999999999995</v>
      </c>
      <c r="H22" s="53">
        <v>45.44</v>
      </c>
      <c r="I22" s="53">
        <v>0.51</v>
      </c>
      <c r="J22" s="53">
        <v>0.91</v>
      </c>
      <c r="K22" s="53">
        <v>358.21</v>
      </c>
      <c r="L22" s="53">
        <v>38.54</v>
      </c>
      <c r="M22" s="53">
        <v>15.92</v>
      </c>
      <c r="N22" s="53">
        <v>456.30</v>
      </c>
      <c r="O22" s="53">
        <v>0</v>
      </c>
      <c r="P22" s="53">
        <v>1.43</v>
      </c>
      <c r="Q22" s="53">
        <v>15.09</v>
      </c>
      <c r="R22" s="45"/>
      <c r="S22" s="45"/>
      <c r="T22" s="45"/>
      <c r="U22" s="45"/>
    </row>
    <row r="23" spans="1:21" s="11" customFormat="1" ht="15">
      <c r="A23" s="52" t="s">
        <v>555</v>
      </c>
      <c r="B23" s="53">
        <v>2.52</v>
      </c>
      <c r="C23" s="53">
        <v>67.87</v>
      </c>
      <c r="D23" s="53">
        <v>38.590000000000003</v>
      </c>
      <c r="E23" s="53">
        <v>32.46</v>
      </c>
      <c r="F23" s="53">
        <v>72.83</v>
      </c>
      <c r="G23" s="53">
        <v>68.989999999999995</v>
      </c>
      <c r="H23" s="53">
        <v>41.39</v>
      </c>
      <c r="I23" s="53">
        <v>0.51</v>
      </c>
      <c r="J23" s="53">
        <v>0.67</v>
      </c>
      <c r="K23" s="53">
        <v>350.15</v>
      </c>
      <c r="L23" s="53">
        <v>38.15</v>
      </c>
      <c r="M23" s="53">
        <v>12.53</v>
      </c>
      <c r="N23" s="53">
        <v>430.20</v>
      </c>
      <c r="O23" s="53">
        <v>0</v>
      </c>
      <c r="P23" s="53">
        <v>0.67</v>
      </c>
      <c r="Q23" s="53">
        <v>12.56</v>
      </c>
      <c r="R23" s="45"/>
      <c r="S23" s="45"/>
      <c r="T23" s="45"/>
      <c r="U23" s="45"/>
    </row>
    <row r="24" spans="1:21" s="11" customFormat="1" ht="15">
      <c r="A24" s="52" t="s">
        <v>556</v>
      </c>
      <c r="B24" s="53">
        <v>1.79</v>
      </c>
      <c r="C24" s="53">
        <v>73.20</v>
      </c>
      <c r="D24" s="53">
        <v>41.23</v>
      </c>
      <c r="E24" s="53">
        <v>35.729999999999997</v>
      </c>
      <c r="F24" s="53">
        <v>81.30</v>
      </c>
      <c r="G24" s="53">
        <v>61.95</v>
      </c>
      <c r="H24" s="53">
        <v>33.71</v>
      </c>
      <c r="I24" s="53">
        <v>0.48</v>
      </c>
      <c r="J24" s="53">
        <v>0.5</v>
      </c>
      <c r="K24" s="53">
        <v>355.08</v>
      </c>
      <c r="L24" s="53">
        <v>37.28</v>
      </c>
      <c r="M24" s="53">
        <v>13.82</v>
      </c>
      <c r="N24" s="53">
        <v>352.70</v>
      </c>
      <c r="O24" s="53">
        <v>0</v>
      </c>
      <c r="P24" s="53">
        <v>0.70</v>
      </c>
      <c r="Q24" s="53">
        <v>10.37</v>
      </c>
      <c r="R24" s="45"/>
      <c r="S24" s="45"/>
      <c r="T24" s="45"/>
      <c r="U24" s="45"/>
    </row>
    <row r="25" spans="1:21" s="11" customFormat="1" ht="15">
      <c r="A25" s="52" t="s">
        <v>557</v>
      </c>
      <c r="B25" s="53">
        <v>3.68</v>
      </c>
      <c r="C25" s="53">
        <v>91.53</v>
      </c>
      <c r="D25" s="53">
        <v>53.47</v>
      </c>
      <c r="E25" s="53">
        <v>46.07</v>
      </c>
      <c r="F25" s="53">
        <v>65.63</v>
      </c>
      <c r="G25" s="53">
        <v>58.92</v>
      </c>
      <c r="H25" s="53">
        <v>31.32</v>
      </c>
      <c r="I25" s="53">
        <v>0.49</v>
      </c>
      <c r="J25" s="53">
        <v>0.22</v>
      </c>
      <c r="K25" s="53">
        <v>317.98</v>
      </c>
      <c r="L25" s="53">
        <v>34.979999999999997</v>
      </c>
      <c r="M25" s="53">
        <v>16.71</v>
      </c>
      <c r="N25" s="53">
        <v>103.40</v>
      </c>
      <c r="O25" s="53">
        <v>0</v>
      </c>
      <c r="P25" s="53">
        <v>0.86</v>
      </c>
      <c r="Q25" s="53">
        <v>11.82</v>
      </c>
      <c r="R25" s="45"/>
      <c r="S25" s="45"/>
      <c r="T25" s="45"/>
      <c r="U25" s="45"/>
    </row>
    <row r="26" spans="1:21" s="11" customFormat="1" ht="15">
      <c r="A26" s="52" t="s">
        <v>558</v>
      </c>
      <c r="B26" s="53">
        <v>31.42</v>
      </c>
      <c r="C26" s="53">
        <v>126.37</v>
      </c>
      <c r="D26" s="53">
        <v>94.94</v>
      </c>
      <c r="E26" s="53">
        <v>29.71</v>
      </c>
      <c r="F26" s="53">
        <v>34.57</v>
      </c>
      <c r="G26" s="53">
        <v>56.87</v>
      </c>
      <c r="H26" s="53">
        <v>29.24</v>
      </c>
      <c r="I26" s="53">
        <v>0.52</v>
      </c>
      <c r="J26" s="53">
        <v>0.56999999999999995</v>
      </c>
      <c r="K26" s="53">
        <v>346.98</v>
      </c>
      <c r="L26" s="53">
        <v>32.93</v>
      </c>
      <c r="M26" s="53">
        <v>27.54</v>
      </c>
      <c r="N26" s="53">
        <v>41</v>
      </c>
      <c r="O26" s="53">
        <v>0</v>
      </c>
      <c r="P26" s="53">
        <v>1.67</v>
      </c>
      <c r="Q26" s="53">
        <v>13.16</v>
      </c>
      <c r="R26" s="45"/>
      <c r="S26" s="45"/>
      <c r="T26" s="45"/>
      <c r="U26" s="45"/>
    </row>
    <row r="27" spans="1:21" s="11" customFormat="1" ht="15">
      <c r="A27" s="52" t="s">
        <v>559</v>
      </c>
      <c r="B27" s="53">
        <v>100.49</v>
      </c>
      <c r="C27" s="53">
        <v>148.56</v>
      </c>
      <c r="D27" s="53">
        <v>162.57</v>
      </c>
      <c r="E27" s="53">
        <v>20.329999999999998</v>
      </c>
      <c r="F27" s="53">
        <v>4.71</v>
      </c>
      <c r="G27" s="53">
        <v>175.72</v>
      </c>
      <c r="H27" s="53">
        <v>44.83</v>
      </c>
      <c r="I27" s="53">
        <v>0.80</v>
      </c>
      <c r="J27" s="53">
        <v>0.19</v>
      </c>
      <c r="K27" s="53">
        <v>251.96</v>
      </c>
      <c r="L27" s="53">
        <v>29.07</v>
      </c>
      <c r="M27" s="53">
        <v>39.17</v>
      </c>
      <c r="N27" s="53">
        <v>5.5</v>
      </c>
      <c r="O27" s="53">
        <v>0</v>
      </c>
      <c r="P27" s="53">
        <v>2.33</v>
      </c>
      <c r="Q27" s="53">
        <v>14.15</v>
      </c>
      <c r="R27" s="45"/>
      <c r="S27" s="45"/>
      <c r="T27" s="45"/>
      <c r="U27" s="45"/>
    </row>
    <row r="28" spans="1:21" s="11" customFormat="1" ht="15">
      <c r="A28" s="52" t="s">
        <v>560</v>
      </c>
      <c r="B28" s="53">
        <v>116.60</v>
      </c>
      <c r="C28" s="53">
        <v>134.91</v>
      </c>
      <c r="D28" s="53">
        <v>167.96</v>
      </c>
      <c r="E28" s="53">
        <v>8.65</v>
      </c>
      <c r="F28" s="53">
        <v>0.37</v>
      </c>
      <c r="G28" s="53">
        <v>243.53</v>
      </c>
      <c r="H28" s="53">
        <v>58.40</v>
      </c>
      <c r="I28" s="53">
        <v>0.96</v>
      </c>
      <c r="J28" s="53">
        <v>0.16</v>
      </c>
      <c r="K28" s="53">
        <v>239.45</v>
      </c>
      <c r="L28" s="53">
        <v>26.49</v>
      </c>
      <c r="M28" s="53">
        <v>43.91</v>
      </c>
      <c r="N28" s="53">
        <v>4.20</v>
      </c>
      <c r="O28" s="53">
        <v>0</v>
      </c>
      <c r="P28" s="53">
        <v>2.2400000000000002</v>
      </c>
      <c r="Q28" s="53">
        <v>24.09</v>
      </c>
      <c r="R28" s="45"/>
      <c r="S28" s="45"/>
      <c r="T28" s="45"/>
      <c r="U28" s="45"/>
    </row>
    <row r="29" spans="1:21" s="11" customFormat="1" ht="15">
      <c r="A29" s="52" t="s">
        <v>561</v>
      </c>
      <c r="B29" s="53">
        <v>209.65</v>
      </c>
      <c r="C29" s="53">
        <v>156.97999999999999</v>
      </c>
      <c r="D29" s="53">
        <v>254.76</v>
      </c>
      <c r="E29" s="53">
        <v>7.94</v>
      </c>
      <c r="F29" s="53">
        <v>0.18</v>
      </c>
      <c r="G29" s="53">
        <v>244.70</v>
      </c>
      <c r="H29" s="53">
        <v>66.930000000000007</v>
      </c>
      <c r="I29" s="53">
        <v>1.17</v>
      </c>
      <c r="J29" s="53">
        <v>0.10</v>
      </c>
      <c r="K29" s="53">
        <v>350.17</v>
      </c>
      <c r="L29" s="53">
        <v>24.85</v>
      </c>
      <c r="M29" s="53">
        <v>47.92</v>
      </c>
      <c r="N29" s="53">
        <v>4.30</v>
      </c>
      <c r="O29" s="53">
        <v>0</v>
      </c>
      <c r="P29" s="53">
        <v>2.89</v>
      </c>
      <c r="Q29" s="53">
        <v>27.68</v>
      </c>
      <c r="R29" s="45"/>
      <c r="S29" s="45"/>
      <c r="T29" s="45"/>
      <c r="U29" s="45"/>
    </row>
    <row r="30" spans="1:21" s="11" customFormat="1" ht="15">
      <c r="A30" s="52" t="s">
        <v>562</v>
      </c>
      <c r="B30" s="53">
        <v>199.62</v>
      </c>
      <c r="C30" s="53">
        <v>145.5</v>
      </c>
      <c r="D30" s="53">
        <v>240.34</v>
      </c>
      <c r="E30" s="53">
        <v>7.67</v>
      </c>
      <c r="F30" s="53">
        <v>0.16</v>
      </c>
      <c r="G30" s="53">
        <v>244.70</v>
      </c>
      <c r="H30" s="53">
        <v>75.510000000000005</v>
      </c>
      <c r="I30" s="53">
        <v>1.40</v>
      </c>
      <c r="J30" s="53">
        <v>0.13</v>
      </c>
      <c r="K30" s="53">
        <v>313.54000000000002</v>
      </c>
      <c r="L30" s="53">
        <v>23.86</v>
      </c>
      <c r="M30" s="53">
        <v>50.65</v>
      </c>
      <c r="N30" s="53">
        <v>4.4000000000000004</v>
      </c>
      <c r="O30" s="53">
        <v>0</v>
      </c>
      <c r="P30" s="53">
        <v>3</v>
      </c>
      <c r="Q30" s="53">
        <v>34.17</v>
      </c>
      <c r="R30" s="45"/>
      <c r="S30" s="45"/>
      <c r="T30" s="45"/>
      <c r="U30" s="45"/>
    </row>
    <row r="31" spans="1:21" s="11" customFormat="1" ht="15">
      <c r="A31" s="52" t="s">
        <v>563</v>
      </c>
      <c r="B31" s="53">
        <v>208.60</v>
      </c>
      <c r="C31" s="53">
        <v>143.16</v>
      </c>
      <c r="D31" s="53">
        <v>246.29</v>
      </c>
      <c r="E31" s="53">
        <v>6.89</v>
      </c>
      <c r="F31" s="53">
        <v>0.23</v>
      </c>
      <c r="G31" s="53">
        <v>232.10</v>
      </c>
      <c r="H31" s="53">
        <v>76.599999999999994</v>
      </c>
      <c r="I31" s="53">
        <v>1.44</v>
      </c>
      <c r="J31" s="53">
        <v>0.11</v>
      </c>
      <c r="K31" s="53">
        <v>344.45</v>
      </c>
      <c r="L31" s="53">
        <v>22.72</v>
      </c>
      <c r="M31" s="53">
        <v>57.66</v>
      </c>
      <c r="N31" s="53">
        <v>4.4000000000000004</v>
      </c>
      <c r="O31" s="53">
        <v>0</v>
      </c>
      <c r="P31" s="53">
        <v>3.04</v>
      </c>
      <c r="Q31" s="53">
        <v>35.520000000000003</v>
      </c>
      <c r="R31" s="45"/>
      <c r="S31" s="45"/>
      <c r="T31" s="45"/>
      <c r="U31" s="45"/>
    </row>
    <row r="32" spans="1:21" s="11" customFormat="1" ht="15">
      <c r="A32" s="52" t="s">
        <v>564</v>
      </c>
      <c r="B32" s="53">
        <v>190.79</v>
      </c>
      <c r="C32" s="53">
        <v>130.78</v>
      </c>
      <c r="D32" s="53">
        <v>225.18</v>
      </c>
      <c r="E32" s="53">
        <v>6.28</v>
      </c>
      <c r="F32" s="53">
        <v>0.18</v>
      </c>
      <c r="G32" s="53">
        <v>199.70</v>
      </c>
      <c r="H32" s="53">
        <v>76.599999999999994</v>
      </c>
      <c r="I32" s="53">
        <v>1.46</v>
      </c>
      <c r="J32" s="53">
        <v>0.11</v>
      </c>
      <c r="K32" s="53">
        <v>314.33</v>
      </c>
      <c r="L32" s="53">
        <v>22.21</v>
      </c>
      <c r="M32" s="53">
        <v>52.29</v>
      </c>
      <c r="N32" s="53">
        <v>4.5</v>
      </c>
      <c r="O32" s="53">
        <v>0</v>
      </c>
      <c r="P32" s="53">
        <v>2.94</v>
      </c>
      <c r="Q32" s="53">
        <v>35.75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1.04</v>
      </c>
      <c r="C34" s="28">
        <f t="shared" si="0"/>
        <v>67.870000000000005</v>
      </c>
      <c r="D34" s="28">
        <f t="shared" si="0"/>
        <v>38.590000000000003</v>
      </c>
      <c r="E34" s="28">
        <f t="shared" si="0"/>
        <v>3.9399999999999999</v>
      </c>
      <c r="F34" s="28">
        <f t="shared" si="0"/>
        <v>0.16</v>
      </c>
      <c r="G34" s="28">
        <f t="shared" si="0"/>
        <v>56.869999999999997</v>
      </c>
      <c r="H34" s="28">
        <f t="shared" si="0"/>
        <v>29.239999999999998</v>
      </c>
      <c r="I34" s="28">
        <f t="shared" si="0"/>
        <v>0.47999999999999998</v>
      </c>
      <c r="J34" s="28">
        <f t="shared" si="0"/>
        <v>0.089999999999999997</v>
      </c>
      <c r="K34" s="28">
        <f t="shared" si="0"/>
        <v>194.34999999999999</v>
      </c>
      <c r="L34" s="28">
        <f t="shared" si="0"/>
        <v>17.789999999999999</v>
      </c>
      <c r="M34" s="28">
        <f t="shared" si="0"/>
        <v>12.529999999999999</v>
      </c>
      <c r="N34" s="28">
        <f t="shared" si="0"/>
        <v>4.2000000000000002</v>
      </c>
      <c r="O34" s="28">
        <f t="shared" si="0"/>
        <v>0</v>
      </c>
      <c r="P34" s="28">
        <f t="shared" si="0"/>
        <v>0.67000000000000004</v>
      </c>
      <c r="Q34" s="28">
        <f t="shared" si="0"/>
        <v>10.369999999999999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209.65000000000001</v>
      </c>
      <c r="C35" s="29">
        <f t="shared" si="1"/>
        <v>156.97999999999999</v>
      </c>
      <c r="D35" s="29">
        <f t="shared" si="1"/>
        <v>254.75999999999999</v>
      </c>
      <c r="E35" s="29">
        <f t="shared" si="1"/>
        <v>46.07</v>
      </c>
      <c r="F35" s="29">
        <f t="shared" si="1"/>
        <v>81.299999999999997</v>
      </c>
      <c r="G35" s="29">
        <f t="shared" si="1"/>
        <v>244.69999999999999</v>
      </c>
      <c r="H35" s="29">
        <f t="shared" si="1"/>
        <v>76.599999999999994</v>
      </c>
      <c r="I35" s="29">
        <f t="shared" si="1"/>
        <v>1.46</v>
      </c>
      <c r="J35" s="29">
        <f t="shared" si="1"/>
        <v>1.3100000000000001</v>
      </c>
      <c r="K35" s="29">
        <f t="shared" si="1"/>
        <v>358.20999999999998</v>
      </c>
      <c r="L35" s="29">
        <f t="shared" si="1"/>
        <v>38.539999999999999</v>
      </c>
      <c r="M35" s="29">
        <f t="shared" si="1"/>
        <v>67.359999999999999</v>
      </c>
      <c r="N35" s="29">
        <f t="shared" si="1"/>
        <v>603.29999999999995</v>
      </c>
      <c r="O35" s="29">
        <f t="shared" si="1"/>
        <v>0</v>
      </c>
      <c r="P35" s="29">
        <f t="shared" si="1"/>
        <v>3.04</v>
      </c>
      <c r="Q35" s="29">
        <f t="shared" si="1"/>
        <v>35.75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83.177083333333314</v>
      </c>
      <c r="C36" s="28">
        <f t="shared" si="2"/>
        <v>110.48958333333333</v>
      </c>
      <c r="D36" s="28">
        <f t="shared" si="2"/>
        <v>127.25333333333332</v>
      </c>
      <c r="E36" s="28">
        <f t="shared" si="2"/>
        <v>15.150833333333329</v>
      </c>
      <c r="F36" s="28">
        <f t="shared" si="2"/>
        <v>21.152916666666666</v>
      </c>
      <c r="G36" s="28">
        <f t="shared" si="2"/>
        <v>126.0465217391304</v>
      </c>
      <c r="H36" s="28">
        <f t="shared" si="2"/>
        <v>48.448695652173917</v>
      </c>
      <c r="I36" s="28">
        <f t="shared" si="2"/>
        <v>0.86541666666666661</v>
      </c>
      <c r="J36" s="28">
        <f t="shared" si="2"/>
        <v>0.37291666666666662</v>
      </c>
      <c r="K36" s="28">
        <f t="shared" si="2"/>
        <v>306.98250000000002</v>
      </c>
      <c r="L36" s="28">
        <f t="shared" si="2"/>
        <v>27.097916666666674</v>
      </c>
      <c r="M36" s="28">
        <f t="shared" si="2"/>
        <v>42.661666666666662</v>
      </c>
      <c r="N36" s="28">
        <f t="shared" si="2"/>
        <v>186.3458333333333</v>
      </c>
      <c r="O36" s="28">
        <f t="shared" si="2"/>
        <v>0</v>
      </c>
      <c r="P36" s="28">
        <f t="shared" si="2"/>
        <v>1.7321739130434781</v>
      </c>
      <c r="Q36" s="28">
        <f t="shared" si="2"/>
        <v>25.277916666666659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69.843345173582819</v>
      </c>
      <c r="C37" s="28">
        <f t="shared" si="3" ref="C37:Q37">STDEV(C9:C32)</f>
        <v>25.891117241107089</v>
      </c>
      <c r="D37" s="28">
        <f t="shared" si="3"/>
        <v>68.803328449989266</v>
      </c>
      <c r="E37" s="28">
        <f t="shared" si="3"/>
        <v>13.271392874923865</v>
      </c>
      <c r="F37" s="28">
        <f t="shared" si="3"/>
        <v>30.607136064645285</v>
      </c>
      <c r="G37" s="28">
        <f t="shared" si="3"/>
        <v>65.853046357966704</v>
      </c>
      <c r="H37" s="28">
        <f t="shared" si="3"/>
        <v>13.700941342692062</v>
      </c>
      <c r="I37" s="28">
        <f t="shared" si="3"/>
        <v>0.31478051935009999</v>
      </c>
      <c r="J37" s="28">
        <f t="shared" si="3"/>
        <v>0.3415880963034747</v>
      </c>
      <c r="K37" s="28">
        <f t="shared" si="3"/>
        <v>50.234067450373622</v>
      </c>
      <c r="L37" s="28">
        <f t="shared" si="3"/>
        <v>7.4047640241686876</v>
      </c>
      <c r="M37" s="28">
        <f t="shared" si="3"/>
        <v>19.226819734460751</v>
      </c>
      <c r="N37" s="28">
        <f t="shared" si="3"/>
        <v>237.91500488010723</v>
      </c>
      <c r="O37" s="28">
        <f t="shared" si="3"/>
        <v>0</v>
      </c>
      <c r="P37" s="28">
        <f t="shared" si="3"/>
        <v>0.71871069234326646</v>
      </c>
      <c r="Q37" s="28">
        <f t="shared" si="3"/>
        <v>9.3540644405505002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65da3f-3761-4652-be3d-0ac7daac0e2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565</v>
      </c>
      <c r="B9" s="53">
        <v>162.37</v>
      </c>
      <c r="C9" s="53">
        <v>126.48</v>
      </c>
      <c r="D9" s="53">
        <v>200.01</v>
      </c>
      <c r="E9" s="53">
        <v>5.60</v>
      </c>
      <c r="F9" s="53">
        <v>0.12</v>
      </c>
      <c r="G9" s="53">
        <v>149.40</v>
      </c>
      <c r="H9" s="53">
        <v>69.260000000000005</v>
      </c>
      <c r="I9" s="53">
        <v>1.38</v>
      </c>
      <c r="J9" s="53">
        <v>0.28000000000000003</v>
      </c>
      <c r="K9" s="53">
        <v>351.10</v>
      </c>
      <c r="L9" s="53">
        <v>21.11</v>
      </c>
      <c r="M9" s="53">
        <v>57.14</v>
      </c>
      <c r="N9" s="53">
        <v>4.4000000000000004</v>
      </c>
      <c r="O9" s="53">
        <v>0</v>
      </c>
      <c r="P9" s="53">
        <v>2.65</v>
      </c>
      <c r="Q9" s="53">
        <v>34.75</v>
      </c>
      <c r="R9" s="45"/>
      <c r="S9" s="45"/>
      <c r="T9" s="45"/>
      <c r="U9" s="45"/>
    </row>
    <row r="10" spans="1:21" s="11" customFormat="1" ht="15">
      <c r="A10" s="52" t="s">
        <v>566</v>
      </c>
      <c r="B10" s="53">
        <v>127.75</v>
      </c>
      <c r="C10" s="53">
        <v>115.84</v>
      </c>
      <c r="D10" s="53">
        <v>166.33</v>
      </c>
      <c r="E10" s="53">
        <v>5.45</v>
      </c>
      <c r="F10" s="53">
        <v>0.57999999999999996</v>
      </c>
      <c r="G10" s="53">
        <v>119.80</v>
      </c>
      <c r="H10" s="53">
        <v>58.72</v>
      </c>
      <c r="I10" s="53">
        <v>1.24</v>
      </c>
      <c r="J10" s="53">
        <v>0.25</v>
      </c>
      <c r="K10" s="53">
        <v>359.51</v>
      </c>
      <c r="L10" s="53">
        <v>21.24</v>
      </c>
      <c r="M10" s="53">
        <v>58.37</v>
      </c>
      <c r="N10" s="53">
        <v>4.5999999999999996</v>
      </c>
      <c r="O10" s="53">
        <v>0</v>
      </c>
      <c r="P10" s="53">
        <v>2.2599999999999998</v>
      </c>
      <c r="Q10" s="53">
        <v>33.01</v>
      </c>
      <c r="R10" s="45"/>
      <c r="S10" s="45"/>
      <c r="T10" s="45"/>
      <c r="U10" s="45"/>
    </row>
    <row r="11" spans="1:21" s="11" customFormat="1" ht="15">
      <c r="A11" s="52" t="s">
        <v>567</v>
      </c>
      <c r="B11" s="53">
        <v>102.99</v>
      </c>
      <c r="C11" s="53">
        <v>108.87</v>
      </c>
      <c r="D11" s="53">
        <v>142.33000000000001</v>
      </c>
      <c r="E11" s="53">
        <v>4.96</v>
      </c>
      <c r="F11" s="53">
        <v>0.20</v>
      </c>
      <c r="G11" s="53">
        <v>101.28</v>
      </c>
      <c r="H11" s="53">
        <v>44.64</v>
      </c>
      <c r="I11" s="53">
        <v>1.1499999999999999</v>
      </c>
      <c r="J11" s="53">
        <v>0.17</v>
      </c>
      <c r="K11" s="53">
        <v>349.67</v>
      </c>
      <c r="L11" s="53">
        <v>19.850000000000001</v>
      </c>
      <c r="M11" s="53">
        <v>66.040000000000006</v>
      </c>
      <c r="N11" s="53">
        <v>4.5999999999999996</v>
      </c>
      <c r="O11" s="53">
        <v>0</v>
      </c>
      <c r="P11" s="53">
        <v>2.0499999999999998</v>
      </c>
      <c r="Q11" s="53">
        <v>33.31</v>
      </c>
      <c r="R11" s="45"/>
      <c r="S11" s="45"/>
      <c r="T11" s="45"/>
      <c r="U11" s="45"/>
    </row>
    <row r="12" spans="1:21" s="11" customFormat="1" ht="15">
      <c r="A12" s="52" t="s">
        <v>568</v>
      </c>
      <c r="B12" s="53">
        <v>82.61</v>
      </c>
      <c r="C12" s="53">
        <v>104.35</v>
      </c>
      <c r="D12" s="53">
        <v>123.83</v>
      </c>
      <c r="E12" s="53">
        <v>4.6900000000000004</v>
      </c>
      <c r="F12" s="53">
        <v>0.01</v>
      </c>
      <c r="G12" s="53">
        <v>101.28</v>
      </c>
      <c r="H12" s="53">
        <v>42.17</v>
      </c>
      <c r="I12" s="53">
        <v>0.95</v>
      </c>
      <c r="J12" s="53">
        <v>0.33</v>
      </c>
      <c r="K12" s="53">
        <v>184.39</v>
      </c>
      <c r="L12" s="53">
        <v>20.20</v>
      </c>
      <c r="M12" s="53">
        <v>65.08</v>
      </c>
      <c r="N12" s="53">
        <v>4.5999999999999996</v>
      </c>
      <c r="O12" s="53">
        <v>0</v>
      </c>
      <c r="P12" s="53">
        <v>1.74</v>
      </c>
      <c r="Q12" s="53">
        <v>32.15</v>
      </c>
      <c r="R12" s="45"/>
      <c r="S12" s="45"/>
      <c r="T12" s="45"/>
      <c r="U12" s="45"/>
    </row>
    <row r="13" spans="1:21" s="11" customFormat="1" ht="15">
      <c r="A13" s="52" t="s">
        <v>569</v>
      </c>
      <c r="B13" s="53">
        <v>61.16</v>
      </c>
      <c r="C13" s="53">
        <v>100.10</v>
      </c>
      <c r="D13" s="53">
        <v>104.15</v>
      </c>
      <c r="E13" s="53">
        <v>5.25</v>
      </c>
      <c r="F13" s="53">
        <v>0.05</v>
      </c>
      <c r="G13" s="53">
        <v>91.53</v>
      </c>
      <c r="H13" s="53">
        <v>39.770000000000003</v>
      </c>
      <c r="I13" s="53">
        <v>0.84</v>
      </c>
      <c r="J13" s="53">
        <v>0.17</v>
      </c>
      <c r="K13" s="53">
        <v>347.46</v>
      </c>
      <c r="L13" s="53">
        <v>19.45</v>
      </c>
      <c r="M13" s="53">
        <v>67.930000000000007</v>
      </c>
      <c r="N13" s="53">
        <v>4.30</v>
      </c>
      <c r="O13" s="53">
        <v>0</v>
      </c>
      <c r="P13" s="53">
        <v>1.52</v>
      </c>
      <c r="Q13" s="53">
        <v>29.98</v>
      </c>
      <c r="R13" s="45"/>
      <c r="S13" s="45"/>
      <c r="T13" s="45"/>
      <c r="U13" s="45"/>
    </row>
    <row r="14" spans="1:21" s="11" customFormat="1" ht="15">
      <c r="A14" s="52" t="s">
        <v>570</v>
      </c>
      <c r="B14" s="53">
        <v>71.61</v>
      </c>
      <c r="C14" s="53">
        <v>101.70</v>
      </c>
      <c r="D14" s="53">
        <v>113.55</v>
      </c>
      <c r="E14" s="53">
        <v>5.51</v>
      </c>
      <c r="F14" s="53">
        <v>0.04</v>
      </c>
      <c r="G14" s="53">
        <v>91.53</v>
      </c>
      <c r="H14" s="53">
        <v>41.56</v>
      </c>
      <c r="I14" s="53">
        <v>0.82</v>
      </c>
      <c r="J14" s="53">
        <v>0.09</v>
      </c>
      <c r="K14" s="53">
        <v>330.63</v>
      </c>
      <c r="L14" s="53">
        <v>19.34</v>
      </c>
      <c r="M14" s="53">
        <v>70.81</v>
      </c>
      <c r="N14" s="53">
        <v>4.5999999999999996</v>
      </c>
      <c r="O14" s="53">
        <v>0</v>
      </c>
      <c r="P14" s="53">
        <v>1.41</v>
      </c>
      <c r="Q14" s="53">
        <v>31.31</v>
      </c>
      <c r="R14" s="45"/>
      <c r="S14" s="45"/>
      <c r="T14" s="45"/>
      <c r="U14" s="45"/>
    </row>
    <row r="15" spans="1:21" s="11" customFormat="1" ht="15">
      <c r="A15" s="52" t="s">
        <v>571</v>
      </c>
      <c r="B15" s="53">
        <v>99.56</v>
      </c>
      <c r="C15" s="53">
        <v>104.72</v>
      </c>
      <c r="D15" s="53">
        <v>137.63</v>
      </c>
      <c r="E15" s="53">
        <v>5.54</v>
      </c>
      <c r="F15" s="53">
        <v>0.09</v>
      </c>
      <c r="G15" s="53">
        <v>111.11</v>
      </c>
      <c r="H15" s="53">
        <v>46.97</v>
      </c>
      <c r="I15" s="53">
        <v>0.86</v>
      </c>
      <c r="J15" s="53">
        <v>0.19</v>
      </c>
      <c r="K15" s="53">
        <v>334.81</v>
      </c>
      <c r="L15" s="53">
        <v>19.09</v>
      </c>
      <c r="M15" s="53">
        <v>72.760000000000005</v>
      </c>
      <c r="N15" s="53">
        <v>28.40</v>
      </c>
      <c r="O15" s="53">
        <v>0</v>
      </c>
      <c r="P15" s="53">
        <v>1.46</v>
      </c>
      <c r="Q15" s="53">
        <v>32.35</v>
      </c>
      <c r="R15" s="45"/>
      <c r="S15" s="45"/>
      <c r="T15" s="45"/>
      <c r="U15" s="45"/>
    </row>
    <row r="16" spans="1:21" s="11" customFormat="1" ht="15">
      <c r="A16" s="52" t="s">
        <v>572</v>
      </c>
      <c r="B16" s="53">
        <v>97.44</v>
      </c>
      <c r="C16" s="53">
        <v>104.11</v>
      </c>
      <c r="D16" s="53">
        <v>135.60</v>
      </c>
      <c r="E16" s="53">
        <v>5.44</v>
      </c>
      <c r="F16" s="53">
        <v>0.05</v>
      </c>
      <c r="G16" s="53">
        <v>111.11</v>
      </c>
      <c r="H16" s="53">
        <v>48.16</v>
      </c>
      <c r="I16" s="53">
        <v>0.87</v>
      </c>
      <c r="J16" s="53">
        <v>1.38</v>
      </c>
      <c r="K16" s="53">
        <v>225.27</v>
      </c>
      <c r="L16" s="53">
        <v>22.53</v>
      </c>
      <c r="M16" s="53">
        <v>61.73</v>
      </c>
      <c r="N16" s="53">
        <v>234.70</v>
      </c>
      <c r="O16" s="53">
        <v>0</v>
      </c>
      <c r="P16" s="53">
        <v>1.43</v>
      </c>
      <c r="Q16" s="53">
        <v>32.14</v>
      </c>
      <c r="R16" s="45"/>
      <c r="S16" s="45"/>
      <c r="T16" s="45"/>
      <c r="U16" s="45"/>
    </row>
    <row r="17" spans="1:21" s="11" customFormat="1" ht="15">
      <c r="A17" s="52" t="s">
        <v>573</v>
      </c>
      <c r="B17" s="53">
        <v>77.08</v>
      </c>
      <c r="C17" s="53">
        <v>104.23</v>
      </c>
      <c r="D17" s="53">
        <v>118.95</v>
      </c>
      <c r="E17" s="53">
        <v>5.42</v>
      </c>
      <c r="F17" s="53">
        <v>0.20</v>
      </c>
      <c r="G17" s="53">
        <v>100.65</v>
      </c>
      <c r="H17" s="53">
        <v>48.16</v>
      </c>
      <c r="I17" s="53">
        <v>0.81</v>
      </c>
      <c r="J17" s="53">
        <v>1.62</v>
      </c>
      <c r="K17" s="53">
        <v>184.36</v>
      </c>
      <c r="L17" s="53">
        <v>25.67</v>
      </c>
      <c r="M17" s="53">
        <v>50.30</v>
      </c>
      <c r="N17" s="53">
        <v>422.10</v>
      </c>
      <c r="O17" s="53">
        <v>0</v>
      </c>
      <c r="P17" s="53">
        <v>1.35</v>
      </c>
      <c r="Q17" s="53">
        <v>30.35</v>
      </c>
      <c r="R17" s="45"/>
      <c r="S17" s="45"/>
      <c r="T17" s="45"/>
      <c r="U17" s="45"/>
    </row>
    <row r="18" spans="1:21" s="11" customFormat="1" ht="15">
      <c r="A18" s="52" t="s">
        <v>574</v>
      </c>
      <c r="B18" s="53">
        <v>54.36</v>
      </c>
      <c r="C18" s="53">
        <v>110.59</v>
      </c>
      <c r="D18" s="53">
        <v>101.20</v>
      </c>
      <c r="E18" s="53">
        <v>5.84</v>
      </c>
      <c r="F18" s="53">
        <v>0.56000000000000005</v>
      </c>
      <c r="G18" s="53">
        <v>72.37</v>
      </c>
      <c r="H18" s="53">
        <v>42.29</v>
      </c>
      <c r="I18" s="53">
        <v>0.77</v>
      </c>
      <c r="J18" s="53">
        <v>1.82</v>
      </c>
      <c r="K18" s="53">
        <v>195.40</v>
      </c>
      <c r="L18" s="53">
        <v>30.03</v>
      </c>
      <c r="M18" s="53">
        <v>42.38</v>
      </c>
      <c r="N18" s="53">
        <v>559.60</v>
      </c>
      <c r="O18" s="53">
        <v>0</v>
      </c>
      <c r="P18" s="53">
        <v>1.37</v>
      </c>
      <c r="Q18" s="53">
        <v>30.57</v>
      </c>
      <c r="R18" s="45"/>
      <c r="S18" s="45"/>
      <c r="T18" s="45"/>
      <c r="U18" s="45"/>
    </row>
    <row r="19" spans="1:21" s="11" customFormat="1" ht="15">
      <c r="A19" s="52" t="s">
        <v>575</v>
      </c>
      <c r="B19" s="53">
        <v>29.34</v>
      </c>
      <c r="C19" s="53">
        <v>119.44</v>
      </c>
      <c r="D19" s="53">
        <v>86.34</v>
      </c>
      <c r="E19" s="53">
        <v>13.25</v>
      </c>
      <c r="F19" s="53">
        <v>10.25</v>
      </c>
      <c r="G19" s="53">
        <v>74.72</v>
      </c>
      <c r="H19" s="53">
        <v>40.799999999999997</v>
      </c>
      <c r="I19" s="53">
        <v>0.72</v>
      </c>
      <c r="J19" s="53">
        <v>0.98</v>
      </c>
      <c r="K19" s="53">
        <v>159.47999999999999</v>
      </c>
      <c r="L19" s="53">
        <v>35.979999999999997</v>
      </c>
      <c r="M19" s="53">
        <v>31.81</v>
      </c>
      <c r="N19" s="53">
        <v>563.29999999999995</v>
      </c>
      <c r="O19" s="53">
        <v>0</v>
      </c>
      <c r="P19" s="53">
        <v>1.62</v>
      </c>
      <c r="Q19" s="53">
        <v>30.07</v>
      </c>
      <c r="R19" s="45"/>
      <c r="S19" s="45"/>
      <c r="T19" s="45"/>
      <c r="U19" s="45"/>
    </row>
    <row r="20" spans="1:21" s="11" customFormat="1" ht="15">
      <c r="A20" s="52" t="s">
        <v>576</v>
      </c>
      <c r="B20" s="53">
        <v>2.0499999999999998</v>
      </c>
      <c r="C20" s="53">
        <v>106.02</v>
      </c>
      <c r="D20" s="53">
        <v>60.15</v>
      </c>
      <c r="E20" s="53">
        <v>29.71</v>
      </c>
      <c r="F20" s="53">
        <v>32.58</v>
      </c>
      <c r="G20" s="53">
        <v>74.72</v>
      </c>
      <c r="H20" s="53">
        <v>38.99</v>
      </c>
      <c r="I20" s="53">
        <v>0.67</v>
      </c>
      <c r="J20" s="53">
        <v>0.25</v>
      </c>
      <c r="K20" s="53">
        <v>351.41</v>
      </c>
      <c r="L20" s="53">
        <v>36.020000000000003</v>
      </c>
      <c r="M20" s="53">
        <v>25.25</v>
      </c>
      <c r="N20" s="53">
        <v>560.70000000000005</v>
      </c>
      <c r="O20" s="53">
        <v>0</v>
      </c>
      <c r="P20" s="53">
        <v>1.71</v>
      </c>
      <c r="Q20" s="53">
        <v>18.66</v>
      </c>
      <c r="R20" s="45"/>
      <c r="S20" s="45"/>
      <c r="T20" s="45"/>
      <c r="U20" s="45"/>
    </row>
    <row r="21" spans="1:21" s="11" customFormat="1" ht="15">
      <c r="A21" s="52" t="s">
        <v>577</v>
      </c>
      <c r="B21" s="53">
        <v>2.78</v>
      </c>
      <c r="C21" s="53">
        <v>90.80</v>
      </c>
      <c r="D21" s="53">
        <v>52.33</v>
      </c>
      <c r="E21" s="53">
        <v>14</v>
      </c>
      <c r="F21" s="53">
        <v>23.66</v>
      </c>
      <c r="G21" s="53">
        <v>71.58</v>
      </c>
      <c r="H21" s="53">
        <v>38.99</v>
      </c>
      <c r="I21" s="53">
        <v>0.53</v>
      </c>
      <c r="J21" s="53">
        <v>0.91</v>
      </c>
      <c r="K21" s="53">
        <v>355.03</v>
      </c>
      <c r="L21" s="53">
        <v>39.15</v>
      </c>
      <c r="M21" s="53">
        <v>16.059999999999999</v>
      </c>
      <c r="N21" s="53">
        <v>559.29999999999995</v>
      </c>
      <c r="O21" s="53">
        <v>0</v>
      </c>
      <c r="P21" s="53">
        <v>1.5</v>
      </c>
      <c r="Q21" s="53">
        <v>18.63</v>
      </c>
      <c r="R21" s="45"/>
      <c r="S21" s="45"/>
      <c r="T21" s="45"/>
      <c r="U21" s="45"/>
    </row>
    <row r="22" spans="1:21" s="11" customFormat="1" ht="15">
      <c r="A22" s="52" t="s">
        <v>578</v>
      </c>
      <c r="B22" s="53">
        <v>2.85</v>
      </c>
      <c r="C22" s="53">
        <v>89.78</v>
      </c>
      <c r="D22" s="53">
        <v>51.83</v>
      </c>
      <c r="E22" s="53">
        <v>6</v>
      </c>
      <c r="F22" s="53">
        <v>6.63</v>
      </c>
      <c r="G22" s="53">
        <v>68.489999999999995</v>
      </c>
      <c r="H22" s="53">
        <v>37.39</v>
      </c>
      <c r="I22" s="53">
        <v>0.55000000000000004</v>
      </c>
      <c r="J22" s="53">
        <v>1.39</v>
      </c>
      <c r="K22" s="53">
        <v>357.35</v>
      </c>
      <c r="L22" s="53">
        <v>39.22</v>
      </c>
      <c r="M22" s="53">
        <v>10.93</v>
      </c>
      <c r="N22" s="53">
        <v>492.40</v>
      </c>
      <c r="O22" s="53">
        <v>0</v>
      </c>
      <c r="P22" s="53">
        <v>1.35</v>
      </c>
      <c r="Q22" s="53">
        <v>21.22</v>
      </c>
      <c r="R22" s="45"/>
      <c r="S22" s="45"/>
      <c r="T22" s="45"/>
      <c r="U22" s="45"/>
    </row>
    <row r="23" spans="1:21" s="11" customFormat="1" ht="15">
      <c r="A23" s="52" t="s">
        <v>579</v>
      </c>
      <c r="B23" s="53">
        <v>3.39</v>
      </c>
      <c r="C23" s="53">
        <v>84.27</v>
      </c>
      <c r="D23" s="53">
        <v>48.92</v>
      </c>
      <c r="E23" s="53">
        <v>5.17</v>
      </c>
      <c r="F23" s="53">
        <v>7.45</v>
      </c>
      <c r="G23" s="53">
        <v>58.15</v>
      </c>
      <c r="H23" s="53">
        <v>31.10</v>
      </c>
      <c r="I23" s="53">
        <v>0.54</v>
      </c>
      <c r="J23" s="53">
        <v>0.84</v>
      </c>
      <c r="K23" s="53">
        <v>354.70</v>
      </c>
      <c r="L23" s="53">
        <v>38.340000000000003</v>
      </c>
      <c r="M23" s="53">
        <v>11.08</v>
      </c>
      <c r="N23" s="53">
        <v>410.40</v>
      </c>
      <c r="O23" s="53">
        <v>0</v>
      </c>
      <c r="P23" s="53">
        <v>1.05</v>
      </c>
      <c r="Q23" s="53">
        <v>21.41</v>
      </c>
      <c r="R23" s="45"/>
      <c r="S23" s="45"/>
      <c r="T23" s="45"/>
      <c r="U23" s="45"/>
    </row>
    <row r="24" spans="1:21" s="11" customFormat="1" ht="15">
      <c r="A24" s="52" t="s">
        <v>580</v>
      </c>
      <c r="B24" s="53">
        <v>2.52</v>
      </c>
      <c r="C24" s="53">
        <v>77.36</v>
      </c>
      <c r="D24" s="53">
        <v>44.72</v>
      </c>
      <c r="E24" s="53">
        <v>6.05</v>
      </c>
      <c r="F24" s="53">
        <v>12.37</v>
      </c>
      <c r="G24" s="53">
        <v>40.799999999999997</v>
      </c>
      <c r="H24" s="53">
        <v>26.78</v>
      </c>
      <c r="I24" s="53">
        <v>0.52</v>
      </c>
      <c r="J24" s="53">
        <v>0.49</v>
      </c>
      <c r="K24" s="53">
        <v>352.58</v>
      </c>
      <c r="L24" s="53">
        <v>37.35</v>
      </c>
      <c r="M24" s="53">
        <v>12.90</v>
      </c>
      <c r="N24" s="53">
        <v>303.60000000000002</v>
      </c>
      <c r="O24" s="53">
        <v>0</v>
      </c>
      <c r="P24" s="53">
        <v>0.84</v>
      </c>
      <c r="Q24" s="53">
        <v>21.46</v>
      </c>
      <c r="R24" s="45"/>
      <c r="S24" s="45"/>
      <c r="T24" s="45"/>
      <c r="U24" s="45"/>
    </row>
    <row r="25" spans="1:21" s="11" customFormat="1" ht="15">
      <c r="A25" s="52" t="s">
        <v>581</v>
      </c>
      <c r="B25" s="53">
        <v>0.96</v>
      </c>
      <c r="C25" s="53">
        <v>73.98</v>
      </c>
      <c r="D25" s="53">
        <v>41.58</v>
      </c>
      <c r="E25" s="53">
        <v>7.08</v>
      </c>
      <c r="F25" s="53">
        <v>12.15</v>
      </c>
      <c r="G25" s="53">
        <v>46.93</v>
      </c>
      <c r="H25" s="53">
        <v>21.13</v>
      </c>
      <c r="I25" s="53">
        <v>0.53</v>
      </c>
      <c r="J25" s="53">
        <v>0.32</v>
      </c>
      <c r="K25" s="53">
        <v>284.73</v>
      </c>
      <c r="L25" s="53">
        <v>34.5</v>
      </c>
      <c r="M25" s="53">
        <v>14.63</v>
      </c>
      <c r="N25" s="53">
        <v>148.90</v>
      </c>
      <c r="O25" s="53">
        <v>0</v>
      </c>
      <c r="P25" s="53">
        <v>0.71</v>
      </c>
      <c r="Q25" s="53">
        <v>20.83</v>
      </c>
      <c r="R25" s="45"/>
      <c r="S25" s="45"/>
      <c r="T25" s="45"/>
      <c r="U25" s="45"/>
    </row>
    <row r="26" spans="1:21" s="11" customFormat="1" ht="15">
      <c r="A26" s="52" t="s">
        <v>582</v>
      </c>
      <c r="B26" s="53">
        <v>7.27</v>
      </c>
      <c r="C26" s="53">
        <v>95.99</v>
      </c>
      <c r="D26" s="53">
        <v>58.81</v>
      </c>
      <c r="E26" s="53">
        <v>7.37</v>
      </c>
      <c r="F26" s="53">
        <v>9.90</v>
      </c>
      <c r="G26" s="53">
        <v>46.93</v>
      </c>
      <c r="H26" s="53">
        <v>21.29</v>
      </c>
      <c r="I26" s="53">
        <v>0.52</v>
      </c>
      <c r="J26" s="53">
        <v>0.23</v>
      </c>
      <c r="K26" s="53">
        <v>325.89999999999998</v>
      </c>
      <c r="L26" s="53">
        <v>32.770000000000003</v>
      </c>
      <c r="M26" s="53">
        <v>16.88</v>
      </c>
      <c r="N26" s="53">
        <v>40.10</v>
      </c>
      <c r="O26" s="53">
        <v>0</v>
      </c>
      <c r="P26" s="53">
        <v>1.08</v>
      </c>
      <c r="Q26" s="53">
        <v>20.60</v>
      </c>
      <c r="R26" s="45"/>
      <c r="S26" s="45"/>
      <c r="T26" s="45"/>
      <c r="U26" s="45"/>
    </row>
    <row r="27" spans="1:21" s="11" customFormat="1" ht="15">
      <c r="A27" s="52" t="s">
        <v>583</v>
      </c>
      <c r="B27" s="53">
        <v>22.36</v>
      </c>
      <c r="C27" s="53">
        <v>111.57</v>
      </c>
      <c r="D27" s="53">
        <v>79.510000000000005</v>
      </c>
      <c r="E27" s="53">
        <v>8.74</v>
      </c>
      <c r="F27" s="53">
        <v>4.63</v>
      </c>
      <c r="G27" s="53">
        <v>67.819999999999993</v>
      </c>
      <c r="H27" s="53">
        <v>27.82</v>
      </c>
      <c r="I27" s="53">
        <v>0.66</v>
      </c>
      <c r="J27" s="53">
        <v>0.56999999999999995</v>
      </c>
      <c r="K27" s="53">
        <v>354.45</v>
      </c>
      <c r="L27" s="53">
        <v>29.53</v>
      </c>
      <c r="M27" s="53">
        <v>22.73</v>
      </c>
      <c r="N27" s="53">
        <v>5.40</v>
      </c>
      <c r="O27" s="53">
        <v>0</v>
      </c>
      <c r="P27" s="53">
        <v>1.45</v>
      </c>
      <c r="Q27" s="53">
        <v>22.05</v>
      </c>
      <c r="R27" s="45"/>
      <c r="S27" s="45"/>
      <c r="T27" s="45"/>
      <c r="U27" s="45"/>
    </row>
    <row r="28" spans="1:21" s="11" customFormat="1" ht="15">
      <c r="A28" s="52" t="s">
        <v>584</v>
      </c>
      <c r="B28" s="53">
        <v>18.64</v>
      </c>
      <c r="C28" s="53">
        <v>104.93</v>
      </c>
      <c r="D28" s="53">
        <v>72.86</v>
      </c>
      <c r="E28" s="53">
        <v>10.40</v>
      </c>
      <c r="F28" s="53">
        <v>5.86</v>
      </c>
      <c r="G28" s="53">
        <v>72.319999999999993</v>
      </c>
      <c r="H28" s="53">
        <v>30.5</v>
      </c>
      <c r="I28" s="53">
        <v>0.67</v>
      </c>
      <c r="J28" s="53">
        <v>0.75</v>
      </c>
      <c r="K28" s="53">
        <v>354.01</v>
      </c>
      <c r="L28" s="53">
        <v>27.73</v>
      </c>
      <c r="M28" s="53">
        <v>25.85</v>
      </c>
      <c r="N28" s="53">
        <v>4.20</v>
      </c>
      <c r="O28" s="53">
        <v>0</v>
      </c>
      <c r="P28" s="53">
        <v>1.24</v>
      </c>
      <c r="Q28" s="53">
        <v>24.85</v>
      </c>
      <c r="R28" s="45"/>
      <c r="S28" s="45"/>
      <c r="T28" s="45"/>
      <c r="U28" s="45"/>
    </row>
    <row r="29" spans="1:21" s="11" customFormat="1" ht="15">
      <c r="A29" s="52" t="s">
        <v>585</v>
      </c>
      <c r="B29" s="53">
        <v>26.29</v>
      </c>
      <c r="C29" s="53">
        <v>113.90</v>
      </c>
      <c r="D29" s="53">
        <v>83.94</v>
      </c>
      <c r="E29" s="53">
        <v>8.52</v>
      </c>
      <c r="F29" s="53">
        <v>3.01</v>
      </c>
      <c r="G29" s="53">
        <v>83.27</v>
      </c>
      <c r="H29" s="53">
        <v>32.880000000000003</v>
      </c>
      <c r="I29" s="53">
        <v>0.68</v>
      </c>
      <c r="J29" s="53">
        <v>0.27</v>
      </c>
      <c r="K29" s="53">
        <v>347.96</v>
      </c>
      <c r="L29" s="53">
        <v>26.21</v>
      </c>
      <c r="M29" s="53">
        <v>28.37</v>
      </c>
      <c r="N29" s="53">
        <v>4.4000000000000004</v>
      </c>
      <c r="O29" s="53">
        <v>0</v>
      </c>
      <c r="P29" s="53">
        <v>1.43</v>
      </c>
      <c r="Q29" s="53">
        <v>28.5</v>
      </c>
      <c r="R29" s="45"/>
      <c r="S29" s="45"/>
      <c r="T29" s="45"/>
      <c r="U29" s="45"/>
    </row>
    <row r="30" spans="1:21" s="11" customFormat="1" ht="15">
      <c r="A30" s="52" t="s">
        <v>586</v>
      </c>
      <c r="B30" s="53">
        <v>50.21</v>
      </c>
      <c r="C30" s="53">
        <v>127.49</v>
      </c>
      <c r="D30" s="53">
        <v>110.63</v>
      </c>
      <c r="E30" s="53">
        <v>5.95</v>
      </c>
      <c r="F30" s="53">
        <v>0.45</v>
      </c>
      <c r="G30" s="53">
        <v>98.16</v>
      </c>
      <c r="H30" s="53">
        <v>36.619999999999997</v>
      </c>
      <c r="I30" s="53">
        <v>0.77</v>
      </c>
      <c r="J30" s="53">
        <v>0.10</v>
      </c>
      <c r="K30" s="53">
        <v>258.25</v>
      </c>
      <c r="L30" s="53">
        <v>24.78</v>
      </c>
      <c r="M30" s="53">
        <v>33.36</v>
      </c>
      <c r="N30" s="53">
        <v>4.4000000000000004</v>
      </c>
      <c r="O30" s="53">
        <v>0</v>
      </c>
      <c r="P30" s="53">
        <v>1.72</v>
      </c>
      <c r="Q30" s="53">
        <v>29.89</v>
      </c>
      <c r="R30" s="45"/>
      <c r="S30" s="45"/>
      <c r="T30" s="45"/>
      <c r="U30" s="45"/>
    </row>
    <row r="31" spans="1:21" s="11" customFormat="1" ht="15">
      <c r="A31" s="52" t="s">
        <v>587</v>
      </c>
      <c r="B31" s="53">
        <v>80.239999999999995</v>
      </c>
      <c r="C31" s="53">
        <v>127.43</v>
      </c>
      <c r="D31" s="53">
        <v>134.61000000000001</v>
      </c>
      <c r="E31" s="53">
        <v>5.39</v>
      </c>
      <c r="F31" s="53">
        <v>0.26</v>
      </c>
      <c r="G31" s="53">
        <v>167.56</v>
      </c>
      <c r="H31" s="53">
        <v>45.88</v>
      </c>
      <c r="I31" s="53">
        <v>0.92</v>
      </c>
      <c r="J31" s="53">
        <v>0.11</v>
      </c>
      <c r="K31" s="53">
        <v>276.95999999999998</v>
      </c>
      <c r="L31" s="53">
        <v>23.37</v>
      </c>
      <c r="M31" s="53">
        <v>45.66</v>
      </c>
      <c r="N31" s="53">
        <v>4.5</v>
      </c>
      <c r="O31" s="53">
        <v>0</v>
      </c>
      <c r="P31" s="53">
        <v>1.85</v>
      </c>
      <c r="Q31" s="53">
        <v>28.94</v>
      </c>
      <c r="R31" s="45"/>
      <c r="S31" s="45"/>
      <c r="T31" s="45"/>
      <c r="U31" s="45"/>
    </row>
    <row r="32" spans="1:21" s="11" customFormat="1" ht="15">
      <c r="A32" s="52" t="s">
        <v>588</v>
      </c>
      <c r="B32" s="53">
        <v>102.15</v>
      </c>
      <c r="C32" s="53">
        <v>125.05</v>
      </c>
      <c r="D32" s="53">
        <v>150.31</v>
      </c>
      <c r="E32" s="53">
        <v>4.1500000000000004</v>
      </c>
      <c r="F32" s="53">
        <v>0.18</v>
      </c>
      <c r="G32" s="53">
        <v>184.59</v>
      </c>
      <c r="H32" s="53">
        <v>53.93</v>
      </c>
      <c r="I32" s="53">
        <v>1</v>
      </c>
      <c r="J32" s="53">
        <v>0.20</v>
      </c>
      <c r="K32" s="53">
        <v>301.20</v>
      </c>
      <c r="L32" s="53">
        <v>21.31</v>
      </c>
      <c r="M32" s="53">
        <v>52.35</v>
      </c>
      <c r="N32" s="53">
        <v>4.30</v>
      </c>
      <c r="O32" s="53">
        <v>0</v>
      </c>
      <c r="P32" s="53">
        <v>1.91</v>
      </c>
      <c r="Q32" s="53">
        <v>33.270000000000003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0.95999999999999996</v>
      </c>
      <c r="C34" s="28">
        <f t="shared" si="0"/>
        <v>73.980000000000004</v>
      </c>
      <c r="D34" s="28">
        <f t="shared" si="0"/>
        <v>41.579999999999998</v>
      </c>
      <c r="E34" s="28">
        <f t="shared" si="0"/>
        <v>4.1500000000000004</v>
      </c>
      <c r="F34" s="28">
        <f t="shared" si="0"/>
        <v>0.01</v>
      </c>
      <c r="G34" s="28">
        <f t="shared" si="0"/>
        <v>40.799999999999997</v>
      </c>
      <c r="H34" s="28">
        <f t="shared" si="0"/>
        <v>21.129999999999999</v>
      </c>
      <c r="I34" s="28">
        <f t="shared" si="0"/>
        <v>0.52000000000000002</v>
      </c>
      <c r="J34" s="28">
        <f t="shared" si="0"/>
        <v>0.089999999999999997</v>
      </c>
      <c r="K34" s="28">
        <f t="shared" si="0"/>
        <v>159.47999999999999</v>
      </c>
      <c r="L34" s="28">
        <f t="shared" si="0"/>
        <v>19.09</v>
      </c>
      <c r="M34" s="28">
        <f t="shared" si="0"/>
        <v>10.93</v>
      </c>
      <c r="N34" s="28">
        <f t="shared" si="0"/>
        <v>4.2000000000000002</v>
      </c>
      <c r="O34" s="28">
        <f t="shared" si="0"/>
        <v>0</v>
      </c>
      <c r="P34" s="28">
        <f t="shared" si="0"/>
        <v>0.70999999999999996</v>
      </c>
      <c r="Q34" s="28">
        <f t="shared" si="0"/>
        <v>18.629999999999999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162.37</v>
      </c>
      <c r="C35" s="29">
        <f t="shared" si="1"/>
        <v>127.48999999999999</v>
      </c>
      <c r="D35" s="29">
        <f t="shared" si="1"/>
        <v>200.00999999999999</v>
      </c>
      <c r="E35" s="29">
        <f t="shared" si="1"/>
        <v>29.710000000000001</v>
      </c>
      <c r="F35" s="29">
        <f t="shared" si="1"/>
        <v>32.579999999999998</v>
      </c>
      <c r="G35" s="29">
        <f t="shared" si="1"/>
        <v>184.59</v>
      </c>
      <c r="H35" s="29">
        <f t="shared" si="1"/>
        <v>69.260000000000005</v>
      </c>
      <c r="I35" s="29">
        <f t="shared" si="1"/>
        <v>1.3799999999999999</v>
      </c>
      <c r="J35" s="29">
        <f t="shared" si="1"/>
        <v>1.8200000000000001</v>
      </c>
      <c r="K35" s="29">
        <f t="shared" si="1"/>
        <v>359.50999999999999</v>
      </c>
      <c r="L35" s="29">
        <f t="shared" si="1"/>
        <v>39.219999999999999</v>
      </c>
      <c r="M35" s="29">
        <f t="shared" si="1"/>
        <v>72.760000000000005</v>
      </c>
      <c r="N35" s="29">
        <f t="shared" si="1"/>
        <v>563.29999999999995</v>
      </c>
      <c r="O35" s="29">
        <f t="shared" si="1"/>
        <v>0</v>
      </c>
      <c r="P35" s="29">
        <f t="shared" si="1"/>
        <v>2.6499999999999999</v>
      </c>
      <c r="Q35" s="29">
        <f t="shared" si="1"/>
        <v>34.75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53.665833333333346</v>
      </c>
      <c r="C36" s="28">
        <f t="shared" si="2"/>
        <v>105.37499999999999</v>
      </c>
      <c r="D36" s="28">
        <f t="shared" si="2"/>
        <v>100.83833333333332</v>
      </c>
      <c r="E36" s="28">
        <f t="shared" si="2"/>
        <v>7.7283333333333344</v>
      </c>
      <c r="F36" s="28">
        <f t="shared" si="2"/>
        <v>5.4699999999999998</v>
      </c>
      <c r="G36" s="28">
        <f t="shared" si="2"/>
        <v>91.920833333333334</v>
      </c>
      <c r="H36" s="28">
        <f t="shared" si="2"/>
        <v>40.241666666666667</v>
      </c>
      <c r="I36" s="28">
        <f t="shared" si="2"/>
        <v>0.79041666666666666</v>
      </c>
      <c r="J36" s="28">
        <f t="shared" si="2"/>
        <v>0.57125000000000004</v>
      </c>
      <c r="K36" s="28">
        <f t="shared" si="2"/>
        <v>304.02541666666667</v>
      </c>
      <c r="L36" s="28">
        <f t="shared" si="2"/>
        <v>27.69875</v>
      </c>
      <c r="M36" s="28">
        <f t="shared" si="2"/>
        <v>40.016666666666659</v>
      </c>
      <c r="N36" s="28">
        <f t="shared" si="2"/>
        <v>182.4083333333333</v>
      </c>
      <c r="O36" s="28">
        <f t="shared" si="2"/>
        <v>0</v>
      </c>
      <c r="P36" s="28">
        <f t="shared" si="2"/>
        <v>1.5291666666666666</v>
      </c>
      <c r="Q36" s="28">
        <f t="shared" si="2"/>
        <v>27.512500000000003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46.649360862080187</v>
      </c>
      <c r="C37" s="28">
        <f t="shared" si="3" ref="C37:Q37">STDEV(C9:C32)</f>
        <v>14.849659050397134</v>
      </c>
      <c r="D37" s="28">
        <f t="shared" si="3"/>
        <v>42.929408959630337</v>
      </c>
      <c r="E37" s="28">
        <f t="shared" si="3"/>
        <v>5.3272683812435329</v>
      </c>
      <c r="F37" s="28">
        <f t="shared" si="3"/>
        <v>8.2678528835694607</v>
      </c>
      <c r="G37" s="28">
        <f t="shared" si="3"/>
        <v>36.233417426538708</v>
      </c>
      <c r="H37" s="28">
        <f t="shared" si="3"/>
        <v>11.267223980727652</v>
      </c>
      <c r="I37" s="28">
        <f t="shared" si="3"/>
        <v>0.23279920750400554</v>
      </c>
      <c r="J37" s="28">
        <f t="shared" si="3"/>
        <v>0.52202209265259192</v>
      </c>
      <c r="K37" s="28">
        <f t="shared" si="3"/>
        <v>66.503207570839194</v>
      </c>
      <c r="L37" s="28">
        <f t="shared" si="3"/>
        <v>7.2380127662465421</v>
      </c>
      <c r="M37" s="28">
        <f t="shared" si="3"/>
        <v>21.507307689666135</v>
      </c>
      <c r="N37" s="28">
        <f t="shared" si="3"/>
        <v>230.33593032156637</v>
      </c>
      <c r="O37" s="28">
        <f t="shared" si="3"/>
        <v>0</v>
      </c>
      <c r="P37" s="28">
        <f t="shared" si="3"/>
        <v>0.42873845951426731</v>
      </c>
      <c r="Q37" s="28">
        <f t="shared" si="3"/>
        <v>5.392835222694119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4241c0-63af-46fb-b515-7076ff502878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39" sqref="F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589</v>
      </c>
      <c r="B9" s="53">
        <v>110.77</v>
      </c>
      <c r="C9" s="53">
        <v>122.39</v>
      </c>
      <c r="D9" s="53">
        <v>155.93</v>
      </c>
      <c r="E9" s="53">
        <v>4.45</v>
      </c>
      <c r="F9" s="53">
        <v>0.10</v>
      </c>
      <c r="G9" s="53">
        <v>184.59</v>
      </c>
      <c r="H9" s="53">
        <v>53.93</v>
      </c>
      <c r="I9" s="53">
        <v>1.06</v>
      </c>
      <c r="J9" s="53">
        <v>0.13</v>
      </c>
      <c r="K9" s="53">
        <v>345.13</v>
      </c>
      <c r="L9" s="53">
        <v>20.440000000000001</v>
      </c>
      <c r="M9" s="53">
        <v>52</v>
      </c>
      <c r="N9" s="53">
        <v>4.30</v>
      </c>
      <c r="O9" s="53">
        <v>0</v>
      </c>
      <c r="P9" s="53">
        <v>1.94</v>
      </c>
      <c r="Q9" s="53">
        <v>34.28</v>
      </c>
      <c r="R9" s="45"/>
      <c r="S9" s="45"/>
      <c r="T9" s="45"/>
      <c r="U9" s="45"/>
    </row>
    <row r="10" spans="1:21" s="11" customFormat="1" ht="15">
      <c r="A10" s="52" t="s">
        <v>590</v>
      </c>
      <c r="B10" s="53">
        <v>102.72</v>
      </c>
      <c r="C10" s="53">
        <v>118.76</v>
      </c>
      <c r="D10" s="53">
        <v>147.91999999999999</v>
      </c>
      <c r="E10" s="53">
        <v>4.2300000000000004</v>
      </c>
      <c r="F10" s="53">
        <v>0.06</v>
      </c>
      <c r="G10" s="53">
        <v>147.99</v>
      </c>
      <c r="H10" s="53">
        <v>54.12</v>
      </c>
      <c r="I10" s="53">
        <v>1.05</v>
      </c>
      <c r="J10" s="53">
        <v>0.10</v>
      </c>
      <c r="K10" s="53">
        <v>291.19</v>
      </c>
      <c r="L10" s="53">
        <v>20.239999999999998</v>
      </c>
      <c r="M10" s="53">
        <v>54.85</v>
      </c>
      <c r="N10" s="53">
        <v>4.5</v>
      </c>
      <c r="O10" s="53">
        <v>0</v>
      </c>
      <c r="P10" s="53">
        <v>1.81</v>
      </c>
      <c r="Q10" s="53">
        <v>33.72</v>
      </c>
      <c r="R10" s="45"/>
      <c r="S10" s="45"/>
      <c r="T10" s="45"/>
      <c r="U10" s="45"/>
    </row>
    <row r="11" spans="1:21" s="11" customFormat="1" ht="15">
      <c r="A11" s="52" t="s">
        <v>591</v>
      </c>
      <c r="B11" s="53">
        <v>91.02</v>
      </c>
      <c r="C11" s="53">
        <v>113.87</v>
      </c>
      <c r="D11" s="53">
        <v>135.83000000000001</v>
      </c>
      <c r="E11" s="53">
        <v>4.46</v>
      </c>
      <c r="F11" s="53">
        <v>0.01</v>
      </c>
      <c r="G11" s="53">
        <v>147.99</v>
      </c>
      <c r="H11" s="53">
        <v>54.12</v>
      </c>
      <c r="I11" s="53">
        <v>0.90</v>
      </c>
      <c r="J11" s="53">
        <v>0.14000000000000001</v>
      </c>
      <c r="K11" s="53">
        <v>333.83</v>
      </c>
      <c r="L11" s="53">
        <v>19.14</v>
      </c>
      <c r="M11" s="53">
        <v>59.41</v>
      </c>
      <c r="N11" s="53">
        <v>4.4000000000000004</v>
      </c>
      <c r="O11" s="53">
        <v>0</v>
      </c>
      <c r="P11" s="53">
        <v>1.73</v>
      </c>
      <c r="Q11" s="53">
        <v>32.299999999999997</v>
      </c>
      <c r="R11" s="45"/>
      <c r="S11" s="45"/>
      <c r="T11" s="45"/>
      <c r="U11" s="45"/>
    </row>
    <row r="12" spans="1:21" s="11" customFormat="1" ht="15">
      <c r="A12" s="52" t="s">
        <v>592</v>
      </c>
      <c r="B12" s="53">
        <v>79.650000000000006</v>
      </c>
      <c r="C12" s="53">
        <v>109.04</v>
      </c>
      <c r="D12" s="53">
        <v>124.05</v>
      </c>
      <c r="E12" s="53">
        <v>3.98</v>
      </c>
      <c r="F12" s="53">
        <v>0.04</v>
      </c>
      <c r="G12" s="53">
        <v>114.79</v>
      </c>
      <c r="H12" s="53">
        <v>53.17</v>
      </c>
      <c r="I12" s="53">
        <v>0.89</v>
      </c>
      <c r="J12" s="53">
        <v>0.31</v>
      </c>
      <c r="K12" s="53">
        <v>331.98</v>
      </c>
      <c r="L12" s="53">
        <v>18.760000000000002</v>
      </c>
      <c r="M12" s="53">
        <v>63.60</v>
      </c>
      <c r="N12" s="53">
        <v>4.4000000000000004</v>
      </c>
      <c r="O12" s="53">
        <v>0</v>
      </c>
      <c r="P12" s="53">
        <v>1.62</v>
      </c>
      <c r="Q12" s="53">
        <v>32.61</v>
      </c>
      <c r="R12" s="45"/>
      <c r="S12" s="45"/>
      <c r="T12" s="45"/>
      <c r="U12" s="45"/>
    </row>
    <row r="13" spans="1:21" s="11" customFormat="1" ht="15">
      <c r="A13" s="52" t="s">
        <v>593</v>
      </c>
      <c r="B13" s="53">
        <v>72.75</v>
      </c>
      <c r="C13" s="53">
        <v>106.76</v>
      </c>
      <c r="D13" s="53">
        <v>117.26</v>
      </c>
      <c r="E13" s="53">
        <v>5.03</v>
      </c>
      <c r="F13" s="53">
        <v>0.01</v>
      </c>
      <c r="G13" s="53">
        <v>114.79</v>
      </c>
      <c r="H13" s="53">
        <v>48.61</v>
      </c>
      <c r="I13" s="53">
        <v>0.85</v>
      </c>
      <c r="J13" s="53">
        <v>0.30</v>
      </c>
      <c r="K13" s="53">
        <v>348.51</v>
      </c>
      <c r="L13" s="53">
        <v>19.059999999999999</v>
      </c>
      <c r="M13" s="53">
        <v>59.18</v>
      </c>
      <c r="N13" s="53">
        <v>4.0999999999999996</v>
      </c>
      <c r="O13" s="53">
        <v>0</v>
      </c>
      <c r="P13" s="53">
        <v>1.49</v>
      </c>
      <c r="Q13" s="53">
        <v>32.35</v>
      </c>
      <c r="R13" s="45"/>
      <c r="S13" s="45"/>
      <c r="T13" s="45"/>
      <c r="U13" s="45"/>
    </row>
    <row r="14" spans="1:21" s="11" customFormat="1" ht="15">
      <c r="A14" s="52" t="s">
        <v>594</v>
      </c>
      <c r="B14" s="53">
        <v>65.47</v>
      </c>
      <c r="C14" s="53">
        <v>105.22</v>
      </c>
      <c r="D14" s="53">
        <v>110.51</v>
      </c>
      <c r="E14" s="53">
        <v>4.88</v>
      </c>
      <c r="F14" s="53">
        <v>0.04</v>
      </c>
      <c r="G14" s="53">
        <v>99.62</v>
      </c>
      <c r="H14" s="53">
        <v>46.54</v>
      </c>
      <c r="I14" s="53">
        <v>0.80</v>
      </c>
      <c r="J14" s="53">
        <v>0.15</v>
      </c>
      <c r="K14" s="53">
        <v>330.44</v>
      </c>
      <c r="L14" s="53">
        <v>18.510000000000002</v>
      </c>
      <c r="M14" s="53">
        <v>63.89</v>
      </c>
      <c r="N14" s="53">
        <v>4.5999999999999996</v>
      </c>
      <c r="O14" s="53">
        <v>0</v>
      </c>
      <c r="P14" s="53">
        <v>1.36</v>
      </c>
      <c r="Q14" s="53">
        <v>30.98</v>
      </c>
      <c r="R14" s="45"/>
      <c r="S14" s="45"/>
      <c r="T14" s="45"/>
      <c r="U14" s="45"/>
    </row>
    <row r="15" spans="1:21" s="11" customFormat="1" ht="15">
      <c r="A15" s="52" t="s">
        <v>595</v>
      </c>
      <c r="B15" s="53">
        <v>67.19</v>
      </c>
      <c r="C15" s="53">
        <v>105.12</v>
      </c>
      <c r="D15" s="53">
        <v>111.89</v>
      </c>
      <c r="E15" s="53">
        <v>4.9800000000000004</v>
      </c>
      <c r="F15" s="5" t="s">
        <v>14</v>
      </c>
      <c r="G15" s="53">
        <v>98.97</v>
      </c>
      <c r="H15" s="53">
        <v>43.52</v>
      </c>
      <c r="I15" s="53">
        <v>0.79</v>
      </c>
      <c r="J15" s="53">
        <v>0.17</v>
      </c>
      <c r="K15" s="53">
        <v>356.88</v>
      </c>
      <c r="L15" s="53">
        <v>17.78</v>
      </c>
      <c r="M15" s="53">
        <v>62.70</v>
      </c>
      <c r="N15" s="53">
        <v>29.90</v>
      </c>
      <c r="O15" s="53">
        <v>0</v>
      </c>
      <c r="P15" s="53">
        <v>1.33</v>
      </c>
      <c r="Q15" s="53">
        <v>30.42</v>
      </c>
      <c r="R15" s="45"/>
      <c r="S15" s="45"/>
      <c r="T15" s="45"/>
      <c r="U15" s="45"/>
    </row>
    <row r="16" spans="1:21" s="11" customFormat="1" ht="15">
      <c r="A16" s="52" t="s">
        <v>596</v>
      </c>
      <c r="B16" s="53">
        <v>65.67</v>
      </c>
      <c r="C16" s="53">
        <v>105.27</v>
      </c>
      <c r="D16" s="53">
        <v>110.52</v>
      </c>
      <c r="E16" s="53">
        <v>5.27</v>
      </c>
      <c r="F16" s="53">
        <v>0.11</v>
      </c>
      <c r="G16" s="53">
        <v>98.97</v>
      </c>
      <c r="H16" s="53">
        <v>42.88</v>
      </c>
      <c r="I16" s="53">
        <v>0.77</v>
      </c>
      <c r="J16" s="53">
        <v>0.16</v>
      </c>
      <c r="K16" s="53">
        <v>180.94</v>
      </c>
      <c r="L16" s="53">
        <v>25.01</v>
      </c>
      <c r="M16" s="53">
        <v>57.45</v>
      </c>
      <c r="N16" s="53">
        <v>234.30</v>
      </c>
      <c r="O16" s="53">
        <v>0</v>
      </c>
      <c r="P16" s="53">
        <v>1.27</v>
      </c>
      <c r="Q16" s="53">
        <v>31.20</v>
      </c>
      <c r="R16" s="45"/>
      <c r="S16" s="45"/>
      <c r="T16" s="45"/>
      <c r="U16" s="45"/>
    </row>
    <row r="17" spans="1:21" s="11" customFormat="1" ht="15">
      <c r="A17" s="52" t="s">
        <v>597</v>
      </c>
      <c r="B17" s="53">
        <v>50.18</v>
      </c>
      <c r="C17" s="53">
        <v>113.33</v>
      </c>
      <c r="D17" s="53">
        <v>99.51</v>
      </c>
      <c r="E17" s="53">
        <v>4.26</v>
      </c>
      <c r="F17" s="53">
        <v>0.21</v>
      </c>
      <c r="G17" s="53">
        <v>81.91</v>
      </c>
      <c r="H17" s="53">
        <v>42.51</v>
      </c>
      <c r="I17" s="53">
        <v>0.74</v>
      </c>
      <c r="J17" s="53">
        <v>0.30</v>
      </c>
      <c r="K17" s="53">
        <v>357.26</v>
      </c>
      <c r="L17" s="53">
        <v>30.41</v>
      </c>
      <c r="M17" s="53">
        <v>38.85</v>
      </c>
      <c r="N17" s="53">
        <v>400.10</v>
      </c>
      <c r="O17" s="53">
        <v>0</v>
      </c>
      <c r="P17" s="53">
        <v>1.24</v>
      </c>
      <c r="Q17" s="53">
        <v>30.43</v>
      </c>
      <c r="R17" s="45"/>
      <c r="S17" s="45"/>
      <c r="T17" s="45"/>
      <c r="U17" s="45"/>
    </row>
    <row r="18" spans="1:21" s="11" customFormat="1" ht="15">
      <c r="A18" s="52" t="s">
        <v>598</v>
      </c>
      <c r="B18" s="53">
        <v>39.04</v>
      </c>
      <c r="C18" s="53">
        <v>114.69</v>
      </c>
      <c r="D18" s="53">
        <v>94.49</v>
      </c>
      <c r="E18" s="53">
        <v>5.09</v>
      </c>
      <c r="F18" s="53">
        <v>2.5099999999999998</v>
      </c>
      <c r="G18" s="53">
        <v>76.03</v>
      </c>
      <c r="H18" s="53">
        <v>38.94</v>
      </c>
      <c r="I18" s="53">
        <v>0.71</v>
      </c>
      <c r="J18" s="53">
        <v>0.64</v>
      </c>
      <c r="K18" s="53">
        <v>357.82</v>
      </c>
      <c r="L18" s="53">
        <v>34.61</v>
      </c>
      <c r="M18" s="53">
        <v>28.94</v>
      </c>
      <c r="N18" s="53">
        <v>563.40</v>
      </c>
      <c r="O18" s="53">
        <v>0</v>
      </c>
      <c r="P18" s="53">
        <v>1.23</v>
      </c>
      <c r="Q18" s="53">
        <v>29.85</v>
      </c>
      <c r="R18" s="45"/>
      <c r="S18" s="45"/>
      <c r="T18" s="45"/>
      <c r="U18" s="45"/>
    </row>
    <row r="19" spans="1:21" s="11" customFormat="1" ht="15">
      <c r="A19" s="52" t="s">
        <v>599</v>
      </c>
      <c r="B19" s="53">
        <v>28.61</v>
      </c>
      <c r="C19" s="53">
        <v>118.31</v>
      </c>
      <c r="D19" s="53">
        <v>85.68</v>
      </c>
      <c r="E19" s="53">
        <v>6.32</v>
      </c>
      <c r="F19" s="53">
        <v>3.27</v>
      </c>
      <c r="G19" s="53">
        <v>68.569999999999993</v>
      </c>
      <c r="H19" s="53">
        <v>37.47</v>
      </c>
      <c r="I19" s="53">
        <v>0.72</v>
      </c>
      <c r="J19" s="53">
        <v>1.17</v>
      </c>
      <c r="K19" s="53">
        <v>359.02</v>
      </c>
      <c r="L19" s="53">
        <v>37.65</v>
      </c>
      <c r="M19" s="53">
        <v>17.84</v>
      </c>
      <c r="N19" s="53">
        <v>592.40</v>
      </c>
      <c r="O19" s="53">
        <v>0</v>
      </c>
      <c r="P19" s="53">
        <v>1.22</v>
      </c>
      <c r="Q19" s="53">
        <v>30.82</v>
      </c>
      <c r="R19" s="45"/>
      <c r="S19" s="45"/>
      <c r="T19" s="45"/>
      <c r="U19" s="45"/>
    </row>
    <row r="20" spans="1:21" s="11" customFormat="1" ht="15">
      <c r="A20" s="52" t="s">
        <v>600</v>
      </c>
      <c r="B20" s="53">
        <v>15.24</v>
      </c>
      <c r="C20" s="53">
        <v>120.76</v>
      </c>
      <c r="D20" s="53">
        <v>77.66</v>
      </c>
      <c r="E20" s="53">
        <v>5.83</v>
      </c>
      <c r="F20" s="53">
        <v>2.94</v>
      </c>
      <c r="G20" s="53">
        <v>66.84</v>
      </c>
      <c r="H20" s="53">
        <v>35.40</v>
      </c>
      <c r="I20" s="53">
        <v>0.71</v>
      </c>
      <c r="J20" s="53">
        <v>1.06</v>
      </c>
      <c r="K20" s="53">
        <v>356.88</v>
      </c>
      <c r="L20" s="53">
        <v>38.11</v>
      </c>
      <c r="M20" s="53">
        <v>16.27</v>
      </c>
      <c r="N20" s="53">
        <v>586.60</v>
      </c>
      <c r="O20" s="53">
        <v>0</v>
      </c>
      <c r="P20" s="53">
        <v>1.1599999999999999</v>
      </c>
      <c r="Q20" s="53">
        <v>30.65</v>
      </c>
      <c r="R20" s="45"/>
      <c r="S20" s="45"/>
      <c r="T20" s="45"/>
      <c r="U20" s="45"/>
    </row>
    <row r="21" spans="1:21" s="11" customFormat="1" ht="15">
      <c r="A21" s="52" t="s">
        <v>601</v>
      </c>
      <c r="B21" s="53">
        <v>4.6500000000000004</v>
      </c>
      <c r="C21" s="53">
        <v>117.62</v>
      </c>
      <c r="D21" s="53">
        <v>68.64</v>
      </c>
      <c r="E21" s="53">
        <v>4.3099999999999996</v>
      </c>
      <c r="F21" s="53">
        <v>3.95</v>
      </c>
      <c r="G21" s="53">
        <v>66.760000000000005</v>
      </c>
      <c r="H21" s="53">
        <v>33.15</v>
      </c>
      <c r="I21" s="53">
        <v>0.68</v>
      </c>
      <c r="J21" s="53">
        <v>1.64</v>
      </c>
      <c r="K21" s="53">
        <v>359.82</v>
      </c>
      <c r="L21" s="53">
        <v>38.24</v>
      </c>
      <c r="M21" s="53">
        <v>15.15</v>
      </c>
      <c r="N21" s="53">
        <v>576.70000000000005</v>
      </c>
      <c r="O21" s="53">
        <v>0</v>
      </c>
      <c r="P21" s="53">
        <v>1.01</v>
      </c>
      <c r="Q21" s="53">
        <v>28.94</v>
      </c>
      <c r="R21" s="45"/>
      <c r="S21" s="45"/>
      <c r="T21" s="45"/>
      <c r="U21" s="45"/>
    </row>
    <row r="22" spans="1:21" s="11" customFormat="1" ht="15">
      <c r="A22" s="52" t="s">
        <v>602</v>
      </c>
      <c r="B22" s="53">
        <v>1.93</v>
      </c>
      <c r="C22" s="53">
        <v>102.29</v>
      </c>
      <c r="D22" s="53">
        <v>58</v>
      </c>
      <c r="E22" s="53">
        <v>4.2699999999999996</v>
      </c>
      <c r="F22" s="53">
        <v>4.70</v>
      </c>
      <c r="G22" s="53">
        <v>44.34</v>
      </c>
      <c r="H22" s="53">
        <v>22.58</v>
      </c>
      <c r="I22" s="53">
        <v>0.63</v>
      </c>
      <c r="J22" s="53">
        <v>1.27</v>
      </c>
      <c r="K22" s="53">
        <v>355.69</v>
      </c>
      <c r="L22" s="53">
        <v>37.799999999999997</v>
      </c>
      <c r="M22" s="53">
        <v>15.25</v>
      </c>
      <c r="N22" s="53">
        <v>523.40</v>
      </c>
      <c r="O22" s="53">
        <v>0</v>
      </c>
      <c r="P22" s="53">
        <v>0.82</v>
      </c>
      <c r="Q22" s="53">
        <v>25.87</v>
      </c>
      <c r="R22" s="45"/>
      <c r="S22" s="45"/>
      <c r="T22" s="45"/>
      <c r="U22" s="45"/>
    </row>
    <row r="23" spans="1:21" s="11" customFormat="1" ht="15">
      <c r="A23" s="52" t="s">
        <v>603</v>
      </c>
      <c r="B23" s="53">
        <v>2.11</v>
      </c>
      <c r="C23" s="53">
        <v>91.09</v>
      </c>
      <c r="D23" s="53">
        <v>51.96</v>
      </c>
      <c r="E23" s="53">
        <v>4.22</v>
      </c>
      <c r="F23" s="53">
        <v>4.5599999999999996</v>
      </c>
      <c r="G23" s="53">
        <v>44.34</v>
      </c>
      <c r="H23" s="53">
        <v>20.57</v>
      </c>
      <c r="I23" s="53">
        <v>0.59</v>
      </c>
      <c r="J23" s="53">
        <v>0.88</v>
      </c>
      <c r="K23" s="53">
        <v>352.71</v>
      </c>
      <c r="L23" s="53">
        <v>36.96</v>
      </c>
      <c r="M23" s="53">
        <v>15.45</v>
      </c>
      <c r="N23" s="53">
        <v>400.70</v>
      </c>
      <c r="O23" s="53">
        <v>0</v>
      </c>
      <c r="P23" s="53">
        <v>0.73</v>
      </c>
      <c r="Q23" s="53">
        <v>25.87</v>
      </c>
      <c r="R23" s="45"/>
      <c r="S23" s="45"/>
      <c r="T23" s="45"/>
      <c r="U23" s="45"/>
    </row>
    <row r="24" spans="1:21" s="11" customFormat="1" ht="15">
      <c r="A24" s="52" t="s">
        <v>604</v>
      </c>
      <c r="B24" s="53">
        <v>1.45</v>
      </c>
      <c r="C24" s="53">
        <v>87.60</v>
      </c>
      <c r="D24" s="53">
        <v>49.5</v>
      </c>
      <c r="E24" s="53">
        <v>3.54</v>
      </c>
      <c r="F24" s="53">
        <v>6</v>
      </c>
      <c r="G24" s="53">
        <v>43.16</v>
      </c>
      <c r="H24" s="53">
        <v>19.670000000000002</v>
      </c>
      <c r="I24" s="53">
        <v>0.56000000000000005</v>
      </c>
      <c r="J24" s="53">
        <v>0.53</v>
      </c>
      <c r="K24" s="53">
        <v>337.67</v>
      </c>
      <c r="L24" s="53">
        <v>36.049999999999997</v>
      </c>
      <c r="M24" s="53">
        <v>15.5</v>
      </c>
      <c r="N24" s="53">
        <v>355.30</v>
      </c>
      <c r="O24" s="53">
        <v>0</v>
      </c>
      <c r="P24" s="53">
        <v>0.63</v>
      </c>
      <c r="Q24" s="53">
        <v>24.91</v>
      </c>
      <c r="R24" s="45"/>
      <c r="S24" s="45"/>
      <c r="T24" s="45"/>
      <c r="U24" s="45"/>
    </row>
    <row r="25" spans="1:21" s="11" customFormat="1" ht="15">
      <c r="A25" s="52" t="s">
        <v>605</v>
      </c>
      <c r="B25" s="53">
        <v>2.78</v>
      </c>
      <c r="C25" s="53">
        <v>86.74</v>
      </c>
      <c r="D25" s="53">
        <v>49.26</v>
      </c>
      <c r="E25" s="53">
        <v>3.48</v>
      </c>
      <c r="F25" s="53">
        <v>4.51</v>
      </c>
      <c r="G25" s="53">
        <v>40.49</v>
      </c>
      <c r="H25" s="53">
        <v>17.38</v>
      </c>
      <c r="I25" s="53">
        <v>0.55000000000000004</v>
      </c>
      <c r="J25" s="53">
        <v>1.85</v>
      </c>
      <c r="K25" s="53">
        <v>359.77</v>
      </c>
      <c r="L25" s="53">
        <v>34.82</v>
      </c>
      <c r="M25" s="53">
        <v>16.239999999999998</v>
      </c>
      <c r="N25" s="53">
        <v>163.19999999999999</v>
      </c>
      <c r="O25" s="53">
        <v>0</v>
      </c>
      <c r="P25" s="53">
        <v>0.56000000000000005</v>
      </c>
      <c r="Q25" s="53">
        <v>22.93</v>
      </c>
      <c r="R25" s="45"/>
      <c r="S25" s="45"/>
      <c r="T25" s="45"/>
      <c r="U25" s="45"/>
    </row>
    <row r="26" spans="1:21" s="11" customFormat="1" ht="15">
      <c r="A26" s="52" t="s">
        <v>606</v>
      </c>
      <c r="B26" s="53">
        <v>3.57</v>
      </c>
      <c r="C26" s="53">
        <v>82.78</v>
      </c>
      <c r="D26" s="53">
        <v>48.55</v>
      </c>
      <c r="E26" s="53">
        <v>3.27</v>
      </c>
      <c r="F26" s="53">
        <v>3.55</v>
      </c>
      <c r="G26" s="53">
        <v>34.53</v>
      </c>
      <c r="H26" s="53">
        <v>16.059999999999999</v>
      </c>
      <c r="I26" s="53">
        <v>0.53</v>
      </c>
      <c r="J26" s="53">
        <v>1.41</v>
      </c>
      <c r="K26" s="53">
        <v>347.06</v>
      </c>
      <c r="L26" s="53">
        <v>32.619999999999997</v>
      </c>
      <c r="M26" s="53">
        <v>18.45</v>
      </c>
      <c r="N26" s="53">
        <v>44.60</v>
      </c>
      <c r="O26" s="53">
        <v>0</v>
      </c>
      <c r="P26" s="53">
        <v>0.57999999999999996</v>
      </c>
      <c r="Q26" s="53">
        <v>24.63</v>
      </c>
      <c r="R26" s="45"/>
      <c r="S26" s="45"/>
      <c r="T26" s="45"/>
      <c r="U26" s="45"/>
    </row>
    <row r="27" spans="1:21" s="11" customFormat="1" ht="15">
      <c r="A27" s="52" t="s">
        <v>607</v>
      </c>
      <c r="B27" s="53">
        <v>9.74</v>
      </c>
      <c r="C27" s="53">
        <v>92.80</v>
      </c>
      <c r="D27" s="53">
        <v>59.03</v>
      </c>
      <c r="E27" s="53">
        <v>4</v>
      </c>
      <c r="F27" s="53">
        <v>2.72</v>
      </c>
      <c r="G27" s="53">
        <v>41.70</v>
      </c>
      <c r="H27" s="53">
        <v>15.55</v>
      </c>
      <c r="I27" s="53">
        <v>0.55000000000000004</v>
      </c>
      <c r="J27" s="53">
        <v>0.79</v>
      </c>
      <c r="K27" s="53">
        <v>347.33</v>
      </c>
      <c r="L27" s="53">
        <v>30</v>
      </c>
      <c r="M27" s="53">
        <v>23.59</v>
      </c>
      <c r="N27" s="53">
        <v>6.10</v>
      </c>
      <c r="O27" s="53">
        <v>0</v>
      </c>
      <c r="P27" s="53">
        <v>0.86</v>
      </c>
      <c r="Q27" s="53">
        <v>25.65</v>
      </c>
      <c r="R27" s="45"/>
      <c r="S27" s="45"/>
      <c r="T27" s="45"/>
      <c r="U27" s="45"/>
    </row>
    <row r="28" spans="1:21" s="11" customFormat="1" ht="15">
      <c r="A28" s="52" t="s">
        <v>608</v>
      </c>
      <c r="B28" s="53">
        <v>27.38</v>
      </c>
      <c r="C28" s="53">
        <v>107.92</v>
      </c>
      <c r="D28" s="53">
        <v>79.75</v>
      </c>
      <c r="E28" s="53">
        <v>9.61</v>
      </c>
      <c r="F28" s="53">
        <v>3.15</v>
      </c>
      <c r="G28" s="53">
        <v>73.09</v>
      </c>
      <c r="H28" s="53">
        <v>22.78</v>
      </c>
      <c r="I28" s="53">
        <v>0.62</v>
      </c>
      <c r="J28" s="53">
        <v>0.44</v>
      </c>
      <c r="K28" s="53">
        <v>231</v>
      </c>
      <c r="L28" s="53">
        <v>27.08</v>
      </c>
      <c r="M28" s="53">
        <v>27.63</v>
      </c>
      <c r="N28" s="53">
        <v>4.5</v>
      </c>
      <c r="O28" s="53">
        <v>0</v>
      </c>
      <c r="P28" s="53">
        <v>1.34</v>
      </c>
      <c r="Q28" s="53">
        <v>25.86</v>
      </c>
      <c r="R28" s="45"/>
      <c r="S28" s="45"/>
      <c r="T28" s="45"/>
      <c r="U28" s="45"/>
    </row>
    <row r="29" spans="1:21" s="11" customFormat="1" ht="15">
      <c r="A29" s="52" t="s">
        <v>609</v>
      </c>
      <c r="B29" s="53">
        <v>75.59</v>
      </c>
      <c r="C29" s="53">
        <v>117.51</v>
      </c>
      <c r="D29" s="53">
        <v>125.47</v>
      </c>
      <c r="E29" s="53">
        <v>5.95</v>
      </c>
      <c r="F29" s="53">
        <v>0.88</v>
      </c>
      <c r="G29" s="53">
        <v>102.80</v>
      </c>
      <c r="H29" s="53">
        <v>34.630000000000003</v>
      </c>
      <c r="I29" s="53">
        <v>0.91</v>
      </c>
      <c r="J29" s="53">
        <v>0.10</v>
      </c>
      <c r="K29" s="53">
        <v>87.19</v>
      </c>
      <c r="L29" s="53">
        <v>25.86</v>
      </c>
      <c r="M29" s="53">
        <v>34.479999999999997</v>
      </c>
      <c r="N29" s="53">
        <v>4.5</v>
      </c>
      <c r="O29" s="53">
        <v>0</v>
      </c>
      <c r="P29" s="53">
        <v>2.02</v>
      </c>
      <c r="Q29" s="53">
        <v>27.61</v>
      </c>
      <c r="R29" s="45"/>
      <c r="S29" s="45"/>
      <c r="T29" s="45"/>
      <c r="U29" s="45"/>
    </row>
    <row r="30" spans="1:21" s="11" customFormat="1" ht="15">
      <c r="A30" s="52" t="s">
        <v>610</v>
      </c>
      <c r="B30" s="53">
        <v>70.099999999999994</v>
      </c>
      <c r="C30" s="53">
        <v>115.68</v>
      </c>
      <c r="D30" s="53">
        <v>120.05</v>
      </c>
      <c r="E30" s="53">
        <v>4.32</v>
      </c>
      <c r="F30" s="53">
        <v>0.24</v>
      </c>
      <c r="G30" s="53">
        <v>122.79</v>
      </c>
      <c r="H30" s="53">
        <v>38.24</v>
      </c>
      <c r="I30" s="53">
        <v>0.92</v>
      </c>
      <c r="J30" s="53">
        <v>0.10</v>
      </c>
      <c r="K30" s="53">
        <v>84.72</v>
      </c>
      <c r="L30" s="53">
        <v>24.59</v>
      </c>
      <c r="M30" s="53">
        <v>39.06</v>
      </c>
      <c r="N30" s="53">
        <v>4.4000000000000004</v>
      </c>
      <c r="O30" s="53">
        <v>0</v>
      </c>
      <c r="P30" s="53">
        <v>1.82</v>
      </c>
      <c r="Q30" s="53">
        <v>32.36</v>
      </c>
      <c r="R30" s="45"/>
      <c r="S30" s="45"/>
      <c r="T30" s="45"/>
      <c r="U30" s="45"/>
    </row>
    <row r="31" spans="1:21" s="11" customFormat="1" ht="15">
      <c r="A31" s="52" t="s">
        <v>611</v>
      </c>
      <c r="B31" s="53">
        <v>101.04</v>
      </c>
      <c r="C31" s="53">
        <v>123.69</v>
      </c>
      <c r="D31" s="53">
        <v>149.29</v>
      </c>
      <c r="E31" s="53">
        <v>3.93</v>
      </c>
      <c r="F31" s="53">
        <v>0.08</v>
      </c>
      <c r="G31" s="53">
        <v>132.24</v>
      </c>
      <c r="H31" s="53">
        <v>44.49</v>
      </c>
      <c r="I31" s="53">
        <v>1.04</v>
      </c>
      <c r="J31" s="53">
        <v>0.12</v>
      </c>
      <c r="K31" s="53">
        <v>292.44</v>
      </c>
      <c r="L31" s="53">
        <v>23.17</v>
      </c>
      <c r="M31" s="53">
        <v>48.68</v>
      </c>
      <c r="N31" s="53">
        <v>4.4000000000000004</v>
      </c>
      <c r="O31" s="53">
        <v>0</v>
      </c>
      <c r="P31" s="53">
        <v>2.04</v>
      </c>
      <c r="Q31" s="53">
        <v>33.69</v>
      </c>
      <c r="R31" s="45"/>
      <c r="S31" s="45"/>
      <c r="T31" s="45"/>
      <c r="U31" s="45"/>
    </row>
    <row r="32" spans="1:21" s="11" customFormat="1" ht="15">
      <c r="A32" s="52" t="s">
        <v>612</v>
      </c>
      <c r="B32" s="53">
        <v>115.66</v>
      </c>
      <c r="C32" s="53">
        <v>125.81</v>
      </c>
      <c r="D32" s="53">
        <v>162.18</v>
      </c>
      <c r="E32" s="53">
        <v>4.03</v>
      </c>
      <c r="F32" s="53">
        <v>0.01</v>
      </c>
      <c r="G32" s="53">
        <v>142.04</v>
      </c>
      <c r="H32" s="53">
        <v>47.42</v>
      </c>
      <c r="I32" s="53">
        <v>1.1200000000000001</v>
      </c>
      <c r="J32" s="53">
        <v>0.13</v>
      </c>
      <c r="K32" s="53">
        <v>315.39999999999998</v>
      </c>
      <c r="L32" s="53">
        <v>21.70</v>
      </c>
      <c r="M32" s="53">
        <v>50.85</v>
      </c>
      <c r="N32" s="53">
        <v>4.4000000000000004</v>
      </c>
      <c r="O32" s="53">
        <v>0</v>
      </c>
      <c r="P32" s="53">
        <v>2.09</v>
      </c>
      <c r="Q32" s="53">
        <v>33.5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1.45</v>
      </c>
      <c r="C34" s="28">
        <f t="shared" si="0"/>
        <v>82.780000000000001</v>
      </c>
      <c r="D34" s="28">
        <f t="shared" si="0"/>
        <v>48.549999999999997</v>
      </c>
      <c r="E34" s="28">
        <f t="shared" si="0"/>
        <v>3.27</v>
      </c>
      <c r="F34" s="28">
        <f t="shared" si="0"/>
        <v>0.01</v>
      </c>
      <c r="G34" s="28">
        <f t="shared" si="0"/>
        <v>34.530000000000001</v>
      </c>
      <c r="H34" s="28">
        <f t="shared" si="0"/>
        <v>15.550000000000001</v>
      </c>
      <c r="I34" s="28">
        <f t="shared" si="0"/>
        <v>0.53000000000000003</v>
      </c>
      <c r="J34" s="28">
        <f t="shared" si="0"/>
        <v>0.10000000000000001</v>
      </c>
      <c r="K34" s="28">
        <f t="shared" si="0"/>
        <v>84.719999999999999</v>
      </c>
      <c r="L34" s="28">
        <f t="shared" si="0"/>
        <v>17.780000000000001</v>
      </c>
      <c r="M34" s="28">
        <f t="shared" si="0"/>
        <v>15.15</v>
      </c>
      <c r="N34" s="28">
        <f t="shared" si="0"/>
        <v>4.0999999999999996</v>
      </c>
      <c r="O34" s="28">
        <f t="shared" si="0"/>
        <v>0</v>
      </c>
      <c r="P34" s="28">
        <f t="shared" si="0"/>
        <v>0.56000000000000005</v>
      </c>
      <c r="Q34" s="28">
        <f t="shared" si="0"/>
        <v>22.93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115.66</v>
      </c>
      <c r="C35" s="29">
        <f t="shared" si="1"/>
        <v>125.81</v>
      </c>
      <c r="D35" s="29">
        <f t="shared" si="1"/>
        <v>162.18000000000001</v>
      </c>
      <c r="E35" s="29">
        <f t="shared" si="1"/>
        <v>9.6099999999999994</v>
      </c>
      <c r="F35" s="29">
        <f t="shared" si="1"/>
        <v>6</v>
      </c>
      <c r="G35" s="29">
        <f t="shared" si="1"/>
        <v>184.59</v>
      </c>
      <c r="H35" s="29">
        <f t="shared" si="1"/>
        <v>54.119999999999997</v>
      </c>
      <c r="I35" s="29">
        <f t="shared" si="1"/>
        <v>1.1200000000000001</v>
      </c>
      <c r="J35" s="29">
        <f t="shared" si="1"/>
        <v>1.8500000000000001</v>
      </c>
      <c r="K35" s="29">
        <f t="shared" si="1"/>
        <v>359.81999999999999</v>
      </c>
      <c r="L35" s="29">
        <f t="shared" si="1"/>
        <v>38.240000000000002</v>
      </c>
      <c r="M35" s="29">
        <f t="shared" si="1"/>
        <v>63.890000000000001</v>
      </c>
      <c r="N35" s="29">
        <f t="shared" si="1"/>
        <v>592.39999999999998</v>
      </c>
      <c r="O35" s="29">
        <f t="shared" si="1"/>
        <v>0</v>
      </c>
      <c r="P35" s="29">
        <f t="shared" si="1"/>
        <v>2.0899999999999999</v>
      </c>
      <c r="Q35" s="29">
        <f t="shared" si="1"/>
        <v>34.280000000000001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50.179583333333333</v>
      </c>
      <c r="C36" s="28">
        <f t="shared" si="2"/>
        <v>108.54374999999999</v>
      </c>
      <c r="D36" s="28">
        <f t="shared" si="2"/>
        <v>99.705416666666679</v>
      </c>
      <c r="E36" s="28">
        <f t="shared" si="2"/>
        <v>4.737916666666667</v>
      </c>
      <c r="F36" s="28">
        <f t="shared" si="2"/>
        <v>1.8978260869565213</v>
      </c>
      <c r="G36" s="28">
        <f t="shared" si="2"/>
        <v>91.222499999999982</v>
      </c>
      <c r="H36" s="28">
        <f t="shared" si="2"/>
        <v>36.822083333333325</v>
      </c>
      <c r="I36" s="28">
        <f t="shared" si="2"/>
        <v>0.77875000000000005</v>
      </c>
      <c r="J36" s="28">
        <f t="shared" si="2"/>
        <v>0.57874999999999999</v>
      </c>
      <c r="K36" s="28">
        <f t="shared" si="2"/>
        <v>309.19499999999994</v>
      </c>
      <c r="L36" s="28">
        <f t="shared" si="2"/>
        <v>27.858750000000001</v>
      </c>
      <c r="M36" s="28">
        <f t="shared" si="2"/>
        <v>37.304583333333341</v>
      </c>
      <c r="N36" s="28">
        <f t="shared" si="2"/>
        <v>188.54999999999995</v>
      </c>
      <c r="O36" s="28">
        <f t="shared" si="2"/>
        <v>0</v>
      </c>
      <c r="P36" s="28">
        <f t="shared" si="2"/>
        <v>1.3291666666666664</v>
      </c>
      <c r="Q36" s="28">
        <f t="shared" si="2"/>
        <v>29.642916666666668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39.358074634682971</v>
      </c>
      <c r="C37" s="28">
        <f t="shared" si="3" ref="C37:Q37">STDEV(C9:C32)</f>
        <v>12.47208703029737</v>
      </c>
      <c r="D37" s="28">
        <f t="shared" si="3"/>
        <v>36.678463646546199</v>
      </c>
      <c r="E37" s="28">
        <f t="shared" si="3"/>
        <v>1.292277999323765</v>
      </c>
      <c r="F37" s="28">
        <f t="shared" si="3"/>
        <v>2.0051954258007316</v>
      </c>
      <c r="G37" s="28">
        <f t="shared" si="3"/>
        <v>41.261641756415656</v>
      </c>
      <c r="H37" s="28">
        <f t="shared" si="3"/>
        <v>13.06159088092183</v>
      </c>
      <c r="I37" s="28">
        <f t="shared" si="3"/>
        <v>0.17801593724451584</v>
      </c>
      <c r="J37" s="28">
        <f t="shared" si="3"/>
        <v>0.54773297604168247</v>
      </c>
      <c r="K37" s="28">
        <f t="shared" si="3"/>
        <v>81.260892567517331</v>
      </c>
      <c r="L37" s="28">
        <f t="shared" si="3"/>
        <v>7.5379851491426795</v>
      </c>
      <c r="M37" s="28">
        <f t="shared" si="3"/>
        <v>18.845812815806198</v>
      </c>
      <c r="N37" s="28">
        <f t="shared" si="3"/>
        <v>237.49641461824589</v>
      </c>
      <c r="O37" s="28">
        <f t="shared" si="3"/>
        <v>0</v>
      </c>
      <c r="P37" s="28">
        <f t="shared" si="3"/>
        <v>0.48105786207759565</v>
      </c>
      <c r="Q37" s="28">
        <f t="shared" si="3"/>
        <v>3.3865301970250115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8887c5-0d11-4c81-89f4-43f3bc0ff89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613</v>
      </c>
      <c r="B9" s="53">
        <v>111.61</v>
      </c>
      <c r="C9" s="53">
        <v>122.04</v>
      </c>
      <c r="D9" s="53">
        <v>156.41</v>
      </c>
      <c r="E9" s="53">
        <v>5.04</v>
      </c>
      <c r="F9" s="53">
        <v>0.13</v>
      </c>
      <c r="G9" s="53">
        <v>151.15</v>
      </c>
      <c r="H9" s="53">
        <v>50.16</v>
      </c>
      <c r="I9" s="53">
        <v>1.17</v>
      </c>
      <c r="J9" s="53">
        <v>0.17</v>
      </c>
      <c r="K9" s="53">
        <v>358.17</v>
      </c>
      <c r="L9" s="53">
        <v>21.17</v>
      </c>
      <c r="M9" s="53">
        <v>52.53</v>
      </c>
      <c r="N9" s="53">
        <v>4.4000000000000004</v>
      </c>
      <c r="O9" s="53">
        <v>0</v>
      </c>
      <c r="P9" s="53">
        <v>2.0699999999999998</v>
      </c>
      <c r="Q9" s="53">
        <v>35.380000000000003</v>
      </c>
      <c r="R9" s="45"/>
      <c r="S9" s="45"/>
      <c r="T9" s="45"/>
      <c r="U9" s="45"/>
    </row>
    <row r="10" spans="1:21" s="11" customFormat="1" ht="15">
      <c r="A10" s="52" t="s">
        <v>614</v>
      </c>
      <c r="B10" s="53">
        <v>107.66</v>
      </c>
      <c r="C10" s="53">
        <v>117.80</v>
      </c>
      <c r="D10" s="53">
        <v>151.34</v>
      </c>
      <c r="E10" s="53">
        <v>4.7699999999999996</v>
      </c>
      <c r="F10" s="53">
        <v>0.18</v>
      </c>
      <c r="G10" s="53">
        <v>151.15</v>
      </c>
      <c r="H10" s="53">
        <v>50.16</v>
      </c>
      <c r="I10" s="53">
        <v>1.17</v>
      </c>
      <c r="J10" s="53">
        <v>0.20</v>
      </c>
      <c r="K10" s="53">
        <v>352.05</v>
      </c>
      <c r="L10" s="53">
        <v>20.61</v>
      </c>
      <c r="M10" s="53">
        <v>57</v>
      </c>
      <c r="N10" s="53">
        <v>4.5</v>
      </c>
      <c r="O10" s="53">
        <v>0</v>
      </c>
      <c r="P10" s="53">
        <v>1.84</v>
      </c>
      <c r="Q10" s="53">
        <v>35.76</v>
      </c>
      <c r="R10" s="45"/>
      <c r="S10" s="45"/>
      <c r="T10" s="45"/>
      <c r="U10" s="45"/>
    </row>
    <row r="11" spans="1:21" s="11" customFormat="1" ht="15">
      <c r="A11" s="52" t="s">
        <v>615</v>
      </c>
      <c r="B11" s="53">
        <v>90.39</v>
      </c>
      <c r="C11" s="53">
        <v>112.06</v>
      </c>
      <c r="D11" s="53">
        <v>134.33000000000001</v>
      </c>
      <c r="E11" s="53">
        <v>5.12</v>
      </c>
      <c r="F11" s="53">
        <v>0.02</v>
      </c>
      <c r="G11" s="53">
        <v>120.12</v>
      </c>
      <c r="H11" s="53">
        <v>47.37</v>
      </c>
      <c r="I11" s="53">
        <v>1.05</v>
      </c>
      <c r="J11" s="53">
        <v>0.23</v>
      </c>
      <c r="K11" s="53">
        <v>241.33</v>
      </c>
      <c r="L11" s="53">
        <v>21.11</v>
      </c>
      <c r="M11" s="53">
        <v>54.56</v>
      </c>
      <c r="N11" s="53">
        <v>4.5999999999999996</v>
      </c>
      <c r="O11" s="53">
        <v>0</v>
      </c>
      <c r="P11" s="53">
        <v>1.69</v>
      </c>
      <c r="Q11" s="53">
        <v>34.049999999999997</v>
      </c>
      <c r="R11" s="45"/>
      <c r="S11" s="45"/>
      <c r="T11" s="45"/>
      <c r="U11" s="45"/>
    </row>
    <row r="12" spans="1:21" s="11" customFormat="1" ht="15">
      <c r="A12" s="52" t="s">
        <v>616</v>
      </c>
      <c r="B12" s="53">
        <v>70.13</v>
      </c>
      <c r="C12" s="53">
        <v>109.13</v>
      </c>
      <c r="D12" s="53">
        <v>116.47</v>
      </c>
      <c r="E12" s="53">
        <v>5.45</v>
      </c>
      <c r="F12" s="53">
        <v>0.11</v>
      </c>
      <c r="G12" s="53">
        <v>112.87</v>
      </c>
      <c r="H12" s="53">
        <v>53.15</v>
      </c>
      <c r="I12" s="53">
        <v>0.90</v>
      </c>
      <c r="J12" s="53">
        <v>0.28000000000000003</v>
      </c>
      <c r="K12" s="53">
        <v>293.14</v>
      </c>
      <c r="L12" s="53">
        <v>20.53</v>
      </c>
      <c r="M12" s="53">
        <v>57.37</v>
      </c>
      <c r="N12" s="53">
        <v>4.4000000000000004</v>
      </c>
      <c r="O12" s="53">
        <v>0</v>
      </c>
      <c r="P12" s="53">
        <v>1.57</v>
      </c>
      <c r="Q12" s="53">
        <v>32.369999999999997</v>
      </c>
      <c r="R12" s="45"/>
      <c r="S12" s="45"/>
      <c r="T12" s="45"/>
      <c r="U12" s="45"/>
    </row>
    <row r="13" spans="1:21" s="11" customFormat="1" ht="15">
      <c r="A13" s="52" t="s">
        <v>617</v>
      </c>
      <c r="B13" s="53">
        <v>56.19</v>
      </c>
      <c r="C13" s="53">
        <v>102.95</v>
      </c>
      <c r="D13" s="53">
        <v>101.67</v>
      </c>
      <c r="E13" s="53">
        <v>3.88</v>
      </c>
      <c r="F13" s="53">
        <v>0.03</v>
      </c>
      <c r="G13" s="53">
        <v>112.87</v>
      </c>
      <c r="H13" s="53">
        <v>53.15</v>
      </c>
      <c r="I13" s="53">
        <v>0.88</v>
      </c>
      <c r="J13" s="53">
        <v>0.33</v>
      </c>
      <c r="K13" s="53">
        <v>141.68</v>
      </c>
      <c r="L13" s="53">
        <v>19.77</v>
      </c>
      <c r="M13" s="53">
        <v>59.08</v>
      </c>
      <c r="N13" s="53">
        <v>4.5</v>
      </c>
      <c r="O13" s="53">
        <v>0</v>
      </c>
      <c r="P13" s="53">
        <v>1.47</v>
      </c>
      <c r="Q13" s="53">
        <v>32.11</v>
      </c>
      <c r="R13" s="45"/>
      <c r="S13" s="45"/>
      <c r="T13" s="45"/>
      <c r="U13" s="45"/>
    </row>
    <row r="14" spans="1:21" s="11" customFormat="1" ht="15">
      <c r="A14" s="52" t="s">
        <v>618</v>
      </c>
      <c r="B14" s="53">
        <v>50.69</v>
      </c>
      <c r="C14" s="53">
        <v>102.12</v>
      </c>
      <c r="D14" s="53">
        <v>97.01</v>
      </c>
      <c r="E14" s="53">
        <v>3.85</v>
      </c>
      <c r="F14" s="63" t="s">
        <v>14</v>
      </c>
      <c r="G14" s="53">
        <v>99.74</v>
      </c>
      <c r="H14" s="53">
        <v>47.49</v>
      </c>
      <c r="I14" s="53">
        <v>0.83</v>
      </c>
      <c r="J14" s="53">
        <v>0.31</v>
      </c>
      <c r="K14" s="53">
        <v>302.14999999999998</v>
      </c>
      <c r="L14" s="53">
        <v>20.5</v>
      </c>
      <c r="M14" s="53">
        <v>62.86</v>
      </c>
      <c r="N14" s="53">
        <v>4.5999999999999996</v>
      </c>
      <c r="O14" s="53">
        <v>0</v>
      </c>
      <c r="P14" s="53">
        <v>1.37</v>
      </c>
      <c r="Q14" s="53">
        <v>32.090000000000003</v>
      </c>
      <c r="R14" s="45"/>
      <c r="S14" s="45"/>
      <c r="T14" s="45"/>
      <c r="U14" s="45"/>
    </row>
    <row r="15" spans="1:21" s="11" customFormat="1" ht="15">
      <c r="A15" s="52" t="s">
        <v>619</v>
      </c>
      <c r="B15" s="53">
        <v>50.45</v>
      </c>
      <c r="C15" s="53">
        <v>100.91</v>
      </c>
      <c r="D15" s="53">
        <v>95.5</v>
      </c>
      <c r="E15" s="53">
        <v>4.1399999999999997</v>
      </c>
      <c r="F15" s="63" t="s">
        <v>14</v>
      </c>
      <c r="G15" s="53">
        <v>99.74</v>
      </c>
      <c r="H15" s="53">
        <v>47.49</v>
      </c>
      <c r="I15" s="53">
        <v>0.77</v>
      </c>
      <c r="J15" s="53">
        <v>0.48</v>
      </c>
      <c r="K15" s="53">
        <v>316.76</v>
      </c>
      <c r="L15" s="53">
        <v>18.95</v>
      </c>
      <c r="M15" s="53">
        <v>65.930000000000007</v>
      </c>
      <c r="N15" s="53">
        <v>32.700000000000003</v>
      </c>
      <c r="O15" s="53">
        <v>0</v>
      </c>
      <c r="P15" s="53">
        <v>1.33</v>
      </c>
      <c r="Q15" s="53">
        <v>30.74</v>
      </c>
      <c r="R15" s="45"/>
      <c r="S15" s="45"/>
      <c r="T15" s="45"/>
      <c r="U15" s="45"/>
    </row>
    <row r="16" spans="1:21" s="11" customFormat="1" ht="15">
      <c r="A16" s="52" t="s">
        <v>620</v>
      </c>
      <c r="B16" s="53">
        <v>72.98</v>
      </c>
      <c r="C16" s="53">
        <v>103.42</v>
      </c>
      <c r="D16" s="53">
        <v>114.63</v>
      </c>
      <c r="E16" s="53">
        <v>4.75</v>
      </c>
      <c r="F16" s="53">
        <v>0.070000000000000007</v>
      </c>
      <c r="G16" s="53">
        <v>192.65</v>
      </c>
      <c r="H16" s="53">
        <v>50.37</v>
      </c>
      <c r="I16" s="53">
        <v>0.79</v>
      </c>
      <c r="J16" s="53">
        <v>0.26</v>
      </c>
      <c r="K16" s="53">
        <v>357.35</v>
      </c>
      <c r="L16" s="53">
        <v>27.69</v>
      </c>
      <c r="M16" s="53">
        <v>63.97</v>
      </c>
      <c r="N16" s="53">
        <v>216</v>
      </c>
      <c r="O16" s="53">
        <v>0</v>
      </c>
      <c r="P16" s="53">
        <v>1.57</v>
      </c>
      <c r="Q16" s="53">
        <v>31.58</v>
      </c>
      <c r="R16" s="45"/>
      <c r="S16" s="45"/>
      <c r="T16" s="45"/>
      <c r="U16" s="45"/>
    </row>
    <row r="17" spans="1:21" s="11" customFormat="1" ht="15">
      <c r="A17" s="52" t="s">
        <v>621</v>
      </c>
      <c r="B17" s="53">
        <v>67.180000000000007</v>
      </c>
      <c r="C17" s="53">
        <v>109.46</v>
      </c>
      <c r="D17" s="53">
        <v>112.05</v>
      </c>
      <c r="E17" s="53">
        <v>5.96</v>
      </c>
      <c r="F17" s="53">
        <v>0.28000000000000003</v>
      </c>
      <c r="G17" s="53">
        <v>192.65</v>
      </c>
      <c r="H17" s="53">
        <v>50.37</v>
      </c>
      <c r="I17" s="53">
        <v>0.81</v>
      </c>
      <c r="J17" s="53">
        <v>0.85</v>
      </c>
      <c r="K17" s="53">
        <v>52.96</v>
      </c>
      <c r="L17" s="53">
        <v>30.25</v>
      </c>
      <c r="M17" s="53">
        <v>31.20</v>
      </c>
      <c r="N17" s="53">
        <v>419.90</v>
      </c>
      <c r="O17" s="53">
        <v>0</v>
      </c>
      <c r="P17" s="53">
        <v>1.56</v>
      </c>
      <c r="Q17" s="53">
        <v>32.950000000000003</v>
      </c>
      <c r="R17" s="45"/>
      <c r="S17" s="45"/>
      <c r="T17" s="45"/>
      <c r="U17" s="45"/>
    </row>
    <row r="18" spans="1:21" s="11" customFormat="1" ht="15">
      <c r="A18" s="52" t="s">
        <v>622</v>
      </c>
      <c r="B18" s="53">
        <v>52.40</v>
      </c>
      <c r="C18" s="53">
        <v>116.65</v>
      </c>
      <c r="D18" s="53">
        <v>104.15</v>
      </c>
      <c r="E18" s="53">
        <v>7.17</v>
      </c>
      <c r="F18" s="53">
        <v>1.17</v>
      </c>
      <c r="G18" s="53">
        <v>108.30</v>
      </c>
      <c r="H18" s="53">
        <v>49.13</v>
      </c>
      <c r="I18" s="53">
        <v>0.77</v>
      </c>
      <c r="J18" s="53">
        <v>1.20</v>
      </c>
      <c r="K18" s="53">
        <v>112.21</v>
      </c>
      <c r="L18" s="53">
        <v>32.200000000000003</v>
      </c>
      <c r="M18" s="53">
        <v>30.31</v>
      </c>
      <c r="N18" s="53">
        <v>573.29999999999995</v>
      </c>
      <c r="O18" s="53">
        <v>0</v>
      </c>
      <c r="P18" s="53">
        <v>1.40</v>
      </c>
      <c r="Q18" s="53">
        <v>32.700000000000003</v>
      </c>
      <c r="R18" s="45"/>
      <c r="S18" s="45"/>
      <c r="T18" s="45"/>
      <c r="U18" s="45"/>
    </row>
    <row r="19" spans="1:21" s="11" customFormat="1" ht="15">
      <c r="A19" s="52" t="s">
        <v>623</v>
      </c>
      <c r="B19" s="53">
        <v>39.92</v>
      </c>
      <c r="C19" s="53">
        <v>111.94</v>
      </c>
      <c r="D19" s="53">
        <v>93.79</v>
      </c>
      <c r="E19" s="53">
        <v>10</v>
      </c>
      <c r="F19" s="53">
        <v>4.87</v>
      </c>
      <c r="G19" s="53">
        <v>78</v>
      </c>
      <c r="H19" s="53">
        <v>43.78</v>
      </c>
      <c r="I19" s="53">
        <v>0.71</v>
      </c>
      <c r="J19" s="53">
        <v>1.35</v>
      </c>
      <c r="K19" s="53">
        <v>121.73</v>
      </c>
      <c r="L19" s="53">
        <v>32.75</v>
      </c>
      <c r="M19" s="53">
        <v>27.96</v>
      </c>
      <c r="N19" s="53">
        <v>568</v>
      </c>
      <c r="O19" s="53">
        <v>0</v>
      </c>
      <c r="P19" s="53">
        <v>1.25</v>
      </c>
      <c r="Q19" s="53">
        <v>32.33</v>
      </c>
      <c r="R19" s="45"/>
      <c r="S19" s="45"/>
      <c r="T19" s="45"/>
      <c r="U19" s="45"/>
    </row>
    <row r="20" spans="1:21" s="11" customFormat="1" ht="15">
      <c r="A20" s="52" t="s">
        <v>624</v>
      </c>
      <c r="B20" s="53">
        <v>29.03</v>
      </c>
      <c r="C20" s="53">
        <v>111.52</v>
      </c>
      <c r="D20" s="53">
        <v>84</v>
      </c>
      <c r="E20" s="53">
        <v>8.3800000000000008</v>
      </c>
      <c r="F20" s="53">
        <v>4.38</v>
      </c>
      <c r="G20" s="53">
        <v>61.51</v>
      </c>
      <c r="H20" s="53">
        <v>37.130000000000003</v>
      </c>
      <c r="I20" s="53">
        <v>0.70</v>
      </c>
      <c r="J20" s="53">
        <v>1.82</v>
      </c>
      <c r="K20" s="53">
        <v>126.36</v>
      </c>
      <c r="L20" s="53">
        <v>32.76</v>
      </c>
      <c r="M20" s="53">
        <v>24.26</v>
      </c>
      <c r="N20" s="53">
        <v>573.20000000000005</v>
      </c>
      <c r="O20" s="53">
        <v>0</v>
      </c>
      <c r="P20" s="53">
        <v>1.1000000000000001</v>
      </c>
      <c r="Q20" s="53">
        <v>31.59</v>
      </c>
      <c r="R20" s="45"/>
      <c r="S20" s="45"/>
      <c r="T20" s="45"/>
      <c r="U20" s="45"/>
    </row>
    <row r="21" spans="1:21" s="11" customFormat="1" ht="15">
      <c r="A21" s="52" t="s">
        <v>625</v>
      </c>
      <c r="B21" s="53">
        <v>13.98</v>
      </c>
      <c r="C21" s="53">
        <v>109.77</v>
      </c>
      <c r="D21" s="53">
        <v>71.16</v>
      </c>
      <c r="E21" s="53">
        <v>7.38</v>
      </c>
      <c r="F21" s="53">
        <v>9.4499999999999993</v>
      </c>
      <c r="G21" s="53">
        <v>56.32</v>
      </c>
      <c r="H21" s="53">
        <v>29.48</v>
      </c>
      <c r="I21" s="53">
        <v>0.69</v>
      </c>
      <c r="J21" s="53">
        <v>1.19</v>
      </c>
      <c r="K21" s="53">
        <v>159.71</v>
      </c>
      <c r="L21" s="53">
        <v>35.81</v>
      </c>
      <c r="M21" s="53">
        <v>21</v>
      </c>
      <c r="N21" s="53">
        <v>546.5</v>
      </c>
      <c r="O21" s="53">
        <v>0</v>
      </c>
      <c r="P21" s="53">
        <v>0.91</v>
      </c>
      <c r="Q21" s="53">
        <v>31.02</v>
      </c>
      <c r="R21" s="45"/>
      <c r="S21" s="45"/>
      <c r="T21" s="45"/>
      <c r="U21" s="45"/>
    </row>
    <row r="22" spans="1:21" s="11" customFormat="1" ht="15">
      <c r="A22" s="52" t="s">
        <v>626</v>
      </c>
      <c r="B22" s="53">
        <v>3.46</v>
      </c>
      <c r="C22" s="53">
        <v>106.95</v>
      </c>
      <c r="D22" s="53">
        <v>61.80</v>
      </c>
      <c r="E22" s="53">
        <v>18.59</v>
      </c>
      <c r="F22" s="53">
        <v>23.85</v>
      </c>
      <c r="G22" s="53">
        <v>48.89</v>
      </c>
      <c r="H22" s="53">
        <v>27.97</v>
      </c>
      <c r="I22" s="53">
        <v>0.64</v>
      </c>
      <c r="J22" s="53">
        <v>0.97</v>
      </c>
      <c r="K22" s="53">
        <v>169.07</v>
      </c>
      <c r="L22" s="53">
        <v>35.43</v>
      </c>
      <c r="M22" s="53">
        <v>20.70</v>
      </c>
      <c r="N22" s="53">
        <v>438.10</v>
      </c>
      <c r="O22" s="53">
        <v>0</v>
      </c>
      <c r="P22" s="53">
        <v>0.74</v>
      </c>
      <c r="Q22" s="53">
        <v>28.28</v>
      </c>
      <c r="R22" s="45"/>
      <c r="S22" s="45"/>
      <c r="T22" s="45"/>
      <c r="U22" s="45"/>
    </row>
    <row r="23" spans="1:21" s="11" customFormat="1" ht="15">
      <c r="A23" s="52" t="s">
        <v>627</v>
      </c>
      <c r="B23" s="53">
        <v>3.28</v>
      </c>
      <c r="C23" s="53">
        <v>99.37</v>
      </c>
      <c r="D23" s="53">
        <v>57.41</v>
      </c>
      <c r="E23" s="53">
        <v>9.14</v>
      </c>
      <c r="F23" s="53">
        <v>22.44</v>
      </c>
      <c r="G23" s="53">
        <v>54.63</v>
      </c>
      <c r="H23" s="53">
        <v>25.70</v>
      </c>
      <c r="I23" s="53">
        <v>0.63</v>
      </c>
      <c r="J23" s="53">
        <v>1.1399999999999999</v>
      </c>
      <c r="K23" s="53">
        <v>354.58</v>
      </c>
      <c r="L23" s="53">
        <v>38.130000000000003</v>
      </c>
      <c r="M23" s="53">
        <v>15.75</v>
      </c>
      <c r="N23" s="53">
        <v>403.10</v>
      </c>
      <c r="O23" s="53">
        <v>0</v>
      </c>
      <c r="P23" s="53">
        <v>0.71</v>
      </c>
      <c r="Q23" s="53">
        <v>27.52</v>
      </c>
      <c r="R23" s="45"/>
      <c r="S23" s="45"/>
      <c r="T23" s="45"/>
      <c r="U23" s="45"/>
    </row>
    <row r="24" spans="1:21" s="11" customFormat="1" ht="15">
      <c r="A24" s="52" t="s">
        <v>628</v>
      </c>
      <c r="B24" s="53">
        <v>2.83</v>
      </c>
      <c r="C24" s="53">
        <v>98.07</v>
      </c>
      <c r="D24" s="53">
        <v>56.34</v>
      </c>
      <c r="E24" s="53">
        <v>6.55</v>
      </c>
      <c r="F24" s="53">
        <v>13.40</v>
      </c>
      <c r="G24" s="53">
        <v>54.63</v>
      </c>
      <c r="H24" s="53">
        <v>25.70</v>
      </c>
      <c r="I24" s="53">
        <v>0.65</v>
      </c>
      <c r="J24" s="53">
        <v>1.25</v>
      </c>
      <c r="K24" s="53">
        <v>7.23</v>
      </c>
      <c r="L24" s="53">
        <v>37.69</v>
      </c>
      <c r="M24" s="53">
        <v>15.97</v>
      </c>
      <c r="N24" s="53">
        <v>368.30</v>
      </c>
      <c r="O24" s="53">
        <v>0</v>
      </c>
      <c r="P24" s="53">
        <v>0.67</v>
      </c>
      <c r="Q24" s="53">
        <v>28.33</v>
      </c>
      <c r="R24" s="45"/>
      <c r="S24" s="45"/>
      <c r="T24" s="45"/>
      <c r="U24" s="45"/>
    </row>
    <row r="25" spans="1:21" s="11" customFormat="1" ht="15">
      <c r="A25" s="52" t="s">
        <v>629</v>
      </c>
      <c r="B25" s="53">
        <v>3.03</v>
      </c>
      <c r="C25" s="53">
        <v>91.93</v>
      </c>
      <c r="D25" s="53">
        <v>52.52</v>
      </c>
      <c r="E25" s="53">
        <v>6.54</v>
      </c>
      <c r="F25" s="53">
        <v>15.32</v>
      </c>
      <c r="G25" s="53">
        <v>40.44</v>
      </c>
      <c r="H25" s="53">
        <v>20.47</v>
      </c>
      <c r="I25" s="53">
        <v>0.64</v>
      </c>
      <c r="J25" s="53">
        <v>1.1299999999999999</v>
      </c>
      <c r="K25" s="53">
        <v>10.09</v>
      </c>
      <c r="L25" s="53">
        <v>35.61</v>
      </c>
      <c r="M25" s="53">
        <v>18.37</v>
      </c>
      <c r="N25" s="53">
        <v>126.10</v>
      </c>
      <c r="O25" s="53">
        <v>0</v>
      </c>
      <c r="P25" s="53">
        <v>0.66</v>
      </c>
      <c r="Q25" s="53">
        <v>27.59</v>
      </c>
      <c r="R25" s="45"/>
      <c r="S25" s="45"/>
      <c r="T25" s="45"/>
      <c r="U25" s="45"/>
    </row>
    <row r="26" spans="1:21" s="11" customFormat="1" ht="15">
      <c r="A26" s="52" t="s">
        <v>630</v>
      </c>
      <c r="B26" s="53">
        <v>14.86</v>
      </c>
      <c r="C26" s="53">
        <v>101.67</v>
      </c>
      <c r="D26" s="53">
        <v>62.96</v>
      </c>
      <c r="E26" s="53">
        <v>8.76</v>
      </c>
      <c r="F26" s="53">
        <v>24.57</v>
      </c>
      <c r="G26" s="53">
        <v>44.47</v>
      </c>
      <c r="H26" s="53">
        <v>15.93</v>
      </c>
      <c r="I26" s="53">
        <v>0.61</v>
      </c>
      <c r="J26" s="53">
        <v>0.75</v>
      </c>
      <c r="K26" s="53">
        <v>161.16999999999999</v>
      </c>
      <c r="L26" s="53">
        <v>32.35</v>
      </c>
      <c r="M26" s="53">
        <v>23.56</v>
      </c>
      <c r="N26" s="53">
        <v>38.60</v>
      </c>
      <c r="O26" s="53">
        <v>0</v>
      </c>
      <c r="P26" s="53">
        <v>0.95</v>
      </c>
      <c r="Q26" s="53">
        <v>26.29</v>
      </c>
      <c r="R26" s="45"/>
      <c r="S26" s="45"/>
      <c r="T26" s="45"/>
      <c r="U26" s="45"/>
    </row>
    <row r="27" spans="1:21" s="11" customFormat="1" ht="15">
      <c r="A27" s="52" t="s">
        <v>631</v>
      </c>
      <c r="B27" s="53">
        <v>34.369999999999997</v>
      </c>
      <c r="C27" s="53">
        <v>118.14</v>
      </c>
      <c r="D27" s="53">
        <v>92.76</v>
      </c>
      <c r="E27" s="53">
        <v>7.72</v>
      </c>
      <c r="F27" s="53">
        <v>7.04</v>
      </c>
      <c r="G27" s="53">
        <v>77.349999999999994</v>
      </c>
      <c r="H27" s="53">
        <v>19.53</v>
      </c>
      <c r="I27" s="53">
        <v>0.78</v>
      </c>
      <c r="J27" s="53">
        <v>0.17</v>
      </c>
      <c r="K27" s="53">
        <v>104.85</v>
      </c>
      <c r="L27" s="53">
        <v>28.92</v>
      </c>
      <c r="M27" s="53">
        <v>34.17</v>
      </c>
      <c r="N27" s="53">
        <v>5.5</v>
      </c>
      <c r="O27" s="53">
        <v>0</v>
      </c>
      <c r="P27" s="53">
        <v>1.08</v>
      </c>
      <c r="Q27" s="53">
        <v>28.12</v>
      </c>
      <c r="R27" s="45"/>
      <c r="S27" s="45"/>
      <c r="T27" s="45"/>
      <c r="U27" s="45"/>
    </row>
    <row r="28" spans="1:21" s="11" customFormat="1" ht="15">
      <c r="A28" s="52" t="s">
        <v>632</v>
      </c>
      <c r="B28" s="53">
        <v>58.38</v>
      </c>
      <c r="C28" s="53">
        <v>126.63</v>
      </c>
      <c r="D28" s="53">
        <v>116.70</v>
      </c>
      <c r="E28" s="53">
        <v>5.81</v>
      </c>
      <c r="F28" s="53">
        <v>4.59</v>
      </c>
      <c r="G28" s="53">
        <v>147.40</v>
      </c>
      <c r="H28" s="53">
        <v>32.020000000000003</v>
      </c>
      <c r="I28" s="53">
        <v>0.84</v>
      </c>
      <c r="J28" s="53">
        <v>0.28999999999999998</v>
      </c>
      <c r="K28" s="53">
        <v>304.35000000000002</v>
      </c>
      <c r="L28" s="53">
        <v>27.16</v>
      </c>
      <c r="M28" s="53">
        <v>42.88</v>
      </c>
      <c r="N28" s="53">
        <v>4.20</v>
      </c>
      <c r="O28" s="53">
        <v>0</v>
      </c>
      <c r="P28" s="53">
        <v>1.31</v>
      </c>
      <c r="Q28" s="53">
        <v>31.66</v>
      </c>
      <c r="R28" s="45"/>
      <c r="S28" s="45"/>
      <c r="T28" s="45"/>
      <c r="U28" s="45"/>
    </row>
    <row r="29" spans="1:21" s="11" customFormat="1" ht="15">
      <c r="A29" s="52" t="s">
        <v>633</v>
      </c>
      <c r="B29" s="53">
        <v>80.25</v>
      </c>
      <c r="C29" s="53">
        <v>130.63999999999999</v>
      </c>
      <c r="D29" s="53">
        <v>136.44999999999999</v>
      </c>
      <c r="E29" s="53">
        <v>6.77</v>
      </c>
      <c r="F29" s="53">
        <v>4.45</v>
      </c>
      <c r="G29" s="53">
        <v>147.40</v>
      </c>
      <c r="H29" s="53">
        <v>33.82</v>
      </c>
      <c r="I29" s="53">
        <v>0.92</v>
      </c>
      <c r="J29" s="53">
        <v>0.38</v>
      </c>
      <c r="K29" s="53">
        <v>351</v>
      </c>
      <c r="L29" s="53">
        <v>26.37</v>
      </c>
      <c r="M29" s="53">
        <v>44.48</v>
      </c>
      <c r="N29" s="53">
        <v>4.5</v>
      </c>
      <c r="O29" s="53">
        <v>0</v>
      </c>
      <c r="P29" s="53">
        <v>1.92</v>
      </c>
      <c r="Q29" s="53">
        <v>32.29</v>
      </c>
      <c r="R29" s="45"/>
      <c r="S29" s="45"/>
      <c r="T29" s="45"/>
      <c r="U29" s="45"/>
    </row>
    <row r="30" spans="1:21" s="11" customFormat="1" ht="15">
      <c r="A30" s="52" t="s">
        <v>634</v>
      </c>
      <c r="B30" s="53">
        <v>95.86</v>
      </c>
      <c r="C30" s="53">
        <v>131.19999999999999</v>
      </c>
      <c r="D30" s="53">
        <v>147.94999999999999</v>
      </c>
      <c r="E30" s="53">
        <v>7.22</v>
      </c>
      <c r="F30" s="53">
        <v>5.1100000000000003</v>
      </c>
      <c r="G30" s="53">
        <v>124.96</v>
      </c>
      <c r="H30" s="53">
        <v>38.130000000000003</v>
      </c>
      <c r="I30" s="53">
        <v>1.05</v>
      </c>
      <c r="J30" s="53">
        <v>0.15</v>
      </c>
      <c r="K30" s="53">
        <v>306.93</v>
      </c>
      <c r="L30" s="53">
        <v>25.42</v>
      </c>
      <c r="M30" s="53">
        <v>44.28</v>
      </c>
      <c r="N30" s="53">
        <v>4.5</v>
      </c>
      <c r="O30" s="53">
        <v>0</v>
      </c>
      <c r="P30" s="53">
        <v>1.73</v>
      </c>
      <c r="Q30" s="53">
        <v>32.83</v>
      </c>
      <c r="R30" s="45"/>
      <c r="S30" s="45"/>
      <c r="T30" s="45"/>
      <c r="U30" s="45"/>
    </row>
    <row r="31" spans="1:21" s="11" customFormat="1" ht="15">
      <c r="A31" s="52" t="s">
        <v>635</v>
      </c>
      <c r="B31" s="53">
        <v>107.86</v>
      </c>
      <c r="C31" s="53">
        <v>129.11000000000001</v>
      </c>
      <c r="D31" s="53">
        <v>157.35</v>
      </c>
      <c r="E31" s="53">
        <v>5.80</v>
      </c>
      <c r="F31" s="53">
        <v>4.4800000000000004</v>
      </c>
      <c r="G31" s="53">
        <v>156.85</v>
      </c>
      <c r="H31" s="53">
        <v>43.82</v>
      </c>
      <c r="I31" s="53">
        <v>1.05</v>
      </c>
      <c r="J31" s="53">
        <v>0.17</v>
      </c>
      <c r="K31" s="53">
        <v>251.68</v>
      </c>
      <c r="L31" s="53">
        <v>23.98</v>
      </c>
      <c r="M31" s="53">
        <v>48.72</v>
      </c>
      <c r="N31" s="53">
        <v>4.5999999999999996</v>
      </c>
      <c r="O31" s="53">
        <v>0</v>
      </c>
      <c r="P31" s="53">
        <v>1.81</v>
      </c>
      <c r="Q31" s="53">
        <v>36.590000000000003</v>
      </c>
      <c r="R31" s="45"/>
      <c r="S31" s="45"/>
      <c r="T31" s="45"/>
      <c r="U31" s="45"/>
    </row>
    <row r="32" spans="1:21" s="11" customFormat="1" ht="15">
      <c r="A32" s="52" t="s">
        <v>636</v>
      </c>
      <c r="B32" s="53">
        <v>125.36</v>
      </c>
      <c r="C32" s="53">
        <v>133.97</v>
      </c>
      <c r="D32" s="53">
        <v>174.46</v>
      </c>
      <c r="E32" s="53">
        <v>5.05</v>
      </c>
      <c r="F32" s="53">
        <v>4.3600000000000003</v>
      </c>
      <c r="G32" s="53">
        <v>156.85</v>
      </c>
      <c r="H32" s="53">
        <v>44.72</v>
      </c>
      <c r="I32" s="53">
        <v>1.1000000000000001</v>
      </c>
      <c r="J32" s="53">
        <v>0.05</v>
      </c>
      <c r="K32" s="53">
        <v>250.21</v>
      </c>
      <c r="L32" s="53">
        <v>22.78</v>
      </c>
      <c r="M32" s="53">
        <v>49.09</v>
      </c>
      <c r="N32" s="53">
        <v>4.5999999999999996</v>
      </c>
      <c r="O32" s="53">
        <v>0</v>
      </c>
      <c r="P32" s="53">
        <v>1.79</v>
      </c>
      <c r="Q32" s="53">
        <v>37.53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2.8300000000000001</v>
      </c>
      <c r="C34" s="28">
        <f t="shared" si="0"/>
        <v>91.930000000000007</v>
      </c>
      <c r="D34" s="28">
        <f t="shared" si="0"/>
        <v>52.520000000000003</v>
      </c>
      <c r="E34" s="28">
        <f t="shared" si="0"/>
        <v>3.8500000000000001</v>
      </c>
      <c r="F34" s="28">
        <f t="shared" si="0"/>
        <v>0.02</v>
      </c>
      <c r="G34" s="28">
        <f t="shared" si="0"/>
        <v>40.439999999999998</v>
      </c>
      <c r="H34" s="28">
        <f t="shared" si="0"/>
        <v>15.93</v>
      </c>
      <c r="I34" s="28">
        <f t="shared" si="0"/>
        <v>0.60999999999999999</v>
      </c>
      <c r="J34" s="28">
        <f t="shared" si="0"/>
        <v>0.050000000000000003</v>
      </c>
      <c r="K34" s="28">
        <f t="shared" si="0"/>
        <v>7.2300000000000004</v>
      </c>
      <c r="L34" s="28">
        <f t="shared" si="0"/>
        <v>18.949999999999999</v>
      </c>
      <c r="M34" s="28">
        <f t="shared" si="0"/>
        <v>15.75</v>
      </c>
      <c r="N34" s="28">
        <f t="shared" si="0"/>
        <v>4.2000000000000002</v>
      </c>
      <c r="O34" s="28">
        <f t="shared" si="0"/>
        <v>0</v>
      </c>
      <c r="P34" s="28">
        <f t="shared" si="0"/>
        <v>0.66000000000000003</v>
      </c>
      <c r="Q34" s="28">
        <f t="shared" si="0"/>
        <v>26.289999999999999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125.36</v>
      </c>
      <c r="C35" s="29">
        <f t="shared" si="1"/>
        <v>133.97</v>
      </c>
      <c r="D35" s="29">
        <f t="shared" si="1"/>
        <v>174.46000000000001</v>
      </c>
      <c r="E35" s="29">
        <f t="shared" si="1"/>
        <v>18.59</v>
      </c>
      <c r="F35" s="29">
        <f t="shared" si="1"/>
        <v>24.57</v>
      </c>
      <c r="G35" s="29">
        <f t="shared" si="1"/>
        <v>192.65000000000001</v>
      </c>
      <c r="H35" s="29">
        <f t="shared" si="1"/>
        <v>53.149999999999999</v>
      </c>
      <c r="I35" s="29">
        <f t="shared" si="1"/>
        <v>1.1699999999999999</v>
      </c>
      <c r="J35" s="29">
        <f t="shared" si="1"/>
        <v>1.8200000000000001</v>
      </c>
      <c r="K35" s="29">
        <f t="shared" si="1"/>
        <v>358.17000000000002</v>
      </c>
      <c r="L35" s="29">
        <f t="shared" si="1"/>
        <v>38.130000000000003</v>
      </c>
      <c r="M35" s="29">
        <f t="shared" si="1"/>
        <v>65.930000000000007</v>
      </c>
      <c r="N35" s="29">
        <f t="shared" si="1"/>
        <v>573.29999999999995</v>
      </c>
      <c r="O35" s="29">
        <f t="shared" si="1"/>
        <v>0</v>
      </c>
      <c r="P35" s="29">
        <f t="shared" si="1"/>
        <v>2.0699999999999998</v>
      </c>
      <c r="Q35" s="29">
        <f t="shared" si="1"/>
        <v>37.530000000000001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55.922916666666652</v>
      </c>
      <c r="C36" s="28">
        <f t="shared" si="2"/>
        <v>112.39375</v>
      </c>
      <c r="D36" s="28">
        <f t="shared" si="2"/>
        <v>106.21708333333333</v>
      </c>
      <c r="E36" s="28">
        <f t="shared" si="2"/>
        <v>6.8266666666666689</v>
      </c>
      <c r="F36" s="28">
        <f t="shared" si="2"/>
        <v>6.831818181818182</v>
      </c>
      <c r="G36" s="28">
        <f t="shared" si="2"/>
        <v>107.95583333333333</v>
      </c>
      <c r="H36" s="28">
        <f t="shared" si="2"/>
        <v>39.043333333333344</v>
      </c>
      <c r="I36" s="28">
        <f t="shared" si="2"/>
        <v>0.83958333333333346</v>
      </c>
      <c r="J36" s="28">
        <f t="shared" si="2"/>
        <v>0.63</v>
      </c>
      <c r="K36" s="28">
        <f t="shared" si="2"/>
        <v>216.94833333333338</v>
      </c>
      <c r="L36" s="28">
        <f t="shared" si="2"/>
        <v>27.830833333333327</v>
      </c>
      <c r="M36" s="28">
        <f t="shared" si="2"/>
        <v>40.250000000000007</v>
      </c>
      <c r="N36" s="28">
        <f t="shared" si="2"/>
        <v>181.61250000000004</v>
      </c>
      <c r="O36" s="28">
        <f t="shared" si="2"/>
        <v>0</v>
      </c>
      <c r="P36" s="28">
        <f t="shared" si="2"/>
        <v>1.3541666666666667</v>
      </c>
      <c r="Q36" s="28">
        <f t="shared" si="2"/>
        <v>31.737499999999994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38.105255426557484</v>
      </c>
      <c r="C37" s="28">
        <f t="shared" si="3" ref="C37:Q37">STDEV(C9:C32)</f>
        <v>11.758809394218662</v>
      </c>
      <c r="D37" s="28">
        <f t="shared" si="3"/>
        <v>35.797058110745056</v>
      </c>
      <c r="E37" s="28">
        <f t="shared" si="3"/>
        <v>3.0129166378555272</v>
      </c>
      <c r="F37" s="28">
        <f t="shared" si="3"/>
        <v>8.0262786469041121</v>
      </c>
      <c r="G37" s="28">
        <f t="shared" si="3"/>
        <v>47.095466680818177</v>
      </c>
      <c r="H37" s="28">
        <f t="shared" si="3"/>
        <v>11.80313652738362</v>
      </c>
      <c r="I37" s="28">
        <f t="shared" si="3"/>
        <v>0.17672083528318955</v>
      </c>
      <c r="J37" s="28">
        <f t="shared" si="3"/>
        <v>0.50410488901659611</v>
      </c>
      <c r="K37" s="28">
        <f t="shared" si="3"/>
        <v>115.21417499092968</v>
      </c>
      <c r="L37" s="28">
        <f t="shared" si="3"/>
        <v>6.3299631956253446</v>
      </c>
      <c r="M37" s="28">
        <f t="shared" si="3"/>
        <v>16.852649127324039</v>
      </c>
      <c r="N37" s="28">
        <f t="shared" si="3"/>
        <v>230.18648453600281</v>
      </c>
      <c r="O37" s="28">
        <f t="shared" si="3"/>
        <v>0</v>
      </c>
      <c r="P37" s="28">
        <f t="shared" si="3"/>
        <v>0.42362736564997339</v>
      </c>
      <c r="Q37" s="28">
        <f t="shared" si="3"/>
        <v>2.9465060370016145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COUNT(F9:F32)+2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9b4418-95c4-4325-9235-bb5a5941d97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637</v>
      </c>
      <c r="B9" s="53">
        <v>132.81</v>
      </c>
      <c r="C9" s="53">
        <v>135.37</v>
      </c>
      <c r="D9" s="53">
        <v>181.21</v>
      </c>
      <c r="E9" s="53">
        <v>7.11</v>
      </c>
      <c r="F9" s="53">
        <v>5.86</v>
      </c>
      <c r="G9" s="53">
        <v>144.09</v>
      </c>
      <c r="H9" s="53">
        <v>45.89</v>
      </c>
      <c r="I9" s="53">
        <v>1.1100000000000001</v>
      </c>
      <c r="J9" s="53">
        <v>0.79</v>
      </c>
      <c r="K9" s="53">
        <v>294.22000000000003</v>
      </c>
      <c r="L9" s="53">
        <v>22.86</v>
      </c>
      <c r="M9" s="53">
        <v>53.98</v>
      </c>
      <c r="N9" s="53">
        <v>4.5999999999999996</v>
      </c>
      <c r="O9" s="53">
        <v>0</v>
      </c>
      <c r="P9" s="53">
        <v>1.76</v>
      </c>
      <c r="Q9" s="53">
        <v>37</v>
      </c>
      <c r="R9" s="45"/>
      <c r="S9" s="45"/>
      <c r="T9" s="45"/>
      <c r="U9" s="45"/>
    </row>
    <row r="10" spans="1:21" s="11" customFormat="1" ht="15">
      <c r="A10" s="52" t="s">
        <v>638</v>
      </c>
      <c r="B10" s="53">
        <v>102.91</v>
      </c>
      <c r="C10" s="53">
        <v>125.78</v>
      </c>
      <c r="D10" s="53">
        <v>151.88</v>
      </c>
      <c r="E10" s="53">
        <v>6.66</v>
      </c>
      <c r="F10" s="53">
        <v>5.48</v>
      </c>
      <c r="G10" s="53">
        <v>114.08</v>
      </c>
      <c r="H10" s="53">
        <v>45.89</v>
      </c>
      <c r="I10" s="53">
        <v>1.08</v>
      </c>
      <c r="J10" s="53">
        <v>0.32</v>
      </c>
      <c r="K10" s="53">
        <v>295.80</v>
      </c>
      <c r="L10" s="53">
        <v>22.49</v>
      </c>
      <c r="M10" s="53">
        <v>52.11</v>
      </c>
      <c r="N10" s="53">
        <v>4.9000000000000004</v>
      </c>
      <c r="O10" s="53">
        <v>0</v>
      </c>
      <c r="P10" s="53">
        <v>1.68</v>
      </c>
      <c r="Q10" s="53">
        <v>36.979999999999997</v>
      </c>
      <c r="R10" s="45"/>
      <c r="S10" s="45"/>
      <c r="T10" s="45"/>
      <c r="U10" s="45"/>
    </row>
    <row r="11" spans="1:21" s="11" customFormat="1" ht="15">
      <c r="A11" s="52" t="s">
        <v>639</v>
      </c>
      <c r="B11" s="53">
        <v>92.77</v>
      </c>
      <c r="C11" s="53">
        <v>118.82</v>
      </c>
      <c r="D11" s="53">
        <v>139.88</v>
      </c>
      <c r="E11" s="53">
        <v>6.46</v>
      </c>
      <c r="F11" s="53">
        <v>4.3099999999999996</v>
      </c>
      <c r="G11" s="53">
        <v>109.65</v>
      </c>
      <c r="H11" s="53">
        <v>44.11</v>
      </c>
      <c r="I11" s="53">
        <v>1.08</v>
      </c>
      <c r="J11" s="53">
        <v>0.96</v>
      </c>
      <c r="K11" s="53">
        <v>108.56</v>
      </c>
      <c r="L11" s="53">
        <v>21.97</v>
      </c>
      <c r="M11" s="53">
        <v>50.55</v>
      </c>
      <c r="N11" s="53">
        <v>4.5999999999999996</v>
      </c>
      <c r="O11" s="53">
        <v>0</v>
      </c>
      <c r="P11" s="53">
        <v>1.62</v>
      </c>
      <c r="Q11" s="53">
        <v>36.79</v>
      </c>
      <c r="R11" s="45"/>
      <c r="S11" s="45"/>
      <c r="T11" s="45"/>
      <c r="U11" s="45"/>
    </row>
    <row r="12" spans="1:21" s="11" customFormat="1" ht="15">
      <c r="A12" s="52" t="s">
        <v>640</v>
      </c>
      <c r="B12" s="53">
        <v>72.989999999999995</v>
      </c>
      <c r="C12" s="53">
        <v>116.48</v>
      </c>
      <c r="D12" s="53">
        <v>122.82</v>
      </c>
      <c r="E12" s="53">
        <v>6.76</v>
      </c>
      <c r="F12" s="53">
        <v>4.46</v>
      </c>
      <c r="G12" s="53">
        <v>162.61000000000001</v>
      </c>
      <c r="H12" s="53">
        <v>56.35</v>
      </c>
      <c r="I12" s="53">
        <v>0.93</v>
      </c>
      <c r="J12" s="53">
        <v>0.10</v>
      </c>
      <c r="K12" s="53">
        <v>340.67</v>
      </c>
      <c r="L12" s="53">
        <v>21.70</v>
      </c>
      <c r="M12" s="53">
        <v>57.44</v>
      </c>
      <c r="N12" s="53">
        <v>4.70</v>
      </c>
      <c r="O12" s="53">
        <v>0</v>
      </c>
      <c r="P12" s="53">
        <v>1.65</v>
      </c>
      <c r="Q12" s="53">
        <v>34.94</v>
      </c>
      <c r="R12" s="45"/>
      <c r="S12" s="45"/>
      <c r="T12" s="45"/>
      <c r="U12" s="45"/>
    </row>
    <row r="13" spans="1:21" s="11" customFormat="1" ht="15">
      <c r="A13" s="52" t="s">
        <v>641</v>
      </c>
      <c r="B13" s="53">
        <v>59.56</v>
      </c>
      <c r="C13" s="53">
        <v>110.15</v>
      </c>
      <c r="D13" s="53">
        <v>108.35</v>
      </c>
      <c r="E13" s="53">
        <v>5.82</v>
      </c>
      <c r="F13" s="53">
        <v>4.91</v>
      </c>
      <c r="G13" s="53">
        <v>162.61000000000001</v>
      </c>
      <c r="H13" s="53">
        <v>59.43</v>
      </c>
      <c r="I13" s="53">
        <v>0.82</v>
      </c>
      <c r="J13" s="53">
        <v>0.27</v>
      </c>
      <c r="K13" s="53">
        <v>344.58</v>
      </c>
      <c r="L13" s="53">
        <v>21.28</v>
      </c>
      <c r="M13" s="53">
        <v>54.99</v>
      </c>
      <c r="N13" s="53">
        <v>4.30</v>
      </c>
      <c r="O13" s="53">
        <v>0</v>
      </c>
      <c r="P13" s="53">
        <v>1.65</v>
      </c>
      <c r="Q13" s="53">
        <v>33.020000000000003</v>
      </c>
      <c r="R13" s="45"/>
      <c r="S13" s="45"/>
      <c r="T13" s="45"/>
      <c r="U13" s="45"/>
    </row>
    <row r="14" spans="1:21" s="11" customFormat="1" ht="15">
      <c r="A14" s="52" t="s">
        <v>642</v>
      </c>
      <c r="B14" s="53">
        <v>55.09</v>
      </c>
      <c r="C14" s="53">
        <v>107.57</v>
      </c>
      <c r="D14" s="53">
        <v>103.49</v>
      </c>
      <c r="E14" s="53">
        <v>5.49</v>
      </c>
      <c r="F14" s="53">
        <v>4.92</v>
      </c>
      <c r="G14" s="53">
        <v>138.83000000000001</v>
      </c>
      <c r="H14" s="53">
        <v>59.43</v>
      </c>
      <c r="I14" s="53">
        <v>0.81</v>
      </c>
      <c r="J14" s="53">
        <v>0.41</v>
      </c>
      <c r="K14" s="53">
        <v>107.61</v>
      </c>
      <c r="L14" s="53">
        <v>21.37</v>
      </c>
      <c r="M14" s="53">
        <v>51.45</v>
      </c>
      <c r="N14" s="53">
        <v>4.70</v>
      </c>
      <c r="O14" s="53">
        <v>0</v>
      </c>
      <c r="P14" s="53">
        <v>1.54</v>
      </c>
      <c r="Q14" s="53">
        <v>33.53</v>
      </c>
      <c r="R14" s="45"/>
      <c r="S14" s="45"/>
      <c r="T14" s="45"/>
      <c r="U14" s="45"/>
    </row>
    <row r="15" spans="1:21" s="11" customFormat="1" ht="15">
      <c r="A15" s="52" t="s">
        <v>643</v>
      </c>
      <c r="B15" s="53">
        <v>50.97</v>
      </c>
      <c r="C15" s="53">
        <v>108.69</v>
      </c>
      <c r="D15" s="53">
        <v>100.21</v>
      </c>
      <c r="E15" s="53">
        <v>4.92</v>
      </c>
      <c r="F15" s="53">
        <v>4.3899999999999997</v>
      </c>
      <c r="G15" s="53">
        <v>100.74</v>
      </c>
      <c r="H15" s="53">
        <v>50.22</v>
      </c>
      <c r="I15" s="53">
        <v>0.80</v>
      </c>
      <c r="J15" s="53">
        <v>0.31</v>
      </c>
      <c r="K15" s="53">
        <v>279.48</v>
      </c>
      <c r="L15" s="53">
        <v>20.48</v>
      </c>
      <c r="M15" s="53">
        <v>53.38</v>
      </c>
      <c r="N15" s="53">
        <v>33.799999999999997</v>
      </c>
      <c r="O15" s="53">
        <v>0</v>
      </c>
      <c r="P15" s="53">
        <v>1.42</v>
      </c>
      <c r="Q15" s="53">
        <v>33.29</v>
      </c>
      <c r="R15" s="45"/>
      <c r="S15" s="45"/>
      <c r="T15" s="45"/>
      <c r="U15" s="45"/>
    </row>
    <row r="16" spans="1:21" s="11" customFormat="1" ht="15">
      <c r="A16" s="52" t="s">
        <v>644</v>
      </c>
      <c r="B16" s="53">
        <v>49.49</v>
      </c>
      <c r="C16" s="53">
        <v>109.62</v>
      </c>
      <c r="D16" s="53">
        <v>100.04</v>
      </c>
      <c r="E16" s="53">
        <v>6.52</v>
      </c>
      <c r="F16" s="53">
        <v>4.62</v>
      </c>
      <c r="G16" s="53">
        <v>106.18</v>
      </c>
      <c r="H16" s="53">
        <v>49.35</v>
      </c>
      <c r="I16" s="53">
        <v>0.75</v>
      </c>
      <c r="J16" s="53">
        <v>0.67</v>
      </c>
      <c r="K16" s="53">
        <v>33.10</v>
      </c>
      <c r="L16" s="53">
        <v>25.40</v>
      </c>
      <c r="M16" s="53">
        <v>50.64</v>
      </c>
      <c r="N16" s="53">
        <v>216.40</v>
      </c>
      <c r="O16" s="53">
        <v>0</v>
      </c>
      <c r="P16" s="53">
        <v>1.36</v>
      </c>
      <c r="Q16" s="53">
        <v>32.049999999999997</v>
      </c>
      <c r="R16" s="45"/>
      <c r="S16" s="45"/>
      <c r="T16" s="45"/>
      <c r="U16" s="45"/>
    </row>
    <row r="17" spans="1:21" s="11" customFormat="1" ht="15">
      <c r="A17" s="52" t="s">
        <v>645</v>
      </c>
      <c r="B17" s="53">
        <v>45.19</v>
      </c>
      <c r="C17" s="53">
        <v>109.73</v>
      </c>
      <c r="D17" s="53">
        <v>95.29</v>
      </c>
      <c r="E17" s="53">
        <v>8.89</v>
      </c>
      <c r="F17" s="53">
        <v>5.1100000000000003</v>
      </c>
      <c r="G17" s="53">
        <v>120.69</v>
      </c>
      <c r="H17" s="53">
        <v>49.35</v>
      </c>
      <c r="I17" s="53">
        <v>0.74</v>
      </c>
      <c r="J17" s="53">
        <v>1.35</v>
      </c>
      <c r="K17" s="53">
        <v>108.65</v>
      </c>
      <c r="L17" s="53">
        <v>26.38</v>
      </c>
      <c r="M17" s="53">
        <v>36.880000000000003</v>
      </c>
      <c r="N17" s="53">
        <v>411.80</v>
      </c>
      <c r="O17" s="53">
        <v>0</v>
      </c>
      <c r="P17" s="53">
        <v>1.38</v>
      </c>
      <c r="Q17" s="53">
        <v>30.80</v>
      </c>
      <c r="R17" s="45"/>
      <c r="S17" s="45"/>
      <c r="T17" s="45"/>
      <c r="U17" s="45"/>
    </row>
    <row r="18" spans="1:21" s="11" customFormat="1" ht="15">
      <c r="A18" s="52" t="s">
        <v>646</v>
      </c>
      <c r="B18" s="53">
        <v>37.26</v>
      </c>
      <c r="C18" s="53">
        <v>111.61</v>
      </c>
      <c r="D18" s="53">
        <v>91.47</v>
      </c>
      <c r="E18" s="53">
        <v>6.19</v>
      </c>
      <c r="F18" s="53">
        <v>4.87</v>
      </c>
      <c r="G18" s="53">
        <v>120.69</v>
      </c>
      <c r="H18" s="53">
        <v>49.01</v>
      </c>
      <c r="I18" s="53">
        <v>0.73</v>
      </c>
      <c r="J18" s="53">
        <v>2.0099999999999998</v>
      </c>
      <c r="K18" s="53">
        <v>117.46</v>
      </c>
      <c r="L18" s="53">
        <v>29.04</v>
      </c>
      <c r="M18" s="53">
        <v>33.28</v>
      </c>
      <c r="N18" s="53">
        <v>563.20000000000005</v>
      </c>
      <c r="O18" s="53">
        <v>0</v>
      </c>
      <c r="P18" s="53">
        <v>1.32</v>
      </c>
      <c r="Q18" s="53">
        <v>30.91</v>
      </c>
      <c r="R18" s="45"/>
      <c r="S18" s="45"/>
      <c r="T18" s="45"/>
      <c r="U18" s="45"/>
    </row>
    <row r="19" spans="1:21" s="11" customFormat="1" ht="15">
      <c r="A19" s="52" t="s">
        <v>647</v>
      </c>
      <c r="B19" s="53">
        <v>18</v>
      </c>
      <c r="C19" s="53">
        <v>110.32</v>
      </c>
      <c r="D19" s="53">
        <v>75.319999999999993</v>
      </c>
      <c r="E19" s="53">
        <v>15.78</v>
      </c>
      <c r="F19" s="53">
        <v>42.01</v>
      </c>
      <c r="G19" s="53">
        <v>81.650000000000006</v>
      </c>
      <c r="H19" s="53">
        <v>42.78</v>
      </c>
      <c r="I19" s="53">
        <v>0.69</v>
      </c>
      <c r="J19" s="53">
        <v>2.36</v>
      </c>
      <c r="K19" s="53">
        <v>117.29</v>
      </c>
      <c r="L19" s="53">
        <v>30.37</v>
      </c>
      <c r="M19" s="53">
        <v>25.58</v>
      </c>
      <c r="N19" s="53">
        <v>571.29999999999995</v>
      </c>
      <c r="O19" s="53">
        <v>0</v>
      </c>
      <c r="P19" s="53">
        <v>1.1000000000000001</v>
      </c>
      <c r="Q19" s="53">
        <v>29.61</v>
      </c>
      <c r="R19" s="45"/>
      <c r="S19" s="45"/>
      <c r="T19" s="45"/>
      <c r="U19" s="45"/>
    </row>
    <row r="20" spans="1:21" s="11" customFormat="1" ht="15">
      <c r="A20" s="52" t="s">
        <v>648</v>
      </c>
      <c r="B20" s="53">
        <v>0.51</v>
      </c>
      <c r="C20" s="53">
        <v>55.10</v>
      </c>
      <c r="D20" s="53">
        <v>30.82</v>
      </c>
      <c r="E20" s="53">
        <v>32.99</v>
      </c>
      <c r="F20" s="53">
        <v>63.87</v>
      </c>
      <c r="G20" s="53">
        <v>62.75</v>
      </c>
      <c r="H20" s="53">
        <v>38.03</v>
      </c>
      <c r="I20" s="53">
        <v>0.57999999999999996</v>
      </c>
      <c r="J20" s="53">
        <v>2.15</v>
      </c>
      <c r="K20" s="53">
        <v>117.66</v>
      </c>
      <c r="L20" s="53">
        <v>31.99</v>
      </c>
      <c r="M20" s="53">
        <v>21.51</v>
      </c>
      <c r="N20" s="53">
        <v>567</v>
      </c>
      <c r="O20" s="53">
        <v>0</v>
      </c>
      <c r="P20" s="53">
        <v>0.37</v>
      </c>
      <c r="Q20" s="53">
        <v>6.62</v>
      </c>
      <c r="R20" s="45"/>
      <c r="S20" s="45"/>
      <c r="T20" s="45"/>
      <c r="U20" s="45"/>
    </row>
    <row r="21" spans="1:21" s="11" customFormat="1" ht="15">
      <c r="A21" s="52" t="s">
        <v>649</v>
      </c>
      <c r="B21" s="53">
        <v>2.38</v>
      </c>
      <c r="C21" s="53">
        <v>52.24</v>
      </c>
      <c r="D21" s="53">
        <v>30.24</v>
      </c>
      <c r="E21" s="53">
        <v>21.81</v>
      </c>
      <c r="F21" s="53">
        <v>36.07</v>
      </c>
      <c r="G21" s="53">
        <v>42.84</v>
      </c>
      <c r="H21" s="53">
        <v>30.95</v>
      </c>
      <c r="I21" s="53">
        <v>0.48</v>
      </c>
      <c r="J21" s="53">
        <v>1.08</v>
      </c>
      <c r="K21" s="53">
        <v>118.20</v>
      </c>
      <c r="L21" s="53">
        <v>35.57</v>
      </c>
      <c r="M21" s="53">
        <v>19.87</v>
      </c>
      <c r="N21" s="53">
        <v>543.60</v>
      </c>
      <c r="O21" s="53">
        <v>0</v>
      </c>
      <c r="P21" s="53">
        <v>0.43</v>
      </c>
      <c r="Q21" s="53">
        <v>14.88</v>
      </c>
      <c r="R21" s="45"/>
      <c r="S21" s="45"/>
      <c r="T21" s="45"/>
      <c r="U21" s="45"/>
    </row>
    <row r="22" spans="1:21" s="11" customFormat="1" ht="15">
      <c r="A22" s="52" t="s">
        <v>650</v>
      </c>
      <c r="B22" s="53">
        <v>1.45</v>
      </c>
      <c r="C22" s="53">
        <v>58.57</v>
      </c>
      <c r="D22" s="53">
        <v>32.86</v>
      </c>
      <c r="E22" s="53">
        <v>10.94</v>
      </c>
      <c r="F22" s="53">
        <v>20.309999999999999</v>
      </c>
      <c r="G22" s="53">
        <v>44.23</v>
      </c>
      <c r="H22" s="53">
        <v>26.64</v>
      </c>
      <c r="I22" s="53">
        <v>0.57999999999999996</v>
      </c>
      <c r="J22" s="53">
        <v>0.57999999999999996</v>
      </c>
      <c r="K22" s="53">
        <v>99.93</v>
      </c>
      <c r="L22" s="53">
        <v>37.07</v>
      </c>
      <c r="M22" s="53">
        <v>15.15</v>
      </c>
      <c r="N22" s="53">
        <v>484.80</v>
      </c>
      <c r="O22" s="53">
        <v>0</v>
      </c>
      <c r="P22" s="53">
        <v>0.55000000000000004</v>
      </c>
      <c r="Q22" s="53">
        <v>17.45</v>
      </c>
      <c r="R22" s="45"/>
      <c r="S22" s="45"/>
      <c r="T22" s="45"/>
      <c r="U22" s="45"/>
    </row>
    <row r="23" spans="1:21" s="11" customFormat="1" ht="15">
      <c r="A23" s="52" t="s">
        <v>651</v>
      </c>
      <c r="B23" s="53">
        <v>2.61</v>
      </c>
      <c r="C23" s="53">
        <v>67.09</v>
      </c>
      <c r="D23" s="53">
        <v>37.69</v>
      </c>
      <c r="E23" s="53">
        <v>14.18</v>
      </c>
      <c r="F23" s="53">
        <v>28.73</v>
      </c>
      <c r="G23" s="53">
        <v>44.23</v>
      </c>
      <c r="H23" s="53">
        <v>26.64</v>
      </c>
      <c r="I23" s="53">
        <v>0.52</v>
      </c>
      <c r="J23" s="53">
        <v>0.90</v>
      </c>
      <c r="K23" s="53">
        <v>117.88</v>
      </c>
      <c r="L23" s="53">
        <v>36.85</v>
      </c>
      <c r="M23" s="53">
        <v>15.98</v>
      </c>
      <c r="N23" s="53">
        <v>405.80</v>
      </c>
      <c r="O23" s="53">
        <v>0</v>
      </c>
      <c r="P23" s="53">
        <v>0.60</v>
      </c>
      <c r="Q23" s="53">
        <v>17.73</v>
      </c>
      <c r="R23" s="45"/>
      <c r="S23" s="45"/>
      <c r="T23" s="45"/>
      <c r="U23" s="45"/>
    </row>
    <row r="24" spans="1:21" s="11" customFormat="1" ht="15">
      <c r="A24" s="52" t="s">
        <v>652</v>
      </c>
      <c r="B24" s="53">
        <v>2.5299999999999998</v>
      </c>
      <c r="C24" s="53">
        <v>66.81</v>
      </c>
      <c r="D24" s="53">
        <v>38.74</v>
      </c>
      <c r="E24" s="53">
        <v>19.12</v>
      </c>
      <c r="F24" s="53">
        <v>37.770000000000003</v>
      </c>
      <c r="G24" s="53">
        <v>41.48</v>
      </c>
      <c r="H24" s="53">
        <v>25.04</v>
      </c>
      <c r="I24" s="53">
        <v>0.56000000000000005</v>
      </c>
      <c r="J24" s="53">
        <v>0.74</v>
      </c>
      <c r="K24" s="53">
        <v>152.25</v>
      </c>
      <c r="L24" s="53">
        <v>36.11</v>
      </c>
      <c r="M24" s="53">
        <v>14.90</v>
      </c>
      <c r="N24" s="53">
        <v>330.10</v>
      </c>
      <c r="O24" s="53">
        <v>0</v>
      </c>
      <c r="P24" s="53">
        <v>0.59</v>
      </c>
      <c r="Q24" s="53">
        <v>19.079999999999998</v>
      </c>
      <c r="R24" s="45"/>
      <c r="S24" s="45"/>
      <c r="T24" s="45"/>
      <c r="U24" s="45"/>
    </row>
    <row r="25" spans="1:21" s="11" customFormat="1" ht="15">
      <c r="A25" s="52" t="s">
        <v>653</v>
      </c>
      <c r="B25" s="53">
        <v>3.99</v>
      </c>
      <c r="C25" s="53">
        <v>72.52</v>
      </c>
      <c r="D25" s="53">
        <v>42.02</v>
      </c>
      <c r="E25" s="53">
        <v>26.41</v>
      </c>
      <c r="F25" s="53">
        <v>30.41</v>
      </c>
      <c r="G25" s="53">
        <v>57.73</v>
      </c>
      <c r="H25" s="53">
        <v>26.05</v>
      </c>
      <c r="I25" s="53">
        <v>0.57999999999999996</v>
      </c>
      <c r="J25" s="53">
        <v>1.45</v>
      </c>
      <c r="K25" s="53">
        <v>41.70</v>
      </c>
      <c r="L25" s="53">
        <v>33.950000000000003</v>
      </c>
      <c r="M25" s="53">
        <v>17.07</v>
      </c>
      <c r="N25" s="53">
        <v>126.60</v>
      </c>
      <c r="O25" s="53">
        <v>0</v>
      </c>
      <c r="P25" s="53">
        <v>0.69</v>
      </c>
      <c r="Q25" s="53">
        <v>20.61</v>
      </c>
      <c r="R25" s="45"/>
      <c r="S25" s="45"/>
      <c r="T25" s="45"/>
      <c r="U25" s="45"/>
    </row>
    <row r="26" spans="1:21" s="11" customFormat="1" ht="15">
      <c r="A26" s="52" t="s">
        <v>654</v>
      </c>
      <c r="B26" s="53">
        <v>8.1300000000000008</v>
      </c>
      <c r="C26" s="53">
        <v>92.34</v>
      </c>
      <c r="D26" s="53">
        <v>57.48</v>
      </c>
      <c r="E26" s="53">
        <v>14.17</v>
      </c>
      <c r="F26" s="53">
        <v>28.05</v>
      </c>
      <c r="G26" s="53">
        <v>57.73</v>
      </c>
      <c r="H26" s="53">
        <v>26.05</v>
      </c>
      <c r="I26" s="53">
        <v>0.59</v>
      </c>
      <c r="J26" s="53">
        <v>1.21</v>
      </c>
      <c r="K26" s="53">
        <v>22.46</v>
      </c>
      <c r="L26" s="53">
        <v>32.159999999999997</v>
      </c>
      <c r="M26" s="53">
        <v>18.809999999999999</v>
      </c>
      <c r="N26" s="53">
        <v>41.10</v>
      </c>
      <c r="O26" s="53">
        <v>0</v>
      </c>
      <c r="P26" s="53">
        <v>0.98</v>
      </c>
      <c r="Q26" s="53">
        <v>19.21</v>
      </c>
      <c r="R26" s="45"/>
      <c r="S26" s="45"/>
      <c r="T26" s="45"/>
      <c r="U26" s="45"/>
    </row>
    <row r="27" spans="1:21" s="11" customFormat="1" ht="15">
      <c r="A27" s="52" t="s">
        <v>655</v>
      </c>
      <c r="B27" s="53">
        <v>25.40</v>
      </c>
      <c r="C27" s="53">
        <v>116.20</v>
      </c>
      <c r="D27" s="53">
        <v>84.5</v>
      </c>
      <c r="E27" s="53">
        <v>36.32</v>
      </c>
      <c r="F27" s="53">
        <v>12.66</v>
      </c>
      <c r="G27" s="53">
        <v>74.37</v>
      </c>
      <c r="H27" s="53">
        <v>31.33</v>
      </c>
      <c r="I27" s="53">
        <v>0.75</v>
      </c>
      <c r="J27" s="53">
        <v>0.47</v>
      </c>
      <c r="K27" s="53">
        <v>90.37</v>
      </c>
      <c r="L27" s="53">
        <v>29.61</v>
      </c>
      <c r="M27" s="53">
        <v>22.75</v>
      </c>
      <c r="N27" s="53">
        <v>5.5</v>
      </c>
      <c r="O27" s="53">
        <v>0</v>
      </c>
      <c r="P27" s="53">
        <v>1.5</v>
      </c>
      <c r="Q27" s="53">
        <v>20.57</v>
      </c>
      <c r="R27" s="45"/>
      <c r="S27" s="45"/>
      <c r="T27" s="45"/>
      <c r="U27" s="45"/>
    </row>
    <row r="28" spans="1:21" s="11" customFormat="1" ht="15">
      <c r="A28" s="52" t="s">
        <v>656</v>
      </c>
      <c r="B28" s="53">
        <v>31.5</v>
      </c>
      <c r="C28" s="53">
        <v>114.07</v>
      </c>
      <c r="D28" s="53">
        <v>88.22</v>
      </c>
      <c r="E28" s="53">
        <v>34.11</v>
      </c>
      <c r="F28" s="53">
        <v>9.59</v>
      </c>
      <c r="G28" s="53">
        <v>94.44</v>
      </c>
      <c r="H28" s="53">
        <v>35.14</v>
      </c>
      <c r="I28" s="53">
        <v>0.81</v>
      </c>
      <c r="J28" s="53">
        <v>0.53</v>
      </c>
      <c r="K28" s="53">
        <v>329.55</v>
      </c>
      <c r="L28" s="53">
        <v>27.96</v>
      </c>
      <c r="M28" s="53">
        <v>33</v>
      </c>
      <c r="N28" s="53">
        <v>4.70</v>
      </c>
      <c r="O28" s="53">
        <v>0</v>
      </c>
      <c r="P28" s="53">
        <v>2.12</v>
      </c>
      <c r="Q28" s="53">
        <v>23.52</v>
      </c>
      <c r="R28" s="45"/>
      <c r="S28" s="45"/>
      <c r="T28" s="45"/>
      <c r="U28" s="45"/>
    </row>
    <row r="29" spans="1:21" s="11" customFormat="1" ht="15">
      <c r="A29" s="52" t="s">
        <v>657</v>
      </c>
      <c r="B29" s="53">
        <v>38.82</v>
      </c>
      <c r="C29" s="53">
        <v>118.23</v>
      </c>
      <c r="D29" s="53">
        <v>96.38</v>
      </c>
      <c r="E29" s="53">
        <v>7</v>
      </c>
      <c r="F29" s="53">
        <v>5.13</v>
      </c>
      <c r="G29" s="53">
        <v>126.20</v>
      </c>
      <c r="H29" s="53">
        <v>46.22</v>
      </c>
      <c r="I29" s="53">
        <v>0.91</v>
      </c>
      <c r="J29" s="53">
        <v>0.26</v>
      </c>
      <c r="K29" s="53">
        <v>193.16</v>
      </c>
      <c r="L29" s="53">
        <v>27.28</v>
      </c>
      <c r="M29" s="53">
        <v>37.92</v>
      </c>
      <c r="N29" s="53">
        <v>4.80</v>
      </c>
      <c r="O29" s="53">
        <v>0</v>
      </c>
      <c r="P29" s="53">
        <v>2.0499999999999998</v>
      </c>
      <c r="Q29" s="53">
        <v>27.61</v>
      </c>
      <c r="R29" s="45"/>
      <c r="S29" s="45"/>
      <c r="T29" s="45"/>
      <c r="U29" s="45"/>
    </row>
    <row r="30" spans="1:21" s="11" customFormat="1" ht="15">
      <c r="A30" s="52" t="s">
        <v>658</v>
      </c>
      <c r="B30" s="53">
        <v>85.22</v>
      </c>
      <c r="C30" s="53">
        <v>124.59</v>
      </c>
      <c r="D30" s="53">
        <v>137.10</v>
      </c>
      <c r="E30" s="53">
        <v>10.23</v>
      </c>
      <c r="F30" s="53">
        <v>4.4800000000000004</v>
      </c>
      <c r="G30" s="53">
        <v>150.68</v>
      </c>
      <c r="H30" s="53">
        <v>50.75</v>
      </c>
      <c r="I30" s="53">
        <v>1.0900000000000001</v>
      </c>
      <c r="J30" s="53">
        <v>0.32</v>
      </c>
      <c r="K30" s="53">
        <v>208.90</v>
      </c>
      <c r="L30" s="53">
        <v>24.95</v>
      </c>
      <c r="M30" s="53">
        <v>38.90</v>
      </c>
      <c r="N30" s="53">
        <v>4.5999999999999996</v>
      </c>
      <c r="O30" s="53">
        <v>0</v>
      </c>
      <c r="P30" s="53">
        <v>2.58</v>
      </c>
      <c r="Q30" s="53">
        <v>28.61</v>
      </c>
      <c r="R30" s="45"/>
      <c r="S30" s="45"/>
      <c r="T30" s="45"/>
      <c r="U30" s="45"/>
    </row>
    <row r="31" spans="1:21" s="11" customFormat="1" ht="15">
      <c r="A31" s="52" t="s">
        <v>659</v>
      </c>
      <c r="B31" s="53">
        <v>108.97</v>
      </c>
      <c r="C31" s="53">
        <v>125.32</v>
      </c>
      <c r="D31" s="53">
        <v>154.16999999999999</v>
      </c>
      <c r="E31" s="53">
        <v>10.49</v>
      </c>
      <c r="F31" s="53">
        <v>4.59</v>
      </c>
      <c r="G31" s="53">
        <v>161.94</v>
      </c>
      <c r="H31" s="53">
        <v>54.13</v>
      </c>
      <c r="I31" s="53">
        <v>1.20</v>
      </c>
      <c r="J31" s="53">
        <v>0.26</v>
      </c>
      <c r="K31" s="53">
        <v>357.61</v>
      </c>
      <c r="L31" s="53">
        <v>23.96</v>
      </c>
      <c r="M31" s="53">
        <v>45.65</v>
      </c>
      <c r="N31" s="53">
        <v>4.4000000000000004</v>
      </c>
      <c r="O31" s="53">
        <v>0</v>
      </c>
      <c r="P31" s="53">
        <v>2.78</v>
      </c>
      <c r="Q31" s="53">
        <v>29.79</v>
      </c>
      <c r="R31" s="45"/>
      <c r="S31" s="45"/>
      <c r="T31" s="45"/>
      <c r="U31" s="45"/>
    </row>
    <row r="32" spans="1:21" s="11" customFormat="1" ht="15">
      <c r="A32" s="52" t="s">
        <v>660</v>
      </c>
      <c r="B32" s="53">
        <v>112.94</v>
      </c>
      <c r="C32" s="53">
        <v>119.98</v>
      </c>
      <c r="D32" s="53">
        <v>155.86000000000001</v>
      </c>
      <c r="E32" s="53">
        <v>7.54</v>
      </c>
      <c r="F32" s="53">
        <v>4.4000000000000004</v>
      </c>
      <c r="G32" s="53">
        <v>163.38</v>
      </c>
      <c r="H32" s="53">
        <v>55.03</v>
      </c>
      <c r="I32" s="53">
        <v>1.29</v>
      </c>
      <c r="J32" s="53">
        <v>0.73</v>
      </c>
      <c r="K32" s="53">
        <v>170.66</v>
      </c>
      <c r="L32" s="53">
        <v>24.43</v>
      </c>
      <c r="M32" s="53">
        <v>51.29</v>
      </c>
      <c r="N32" s="53">
        <v>5.20</v>
      </c>
      <c r="O32" s="53">
        <v>0</v>
      </c>
      <c r="P32" s="53">
        <v>2.88</v>
      </c>
      <c r="Q32" s="53">
        <v>33.64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0.51000000000000001</v>
      </c>
      <c r="C34" s="28">
        <f t="shared" si="0"/>
        <v>52.240000000000002</v>
      </c>
      <c r="D34" s="28">
        <f t="shared" si="0"/>
        <v>30.239999999999998</v>
      </c>
      <c r="E34" s="28">
        <f t="shared" si="0"/>
        <v>4.9199999999999999</v>
      </c>
      <c r="F34" s="28">
        <f t="shared" si="0"/>
        <v>4.3099999999999996</v>
      </c>
      <c r="G34" s="28">
        <f t="shared" si="0"/>
        <v>41.479999999999997</v>
      </c>
      <c r="H34" s="28">
        <f t="shared" si="0"/>
        <v>25.039999999999999</v>
      </c>
      <c r="I34" s="28">
        <f t="shared" si="0"/>
        <v>0.47999999999999998</v>
      </c>
      <c r="J34" s="28">
        <f t="shared" si="0"/>
        <v>0.10000000000000001</v>
      </c>
      <c r="K34" s="28">
        <f t="shared" si="0"/>
        <v>22.460000000000001</v>
      </c>
      <c r="L34" s="28">
        <f t="shared" si="0"/>
        <v>20.48</v>
      </c>
      <c r="M34" s="28">
        <f t="shared" si="0"/>
        <v>14.9</v>
      </c>
      <c r="N34" s="28">
        <f t="shared" si="0"/>
        <v>4.2999999999999998</v>
      </c>
      <c r="O34" s="28">
        <f t="shared" si="0"/>
        <v>0</v>
      </c>
      <c r="P34" s="28">
        <f t="shared" si="0"/>
        <v>0.37</v>
      </c>
      <c r="Q34" s="28">
        <f t="shared" si="0"/>
        <v>6.6200000000000001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132.81</v>
      </c>
      <c r="C35" s="29">
        <f t="shared" si="1"/>
        <v>135.37</v>
      </c>
      <c r="D35" s="29">
        <f t="shared" si="1"/>
        <v>181.21000000000001</v>
      </c>
      <c r="E35" s="29">
        <f t="shared" si="1"/>
        <v>36.32</v>
      </c>
      <c r="F35" s="29">
        <f t="shared" si="1"/>
        <v>63.869999999999997</v>
      </c>
      <c r="G35" s="29">
        <f t="shared" si="1"/>
        <v>163.38</v>
      </c>
      <c r="H35" s="29">
        <f t="shared" si="1"/>
        <v>59.43</v>
      </c>
      <c r="I35" s="29">
        <f t="shared" si="1"/>
        <v>1.29</v>
      </c>
      <c r="J35" s="29">
        <f t="shared" si="1"/>
        <v>2.3599999999999999</v>
      </c>
      <c r="K35" s="29">
        <f t="shared" si="1"/>
        <v>357.61000000000001</v>
      </c>
      <c r="L35" s="29">
        <f t="shared" si="1"/>
        <v>37.07</v>
      </c>
      <c r="M35" s="29">
        <f t="shared" si="1"/>
        <v>57.439999999999998</v>
      </c>
      <c r="N35" s="29">
        <f t="shared" si="1"/>
        <v>571.29999999999995</v>
      </c>
      <c r="O35" s="29">
        <f t="shared" si="1"/>
        <v>0</v>
      </c>
      <c r="P35" s="29">
        <f t="shared" si="1"/>
        <v>2.8799999999999999</v>
      </c>
      <c r="Q35" s="29">
        <f t="shared" si="1"/>
        <v>37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47.562083333333334</v>
      </c>
      <c r="C36" s="28">
        <f t="shared" si="2"/>
        <v>101.96666666666665</v>
      </c>
      <c r="D36" s="28">
        <f t="shared" si="2"/>
        <v>94.001666666666665</v>
      </c>
      <c r="E36" s="28">
        <f t="shared" si="2"/>
        <v>13.579583333333337</v>
      </c>
      <c r="F36" s="28">
        <f t="shared" si="2"/>
        <v>15.708333333333334</v>
      </c>
      <c r="G36" s="28">
        <f t="shared" si="2"/>
        <v>103.49250000000002</v>
      </c>
      <c r="H36" s="28">
        <f t="shared" si="2"/>
        <v>42.658749999999991</v>
      </c>
      <c r="I36" s="28">
        <f t="shared" si="2"/>
        <v>0.81166666666666665</v>
      </c>
      <c r="J36" s="28">
        <f t="shared" si="2"/>
        <v>0.84291666666666698</v>
      </c>
      <c r="K36" s="28">
        <f t="shared" si="2"/>
        <v>173.65625</v>
      </c>
      <c r="L36" s="28">
        <f t="shared" si="2"/>
        <v>27.717916666666667</v>
      </c>
      <c r="M36" s="28">
        <f t="shared" si="2"/>
        <v>36.378333333333323</v>
      </c>
      <c r="N36" s="28">
        <f t="shared" si="2"/>
        <v>181.35416666666671</v>
      </c>
      <c r="O36" s="28">
        <f t="shared" si="2"/>
        <v>0</v>
      </c>
      <c r="P36" s="28">
        <f t="shared" si="2"/>
        <v>1.4416666666666673</v>
      </c>
      <c r="Q36" s="28">
        <f t="shared" si="2"/>
        <v>27.010000000000002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40.857702906249671</v>
      </c>
      <c r="C37" s="28">
        <f t="shared" si="3" ref="C37:Q37">STDEV(C9:C32)</f>
        <v>25.162608675618717</v>
      </c>
      <c r="D37" s="28">
        <f t="shared" si="3"/>
        <v>44.774102730957331</v>
      </c>
      <c r="E37" s="28">
        <f t="shared" si="3"/>
        <v>9.792418309109328</v>
      </c>
      <c r="F37" s="28">
        <f t="shared" si="3"/>
        <v>16.391845180021594</v>
      </c>
      <c r="G37" s="28">
        <f t="shared" si="3"/>
        <v>42.830187672796306</v>
      </c>
      <c r="H37" s="28">
        <f t="shared" si="3"/>
        <v>11.499644725136026</v>
      </c>
      <c r="I37" s="28">
        <f t="shared" si="3"/>
        <v>0.23000315057703521</v>
      </c>
      <c r="J37" s="28">
        <f t="shared" si="3"/>
        <v>0.63059308981904916</v>
      </c>
      <c r="K37" s="28">
        <f t="shared" si="3"/>
        <v>106.09204858179815</v>
      </c>
      <c r="L37" s="28">
        <f t="shared" si="3"/>
        <v>5.4630903654048879</v>
      </c>
      <c r="M37" s="28">
        <f t="shared" si="3"/>
        <v>15.338918296045339</v>
      </c>
      <c r="N37" s="28">
        <f t="shared" si="3"/>
        <v>229.88030151659868</v>
      </c>
      <c r="O37" s="28">
        <f t="shared" si="3"/>
        <v>0</v>
      </c>
      <c r="P37" s="28">
        <f t="shared" si="3"/>
        <v>0.71008674709910957</v>
      </c>
      <c r="Q37" s="28">
        <f t="shared" si="3"/>
        <v>8.211560779461017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22652e-94ca-421b-9b05-6a8cdd605b1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7" t="s">
        <v>21</v>
      </c>
      <c r="B7" s="58" t="s">
        <v>58</v>
      </c>
      <c r="C7" s="58" t="s">
        <v>43</v>
      </c>
      <c r="D7" s="58" t="s">
        <v>44</v>
      </c>
      <c r="E7" s="58" t="s">
        <v>45</v>
      </c>
      <c r="F7" s="58" t="s">
        <v>46</v>
      </c>
      <c r="G7" s="58" t="s">
        <v>47</v>
      </c>
      <c r="H7" s="58" t="s">
        <v>48</v>
      </c>
      <c r="I7" s="58" t="s">
        <v>49</v>
      </c>
      <c r="J7" s="58" t="s">
        <v>50</v>
      </c>
      <c r="K7" s="58" t="s">
        <v>51</v>
      </c>
      <c r="L7" s="58" t="s">
        <v>52</v>
      </c>
      <c r="M7" s="58" t="s">
        <v>53</v>
      </c>
      <c r="N7" s="58" t="s">
        <v>54</v>
      </c>
      <c r="O7" s="58" t="s">
        <v>55</v>
      </c>
      <c r="P7" s="58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67"/>
      <c r="B8" s="68" t="s">
        <v>22</v>
      </c>
      <c r="C8" s="68" t="s">
        <v>22</v>
      </c>
      <c r="D8" s="66" t="s">
        <v>132</v>
      </c>
      <c r="E8" s="68" t="s">
        <v>22</v>
      </c>
      <c r="F8" s="68" t="s">
        <v>22</v>
      </c>
      <c r="G8" s="68" t="s">
        <v>23</v>
      </c>
      <c r="H8" s="68" t="s">
        <v>22</v>
      </c>
      <c r="I8" s="68" t="s">
        <v>22</v>
      </c>
      <c r="J8" s="68" t="s">
        <v>24</v>
      </c>
      <c r="K8" s="68" t="s">
        <v>25</v>
      </c>
      <c r="L8" s="67" t="s">
        <v>27</v>
      </c>
      <c r="M8" s="68" t="s">
        <v>26</v>
      </c>
      <c r="N8" s="68" t="s">
        <v>28</v>
      </c>
      <c r="O8" s="67" t="s">
        <v>29</v>
      </c>
      <c r="P8" s="68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661</v>
      </c>
      <c r="B9" s="53">
        <v>115.35</v>
      </c>
      <c r="C9" s="53">
        <v>118.40</v>
      </c>
      <c r="D9" s="53">
        <v>157.63999999999999</v>
      </c>
      <c r="E9" s="53">
        <v>7.61</v>
      </c>
      <c r="F9" s="53">
        <v>4.38</v>
      </c>
      <c r="G9" s="53">
        <v>171.53</v>
      </c>
      <c r="H9" s="53">
        <v>58.08</v>
      </c>
      <c r="I9" s="53">
        <v>1.43</v>
      </c>
      <c r="J9" s="53">
        <v>0.28000000000000003</v>
      </c>
      <c r="K9" s="53">
        <v>160.33000000000001</v>
      </c>
      <c r="L9" s="53">
        <v>23.05</v>
      </c>
      <c r="M9" s="53">
        <v>51.51</v>
      </c>
      <c r="N9" s="53">
        <v>4.5</v>
      </c>
      <c r="O9" s="53">
        <v>0</v>
      </c>
      <c r="P9" s="53">
        <v>3.12</v>
      </c>
      <c r="Q9" s="53">
        <v>34.17</v>
      </c>
      <c r="R9" s="45"/>
      <c r="S9" s="45"/>
      <c r="T9" s="45"/>
      <c r="U9" s="45"/>
    </row>
    <row r="10" spans="1:21" s="11" customFormat="1" ht="15">
      <c r="A10" s="52" t="s">
        <v>662</v>
      </c>
      <c r="B10" s="53">
        <v>108.41</v>
      </c>
      <c r="C10" s="53">
        <v>116.85</v>
      </c>
      <c r="D10" s="53">
        <v>150.66999999999999</v>
      </c>
      <c r="E10" s="53">
        <v>12.56</v>
      </c>
      <c r="F10" s="53">
        <v>4.4000000000000004</v>
      </c>
      <c r="G10" s="53">
        <v>194.28</v>
      </c>
      <c r="H10" s="53">
        <v>75.84</v>
      </c>
      <c r="I10" s="53">
        <v>1.45</v>
      </c>
      <c r="J10" s="53">
        <v>0.85</v>
      </c>
      <c r="K10" s="53">
        <v>181.43</v>
      </c>
      <c r="L10" s="53">
        <v>23.32</v>
      </c>
      <c r="M10" s="53">
        <v>47.54</v>
      </c>
      <c r="N10" s="53">
        <v>4.9000000000000004</v>
      </c>
      <c r="O10" s="53">
        <v>0</v>
      </c>
      <c r="P10" s="53">
        <v>2.97</v>
      </c>
      <c r="Q10" s="53">
        <v>33.71</v>
      </c>
      <c r="R10" s="45"/>
      <c r="S10" s="45"/>
      <c r="T10" s="45"/>
      <c r="U10" s="45"/>
    </row>
    <row r="11" spans="1:21" s="11" customFormat="1" ht="15">
      <c r="A11" s="52" t="s">
        <v>663</v>
      </c>
      <c r="B11" s="53">
        <v>97.60</v>
      </c>
      <c r="C11" s="53">
        <v>112.75</v>
      </c>
      <c r="D11" s="53">
        <v>140.49</v>
      </c>
      <c r="E11" s="53">
        <v>7.09</v>
      </c>
      <c r="F11" s="53">
        <v>4.34</v>
      </c>
      <c r="G11" s="53">
        <v>194.28</v>
      </c>
      <c r="H11" s="53">
        <v>75.84</v>
      </c>
      <c r="I11" s="53">
        <v>1.40</v>
      </c>
      <c r="J11" s="53">
        <v>0.13</v>
      </c>
      <c r="K11" s="53">
        <v>102</v>
      </c>
      <c r="L11" s="53">
        <v>21.20</v>
      </c>
      <c r="M11" s="53">
        <v>54.11</v>
      </c>
      <c r="N11" s="53">
        <v>4.5999999999999996</v>
      </c>
      <c r="O11" s="53">
        <v>0</v>
      </c>
      <c r="P11" s="53">
        <v>2.79</v>
      </c>
      <c r="Q11" s="53">
        <v>32.770000000000003</v>
      </c>
      <c r="R11" s="45"/>
      <c r="S11" s="45"/>
      <c r="T11" s="45"/>
      <c r="U11" s="45"/>
    </row>
    <row r="12" spans="1:21" s="11" customFormat="1" ht="15">
      <c r="A12" s="52" t="s">
        <v>664</v>
      </c>
      <c r="B12" s="53">
        <v>92.35</v>
      </c>
      <c r="C12" s="53">
        <v>109.28</v>
      </c>
      <c r="D12" s="53">
        <v>134.37</v>
      </c>
      <c r="E12" s="53">
        <v>8.8800000000000008</v>
      </c>
      <c r="F12" s="53">
        <v>4.3099999999999996</v>
      </c>
      <c r="G12" s="53">
        <v>194.34</v>
      </c>
      <c r="H12" s="53">
        <v>72.48</v>
      </c>
      <c r="I12" s="53">
        <v>1.35</v>
      </c>
      <c r="J12" s="53">
        <v>0.24</v>
      </c>
      <c r="K12" s="53">
        <v>167.47</v>
      </c>
      <c r="L12" s="53">
        <v>21.63</v>
      </c>
      <c r="M12" s="53">
        <v>50.82</v>
      </c>
      <c r="N12" s="53">
        <v>4.0999999999999996</v>
      </c>
      <c r="O12" s="53">
        <v>0</v>
      </c>
      <c r="P12" s="53">
        <v>2.64</v>
      </c>
      <c r="Q12" s="53">
        <v>33.700000000000003</v>
      </c>
      <c r="R12" s="45"/>
      <c r="S12" s="45"/>
      <c r="T12" s="45"/>
      <c r="U12" s="45"/>
    </row>
    <row r="13" spans="1:21" s="11" customFormat="1" ht="15">
      <c r="A13" s="52" t="s">
        <v>665</v>
      </c>
      <c r="B13" s="53">
        <v>82.96</v>
      </c>
      <c r="C13" s="53">
        <v>107.58</v>
      </c>
      <c r="D13" s="53">
        <v>125.87</v>
      </c>
      <c r="E13" s="53">
        <v>7.48</v>
      </c>
      <c r="F13" s="53">
        <v>4.91</v>
      </c>
      <c r="G13" s="53">
        <v>210.99</v>
      </c>
      <c r="H13" s="53">
        <v>82.90</v>
      </c>
      <c r="I13" s="53">
        <v>1.27</v>
      </c>
      <c r="J13" s="53">
        <v>0.22</v>
      </c>
      <c r="K13" s="53">
        <v>97.57</v>
      </c>
      <c r="L13" s="53">
        <v>21.53</v>
      </c>
      <c r="M13" s="53">
        <v>46.88</v>
      </c>
      <c r="N13" s="53">
        <v>4.20</v>
      </c>
      <c r="O13" s="53">
        <v>0</v>
      </c>
      <c r="P13" s="53">
        <v>2.68</v>
      </c>
      <c r="Q13" s="53">
        <v>33.200000000000003</v>
      </c>
      <c r="R13" s="45"/>
      <c r="S13" s="45"/>
      <c r="T13" s="45"/>
      <c r="U13" s="45"/>
    </row>
    <row r="14" spans="1:21" s="11" customFormat="1" ht="15">
      <c r="A14" s="52" t="s">
        <v>666</v>
      </c>
      <c r="B14" s="53">
        <v>69.05</v>
      </c>
      <c r="C14" s="53">
        <v>106.58</v>
      </c>
      <c r="D14" s="53">
        <v>114.19</v>
      </c>
      <c r="E14" s="53">
        <v>6.03</v>
      </c>
      <c r="F14" s="53">
        <v>4.8600000000000003</v>
      </c>
      <c r="G14" s="53">
        <v>210.99</v>
      </c>
      <c r="H14" s="53">
        <v>82.90</v>
      </c>
      <c r="I14" s="53">
        <v>1.06</v>
      </c>
      <c r="J14" s="53">
        <v>0.63</v>
      </c>
      <c r="K14" s="53">
        <v>231.27</v>
      </c>
      <c r="L14" s="53">
        <v>22.18</v>
      </c>
      <c r="M14" s="53">
        <v>55.95</v>
      </c>
      <c r="N14" s="53">
        <v>5.40</v>
      </c>
      <c r="O14" s="53">
        <v>0</v>
      </c>
      <c r="P14" s="53">
        <v>2.4900000000000002</v>
      </c>
      <c r="Q14" s="53">
        <v>31.27</v>
      </c>
      <c r="R14" s="45"/>
      <c r="S14" s="45"/>
      <c r="T14" s="45"/>
      <c r="U14" s="45"/>
    </row>
    <row r="15" spans="1:21" s="11" customFormat="1" ht="15">
      <c r="A15" s="52" t="s">
        <v>667</v>
      </c>
      <c r="B15" s="53">
        <v>72.510000000000005</v>
      </c>
      <c r="C15" s="53">
        <v>105.57</v>
      </c>
      <c r="D15" s="53">
        <v>115.46</v>
      </c>
      <c r="E15" s="53">
        <v>5.01</v>
      </c>
      <c r="F15" s="53">
        <v>4.34</v>
      </c>
      <c r="G15" s="53">
        <v>140.11000000000001</v>
      </c>
      <c r="H15" s="53">
        <v>64.02</v>
      </c>
      <c r="I15" s="53">
        <v>0.96</v>
      </c>
      <c r="J15" s="53">
        <v>0.13</v>
      </c>
      <c r="K15" s="53">
        <v>333.09</v>
      </c>
      <c r="L15" s="53">
        <v>19.350000000000001</v>
      </c>
      <c r="M15" s="53">
        <v>64.98</v>
      </c>
      <c r="N15" s="53">
        <v>35.90</v>
      </c>
      <c r="O15" s="53">
        <v>0</v>
      </c>
      <c r="P15" s="53">
        <v>2.2400000000000002</v>
      </c>
      <c r="Q15" s="53">
        <v>32.450000000000003</v>
      </c>
      <c r="R15" s="45"/>
      <c r="S15" s="45"/>
      <c r="T15" s="45"/>
      <c r="U15" s="45"/>
    </row>
    <row r="16" spans="1:21" s="11" customFormat="1" ht="15">
      <c r="A16" s="52" t="s">
        <v>668</v>
      </c>
      <c r="B16" s="53">
        <v>75.650000000000006</v>
      </c>
      <c r="C16" s="53">
        <v>105.01</v>
      </c>
      <c r="D16" s="53">
        <v>118.01</v>
      </c>
      <c r="E16" s="53">
        <v>5.19</v>
      </c>
      <c r="F16" s="53">
        <v>4.3099999999999996</v>
      </c>
      <c r="G16" s="53">
        <v>157.16</v>
      </c>
      <c r="H16" s="53">
        <v>61.45</v>
      </c>
      <c r="I16" s="53">
        <v>0.96</v>
      </c>
      <c r="J16" s="53">
        <v>0.60</v>
      </c>
      <c r="K16" s="53">
        <v>239.69</v>
      </c>
      <c r="L16" s="53">
        <v>23.17</v>
      </c>
      <c r="M16" s="53">
        <v>59.32</v>
      </c>
      <c r="N16" s="53">
        <v>210.10</v>
      </c>
      <c r="O16" s="53">
        <v>0</v>
      </c>
      <c r="P16" s="53">
        <v>2.10</v>
      </c>
      <c r="Q16" s="53">
        <v>32.799999999999997</v>
      </c>
      <c r="R16" s="45"/>
      <c r="S16" s="45"/>
      <c r="T16" s="45"/>
      <c r="U16" s="45"/>
    </row>
    <row r="17" spans="1:21" s="11" customFormat="1" ht="15">
      <c r="A17" s="52" t="s">
        <v>669</v>
      </c>
      <c r="B17" s="53">
        <v>71.099999999999994</v>
      </c>
      <c r="C17" s="53">
        <v>111.62</v>
      </c>
      <c r="D17" s="53">
        <v>115.79</v>
      </c>
      <c r="E17" s="53">
        <v>5.31</v>
      </c>
      <c r="F17" s="53">
        <v>4.75</v>
      </c>
      <c r="G17" s="53">
        <v>157.16</v>
      </c>
      <c r="H17" s="53">
        <v>63.15</v>
      </c>
      <c r="I17" s="53">
        <v>0.94</v>
      </c>
      <c r="J17" s="53">
        <v>0.53</v>
      </c>
      <c r="K17" s="53">
        <v>352.43</v>
      </c>
      <c r="L17" s="53">
        <v>31.03</v>
      </c>
      <c r="M17" s="53">
        <v>48.17</v>
      </c>
      <c r="N17" s="53">
        <v>386</v>
      </c>
      <c r="O17" s="53">
        <v>0</v>
      </c>
      <c r="P17" s="53">
        <v>2.0499999999999998</v>
      </c>
      <c r="Q17" s="53">
        <v>32.340000000000003</v>
      </c>
      <c r="R17" s="45"/>
      <c r="S17" s="45"/>
      <c r="T17" s="45"/>
      <c r="U17" s="45"/>
    </row>
    <row r="18" spans="1:21" s="11" customFormat="1" ht="15">
      <c r="A18" s="52" t="s">
        <v>670</v>
      </c>
      <c r="B18" s="53">
        <v>55.94</v>
      </c>
      <c r="C18" s="53">
        <v>114.04</v>
      </c>
      <c r="D18" s="53">
        <v>107.36</v>
      </c>
      <c r="E18" s="53">
        <v>6.44</v>
      </c>
      <c r="F18" s="53">
        <v>6.29</v>
      </c>
      <c r="G18" s="53">
        <v>143.21</v>
      </c>
      <c r="H18" s="53">
        <v>63.15</v>
      </c>
      <c r="I18" s="53">
        <v>0.90</v>
      </c>
      <c r="J18" s="53">
        <v>0.86</v>
      </c>
      <c r="K18" s="53">
        <v>114.34</v>
      </c>
      <c r="L18" s="53">
        <v>30.31</v>
      </c>
      <c r="M18" s="53">
        <v>26.63</v>
      </c>
      <c r="N18" s="53">
        <v>536.20000000000005</v>
      </c>
      <c r="O18" s="53">
        <v>0</v>
      </c>
      <c r="P18" s="53">
        <v>1.96</v>
      </c>
      <c r="Q18" s="53">
        <v>31.34</v>
      </c>
      <c r="R18" s="45"/>
      <c r="S18" s="45"/>
      <c r="T18" s="45"/>
      <c r="U18" s="45"/>
    </row>
    <row r="19" spans="1:21" s="11" customFormat="1" ht="15">
      <c r="A19" s="52" t="s">
        <v>671</v>
      </c>
      <c r="B19" s="53">
        <v>43.46</v>
      </c>
      <c r="C19" s="53">
        <v>115.83</v>
      </c>
      <c r="D19" s="53">
        <v>96.33</v>
      </c>
      <c r="E19" s="53">
        <v>6.69</v>
      </c>
      <c r="F19" s="53">
        <v>6.23</v>
      </c>
      <c r="G19" s="53">
        <v>112.06</v>
      </c>
      <c r="H19" s="53">
        <v>58.35</v>
      </c>
      <c r="I19" s="53">
        <v>0.88</v>
      </c>
      <c r="J19" s="53">
        <v>1.02</v>
      </c>
      <c r="K19" s="53">
        <v>108.90</v>
      </c>
      <c r="L19" s="53">
        <v>32.03</v>
      </c>
      <c r="M19" s="53">
        <v>25.18</v>
      </c>
      <c r="N19" s="53">
        <v>533.79999999999995</v>
      </c>
      <c r="O19" s="53">
        <v>0</v>
      </c>
      <c r="P19" s="53">
        <v>1.77</v>
      </c>
      <c r="Q19" s="53">
        <v>32.15</v>
      </c>
      <c r="R19" s="45"/>
      <c r="S19" s="45"/>
      <c r="T19" s="45"/>
      <c r="U19" s="45"/>
    </row>
    <row r="20" spans="1:21" s="11" customFormat="1" ht="15">
      <c r="A20" s="52" t="s">
        <v>672</v>
      </c>
      <c r="B20" s="53">
        <v>19.760000000000002</v>
      </c>
      <c r="C20" s="53">
        <v>118.14</v>
      </c>
      <c r="D20" s="53">
        <v>81.05</v>
      </c>
      <c r="E20" s="53">
        <v>7.32</v>
      </c>
      <c r="F20" s="53">
        <v>12.07</v>
      </c>
      <c r="G20" s="53">
        <v>104.31</v>
      </c>
      <c r="H20" s="53">
        <v>51.16</v>
      </c>
      <c r="I20" s="53">
        <v>0.81</v>
      </c>
      <c r="J20" s="53">
        <v>0.70</v>
      </c>
      <c r="K20" s="53">
        <v>179.98</v>
      </c>
      <c r="L20" s="53">
        <v>35.159999999999997</v>
      </c>
      <c r="M20" s="53">
        <v>18.72</v>
      </c>
      <c r="N20" s="53">
        <v>535.10</v>
      </c>
      <c r="O20" s="53">
        <v>0</v>
      </c>
      <c r="P20" s="53">
        <v>1.45</v>
      </c>
      <c r="Q20" s="53">
        <v>30.93</v>
      </c>
      <c r="R20" s="45"/>
      <c r="S20" s="45"/>
      <c r="T20" s="45"/>
      <c r="U20" s="45"/>
    </row>
    <row r="21" spans="1:21" s="11" customFormat="1" ht="15">
      <c r="A21" s="52" t="s">
        <v>673</v>
      </c>
      <c r="B21" s="53">
        <v>3.63</v>
      </c>
      <c r="C21" s="53">
        <v>107.27</v>
      </c>
      <c r="D21" s="53">
        <v>62.11</v>
      </c>
      <c r="E21" s="53">
        <v>8.9600000000000009</v>
      </c>
      <c r="F21" s="53">
        <v>18.149999999999999</v>
      </c>
      <c r="G21" s="53">
        <v>62.35</v>
      </c>
      <c r="H21" s="53">
        <v>37.869999999999997</v>
      </c>
      <c r="I21" s="53">
        <v>0.75</v>
      </c>
      <c r="J21" s="53">
        <v>0.93</v>
      </c>
      <c r="K21" s="53">
        <v>133.32</v>
      </c>
      <c r="L21" s="53">
        <v>35.86</v>
      </c>
      <c r="M21" s="53">
        <v>17.149999999999999</v>
      </c>
      <c r="N21" s="53">
        <v>521.90</v>
      </c>
      <c r="O21" s="53">
        <v>0</v>
      </c>
      <c r="P21" s="53">
        <v>1.1399999999999999</v>
      </c>
      <c r="Q21" s="53">
        <v>28.76</v>
      </c>
      <c r="R21" s="45"/>
      <c r="S21" s="45"/>
      <c r="T21" s="45"/>
      <c r="U21" s="45"/>
    </row>
    <row r="22" spans="1:21" s="11" customFormat="1" ht="15">
      <c r="A22" s="52" t="s">
        <v>674</v>
      </c>
      <c r="B22" s="53">
        <v>3.10</v>
      </c>
      <c r="C22" s="53">
        <v>94.06</v>
      </c>
      <c r="D22" s="53">
        <v>53.71</v>
      </c>
      <c r="E22" s="53">
        <v>9.2200000000000006</v>
      </c>
      <c r="F22" s="53">
        <v>23.04</v>
      </c>
      <c r="G22" s="53">
        <v>44.55</v>
      </c>
      <c r="H22" s="53">
        <v>30.47</v>
      </c>
      <c r="I22" s="53">
        <v>0.75</v>
      </c>
      <c r="J22" s="53">
        <v>1</v>
      </c>
      <c r="K22" s="53">
        <v>165.19</v>
      </c>
      <c r="L22" s="53">
        <v>35.97</v>
      </c>
      <c r="M22" s="53">
        <v>15.13</v>
      </c>
      <c r="N22" s="53">
        <v>467.60</v>
      </c>
      <c r="O22" s="53">
        <v>0</v>
      </c>
      <c r="P22" s="53">
        <v>1</v>
      </c>
      <c r="Q22" s="53">
        <v>28.45</v>
      </c>
      <c r="R22" s="45"/>
      <c r="S22" s="45"/>
      <c r="T22" s="45"/>
      <c r="U22" s="45"/>
    </row>
    <row r="23" spans="1:21" s="11" customFormat="1" ht="15">
      <c r="A23" s="52" t="s">
        <v>675</v>
      </c>
      <c r="B23" s="53">
        <v>2.0699999999999998</v>
      </c>
      <c r="C23" s="53">
        <v>93.31</v>
      </c>
      <c r="D23" s="53">
        <v>52.49</v>
      </c>
      <c r="E23" s="53">
        <v>7.80</v>
      </c>
      <c r="F23" s="53">
        <v>14.81</v>
      </c>
      <c r="G23" s="53">
        <v>44.55</v>
      </c>
      <c r="H23" s="53">
        <v>25.48</v>
      </c>
      <c r="I23" s="53">
        <v>0.75</v>
      </c>
      <c r="J23" s="53">
        <v>0.87</v>
      </c>
      <c r="K23" s="53">
        <v>352.52</v>
      </c>
      <c r="L23" s="53">
        <v>38.10</v>
      </c>
      <c r="M23" s="53">
        <v>13.21</v>
      </c>
      <c r="N23" s="53">
        <v>383.40</v>
      </c>
      <c r="O23" s="53">
        <v>0</v>
      </c>
      <c r="P23" s="53">
        <v>0.94</v>
      </c>
      <c r="Q23" s="53">
        <v>28.93</v>
      </c>
      <c r="R23" s="45"/>
      <c r="S23" s="45"/>
      <c r="T23" s="45"/>
      <c r="U23" s="45"/>
    </row>
    <row r="24" spans="1:21" s="11" customFormat="1" ht="15">
      <c r="A24" s="52" t="s">
        <v>676</v>
      </c>
      <c r="B24" s="53">
        <v>3.38</v>
      </c>
      <c r="C24" s="53">
        <v>92.94</v>
      </c>
      <c r="D24" s="53">
        <v>52.32</v>
      </c>
      <c r="E24" s="53">
        <v>9.8800000000000008</v>
      </c>
      <c r="F24" s="53">
        <v>25.65</v>
      </c>
      <c r="G24" s="53">
        <v>57.76</v>
      </c>
      <c r="H24" s="53">
        <v>30.76</v>
      </c>
      <c r="I24" s="53">
        <v>0.69</v>
      </c>
      <c r="J24" s="53">
        <v>1.61</v>
      </c>
      <c r="K24" s="53">
        <v>7.55</v>
      </c>
      <c r="L24" s="53">
        <v>37.520000000000003</v>
      </c>
      <c r="M24" s="53">
        <v>11.62</v>
      </c>
      <c r="N24" s="53">
        <v>277.60000000000002</v>
      </c>
      <c r="O24" s="53">
        <v>0</v>
      </c>
      <c r="P24" s="53">
        <v>0.87</v>
      </c>
      <c r="Q24" s="53">
        <v>28.32</v>
      </c>
      <c r="R24" s="45"/>
      <c r="S24" s="45"/>
      <c r="T24" s="45"/>
      <c r="U24" s="45"/>
    </row>
    <row r="25" spans="1:21" s="11" customFormat="1" ht="15">
      <c r="A25" s="52" t="s">
        <v>677</v>
      </c>
      <c r="B25" s="53">
        <v>13.77</v>
      </c>
      <c r="C25" s="53">
        <v>88.54</v>
      </c>
      <c r="D25" s="53">
        <v>59.35</v>
      </c>
      <c r="E25" s="53">
        <v>12.61</v>
      </c>
      <c r="F25" s="53">
        <v>27.5</v>
      </c>
      <c r="G25" s="53">
        <v>57.76</v>
      </c>
      <c r="H25" s="53">
        <v>30.76</v>
      </c>
      <c r="I25" s="53">
        <v>0.65</v>
      </c>
      <c r="J25" s="53">
        <v>1.21</v>
      </c>
      <c r="K25" s="53">
        <v>23.51</v>
      </c>
      <c r="L25" s="53">
        <v>35.15</v>
      </c>
      <c r="M25" s="53">
        <v>15.18</v>
      </c>
      <c r="N25" s="53">
        <v>99.80</v>
      </c>
      <c r="O25" s="53">
        <v>0</v>
      </c>
      <c r="P25" s="53">
        <v>0.85</v>
      </c>
      <c r="Q25" s="53">
        <v>25.79</v>
      </c>
      <c r="R25" s="45"/>
      <c r="S25" s="45"/>
      <c r="T25" s="45"/>
      <c r="U25" s="45"/>
    </row>
    <row r="26" spans="1:21" s="11" customFormat="1" ht="15">
      <c r="A26" s="52" t="s">
        <v>678</v>
      </c>
      <c r="B26" s="53">
        <v>9.0399999999999991</v>
      </c>
      <c r="C26" s="53">
        <v>111.09</v>
      </c>
      <c r="D26" s="53">
        <v>68.56</v>
      </c>
      <c r="E26" s="53">
        <v>15.76</v>
      </c>
      <c r="F26" s="53">
        <v>29.69</v>
      </c>
      <c r="G26" s="53">
        <v>62.09</v>
      </c>
      <c r="H26" s="53">
        <v>28.33</v>
      </c>
      <c r="I26" s="53">
        <v>0.64</v>
      </c>
      <c r="J26" s="53">
        <v>0.57999999999999996</v>
      </c>
      <c r="K26" s="53">
        <v>47.05</v>
      </c>
      <c r="L26" s="53">
        <v>32.25</v>
      </c>
      <c r="M26" s="53">
        <v>18.78</v>
      </c>
      <c r="N26" s="53">
        <v>37.200000000000003</v>
      </c>
      <c r="O26" s="53">
        <v>0</v>
      </c>
      <c r="P26" s="53">
        <v>1.31</v>
      </c>
      <c r="Q26" s="53">
        <v>27.57</v>
      </c>
      <c r="R26" s="45"/>
      <c r="S26" s="45"/>
      <c r="T26" s="45"/>
      <c r="U26" s="45"/>
    </row>
    <row r="27" spans="1:21" s="11" customFormat="1" ht="15">
      <c r="A27" s="52" t="s">
        <v>679</v>
      </c>
      <c r="B27" s="53">
        <v>26.87</v>
      </c>
      <c r="C27" s="53">
        <v>128.61000000000001</v>
      </c>
      <c r="D27" s="53">
        <v>91.38</v>
      </c>
      <c r="E27" s="53">
        <v>14.84</v>
      </c>
      <c r="F27" s="53">
        <v>7.73</v>
      </c>
      <c r="G27" s="53">
        <v>82.07</v>
      </c>
      <c r="H27" s="53">
        <v>29.70</v>
      </c>
      <c r="I27" s="53">
        <v>0.79</v>
      </c>
      <c r="J27" s="53">
        <v>0.27</v>
      </c>
      <c r="K27" s="53">
        <v>358.05</v>
      </c>
      <c r="L27" s="53">
        <v>29.36</v>
      </c>
      <c r="M27" s="53">
        <v>24.51</v>
      </c>
      <c r="N27" s="53">
        <v>5.40</v>
      </c>
      <c r="O27" s="53">
        <v>0</v>
      </c>
      <c r="P27" s="53">
        <v>1.53</v>
      </c>
      <c r="Q27" s="53">
        <v>27.92</v>
      </c>
      <c r="R27" s="45"/>
      <c r="S27" s="45"/>
      <c r="T27" s="45"/>
      <c r="U27" s="45"/>
    </row>
    <row r="28" spans="1:21" s="11" customFormat="1" ht="15">
      <c r="A28" s="52" t="s">
        <v>680</v>
      </c>
      <c r="B28" s="53">
        <v>54.43</v>
      </c>
      <c r="C28" s="53">
        <v>134.65</v>
      </c>
      <c r="D28" s="53">
        <v>117.23</v>
      </c>
      <c r="E28" s="53">
        <v>11.40</v>
      </c>
      <c r="F28" s="53">
        <v>6.94</v>
      </c>
      <c r="G28" s="53">
        <v>100.10</v>
      </c>
      <c r="H28" s="53">
        <v>36.22</v>
      </c>
      <c r="I28" s="53">
        <v>1</v>
      </c>
      <c r="J28" s="53">
        <v>0.30</v>
      </c>
      <c r="K28" s="53">
        <v>88.84</v>
      </c>
      <c r="L28" s="53">
        <v>27.59</v>
      </c>
      <c r="M28" s="53">
        <v>32.17</v>
      </c>
      <c r="N28" s="53">
        <v>4.5999999999999996</v>
      </c>
      <c r="O28" s="53">
        <v>0</v>
      </c>
      <c r="P28" s="53">
        <v>2.2200000000000002</v>
      </c>
      <c r="Q28" s="53">
        <v>26.89</v>
      </c>
      <c r="R28" s="45"/>
      <c r="S28" s="45"/>
      <c r="T28" s="45"/>
      <c r="U28" s="45"/>
    </row>
    <row r="29" spans="1:21" s="11" customFormat="1" ht="15">
      <c r="A29" s="52" t="s">
        <v>681</v>
      </c>
      <c r="B29" s="53">
        <v>56.68</v>
      </c>
      <c r="C29" s="53">
        <v>135.06</v>
      </c>
      <c r="D29" s="53">
        <v>119.99</v>
      </c>
      <c r="E29" s="53">
        <v>9.23</v>
      </c>
      <c r="F29" s="53">
        <v>4.70</v>
      </c>
      <c r="G29" s="53">
        <v>132.03</v>
      </c>
      <c r="H29" s="53">
        <v>40.25</v>
      </c>
      <c r="I29" s="53">
        <v>1.1100000000000001</v>
      </c>
      <c r="J29" s="53">
        <v>0.25</v>
      </c>
      <c r="K29" s="53">
        <v>339.54</v>
      </c>
      <c r="L29" s="53">
        <v>25.77</v>
      </c>
      <c r="M29" s="53">
        <v>33.869999999999997</v>
      </c>
      <c r="N29" s="53">
        <v>4.4000000000000004</v>
      </c>
      <c r="O29" s="53">
        <v>0</v>
      </c>
      <c r="P29" s="53">
        <v>2.2400000000000002</v>
      </c>
      <c r="Q29" s="53">
        <v>29.86</v>
      </c>
      <c r="R29" s="45"/>
      <c r="S29" s="45"/>
      <c r="T29" s="45"/>
      <c r="U29" s="45"/>
    </row>
    <row r="30" spans="1:21" s="11" customFormat="1" ht="15">
      <c r="A30" s="52" t="s">
        <v>682</v>
      </c>
      <c r="B30" s="53">
        <v>58.60</v>
      </c>
      <c r="C30" s="53">
        <v>125.18</v>
      </c>
      <c r="D30" s="53">
        <v>115.37</v>
      </c>
      <c r="E30" s="53">
        <v>5.21</v>
      </c>
      <c r="F30" s="53">
        <v>4.45</v>
      </c>
      <c r="G30" s="53">
        <v>146.27000000000001</v>
      </c>
      <c r="H30" s="53">
        <v>45.69</v>
      </c>
      <c r="I30" s="53">
        <v>1.07</v>
      </c>
      <c r="J30" s="53">
        <v>0.48</v>
      </c>
      <c r="K30" s="53">
        <v>340.93</v>
      </c>
      <c r="L30" s="53">
        <v>25.05</v>
      </c>
      <c r="M30" s="53">
        <v>39.53</v>
      </c>
      <c r="N30" s="53">
        <v>4.4000000000000004</v>
      </c>
      <c r="O30" s="53">
        <v>0</v>
      </c>
      <c r="P30" s="53">
        <v>1.95</v>
      </c>
      <c r="Q30" s="53">
        <v>32.479999999999997</v>
      </c>
      <c r="R30" s="45"/>
      <c r="S30" s="45"/>
      <c r="T30" s="45"/>
      <c r="U30" s="45"/>
    </row>
    <row r="31" spans="1:21" s="11" customFormat="1" ht="15">
      <c r="A31" s="52" t="s">
        <v>683</v>
      </c>
      <c r="B31" s="53">
        <v>93.35</v>
      </c>
      <c r="C31" s="53">
        <v>128.84</v>
      </c>
      <c r="D31" s="53">
        <v>145.96</v>
      </c>
      <c r="E31" s="53">
        <v>5.52</v>
      </c>
      <c r="F31" s="53">
        <v>4.37</v>
      </c>
      <c r="G31" s="53">
        <v>157.19</v>
      </c>
      <c r="H31" s="53">
        <v>52</v>
      </c>
      <c r="I31" s="53">
        <v>1.1100000000000001</v>
      </c>
      <c r="J31" s="53">
        <v>0.16</v>
      </c>
      <c r="K31" s="53">
        <v>337.57</v>
      </c>
      <c r="L31" s="53">
        <v>23.80</v>
      </c>
      <c r="M31" s="53">
        <v>45.76</v>
      </c>
      <c r="N31" s="53">
        <v>4.5999999999999996</v>
      </c>
      <c r="O31" s="53">
        <v>0</v>
      </c>
      <c r="P31" s="53">
        <v>2.2400000000000002</v>
      </c>
      <c r="Q31" s="53">
        <v>33.03</v>
      </c>
      <c r="R31" s="45"/>
      <c r="S31" s="45"/>
      <c r="T31" s="45"/>
      <c r="U31" s="45"/>
    </row>
    <row r="32" spans="1:21" s="11" customFormat="1" ht="15">
      <c r="A32" s="52" t="s">
        <v>684</v>
      </c>
      <c r="B32" s="53">
        <v>83.30</v>
      </c>
      <c r="C32" s="53">
        <v>126.25</v>
      </c>
      <c r="D32" s="53">
        <v>136.47</v>
      </c>
      <c r="E32" s="53">
        <v>5.97</v>
      </c>
      <c r="F32" s="53">
        <v>4.97</v>
      </c>
      <c r="G32" s="53">
        <v>157.19</v>
      </c>
      <c r="H32" s="53">
        <v>52.85</v>
      </c>
      <c r="I32" s="53">
        <v>1.1499999999999999</v>
      </c>
      <c r="J32" s="53">
        <v>0.32</v>
      </c>
      <c r="K32" s="53">
        <v>300.73</v>
      </c>
      <c r="L32" s="53">
        <v>24.60</v>
      </c>
      <c r="M32" s="53">
        <v>42.67</v>
      </c>
      <c r="N32" s="53">
        <v>4.70</v>
      </c>
      <c r="O32" s="53">
        <v>0</v>
      </c>
      <c r="P32" s="53">
        <v>2.19</v>
      </c>
      <c r="Q32" s="53">
        <v>33.39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2.0699999999999998</v>
      </c>
      <c r="C34" s="28">
        <f t="shared" si="0"/>
        <v>88.540000000000006</v>
      </c>
      <c r="D34" s="28">
        <f t="shared" si="0"/>
        <v>52.32</v>
      </c>
      <c r="E34" s="28">
        <f t="shared" si="0"/>
        <v>5.0099999999999998</v>
      </c>
      <c r="F34" s="28">
        <f t="shared" si="0"/>
        <v>4.3099999999999996</v>
      </c>
      <c r="G34" s="28">
        <f t="shared" si="0"/>
        <v>44.549999999999997</v>
      </c>
      <c r="H34" s="28">
        <f t="shared" si="0"/>
        <v>25.48</v>
      </c>
      <c r="I34" s="28">
        <f t="shared" si="0"/>
        <v>0.64000000000000001</v>
      </c>
      <c r="J34" s="28">
        <f t="shared" si="0"/>
        <v>0.13</v>
      </c>
      <c r="K34" s="28">
        <f t="shared" si="0"/>
        <v>7.5499999999999998</v>
      </c>
      <c r="L34" s="28">
        <f t="shared" si="0"/>
        <v>19.350000000000001</v>
      </c>
      <c r="M34" s="28">
        <f t="shared" si="0"/>
        <v>11.619999999999999</v>
      </c>
      <c r="N34" s="28">
        <f t="shared" si="0"/>
        <v>4.0999999999999996</v>
      </c>
      <c r="O34" s="28">
        <f t="shared" si="0"/>
        <v>0</v>
      </c>
      <c r="P34" s="28">
        <f t="shared" si="0"/>
        <v>0.84999999999999998</v>
      </c>
      <c r="Q34" s="28">
        <f t="shared" si="0"/>
        <v>25.789999999999999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115.34999999999999</v>
      </c>
      <c r="C35" s="29">
        <f t="shared" si="1"/>
        <v>135.06</v>
      </c>
      <c r="D35" s="29">
        <f t="shared" si="1"/>
        <v>157.63999999999999</v>
      </c>
      <c r="E35" s="29">
        <f t="shared" si="1"/>
        <v>15.76</v>
      </c>
      <c r="F35" s="29">
        <f t="shared" si="1"/>
        <v>29.690000000000001</v>
      </c>
      <c r="G35" s="29">
        <f t="shared" si="1"/>
        <v>210.99000000000001</v>
      </c>
      <c r="H35" s="29">
        <f t="shared" si="1"/>
        <v>82.900000000000006</v>
      </c>
      <c r="I35" s="29">
        <f t="shared" si="1"/>
        <v>1.45</v>
      </c>
      <c r="J35" s="29">
        <f t="shared" si="1"/>
        <v>1.6100000000000001</v>
      </c>
      <c r="K35" s="29">
        <f t="shared" si="1"/>
        <v>358.05000000000001</v>
      </c>
      <c r="L35" s="29">
        <f t="shared" si="1"/>
        <v>38.100000000000001</v>
      </c>
      <c r="M35" s="29">
        <f t="shared" si="1"/>
        <v>64.980000000000004</v>
      </c>
      <c r="N35" s="29">
        <f t="shared" si="1"/>
        <v>536.20000000000005</v>
      </c>
      <c r="O35" s="29">
        <f t="shared" si="1"/>
        <v>0</v>
      </c>
      <c r="P35" s="29">
        <f t="shared" si="1"/>
        <v>3.1200000000000001</v>
      </c>
      <c r="Q35" s="29">
        <f t="shared" si="1"/>
        <v>34.170000000000002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54.681666666666665</v>
      </c>
      <c r="C36" s="28">
        <f t="shared" si="2"/>
        <v>112.81041666666665</v>
      </c>
      <c r="D36" s="28">
        <f t="shared" si="2"/>
        <v>105.5070833333333</v>
      </c>
      <c r="E36" s="28">
        <f t="shared" si="2"/>
        <v>8.4170833333333324</v>
      </c>
      <c r="F36" s="28">
        <f t="shared" si="2"/>
        <v>9.8829166666666648</v>
      </c>
      <c r="G36" s="28">
        <f t="shared" si="2"/>
        <v>128.93041666666673</v>
      </c>
      <c r="H36" s="28">
        <f t="shared" si="2"/>
        <v>52.070833333333333</v>
      </c>
      <c r="I36" s="28">
        <f t="shared" si="2"/>
        <v>0.99458333333333326</v>
      </c>
      <c r="J36" s="28">
        <f t="shared" si="2"/>
        <v>0.5904166666666667</v>
      </c>
      <c r="K36" s="28">
        <f t="shared" si="2"/>
        <v>198.47083333333339</v>
      </c>
      <c r="L36" s="28">
        <f t="shared" si="2"/>
        <v>28.124166666666667</v>
      </c>
      <c r="M36" s="28">
        <f t="shared" si="2"/>
        <v>35.807916666666664</v>
      </c>
      <c r="N36" s="28">
        <f t="shared" si="2"/>
        <v>170.01666666666668</v>
      </c>
      <c r="O36" s="28">
        <f t="shared" si="2"/>
        <v>0</v>
      </c>
      <c r="P36" s="28">
        <f t="shared" si="2"/>
        <v>1.9475000000000005</v>
      </c>
      <c r="Q36" s="28">
        <f t="shared" si="2"/>
        <v>30.925833333333333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36.558088341547709</v>
      </c>
      <c r="C37" s="28">
        <f t="shared" si="3" ref="C37:Q37">STDEV(C9:C32)</f>
        <v>12.923735655649452</v>
      </c>
      <c r="D37" s="28">
        <f t="shared" si="3"/>
        <v>33.161020658646699</v>
      </c>
      <c r="E37" s="28">
        <f t="shared" si="3"/>
        <v>3.0686131680878801</v>
      </c>
      <c r="F37" s="28">
        <f t="shared" si="3"/>
        <v>8.4247732412609579</v>
      </c>
      <c r="G37" s="28">
        <f t="shared" si="3"/>
        <v>54.820273977327616</v>
      </c>
      <c r="H37" s="28">
        <f t="shared" si="3"/>
        <v>18.39186420242876</v>
      </c>
      <c r="I37" s="28">
        <f t="shared" si="3"/>
        <v>0.25059892027017922</v>
      </c>
      <c r="J37" s="28">
        <f t="shared" si="3"/>
        <v>0.38900630560069521</v>
      </c>
      <c r="K37" s="28">
        <f t="shared" si="3"/>
        <v>115.87023168432731</v>
      </c>
      <c r="L37" s="28">
        <f t="shared" si="3"/>
        <v>5.9737796037034245</v>
      </c>
      <c r="M37" s="28">
        <f t="shared" si="3"/>
        <v>16.694374209703795</v>
      </c>
      <c r="N37" s="28">
        <f t="shared" si="3"/>
        <v>217.31239718666424</v>
      </c>
      <c r="O37" s="28">
        <f t="shared" si="3"/>
        <v>0</v>
      </c>
      <c r="P37" s="28">
        <f t="shared" si="3"/>
        <v>0.68060874286888517</v>
      </c>
      <c r="Q37" s="28">
        <f t="shared" si="3"/>
        <v>2.4915141487904879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2bd52d-a6fa-4ab8-8203-ddf73c6c12d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54" t="s">
        <v>57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132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2" t="s">
        <v>685</v>
      </c>
      <c r="B9" s="53">
        <v>72.97</v>
      </c>
      <c r="C9" s="53">
        <v>125.29</v>
      </c>
      <c r="D9" s="53">
        <v>127.66</v>
      </c>
      <c r="E9" s="53">
        <v>6.56</v>
      </c>
      <c r="F9" s="53">
        <v>6</v>
      </c>
      <c r="G9" s="53">
        <v>155.41999999999999</v>
      </c>
      <c r="H9" s="53">
        <v>52.85</v>
      </c>
      <c r="I9" s="53">
        <v>1.1499999999999999</v>
      </c>
      <c r="J9" s="53">
        <v>0.12</v>
      </c>
      <c r="K9" s="53">
        <v>187.29</v>
      </c>
      <c r="L9" s="53">
        <v>23.72</v>
      </c>
      <c r="M9" s="53">
        <v>42.17</v>
      </c>
      <c r="N9" s="53">
        <v>4.5</v>
      </c>
      <c r="O9" s="53">
        <v>0</v>
      </c>
      <c r="P9" s="53">
        <v>2.11</v>
      </c>
      <c r="Q9" s="53">
        <v>34.36</v>
      </c>
      <c r="R9" s="45"/>
      <c r="S9" s="45"/>
      <c r="T9" s="45"/>
      <c r="U9" s="45"/>
    </row>
    <row r="10" spans="1:21" s="11" customFormat="1" ht="15">
      <c r="A10" s="52" t="s">
        <v>686</v>
      </c>
      <c r="B10" s="53">
        <v>69.11</v>
      </c>
      <c r="C10" s="53">
        <v>122.15</v>
      </c>
      <c r="D10" s="53">
        <v>122.83</v>
      </c>
      <c r="E10" s="53">
        <v>5.33</v>
      </c>
      <c r="F10" s="53">
        <v>4.47</v>
      </c>
      <c r="G10" s="53">
        <v>125.05</v>
      </c>
      <c r="H10" s="53">
        <v>45.72</v>
      </c>
      <c r="I10" s="53">
        <v>1.17</v>
      </c>
      <c r="J10" s="53">
        <v>0.17</v>
      </c>
      <c r="K10" s="53">
        <v>283.79000000000002</v>
      </c>
      <c r="L10" s="53">
        <v>23.20</v>
      </c>
      <c r="M10" s="53">
        <v>43.18</v>
      </c>
      <c r="N10" s="53">
        <v>4.5999999999999996</v>
      </c>
      <c r="O10" s="53">
        <v>0</v>
      </c>
      <c r="P10" s="53">
        <v>1.99</v>
      </c>
      <c r="Q10" s="53">
        <v>34.17</v>
      </c>
      <c r="R10" s="45"/>
      <c r="S10" s="45"/>
      <c r="T10" s="45"/>
      <c r="U10" s="45"/>
    </row>
    <row r="11" spans="1:21" s="11" customFormat="1" ht="15">
      <c r="A11" s="52" t="s">
        <v>687</v>
      </c>
      <c r="B11" s="53">
        <v>51.88</v>
      </c>
      <c r="C11" s="53">
        <v>118.83</v>
      </c>
      <c r="D11" s="53">
        <v>107.18</v>
      </c>
      <c r="E11" s="53">
        <v>5.15</v>
      </c>
      <c r="F11" s="53">
        <v>4.38</v>
      </c>
      <c r="G11" s="53">
        <v>100.35</v>
      </c>
      <c r="H11" s="53">
        <v>39.03</v>
      </c>
      <c r="I11" s="53">
        <v>1.0900000000000001</v>
      </c>
      <c r="J11" s="53">
        <v>0.73</v>
      </c>
      <c r="K11" s="53">
        <v>265.85000000000002</v>
      </c>
      <c r="L11" s="53">
        <v>22.93</v>
      </c>
      <c r="M11" s="53">
        <v>54.73</v>
      </c>
      <c r="N11" s="53">
        <v>5.20</v>
      </c>
      <c r="O11" s="53">
        <v>0</v>
      </c>
      <c r="P11" s="53">
        <v>1.80</v>
      </c>
      <c r="Q11" s="53">
        <v>32.5</v>
      </c>
      <c r="R11" s="45"/>
      <c r="S11" s="45"/>
      <c r="T11" s="45"/>
      <c r="U11" s="45"/>
    </row>
    <row r="12" spans="1:21" s="11" customFormat="1" ht="15">
      <c r="A12" s="52" t="s">
        <v>688</v>
      </c>
      <c r="B12" s="53">
        <v>40.24</v>
      </c>
      <c r="C12" s="53">
        <v>110.63</v>
      </c>
      <c r="D12" s="53">
        <v>93.32</v>
      </c>
      <c r="E12" s="53">
        <v>4.96</v>
      </c>
      <c r="F12" s="53">
        <v>4.54</v>
      </c>
      <c r="G12" s="53">
        <v>68.92</v>
      </c>
      <c r="H12" s="53">
        <v>37.93</v>
      </c>
      <c r="I12" s="53">
        <v>0.96</v>
      </c>
      <c r="J12" s="53">
        <v>0.27</v>
      </c>
      <c r="K12" s="53">
        <v>198.35</v>
      </c>
      <c r="L12" s="53">
        <v>21.23</v>
      </c>
      <c r="M12" s="53">
        <v>52.13</v>
      </c>
      <c r="N12" s="53">
        <v>4.20</v>
      </c>
      <c r="O12" s="53">
        <v>0</v>
      </c>
      <c r="P12" s="53">
        <v>1.62</v>
      </c>
      <c r="Q12" s="53">
        <v>30.40</v>
      </c>
      <c r="R12" s="45"/>
      <c r="S12" s="45"/>
      <c r="T12" s="45"/>
      <c r="U12" s="45"/>
    </row>
    <row r="13" spans="1:21" s="11" customFormat="1" ht="15">
      <c r="A13" s="52" t="s">
        <v>689</v>
      </c>
      <c r="B13" s="53">
        <v>35.520000000000003</v>
      </c>
      <c r="C13" s="53">
        <v>108.08</v>
      </c>
      <c r="D13" s="53">
        <v>87.64</v>
      </c>
      <c r="E13" s="53">
        <v>4.97</v>
      </c>
      <c r="F13" s="53">
        <v>4.53</v>
      </c>
      <c r="G13" s="53">
        <v>75.78</v>
      </c>
      <c r="H13" s="53">
        <v>34.380000000000003</v>
      </c>
      <c r="I13" s="53">
        <v>0.88</v>
      </c>
      <c r="J13" s="53">
        <v>0.24</v>
      </c>
      <c r="K13" s="53">
        <v>265.80</v>
      </c>
      <c r="L13" s="53">
        <v>21.37</v>
      </c>
      <c r="M13" s="53">
        <v>43.60</v>
      </c>
      <c r="N13" s="53">
        <v>4.20</v>
      </c>
      <c r="O13" s="53">
        <v>0</v>
      </c>
      <c r="P13" s="53">
        <v>1.49</v>
      </c>
      <c r="Q13" s="53">
        <v>31.65</v>
      </c>
      <c r="R13" s="45"/>
      <c r="S13" s="45"/>
      <c r="T13" s="45"/>
      <c r="U13" s="45"/>
    </row>
    <row r="14" spans="1:21" s="11" customFormat="1" ht="15">
      <c r="A14" s="52" t="s">
        <v>690</v>
      </c>
      <c r="B14" s="53">
        <v>34.270000000000003</v>
      </c>
      <c r="C14" s="53">
        <v>111.95</v>
      </c>
      <c r="D14" s="53">
        <v>89.27</v>
      </c>
      <c r="E14" s="53">
        <v>4.59</v>
      </c>
      <c r="F14" s="53">
        <v>4.38</v>
      </c>
      <c r="G14" s="53">
        <v>79.040000000000006</v>
      </c>
      <c r="H14" s="53">
        <v>33.79</v>
      </c>
      <c r="I14" s="53">
        <v>0.83</v>
      </c>
      <c r="J14" s="53">
        <v>0.25</v>
      </c>
      <c r="K14" s="53">
        <v>324.44</v>
      </c>
      <c r="L14" s="53">
        <v>21.36</v>
      </c>
      <c r="M14" s="53">
        <v>54.14</v>
      </c>
      <c r="N14" s="53">
        <v>4.80</v>
      </c>
      <c r="O14" s="53">
        <v>0</v>
      </c>
      <c r="P14" s="53">
        <v>1.31</v>
      </c>
      <c r="Q14" s="53">
        <v>31.02</v>
      </c>
      <c r="R14" s="45"/>
      <c r="S14" s="45"/>
      <c r="T14" s="45"/>
      <c r="U14" s="45"/>
    </row>
    <row r="15" spans="1:21" s="11" customFormat="1" ht="15">
      <c r="A15" s="52" t="s">
        <v>691</v>
      </c>
      <c r="B15" s="53">
        <v>51.88</v>
      </c>
      <c r="C15" s="53">
        <v>111.32</v>
      </c>
      <c r="D15" s="53">
        <v>102.36</v>
      </c>
      <c r="E15" s="53">
        <v>4.57</v>
      </c>
      <c r="F15" s="53">
        <v>4.3099999999999996</v>
      </c>
      <c r="G15" s="53">
        <v>101.39</v>
      </c>
      <c r="H15" s="53">
        <v>40.28</v>
      </c>
      <c r="I15" s="53">
        <v>0.78</v>
      </c>
      <c r="J15" s="53">
        <v>0.16</v>
      </c>
      <c r="K15" s="53">
        <v>319.60000000000002</v>
      </c>
      <c r="L15" s="53">
        <v>19.91</v>
      </c>
      <c r="M15" s="53">
        <v>61.40</v>
      </c>
      <c r="N15" s="53">
        <v>37.10</v>
      </c>
      <c r="O15" s="53">
        <v>0</v>
      </c>
      <c r="P15" s="53">
        <v>1.33</v>
      </c>
      <c r="Q15" s="53">
        <v>29.75</v>
      </c>
      <c r="R15" s="45"/>
      <c r="S15" s="45"/>
      <c r="T15" s="45"/>
      <c r="U15" s="45"/>
    </row>
    <row r="16" spans="1:21" s="11" customFormat="1" ht="15">
      <c r="A16" s="52" t="s">
        <v>692</v>
      </c>
      <c r="B16" s="53">
        <v>56.98</v>
      </c>
      <c r="C16" s="53">
        <v>110.15</v>
      </c>
      <c r="D16" s="53">
        <v>106.22</v>
      </c>
      <c r="E16" s="53">
        <v>5.52</v>
      </c>
      <c r="F16" s="53">
        <v>4.46</v>
      </c>
      <c r="G16" s="53">
        <v>118.94</v>
      </c>
      <c r="H16" s="53">
        <v>48.21</v>
      </c>
      <c r="I16" s="53">
        <v>0.81</v>
      </c>
      <c r="J16" s="53">
        <v>1.39</v>
      </c>
      <c r="K16" s="53">
        <v>119.58</v>
      </c>
      <c r="L16" s="53">
        <v>24.21</v>
      </c>
      <c r="M16" s="53">
        <v>53.62</v>
      </c>
      <c r="N16" s="53">
        <v>207.90</v>
      </c>
      <c r="O16" s="53">
        <v>0</v>
      </c>
      <c r="P16" s="53">
        <v>1.35</v>
      </c>
      <c r="Q16" s="53">
        <v>31.60</v>
      </c>
      <c r="R16" s="45"/>
      <c r="S16" s="45"/>
      <c r="T16" s="45"/>
      <c r="U16" s="45"/>
    </row>
    <row r="17" spans="1:21" s="11" customFormat="1" ht="15">
      <c r="A17" s="52" t="s">
        <v>693</v>
      </c>
      <c r="B17" s="53">
        <v>49.74</v>
      </c>
      <c r="C17" s="53">
        <v>111.76</v>
      </c>
      <c r="D17" s="53">
        <v>99.97</v>
      </c>
      <c r="E17" s="53">
        <v>6.30</v>
      </c>
      <c r="F17" s="53">
        <v>4.54</v>
      </c>
      <c r="G17" s="53">
        <v>118.94</v>
      </c>
      <c r="H17" s="53">
        <v>48.21</v>
      </c>
      <c r="I17" s="53">
        <v>0.81</v>
      </c>
      <c r="J17" s="53">
        <v>1.72</v>
      </c>
      <c r="K17" s="53">
        <v>242.57</v>
      </c>
      <c r="L17" s="53">
        <v>25.75</v>
      </c>
      <c r="M17" s="53">
        <v>39</v>
      </c>
      <c r="N17" s="53">
        <v>353.60</v>
      </c>
      <c r="O17" s="53">
        <v>0</v>
      </c>
      <c r="P17" s="53">
        <v>1.27</v>
      </c>
      <c r="Q17" s="53">
        <v>31.66</v>
      </c>
      <c r="R17" s="45"/>
      <c r="S17" s="45"/>
      <c r="T17" s="45"/>
      <c r="U17" s="45"/>
    </row>
    <row r="18" spans="1:21" s="11" customFormat="1" ht="15">
      <c r="A18" s="52" t="s">
        <v>694</v>
      </c>
      <c r="B18" s="53">
        <v>28.07</v>
      </c>
      <c r="C18" s="53">
        <v>114.75</v>
      </c>
      <c r="D18" s="53">
        <v>85.09</v>
      </c>
      <c r="E18" s="53">
        <v>5.68</v>
      </c>
      <c r="F18" s="53">
        <v>5.19</v>
      </c>
      <c r="G18" s="53">
        <v>103.33</v>
      </c>
      <c r="H18" s="53">
        <v>44.73</v>
      </c>
      <c r="I18" s="53">
        <v>0.72</v>
      </c>
      <c r="J18" s="53">
        <v>1.1399999999999999</v>
      </c>
      <c r="K18" s="53">
        <v>163.75</v>
      </c>
      <c r="L18" s="53">
        <v>28.06</v>
      </c>
      <c r="M18" s="53">
        <v>33.29</v>
      </c>
      <c r="N18" s="53">
        <v>481.90</v>
      </c>
      <c r="O18" s="53">
        <v>0</v>
      </c>
      <c r="P18" s="53">
        <v>1.20</v>
      </c>
      <c r="Q18" s="53">
        <v>29.20</v>
      </c>
      <c r="R18" s="45"/>
      <c r="S18" s="45"/>
      <c r="T18" s="45"/>
      <c r="U18" s="45"/>
    </row>
    <row r="19" spans="1:21" s="11" customFormat="1" ht="15">
      <c r="A19" s="52" t="s">
        <v>695</v>
      </c>
      <c r="B19" s="53">
        <v>16.71</v>
      </c>
      <c r="C19" s="53">
        <v>112.85</v>
      </c>
      <c r="D19" s="53">
        <v>75</v>
      </c>
      <c r="E19" s="53">
        <v>9.27</v>
      </c>
      <c r="F19" s="53">
        <v>23.29</v>
      </c>
      <c r="G19" s="53">
        <v>93.29</v>
      </c>
      <c r="H19" s="53">
        <v>41.47</v>
      </c>
      <c r="I19" s="53">
        <v>0.68</v>
      </c>
      <c r="J19" s="53">
        <v>0.86</v>
      </c>
      <c r="K19" s="53">
        <v>157.5</v>
      </c>
      <c r="L19" s="53">
        <v>30.89</v>
      </c>
      <c r="M19" s="53">
        <v>28.57</v>
      </c>
      <c r="N19" s="53">
        <v>499.90</v>
      </c>
      <c r="O19" s="53">
        <v>0</v>
      </c>
      <c r="P19" s="53">
        <v>1.1200000000000001</v>
      </c>
      <c r="Q19" s="53">
        <v>27.77</v>
      </c>
      <c r="R19" s="45"/>
      <c r="S19" s="45"/>
      <c r="T19" s="45"/>
      <c r="U19" s="45"/>
    </row>
    <row r="20" spans="1:21" s="11" customFormat="1" ht="15">
      <c r="A20" s="52" t="s">
        <v>696</v>
      </c>
      <c r="B20" s="53">
        <v>0.64</v>
      </c>
      <c r="C20" s="53">
        <v>79.099999999999994</v>
      </c>
      <c r="D20" s="53">
        <v>43.85</v>
      </c>
      <c r="E20" s="53">
        <v>8.74</v>
      </c>
      <c r="F20" s="53">
        <v>21.88</v>
      </c>
      <c r="G20" s="53">
        <v>86.61</v>
      </c>
      <c r="H20" s="53">
        <v>39.64</v>
      </c>
      <c r="I20" s="53">
        <v>0.67</v>
      </c>
      <c r="J20" s="53">
        <v>0.84</v>
      </c>
      <c r="K20" s="53">
        <v>359</v>
      </c>
      <c r="L20" s="53">
        <v>34.450000000000003</v>
      </c>
      <c r="M20" s="53">
        <v>23.69</v>
      </c>
      <c r="N20" s="53">
        <v>509.30</v>
      </c>
      <c r="O20" s="53">
        <v>0</v>
      </c>
      <c r="P20" s="53">
        <v>0.82</v>
      </c>
      <c r="Q20" s="53">
        <v>21.28</v>
      </c>
      <c r="R20" s="45"/>
      <c r="S20" s="45"/>
      <c r="T20" s="45"/>
      <c r="U20" s="45"/>
    </row>
    <row r="21" spans="1:21" s="11" customFormat="1" ht="15">
      <c r="A21" s="52" t="s">
        <v>697</v>
      </c>
      <c r="B21" s="53">
        <v>1.75</v>
      </c>
      <c r="C21" s="53">
        <v>73.84</v>
      </c>
      <c r="D21" s="53">
        <v>42.15</v>
      </c>
      <c r="E21" s="53">
        <v>4.9400000000000004</v>
      </c>
      <c r="F21" s="53">
        <v>19.5</v>
      </c>
      <c r="G21" s="53">
        <v>64.33</v>
      </c>
      <c r="H21" s="53">
        <v>37.32</v>
      </c>
      <c r="I21" s="53">
        <v>0.54</v>
      </c>
      <c r="J21" s="53">
        <v>0.80</v>
      </c>
      <c r="K21" s="53">
        <v>290.56</v>
      </c>
      <c r="L21" s="53">
        <v>34.60</v>
      </c>
      <c r="M21" s="53">
        <v>19.940000000000001</v>
      </c>
      <c r="N21" s="53">
        <v>509.90</v>
      </c>
      <c r="O21" s="53">
        <v>0</v>
      </c>
      <c r="P21" s="53">
        <v>0.75</v>
      </c>
      <c r="Q21" s="53">
        <v>20.81</v>
      </c>
      <c r="R21" s="45"/>
      <c r="S21" s="45"/>
      <c r="T21" s="45"/>
      <c r="U21" s="45"/>
    </row>
    <row r="22" spans="1:21" s="11" customFormat="1" ht="15">
      <c r="A22" s="52" t="s">
        <v>698</v>
      </c>
      <c r="B22" s="53">
        <v>2.67</v>
      </c>
      <c r="C22" s="53">
        <v>79.86</v>
      </c>
      <c r="D22" s="53">
        <v>46.21</v>
      </c>
      <c r="E22" s="53">
        <v>7.01</v>
      </c>
      <c r="F22" s="53">
        <v>17.97</v>
      </c>
      <c r="G22" s="53">
        <v>57.59</v>
      </c>
      <c r="H22" s="53">
        <v>34.479999999999997</v>
      </c>
      <c r="I22" s="53">
        <v>0.54</v>
      </c>
      <c r="J22" s="53">
        <v>0.88</v>
      </c>
      <c r="K22" s="53">
        <v>359.39</v>
      </c>
      <c r="L22" s="53">
        <v>37.200000000000003</v>
      </c>
      <c r="M22" s="53">
        <v>18.39</v>
      </c>
      <c r="N22" s="53">
        <v>431.90</v>
      </c>
      <c r="O22" s="53">
        <v>0</v>
      </c>
      <c r="P22" s="53">
        <v>0.76</v>
      </c>
      <c r="Q22" s="53">
        <v>22.07</v>
      </c>
      <c r="R22" s="45"/>
      <c r="S22" s="45"/>
      <c r="T22" s="45"/>
      <c r="U22" s="45"/>
    </row>
    <row r="23" spans="1:21" s="11" customFormat="1" ht="15">
      <c r="A23" s="52" t="s">
        <v>699</v>
      </c>
      <c r="B23" s="53">
        <v>2.65</v>
      </c>
      <c r="C23" s="53">
        <v>80.290000000000006</v>
      </c>
      <c r="D23" s="53">
        <v>45.27</v>
      </c>
      <c r="E23" s="53">
        <v>10.57</v>
      </c>
      <c r="F23" s="53">
        <v>20.350000000000001</v>
      </c>
      <c r="G23" s="53">
        <v>55.87</v>
      </c>
      <c r="H23" s="53">
        <v>31.02</v>
      </c>
      <c r="I23" s="53">
        <v>0.56000000000000005</v>
      </c>
      <c r="J23" s="53">
        <v>0.67</v>
      </c>
      <c r="K23" s="53">
        <v>318.58</v>
      </c>
      <c r="L23" s="53">
        <v>35.630000000000003</v>
      </c>
      <c r="M23" s="53">
        <v>17.77</v>
      </c>
      <c r="N23" s="53">
        <v>371.80</v>
      </c>
      <c r="O23" s="53">
        <v>0</v>
      </c>
      <c r="P23" s="53">
        <v>0.83</v>
      </c>
      <c r="Q23" s="53">
        <v>22.69</v>
      </c>
      <c r="R23" s="45"/>
      <c r="S23" s="45"/>
      <c r="T23" s="45"/>
      <c r="U23" s="45"/>
    </row>
    <row r="24" spans="1:21" s="11" customFormat="1" ht="15">
      <c r="A24" s="52" t="s">
        <v>700</v>
      </c>
      <c r="B24" s="53">
        <v>0.91</v>
      </c>
      <c r="C24" s="53">
        <v>83.99</v>
      </c>
      <c r="D24" s="53">
        <v>46.90</v>
      </c>
      <c r="E24" s="53">
        <v>8.4499999999999993</v>
      </c>
      <c r="F24" s="53">
        <v>27.21</v>
      </c>
      <c r="G24" s="53">
        <v>57.19</v>
      </c>
      <c r="H24" s="53">
        <v>31.49</v>
      </c>
      <c r="I24" s="53">
        <v>0.60</v>
      </c>
      <c r="J24" s="53">
        <v>1.60</v>
      </c>
      <c r="K24" s="53">
        <v>354.65</v>
      </c>
      <c r="L24" s="53">
        <v>35.24</v>
      </c>
      <c r="M24" s="53">
        <v>18.47</v>
      </c>
      <c r="N24" s="53">
        <v>284.20</v>
      </c>
      <c r="O24" s="53">
        <v>0</v>
      </c>
      <c r="P24" s="53">
        <v>0.85</v>
      </c>
      <c r="Q24" s="53">
        <v>24.09</v>
      </c>
      <c r="R24" s="45"/>
      <c r="S24" s="45"/>
      <c r="T24" s="45"/>
      <c r="U24" s="45"/>
    </row>
    <row r="25" spans="1:21" s="11" customFormat="1" ht="15">
      <c r="A25" s="52" t="s">
        <v>701</v>
      </c>
      <c r="B25" s="53">
        <v>1.28</v>
      </c>
      <c r="C25" s="53">
        <v>79.819999999999993</v>
      </c>
      <c r="D25" s="53">
        <v>44.76</v>
      </c>
      <c r="E25" s="53">
        <v>17.89</v>
      </c>
      <c r="F25" s="53">
        <v>49.37</v>
      </c>
      <c r="G25" s="53">
        <v>60.80</v>
      </c>
      <c r="H25" s="53">
        <v>31.87</v>
      </c>
      <c r="I25" s="53">
        <v>0.55000000000000004</v>
      </c>
      <c r="J25" s="53">
        <v>0.38</v>
      </c>
      <c r="K25" s="53">
        <v>324.67</v>
      </c>
      <c r="L25" s="53">
        <v>34.01</v>
      </c>
      <c r="M25" s="53">
        <v>19</v>
      </c>
      <c r="N25" s="53">
        <v>125.20</v>
      </c>
      <c r="O25" s="53">
        <v>0</v>
      </c>
      <c r="P25" s="53">
        <v>0.89</v>
      </c>
      <c r="Q25" s="53">
        <v>23.93</v>
      </c>
      <c r="R25" s="45"/>
      <c r="S25" s="45"/>
      <c r="T25" s="45"/>
      <c r="U25" s="45"/>
    </row>
    <row r="26" spans="1:21" s="11" customFormat="1" ht="15">
      <c r="A26" s="52" t="s">
        <v>702</v>
      </c>
      <c r="B26" s="53">
        <v>4.92</v>
      </c>
      <c r="C26" s="53">
        <v>127.35</v>
      </c>
      <c r="D26" s="53">
        <v>74.010000000000005</v>
      </c>
      <c r="E26" s="53">
        <v>27.06</v>
      </c>
      <c r="F26" s="53">
        <v>33.56</v>
      </c>
      <c r="G26" s="53">
        <v>67.27</v>
      </c>
      <c r="H26" s="53">
        <v>33.71</v>
      </c>
      <c r="I26" s="53">
        <v>0.54</v>
      </c>
      <c r="J26" s="53">
        <v>0.23</v>
      </c>
      <c r="K26" s="53">
        <v>21.71</v>
      </c>
      <c r="L26" s="53">
        <v>32.33</v>
      </c>
      <c r="M26" s="53">
        <v>27.45</v>
      </c>
      <c r="N26" s="53">
        <v>41.5</v>
      </c>
      <c r="O26" s="53">
        <v>0</v>
      </c>
      <c r="P26" s="53">
        <v>1.67</v>
      </c>
      <c r="Q26" s="53">
        <v>20.83</v>
      </c>
      <c r="R26" s="45"/>
      <c r="S26" s="45"/>
      <c r="T26" s="45"/>
      <c r="U26" s="45"/>
    </row>
    <row r="27" spans="1:21" s="11" customFormat="1" ht="15">
      <c r="A27" s="52" t="s">
        <v>703</v>
      </c>
      <c r="B27" s="53">
        <v>18.78</v>
      </c>
      <c r="C27" s="53">
        <v>149.59</v>
      </c>
      <c r="D27" s="53">
        <v>95.70</v>
      </c>
      <c r="E27" s="53">
        <v>25.13</v>
      </c>
      <c r="F27" s="53">
        <v>17.97</v>
      </c>
      <c r="G27" s="53">
        <v>80.930000000000007</v>
      </c>
      <c r="H27" s="53">
        <v>37.35</v>
      </c>
      <c r="I27" s="53">
        <v>0.69</v>
      </c>
      <c r="J27" s="53">
        <v>0.37</v>
      </c>
      <c r="K27" s="53">
        <v>85.74</v>
      </c>
      <c r="L27" s="53">
        <v>29.29</v>
      </c>
      <c r="M27" s="53">
        <v>35.840000000000003</v>
      </c>
      <c r="N27" s="53">
        <v>5</v>
      </c>
      <c r="O27" s="53">
        <v>0</v>
      </c>
      <c r="P27" s="53">
        <v>1.84</v>
      </c>
      <c r="Q27" s="53">
        <v>23.77</v>
      </c>
      <c r="R27" s="45"/>
      <c r="S27" s="45"/>
      <c r="T27" s="45"/>
      <c r="U27" s="45"/>
    </row>
    <row r="28" spans="1:21" s="11" customFormat="1" ht="15">
      <c r="A28" s="52" t="s">
        <v>704</v>
      </c>
      <c r="B28" s="53">
        <v>29.17</v>
      </c>
      <c r="C28" s="53">
        <v>157.44</v>
      </c>
      <c r="D28" s="53">
        <v>110.28</v>
      </c>
      <c r="E28" s="53">
        <v>13.09</v>
      </c>
      <c r="F28" s="53">
        <v>6.89</v>
      </c>
      <c r="G28" s="53">
        <v>162.09</v>
      </c>
      <c r="H28" s="53">
        <v>45.15</v>
      </c>
      <c r="I28" s="53">
        <v>0.88</v>
      </c>
      <c r="J28" s="53">
        <v>0.52</v>
      </c>
      <c r="K28" s="53">
        <v>86.72</v>
      </c>
      <c r="L28" s="53">
        <v>27.97</v>
      </c>
      <c r="M28" s="53">
        <v>36.03</v>
      </c>
      <c r="N28" s="53">
        <v>4</v>
      </c>
      <c r="O28" s="53">
        <v>0</v>
      </c>
      <c r="P28" s="53">
        <v>2.23</v>
      </c>
      <c r="Q28" s="53">
        <v>26.16</v>
      </c>
      <c r="R28" s="45"/>
      <c r="S28" s="45"/>
      <c r="T28" s="45"/>
      <c r="U28" s="45"/>
    </row>
    <row r="29" spans="1:21" s="11" customFormat="1" ht="15">
      <c r="A29" s="52" t="s">
        <v>705</v>
      </c>
      <c r="B29" s="53">
        <v>31.53</v>
      </c>
      <c r="C29" s="53">
        <v>154.66999999999999</v>
      </c>
      <c r="D29" s="53">
        <v>110.64</v>
      </c>
      <c r="E29" s="53">
        <v>33.99</v>
      </c>
      <c r="F29" s="53">
        <v>10.95</v>
      </c>
      <c r="G29" s="53">
        <v>195.03</v>
      </c>
      <c r="H29" s="53">
        <v>58.40</v>
      </c>
      <c r="I29" s="53">
        <v>0.93</v>
      </c>
      <c r="J29" s="53">
        <v>0.60</v>
      </c>
      <c r="K29" s="53">
        <v>358.55</v>
      </c>
      <c r="L29" s="53">
        <v>27.46</v>
      </c>
      <c r="M29" s="53">
        <v>40.200000000000003</v>
      </c>
      <c r="N29" s="53">
        <v>4.5999999999999996</v>
      </c>
      <c r="O29" s="53">
        <v>0</v>
      </c>
      <c r="P29" s="53">
        <v>2.68</v>
      </c>
      <c r="Q29" s="53">
        <v>26.82</v>
      </c>
      <c r="R29" s="45"/>
      <c r="S29" s="45"/>
      <c r="T29" s="45"/>
      <c r="U29" s="45"/>
    </row>
    <row r="30" spans="1:21" s="11" customFormat="1" ht="15">
      <c r="A30" s="52" t="s">
        <v>706</v>
      </c>
      <c r="B30" s="53">
        <v>25.85</v>
      </c>
      <c r="C30" s="53">
        <v>146.63999999999999</v>
      </c>
      <c r="D30" s="53">
        <v>98.70</v>
      </c>
      <c r="E30" s="53">
        <v>40.22</v>
      </c>
      <c r="F30" s="53">
        <v>9.93</v>
      </c>
      <c r="G30" s="53">
        <v>195.03</v>
      </c>
      <c r="H30" s="53">
        <v>71.900000000000006</v>
      </c>
      <c r="I30" s="53">
        <v>0.99</v>
      </c>
      <c r="J30" s="53">
        <v>0.47</v>
      </c>
      <c r="K30" s="53">
        <v>110.97</v>
      </c>
      <c r="L30" s="53">
        <v>26.71</v>
      </c>
      <c r="M30" s="53">
        <v>41.17</v>
      </c>
      <c r="N30" s="53">
        <v>4.0999999999999996</v>
      </c>
      <c r="O30" s="53">
        <v>0</v>
      </c>
      <c r="P30" s="53">
        <v>2.68</v>
      </c>
      <c r="Q30" s="53">
        <v>28.59</v>
      </c>
      <c r="R30" s="45"/>
      <c r="S30" s="45"/>
      <c r="T30" s="45"/>
      <c r="U30" s="45"/>
    </row>
    <row r="31" spans="1:21" s="11" customFormat="1" ht="15">
      <c r="A31" s="52" t="s">
        <v>707</v>
      </c>
      <c r="B31" s="53">
        <v>24.36</v>
      </c>
      <c r="C31" s="53">
        <v>139.28</v>
      </c>
      <c r="D31" s="53">
        <v>96.19</v>
      </c>
      <c r="E31" s="53">
        <v>6.97</v>
      </c>
      <c r="F31" s="53">
        <v>6.06</v>
      </c>
      <c r="G31" s="53">
        <v>194.26</v>
      </c>
      <c r="H31" s="53">
        <v>71.900000000000006</v>
      </c>
      <c r="I31" s="53">
        <v>1.05</v>
      </c>
      <c r="J31" s="53">
        <v>0.52</v>
      </c>
      <c r="K31" s="53">
        <v>150.53</v>
      </c>
      <c r="L31" s="53">
        <v>26.09</v>
      </c>
      <c r="M31" s="53">
        <v>45.15</v>
      </c>
      <c r="N31" s="53">
        <v>4.70</v>
      </c>
      <c r="O31" s="53">
        <v>0</v>
      </c>
      <c r="P31" s="53">
        <v>2.62</v>
      </c>
      <c r="Q31" s="53">
        <v>30.69</v>
      </c>
      <c r="R31" s="45"/>
      <c r="S31" s="45"/>
      <c r="T31" s="45"/>
      <c r="U31" s="45"/>
    </row>
    <row r="32" spans="1:21" s="11" customFormat="1" ht="15">
      <c r="A32" s="52" t="s">
        <v>708</v>
      </c>
      <c r="B32" s="53">
        <v>28.71</v>
      </c>
      <c r="C32" s="53">
        <v>138.69</v>
      </c>
      <c r="D32" s="53">
        <v>98.91</v>
      </c>
      <c r="E32" s="53">
        <v>5.23</v>
      </c>
      <c r="F32" s="53">
        <v>6.28</v>
      </c>
      <c r="G32" s="53">
        <v>155.77000000000001</v>
      </c>
      <c r="H32" s="53">
        <v>67.58</v>
      </c>
      <c r="I32" s="53">
        <v>1.07</v>
      </c>
      <c r="J32" s="53">
        <v>0.60</v>
      </c>
      <c r="K32" s="53">
        <v>157.76</v>
      </c>
      <c r="L32" s="53">
        <v>26.16</v>
      </c>
      <c r="M32" s="53">
        <v>51.14</v>
      </c>
      <c r="N32" s="53">
        <v>5.30</v>
      </c>
      <c r="O32" s="53">
        <v>0</v>
      </c>
      <c r="P32" s="53">
        <v>2.58</v>
      </c>
      <c r="Q32" s="53">
        <v>30.64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0.64000000000000001</v>
      </c>
      <c r="C34" s="28">
        <f t="shared" si="0"/>
        <v>73.840000000000003</v>
      </c>
      <c r="D34" s="28">
        <f t="shared" si="0"/>
        <v>42.149999999999999</v>
      </c>
      <c r="E34" s="28">
        <f t="shared" si="0"/>
        <v>4.5700000000000003</v>
      </c>
      <c r="F34" s="28">
        <f t="shared" si="0"/>
        <v>4.3099999999999996</v>
      </c>
      <c r="G34" s="28">
        <f t="shared" si="0"/>
        <v>55.869999999999997</v>
      </c>
      <c r="H34" s="28">
        <f t="shared" si="0"/>
        <v>31.02</v>
      </c>
      <c r="I34" s="28">
        <f t="shared" si="0"/>
        <v>0.54000000000000004</v>
      </c>
      <c r="J34" s="28">
        <f t="shared" si="0"/>
        <v>0.12</v>
      </c>
      <c r="K34" s="28">
        <f t="shared" si="0"/>
        <v>21.710000000000001</v>
      </c>
      <c r="L34" s="28">
        <f t="shared" si="0"/>
        <v>19.91</v>
      </c>
      <c r="M34" s="28">
        <f t="shared" si="0"/>
        <v>17.77</v>
      </c>
      <c r="N34" s="28">
        <f t="shared" si="0"/>
        <v>4</v>
      </c>
      <c r="O34" s="28">
        <f t="shared" si="0"/>
        <v>0</v>
      </c>
      <c r="P34" s="28">
        <f t="shared" si="0"/>
        <v>0.75</v>
      </c>
      <c r="Q34" s="28">
        <f t="shared" si="0"/>
        <v>20.809999999999999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72.969999999999999</v>
      </c>
      <c r="C35" s="29">
        <f t="shared" si="1"/>
        <v>157.44</v>
      </c>
      <c r="D35" s="29">
        <f t="shared" si="1"/>
        <v>127.66</v>
      </c>
      <c r="E35" s="29">
        <f t="shared" si="1"/>
        <v>40.219999999999999</v>
      </c>
      <c r="F35" s="29">
        <f t="shared" si="1"/>
        <v>49.369999999999997</v>
      </c>
      <c r="G35" s="29">
        <f t="shared" si="1"/>
        <v>195.03</v>
      </c>
      <c r="H35" s="29">
        <f t="shared" si="1"/>
        <v>71.900000000000006</v>
      </c>
      <c r="I35" s="29">
        <f t="shared" si="1"/>
        <v>1.1699999999999999</v>
      </c>
      <c r="J35" s="29">
        <f t="shared" si="1"/>
        <v>1.72</v>
      </c>
      <c r="K35" s="29">
        <f t="shared" si="1"/>
        <v>359.38999999999999</v>
      </c>
      <c r="L35" s="29">
        <f t="shared" si="1"/>
        <v>37.200000000000003</v>
      </c>
      <c r="M35" s="29">
        <f t="shared" si="1"/>
        <v>61.399999999999999</v>
      </c>
      <c r="N35" s="29">
        <f t="shared" si="1"/>
        <v>509.89999999999998</v>
      </c>
      <c r="O35" s="29">
        <f t="shared" si="1"/>
        <v>0</v>
      </c>
      <c r="P35" s="29">
        <f t="shared" si="1"/>
        <v>2.6800000000000002</v>
      </c>
      <c r="Q35" s="29">
        <f t="shared" si="1"/>
        <v>34.359999999999999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28.357916666666657</v>
      </c>
      <c r="C36" s="28">
        <f t="shared" si="2"/>
        <v>114.51333333333332</v>
      </c>
      <c r="D36" s="28">
        <f t="shared" si="2"/>
        <v>85.421250000000001</v>
      </c>
      <c r="E36" s="28">
        <f t="shared" si="2"/>
        <v>11.341250000000002</v>
      </c>
      <c r="F36" s="28">
        <f t="shared" si="2"/>
        <v>13.250416666666665</v>
      </c>
      <c r="G36" s="28">
        <f t="shared" si="2"/>
        <v>107.21749999999999</v>
      </c>
      <c r="H36" s="28">
        <f t="shared" si="2"/>
        <v>44.100416666666668</v>
      </c>
      <c r="I36" s="28">
        <f t="shared" si="2"/>
        <v>0.81208333333333327</v>
      </c>
      <c r="J36" s="28">
        <f t="shared" si="2"/>
        <v>0.64708333333333334</v>
      </c>
      <c r="K36" s="28">
        <f t="shared" si="2"/>
        <v>229.47291666666669</v>
      </c>
      <c r="L36" s="28">
        <f t="shared" si="2"/>
        <v>27.907083333333336</v>
      </c>
      <c r="M36" s="28">
        <f t="shared" si="2"/>
        <v>37.502916666666671</v>
      </c>
      <c r="N36" s="28">
        <f t="shared" si="2"/>
        <v>162.89166666666668</v>
      </c>
      <c r="O36" s="28">
        <f t="shared" si="2"/>
        <v>0</v>
      </c>
      <c r="P36" s="28">
        <f t="shared" si="2"/>
        <v>1.5745833333333332</v>
      </c>
      <c r="Q36" s="28">
        <f t="shared" si="2"/>
        <v>27.768750000000001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22.219239602526745</v>
      </c>
      <c r="C37" s="28">
        <f t="shared" si="3" ref="C37:Q37">STDEV(C9:C32)</f>
        <v>25.36002805969293</v>
      </c>
      <c r="D37" s="28">
        <f t="shared" si="3"/>
        <v>26.889849274805112</v>
      </c>
      <c r="E37" s="28">
        <f t="shared" si="3"/>
        <v>10.060087004766817</v>
      </c>
      <c r="F37" s="28">
        <f t="shared" si="3"/>
        <v>11.638208243676882</v>
      </c>
      <c r="G37" s="28">
        <f t="shared" si="3"/>
        <v>46.217794921342893</v>
      </c>
      <c r="H37" s="28">
        <f t="shared" si="3"/>
        <v>12.324593468616573</v>
      </c>
      <c r="I37" s="28">
        <f t="shared" si="3"/>
        <v>0.20652358885517993</v>
      </c>
      <c r="J37" s="28">
        <f t="shared" si="3"/>
        <v>0.44818939287321158</v>
      </c>
      <c r="K37" s="28">
        <f t="shared" si="3"/>
        <v>102.90799996278514</v>
      </c>
      <c r="L37" s="28">
        <f t="shared" si="3"/>
        <v>5.2747400341188353</v>
      </c>
      <c r="M37" s="28">
        <f t="shared" si="3"/>
        <v>13.414851432247598</v>
      </c>
      <c r="N37" s="28">
        <f t="shared" si="3"/>
        <v>204.03867049647968</v>
      </c>
      <c r="O37" s="28">
        <f t="shared" si="3"/>
        <v>0</v>
      </c>
      <c r="P37" s="28">
        <f t="shared" si="3"/>
        <v>0.64797328961769063</v>
      </c>
      <c r="Q37" s="28">
        <f t="shared" si="3"/>
        <v>4.3604001735979452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a96cff-4f77-4fbe-9fdb-ecf4b12cdcf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1" sqref="B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66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2" t="s">
        <v>709</v>
      </c>
      <c r="B9" s="53">
        <v>25.32</v>
      </c>
      <c r="C9" s="53">
        <v>131.51</v>
      </c>
      <c r="D9" s="53">
        <v>92.49</v>
      </c>
      <c r="E9" s="53">
        <v>7.26</v>
      </c>
      <c r="F9" s="53">
        <v>6.93</v>
      </c>
      <c r="G9" s="53">
        <v>138.93</v>
      </c>
      <c r="H9" s="53">
        <v>64.819999999999993</v>
      </c>
      <c r="I9" s="53">
        <v>1.04</v>
      </c>
      <c r="J9" s="53">
        <v>0.34</v>
      </c>
      <c r="K9" s="53">
        <v>315.87</v>
      </c>
      <c r="L9" s="53">
        <v>25.31</v>
      </c>
      <c r="M9" s="53">
        <v>49.13</v>
      </c>
      <c r="N9" s="53">
        <v>4.80</v>
      </c>
      <c r="O9" s="53">
        <v>0</v>
      </c>
      <c r="P9" s="53">
        <v>2.40</v>
      </c>
      <c r="Q9" s="53">
        <v>30.72</v>
      </c>
      <c r="R9" s="45"/>
      <c r="S9" s="45"/>
      <c r="T9" s="45"/>
      <c r="U9" s="45"/>
    </row>
    <row r="10" spans="1:21" s="11" customFormat="1" ht="15">
      <c r="A10" s="52" t="s">
        <v>710</v>
      </c>
      <c r="B10" s="53">
        <v>24.92</v>
      </c>
      <c r="C10" s="53">
        <v>128.35</v>
      </c>
      <c r="D10" s="53">
        <v>90.82</v>
      </c>
      <c r="E10" s="53">
        <v>5.86</v>
      </c>
      <c r="F10" s="53">
        <v>5.69</v>
      </c>
      <c r="G10" s="53">
        <v>111.25</v>
      </c>
      <c r="H10" s="53">
        <v>54.45</v>
      </c>
      <c r="I10" s="53">
        <v>1.02</v>
      </c>
      <c r="J10" s="53">
        <v>0.13</v>
      </c>
      <c r="K10" s="53">
        <v>358.23</v>
      </c>
      <c r="L10" s="53">
        <v>22.82</v>
      </c>
      <c r="M10" s="53">
        <v>54.07</v>
      </c>
      <c r="N10" s="53">
        <v>4.70</v>
      </c>
      <c r="O10" s="53">
        <v>0</v>
      </c>
      <c r="P10" s="53">
        <v>2.2200000000000002</v>
      </c>
      <c r="Q10" s="53">
        <v>32.07</v>
      </c>
      <c r="R10" s="45"/>
      <c r="S10" s="45"/>
      <c r="T10" s="45"/>
      <c r="U10" s="45"/>
    </row>
    <row r="11" spans="1:21" s="11" customFormat="1" ht="15">
      <c r="A11" s="52" t="s">
        <v>711</v>
      </c>
      <c r="B11" s="53">
        <v>23.41</v>
      </c>
      <c r="C11" s="53">
        <v>122.38</v>
      </c>
      <c r="D11" s="53">
        <v>86.31</v>
      </c>
      <c r="E11" s="53">
        <v>4.51</v>
      </c>
      <c r="F11" s="53">
        <v>4.30</v>
      </c>
      <c r="G11" s="53">
        <v>104.88</v>
      </c>
      <c r="H11" s="53">
        <v>54.45</v>
      </c>
      <c r="I11" s="53">
        <v>1.03</v>
      </c>
      <c r="J11" s="53">
        <v>0.70</v>
      </c>
      <c r="K11" s="53">
        <v>242.94</v>
      </c>
      <c r="L11" s="53">
        <v>22.86</v>
      </c>
      <c r="M11" s="53">
        <v>58.26</v>
      </c>
      <c r="N11" s="53">
        <v>5.20</v>
      </c>
      <c r="O11" s="53">
        <v>0</v>
      </c>
      <c r="P11" s="53">
        <v>2.10</v>
      </c>
      <c r="Q11" s="53">
        <v>32.049999999999997</v>
      </c>
      <c r="R11" s="45"/>
      <c r="S11" s="45"/>
      <c r="T11" s="45"/>
      <c r="U11" s="45"/>
    </row>
    <row r="12" spans="1:21" s="11" customFormat="1" ht="15">
      <c r="A12" s="52" t="s">
        <v>712</v>
      </c>
      <c r="B12" s="53">
        <v>16.89</v>
      </c>
      <c r="C12" s="53">
        <v>116.91</v>
      </c>
      <c r="D12" s="53">
        <v>78.069999999999993</v>
      </c>
      <c r="E12" s="53">
        <v>4.1500000000000004</v>
      </c>
      <c r="F12" s="53">
        <v>4.30</v>
      </c>
      <c r="G12" s="53">
        <v>137.46</v>
      </c>
      <c r="H12" s="53">
        <v>53.78</v>
      </c>
      <c r="I12" s="53">
        <v>0.95</v>
      </c>
      <c r="J12" s="53">
        <v>0.28999999999999998</v>
      </c>
      <c r="K12" s="53">
        <v>350.17</v>
      </c>
      <c r="L12" s="53">
        <v>20.81</v>
      </c>
      <c r="M12" s="53">
        <v>65.17</v>
      </c>
      <c r="N12" s="53">
        <v>4.9000000000000004</v>
      </c>
      <c r="O12" s="53">
        <v>0</v>
      </c>
      <c r="P12" s="53">
        <v>1.88</v>
      </c>
      <c r="Q12" s="53">
        <v>30.89</v>
      </c>
      <c r="R12" s="45"/>
      <c r="S12" s="45"/>
      <c r="T12" s="45"/>
      <c r="U12" s="45"/>
    </row>
    <row r="13" spans="1:21" s="11" customFormat="1" ht="15">
      <c r="A13" s="52" t="s">
        <v>713</v>
      </c>
      <c r="B13" s="53">
        <v>17.95</v>
      </c>
      <c r="C13" s="53">
        <v>111.42</v>
      </c>
      <c r="D13" s="53">
        <v>75.28</v>
      </c>
      <c r="E13" s="53">
        <v>5.01</v>
      </c>
      <c r="F13" s="53">
        <v>4.34</v>
      </c>
      <c r="G13" s="53">
        <v>171.87</v>
      </c>
      <c r="H13" s="53">
        <v>60.16</v>
      </c>
      <c r="I13" s="53">
        <v>0.85</v>
      </c>
      <c r="J13" s="53">
        <v>0.28999999999999998</v>
      </c>
      <c r="K13" s="53">
        <v>98.16</v>
      </c>
      <c r="L13" s="53">
        <v>20.76</v>
      </c>
      <c r="M13" s="53">
        <v>60.84</v>
      </c>
      <c r="N13" s="53">
        <v>4.4000000000000004</v>
      </c>
      <c r="O13" s="53">
        <v>0</v>
      </c>
      <c r="P13" s="53">
        <v>1.78</v>
      </c>
      <c r="Q13" s="53">
        <v>30.08</v>
      </c>
      <c r="R13" s="45"/>
      <c r="S13" s="45"/>
      <c r="T13" s="45"/>
      <c r="U13" s="45"/>
    </row>
    <row r="14" spans="1:21" s="11" customFormat="1" ht="15">
      <c r="A14" s="52" t="s">
        <v>714</v>
      </c>
      <c r="B14" s="53">
        <v>24.30</v>
      </c>
      <c r="C14" s="53">
        <v>108.23</v>
      </c>
      <c r="D14" s="53">
        <v>78.70</v>
      </c>
      <c r="E14" s="53">
        <v>4.71</v>
      </c>
      <c r="F14" s="53">
        <v>4.80</v>
      </c>
      <c r="G14" s="53">
        <v>171.87</v>
      </c>
      <c r="H14" s="53">
        <v>68.58</v>
      </c>
      <c r="I14" s="53">
        <v>0.83</v>
      </c>
      <c r="J14" s="53">
        <v>0.16</v>
      </c>
      <c r="K14" s="53">
        <v>348.79</v>
      </c>
      <c r="L14" s="53">
        <v>20.63</v>
      </c>
      <c r="M14" s="53">
        <v>64.14</v>
      </c>
      <c r="N14" s="53">
        <v>4.4000000000000004</v>
      </c>
      <c r="O14" s="53">
        <v>0</v>
      </c>
      <c r="P14" s="53">
        <v>1.78</v>
      </c>
      <c r="Q14" s="53">
        <v>31.20</v>
      </c>
      <c r="R14" s="45"/>
      <c r="S14" s="45"/>
      <c r="T14" s="45"/>
      <c r="U14" s="45"/>
    </row>
    <row r="15" spans="1:21" s="11" customFormat="1" ht="15">
      <c r="A15" s="52" t="s">
        <v>715</v>
      </c>
      <c r="B15" s="53">
        <v>34.89</v>
      </c>
      <c r="C15" s="53">
        <v>109.44</v>
      </c>
      <c r="D15" s="53">
        <v>88.35</v>
      </c>
      <c r="E15" s="53">
        <v>5.96</v>
      </c>
      <c r="F15" s="53">
        <v>4.30</v>
      </c>
      <c r="G15" s="53">
        <v>185.35</v>
      </c>
      <c r="H15" s="53">
        <v>81</v>
      </c>
      <c r="I15" s="53">
        <v>0.79</v>
      </c>
      <c r="J15" s="53">
        <v>1.05</v>
      </c>
      <c r="K15" s="53">
        <v>97.17</v>
      </c>
      <c r="L15" s="53">
        <v>21.49</v>
      </c>
      <c r="M15" s="53">
        <v>60.91</v>
      </c>
      <c r="N15" s="53">
        <v>32.90</v>
      </c>
      <c r="O15" s="53">
        <v>0</v>
      </c>
      <c r="P15" s="53">
        <v>1.86</v>
      </c>
      <c r="Q15" s="53">
        <v>31.18</v>
      </c>
      <c r="R15" s="45"/>
      <c r="S15" s="45"/>
      <c r="T15" s="45"/>
      <c r="U15" s="45"/>
    </row>
    <row r="16" spans="1:21" s="11" customFormat="1" ht="15">
      <c r="A16" s="52" t="s">
        <v>716</v>
      </c>
      <c r="B16" s="53">
        <v>37.90</v>
      </c>
      <c r="C16" s="53">
        <v>111.78</v>
      </c>
      <c r="D16" s="53">
        <v>92.08</v>
      </c>
      <c r="E16" s="53">
        <v>10.47</v>
      </c>
      <c r="F16" s="53">
        <v>4.53</v>
      </c>
      <c r="G16" s="53">
        <v>185.35</v>
      </c>
      <c r="H16" s="53">
        <v>98.62</v>
      </c>
      <c r="I16" s="53">
        <v>0.77</v>
      </c>
      <c r="J16" s="53">
        <v>0.93</v>
      </c>
      <c r="K16" s="53">
        <v>74.63</v>
      </c>
      <c r="L16" s="53">
        <v>24.76</v>
      </c>
      <c r="M16" s="53">
        <v>53.53</v>
      </c>
      <c r="N16" s="53">
        <v>157.19999999999999</v>
      </c>
      <c r="O16" s="53">
        <v>0</v>
      </c>
      <c r="P16" s="53">
        <v>2.0299999999999998</v>
      </c>
      <c r="Q16" s="53">
        <v>29.85</v>
      </c>
      <c r="R16" s="45"/>
      <c r="S16" s="45"/>
      <c r="T16" s="45"/>
      <c r="U16" s="45"/>
    </row>
    <row r="17" spans="1:21" s="11" customFormat="1" ht="15">
      <c r="A17" s="52" t="s">
        <v>717</v>
      </c>
      <c r="B17" s="53">
        <v>38.39</v>
      </c>
      <c r="C17" s="53">
        <v>116.01</v>
      </c>
      <c r="D17" s="53">
        <v>93.99</v>
      </c>
      <c r="E17" s="53">
        <v>8.02</v>
      </c>
      <c r="F17" s="53">
        <v>4.3899999999999997</v>
      </c>
      <c r="G17" s="53">
        <v>218.48</v>
      </c>
      <c r="H17" s="53">
        <v>98.62</v>
      </c>
      <c r="I17" s="53">
        <v>0.76</v>
      </c>
      <c r="J17" s="53">
        <v>0.23</v>
      </c>
      <c r="K17" s="53">
        <v>318.97000000000003</v>
      </c>
      <c r="L17" s="53">
        <v>26.71</v>
      </c>
      <c r="M17" s="53">
        <v>48.25</v>
      </c>
      <c r="N17" s="53">
        <v>300.39999999999998</v>
      </c>
      <c r="O17" s="53">
        <v>0</v>
      </c>
      <c r="P17" s="53">
        <v>2.08</v>
      </c>
      <c r="Q17" s="53">
        <v>30.26</v>
      </c>
      <c r="R17" s="45"/>
      <c r="S17" s="45"/>
      <c r="T17" s="45"/>
      <c r="U17" s="45"/>
    </row>
    <row r="18" spans="1:21" s="11" customFormat="1" ht="15">
      <c r="A18" s="52" t="s">
        <v>718</v>
      </c>
      <c r="B18" s="53">
        <v>33.74</v>
      </c>
      <c r="C18" s="53">
        <v>126.89</v>
      </c>
      <c r="D18" s="53">
        <v>92.30</v>
      </c>
      <c r="E18" s="53">
        <v>7.45</v>
      </c>
      <c r="F18" s="53">
        <v>4.3499999999999996</v>
      </c>
      <c r="G18" s="53">
        <v>218.47</v>
      </c>
      <c r="H18" s="53">
        <v>95.66</v>
      </c>
      <c r="I18" s="53">
        <v>0.74</v>
      </c>
      <c r="J18" s="53">
        <v>0.43</v>
      </c>
      <c r="K18" s="53">
        <v>104.60</v>
      </c>
      <c r="L18" s="53">
        <v>30.65</v>
      </c>
      <c r="M18" s="53">
        <v>39.67</v>
      </c>
      <c r="N18" s="53">
        <v>437.60</v>
      </c>
      <c r="O18" s="53">
        <v>0</v>
      </c>
      <c r="P18" s="53">
        <v>2.08</v>
      </c>
      <c r="Q18" s="53">
        <v>30.60</v>
      </c>
      <c r="R18" s="45"/>
      <c r="S18" s="45"/>
      <c r="T18" s="45"/>
      <c r="U18" s="45"/>
    </row>
    <row r="19" spans="1:21" s="11" customFormat="1" ht="15">
      <c r="A19" s="52" t="s">
        <v>719</v>
      </c>
      <c r="B19" s="53">
        <v>24.07</v>
      </c>
      <c r="C19" s="53">
        <v>133.55000000000001</v>
      </c>
      <c r="D19" s="53">
        <v>92.39</v>
      </c>
      <c r="E19" s="53">
        <v>30.28</v>
      </c>
      <c r="F19" s="53">
        <v>26.36</v>
      </c>
      <c r="G19" s="53">
        <v>182.70</v>
      </c>
      <c r="H19" s="53">
        <v>91.48</v>
      </c>
      <c r="I19" s="53">
        <v>0.71</v>
      </c>
      <c r="J19" s="53">
        <v>0.56999999999999995</v>
      </c>
      <c r="K19" s="53">
        <v>106.30</v>
      </c>
      <c r="L19" s="53">
        <v>34.380000000000003</v>
      </c>
      <c r="M19" s="53">
        <v>29.38</v>
      </c>
      <c r="N19" s="53">
        <v>450.60</v>
      </c>
      <c r="O19" s="53">
        <v>0</v>
      </c>
      <c r="P19" s="53">
        <v>2.11</v>
      </c>
      <c r="Q19" s="53">
        <v>30.55</v>
      </c>
      <c r="R19" s="45"/>
      <c r="S19" s="45"/>
      <c r="T19" s="45"/>
      <c r="U19" s="45"/>
    </row>
    <row r="20" spans="1:21" s="11" customFormat="1" ht="15">
      <c r="A20" s="52" t="s">
        <v>720</v>
      </c>
      <c r="B20" s="53">
        <v>5.54</v>
      </c>
      <c r="C20" s="53">
        <v>106.16</v>
      </c>
      <c r="D20" s="53">
        <v>61.87</v>
      </c>
      <c r="E20" s="53">
        <v>23.68</v>
      </c>
      <c r="F20" s="53">
        <v>19.239999999999998</v>
      </c>
      <c r="G20" s="53">
        <v>182.70</v>
      </c>
      <c r="H20" s="53">
        <v>89.18</v>
      </c>
      <c r="I20" s="53">
        <v>0.69</v>
      </c>
      <c r="J20" s="53">
        <v>0.35</v>
      </c>
      <c r="K20" s="53">
        <v>357.08</v>
      </c>
      <c r="L20" s="53">
        <v>35.90</v>
      </c>
      <c r="M20" s="53">
        <v>23.14</v>
      </c>
      <c r="N20" s="53">
        <v>467.80</v>
      </c>
      <c r="O20" s="53">
        <v>0</v>
      </c>
      <c r="P20" s="53">
        <v>1.79</v>
      </c>
      <c r="Q20" s="53">
        <v>23.37</v>
      </c>
      <c r="R20" s="45"/>
      <c r="S20" s="45"/>
      <c r="T20" s="45"/>
      <c r="U20" s="45"/>
    </row>
    <row r="21" spans="1:21" s="11" customFormat="1" ht="15">
      <c r="A21" s="52" t="s">
        <v>721</v>
      </c>
      <c r="B21" s="53">
        <v>3.29</v>
      </c>
      <c r="C21" s="53">
        <v>85.5</v>
      </c>
      <c r="D21" s="53">
        <v>48.13</v>
      </c>
      <c r="E21" s="53">
        <v>12.89</v>
      </c>
      <c r="F21" s="53">
        <v>17.47</v>
      </c>
      <c r="G21" s="53">
        <v>105.75</v>
      </c>
      <c r="H21" s="53">
        <v>75.39</v>
      </c>
      <c r="I21" s="53">
        <v>0.69</v>
      </c>
      <c r="J21" s="53">
        <v>0.69</v>
      </c>
      <c r="K21" s="53">
        <v>355.41</v>
      </c>
      <c r="L21" s="53">
        <v>36.520000000000003</v>
      </c>
      <c r="M21" s="53">
        <v>22.36</v>
      </c>
      <c r="N21" s="53">
        <v>471.5</v>
      </c>
      <c r="O21" s="53">
        <v>0</v>
      </c>
      <c r="P21" s="53">
        <v>1.59</v>
      </c>
      <c r="Q21" s="53">
        <v>25.94</v>
      </c>
      <c r="R21" s="45"/>
      <c r="S21" s="45"/>
      <c r="T21" s="45"/>
      <c r="U21" s="45"/>
    </row>
    <row r="22" spans="1:21" s="11" customFormat="1" ht="15">
      <c r="A22" s="52" t="s">
        <v>722</v>
      </c>
      <c r="B22" s="53">
        <v>1.44</v>
      </c>
      <c r="C22" s="53">
        <v>73.91</v>
      </c>
      <c r="D22" s="53">
        <v>41.94</v>
      </c>
      <c r="E22" s="53">
        <v>6.60</v>
      </c>
      <c r="F22" s="53">
        <v>12.42</v>
      </c>
      <c r="G22" s="53">
        <v>74.64</v>
      </c>
      <c r="H22" s="53">
        <v>64.08</v>
      </c>
      <c r="I22" s="53">
        <v>0.64</v>
      </c>
      <c r="J22" s="53">
        <v>1.28</v>
      </c>
      <c r="K22" s="53">
        <v>201.03</v>
      </c>
      <c r="L22" s="53">
        <v>34.58</v>
      </c>
      <c r="M22" s="53">
        <v>20.329999999999998</v>
      </c>
      <c r="N22" s="53">
        <v>414.90</v>
      </c>
      <c r="O22" s="53">
        <v>0</v>
      </c>
      <c r="P22" s="53">
        <v>1.33</v>
      </c>
      <c r="Q22" s="53">
        <v>25.54</v>
      </c>
      <c r="R22" s="45"/>
      <c r="S22" s="45"/>
      <c r="T22" s="45"/>
      <c r="U22" s="45"/>
    </row>
    <row r="23" spans="1:21" s="11" customFormat="1" ht="15">
      <c r="A23" s="52" t="s">
        <v>723</v>
      </c>
      <c r="B23" s="53">
        <v>3.78</v>
      </c>
      <c r="C23" s="53">
        <v>53.40</v>
      </c>
      <c r="D23" s="53">
        <v>29.78</v>
      </c>
      <c r="E23" s="53">
        <v>18.190000000000001</v>
      </c>
      <c r="F23" s="53">
        <v>52</v>
      </c>
      <c r="G23" s="53">
        <v>73.81</v>
      </c>
      <c r="H23" s="53">
        <v>52.65</v>
      </c>
      <c r="I23" s="53">
        <v>0.60</v>
      </c>
      <c r="J23" s="53">
        <v>1.08</v>
      </c>
      <c r="K23" s="53">
        <v>179.01</v>
      </c>
      <c r="L23" s="53">
        <v>34.61</v>
      </c>
      <c r="M23" s="53">
        <v>17.45</v>
      </c>
      <c r="N23" s="53">
        <v>383.90</v>
      </c>
      <c r="O23" s="53">
        <v>0</v>
      </c>
      <c r="P23" s="53">
        <v>0.85</v>
      </c>
      <c r="Q23" s="53">
        <v>24.85</v>
      </c>
      <c r="R23" s="45"/>
      <c r="S23" s="45"/>
      <c r="T23" s="45"/>
      <c r="U23" s="45"/>
    </row>
    <row r="24" spans="1:21" s="11" customFormat="1" ht="15">
      <c r="A24" s="52" t="s">
        <v>724</v>
      </c>
      <c r="B24" s="53">
        <v>2.06</v>
      </c>
      <c r="C24" s="53">
        <v>57.08</v>
      </c>
      <c r="D24" s="53">
        <v>32.049999999999997</v>
      </c>
      <c r="E24" s="53">
        <v>19.20</v>
      </c>
      <c r="F24" s="53">
        <v>41.86</v>
      </c>
      <c r="G24" s="53">
        <v>69.12</v>
      </c>
      <c r="H24" s="53">
        <v>38.49</v>
      </c>
      <c r="I24" s="53">
        <v>0.53</v>
      </c>
      <c r="J24" s="53">
        <v>0.98</v>
      </c>
      <c r="K24" s="53">
        <v>302.10000000000002</v>
      </c>
      <c r="L24" s="53">
        <v>34.880000000000003</v>
      </c>
      <c r="M24" s="53">
        <v>19.510000000000002</v>
      </c>
      <c r="N24" s="53">
        <v>266.20</v>
      </c>
      <c r="O24" s="53">
        <v>0</v>
      </c>
      <c r="P24" s="53">
        <v>0.66</v>
      </c>
      <c r="Q24" s="53">
        <v>18.57</v>
      </c>
      <c r="R24" s="45"/>
      <c r="S24" s="45"/>
      <c r="T24" s="45"/>
      <c r="U24" s="45"/>
    </row>
    <row r="25" spans="1:21" s="11" customFormat="1" ht="15">
      <c r="A25" s="52" t="s">
        <v>725</v>
      </c>
      <c r="B25" s="53">
        <v>1.63</v>
      </c>
      <c r="C25" s="53">
        <v>59.65</v>
      </c>
      <c r="D25" s="53">
        <v>34.229999999999997</v>
      </c>
      <c r="E25" s="53">
        <v>12.97</v>
      </c>
      <c r="F25" s="53">
        <v>39.03</v>
      </c>
      <c r="G25" s="53">
        <v>69.12</v>
      </c>
      <c r="H25" s="53">
        <v>37.60</v>
      </c>
      <c r="I25" s="53">
        <v>0.53</v>
      </c>
      <c r="J25" s="53">
        <v>0.31</v>
      </c>
      <c r="K25" s="53">
        <v>301.02</v>
      </c>
      <c r="L25" s="53">
        <v>33.35</v>
      </c>
      <c r="M25" s="53">
        <v>24.92</v>
      </c>
      <c r="N25" s="53">
        <v>100.40</v>
      </c>
      <c r="O25" s="53">
        <v>0</v>
      </c>
      <c r="P25" s="53">
        <v>0.73</v>
      </c>
      <c r="Q25" s="53">
        <v>21.76</v>
      </c>
      <c r="R25" s="45"/>
      <c r="S25" s="45"/>
      <c r="T25" s="45"/>
      <c r="U25" s="45"/>
    </row>
    <row r="26" spans="1:21" s="11" customFormat="1" ht="15">
      <c r="A26" s="52" t="s">
        <v>726</v>
      </c>
      <c r="B26" s="53">
        <v>1.38</v>
      </c>
      <c r="C26" s="53">
        <v>61.48</v>
      </c>
      <c r="D26" s="53">
        <v>33.99</v>
      </c>
      <c r="E26" s="53">
        <v>16.170000000000002</v>
      </c>
      <c r="F26" s="53">
        <v>42.18</v>
      </c>
      <c r="G26" s="53">
        <v>79.69</v>
      </c>
      <c r="H26" s="53">
        <v>39.01</v>
      </c>
      <c r="I26" s="53">
        <v>0.5</v>
      </c>
      <c r="J26" s="53">
        <v>0.23</v>
      </c>
      <c r="K26" s="53">
        <v>247.13</v>
      </c>
      <c r="L26" s="53">
        <v>31.96</v>
      </c>
      <c r="M26" s="53">
        <v>26.52</v>
      </c>
      <c r="N26" s="53">
        <v>43.80</v>
      </c>
      <c r="O26" s="53">
        <v>0</v>
      </c>
      <c r="P26" s="53">
        <v>0.91</v>
      </c>
      <c r="Q26" s="53">
        <v>18.84</v>
      </c>
      <c r="R26" s="45"/>
      <c r="S26" s="45"/>
      <c r="T26" s="45"/>
      <c r="U26" s="45"/>
    </row>
    <row r="27" spans="1:21" s="11" customFormat="1" ht="15">
      <c r="A27" s="52" t="s">
        <v>727</v>
      </c>
      <c r="B27" s="53">
        <v>53.16</v>
      </c>
      <c r="C27" s="53">
        <v>123.06</v>
      </c>
      <c r="D27" s="53">
        <v>109.5</v>
      </c>
      <c r="E27" s="53">
        <v>13.35</v>
      </c>
      <c r="F27" s="53">
        <v>15.70</v>
      </c>
      <c r="G27" s="53">
        <v>108.95</v>
      </c>
      <c r="H27" s="53">
        <v>41.83</v>
      </c>
      <c r="I27" s="53">
        <v>0.64</v>
      </c>
      <c r="J27" s="53">
        <v>0.36</v>
      </c>
      <c r="K27" s="53">
        <v>121.26</v>
      </c>
      <c r="L27" s="53">
        <v>29.85</v>
      </c>
      <c r="M27" s="53">
        <v>43.52</v>
      </c>
      <c r="N27" s="53">
        <v>6</v>
      </c>
      <c r="O27" s="53">
        <v>0</v>
      </c>
      <c r="P27" s="53">
        <v>1.72</v>
      </c>
      <c r="Q27" s="53">
        <v>19.600000000000001</v>
      </c>
      <c r="R27" s="45"/>
      <c r="S27" s="45"/>
      <c r="T27" s="45"/>
      <c r="U27" s="45"/>
    </row>
    <row r="28" spans="1:21" s="11" customFormat="1" ht="15">
      <c r="A28" s="52" t="s">
        <v>728</v>
      </c>
      <c r="B28" s="53">
        <v>25.90</v>
      </c>
      <c r="C28" s="53">
        <v>119.5</v>
      </c>
      <c r="D28" s="53">
        <v>85.68</v>
      </c>
      <c r="E28" s="53">
        <v>11.66</v>
      </c>
      <c r="F28" s="53">
        <v>8.7899999999999991</v>
      </c>
      <c r="G28" s="53">
        <v>121.16</v>
      </c>
      <c r="H28" s="53">
        <v>48.47</v>
      </c>
      <c r="I28" s="53">
        <v>0.75</v>
      </c>
      <c r="J28" s="53">
        <v>0.40</v>
      </c>
      <c r="K28" s="53">
        <v>281.60000000000002</v>
      </c>
      <c r="L28" s="53">
        <v>28.24</v>
      </c>
      <c r="M28" s="53">
        <v>43.88</v>
      </c>
      <c r="N28" s="53">
        <v>4.5</v>
      </c>
      <c r="O28" s="53">
        <v>0</v>
      </c>
      <c r="P28" s="53">
        <v>1.70</v>
      </c>
      <c r="Q28" s="53">
        <v>26.45</v>
      </c>
      <c r="R28" s="45"/>
      <c r="S28" s="45"/>
      <c r="T28" s="45"/>
      <c r="U28" s="45"/>
    </row>
    <row r="29" spans="1:21" s="11" customFormat="1" ht="15">
      <c r="A29" s="52" t="s">
        <v>729</v>
      </c>
      <c r="B29" s="53">
        <v>50.34</v>
      </c>
      <c r="C29" s="53">
        <v>129.25</v>
      </c>
      <c r="D29" s="53">
        <v>110.66</v>
      </c>
      <c r="E29" s="53">
        <v>6.60</v>
      </c>
      <c r="F29" s="53">
        <v>4.54</v>
      </c>
      <c r="G29" s="53">
        <v>153.43</v>
      </c>
      <c r="H29" s="53">
        <v>55.89</v>
      </c>
      <c r="I29" s="53">
        <v>0.95</v>
      </c>
      <c r="J29" s="53">
        <v>0.16</v>
      </c>
      <c r="K29" s="53">
        <v>333.35</v>
      </c>
      <c r="L29" s="53">
        <v>26.32</v>
      </c>
      <c r="M29" s="53">
        <v>47.39</v>
      </c>
      <c r="N29" s="53">
        <v>4.9000000000000004</v>
      </c>
      <c r="O29" s="53">
        <v>0</v>
      </c>
      <c r="P29" s="53">
        <v>2.4500000000000002</v>
      </c>
      <c r="Q29" s="53">
        <v>29.59</v>
      </c>
      <c r="R29" s="45"/>
      <c r="S29" s="45"/>
      <c r="T29" s="45"/>
      <c r="U29" s="45"/>
    </row>
    <row r="30" spans="1:21" s="11" customFormat="1" ht="15">
      <c r="A30" s="52" t="s">
        <v>730</v>
      </c>
      <c r="B30" s="53">
        <v>99.70</v>
      </c>
      <c r="C30" s="53">
        <v>142.47</v>
      </c>
      <c r="D30" s="53">
        <v>157.53</v>
      </c>
      <c r="E30" s="53">
        <v>7.29</v>
      </c>
      <c r="F30" s="53">
        <v>4.3499999999999996</v>
      </c>
      <c r="G30" s="53">
        <v>196.99</v>
      </c>
      <c r="H30" s="53">
        <v>67.55</v>
      </c>
      <c r="I30" s="53">
        <v>1.38</v>
      </c>
      <c r="J30" s="53">
        <v>0.32</v>
      </c>
      <c r="K30" s="53">
        <v>319.75</v>
      </c>
      <c r="L30" s="53">
        <v>25.52</v>
      </c>
      <c r="M30" s="53">
        <v>54.24</v>
      </c>
      <c r="N30" s="53">
        <v>4.5</v>
      </c>
      <c r="O30" s="53">
        <v>0</v>
      </c>
      <c r="P30" s="53">
        <v>3.34</v>
      </c>
      <c r="Q30" s="53">
        <v>29.82</v>
      </c>
      <c r="R30" s="45"/>
      <c r="S30" s="45"/>
      <c r="T30" s="45"/>
      <c r="U30" s="45"/>
    </row>
    <row r="31" spans="1:21" s="11" customFormat="1" ht="15">
      <c r="A31" s="52" t="s">
        <v>731</v>
      </c>
      <c r="B31" s="53">
        <v>107.89</v>
      </c>
      <c r="C31" s="53">
        <v>136.62</v>
      </c>
      <c r="D31" s="53">
        <v>160.53</v>
      </c>
      <c r="E31" s="53">
        <v>6.63</v>
      </c>
      <c r="F31" s="53">
        <v>4.38</v>
      </c>
      <c r="G31" s="53">
        <v>196.99</v>
      </c>
      <c r="H31" s="53">
        <v>73.56</v>
      </c>
      <c r="I31" s="53">
        <v>1.45</v>
      </c>
      <c r="J31" s="53">
        <v>0.33</v>
      </c>
      <c r="K31" s="53">
        <v>311.86</v>
      </c>
      <c r="L31" s="53">
        <v>25.02</v>
      </c>
      <c r="M31" s="53">
        <v>56.65</v>
      </c>
      <c r="N31" s="53">
        <v>4.5999999999999996</v>
      </c>
      <c r="O31" s="53">
        <v>0</v>
      </c>
      <c r="P31" s="53">
        <v>3.22</v>
      </c>
      <c r="Q31" s="53">
        <v>32.76</v>
      </c>
      <c r="R31" s="45"/>
      <c r="S31" s="45"/>
      <c r="T31" s="45"/>
      <c r="U31" s="45"/>
    </row>
    <row r="32" spans="1:21" s="11" customFormat="1" ht="15">
      <c r="A32" s="52" t="s">
        <v>732</v>
      </c>
      <c r="B32" s="53">
        <v>112.13</v>
      </c>
      <c r="C32" s="53">
        <v>128.07</v>
      </c>
      <c r="D32" s="53">
        <v>159.33000000000001</v>
      </c>
      <c r="E32" s="53">
        <v>5.14</v>
      </c>
      <c r="F32" s="53">
        <v>4.3099999999999996</v>
      </c>
      <c r="G32" s="53">
        <v>181.57</v>
      </c>
      <c r="H32" s="53">
        <v>73.56</v>
      </c>
      <c r="I32" s="53">
        <v>1.48</v>
      </c>
      <c r="J32" s="53">
        <v>0.18</v>
      </c>
      <c r="K32" s="53">
        <v>342.67</v>
      </c>
      <c r="L32" s="53">
        <v>23.32</v>
      </c>
      <c r="M32" s="53">
        <v>57.90</v>
      </c>
      <c r="N32" s="53">
        <v>4.70</v>
      </c>
      <c r="O32" s="53">
        <v>0</v>
      </c>
      <c r="P32" s="53">
        <v>3.32</v>
      </c>
      <c r="Q32" s="53">
        <v>37.04</v>
      </c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1.3799999999999999</v>
      </c>
      <c r="C34" s="28">
        <f t="shared" si="0"/>
        <v>53.399999999999999</v>
      </c>
      <c r="D34" s="28">
        <f t="shared" si="0"/>
        <v>29.780000000000001</v>
      </c>
      <c r="E34" s="28">
        <f t="shared" si="0"/>
        <v>4.1500000000000004</v>
      </c>
      <c r="F34" s="28">
        <f t="shared" si="0"/>
        <v>4.2999999999999998</v>
      </c>
      <c r="G34" s="28">
        <f t="shared" si="0"/>
        <v>69.120000000000005</v>
      </c>
      <c r="H34" s="28">
        <f t="shared" si="0"/>
        <v>37.600000000000001</v>
      </c>
      <c r="I34" s="28">
        <f t="shared" si="0"/>
        <v>0.5</v>
      </c>
      <c r="J34" s="28">
        <f t="shared" si="0"/>
        <v>0.13</v>
      </c>
      <c r="K34" s="28">
        <f t="shared" si="0"/>
        <v>74.629999999999995</v>
      </c>
      <c r="L34" s="28">
        <f t="shared" si="0"/>
        <v>20.629999999999999</v>
      </c>
      <c r="M34" s="28">
        <f t="shared" si="0"/>
        <v>17.449999999999999</v>
      </c>
      <c r="N34" s="28">
        <f t="shared" si="0"/>
        <v>4.4000000000000004</v>
      </c>
      <c r="O34" s="28">
        <f t="shared" si="0"/>
        <v>0</v>
      </c>
      <c r="P34" s="28">
        <f t="shared" si="0"/>
        <v>0.66000000000000003</v>
      </c>
      <c r="Q34" s="28">
        <f t="shared" si="0"/>
        <v>18.57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112.13</v>
      </c>
      <c r="C35" s="29">
        <f t="shared" si="1"/>
        <v>142.47</v>
      </c>
      <c r="D35" s="29">
        <f t="shared" si="1"/>
        <v>160.53</v>
      </c>
      <c r="E35" s="29">
        <f t="shared" si="1"/>
        <v>30.280000000000001</v>
      </c>
      <c r="F35" s="29">
        <f t="shared" si="1"/>
        <v>52</v>
      </c>
      <c r="G35" s="29">
        <f t="shared" si="1"/>
        <v>218.47999999999999</v>
      </c>
      <c r="H35" s="29">
        <f t="shared" si="1"/>
        <v>98.620000000000005</v>
      </c>
      <c r="I35" s="29">
        <f t="shared" si="1"/>
        <v>1.48</v>
      </c>
      <c r="J35" s="29">
        <f t="shared" si="1"/>
        <v>1.28</v>
      </c>
      <c r="K35" s="29">
        <f t="shared" si="1"/>
        <v>358.23000000000002</v>
      </c>
      <c r="L35" s="29">
        <f t="shared" si="1"/>
        <v>36.520000000000003</v>
      </c>
      <c r="M35" s="29">
        <f t="shared" si="1"/>
        <v>65.170000000000002</v>
      </c>
      <c r="N35" s="29">
        <f t="shared" si="1"/>
        <v>471.5</v>
      </c>
      <c r="O35" s="29">
        <f t="shared" si="1"/>
        <v>0</v>
      </c>
      <c r="P35" s="29">
        <f t="shared" si="1"/>
        <v>3.3399999999999999</v>
      </c>
      <c r="Q35" s="29">
        <f t="shared" si="1"/>
        <v>37.039999999999999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32.084166666666668</v>
      </c>
      <c r="C36" s="28">
        <f t="shared" si="2"/>
        <v>108.02583333333332</v>
      </c>
      <c r="D36" s="28">
        <f t="shared" si="2"/>
        <v>84.416666666666671</v>
      </c>
      <c r="E36" s="28">
        <f t="shared" si="2"/>
        <v>10.585416666666665</v>
      </c>
      <c r="F36" s="28">
        <f t="shared" si="2"/>
        <v>14.190000000000005</v>
      </c>
      <c r="G36" s="28">
        <f t="shared" si="2"/>
        <v>143.35541666666663</v>
      </c>
      <c r="H36" s="28">
        <f t="shared" si="2"/>
        <v>65.786666666666662</v>
      </c>
      <c r="I36" s="28">
        <f t="shared" si="2"/>
        <v>0.84666666666666657</v>
      </c>
      <c r="J36" s="28">
        <f t="shared" si="2"/>
        <v>0.49125000000000002</v>
      </c>
      <c r="K36" s="28">
        <f t="shared" si="2"/>
        <v>252.87916666666672</v>
      </c>
      <c r="L36" s="28">
        <f t="shared" si="2"/>
        <v>27.968750000000004</v>
      </c>
      <c r="M36" s="28">
        <f t="shared" si="2"/>
        <v>43.381666666666661</v>
      </c>
      <c r="N36" s="28">
        <f t="shared" si="2"/>
        <v>149.36666666666665</v>
      </c>
      <c r="O36" s="28">
        <f t="shared" si="2"/>
        <v>0</v>
      </c>
      <c r="P36" s="28">
        <f t="shared" si="2"/>
        <v>1.9137500000000001</v>
      </c>
      <c r="Q36" s="28">
        <f t="shared" si="2"/>
        <v>28.065833333333341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32.570319232815876</v>
      </c>
      <c r="C37" s="28">
        <f t="shared" si="3" ref="C37:Q37">STDEV(C9:C32)</f>
        <v>27.444183975078786</v>
      </c>
      <c r="D37" s="28">
        <f t="shared" si="3"/>
        <v>37.905136931517603</v>
      </c>
      <c r="E37" s="28">
        <f t="shared" si="3"/>
        <v>6.741925269578398</v>
      </c>
      <c r="F37" s="28">
        <f t="shared" si="3"/>
        <v>14.873673561611845</v>
      </c>
      <c r="G37" s="28">
        <f t="shared" si="3"/>
        <v>49.843137853903173</v>
      </c>
      <c r="H37" s="28">
        <f t="shared" si="3"/>
        <v>19.279292262552808</v>
      </c>
      <c r="I37" s="28">
        <f t="shared" si="3"/>
        <v>0.27539168417028359</v>
      </c>
      <c r="J37" s="28">
        <f t="shared" si="3"/>
        <v>0.33791319312355433</v>
      </c>
      <c r="K37" s="28">
        <f t="shared" si="3"/>
        <v>101.41427353945896</v>
      </c>
      <c r="L37" s="28">
        <f t="shared" si="3"/>
        <v>5.4294969840676526</v>
      </c>
      <c r="M37" s="28">
        <f t="shared" si="3"/>
        <v>16.143886625045397</v>
      </c>
      <c r="N37" s="28">
        <f t="shared" si="3"/>
        <v>188.69447508482125</v>
      </c>
      <c r="O37" s="28">
        <f t="shared" si="3"/>
        <v>0</v>
      </c>
      <c r="P37" s="28">
        <f t="shared" si="3"/>
        <v>0.72753193565046037</v>
      </c>
      <c r="Q37" s="28">
        <f t="shared" si="3"/>
        <v>4.8080104505661607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62b483-278f-4138-b653-daf5f8664ada}">
  <sheetPr codeName=""/>
  <dimension ref="A1:X52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S14" sqref="S14"/>
    </sheetView>
  </sheetViews>
  <sheetFormatPr defaultColWidth="8.85881696428571" defaultRowHeight="15"/>
  <cols>
    <col min="1" max="1" width="17.4285714285714" style="11" customWidth="1"/>
    <col min="2" max="2" width="16.1428571428571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6" width="8.85714285714286" style="11"/>
    <col min="17" max="17" width="9.71428571428571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6" t="s">
        <v>58</v>
      </c>
      <c r="C7" s="46" t="s">
        <v>43</v>
      </c>
      <c r="D7" s="46" t="s">
        <v>44</v>
      </c>
      <c r="E7" s="46" t="s">
        <v>45</v>
      </c>
      <c r="F7" s="46" t="s">
        <v>46</v>
      </c>
      <c r="G7" s="46" t="s">
        <v>47</v>
      </c>
      <c r="H7" s="46" t="s">
        <v>48</v>
      </c>
      <c r="I7" s="46" t="s">
        <v>49</v>
      </c>
      <c r="J7" s="46" t="s">
        <v>50</v>
      </c>
      <c r="K7" s="46" t="s">
        <v>51</v>
      </c>
      <c r="L7" s="46" t="s">
        <v>52</v>
      </c>
      <c r="M7" s="46" t="s">
        <v>53</v>
      </c>
      <c r="N7" s="46" t="s">
        <v>54</v>
      </c>
      <c r="O7" s="46" t="s">
        <v>55</v>
      </c>
      <c r="P7" s="46" t="s">
        <v>56</v>
      </c>
      <c r="Q7" s="46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66" t="s">
        <v>132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01-02-2023 01:00</v>
      </c>
      <c r="B9" s="24">
        <f>'01'!B36</f>
        <v>33.240833333333335</v>
      </c>
      <c r="C9" s="24">
        <f>'01'!C36</f>
        <v>95.963333333333324</v>
      </c>
      <c r="D9" s="24">
        <f>'01'!D36</f>
        <v>79.753750000000011</v>
      </c>
      <c r="E9" s="24">
        <f>'01'!E36</f>
        <v>7.5124999999999993</v>
      </c>
      <c r="F9" s="24">
        <f>'01'!F36</f>
        <v>6.3558333333333339</v>
      </c>
      <c r="G9" s="24">
        <f>'01'!G36</f>
        <v>73.115416666666661</v>
      </c>
      <c r="H9" s="24">
        <f>'01'!H36</f>
        <v>28.01541666666667</v>
      </c>
      <c r="I9" s="55" t="s">
        <v>8</v>
      </c>
      <c r="J9" s="24">
        <f>'01'!J36</f>
        <v>1.0170833333333333</v>
      </c>
      <c r="K9" s="24">
        <f>'01'!K36</f>
        <v>97.357500000000016</v>
      </c>
      <c r="L9" s="24">
        <f>'01'!L36</f>
        <v>24.420416666666672</v>
      </c>
      <c r="M9" s="24">
        <f>'01'!M36</f>
        <v>46.333333333333336</v>
      </c>
      <c r="N9" s="24">
        <f>'01'!N36</f>
        <v>176.74166666666659</v>
      </c>
      <c r="O9" s="24">
        <f>'01'!O36</f>
        <v>0</v>
      </c>
      <c r="P9" s="30">
        <f>'01'!$P$36</f>
        <v>1.1133333333333333</v>
      </c>
      <c r="Q9" s="24">
        <f>'01'!Q36</f>
        <v>32.029166666666661</v>
      </c>
      <c r="R9" s="47"/>
      <c r="S9" s="47"/>
      <c r="T9" s="47"/>
      <c r="U9" s="48"/>
    </row>
    <row r="10" spans="1:21" s="34" customFormat="1" ht="15">
      <c r="A10" s="36" t="str">
        <f>'02'!$B$2</f>
        <v>02-02-2023 01:00</v>
      </c>
      <c r="B10" s="33">
        <f>'02'!B36</f>
        <v>63.366666666666667</v>
      </c>
      <c r="C10" s="33">
        <f>'02'!C36</f>
        <v>113.12749999999998</v>
      </c>
      <c r="D10" s="33">
        <f>'02'!D36</f>
        <v>113.34833333333336</v>
      </c>
      <c r="E10" s="33">
        <f>'02'!E36</f>
        <v>8.7641666666666662</v>
      </c>
      <c r="F10" s="33">
        <f>'02'!F36</f>
        <v>4.5125000000000002</v>
      </c>
      <c r="G10" s="33">
        <f>'02'!G36</f>
        <v>109.29583333333333</v>
      </c>
      <c r="H10" s="33">
        <f>'02'!H36</f>
        <v>42.223333333333322</v>
      </c>
      <c r="I10" s="55" t="s">
        <v>8</v>
      </c>
      <c r="J10" s="33">
        <f>'02'!J36</f>
        <v>0.69333333333333336</v>
      </c>
      <c r="K10" s="33">
        <f>'02'!K36</f>
        <v>159.25833333333333</v>
      </c>
      <c r="L10" s="33">
        <f>'02'!L36</f>
        <v>22.916666666666671</v>
      </c>
      <c r="M10" s="33">
        <f>'02'!M36</f>
        <v>35.166666666666664</v>
      </c>
      <c r="N10" s="33">
        <f>'02'!N36</f>
        <v>201.51249999999993</v>
      </c>
      <c r="O10" s="33">
        <f>'02'!O36</f>
        <v>0</v>
      </c>
      <c r="P10" s="30">
        <f>'02'!$P$36</f>
        <v>1.6491666666666667</v>
      </c>
      <c r="Q10" s="33">
        <f>'02'!Q36</f>
        <v>33.27708333333333</v>
      </c>
      <c r="R10" s="49"/>
      <c r="S10" s="49"/>
      <c r="T10" s="49"/>
      <c r="U10" s="49"/>
    </row>
    <row r="11" spans="1:21" s="34" customFormat="1" ht="15">
      <c r="A11" s="36" t="str">
        <f>'03'!$B$2</f>
        <v>03-02-2023 01:00</v>
      </c>
      <c r="B11" s="33">
        <f>'03'!B36</f>
        <v>111.07541666666667</v>
      </c>
      <c r="C11" s="33">
        <f>'03'!C36</f>
        <v>126.75249999999998</v>
      </c>
      <c r="D11" s="33">
        <f>'03'!D36</f>
        <v>158.50125000000003</v>
      </c>
      <c r="E11" s="33">
        <f>'03'!E36</f>
        <v>10.132916666666667</v>
      </c>
      <c r="F11" s="33">
        <f>'03'!F36</f>
        <v>8.7554166666666671</v>
      </c>
      <c r="G11" s="33">
        <f>'03'!G36</f>
        <v>126.81304347826087</v>
      </c>
      <c r="H11" s="33">
        <f>'03'!H36</f>
        <v>51.885416666666657</v>
      </c>
      <c r="I11" s="33">
        <f>'03'!I36</f>
        <v>0.91923076923076918</v>
      </c>
      <c r="J11" s="33">
        <f>'03'!J36</f>
        <v>0.625</v>
      </c>
      <c r="K11" s="33">
        <f>'03'!K36</f>
        <v>187.68041666666667</v>
      </c>
      <c r="L11" s="33">
        <f>'03'!L36</f>
        <v>22.659583333333334</v>
      </c>
      <c r="M11" s="33">
        <f>'03'!M36</f>
        <v>39.083333333333336</v>
      </c>
      <c r="N11" s="33">
        <f>'03'!N36</f>
        <v>201.50000000000003</v>
      </c>
      <c r="O11" s="33">
        <f>'03'!O36</f>
        <v>0</v>
      </c>
      <c r="P11" s="30">
        <f>'03'!$P$36</f>
        <v>2.1733333333333333</v>
      </c>
      <c r="Q11" s="33">
        <f>'03'!Q36</f>
        <v>32.220000000000006</v>
      </c>
      <c r="R11" s="49"/>
      <c r="S11" s="49"/>
      <c r="T11" s="49"/>
      <c r="U11" s="49"/>
    </row>
    <row r="12" spans="1:21" s="34" customFormat="1" ht="15">
      <c r="A12" s="36" t="str">
        <f>'04'!$B$2</f>
        <v>04-02-2023 01:00</v>
      </c>
      <c r="B12" s="33">
        <f>'04'!B36</f>
        <v>121.38916666666665</v>
      </c>
      <c r="C12" s="33">
        <f>'04'!C36</f>
        <v>140.82416666666668</v>
      </c>
      <c r="D12" s="33">
        <f>'04'!D36</f>
        <v>173.56333333333339</v>
      </c>
      <c r="E12" s="33">
        <f>'04'!E36</f>
        <v>8.2012499999999999</v>
      </c>
      <c r="F12" s="33">
        <f>'04'!F36</f>
        <v>4.7524999999999995</v>
      </c>
      <c r="G12" s="33">
        <f>'04'!G36</f>
        <v>150.86583333333331</v>
      </c>
      <c r="H12" s="33">
        <f>'04'!H36</f>
        <v>58.716249999999995</v>
      </c>
      <c r="I12" s="33">
        <f>'04'!I36</f>
        <v>1.2016666666666669</v>
      </c>
      <c r="J12" s="33">
        <f>'04'!J36</f>
        <v>0.46124999999999994</v>
      </c>
      <c r="K12" s="33">
        <f>'04'!K36</f>
        <v>309.84875000000005</v>
      </c>
      <c r="L12" s="33">
        <f>'04'!L36</f>
        <v>22.869166666666661</v>
      </c>
      <c r="M12" s="33">
        <f>'04'!M36</f>
        <v>43.458333333333336</v>
      </c>
      <c r="N12" s="33">
        <f>'04'!N36</f>
        <v>188.70833333333337</v>
      </c>
      <c r="O12" s="33">
        <f>'04'!O36</f>
        <v>0</v>
      </c>
      <c r="P12" s="30">
        <f>'04'!$P$36</f>
        <v>2.1912500000000006</v>
      </c>
      <c r="Q12" s="33">
        <f>'04'!Q36</f>
        <v>38.074583333333337</v>
      </c>
      <c r="R12" s="49"/>
      <c r="S12" s="49"/>
      <c r="T12" s="49"/>
      <c r="U12" s="49"/>
    </row>
    <row r="13" spans="1:21" s="34" customFormat="1" ht="15">
      <c r="A13" s="36" t="str">
        <f>'05'!$B$2</f>
        <v>05-02-2023 01:00</v>
      </c>
      <c r="B13" s="33">
        <f>'05'!B36</f>
        <v>87.799166666666679</v>
      </c>
      <c r="C13" s="33">
        <f>'05'!C36</f>
        <v>131.27541666666664</v>
      </c>
      <c r="D13" s="33">
        <f>'05'!D36</f>
        <v>141.4025</v>
      </c>
      <c r="E13" s="33">
        <f>'05'!E36</f>
        <v>8.7191666666666645</v>
      </c>
      <c r="F13" s="33">
        <f>'05'!F36</f>
        <v>6.2391666666666667</v>
      </c>
      <c r="G13" s="33">
        <f>'05'!G36</f>
        <v>117.54833333333333</v>
      </c>
      <c r="H13" s="33">
        <f>'05'!H36</f>
        <v>48.736250000000005</v>
      </c>
      <c r="I13" s="33">
        <f>'05'!I36</f>
        <v>1.3414285714285714</v>
      </c>
      <c r="J13" s="33">
        <f>'05'!J36</f>
        <v>0.41124999999999995</v>
      </c>
      <c r="K13" s="33">
        <f>'05'!K36</f>
        <v>287.54500000000002</v>
      </c>
      <c r="L13" s="33">
        <f>'05'!L36</f>
        <v>22.911666666666672</v>
      </c>
      <c r="M13" s="33">
        <f>'05'!M36</f>
        <v>44.375</v>
      </c>
      <c r="N13" s="33">
        <f>'05'!N36</f>
        <v>186.25833333333335</v>
      </c>
      <c r="O13" s="33">
        <f>'05'!O36</f>
        <v>0</v>
      </c>
      <c r="P13" s="30">
        <f>'05'!$P$36</f>
        <v>1.9083333333333334</v>
      </c>
      <c r="Q13" s="33">
        <f>'05'!Q36</f>
        <v>36.331666666666663</v>
      </c>
      <c r="R13" s="49"/>
      <c r="S13" s="49"/>
      <c r="T13" s="49"/>
      <c r="U13" s="49"/>
    </row>
    <row r="14" spans="1:21" s="34" customFormat="1" ht="15">
      <c r="A14" s="36" t="str">
        <f>'06'!$B$2</f>
        <v>06-02-2023 01:00</v>
      </c>
      <c r="B14" s="33">
        <f>'06'!B36</f>
        <v>85.004583333333315</v>
      </c>
      <c r="C14" s="33">
        <f>'06'!C36</f>
        <v>112.28875000000004</v>
      </c>
      <c r="D14" s="33">
        <f>'06'!D36</f>
        <v>128.26875000000001</v>
      </c>
      <c r="E14" s="33">
        <f>'06'!E36</f>
        <v>10.167499999999999</v>
      </c>
      <c r="F14" s="33">
        <f>'06'!F36</f>
        <v>11.600000000000001</v>
      </c>
      <c r="G14" s="33">
        <f>'06'!G36</f>
        <v>144.09916666666666</v>
      </c>
      <c r="H14" s="33">
        <f>'06'!H36</f>
        <v>59.46458333333333</v>
      </c>
      <c r="I14" s="33">
        <f>'06'!I36</f>
        <v>0.67999999999999994</v>
      </c>
      <c r="J14" s="33">
        <f>'06'!J36</f>
        <v>0.37208333333333332</v>
      </c>
      <c r="K14" s="33">
        <f>'06'!K36</f>
        <v>290.89708333333328</v>
      </c>
      <c r="L14" s="33">
        <f>'06'!L36</f>
        <v>24.040833333333328</v>
      </c>
      <c r="M14" s="33">
        <f>'06'!M36</f>
        <v>45.708333333333336</v>
      </c>
      <c r="N14" s="33">
        <f>'06'!N36</f>
        <v>150.58333333333334</v>
      </c>
      <c r="O14" s="33">
        <f>'06'!O36</f>
        <v>0</v>
      </c>
      <c r="P14" s="30">
        <f>'06'!$P$36</f>
        <v>2.1291666666666664</v>
      </c>
      <c r="Q14" s="33">
        <f>'06'!Q36</f>
        <v>33.487916666666671</v>
      </c>
      <c r="R14" s="49"/>
      <c r="S14" s="49"/>
      <c r="T14" s="49"/>
      <c r="U14" s="49"/>
    </row>
    <row r="15" spans="1:21" s="34" customFormat="1" ht="15">
      <c r="A15" s="36" t="str">
        <f>'07'!$B$2</f>
        <v>07-02-2023 01:00</v>
      </c>
      <c r="B15" s="33">
        <f>'07'!B36</f>
        <v>55.259999999999991</v>
      </c>
      <c r="C15" s="33">
        <f>'07'!C36</f>
        <v>77.947916666666671</v>
      </c>
      <c r="D15" s="33">
        <f>'07'!D36</f>
        <v>85.679999999999993</v>
      </c>
      <c r="E15" s="33">
        <f>'07'!E36</f>
        <v>6.7900000000000018</v>
      </c>
      <c r="F15" s="33">
        <f>'07'!F36</f>
        <v>6.0379166666666668</v>
      </c>
      <c r="G15" s="33">
        <f>'07'!G36</f>
        <v>98.857826086956536</v>
      </c>
      <c r="H15" s="33">
        <f>'07'!H36</f>
        <v>44.573333333333331</v>
      </c>
      <c r="I15" s="33">
        <f>'07'!I36</f>
        <v>0.72500000000000009</v>
      </c>
      <c r="J15" s="33">
        <f>'07'!J36</f>
        <v>0.27958333333333335</v>
      </c>
      <c r="K15" s="33">
        <f>'07'!K36</f>
        <v>311.40958333333333</v>
      </c>
      <c r="L15" s="33">
        <f>'07'!L36</f>
        <v>24.94583333333334</v>
      </c>
      <c r="M15" s="33">
        <f>'07'!M36</f>
        <v>45.239166666666655</v>
      </c>
      <c r="N15" s="33">
        <f>'07'!N37</f>
        <v>221.60334615109568</v>
      </c>
      <c r="O15" s="33">
        <f>'07'!O37</f>
        <v>0</v>
      </c>
      <c r="P15" s="30">
        <f>'07'!$P$36</f>
        <v>1.5929166666666668</v>
      </c>
      <c r="Q15" s="33">
        <f>'07'!Q36</f>
        <v>34.5</v>
      </c>
      <c r="R15" s="49"/>
      <c r="S15" s="49"/>
      <c r="T15" s="49"/>
      <c r="U15" s="49"/>
    </row>
    <row r="16" spans="1:21" s="34" customFormat="1" ht="15">
      <c r="A16" s="36" t="str">
        <f>'08'!$B$2</f>
        <v>08-02-2023 01:00</v>
      </c>
      <c r="B16" s="33">
        <f>'08'!B36</f>
        <v>30.473181818181821</v>
      </c>
      <c r="C16" s="33">
        <f>'08'!C36</f>
        <v>64.341818181818184</v>
      </c>
      <c r="D16" s="33">
        <f>'08'!D36</f>
        <v>58.375454545454545</v>
      </c>
      <c r="E16" s="33">
        <f>'08'!E36</f>
        <v>8.5278571428571421</v>
      </c>
      <c r="F16" s="33">
        <f>'08'!F36</f>
        <v>6.3313636363636361</v>
      </c>
      <c r="G16" s="33">
        <f>'08'!G36</f>
        <v>94.150000000000006</v>
      </c>
      <c r="H16" s="33">
        <f>'08'!H36</f>
        <v>35.06600000000001</v>
      </c>
      <c r="I16" s="33">
        <f>'08'!I36</f>
        <v>0.6841666666666667</v>
      </c>
      <c r="J16" s="33">
        <f>'08'!J36</f>
        <v>0.66727272727272724</v>
      </c>
      <c r="K16" s="33">
        <f>'08'!K36</f>
        <v>277.6581818181819</v>
      </c>
      <c r="L16" s="33">
        <f>'08'!L36</f>
        <v>25.091363636363635</v>
      </c>
      <c r="M16" s="33">
        <f>'08'!M36</f>
        <v>41.653181818181821</v>
      </c>
      <c r="N16" s="33">
        <f>'08'!N36</f>
        <v>159.51363636363635</v>
      </c>
      <c r="O16" s="33">
        <f>'08'!O36</f>
        <v>0</v>
      </c>
      <c r="P16" s="30">
        <f>'08'!$P$36</f>
        <v>1.221363636363636</v>
      </c>
      <c r="Q16" s="33">
        <f>'08'!Q36</f>
        <v>36.104999999999997</v>
      </c>
      <c r="R16" s="49"/>
      <c r="S16" s="49"/>
      <c r="T16" s="49"/>
      <c r="U16" s="49"/>
    </row>
    <row r="17" spans="1:24" s="34" customFormat="1" ht="15">
      <c r="A17" s="36" t="str">
        <f>'09'!$B$2</f>
        <v>09-02-2023 01:00</v>
      </c>
      <c r="B17" s="33">
        <f>'09'!B36</f>
        <v>45.863333333333337</v>
      </c>
      <c r="C17" s="33">
        <f>'09'!C36</f>
        <v>62.858750000000015</v>
      </c>
      <c r="D17" s="33">
        <f>'09'!D36</f>
        <v>69.918333333333337</v>
      </c>
      <c r="E17" s="33">
        <f>'09'!E36</f>
        <v>10.359</v>
      </c>
      <c r="F17" s="33">
        <f>'09'!F36</f>
        <v>6.9512500000000008</v>
      </c>
      <c r="G17" s="33">
        <f>'09'!G36</f>
        <v>112.99374999999999</v>
      </c>
      <c r="H17" s="33">
        <f>'09'!H36</f>
        <v>44.960833333333333</v>
      </c>
      <c r="I17" s="33">
        <f>'09'!I36</f>
        <v>0.85649999999999993</v>
      </c>
      <c r="J17" s="33">
        <f>'09'!J36</f>
        <v>0.48916666666666669</v>
      </c>
      <c r="K17" s="33">
        <f>'09'!K36</f>
        <v>259.17624999999992</v>
      </c>
      <c r="L17" s="33">
        <f>'09'!L36</f>
        <v>24.219583333333336</v>
      </c>
      <c r="M17" s="33">
        <f>'09'!M36</f>
        <v>41.95958333333332</v>
      </c>
      <c r="N17" s="33">
        <f>'09'!N37</f>
        <v>244.57001364862163</v>
      </c>
      <c r="O17" s="33">
        <f>'09'!O37</f>
        <v>0</v>
      </c>
      <c r="P17" s="30">
        <f>'09'!$P$36</f>
        <v>1.4583333333333333</v>
      </c>
      <c r="Q17" s="33">
        <f>'09'!Q36</f>
        <v>20.072142857142861</v>
      </c>
      <c r="R17" s="49"/>
      <c r="S17" s="49"/>
      <c r="T17" s="49"/>
      <c r="U17" s="49"/>
      <c r="V17" s="35"/>
      <c r="W17" s="35"/>
      <c r="X17" s="35"/>
    </row>
    <row r="18" spans="1:21" s="34" customFormat="1" ht="15">
      <c r="A18" s="36" t="str">
        <f>'10'!$B$2</f>
        <v>10-02-2023 01:00</v>
      </c>
      <c r="B18" s="33">
        <f>'10'!B36</f>
        <v>71.833043478260862</v>
      </c>
      <c r="C18" s="33">
        <f>'10'!C36</f>
        <v>85.271304347826089</v>
      </c>
      <c r="D18" s="33">
        <f>'10'!D36</f>
        <v>103.68478260869566</v>
      </c>
      <c r="E18" s="33">
        <f>'10'!E36</f>
        <v>6.4454166666666675</v>
      </c>
      <c r="F18" s="33">
        <f>'10'!F36</f>
        <v>8.7575000000000003</v>
      </c>
      <c r="G18" s="33">
        <f>'10'!G36</f>
        <v>105.24541666666664</v>
      </c>
      <c r="H18" s="33">
        <f>'10'!H36</f>
        <v>41.51583333333334</v>
      </c>
      <c r="I18" s="33">
        <f>'10'!I36</f>
        <v>0.96208333333333329</v>
      </c>
      <c r="J18" s="33">
        <f>'10'!J36</f>
        <v>0.44666666666666671</v>
      </c>
      <c r="K18" s="33">
        <f>'10'!K36</f>
        <v>285.39708333333328</v>
      </c>
      <c r="L18" s="33">
        <f>'10'!L36</f>
        <v>25.63666666666666</v>
      </c>
      <c r="M18" s="33">
        <f>'10'!M36</f>
        <v>46.326250000000009</v>
      </c>
      <c r="N18" s="33">
        <f>'10'!N36</f>
        <v>189.42499999999995</v>
      </c>
      <c r="O18" s="33">
        <f>'10'!O36</f>
        <v>0</v>
      </c>
      <c r="P18" s="30">
        <f>'10'!$P$36</f>
        <v>1.6941666666666666</v>
      </c>
      <c r="Q18" s="33">
        <f>'10'!Q36</f>
        <v>23.290416666666669</v>
      </c>
      <c r="R18" s="49"/>
      <c r="S18" s="49"/>
      <c r="T18" s="49"/>
      <c r="U18" s="49"/>
    </row>
    <row r="19" spans="1:21" s="34" customFormat="1" ht="15">
      <c r="A19" s="36" t="str">
        <f>'11'!$B$2</f>
        <v>11-02-2023 01:00</v>
      </c>
      <c r="B19" s="33">
        <f>'11'!B36</f>
        <v>24.86333333333333</v>
      </c>
      <c r="C19" s="33">
        <f>'11'!C36</f>
        <v>91.170000000000002</v>
      </c>
      <c r="D19" s="33">
        <f>'11'!D36</f>
        <v>70.082916666666677</v>
      </c>
      <c r="E19" s="33">
        <f>'11'!E36</f>
        <v>7.7637500000000017</v>
      </c>
      <c r="F19" s="33">
        <f>'11'!F36</f>
        <v>6.4645833333333336</v>
      </c>
      <c r="G19" s="33">
        <f>'11'!G36</f>
        <v>66.496666666666655</v>
      </c>
      <c r="H19" s="33">
        <f>'11'!H36</f>
        <v>28.517083333333328</v>
      </c>
      <c r="I19" s="33">
        <f>'11'!I36</f>
        <v>0.70749999999999991</v>
      </c>
      <c r="J19" s="33">
        <f>'11'!J36</f>
        <v>0.5625</v>
      </c>
      <c r="K19" s="33">
        <f>'11'!K36</f>
        <v>277.19041666666664</v>
      </c>
      <c r="L19" s="33">
        <f>'11'!L36</f>
        <v>27.128333333333334</v>
      </c>
      <c r="M19" s="33">
        <f>'11'!M36</f>
        <v>36.985833333333332</v>
      </c>
      <c r="N19" s="33">
        <f>'11'!N36</f>
        <v>189.20000000000002</v>
      </c>
      <c r="O19" s="33">
        <f>'11'!O36</f>
        <v>0</v>
      </c>
      <c r="P19" s="33">
        <f>'11'!P36</f>
        <v>1.1658333333333333</v>
      </c>
      <c r="Q19" s="33">
        <f>'11'!Q36</f>
        <v>28.279166666666669</v>
      </c>
      <c r="R19" s="49"/>
      <c r="S19" s="49"/>
      <c r="T19" s="49"/>
      <c r="U19" s="49"/>
    </row>
    <row r="20" spans="1:21" s="34" customFormat="1" ht="15">
      <c r="A20" s="36" t="str">
        <f>'12'!$B$2</f>
        <v>12-02-2023 01:00</v>
      </c>
      <c r="B20" s="33">
        <f>'12'!B36</f>
        <v>19.899166666666666</v>
      </c>
      <c r="C20" s="33">
        <f>'12'!C36</f>
        <v>90.140833333333333</v>
      </c>
      <c r="D20" s="33">
        <f>'12'!D36</f>
        <v>65.637083333333337</v>
      </c>
      <c r="E20" s="33">
        <f>'12'!E36</f>
        <v>9.1795833333333352</v>
      </c>
      <c r="F20" s="33">
        <f>'12'!F36</f>
        <v>6.2970833333333331</v>
      </c>
      <c r="G20" s="33">
        <f>'12'!G36</f>
        <v>83.547083333333333</v>
      </c>
      <c r="H20" s="33">
        <f>'12'!H36</f>
        <v>32.291666666666664</v>
      </c>
      <c r="I20" s="33">
        <f>'12'!I36</f>
        <v>0.6775000000000001</v>
      </c>
      <c r="J20" s="33">
        <f>'12'!J36</f>
        <v>1.0041666666666667</v>
      </c>
      <c r="K20" s="33">
        <f>'12'!K36</f>
        <v>239.1670833333333</v>
      </c>
      <c r="L20" s="33">
        <f>'12'!L36</f>
        <v>26.237500000000001</v>
      </c>
      <c r="M20" s="33">
        <f>'12'!M36</f>
        <v>36.246249999999996</v>
      </c>
      <c r="N20" s="33">
        <f>'12'!N36</f>
        <v>187.48333333333335</v>
      </c>
      <c r="O20" s="33">
        <f>'12'!O36</f>
        <v>0</v>
      </c>
      <c r="P20" s="33">
        <f>'12'!P36</f>
        <v>1.0908333333333333</v>
      </c>
      <c r="Q20" s="33">
        <f>'12'!Q36</f>
        <v>27.74958333333333</v>
      </c>
      <c r="R20" s="49"/>
      <c r="S20" s="49"/>
      <c r="T20" s="49"/>
      <c r="U20" s="49"/>
    </row>
    <row r="21" spans="1:21" s="34" customFormat="1" ht="15">
      <c r="A21" s="36" t="str">
        <f>'13'!$B$2</f>
        <v>13-02-2023 01:00</v>
      </c>
      <c r="B21" s="33">
        <f>'13'!B36</f>
        <v>16.745000000000001</v>
      </c>
      <c r="C21" s="33">
        <f>'13'!C36</f>
        <v>84.676249999999996</v>
      </c>
      <c r="D21" s="33">
        <f>'13'!D36</f>
        <v>60.023749999999986</v>
      </c>
      <c r="E21" s="33">
        <f>'13'!E36</f>
        <v>7.4458333333333329</v>
      </c>
      <c r="F21" s="33">
        <f>'13'!F36</f>
        <v>5.5612499999999985</v>
      </c>
      <c r="G21" s="33">
        <f>'13'!G36</f>
        <v>72.702500000000015</v>
      </c>
      <c r="H21" s="33">
        <f>'13'!H36</f>
        <v>32.150000000000013</v>
      </c>
      <c r="I21" s="33">
        <f>'13'!I36</f>
        <v>0.63833333333333353</v>
      </c>
      <c r="J21" s="33">
        <f>'13'!J36</f>
        <v>0.74124999999999996</v>
      </c>
      <c r="K21" s="33">
        <f>'13'!K36</f>
        <v>245.37916666666672</v>
      </c>
      <c r="L21" s="33">
        <f>'13'!L36</f>
        <v>24.606249999999999</v>
      </c>
      <c r="M21" s="33">
        <f>'13'!M36</f>
        <v>29.986666666666675</v>
      </c>
      <c r="N21" s="33">
        <f>'13'!N36</f>
        <v>202.21249999999998</v>
      </c>
      <c r="O21" s="33">
        <f>'13'!O36</f>
        <v>0</v>
      </c>
      <c r="P21" s="33">
        <f>'13'!P36</f>
        <v>1.0204166666666663</v>
      </c>
      <c r="Q21" s="33">
        <f>'13'!Q36</f>
        <v>25.439583333333335</v>
      </c>
      <c r="R21" s="49"/>
      <c r="S21" s="49"/>
      <c r="T21" s="49"/>
      <c r="U21" s="49"/>
    </row>
    <row r="22" spans="1:21" s="34" customFormat="1" ht="15">
      <c r="A22" s="36" t="str">
        <f>'14'!$B$2</f>
        <v>14-02-2023 01:00</v>
      </c>
      <c r="B22" s="30">
        <f>'14'!B36</f>
        <v>22.797499999999999</v>
      </c>
      <c r="C22" s="30">
        <f>'14'!C36</f>
        <v>90.636666666666656</v>
      </c>
      <c r="D22" s="30">
        <f>'14'!D36</f>
        <v>68.24166666666666</v>
      </c>
      <c r="E22" s="30">
        <f>'14'!E36</f>
        <v>15.968749999999998</v>
      </c>
      <c r="F22" s="30">
        <f>'14'!F36</f>
        <v>8.8829166666666666</v>
      </c>
      <c r="G22" s="30">
        <f>'14'!G36</f>
        <v>90.864166666666677</v>
      </c>
      <c r="H22" s="30">
        <f>'14'!H36</f>
        <v>32.168333333333344</v>
      </c>
      <c r="I22" s="30">
        <f>'14'!I36</f>
        <v>0.66666666666666685</v>
      </c>
      <c r="J22" s="30">
        <f>'14'!J36</f>
        <v>0.63833333333333331</v>
      </c>
      <c r="K22" s="30">
        <f>'14'!K36</f>
        <v>256.36916666666667</v>
      </c>
      <c r="L22" s="30">
        <f>'14'!L36</f>
        <v>24.103333333333339</v>
      </c>
      <c r="M22" s="30">
        <f>'14'!M36</f>
        <v>29.16416666666667</v>
      </c>
      <c r="N22" s="30">
        <f>'14'!N36</f>
        <v>188.83750000000001</v>
      </c>
      <c r="O22" s="30">
        <f>'14'!O36</f>
        <v>0</v>
      </c>
      <c r="P22" s="30">
        <f>'14'!P36</f>
        <v>1.10375</v>
      </c>
      <c r="Q22" s="30">
        <f>'14'!Q36</f>
        <v>23.300000000000001</v>
      </c>
      <c r="R22" s="50"/>
      <c r="S22" s="50"/>
      <c r="T22" s="50"/>
      <c r="U22" s="50"/>
    </row>
    <row r="23" spans="1:21" s="34" customFormat="1" ht="15">
      <c r="A23" s="36" t="str">
        <f>'15'!$B$2</f>
        <v>15-02-2023 01:00</v>
      </c>
      <c r="B23" s="33">
        <f>'15'!B36</f>
        <v>26.984166666666663</v>
      </c>
      <c r="C23" s="33">
        <f>'15'!C36</f>
        <v>102.38916666666667</v>
      </c>
      <c r="D23" s="33">
        <f>'15'!D36</f>
        <v>77.794166666666669</v>
      </c>
      <c r="E23" s="33">
        <f>'15'!E36</f>
        <v>9.0733333333333324</v>
      </c>
      <c r="F23" s="33">
        <f>'15'!F36</f>
        <v>6.3116666666666648</v>
      </c>
      <c r="G23" s="33">
        <f>'15'!G36</f>
        <v>94.55291666666669</v>
      </c>
      <c r="H23" s="33">
        <f>'15'!H36</f>
        <v>37.322916666666679</v>
      </c>
      <c r="I23" s="33">
        <f>'15'!I36</f>
        <v>0.75666666666666682</v>
      </c>
      <c r="J23" s="33">
        <f>'15'!J36</f>
        <v>0.67125000000000001</v>
      </c>
      <c r="K23" s="33">
        <f>'15'!K36</f>
        <v>241.28291666666664</v>
      </c>
      <c r="L23" s="33">
        <f>'15'!L36</f>
        <v>25.947916666666661</v>
      </c>
      <c r="M23" s="33">
        <f>'15'!M36</f>
        <v>33.196666666666673</v>
      </c>
      <c r="N23" s="33">
        <f>'15'!N36</f>
        <v>182.29166666666666</v>
      </c>
      <c r="O23" s="33">
        <f>'15'!O36</f>
        <v>0</v>
      </c>
      <c r="P23" s="30">
        <f>'15'!P36</f>
        <v>1.3229166666666667</v>
      </c>
      <c r="Q23" s="30">
        <f>'15'!Q36</f>
        <v>28.895</v>
      </c>
      <c r="R23" s="50"/>
      <c r="S23" s="50"/>
      <c r="T23" s="50"/>
      <c r="U23" s="49"/>
    </row>
    <row r="24" spans="1:21" s="34" customFormat="1" ht="15">
      <c r="A24" s="36" t="str">
        <f>'16'!$B$2</f>
        <v>16-02-2023 01:00</v>
      </c>
      <c r="B24" s="33">
        <f>'16'!B36</f>
        <v>26.702500000000004</v>
      </c>
      <c r="C24" s="33">
        <f>'16'!C36</f>
        <v>95.553750000000022</v>
      </c>
      <c r="D24" s="33">
        <f>'16'!D36</f>
        <v>73.924166666666665</v>
      </c>
      <c r="E24" s="33">
        <f>'16'!E36</f>
        <v>7.6043478260869568</v>
      </c>
      <c r="F24" s="33">
        <f>'16'!F36</f>
        <v>5.345416666666666</v>
      </c>
      <c r="G24" s="33">
        <f>'16'!G36</f>
        <v>109.82826086956523</v>
      </c>
      <c r="H24" s="33">
        <f>'16'!H36</f>
        <v>43.081739130434769</v>
      </c>
      <c r="I24" s="33">
        <f>'16'!I36</f>
        <v>0.70124999999999982</v>
      </c>
      <c r="J24" s="33">
        <f>'16'!J36</f>
        <v>0.82541666666666691</v>
      </c>
      <c r="K24" s="33">
        <f>'16'!K36</f>
        <v>224.94250000000008</v>
      </c>
      <c r="L24" s="33">
        <f>'16'!L36</f>
        <v>27.02416666666667</v>
      </c>
      <c r="M24" s="33">
        <f>'16'!M36</f>
        <v>36.211666666666666</v>
      </c>
      <c r="N24" s="33">
        <f>'16'!N36</f>
        <v>184.7208333333333</v>
      </c>
      <c r="O24" s="33">
        <f>'16'!O36</f>
        <v>0</v>
      </c>
      <c r="P24" s="30">
        <f>'16'!P36</f>
        <v>1.2537499999999999</v>
      </c>
      <c r="Q24" s="30">
        <f>'16'!Q36</f>
        <v>26.522083333333338</v>
      </c>
      <c r="R24" s="50"/>
      <c r="S24" s="50"/>
      <c r="T24" s="50"/>
      <c r="U24" s="49"/>
    </row>
    <row r="25" spans="1:21" s="34" customFormat="1" ht="15">
      <c r="A25" s="36" t="str">
        <f>'17'!$B$2</f>
        <v>17-02-2023 01:00</v>
      </c>
      <c r="B25" s="33">
        <f>'17'!B36</f>
        <v>15.340833333333331</v>
      </c>
      <c r="C25" s="33">
        <f>'17'!C36</f>
        <v>108.11874999999998</v>
      </c>
      <c r="D25" s="33">
        <f>'17'!D36</f>
        <v>71.580833333333331</v>
      </c>
      <c r="E25" s="33">
        <f>'17'!E36</f>
        <v>9.5133333333333319</v>
      </c>
      <c r="F25" s="33">
        <f>'17'!F36</f>
        <v>4.3212500000000009</v>
      </c>
      <c r="G25" s="33">
        <f>'17'!G36</f>
        <v>111.86000000000001</v>
      </c>
      <c r="H25" s="33">
        <f>'17'!H36</f>
        <v>44.264583333333327</v>
      </c>
      <c r="I25" s="33">
        <f>'17'!I36</f>
        <v>0.74791666666666645</v>
      </c>
      <c r="J25" s="33">
        <f>'17'!J36</f>
        <v>0.7895833333333333</v>
      </c>
      <c r="K25" s="33">
        <f>'17'!K36</f>
        <v>168.47958333333332</v>
      </c>
      <c r="L25" s="33">
        <f>'17'!L36</f>
        <v>26.320000000000004</v>
      </c>
      <c r="M25" s="33">
        <f>'17'!M36</f>
        <v>39.309166666666663</v>
      </c>
      <c r="N25" s="33">
        <f>'17'!N36</f>
        <v>176.98333333333335</v>
      </c>
      <c r="O25" s="33">
        <f>'17'!O36</f>
        <v>0</v>
      </c>
      <c r="P25" s="30">
        <f>'17'!P36</f>
        <v>1.5816666666666663</v>
      </c>
      <c r="Q25" s="30">
        <f>'17'!Q36</f>
        <v>29.181666666666661</v>
      </c>
      <c r="R25" s="50"/>
      <c r="S25" s="50"/>
      <c r="T25" s="50"/>
      <c r="U25" s="49"/>
    </row>
    <row r="26" spans="1:21" s="34" customFormat="1" ht="15">
      <c r="A26" s="36" t="str">
        <f>'18'!$B$2</f>
        <v>18-02-2023 01:00</v>
      </c>
      <c r="B26" s="33">
        <f>'18'!B36</f>
        <v>10.787916666666668</v>
      </c>
      <c r="C26" s="33">
        <f>'18'!C36</f>
        <v>98.155000000000015</v>
      </c>
      <c r="D26" s="33">
        <f>'18'!D36</f>
        <v>62.587916666666672</v>
      </c>
      <c r="E26" s="33">
        <f>'18'!E36</f>
        <v>13.031250000000002</v>
      </c>
      <c r="F26" s="33">
        <f>'18'!F36</f>
        <v>11.212083333333332</v>
      </c>
      <c r="G26" s="33">
        <f>'18'!G36</f>
        <v>115.85458333333331</v>
      </c>
      <c r="H26" s="33">
        <f>'18'!H36</f>
        <v>57.759583333333325</v>
      </c>
      <c r="I26" s="33">
        <f>'18'!I36</f>
        <v>0.78333333333333333</v>
      </c>
      <c r="J26" s="33">
        <f>'18'!J36</f>
        <v>0.7666666666666665</v>
      </c>
      <c r="K26" s="33">
        <f>'18'!K36</f>
        <v>123.82041666666667</v>
      </c>
      <c r="L26" s="33">
        <f>'18'!L36</f>
        <v>26.239583333333339</v>
      </c>
      <c r="M26" s="33">
        <f>'18'!M36</f>
        <v>43.525416666666665</v>
      </c>
      <c r="N26" s="33">
        <f>'18'!N36</f>
        <v>170.92499999999998</v>
      </c>
      <c r="O26" s="33">
        <f>'18'!O36</f>
        <v>0</v>
      </c>
      <c r="P26" s="30">
        <f>'18'!P36</f>
        <v>1.7804166666666668</v>
      </c>
      <c r="Q26" s="30">
        <f>'18'!Q36</f>
        <v>27.750416666666663</v>
      </c>
      <c r="R26" s="50"/>
      <c r="S26" s="50"/>
      <c r="T26" s="50"/>
      <c r="U26" s="49"/>
    </row>
    <row r="27" spans="1:21" s="34" customFormat="1" ht="15">
      <c r="A27" s="36" t="str">
        <f>'19'!$B$2</f>
        <v>19-02-2023 01:00</v>
      </c>
      <c r="B27" s="33">
        <f>'19'!B36</f>
        <v>28.473333333333333</v>
      </c>
      <c r="C27" s="33">
        <f>'19'!C36</f>
        <v>113.46749999999999</v>
      </c>
      <c r="D27" s="33">
        <f>'19'!D36</f>
        <v>85.286249999999981</v>
      </c>
      <c r="E27" s="33">
        <f>'19'!E36</f>
        <v>7.6354166666666652</v>
      </c>
      <c r="F27" s="33">
        <f>'19'!F36</f>
        <v>7.015833333333334</v>
      </c>
      <c r="G27" s="33">
        <f>'19'!G36</f>
        <v>142.83130434782612</v>
      </c>
      <c r="H27" s="33">
        <f>'19'!H36</f>
        <v>76.919166666666669</v>
      </c>
      <c r="I27" s="33">
        <f>'19'!I36</f>
        <v>0.98708333333333342</v>
      </c>
      <c r="J27" s="33">
        <f>'19'!J36</f>
        <v>0.49166666666666675</v>
      </c>
      <c r="K27" s="33">
        <f>'19'!K36</f>
        <v>244.06791666666663</v>
      </c>
      <c r="L27" s="33">
        <f>'19'!L36</f>
        <v>26.71416666666666</v>
      </c>
      <c r="M27" s="33">
        <f>'19'!M36</f>
        <v>50.964583333333344</v>
      </c>
      <c r="N27" s="33">
        <f>'19'!N36</f>
        <v>165.40000000000001</v>
      </c>
      <c r="O27" s="33">
        <f>'19'!O36</f>
        <v>0</v>
      </c>
      <c r="P27" s="30">
        <f>'19'!P36</f>
        <v>2.2708333333333339</v>
      </c>
      <c r="Q27" s="30">
        <f>'19'!Q36</f>
        <v>33.662916666666668</v>
      </c>
      <c r="R27" s="50"/>
      <c r="S27" s="50"/>
      <c r="T27" s="50"/>
      <c r="U27" s="49"/>
    </row>
    <row r="28" spans="1:21" s="34" customFormat="1" ht="15">
      <c r="A28" s="36" t="str">
        <f>'20'!$B$2</f>
        <v>20-02-2023 01:00</v>
      </c>
      <c r="B28" s="33">
        <f>'20'!B36</f>
        <v>50.00416666666667</v>
      </c>
      <c r="C28" s="33">
        <f>'20'!C36</f>
        <v>111.96291666666667</v>
      </c>
      <c r="D28" s="33">
        <f>'20'!D36</f>
        <v>101.65125000000002</v>
      </c>
      <c r="E28" s="33">
        <f>'20'!E36</f>
        <v>6.3745833333333328</v>
      </c>
      <c r="F28" s="33">
        <f>'20'!F36</f>
        <v>8.2679166666666681</v>
      </c>
      <c r="G28" s="33">
        <f>'20'!G36</f>
        <v>120.35375000000001</v>
      </c>
      <c r="H28" s="33">
        <f>'20'!H36</f>
        <v>51.207083333333337</v>
      </c>
      <c r="I28" s="33">
        <f>'20'!I36</f>
        <v>0.85875000000000012</v>
      </c>
      <c r="J28" s="33">
        <f>'20'!J36</f>
        <v>0.58374999999999999</v>
      </c>
      <c r="K28" s="33">
        <f>'20'!K36</f>
        <v>243.48875000000001</v>
      </c>
      <c r="L28" s="33">
        <f>'20'!L36</f>
        <v>27.311666666666671</v>
      </c>
      <c r="M28" s="33">
        <f>'20'!M36</f>
        <v>41.211666666666673</v>
      </c>
      <c r="N28" s="33">
        <f>'20'!N36</f>
        <v>180.92083333333332</v>
      </c>
      <c r="O28" s="33">
        <f>'20'!O36</f>
        <v>0</v>
      </c>
      <c r="P28" s="30">
        <f>'20'!P36</f>
        <v>1.6691666666666665</v>
      </c>
      <c r="Q28" s="30">
        <f>'20'!Q36</f>
        <v>30.673333333333332</v>
      </c>
      <c r="R28" s="50"/>
      <c r="S28" s="50"/>
      <c r="T28" s="50"/>
      <c r="U28" s="49"/>
    </row>
    <row r="29" spans="1:21" s="34" customFormat="1" ht="15">
      <c r="A29" s="36" t="str">
        <f>'21'!$B$2</f>
        <v>21-02-2023 01:00</v>
      </c>
      <c r="B29" s="33">
        <f>'21'!B36</f>
        <v>83.177083333333314</v>
      </c>
      <c r="C29" s="33">
        <f>'21'!C36</f>
        <v>110.48958333333333</v>
      </c>
      <c r="D29" s="33">
        <f>'21'!D36</f>
        <v>127.25333333333332</v>
      </c>
      <c r="E29" s="33">
        <f>'21'!E36</f>
        <v>15.150833333333329</v>
      </c>
      <c r="F29" s="33">
        <f>'21'!F36</f>
        <v>21.152916666666666</v>
      </c>
      <c r="G29" s="33">
        <f>'21'!G36</f>
        <v>126.0465217391304</v>
      </c>
      <c r="H29" s="33">
        <f>'21'!H36</f>
        <v>48.448695652173917</v>
      </c>
      <c r="I29" s="33">
        <f>'21'!I36</f>
        <v>0.86541666666666661</v>
      </c>
      <c r="J29" s="33">
        <f>'21'!J36</f>
        <v>0.37291666666666662</v>
      </c>
      <c r="K29" s="33">
        <f>'21'!K36</f>
        <v>306.98250000000002</v>
      </c>
      <c r="L29" s="33">
        <f>'21'!L36</f>
        <v>27.097916666666674</v>
      </c>
      <c r="M29" s="33">
        <f>'21'!M36</f>
        <v>42.661666666666662</v>
      </c>
      <c r="N29" s="33">
        <f>'21'!N36</f>
        <v>186.3458333333333</v>
      </c>
      <c r="O29" s="33">
        <f>'21'!O36</f>
        <v>0</v>
      </c>
      <c r="P29" s="30">
        <f>'21'!P36</f>
        <v>1.7321739130434781</v>
      </c>
      <c r="Q29" s="30">
        <f>'21'!Q36</f>
        <v>25.277916666666659</v>
      </c>
      <c r="R29" s="50"/>
      <c r="S29" s="50"/>
      <c r="T29" s="50"/>
      <c r="U29" s="49"/>
    </row>
    <row r="30" spans="1:21" s="34" customFormat="1" ht="15">
      <c r="A30" s="36" t="str">
        <f>'22'!$B$2</f>
        <v>22-02-2023 01:00</v>
      </c>
      <c r="B30" s="33">
        <f>'22'!B36</f>
        <v>53.665833333333346</v>
      </c>
      <c r="C30" s="33">
        <f>'22'!C36</f>
        <v>105.37499999999999</v>
      </c>
      <c r="D30" s="33">
        <f>'22'!D36</f>
        <v>100.83833333333332</v>
      </c>
      <c r="E30" s="33">
        <f>'22'!E36</f>
        <v>7.7283333333333344</v>
      </c>
      <c r="F30" s="33">
        <f>'22'!F36</f>
        <v>5.4699999999999998</v>
      </c>
      <c r="G30" s="33">
        <f>'22'!G36</f>
        <v>91.920833333333334</v>
      </c>
      <c r="H30" s="33">
        <f>'22'!H36</f>
        <v>40.241666666666667</v>
      </c>
      <c r="I30" s="33">
        <f>'22'!I36</f>
        <v>0.79041666666666666</v>
      </c>
      <c r="J30" s="33">
        <f>'22'!J36</f>
        <v>0.57125000000000004</v>
      </c>
      <c r="K30" s="33">
        <f>'22'!K36</f>
        <v>304.02541666666667</v>
      </c>
      <c r="L30" s="33">
        <f>'22'!L36</f>
        <v>27.69875</v>
      </c>
      <c r="M30" s="33">
        <f>'22'!M36</f>
        <v>40.016666666666659</v>
      </c>
      <c r="N30" s="33">
        <f>'22'!N36</f>
        <v>182.4083333333333</v>
      </c>
      <c r="O30" s="33">
        <f>'22'!O36</f>
        <v>0</v>
      </c>
      <c r="P30" s="30">
        <f>'22'!P36</f>
        <v>1.5291666666666666</v>
      </c>
      <c r="Q30" s="30">
        <f>'22'!Q36</f>
        <v>27.512500000000003</v>
      </c>
      <c r="R30" s="50"/>
      <c r="S30" s="49"/>
      <c r="T30" s="49"/>
      <c r="U30" s="49"/>
    </row>
    <row r="31" spans="1:21" s="34" customFormat="1" ht="15">
      <c r="A31" s="36" t="str">
        <f>'23'!$B$2</f>
        <v>23-02-2023 01:00</v>
      </c>
      <c r="B31" s="33">
        <f>'23'!B36</f>
        <v>50.179583333333333</v>
      </c>
      <c r="C31" s="33">
        <f>'23'!C36</f>
        <v>108.54374999999999</v>
      </c>
      <c r="D31" s="33">
        <f>'23'!D36</f>
        <v>99.705416666666679</v>
      </c>
      <c r="E31" s="33">
        <f>'23'!E36</f>
        <v>4.737916666666667</v>
      </c>
      <c r="F31" s="33">
        <f>'23'!F36</f>
        <v>1.8978260869565213</v>
      </c>
      <c r="G31" s="33">
        <f>'23'!G36</f>
        <v>91.222499999999982</v>
      </c>
      <c r="H31" s="33">
        <f>'23'!H36</f>
        <v>36.822083333333325</v>
      </c>
      <c r="I31" s="33">
        <f>'23'!I36</f>
        <v>0.77875000000000005</v>
      </c>
      <c r="J31" s="33">
        <f>'23'!J36</f>
        <v>0.57874999999999999</v>
      </c>
      <c r="K31" s="33">
        <f>'23'!K36</f>
        <v>309.19499999999994</v>
      </c>
      <c r="L31" s="33">
        <f>'23'!L36</f>
        <v>27.858750000000001</v>
      </c>
      <c r="M31" s="33">
        <f>'23'!M36</f>
        <v>37.304583333333341</v>
      </c>
      <c r="N31" s="33">
        <f>'23'!N36</f>
        <v>188.54999999999995</v>
      </c>
      <c r="O31" s="33">
        <f>'23'!O36</f>
        <v>0</v>
      </c>
      <c r="P31" s="33">
        <f>'23'!P36</f>
        <v>1.3291666666666664</v>
      </c>
      <c r="Q31" s="33">
        <f>'23'!Q36</f>
        <v>29.642916666666668</v>
      </c>
      <c r="R31" s="49"/>
      <c r="S31" s="49"/>
      <c r="T31" s="49"/>
      <c r="U31" s="49"/>
    </row>
    <row r="32" spans="1:21" s="34" customFormat="1" ht="15">
      <c r="A32" s="36" t="str">
        <f>'24'!$B$2</f>
        <v>24-02-2023 01:00</v>
      </c>
      <c r="B32" s="33">
        <f>'24'!B36</f>
        <v>55.922916666666652</v>
      </c>
      <c r="C32" s="33">
        <f>'24'!C36</f>
        <v>112.39375</v>
      </c>
      <c r="D32" s="33">
        <f>'24'!D36</f>
        <v>106.21708333333333</v>
      </c>
      <c r="E32" s="33">
        <f>'24'!E36</f>
        <v>6.8266666666666689</v>
      </c>
      <c r="F32" s="33">
        <f>'24'!F36</f>
        <v>6.831818181818182</v>
      </c>
      <c r="G32" s="33">
        <f>'24'!G36</f>
        <v>107.95583333333333</v>
      </c>
      <c r="H32" s="33">
        <f>'24'!H36</f>
        <v>39.043333333333344</v>
      </c>
      <c r="I32" s="33">
        <f>'24'!I36</f>
        <v>0.83958333333333346</v>
      </c>
      <c r="J32" s="33">
        <f>'24'!J36</f>
        <v>0.63</v>
      </c>
      <c r="K32" s="33">
        <f>'24'!K36</f>
        <v>216.94833333333338</v>
      </c>
      <c r="L32" s="33">
        <f>'24'!L36</f>
        <v>27.830833333333327</v>
      </c>
      <c r="M32" s="33">
        <f>'24'!M36</f>
        <v>40.250000000000007</v>
      </c>
      <c r="N32" s="33">
        <f>'24'!N36</f>
        <v>181.61250000000004</v>
      </c>
      <c r="O32" s="33">
        <f>'24'!O36</f>
        <v>0</v>
      </c>
      <c r="P32" s="33">
        <f>'24'!P36</f>
        <v>1.3541666666666667</v>
      </c>
      <c r="Q32" s="33">
        <f>'24'!Q36</f>
        <v>31.737499999999994</v>
      </c>
      <c r="R32" s="49"/>
      <c r="S32" s="49"/>
      <c r="T32" s="49"/>
      <c r="U32" s="49"/>
    </row>
    <row r="33" spans="1:21" s="34" customFormat="1" ht="15">
      <c r="A33" s="36" t="str">
        <f>'25'!$B$2</f>
        <v>25-02-2023 01:00</v>
      </c>
      <c r="B33" s="33">
        <f>'25'!B36</f>
        <v>47.562083333333334</v>
      </c>
      <c r="C33" s="33">
        <f>'25'!C36</f>
        <v>101.96666666666665</v>
      </c>
      <c r="D33" s="33">
        <f>'25'!D36</f>
        <v>94.001666666666665</v>
      </c>
      <c r="E33" s="33">
        <f>'25'!E36</f>
        <v>13.579583333333337</v>
      </c>
      <c r="F33" s="33">
        <f>'25'!F36</f>
        <v>15.708333333333334</v>
      </c>
      <c r="G33" s="33">
        <f>'25'!G36</f>
        <v>103.49250000000002</v>
      </c>
      <c r="H33" s="33">
        <f>'25'!H36</f>
        <v>42.658749999999991</v>
      </c>
      <c r="I33" s="33">
        <f>'25'!I36</f>
        <v>0.81166666666666665</v>
      </c>
      <c r="J33" s="33">
        <f>'25'!J36</f>
        <v>0.84291666666666698</v>
      </c>
      <c r="K33" s="33">
        <f>'25'!K36</f>
        <v>173.65625</v>
      </c>
      <c r="L33" s="33">
        <f>'25'!L36</f>
        <v>27.717916666666667</v>
      </c>
      <c r="M33" s="33">
        <f>'25'!M36</f>
        <v>36.378333333333323</v>
      </c>
      <c r="N33" s="33">
        <f>'25'!N36</f>
        <v>181.35416666666671</v>
      </c>
      <c r="O33" s="33">
        <f>'25'!O36</f>
        <v>0</v>
      </c>
      <c r="P33" s="33">
        <f>'25'!P36</f>
        <v>1.4416666666666673</v>
      </c>
      <c r="Q33" s="33">
        <f>'25'!Q36</f>
        <v>27.010000000000002</v>
      </c>
      <c r="R33" s="49"/>
      <c r="S33" s="49"/>
      <c r="T33" s="49"/>
      <c r="U33" s="49"/>
    </row>
    <row r="34" spans="1:21" s="34" customFormat="1" ht="15">
      <c r="A34" s="36" t="str">
        <f>'26'!$B$2</f>
        <v>26-02-2023 01:00</v>
      </c>
      <c r="B34" s="33">
        <f>'26'!B36</f>
        <v>54.681666666666665</v>
      </c>
      <c r="C34" s="33">
        <f>'26'!C36</f>
        <v>112.81041666666665</v>
      </c>
      <c r="D34" s="33">
        <f>'26'!D36</f>
        <v>105.5070833333333</v>
      </c>
      <c r="E34" s="33">
        <f>'26'!E36</f>
        <v>8.4170833333333324</v>
      </c>
      <c r="F34" s="33">
        <f>'26'!F36</f>
        <v>9.8829166666666648</v>
      </c>
      <c r="G34" s="33">
        <f>'26'!G36</f>
        <v>128.93041666666673</v>
      </c>
      <c r="H34" s="33">
        <f>'26'!H36</f>
        <v>52.070833333333333</v>
      </c>
      <c r="I34" s="33">
        <f>'26'!I36</f>
        <v>0.99458333333333326</v>
      </c>
      <c r="J34" s="33">
        <f>'26'!J36</f>
        <v>0.5904166666666667</v>
      </c>
      <c r="K34" s="33">
        <f>'26'!K36</f>
        <v>198.47083333333339</v>
      </c>
      <c r="L34" s="33">
        <f>'26'!L36</f>
        <v>28.124166666666667</v>
      </c>
      <c r="M34" s="33">
        <f>'26'!M36</f>
        <v>35.807916666666664</v>
      </c>
      <c r="N34" s="33">
        <f>'26'!N36</f>
        <v>170.01666666666668</v>
      </c>
      <c r="O34" s="33">
        <f>'26'!O36</f>
        <v>0</v>
      </c>
      <c r="P34" s="33">
        <f>'26'!P36</f>
        <v>1.9475000000000005</v>
      </c>
      <c r="Q34" s="33">
        <f>'26'!Q36</f>
        <v>30.925833333333333</v>
      </c>
      <c r="R34" s="49"/>
      <c r="S34" s="49"/>
      <c r="T34" s="49"/>
      <c r="U34" s="49"/>
    </row>
    <row r="35" spans="1:21" s="34" customFormat="1" ht="15">
      <c r="A35" s="36" t="str">
        <f>'27'!$B$2</f>
        <v>27-02-2023 01:00</v>
      </c>
      <c r="B35" s="33">
        <f>'27'!B36</f>
        <v>28.357916666666657</v>
      </c>
      <c r="C35" s="33">
        <f>'27'!C36</f>
        <v>114.51333333333332</v>
      </c>
      <c r="D35" s="33">
        <f>'27'!D36</f>
        <v>85.421250000000001</v>
      </c>
      <c r="E35" s="33">
        <f>'27'!E36</f>
        <v>11.341250000000002</v>
      </c>
      <c r="F35" s="33">
        <f>'27'!F36</f>
        <v>13.250416666666665</v>
      </c>
      <c r="G35" s="33">
        <f>'27'!G36</f>
        <v>107.21749999999999</v>
      </c>
      <c r="H35" s="33">
        <f>'27'!H36</f>
        <v>44.100416666666668</v>
      </c>
      <c r="I35" s="33">
        <f>'27'!I36</f>
        <v>0.81208333333333327</v>
      </c>
      <c r="J35" s="33">
        <f>'27'!J36</f>
        <v>0.64708333333333334</v>
      </c>
      <c r="K35" s="33">
        <f>'27'!K36</f>
        <v>229.47291666666669</v>
      </c>
      <c r="L35" s="33">
        <f>'27'!L36</f>
        <v>27.907083333333336</v>
      </c>
      <c r="M35" s="33">
        <f>'27'!M36</f>
        <v>37.502916666666671</v>
      </c>
      <c r="N35" s="33">
        <f>'27'!N36</f>
        <v>162.89166666666668</v>
      </c>
      <c r="O35" s="33">
        <f>'27'!O36</f>
        <v>0</v>
      </c>
      <c r="P35" s="30">
        <f>'27'!P36</f>
        <v>1.5745833333333332</v>
      </c>
      <c r="Q35" s="33">
        <f>'27'!Q36</f>
        <v>27.768750000000001</v>
      </c>
      <c r="R35" s="49"/>
      <c r="S35" s="49"/>
      <c r="T35" s="49"/>
      <c r="U35" s="49"/>
    </row>
    <row r="36" spans="1:21" s="34" customFormat="1" ht="15">
      <c r="A36" s="36" t="str">
        <f>'28'!$B$2</f>
        <v>28-02-2023 01:00</v>
      </c>
      <c r="B36" s="33">
        <f>'28'!B36</f>
        <v>32.084166666666668</v>
      </c>
      <c r="C36" s="33">
        <f>'28'!C36</f>
        <v>108.02583333333332</v>
      </c>
      <c r="D36" s="33">
        <f>'28'!D36</f>
        <v>84.416666666666671</v>
      </c>
      <c r="E36" s="33">
        <f>'28'!E36</f>
        <v>10.585416666666665</v>
      </c>
      <c r="F36" s="33">
        <f>'28'!F36</f>
        <v>14.190000000000005</v>
      </c>
      <c r="G36" s="33">
        <f>'28'!G36</f>
        <v>143.35541666666663</v>
      </c>
      <c r="H36" s="33">
        <f>'28'!H36</f>
        <v>65.786666666666662</v>
      </c>
      <c r="I36" s="33">
        <f>'28'!I36</f>
        <v>0.84666666666666657</v>
      </c>
      <c r="J36" s="33">
        <f>'28'!J36</f>
        <v>0.49125000000000002</v>
      </c>
      <c r="K36" s="33">
        <f>'28'!K36</f>
        <v>252.87916666666672</v>
      </c>
      <c r="L36" s="33">
        <f>'28'!L36</f>
        <v>27.968750000000004</v>
      </c>
      <c r="M36" s="33">
        <f>'28'!M36</f>
        <v>43.381666666666661</v>
      </c>
      <c r="N36" s="33">
        <f>'28'!N36</f>
        <v>149.36666666666665</v>
      </c>
      <c r="O36" s="33">
        <f>'28'!O36</f>
        <v>0</v>
      </c>
      <c r="P36" s="30">
        <f>'28'!P36</f>
        <v>1.9137500000000001</v>
      </c>
      <c r="Q36" s="33">
        <f>'28'!Q36</f>
        <v>28.065833333333341</v>
      </c>
      <c r="R36" s="49"/>
      <c r="S36" s="49"/>
      <c r="T36" s="49"/>
      <c r="U36" s="49"/>
    </row>
    <row r="37" spans="2:21" ht="1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0"/>
      <c r="S37" s="20"/>
      <c r="T37" s="20"/>
      <c r="U37" s="51"/>
    </row>
    <row r="38" spans="1:21" s="21" customFormat="1" ht="15">
      <c r="A38" s="14" t="s">
        <v>30</v>
      </c>
      <c r="B38" s="15">
        <f t="shared" si="0" ref="B38:Q38">MIN(B9:B36)</f>
        <v>10.787916666666668</v>
      </c>
      <c r="C38" s="15">
        <f t="shared" si="0"/>
        <v>62.858750000000015</v>
      </c>
      <c r="D38" s="15">
        <f t="shared" si="0"/>
        <v>58.375454545454545</v>
      </c>
      <c r="E38" s="15">
        <f t="shared" si="0"/>
        <v>4.737916666666667</v>
      </c>
      <c r="F38" s="15">
        <f t="shared" si="0"/>
        <v>1.8978260869565213</v>
      </c>
      <c r="G38" s="15">
        <f t="shared" si="0"/>
        <v>66.496666666666655</v>
      </c>
      <c r="H38" s="15">
        <f t="shared" si="0"/>
        <v>28.01541666666667</v>
      </c>
      <c r="I38" s="15">
        <f t="shared" si="0"/>
        <v>0.63833333333333353</v>
      </c>
      <c r="J38" s="15">
        <f t="shared" si="0"/>
        <v>0.27958333333333335</v>
      </c>
      <c r="K38" s="15">
        <f t="shared" si="0"/>
        <v>97.357500000000016</v>
      </c>
      <c r="L38" s="15">
        <f t="shared" si="0"/>
        <v>22.659583333333334</v>
      </c>
      <c r="M38" s="15">
        <f t="shared" si="0"/>
        <v>29.16416666666667</v>
      </c>
      <c r="N38" s="15">
        <f t="shared" si="0"/>
        <v>149.36666666666665</v>
      </c>
      <c r="O38" s="15">
        <f t="shared" si="0"/>
        <v>0</v>
      </c>
      <c r="P38" s="15">
        <f t="shared" si="0"/>
        <v>1.0204166666666663</v>
      </c>
      <c r="Q38" s="15">
        <f t="shared" si="0"/>
        <v>20.072142857142861</v>
      </c>
      <c r="R38" s="28"/>
      <c r="S38" s="28"/>
      <c r="T38" s="28"/>
      <c r="U38" s="28"/>
    </row>
    <row r="39" spans="1:21" s="21" customFormat="1" ht="15">
      <c r="A39" s="14" t="s">
        <v>31</v>
      </c>
      <c r="B39" s="15">
        <f t="shared" si="1" ref="B39:Q39">MAX(B9:B36)</f>
        <v>121.38916666666665</v>
      </c>
      <c r="C39" s="15">
        <f t="shared" si="1"/>
        <v>140.82416666666668</v>
      </c>
      <c r="D39" s="15">
        <f t="shared" si="1"/>
        <v>173.56333333333339</v>
      </c>
      <c r="E39" s="15">
        <f t="shared" si="1"/>
        <v>15.968749999999998</v>
      </c>
      <c r="F39" s="15">
        <f t="shared" si="1"/>
        <v>21.152916666666666</v>
      </c>
      <c r="G39" s="15">
        <f t="shared" si="1"/>
        <v>150.86583333333331</v>
      </c>
      <c r="H39" s="15">
        <f t="shared" si="1"/>
        <v>76.919166666666669</v>
      </c>
      <c r="I39" s="15">
        <f t="shared" si="1"/>
        <v>1.3414285714285714</v>
      </c>
      <c r="J39" s="15">
        <f t="shared" si="1"/>
        <v>1.0170833333333333</v>
      </c>
      <c r="K39" s="15">
        <f t="shared" si="1"/>
        <v>311.40958333333333</v>
      </c>
      <c r="L39" s="15">
        <f t="shared" si="1"/>
        <v>28.124166666666667</v>
      </c>
      <c r="M39" s="15">
        <f t="shared" si="1"/>
        <v>50.964583333333344</v>
      </c>
      <c r="N39" s="15">
        <f t="shared" si="1"/>
        <v>244.57001364862163</v>
      </c>
      <c r="O39" s="15">
        <f t="shared" si="1"/>
        <v>0</v>
      </c>
      <c r="P39" s="15">
        <f t="shared" si="1"/>
        <v>2.2708333333333339</v>
      </c>
      <c r="Q39" s="15">
        <f t="shared" si="1"/>
        <v>38.074583333333337</v>
      </c>
      <c r="R39" s="28"/>
      <c r="S39" s="28"/>
      <c r="T39" s="28"/>
      <c r="U39" s="28"/>
    </row>
    <row r="40" spans="1:21" s="21" customFormat="1" ht="15">
      <c r="A40" s="14" t="s">
        <v>32</v>
      </c>
      <c r="B40" s="15">
        <f t="shared" si="2" ref="B40:Q40">AVERAGE(B9:B36)</f>
        <v>48.34051995106342</v>
      </c>
      <c r="C40" s="15">
        <f t="shared" si="2"/>
        <v>102.53716509034442</v>
      </c>
      <c r="D40" s="15">
        <f t="shared" si="2"/>
        <v>94.738118588838688</v>
      </c>
      <c r="E40" s="15">
        <f t="shared" si="2"/>
        <v>9.1991799393670508</v>
      </c>
      <c r="F40" s="15">
        <f t="shared" si="2"/>
        <v>8.1556312347073234</v>
      </c>
      <c r="G40" s="15">
        <f t="shared" si="2"/>
        <v>108.64347761387162</v>
      </c>
      <c r="H40" s="15">
        <f t="shared" si="2"/>
        <v>45.000423266045559</v>
      </c>
      <c r="I40" s="15">
        <f t="shared" si="2"/>
        <v>0.83208625669202607</v>
      </c>
      <c r="J40" s="15">
        <f t="shared" si="2"/>
        <v>0.61649485930735948</v>
      </c>
      <c r="K40" s="15">
        <f t="shared" si="2"/>
        <v>240.07308982683986</v>
      </c>
      <c r="L40" s="15">
        <f t="shared" si="2"/>
        <v>25.841030844155849</v>
      </c>
      <c r="M40" s="15">
        <f t="shared" si="2"/>
        <v>39.978893398268397</v>
      </c>
      <c r="N40" s="15">
        <f t="shared" si="2"/>
        <v>183.99774986297692</v>
      </c>
      <c r="O40" s="15">
        <f t="shared" si="2"/>
        <v>0</v>
      </c>
      <c r="P40" s="15">
        <f t="shared" si="2"/>
        <v>1.5790400315264448</v>
      </c>
      <c r="Q40" s="15">
        <f t="shared" si="2"/>
        <v>29.59939200680272</v>
      </c>
      <c r="R40" s="28"/>
      <c r="S40" s="28"/>
      <c r="T40" s="28"/>
      <c r="U40" s="28"/>
    </row>
    <row r="41" spans="1:21" s="21" customFormat="1" ht="15">
      <c r="A41" s="14" t="s">
        <v>38</v>
      </c>
      <c r="B41" s="15">
        <f t="shared" si="3" ref="B41:Q41">STDEV(B9:B36)</f>
        <v>28.797454350653314</v>
      </c>
      <c r="C41" s="15">
        <f t="shared" si="3"/>
        <v>17.846625451147212</v>
      </c>
      <c r="D41" s="15">
        <f t="shared" si="3"/>
        <v>29.566141185748833</v>
      </c>
      <c r="E41" s="15">
        <f t="shared" si="3"/>
        <v>2.6486106640873115</v>
      </c>
      <c r="F41" s="15">
        <f t="shared" si="3"/>
        <v>4.0519489606464161</v>
      </c>
      <c r="G41" s="15">
        <f t="shared" si="3"/>
        <v>22.078996066413215</v>
      </c>
      <c r="H41" s="15">
        <f t="shared" si="3"/>
        <v>11.446297331550753</v>
      </c>
      <c r="I41" s="15">
        <f t="shared" si="3"/>
        <v>0.16396279435536315</v>
      </c>
      <c r="J41" s="15">
        <f t="shared" si="3"/>
        <v>0.17952239029919329</v>
      </c>
      <c r="K41" s="15">
        <f t="shared" si="3"/>
        <v>57.457883654296964</v>
      </c>
      <c r="L41" s="15">
        <f t="shared" si="3"/>
        <v>1.7956279592220772</v>
      </c>
      <c r="M41" s="15">
        <f t="shared" si="3"/>
        <v>5.0949995014393936</v>
      </c>
      <c r="N41" s="15">
        <f t="shared" si="3"/>
        <v>19.604095431461818</v>
      </c>
      <c r="O41" s="15">
        <f t="shared" si="3"/>
        <v>0</v>
      </c>
      <c r="P41" s="15">
        <f t="shared" si="3"/>
        <v>0.36352975240515895</v>
      </c>
      <c r="Q41" s="15">
        <f t="shared" si="3"/>
        <v>4.2627907531305578</v>
      </c>
      <c r="R41" s="28"/>
      <c r="S41" s="28"/>
      <c r="T41" s="28"/>
      <c r="U41" s="28"/>
    </row>
    <row r="42" spans="1:21" s="21" customFormat="1" ht="15">
      <c r="A42" s="14" t="s">
        <v>33</v>
      </c>
      <c r="B42" s="12">
        <f t="shared" si="4" ref="B42:Q42">COUNT(B9:B36)</f>
        <v>28</v>
      </c>
      <c r="C42" s="12">
        <f t="shared" si="4"/>
        <v>28</v>
      </c>
      <c r="D42" s="12">
        <f t="shared" si="4"/>
        <v>28</v>
      </c>
      <c r="E42" s="12">
        <f t="shared" si="4"/>
        <v>28</v>
      </c>
      <c r="F42" s="12">
        <f t="shared" si="4"/>
        <v>28</v>
      </c>
      <c r="G42" s="12">
        <f t="shared" si="4"/>
        <v>28</v>
      </c>
      <c r="H42" s="12">
        <f t="shared" si="4"/>
        <v>28</v>
      </c>
      <c r="I42" s="12">
        <f>COUNT(I9:I36)+2</f>
        <v>28</v>
      </c>
      <c r="J42" s="12">
        <f t="shared" si="4"/>
        <v>28</v>
      </c>
      <c r="K42" s="12">
        <f t="shared" si="4"/>
        <v>28</v>
      </c>
      <c r="L42" s="12">
        <f t="shared" si="4"/>
        <v>28</v>
      </c>
      <c r="M42" s="12">
        <f t="shared" si="4"/>
        <v>28</v>
      </c>
      <c r="N42" s="12">
        <f t="shared" si="4"/>
        <v>28</v>
      </c>
      <c r="O42" s="12">
        <f t="shared" si="4"/>
        <v>28</v>
      </c>
      <c r="P42" s="12">
        <f t="shared" si="4"/>
        <v>28</v>
      </c>
      <c r="Q42" s="12">
        <f t="shared" si="4"/>
        <v>28</v>
      </c>
      <c r="R42" s="29"/>
      <c r="S42" s="29"/>
      <c r="T42" s="29"/>
      <c r="U42" s="29"/>
    </row>
    <row r="43" spans="1:21" s="21" customFormat="1" ht="15">
      <c r="A43" s="14" t="s">
        <v>34</v>
      </c>
      <c r="B43" s="12" t="str">
        <f>IF(B42&gt;=28,"&gt;90%",IF(B42&lt;=28,"&lt;90%"))</f>
        <v>&gt;90%</v>
      </c>
      <c r="C43" s="12" t="str">
        <f t="shared" si="5" ref="C43:Q43">IF(C42&gt;=28,"&gt;90%",IF(C42&lt;=28,"&lt;90%"))</f>
        <v>&gt;90%</v>
      </c>
      <c r="D43" s="12" t="str">
        <f t="shared" si="5"/>
        <v>&gt;90%</v>
      </c>
      <c r="E43" s="12" t="str">
        <f t="shared" si="5"/>
        <v>&gt;90%</v>
      </c>
      <c r="F43" s="12" t="str">
        <f t="shared" si="5"/>
        <v>&gt;90%</v>
      </c>
      <c r="G43" s="12" t="str">
        <f t="shared" si="5"/>
        <v>&gt;90%</v>
      </c>
      <c r="H43" s="12" t="str">
        <f t="shared" si="5"/>
        <v>&gt;90%</v>
      </c>
      <c r="I43" s="12" t="str">
        <f t="shared" si="5"/>
        <v>&gt;90%</v>
      </c>
      <c r="J43" s="12" t="str">
        <f t="shared" si="5"/>
        <v>&gt;90%</v>
      </c>
      <c r="K43" s="12" t="str">
        <f t="shared" si="5"/>
        <v>&gt;90%</v>
      </c>
      <c r="L43" s="12" t="str">
        <f t="shared" si="5"/>
        <v>&gt;90%</v>
      </c>
      <c r="M43" s="12" t="str">
        <f t="shared" si="5"/>
        <v>&gt;90%</v>
      </c>
      <c r="N43" s="12" t="str">
        <f t="shared" si="5"/>
        <v>&gt;90%</v>
      </c>
      <c r="O43" s="12" t="str">
        <f t="shared" si="5"/>
        <v>&gt;90%</v>
      </c>
      <c r="P43" s="12" t="str">
        <f t="shared" si="5"/>
        <v>&gt;90%</v>
      </c>
      <c r="Q43" s="12" t="str">
        <f t="shared" si="5"/>
        <v>&gt;90%</v>
      </c>
      <c r="R43" s="29"/>
      <c r="S43" s="29"/>
      <c r="T43" s="29"/>
      <c r="U43" s="29"/>
    </row>
    <row r="44" spans="1:21" s="21" customFormat="1" ht="15">
      <c r="A44" s="14" t="s">
        <v>1</v>
      </c>
      <c r="B44" s="12" t="str">
        <f>IF(B42&gt;=28,"OK",IF(B42&lt;=28,"LESS"))</f>
        <v>OK</v>
      </c>
      <c r="C44" s="12" t="str">
        <f t="shared" si="6" ref="C44:Q44">IF(C42&gt;=28,"OK",IF(C42&lt;=28,"LESS"))</f>
        <v>OK</v>
      </c>
      <c r="D44" s="12" t="str">
        <f t="shared" si="6"/>
        <v>OK</v>
      </c>
      <c r="E44" s="12" t="str">
        <f t="shared" si="6"/>
        <v>OK</v>
      </c>
      <c r="F44" s="12" t="str">
        <f t="shared" si="6"/>
        <v>OK</v>
      </c>
      <c r="G44" s="12" t="str">
        <f t="shared" si="6"/>
        <v>OK</v>
      </c>
      <c r="H44" s="12" t="str">
        <f t="shared" si="6"/>
        <v>OK</v>
      </c>
      <c r="I44" s="12" t="str">
        <f t="shared" si="6"/>
        <v>OK</v>
      </c>
      <c r="J44" s="12" t="str">
        <f t="shared" si="6"/>
        <v>OK</v>
      </c>
      <c r="K44" s="12" t="str">
        <f t="shared" si="6"/>
        <v>OK</v>
      </c>
      <c r="L44" s="12" t="str">
        <f t="shared" si="6"/>
        <v>OK</v>
      </c>
      <c r="M44" s="12" t="str">
        <f t="shared" si="6"/>
        <v>OK</v>
      </c>
      <c r="N44" s="12" t="str">
        <f t="shared" si="6"/>
        <v>OK</v>
      </c>
      <c r="O44" s="12" t="str">
        <f t="shared" si="6"/>
        <v>OK</v>
      </c>
      <c r="P44" s="12" t="str">
        <f t="shared" si="6"/>
        <v>OK</v>
      </c>
      <c r="Q44" s="12" t="str">
        <f t="shared" si="6"/>
        <v>OK</v>
      </c>
      <c r="R44" s="29"/>
      <c r="S44" s="29"/>
      <c r="T44" s="29"/>
      <c r="U44" s="29"/>
    </row>
    <row r="45" spans="2:20" ht="1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7" spans="1:16" ht="15">
      <c r="A47" s="14" t="s">
        <v>35</v>
      </c>
      <c r="B47" s="40" t="s">
        <v>41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5">
      <c r="A48" s="13"/>
      <c r="B48" s="21"/>
      <c r="C48" s="21"/>
      <c r="D48" s="1"/>
      <c r="E48" s="1"/>
      <c r="F48" s="1"/>
      <c r="G48" s="1"/>
      <c r="H48" s="1"/>
      <c r="I48" s="1"/>
      <c r="J48" s="21"/>
      <c r="K48" s="21"/>
      <c r="L48" s="21"/>
      <c r="M48" s="21"/>
      <c r="N48" s="21"/>
      <c r="O48" s="21"/>
      <c r="P48" s="21"/>
    </row>
    <row r="49" spans="1:16" ht="15.75">
      <c r="A49" s="17" t="s">
        <v>36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</row>
    <row r="50" spans="1:16" ht="15">
      <c r="A50" s="13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</sheetData>
  <sheetProtection/>
  <mergeCells count="1">
    <mergeCell ref="B49:P49"/>
  </mergeCells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067bf-48df-45d8-a271-f6dd77228c8b}">
  <sheetPr codeName=""/>
  <dimension ref="A1:U119"/>
  <sheetViews>
    <sheetView workbookViewId="0" topLeftCell="A1">
      <selection pane="topLeft" activeCell="A1" sqref="A1:XFD104857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15">
      <c r="A1" s="14"/>
      <c r="B1" s="23"/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/>
      <c r="B2" s="38"/>
      <c r="C2" s="11"/>
      <c r="D2" s="10"/>
      <c r="E2" s="10"/>
      <c r="F2" s="10"/>
      <c r="G2" s="3"/>
      <c r="H2" s="19"/>
      <c r="I2" s="19"/>
      <c r="J2" s="19"/>
      <c r="K2" s="12"/>
      <c r="L2" s="10"/>
      <c r="M2" s="12"/>
      <c r="N2" s="7"/>
      <c r="P2" s="39"/>
      <c r="Q2" s="12"/>
      <c r="R2" s="8"/>
      <c r="S2" s="11"/>
      <c r="T2" s="11"/>
      <c r="U2" s="11"/>
    </row>
    <row r="3" spans="1:21" s="21" customFormat="1" ht="15">
      <c r="A3" s="14"/>
      <c r="B3" s="12"/>
      <c r="C3" s="11"/>
      <c r="D3" s="10"/>
      <c r="E3" s="10"/>
      <c r="F3" s="10"/>
      <c r="G3" s="18"/>
      <c r="H3" s="19"/>
      <c r="I3" s="19"/>
      <c r="J3" s="19"/>
      <c r="K3" s="11"/>
      <c r="L3" s="10"/>
      <c r="M3" s="12"/>
      <c r="N3" s="5"/>
      <c r="O3" s="12"/>
      <c r="P3" s="39"/>
      <c r="Q3" s="12"/>
      <c r="R3" s="9"/>
      <c r="S3" s="11"/>
      <c r="T3" s="11"/>
      <c r="U3" s="11"/>
    </row>
    <row r="4" spans="1:21" s="21" customFormat="1" ht="15">
      <c r="A4" s="14"/>
      <c r="B4" s="12"/>
      <c r="C4" s="11"/>
      <c r="D4" s="10"/>
      <c r="E4" s="10"/>
      <c r="F4" s="10"/>
      <c r="G4" s="4"/>
      <c r="H4" s="19"/>
      <c r="I4" s="19"/>
      <c r="J4" s="19"/>
      <c r="K4" s="2"/>
      <c r="L4" s="10"/>
      <c r="M4" s="12"/>
      <c r="N4" s="6"/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7"/>
      <c r="S7" s="29"/>
      <c r="T7" s="27"/>
      <c r="U7" s="27"/>
    </row>
    <row r="8" spans="1:21" s="21" customFormat="1" ht="15">
      <c r="A8" s="14"/>
      <c r="B8" s="29"/>
      <c r="C8" s="29"/>
      <c r="D8" s="29"/>
      <c r="E8" s="29"/>
      <c r="F8" s="29"/>
      <c r="G8" s="29"/>
      <c r="H8" s="29"/>
      <c r="I8" s="29"/>
      <c r="J8" s="29"/>
      <c r="K8" s="29"/>
      <c r="L8" s="27"/>
      <c r="M8" s="29"/>
      <c r="N8" s="29"/>
      <c r="O8" s="27"/>
      <c r="P8" s="29"/>
      <c r="Q8" s="29"/>
      <c r="R8" s="27"/>
      <c r="S8" s="29"/>
      <c r="T8" s="27"/>
      <c r="U8" s="27"/>
    </row>
    <row r="9" spans="1:21" s="11" customFormat="1" ht="15">
      <c r="A9" s="5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45"/>
      <c r="S9" s="45"/>
      <c r="T9" s="45"/>
      <c r="U9" s="45"/>
    </row>
    <row r="10" spans="1:21" s="11" customFormat="1" ht="15">
      <c r="A10" s="5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45"/>
      <c r="S10" s="45"/>
      <c r="T10" s="45"/>
      <c r="U10" s="45"/>
    </row>
    <row r="11" spans="1:21" s="11" customFormat="1" ht="15">
      <c r="A11" s="5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45"/>
      <c r="S11" s="45"/>
      <c r="T11" s="45"/>
      <c r="U11" s="45"/>
    </row>
    <row r="12" spans="1:21" s="11" customFormat="1" ht="15">
      <c r="A12" s="5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45"/>
      <c r="S12" s="45"/>
      <c r="T12" s="45"/>
      <c r="U12" s="45"/>
    </row>
    <row r="13" spans="1:21" s="11" customFormat="1" ht="15">
      <c r="A13" s="5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45"/>
      <c r="S13" s="45"/>
      <c r="T13" s="45"/>
      <c r="U13" s="45"/>
    </row>
    <row r="14" spans="1:21" s="11" customFormat="1" ht="15">
      <c r="A14" s="5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45"/>
      <c r="S14" s="45"/>
      <c r="T14" s="45"/>
      <c r="U14" s="45"/>
    </row>
    <row r="15" spans="1:21" s="11" customFormat="1" ht="15">
      <c r="A15" s="5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45"/>
      <c r="S15" s="45"/>
      <c r="T15" s="45"/>
      <c r="U15" s="45"/>
    </row>
    <row r="16" spans="1:21" s="11" customFormat="1" ht="15">
      <c r="A16" s="5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45"/>
      <c r="S16" s="45"/>
      <c r="T16" s="45"/>
      <c r="U16" s="45"/>
    </row>
    <row r="17" spans="1:21" s="11" customFormat="1" ht="15">
      <c r="A17" s="5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"/>
      <c r="S17" s="45"/>
      <c r="T17" s="45"/>
      <c r="U17" s="45"/>
    </row>
    <row r="18" spans="1:21" s="11" customFormat="1" ht="15">
      <c r="A18" s="5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"/>
      <c r="S18" s="45"/>
      <c r="T18" s="45"/>
      <c r="U18" s="45"/>
    </row>
    <row r="19" spans="1:21" s="11" customFormat="1" ht="15">
      <c r="A19" s="5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"/>
      <c r="S19" s="45"/>
      <c r="T19" s="45"/>
      <c r="U19" s="45"/>
    </row>
    <row r="20" spans="1:21" s="11" customFormat="1" ht="15">
      <c r="A20" s="5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"/>
      <c r="S20" s="45"/>
      <c r="T20" s="45"/>
      <c r="U20" s="45"/>
    </row>
    <row r="21" spans="1:21" s="11" customFormat="1" ht="15">
      <c r="A21" s="5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"/>
      <c r="S21" s="45"/>
      <c r="T21" s="45"/>
      <c r="U21" s="45"/>
    </row>
    <row r="22" spans="1:21" s="11" customFormat="1" ht="15">
      <c r="A22" s="5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"/>
      <c r="S22" s="45"/>
      <c r="T22" s="45"/>
      <c r="U22" s="45"/>
    </row>
    <row r="23" spans="1:21" s="11" customFormat="1" ht="15">
      <c r="A23" s="5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"/>
      <c r="S23" s="45"/>
      <c r="T23" s="45"/>
      <c r="U23" s="45"/>
    </row>
    <row r="24" spans="1:21" s="11" customFormat="1" ht="15">
      <c r="A24" s="5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"/>
      <c r="S24" s="45"/>
      <c r="T24" s="45"/>
      <c r="U24" s="45"/>
    </row>
    <row r="25" spans="1:21" s="11" customFormat="1" ht="15">
      <c r="A25" s="5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"/>
      <c r="S25" s="45"/>
      <c r="T25" s="45"/>
      <c r="U25" s="45"/>
    </row>
    <row r="26" spans="1:21" s="11" customFormat="1" ht="15">
      <c r="A26" s="5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"/>
      <c r="S26" s="45"/>
      <c r="T26" s="45"/>
      <c r="U26" s="45"/>
    </row>
    <row r="27" spans="1:21" s="11" customFormat="1" ht="15">
      <c r="A27" s="5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5"/>
      <c r="S27" s="45"/>
      <c r="T27" s="45"/>
      <c r="U27" s="45"/>
    </row>
    <row r="28" spans="1:21" s="11" customFormat="1" ht="15">
      <c r="A28" s="5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5"/>
      <c r="S28" s="45"/>
      <c r="T28" s="45"/>
      <c r="U28" s="45"/>
    </row>
    <row r="29" spans="1:21" s="11" customFormat="1" ht="15">
      <c r="A29" s="5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5"/>
      <c r="S29" s="45"/>
      <c r="T29" s="45"/>
      <c r="U29" s="45"/>
    </row>
    <row r="30" spans="1:21" s="11" customFormat="1" ht="15">
      <c r="A30" s="5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5"/>
      <c r="S30" s="45"/>
      <c r="T30" s="45"/>
      <c r="U30" s="45"/>
    </row>
    <row r="31" spans="1:21" s="11" customFormat="1" ht="15">
      <c r="A31" s="5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5"/>
      <c r="S31" s="45"/>
      <c r="T31" s="45"/>
      <c r="U31" s="45"/>
    </row>
    <row r="32" spans="1:21" s="11" customFormat="1" ht="1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s="21" customFormat="1" ht="15">
      <c r="A35" s="27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s="21" customFormat="1" ht="15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s="21" customFormat="1" ht="1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s="21" customFormat="1" ht="15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1:21" s="21" customFormat="1" ht="15">
      <c r="A39" s="27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spans="1:21" s="21" customFormat="1" ht="15">
      <c r="A40" s="27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/>
      <c r="B43" s="40"/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bd959e-4a6e-439a-b7d4-fbe443e186bf}">
  <sheetPr codeName=""/>
  <dimension ref="A1"/>
  <sheetViews>
    <sheetView workbookViewId="0" topLeftCell="A1">
      <selection pane="topLeft" activeCell="A1" sqref="A1"/>
    </sheetView>
  </sheetViews>
  <sheetFormatPr defaultColWidth="9.14285714285714" defaultRowHeight="15"/>
  <sheetData/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841e12-9170-4a49-a69a-08bdb037cb73}">
  <sheetPr codeName=""/>
  <dimension ref="A1:U119"/>
  <sheetViews>
    <sheetView workbookViewId="0" topLeftCell="A1">
      <selection pane="topLeft" activeCell="A1" sqref="A1:XFD104857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15">
      <c r="A1" s="14"/>
      <c r="B1" s="23"/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/>
      <c r="B2" s="38"/>
      <c r="C2" s="11"/>
      <c r="D2" s="10"/>
      <c r="E2" s="10"/>
      <c r="F2" s="10"/>
      <c r="G2" s="3"/>
      <c r="H2" s="19"/>
      <c r="I2" s="19"/>
      <c r="J2" s="19"/>
      <c r="K2" s="12"/>
      <c r="L2" s="10"/>
      <c r="M2" s="12"/>
      <c r="N2" s="7"/>
      <c r="P2" s="39"/>
      <c r="Q2" s="12"/>
      <c r="R2" s="8"/>
      <c r="S2" s="11"/>
      <c r="T2" s="11"/>
      <c r="U2" s="11"/>
    </row>
    <row r="3" spans="1:21" s="21" customFormat="1" ht="15">
      <c r="A3" s="14"/>
      <c r="B3" s="12"/>
      <c r="C3" s="11"/>
      <c r="D3" s="10"/>
      <c r="E3" s="10"/>
      <c r="F3" s="10"/>
      <c r="G3" s="18"/>
      <c r="H3" s="19"/>
      <c r="I3" s="19"/>
      <c r="J3" s="19"/>
      <c r="K3" s="11"/>
      <c r="L3" s="10"/>
      <c r="M3" s="12"/>
      <c r="N3" s="5"/>
      <c r="O3" s="12"/>
      <c r="P3" s="39"/>
      <c r="Q3" s="12"/>
      <c r="R3" s="9"/>
      <c r="S3" s="11"/>
      <c r="T3" s="11"/>
      <c r="U3" s="11"/>
    </row>
    <row r="4" spans="1:21" s="21" customFormat="1" ht="15">
      <c r="A4" s="14"/>
      <c r="B4" s="12"/>
      <c r="C4" s="11"/>
      <c r="D4" s="10"/>
      <c r="E4" s="10"/>
      <c r="F4" s="10"/>
      <c r="G4" s="4"/>
      <c r="H4" s="19"/>
      <c r="I4" s="19"/>
      <c r="J4" s="19"/>
      <c r="K4" s="2"/>
      <c r="L4" s="10"/>
      <c r="M4" s="12"/>
      <c r="N4" s="6"/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7"/>
      <c r="S7" s="29"/>
      <c r="T7" s="27"/>
      <c r="U7" s="27"/>
    </row>
    <row r="8" spans="1:21" s="21" customFormat="1" ht="15">
      <c r="A8" s="14"/>
      <c r="B8" s="29"/>
      <c r="C8" s="29"/>
      <c r="D8" s="29"/>
      <c r="E8" s="29"/>
      <c r="F8" s="29"/>
      <c r="G8" s="29"/>
      <c r="H8" s="29"/>
      <c r="I8" s="29"/>
      <c r="J8" s="29"/>
      <c r="K8" s="29"/>
      <c r="L8" s="27"/>
      <c r="M8" s="29"/>
      <c r="N8" s="29"/>
      <c r="O8" s="27"/>
      <c r="P8" s="29"/>
      <c r="Q8" s="29"/>
      <c r="R8" s="27"/>
      <c r="S8" s="29"/>
      <c r="T8" s="27"/>
      <c r="U8" s="27"/>
    </row>
    <row r="9" spans="1:21" s="11" customFormat="1" ht="15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5"/>
      <c r="S9" s="45"/>
      <c r="T9" s="45"/>
      <c r="U9" s="45"/>
    </row>
    <row r="10" spans="1:21" s="11" customFormat="1" ht="1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5"/>
      <c r="S10" s="45"/>
      <c r="T10" s="45"/>
      <c r="U10" s="45"/>
    </row>
    <row r="11" spans="1:21" s="11" customFormat="1" ht="1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  <c r="S11" s="45"/>
      <c r="T11" s="45"/>
      <c r="U11" s="45"/>
    </row>
    <row r="12" spans="1:21" s="11" customFormat="1" ht="1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/>
      <c r="S12" s="45"/>
      <c r="T12" s="45"/>
      <c r="U12" s="45"/>
    </row>
    <row r="13" spans="1:21" s="11" customFormat="1" ht="1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5"/>
      <c r="S13" s="45"/>
      <c r="T13" s="45"/>
      <c r="U13" s="45"/>
    </row>
    <row r="14" spans="1:21" s="11" customFormat="1" ht="1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5"/>
      <c r="S14" s="45"/>
      <c r="T14" s="45"/>
      <c r="U14" s="45"/>
    </row>
    <row r="15" spans="1:21" s="11" customFormat="1" ht="1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</row>
    <row r="16" spans="1:21" s="11" customFormat="1" ht="15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</row>
    <row r="17" spans="1:21" s="11" customFormat="1" ht="1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5"/>
      <c r="S17" s="45"/>
      <c r="T17" s="45"/>
      <c r="U17" s="45"/>
    </row>
    <row r="18" spans="1:21" s="11" customFormat="1" ht="1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  <c r="S18" s="45"/>
      <c r="T18" s="45"/>
      <c r="U18" s="45"/>
    </row>
    <row r="19" spans="1:21" s="11" customFormat="1" ht="1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5"/>
      <c r="S19" s="45"/>
      <c r="T19" s="45"/>
      <c r="U19" s="45"/>
    </row>
    <row r="20" spans="1:21" s="11" customFormat="1" ht="1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5"/>
      <c r="S20" s="45"/>
      <c r="T20" s="45"/>
      <c r="U20" s="45"/>
    </row>
    <row r="21" spans="1:21" s="11" customFormat="1" ht="1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5"/>
      <c r="S21" s="45"/>
      <c r="T21" s="45"/>
      <c r="U21" s="45"/>
    </row>
    <row r="22" spans="1:21" s="11" customFormat="1" ht="1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5"/>
      <c r="S22" s="45"/>
      <c r="T22" s="45"/>
      <c r="U22" s="45"/>
    </row>
    <row r="23" spans="1:21" s="11" customFormat="1" ht="1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5"/>
      <c r="S23" s="45"/>
      <c r="T23" s="45"/>
      <c r="U23" s="45"/>
    </row>
    <row r="24" spans="1:21" s="11" customFormat="1" ht="1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5"/>
      <c r="S24" s="45"/>
      <c r="T24" s="45"/>
      <c r="U24" s="45"/>
    </row>
    <row r="25" spans="1:21" s="11" customFormat="1" ht="1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5"/>
      <c r="S25" s="45"/>
      <c r="T25" s="45"/>
      <c r="U25" s="45"/>
    </row>
    <row r="26" spans="1:21" s="11" customFormat="1" ht="1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5"/>
      <c r="S26" s="45"/>
      <c r="T26" s="45"/>
      <c r="U26" s="45"/>
    </row>
    <row r="27" spans="1:21" s="11" customFormat="1" ht="1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5"/>
      <c r="S27" s="45"/>
      <c r="T27" s="45"/>
      <c r="U27" s="45"/>
    </row>
    <row r="28" spans="1:21" s="11" customFormat="1" ht="1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  <c r="S28" s="45"/>
      <c r="T28" s="45"/>
      <c r="U28" s="45"/>
    </row>
    <row r="29" spans="1:21" s="11" customFormat="1" ht="15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5"/>
      <c r="T29" s="45"/>
      <c r="U29" s="45"/>
    </row>
    <row r="30" spans="1:21" s="11" customFormat="1" ht="1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5"/>
      <c r="S30" s="45"/>
      <c r="T30" s="45"/>
      <c r="U30" s="45"/>
    </row>
    <row r="31" spans="1:21" s="11" customFormat="1" ht="15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5"/>
      <c r="S31" s="45"/>
      <c r="T31" s="45"/>
      <c r="U31" s="45"/>
    </row>
    <row r="32" spans="1:21" s="11" customFormat="1" ht="1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5"/>
      <c r="T32" s="45"/>
      <c r="U32" s="45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s="21" customFormat="1" ht="15">
      <c r="A35" s="27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s="21" customFormat="1" ht="15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s="21" customFormat="1" ht="1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s="21" customFormat="1" ht="15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1:21" s="21" customFormat="1" ht="15">
      <c r="A39" s="27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spans="1:21" s="21" customFormat="1" ht="15">
      <c r="A40" s="27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/>
      <c r="B43" s="40"/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MONTHLY </vt:lpstr>
      <vt:lpstr>Sheet</vt:lpstr>
      <vt:lpstr>Sheet1</vt:lpstr>
      <vt:lpstr>Sheet2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2024-08-28T14:08:25Z</dcterms:modified>
  <cp:category/>
</cp:coreProperties>
</file>