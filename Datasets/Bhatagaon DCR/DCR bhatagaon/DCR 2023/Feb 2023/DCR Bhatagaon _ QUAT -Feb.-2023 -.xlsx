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890" yWindow="300" windowWidth="20730" windowHeight="11760" tabRatio="814" firstSheet="7" activeTab="29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MONTHLY " sheetId="39" r:id="rId29"/>
    <sheet name="CALIBRATION REPORT" sheetId="6" r:id="rId30"/>
    <sheet name="POWER OFF" sheetId="5" r:id="rId31"/>
    <sheet name="MUX SIGNALS" sheetId="43" r:id="rId32"/>
    <sheet name="Sheet" sheetId="40" r:id="rId33"/>
    <sheet name="Sheet2" sheetId="41" r:id="rId34"/>
    <sheet name="Sheet1" sheetId="44" r:id="rId35"/>
  </sheets>
  <calcPr calcId="144525"/>
</workbook>
</file>

<file path=xl/calcChain.xml><?xml version="1.0" encoding="utf-8"?>
<calcChain xmlns="http://schemas.openxmlformats.org/spreadsheetml/2006/main">
  <c r="I110" i="31" l="1"/>
  <c r="I112" i="31" s="1"/>
  <c r="C110" i="33"/>
  <c r="C111" i="33" s="1"/>
  <c r="D110" i="33"/>
  <c r="D111" i="33" s="1"/>
  <c r="E110" i="33"/>
  <c r="F110" i="33"/>
  <c r="G110" i="33"/>
  <c r="G111" i="33"/>
  <c r="H110" i="33"/>
  <c r="H112" i="33"/>
  <c r="I110" i="33"/>
  <c r="J110" i="33"/>
  <c r="K110" i="33"/>
  <c r="L110" i="33"/>
  <c r="M110" i="33"/>
  <c r="N110" i="33"/>
  <c r="O110" i="33"/>
  <c r="P110" i="33"/>
  <c r="Q110" i="33"/>
  <c r="I110" i="32"/>
  <c r="I111" i="32" s="1"/>
  <c r="Q110" i="31"/>
  <c r="Q112" i="31" s="1"/>
  <c r="H110" i="31"/>
  <c r="H111" i="31" s="1"/>
  <c r="G110" i="31"/>
  <c r="G112" i="31" s="1"/>
  <c r="J110" i="30"/>
  <c r="J111" i="30" s="1"/>
  <c r="I110" i="30"/>
  <c r="I111" i="30" s="1"/>
  <c r="J110" i="29"/>
  <c r="J111" i="29" s="1"/>
  <c r="F110" i="29"/>
  <c r="F111" i="29"/>
  <c r="F110" i="28"/>
  <c r="F112" i="28" s="1"/>
  <c r="J110" i="28"/>
  <c r="J112" i="28" s="1"/>
  <c r="I110" i="27"/>
  <c r="I112" i="27" s="1"/>
  <c r="F110" i="27"/>
  <c r="F112" i="27" s="1"/>
  <c r="I110" i="26"/>
  <c r="I112" i="26" s="1"/>
  <c r="H110" i="26"/>
  <c r="H111" i="26" s="1"/>
  <c r="G110" i="26"/>
  <c r="G111" i="26" s="1"/>
  <c r="F110" i="26"/>
  <c r="F112" i="26"/>
  <c r="C110" i="26"/>
  <c r="C111" i="26" s="1"/>
  <c r="D110" i="26"/>
  <c r="D112" i="26" s="1"/>
  <c r="E110" i="26"/>
  <c r="J110" i="26"/>
  <c r="K110" i="26"/>
  <c r="L110" i="26"/>
  <c r="M110" i="26"/>
  <c r="N110" i="26"/>
  <c r="O110" i="26"/>
  <c r="O112" i="26" s="1"/>
  <c r="P110" i="26"/>
  <c r="Q110" i="26"/>
  <c r="B110" i="26"/>
  <c r="B112" i="26"/>
  <c r="C110" i="25"/>
  <c r="C112" i="25"/>
  <c r="D110" i="25"/>
  <c r="D111" i="25"/>
  <c r="E110" i="25"/>
  <c r="F110" i="25"/>
  <c r="G110" i="25"/>
  <c r="G111" i="25"/>
  <c r="H110" i="25"/>
  <c r="H111" i="25"/>
  <c r="I110" i="25"/>
  <c r="J110" i="25"/>
  <c r="J112" i="25" s="1"/>
  <c r="K110" i="25"/>
  <c r="L110" i="25"/>
  <c r="M110" i="25"/>
  <c r="N110" i="25"/>
  <c r="O110" i="25"/>
  <c r="P110" i="25"/>
  <c r="Q110" i="25"/>
  <c r="B110" i="25"/>
  <c r="B112" i="25" s="1"/>
  <c r="H110" i="22"/>
  <c r="H111" i="22" s="1"/>
  <c r="G110" i="22"/>
  <c r="G112" i="22" s="1"/>
  <c r="H110" i="21"/>
  <c r="H112" i="21" s="1"/>
  <c r="G110" i="21"/>
  <c r="G111" i="21" s="1"/>
  <c r="Q110" i="19"/>
  <c r="Q112" i="19" s="1"/>
  <c r="K110" i="19"/>
  <c r="K112" i="19" s="1"/>
  <c r="I110" i="18"/>
  <c r="I111" i="18" s="1"/>
  <c r="J110" i="18"/>
  <c r="J111" i="18" s="1"/>
  <c r="H110" i="18"/>
  <c r="H112" i="18" s="1"/>
  <c r="Q110" i="17"/>
  <c r="Q111" i="17" s="1"/>
  <c r="Q110" i="16"/>
  <c r="Q112" i="16" s="1"/>
  <c r="J110" i="16"/>
  <c r="J112" i="16" s="1"/>
  <c r="Q110" i="15"/>
  <c r="Q111" i="15" s="1"/>
  <c r="Q110" i="14"/>
  <c r="Q111" i="14" s="1"/>
  <c r="I110" i="14"/>
  <c r="I111" i="14" s="1"/>
  <c r="Q110" i="13"/>
  <c r="Q112" i="13" s="1"/>
  <c r="P110" i="13"/>
  <c r="P111" i="13" s="1"/>
  <c r="K110" i="13"/>
  <c r="K112" i="13" s="1"/>
  <c r="L110" i="13"/>
  <c r="M110" i="13"/>
  <c r="N110" i="13"/>
  <c r="N111" i="13" s="1"/>
  <c r="O110" i="13"/>
  <c r="O111" i="13"/>
  <c r="J110" i="13"/>
  <c r="J111" i="13"/>
  <c r="I110" i="13"/>
  <c r="I112" i="13"/>
  <c r="H110" i="13"/>
  <c r="H112" i="13"/>
  <c r="G110" i="13"/>
  <c r="G112" i="13"/>
  <c r="F110" i="13"/>
  <c r="F112" i="13"/>
  <c r="E110" i="13"/>
  <c r="E112" i="13"/>
  <c r="C110" i="13"/>
  <c r="C111" i="13"/>
  <c r="D110" i="13"/>
  <c r="D112" i="13"/>
  <c r="B110" i="13"/>
  <c r="B112" i="13"/>
  <c r="F110" i="12"/>
  <c r="F112" i="12"/>
  <c r="G110" i="12"/>
  <c r="G112" i="12"/>
  <c r="I110" i="12"/>
  <c r="I111" i="12"/>
  <c r="C110" i="11"/>
  <c r="C112" i="11"/>
  <c r="D110" i="11"/>
  <c r="D112" i="11"/>
  <c r="B110" i="11"/>
  <c r="B112" i="11"/>
  <c r="H110" i="11"/>
  <c r="H111" i="11" s="1"/>
  <c r="I110" i="11"/>
  <c r="I111" i="11" s="1"/>
  <c r="I110" i="10"/>
  <c r="I112" i="10" s="1"/>
  <c r="I110" i="9"/>
  <c r="I112" i="9"/>
  <c r="I110" i="8"/>
  <c r="I112" i="8"/>
  <c r="C110" i="8"/>
  <c r="C111" i="8"/>
  <c r="D110" i="8"/>
  <c r="D112" i="8"/>
  <c r="E110" i="8"/>
  <c r="F110" i="8"/>
  <c r="F112" i="8" s="1"/>
  <c r="G110" i="8"/>
  <c r="G111" i="8" s="1"/>
  <c r="H110" i="8"/>
  <c r="J110" i="8"/>
  <c r="K110" i="8"/>
  <c r="L110" i="8"/>
  <c r="M110" i="8"/>
  <c r="N110" i="8"/>
  <c r="O110" i="8"/>
  <c r="P110" i="8"/>
  <c r="Q110" i="8"/>
  <c r="B110" i="8"/>
  <c r="B111" i="8" s="1"/>
  <c r="I110" i="3"/>
  <c r="I112" i="3" s="1"/>
  <c r="J110" i="2"/>
  <c r="J112" i="2" s="1"/>
  <c r="I110" i="2"/>
  <c r="I112" i="2" s="1"/>
  <c r="I112" i="33"/>
  <c r="J112" i="33"/>
  <c r="J110" i="32"/>
  <c r="J111" i="32" s="1"/>
  <c r="H110" i="32"/>
  <c r="H111" i="32" s="1"/>
  <c r="J110" i="31"/>
  <c r="J111" i="31" s="1"/>
  <c r="H110" i="30"/>
  <c r="H112" i="30" s="1"/>
  <c r="I110" i="29"/>
  <c r="I112" i="29" s="1"/>
  <c r="H110" i="29"/>
  <c r="H112" i="29" s="1"/>
  <c r="I110" i="28"/>
  <c r="I112" i="28" s="1"/>
  <c r="H110" i="28"/>
  <c r="H111" i="28"/>
  <c r="C110" i="27"/>
  <c r="C111" i="27" s="1"/>
  <c r="D110" i="27"/>
  <c r="D111" i="27" s="1"/>
  <c r="E110" i="27"/>
  <c r="G110" i="27"/>
  <c r="G111" i="27"/>
  <c r="H110" i="27"/>
  <c r="J110" i="27"/>
  <c r="K110" i="27"/>
  <c r="L110" i="27"/>
  <c r="L111" i="27" s="1"/>
  <c r="M110" i="27"/>
  <c r="N110" i="27"/>
  <c r="O110" i="27"/>
  <c r="O112" i="27" s="1"/>
  <c r="P110" i="27"/>
  <c r="P112" i="27"/>
  <c r="Q110" i="27"/>
  <c r="Q111" i="26"/>
  <c r="J111" i="26"/>
  <c r="E112" i="26"/>
  <c r="Q111" i="25"/>
  <c r="P111" i="25"/>
  <c r="O111" i="25"/>
  <c r="N111" i="25"/>
  <c r="M111" i="25"/>
  <c r="L112" i="25"/>
  <c r="K111" i="25"/>
  <c r="I111" i="25"/>
  <c r="F112" i="25"/>
  <c r="E112" i="25"/>
  <c r="J110" i="24"/>
  <c r="J111" i="24" s="1"/>
  <c r="I110" i="24"/>
  <c r="I112" i="24" s="1"/>
  <c r="H110" i="24"/>
  <c r="H111" i="24" s="1"/>
  <c r="J110" i="23"/>
  <c r="J112" i="23" s="1"/>
  <c r="I110" i="23"/>
  <c r="I111" i="23" s="1"/>
  <c r="H110" i="23"/>
  <c r="H112" i="23" s="1"/>
  <c r="J110" i="22"/>
  <c r="J112" i="22" s="1"/>
  <c r="I110" i="22"/>
  <c r="I112" i="22" s="1"/>
  <c r="J110" i="21"/>
  <c r="J111" i="21"/>
  <c r="I110" i="21"/>
  <c r="I111" i="21"/>
  <c r="H110" i="20"/>
  <c r="H112" i="20"/>
  <c r="I110" i="20"/>
  <c r="I111" i="20"/>
  <c r="J110" i="20"/>
  <c r="J111" i="20"/>
  <c r="J110" i="19"/>
  <c r="J111" i="19"/>
  <c r="I110" i="19"/>
  <c r="I112" i="19" s="1"/>
  <c r="H110" i="19"/>
  <c r="H112" i="19" s="1"/>
  <c r="J110" i="17"/>
  <c r="J112" i="17"/>
  <c r="I110" i="17"/>
  <c r="I111" i="17"/>
  <c r="H110" i="17"/>
  <c r="H112" i="17"/>
  <c r="H110" i="16"/>
  <c r="H111" i="16" s="1"/>
  <c r="I110" i="16"/>
  <c r="I111" i="16"/>
  <c r="H110" i="15"/>
  <c r="H111" i="15"/>
  <c r="I110" i="15"/>
  <c r="I112" i="15" s="1"/>
  <c r="J110" i="15"/>
  <c r="J112" i="15" s="1"/>
  <c r="J110" i="14"/>
  <c r="J111" i="14"/>
  <c r="H110" i="14"/>
  <c r="H111" i="14"/>
  <c r="J110" i="12"/>
  <c r="J111" i="12"/>
  <c r="H110" i="12"/>
  <c r="H112" i="12" s="1"/>
  <c r="J110" i="11"/>
  <c r="J111" i="11"/>
  <c r="G110" i="11"/>
  <c r="G112" i="11"/>
  <c r="J110" i="10"/>
  <c r="J112" i="10" s="1"/>
  <c r="H110" i="10"/>
  <c r="H112" i="10" s="1"/>
  <c r="J110" i="9"/>
  <c r="J112" i="9"/>
  <c r="H110" i="9"/>
  <c r="H111" i="9"/>
  <c r="Q112" i="8"/>
  <c r="J111" i="8"/>
  <c r="H111" i="8"/>
  <c r="P112" i="8"/>
  <c r="O112" i="8"/>
  <c r="L112" i="8"/>
  <c r="K111" i="8"/>
  <c r="F111" i="8"/>
  <c r="B2" i="23"/>
  <c r="C110" i="2"/>
  <c r="C111" i="2"/>
  <c r="D110" i="2"/>
  <c r="E110" i="2"/>
  <c r="E111" i="2"/>
  <c r="F110" i="2"/>
  <c r="F112" i="2"/>
  <c r="G110" i="2"/>
  <c r="G112" i="2"/>
  <c r="H110" i="2"/>
  <c r="H112" i="2" s="1"/>
  <c r="K110" i="2"/>
  <c r="K111" i="2"/>
  <c r="L110" i="2"/>
  <c r="L112" i="2"/>
  <c r="M110" i="2"/>
  <c r="M112" i="2" s="1"/>
  <c r="N110" i="2"/>
  <c r="N112" i="2" s="1"/>
  <c r="O110" i="2"/>
  <c r="O112" i="2" s="1"/>
  <c r="P110" i="2"/>
  <c r="P112" i="2"/>
  <c r="Q110" i="2"/>
  <c r="C110" i="3"/>
  <c r="C111" i="3" s="1"/>
  <c r="D110" i="3"/>
  <c r="D111" i="3"/>
  <c r="E110" i="3"/>
  <c r="E112" i="3" s="1"/>
  <c r="F110" i="3"/>
  <c r="F111" i="3" s="1"/>
  <c r="G110" i="3"/>
  <c r="G112" i="3"/>
  <c r="H110" i="3"/>
  <c r="H112" i="3"/>
  <c r="J110" i="3"/>
  <c r="J111" i="3" s="1"/>
  <c r="K110" i="3"/>
  <c r="K111" i="3" s="1"/>
  <c r="L110" i="3"/>
  <c r="L111" i="3" s="1"/>
  <c r="M110" i="3"/>
  <c r="M112" i="3"/>
  <c r="N110" i="3"/>
  <c r="N112" i="3" s="1"/>
  <c r="O110" i="3"/>
  <c r="O111" i="3" s="1"/>
  <c r="P110" i="3"/>
  <c r="P112" i="3" s="1"/>
  <c r="Q110" i="3"/>
  <c r="Q111" i="33"/>
  <c r="P112" i="33"/>
  <c r="O112" i="33"/>
  <c r="N112" i="33"/>
  <c r="M112" i="33"/>
  <c r="L112" i="33"/>
  <c r="K111" i="33"/>
  <c r="F112" i="33"/>
  <c r="E112" i="33"/>
  <c r="B110" i="33"/>
  <c r="B112" i="33"/>
  <c r="Q109" i="33"/>
  <c r="P109" i="33"/>
  <c r="O109" i="33"/>
  <c r="N109" i="33"/>
  <c r="M109" i="33"/>
  <c r="L109" i="33"/>
  <c r="K109" i="33"/>
  <c r="J109" i="33"/>
  <c r="I109" i="33"/>
  <c r="H109" i="33"/>
  <c r="G109" i="33"/>
  <c r="F109" i="33"/>
  <c r="E109" i="33"/>
  <c r="D109" i="33"/>
  <c r="C109" i="33"/>
  <c r="B109" i="33"/>
  <c r="Q108" i="33"/>
  <c r="Q36" i="39"/>
  <c r="P108" i="33"/>
  <c r="P36" i="39" s="1"/>
  <c r="O108" i="33"/>
  <c r="N108" i="33"/>
  <c r="M108" i="33"/>
  <c r="M36" i="39" s="1"/>
  <c r="L108" i="33"/>
  <c r="L36" i="39"/>
  <c r="K108" i="33"/>
  <c r="J108" i="33"/>
  <c r="I108" i="33"/>
  <c r="I36" i="39" s="1"/>
  <c r="H108" i="33"/>
  <c r="H36" i="39"/>
  <c r="G108" i="33"/>
  <c r="F108" i="33"/>
  <c r="F36" i="39" s="1"/>
  <c r="E108" i="33"/>
  <c r="D108" i="33"/>
  <c r="C108" i="33"/>
  <c r="B108" i="33"/>
  <c r="Q107" i="33"/>
  <c r="P107" i="33"/>
  <c r="O107" i="33"/>
  <c r="N107" i="33"/>
  <c r="M107" i="33"/>
  <c r="L107" i="33"/>
  <c r="K107" i="33"/>
  <c r="J107" i="33"/>
  <c r="I107" i="33"/>
  <c r="H107" i="33"/>
  <c r="G107" i="33"/>
  <c r="F107" i="33"/>
  <c r="E107" i="33"/>
  <c r="D107" i="33"/>
  <c r="C107" i="33"/>
  <c r="B107" i="33"/>
  <c r="Q106" i="33"/>
  <c r="P106" i="33"/>
  <c r="O106" i="33"/>
  <c r="N106" i="33"/>
  <c r="M106" i="33"/>
  <c r="L106" i="33"/>
  <c r="K106" i="33"/>
  <c r="J106" i="33"/>
  <c r="I106" i="33"/>
  <c r="H106" i="33"/>
  <c r="G106" i="33"/>
  <c r="F106" i="33"/>
  <c r="E106" i="33"/>
  <c r="D106" i="33"/>
  <c r="C106" i="33"/>
  <c r="B106" i="33"/>
  <c r="B2" i="33"/>
  <c r="Q110" i="32"/>
  <c r="Q112" i="32" s="1"/>
  <c r="P110" i="32"/>
  <c r="P112" i="32" s="1"/>
  <c r="O110" i="32"/>
  <c r="O112" i="32" s="1"/>
  <c r="N110" i="32"/>
  <c r="N111" i="32"/>
  <c r="M110" i="32"/>
  <c r="M112" i="32" s="1"/>
  <c r="L110" i="32"/>
  <c r="L112" i="32" s="1"/>
  <c r="K110" i="32"/>
  <c r="K112" i="32"/>
  <c r="G110" i="32"/>
  <c r="G112" i="32" s="1"/>
  <c r="F110" i="32"/>
  <c r="F112" i="32" s="1"/>
  <c r="E110" i="32"/>
  <c r="E111" i="32" s="1"/>
  <c r="D110" i="32"/>
  <c r="D112" i="32" s="1"/>
  <c r="C110" i="32"/>
  <c r="C111" i="32"/>
  <c r="B110" i="32"/>
  <c r="B111" i="32" s="1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Q108" i="32"/>
  <c r="Q35" i="39" s="1"/>
  <c r="P108" i="32"/>
  <c r="O108" i="32"/>
  <c r="O35" i="39"/>
  <c r="N108" i="32"/>
  <c r="M108" i="32"/>
  <c r="L108" i="32"/>
  <c r="K108" i="32"/>
  <c r="J108" i="32"/>
  <c r="J35" i="39" s="1"/>
  <c r="I108" i="32"/>
  <c r="I35" i="39" s="1"/>
  <c r="H108" i="32"/>
  <c r="G108" i="32"/>
  <c r="F108" i="32"/>
  <c r="F35" i="39" s="1"/>
  <c r="E108" i="32"/>
  <c r="D108" i="32"/>
  <c r="C108" i="32"/>
  <c r="B108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B2" i="32"/>
  <c r="P110" i="31"/>
  <c r="P112" i="31" s="1"/>
  <c r="O110" i="31"/>
  <c r="O112" i="31"/>
  <c r="N110" i="31"/>
  <c r="N112" i="31"/>
  <c r="M110" i="31"/>
  <c r="M111" i="31"/>
  <c r="L110" i="31"/>
  <c r="L112" i="31"/>
  <c r="K110" i="31"/>
  <c r="K111" i="31"/>
  <c r="F110" i="31"/>
  <c r="F111" i="31" s="1"/>
  <c r="E110" i="31"/>
  <c r="E112" i="31" s="1"/>
  <c r="D110" i="31"/>
  <c r="D112" i="31" s="1"/>
  <c r="C110" i="31"/>
  <c r="C112" i="31"/>
  <c r="B110" i="31"/>
  <c r="B112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Q108" i="31"/>
  <c r="Q34" i="39" s="1"/>
  <c r="P108" i="31"/>
  <c r="P34" i="39"/>
  <c r="O108" i="31"/>
  <c r="O34" i="39"/>
  <c r="N108" i="31"/>
  <c r="N34" i="39" s="1"/>
  <c r="M108" i="31"/>
  <c r="L108" i="31"/>
  <c r="K108" i="31"/>
  <c r="J108" i="31"/>
  <c r="I108" i="31"/>
  <c r="H108" i="31"/>
  <c r="G108" i="31"/>
  <c r="F108" i="31"/>
  <c r="E108" i="31"/>
  <c r="D108" i="31"/>
  <c r="D34" i="39"/>
  <c r="C108" i="31"/>
  <c r="C34" i="39" s="1"/>
  <c r="B108" i="31"/>
  <c r="B34" i="39" s="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B2" i="31"/>
  <c r="A34" i="39" s="1"/>
  <c r="Q110" i="30"/>
  <c r="Q111" i="30" s="1"/>
  <c r="P110" i="30"/>
  <c r="P111" i="30" s="1"/>
  <c r="O110" i="30"/>
  <c r="O112" i="30"/>
  <c r="N110" i="30"/>
  <c r="N112" i="30"/>
  <c r="M110" i="30"/>
  <c r="M112" i="30" s="1"/>
  <c r="L110" i="30"/>
  <c r="L111" i="30"/>
  <c r="K110" i="30"/>
  <c r="K112" i="30"/>
  <c r="G110" i="30"/>
  <c r="G111" i="30" s="1"/>
  <c r="F110" i="30"/>
  <c r="F112" i="30" s="1"/>
  <c r="E110" i="30"/>
  <c r="E112" i="30" s="1"/>
  <c r="D110" i="30"/>
  <c r="D112" i="30"/>
  <c r="C110" i="30"/>
  <c r="C111" i="30"/>
  <c r="B110" i="30"/>
  <c r="B112" i="30" s="1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Q108" i="30"/>
  <c r="Q33" i="39"/>
  <c r="P108" i="30"/>
  <c r="P33" i="39"/>
  <c r="O108" i="30"/>
  <c r="O33" i="39" s="1"/>
  <c r="N108" i="30"/>
  <c r="N33" i="39" s="1"/>
  <c r="M108" i="30"/>
  <c r="L108" i="30"/>
  <c r="K108" i="30"/>
  <c r="K33" i="39"/>
  <c r="J108" i="30"/>
  <c r="I108" i="30"/>
  <c r="H108" i="30"/>
  <c r="G108" i="30"/>
  <c r="F108" i="30"/>
  <c r="F33" i="39"/>
  <c r="E108" i="30"/>
  <c r="E33" i="39"/>
  <c r="D108" i="30"/>
  <c r="D33" i="39" s="1"/>
  <c r="C108" i="30"/>
  <c r="C33" i="39" s="1"/>
  <c r="B108" i="30"/>
  <c r="B33" i="39" s="1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2" i="30"/>
  <c r="A33" i="39"/>
  <c r="Q110" i="29"/>
  <c r="Q111" i="29"/>
  <c r="P110" i="29"/>
  <c r="P112" i="29" s="1"/>
  <c r="O110" i="29"/>
  <c r="O112" i="29"/>
  <c r="N110" i="29"/>
  <c r="N112" i="29"/>
  <c r="M110" i="29"/>
  <c r="M112" i="29" s="1"/>
  <c r="L110" i="29"/>
  <c r="L112" i="29" s="1"/>
  <c r="K110" i="29"/>
  <c r="K112" i="29" s="1"/>
  <c r="G110" i="29"/>
  <c r="G111" i="29"/>
  <c r="E110" i="29"/>
  <c r="E112" i="29"/>
  <c r="D110" i="29"/>
  <c r="D112" i="29" s="1"/>
  <c r="C110" i="29"/>
  <c r="C112" i="29"/>
  <c r="B110" i="29"/>
  <c r="B112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Q108" i="29"/>
  <c r="P108" i="29"/>
  <c r="P32" i="39"/>
  <c r="O108" i="29"/>
  <c r="N108" i="29"/>
  <c r="M108" i="29"/>
  <c r="M32" i="39"/>
  <c r="L108" i="29"/>
  <c r="L32" i="39" s="1"/>
  <c r="K108" i="29"/>
  <c r="J108" i="29"/>
  <c r="I108" i="29"/>
  <c r="H108" i="29"/>
  <c r="G108" i="29"/>
  <c r="F108" i="29"/>
  <c r="E108" i="29"/>
  <c r="E32" i="39" s="1"/>
  <c r="D108" i="29"/>
  <c r="C108" i="29"/>
  <c r="B108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2" i="29"/>
  <c r="A32" i="39"/>
  <c r="Q110" i="28"/>
  <c r="Q112" i="28"/>
  <c r="P110" i="28"/>
  <c r="P112" i="28" s="1"/>
  <c r="O110" i="28"/>
  <c r="O112" i="28" s="1"/>
  <c r="N110" i="28"/>
  <c r="N112" i="28"/>
  <c r="M110" i="28"/>
  <c r="M112" i="28" s="1"/>
  <c r="L110" i="28"/>
  <c r="L112" i="28" s="1"/>
  <c r="K110" i="28"/>
  <c r="K112" i="28"/>
  <c r="G110" i="28"/>
  <c r="G112" i="28"/>
  <c r="E110" i="28"/>
  <c r="E111" i="28"/>
  <c r="D110" i="28"/>
  <c r="D112" i="28" s="1"/>
  <c r="C110" i="28"/>
  <c r="C112" i="28" s="1"/>
  <c r="B110" i="28"/>
  <c r="B112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Q108" i="28"/>
  <c r="P108" i="28"/>
  <c r="O108" i="28"/>
  <c r="O31" i="39" s="1"/>
  <c r="N108" i="28"/>
  <c r="M108" i="28"/>
  <c r="L108" i="28"/>
  <c r="L31" i="39"/>
  <c r="K108" i="28"/>
  <c r="K31" i="39"/>
  <c r="J108" i="28"/>
  <c r="I108" i="28"/>
  <c r="I31" i="39"/>
  <c r="H108" i="28"/>
  <c r="H31" i="39" s="1"/>
  <c r="G108" i="28"/>
  <c r="F108" i="28"/>
  <c r="E108" i="28"/>
  <c r="E31" i="39"/>
  <c r="D108" i="28"/>
  <c r="D31" i="39" s="1"/>
  <c r="C108" i="28"/>
  <c r="C31" i="39" s="1"/>
  <c r="B108" i="28"/>
  <c r="B31" i="39" s="1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2" i="28"/>
  <c r="A31" i="39"/>
  <c r="Q112" i="27"/>
  <c r="N112" i="27"/>
  <c r="M112" i="27"/>
  <c r="K112" i="27"/>
  <c r="J112" i="27"/>
  <c r="H112" i="27"/>
  <c r="E112" i="27"/>
  <c r="B110" i="27"/>
  <c r="B112" i="27" s="1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Q108" i="27"/>
  <c r="Q30" i="39" s="1"/>
  <c r="P108" i="27"/>
  <c r="O108" i="27"/>
  <c r="O30" i="39" s="1"/>
  <c r="N108" i="27"/>
  <c r="N30" i="39" s="1"/>
  <c r="M108" i="27"/>
  <c r="M30" i="39" s="1"/>
  <c r="L108" i="27"/>
  <c r="K108" i="27"/>
  <c r="K30" i="39"/>
  <c r="J108" i="27"/>
  <c r="J30" i="39"/>
  <c r="I108" i="27"/>
  <c r="H108" i="27"/>
  <c r="H30" i="39"/>
  <c r="G108" i="27"/>
  <c r="G30" i="39"/>
  <c r="F108" i="27"/>
  <c r="E108" i="27"/>
  <c r="E30" i="39"/>
  <c r="D108" i="27"/>
  <c r="D30" i="39"/>
  <c r="C108" i="27"/>
  <c r="B108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2" i="27"/>
  <c r="A30" i="39"/>
  <c r="P111" i="26"/>
  <c r="O111" i="26"/>
  <c r="N112" i="26"/>
  <c r="M111" i="26"/>
  <c r="L112" i="26"/>
  <c r="K112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Q108" i="26"/>
  <c r="Q29" i="39" s="1"/>
  <c r="P108" i="26"/>
  <c r="P29" i="39"/>
  <c r="O108" i="26"/>
  <c r="O29" i="39"/>
  <c r="N108" i="26"/>
  <c r="M108" i="26"/>
  <c r="L108" i="26"/>
  <c r="L29" i="39"/>
  <c r="K108" i="26"/>
  <c r="J108" i="26"/>
  <c r="J29" i="39" s="1"/>
  <c r="I108" i="26"/>
  <c r="H108" i="26"/>
  <c r="G108" i="26"/>
  <c r="F108" i="26"/>
  <c r="E108" i="26"/>
  <c r="D108" i="26"/>
  <c r="D29" i="39" s="1"/>
  <c r="C108" i="26"/>
  <c r="C29" i="39" s="1"/>
  <c r="B108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2" i="26"/>
  <c r="A29" i="39" s="1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Q108" i="25"/>
  <c r="Q28" i="39"/>
  <c r="P108" i="25"/>
  <c r="O108" i="25"/>
  <c r="O28" i="39" s="1"/>
  <c r="N108" i="25"/>
  <c r="M108" i="25"/>
  <c r="L108" i="25"/>
  <c r="L28" i="39" s="1"/>
  <c r="K108" i="25"/>
  <c r="J108" i="25"/>
  <c r="J28" i="39" s="1"/>
  <c r="I108" i="25"/>
  <c r="I28" i="39" s="1"/>
  <c r="H108" i="25"/>
  <c r="H28" i="39" s="1"/>
  <c r="G108" i="25"/>
  <c r="G28" i="39"/>
  <c r="F108" i="25"/>
  <c r="E108" i="25"/>
  <c r="E28" i="39"/>
  <c r="D108" i="25"/>
  <c r="D28" i="39" s="1"/>
  <c r="C108" i="25"/>
  <c r="C28" i="39" s="1"/>
  <c r="B108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2" i="25"/>
  <c r="A28" i="39" s="1"/>
  <c r="Q110" i="24"/>
  <c r="Q112" i="24" s="1"/>
  <c r="P110" i="24"/>
  <c r="P112" i="24" s="1"/>
  <c r="O110" i="24"/>
  <c r="O112" i="24"/>
  <c r="N110" i="24"/>
  <c r="N112" i="24" s="1"/>
  <c r="M110" i="24"/>
  <c r="M112" i="24" s="1"/>
  <c r="L110" i="24"/>
  <c r="L112" i="24"/>
  <c r="K110" i="24"/>
  <c r="K112" i="24"/>
  <c r="G110" i="24"/>
  <c r="G111" i="24" s="1"/>
  <c r="F110" i="24"/>
  <c r="F112" i="24" s="1"/>
  <c r="E110" i="24"/>
  <c r="E112" i="24" s="1"/>
  <c r="D110" i="24"/>
  <c r="D112" i="24"/>
  <c r="C110" i="24"/>
  <c r="C112" i="24" s="1"/>
  <c r="B110" i="24"/>
  <c r="B112" i="24" s="1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Q108" i="24"/>
  <c r="Q27" i="39"/>
  <c r="P108" i="24"/>
  <c r="O108" i="24"/>
  <c r="N108" i="24"/>
  <c r="N27" i="39" s="1"/>
  <c r="M108" i="24"/>
  <c r="L108" i="24"/>
  <c r="K108" i="24"/>
  <c r="K27" i="39" s="1"/>
  <c r="J108" i="24"/>
  <c r="I108" i="24"/>
  <c r="H108" i="24"/>
  <c r="G108" i="24"/>
  <c r="F108" i="24"/>
  <c r="F27" i="39" s="1"/>
  <c r="E108" i="24"/>
  <c r="E27" i="39" s="1"/>
  <c r="D108" i="24"/>
  <c r="D27" i="39" s="1"/>
  <c r="C108" i="24"/>
  <c r="B108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2" i="24"/>
  <c r="A27" i="39"/>
  <c r="Q110" i="23"/>
  <c r="Q112" i="23"/>
  <c r="P110" i="23"/>
  <c r="P112" i="23"/>
  <c r="O110" i="23"/>
  <c r="O112" i="23"/>
  <c r="N110" i="23"/>
  <c r="N112" i="23"/>
  <c r="M110" i="23"/>
  <c r="M112" i="23" s="1"/>
  <c r="L110" i="23"/>
  <c r="L112" i="23" s="1"/>
  <c r="K110" i="23"/>
  <c r="K112" i="23" s="1"/>
  <c r="G110" i="23"/>
  <c r="G111" i="23" s="1"/>
  <c r="F110" i="23"/>
  <c r="F111" i="23" s="1"/>
  <c r="E110" i="23"/>
  <c r="E112" i="23"/>
  <c r="D110" i="23"/>
  <c r="D112" i="23" s="1"/>
  <c r="C110" i="23"/>
  <c r="C112" i="23" s="1"/>
  <c r="B110" i="23"/>
  <c r="B112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Q108" i="23"/>
  <c r="Q26" i="39"/>
  <c r="P108" i="23"/>
  <c r="P26" i="39" s="1"/>
  <c r="O108" i="23"/>
  <c r="N108" i="23"/>
  <c r="N26" i="39"/>
  <c r="M108" i="23"/>
  <c r="M26" i="39" s="1"/>
  <c r="L108" i="23"/>
  <c r="K108" i="23"/>
  <c r="J108" i="23"/>
  <c r="I108" i="23"/>
  <c r="I26" i="39" s="1"/>
  <c r="H108" i="23"/>
  <c r="G108" i="23"/>
  <c r="F108" i="23"/>
  <c r="E108" i="23"/>
  <c r="D108" i="23"/>
  <c r="C108" i="23"/>
  <c r="B108" i="23"/>
  <c r="B26" i="39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Q110" i="22"/>
  <c r="Q112" i="22"/>
  <c r="P110" i="22"/>
  <c r="P112" i="22" s="1"/>
  <c r="O110" i="22"/>
  <c r="O111" i="22"/>
  <c r="N110" i="22"/>
  <c r="N112" i="22"/>
  <c r="M110" i="22"/>
  <c r="M112" i="22" s="1"/>
  <c r="L110" i="22"/>
  <c r="L111" i="22" s="1"/>
  <c r="K110" i="22"/>
  <c r="K112" i="22"/>
  <c r="F110" i="22"/>
  <c r="F111" i="22"/>
  <c r="E110" i="22"/>
  <c r="E111" i="22"/>
  <c r="D110" i="22"/>
  <c r="D112" i="22" s="1"/>
  <c r="C110" i="22"/>
  <c r="C112" i="22"/>
  <c r="B110" i="22"/>
  <c r="B112" i="22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Q108" i="22"/>
  <c r="Q25" i="39" s="1"/>
  <c r="P108" i="22"/>
  <c r="P25" i="39" s="1"/>
  <c r="O108" i="22"/>
  <c r="N108" i="22"/>
  <c r="M108" i="22"/>
  <c r="M25" i="39"/>
  <c r="L108" i="22"/>
  <c r="L25" i="39" s="1"/>
  <c r="K108" i="22"/>
  <c r="K25" i="39" s="1"/>
  <c r="J108" i="22"/>
  <c r="I108" i="22"/>
  <c r="H108" i="22"/>
  <c r="G108" i="22"/>
  <c r="G25" i="39" s="1"/>
  <c r="F108" i="22"/>
  <c r="E108" i="22"/>
  <c r="D108" i="22"/>
  <c r="C108" i="22"/>
  <c r="B108" i="22"/>
  <c r="B25" i="39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2" i="22"/>
  <c r="A25" i="39"/>
  <c r="Q110" i="21"/>
  <c r="Q112" i="21" s="1"/>
  <c r="P110" i="21"/>
  <c r="P111" i="21" s="1"/>
  <c r="O110" i="21"/>
  <c r="O112" i="21"/>
  <c r="N110" i="21"/>
  <c r="N112" i="21"/>
  <c r="M110" i="21"/>
  <c r="M112" i="21" s="1"/>
  <c r="L110" i="21"/>
  <c r="L112" i="21" s="1"/>
  <c r="K110" i="21"/>
  <c r="K111" i="21"/>
  <c r="F110" i="21"/>
  <c r="F112" i="21"/>
  <c r="E110" i="21"/>
  <c r="E112" i="21" s="1"/>
  <c r="D110" i="21"/>
  <c r="D111" i="21" s="1"/>
  <c r="C110" i="21"/>
  <c r="C112" i="21"/>
  <c r="B110" i="21"/>
  <c r="B112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Q108" i="21"/>
  <c r="P108" i="21"/>
  <c r="P24" i="39"/>
  <c r="O108" i="21"/>
  <c r="O24" i="39"/>
  <c r="N108" i="21"/>
  <c r="N24" i="39" s="1"/>
  <c r="M108" i="21"/>
  <c r="M24" i="39" s="1"/>
  <c r="L108" i="21"/>
  <c r="L24" i="39" s="1"/>
  <c r="K108" i="21"/>
  <c r="K24" i="39"/>
  <c r="J108" i="21"/>
  <c r="J24" i="39" s="1"/>
  <c r="I108" i="21"/>
  <c r="I24" i="39" s="1"/>
  <c r="H108" i="21"/>
  <c r="G108" i="21"/>
  <c r="G24" i="39" s="1"/>
  <c r="F108" i="21"/>
  <c r="F24" i="39"/>
  <c r="E108" i="21"/>
  <c r="D108" i="21"/>
  <c r="D24" i="39" s="1"/>
  <c r="C108" i="21"/>
  <c r="C24" i="39" s="1"/>
  <c r="B108" i="21"/>
  <c r="B24" i="39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2" i="21"/>
  <c r="Q110" i="20"/>
  <c r="Q111" i="20" s="1"/>
  <c r="P110" i="20"/>
  <c r="P111" i="20"/>
  <c r="O110" i="20"/>
  <c r="O112" i="20"/>
  <c r="N110" i="20"/>
  <c r="N111" i="20" s="1"/>
  <c r="M110" i="20"/>
  <c r="M112" i="20" s="1"/>
  <c r="L110" i="20"/>
  <c r="L112" i="20" s="1"/>
  <c r="K110" i="20"/>
  <c r="K112" i="20"/>
  <c r="G110" i="20"/>
  <c r="G112" i="20" s="1"/>
  <c r="F110" i="20"/>
  <c r="F112" i="20" s="1"/>
  <c r="E110" i="20"/>
  <c r="E112" i="20"/>
  <c r="D110" i="20"/>
  <c r="D111" i="20"/>
  <c r="C110" i="20"/>
  <c r="C112" i="20" s="1"/>
  <c r="B110" i="20"/>
  <c r="B112" i="20" s="1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Q108" i="20"/>
  <c r="P108" i="20"/>
  <c r="O108" i="20"/>
  <c r="N108" i="20"/>
  <c r="M108" i="20"/>
  <c r="L108" i="20"/>
  <c r="K108" i="20"/>
  <c r="K23" i="39" s="1"/>
  <c r="J108" i="20"/>
  <c r="J23" i="39" s="1"/>
  <c r="I108" i="20"/>
  <c r="I23" i="39" s="1"/>
  <c r="H108" i="20"/>
  <c r="H23" i="39"/>
  <c r="G108" i="20"/>
  <c r="F108" i="20"/>
  <c r="F23" i="39" s="1"/>
  <c r="E108" i="20"/>
  <c r="D108" i="20"/>
  <c r="D23" i="39" s="1"/>
  <c r="C108" i="20"/>
  <c r="B108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2" i="20"/>
  <c r="A23" i="39"/>
  <c r="P110" i="19"/>
  <c r="P112" i="19" s="1"/>
  <c r="O110" i="19"/>
  <c r="O112" i="19" s="1"/>
  <c r="N110" i="19"/>
  <c r="N112" i="19"/>
  <c r="M110" i="19"/>
  <c r="M111" i="19"/>
  <c r="L110" i="19"/>
  <c r="L112" i="19"/>
  <c r="G110" i="19"/>
  <c r="G112" i="19" s="1"/>
  <c r="F110" i="19"/>
  <c r="F112" i="19"/>
  <c r="E110" i="19"/>
  <c r="E111" i="19"/>
  <c r="D110" i="19"/>
  <c r="D111" i="19" s="1"/>
  <c r="C110" i="19"/>
  <c r="C111" i="19" s="1"/>
  <c r="B110" i="19"/>
  <c r="B112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Q108" i="19"/>
  <c r="P108" i="19"/>
  <c r="P22" i="39" s="1"/>
  <c r="O108" i="19"/>
  <c r="N108" i="19"/>
  <c r="M108" i="19"/>
  <c r="L108" i="19"/>
  <c r="K108" i="19"/>
  <c r="K22" i="39" s="1"/>
  <c r="J108" i="19"/>
  <c r="J22" i="39" s="1"/>
  <c r="I108" i="19"/>
  <c r="I22" i="39"/>
  <c r="H108" i="19"/>
  <c r="G108" i="19"/>
  <c r="G22" i="39" s="1"/>
  <c r="F108" i="19"/>
  <c r="F22" i="39"/>
  <c r="E108" i="19"/>
  <c r="D108" i="19"/>
  <c r="C108" i="19"/>
  <c r="B108" i="19"/>
  <c r="B22" i="3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2" i="19"/>
  <c r="A22" i="39" s="1"/>
  <c r="Q110" i="18"/>
  <c r="Q112" i="18" s="1"/>
  <c r="P110" i="18"/>
  <c r="P111" i="18"/>
  <c r="O110" i="18"/>
  <c r="O112" i="18"/>
  <c r="N110" i="18"/>
  <c r="N112" i="18" s="1"/>
  <c r="M110" i="18"/>
  <c r="M111" i="18" s="1"/>
  <c r="L110" i="18"/>
  <c r="L112" i="18" s="1"/>
  <c r="K110" i="18"/>
  <c r="K112" i="18"/>
  <c r="G110" i="18"/>
  <c r="G112" i="18" s="1"/>
  <c r="F110" i="18"/>
  <c r="F112" i="18" s="1"/>
  <c r="E110" i="18"/>
  <c r="E112" i="18"/>
  <c r="D110" i="18"/>
  <c r="D112" i="18"/>
  <c r="C110" i="18"/>
  <c r="C111" i="18" s="1"/>
  <c r="B110" i="18"/>
  <c r="B111" i="18" s="1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Q108" i="18"/>
  <c r="P108" i="18"/>
  <c r="O108" i="18"/>
  <c r="O21" i="39"/>
  <c r="N108" i="18"/>
  <c r="N21" i="39" s="1"/>
  <c r="M108" i="18"/>
  <c r="M21" i="39" s="1"/>
  <c r="L108" i="18"/>
  <c r="K108" i="18"/>
  <c r="J108" i="18"/>
  <c r="I108" i="18"/>
  <c r="I21" i="39"/>
  <c r="H108" i="18"/>
  <c r="H21" i="39" s="1"/>
  <c r="G108" i="18"/>
  <c r="F108" i="18"/>
  <c r="E108" i="18"/>
  <c r="E21" i="39" s="1"/>
  <c r="D108" i="18"/>
  <c r="C108" i="18"/>
  <c r="B108" i="18"/>
  <c r="B21" i="39" s="1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2" i="18"/>
  <c r="A21" i="39" s="1"/>
  <c r="P110" i="17"/>
  <c r="P112" i="17"/>
  <c r="O110" i="17"/>
  <c r="O112" i="17"/>
  <c r="N110" i="17"/>
  <c r="N111" i="17" s="1"/>
  <c r="M110" i="17"/>
  <c r="M112" i="17" s="1"/>
  <c r="L110" i="17"/>
  <c r="L111" i="17" s="1"/>
  <c r="K110" i="17"/>
  <c r="K111" i="17"/>
  <c r="G110" i="17"/>
  <c r="G111" i="17" s="1"/>
  <c r="F110" i="17"/>
  <c r="F111" i="17" s="1"/>
  <c r="E110" i="17"/>
  <c r="E111" i="17"/>
  <c r="D110" i="17"/>
  <c r="D111" i="17"/>
  <c r="C110" i="17"/>
  <c r="C111" i="17" s="1"/>
  <c r="B110" i="17"/>
  <c r="B112" i="17" s="1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Q108" i="17"/>
  <c r="Q20" i="39" s="1"/>
  <c r="P108" i="17"/>
  <c r="O108" i="17"/>
  <c r="O20" i="39"/>
  <c r="N108" i="17"/>
  <c r="N20" i="39"/>
  <c r="M108" i="17"/>
  <c r="L108" i="17"/>
  <c r="K108" i="17"/>
  <c r="K20" i="39" s="1"/>
  <c r="J108" i="17"/>
  <c r="J20" i="39" s="1"/>
  <c r="I108" i="17"/>
  <c r="I20" i="39"/>
  <c r="H108" i="17"/>
  <c r="H20" i="39"/>
  <c r="G108" i="17"/>
  <c r="G20" i="39" s="1"/>
  <c r="F108" i="17"/>
  <c r="E108" i="17"/>
  <c r="D108" i="17"/>
  <c r="C108" i="17"/>
  <c r="C20" i="39" s="1"/>
  <c r="B108" i="17"/>
  <c r="B20" i="39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2" i="17"/>
  <c r="P110" i="16"/>
  <c r="P112" i="16" s="1"/>
  <c r="O110" i="16"/>
  <c r="O112" i="16"/>
  <c r="N110" i="16"/>
  <c r="N112" i="16"/>
  <c r="M110" i="16"/>
  <c r="M111" i="16" s="1"/>
  <c r="L110" i="16"/>
  <c r="L112" i="16"/>
  <c r="K110" i="16"/>
  <c r="K112" i="16"/>
  <c r="G110" i="16"/>
  <c r="G112" i="16" s="1"/>
  <c r="F110" i="16"/>
  <c r="F112" i="16" s="1"/>
  <c r="E110" i="16"/>
  <c r="E112" i="16" s="1"/>
  <c r="D110" i="16"/>
  <c r="D112" i="16"/>
  <c r="C110" i="16"/>
  <c r="C112" i="16"/>
  <c r="B110" i="16"/>
  <c r="B111" i="16" s="1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Q108" i="16"/>
  <c r="Q19" i="39"/>
  <c r="P108" i="16"/>
  <c r="P19" i="39"/>
  <c r="O108" i="16"/>
  <c r="O19" i="39" s="1"/>
  <c r="N108" i="16"/>
  <c r="M108" i="16"/>
  <c r="M19" i="39"/>
  <c r="L108" i="16"/>
  <c r="K108" i="16"/>
  <c r="J108" i="16"/>
  <c r="J19" i="39" s="1"/>
  <c r="I108" i="16"/>
  <c r="I19" i="39" s="1"/>
  <c r="H108" i="16"/>
  <c r="G108" i="16"/>
  <c r="F108" i="16"/>
  <c r="F19" i="39" s="1"/>
  <c r="E108" i="16"/>
  <c r="E19" i="39" s="1"/>
  <c r="D108" i="16"/>
  <c r="D19" i="39"/>
  <c r="C108" i="16"/>
  <c r="C19" i="39"/>
  <c r="B108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2" i="16"/>
  <c r="A19" i="39"/>
  <c r="P110" i="15"/>
  <c r="P112" i="15"/>
  <c r="O110" i="15"/>
  <c r="O112" i="15"/>
  <c r="N110" i="15"/>
  <c r="N112" i="15"/>
  <c r="M110" i="15"/>
  <c r="M112" i="15"/>
  <c r="L110" i="15"/>
  <c r="L111" i="15" s="1"/>
  <c r="K110" i="15"/>
  <c r="K112" i="15" s="1"/>
  <c r="G110" i="15"/>
  <c r="G111" i="15"/>
  <c r="F110" i="15"/>
  <c r="F111" i="15"/>
  <c r="E110" i="15"/>
  <c r="E112" i="15"/>
  <c r="D110" i="15"/>
  <c r="D111" i="15"/>
  <c r="C110" i="15"/>
  <c r="C112" i="15"/>
  <c r="B110" i="15"/>
  <c r="B112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Q108" i="15"/>
  <c r="Q18" i="39" s="1"/>
  <c r="P108" i="15"/>
  <c r="O108" i="15"/>
  <c r="N108" i="15"/>
  <c r="N18" i="39"/>
  <c r="M108" i="15"/>
  <c r="M18" i="39"/>
  <c r="L108" i="15"/>
  <c r="L18" i="39"/>
  <c r="K108" i="15"/>
  <c r="K18" i="39" s="1"/>
  <c r="J108" i="15"/>
  <c r="I108" i="15"/>
  <c r="H108" i="15"/>
  <c r="G108" i="15"/>
  <c r="G18" i="39" s="1"/>
  <c r="F108" i="15"/>
  <c r="E108" i="15"/>
  <c r="D108" i="15"/>
  <c r="C108" i="15"/>
  <c r="C18" i="39"/>
  <c r="B108" i="15"/>
  <c r="B18" i="39" s="1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2" i="15"/>
  <c r="A18" i="39" s="1"/>
  <c r="P110" i="14"/>
  <c r="P112" i="14" s="1"/>
  <c r="O110" i="14"/>
  <c r="O111" i="14"/>
  <c r="N110" i="14"/>
  <c r="N112" i="14" s="1"/>
  <c r="M110" i="14"/>
  <c r="M112" i="14" s="1"/>
  <c r="L110" i="14"/>
  <c r="L111" i="14"/>
  <c r="K110" i="14"/>
  <c r="K112" i="14"/>
  <c r="G110" i="14"/>
  <c r="G112" i="14" s="1"/>
  <c r="F110" i="14"/>
  <c r="F111" i="14" s="1"/>
  <c r="E110" i="14"/>
  <c r="E112" i="14" s="1"/>
  <c r="D110" i="14"/>
  <c r="D112" i="14"/>
  <c r="C110" i="14"/>
  <c r="C112" i="14" s="1"/>
  <c r="B110" i="14"/>
  <c r="B111" i="14" s="1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Q108" i="14"/>
  <c r="Q17" i="39"/>
  <c r="P108" i="14"/>
  <c r="P17" i="39"/>
  <c r="O108" i="14"/>
  <c r="N108" i="14"/>
  <c r="M108" i="14"/>
  <c r="L108" i="14"/>
  <c r="K108" i="14"/>
  <c r="K17" i="39" s="1"/>
  <c r="J108" i="14"/>
  <c r="I108" i="14"/>
  <c r="H108" i="14"/>
  <c r="G108" i="14"/>
  <c r="G17" i="39"/>
  <c r="F108" i="14"/>
  <c r="F17" i="39" s="1"/>
  <c r="E108" i="14"/>
  <c r="D108" i="14"/>
  <c r="D17" i="39"/>
  <c r="C108" i="14"/>
  <c r="B108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2" i="14"/>
  <c r="M111" i="13"/>
  <c r="L111" i="13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Q108" i="13"/>
  <c r="Q16" i="39"/>
  <c r="P108" i="13"/>
  <c r="O108" i="13"/>
  <c r="O16" i="39"/>
  <c r="N108" i="13"/>
  <c r="M108" i="13"/>
  <c r="L108" i="13"/>
  <c r="K108" i="13"/>
  <c r="J108" i="13"/>
  <c r="J16" i="39"/>
  <c r="I108" i="13"/>
  <c r="I16" i="39"/>
  <c r="H108" i="13"/>
  <c r="H16" i="39"/>
  <c r="G108" i="13"/>
  <c r="G16" i="39"/>
  <c r="F108" i="13"/>
  <c r="E108" i="13"/>
  <c r="E16" i="39" s="1"/>
  <c r="D108" i="13"/>
  <c r="D16" i="39" s="1"/>
  <c r="C108" i="13"/>
  <c r="B108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2" i="13"/>
  <c r="A16" i="39"/>
  <c r="Q110" i="12"/>
  <c r="Q112" i="12" s="1"/>
  <c r="P110" i="12"/>
  <c r="P112" i="12" s="1"/>
  <c r="O110" i="12"/>
  <c r="O111" i="12" s="1"/>
  <c r="N110" i="12"/>
  <c r="N111" i="12"/>
  <c r="M110" i="12"/>
  <c r="M111" i="12" s="1"/>
  <c r="L110" i="12"/>
  <c r="L112" i="12" s="1"/>
  <c r="K110" i="12"/>
  <c r="K111" i="12"/>
  <c r="E110" i="12"/>
  <c r="E112" i="12"/>
  <c r="D110" i="12"/>
  <c r="D112" i="12" s="1"/>
  <c r="C110" i="12"/>
  <c r="C112" i="12" s="1"/>
  <c r="B110" i="12"/>
  <c r="B112" i="12" s="1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Q108" i="12"/>
  <c r="Q15" i="39"/>
  <c r="P108" i="12"/>
  <c r="O108" i="12"/>
  <c r="O15" i="39"/>
  <c r="N108" i="12"/>
  <c r="M108" i="12"/>
  <c r="L108" i="12"/>
  <c r="K108" i="12"/>
  <c r="J108" i="12"/>
  <c r="I108" i="12"/>
  <c r="I15" i="39" s="1"/>
  <c r="H108" i="12"/>
  <c r="G108" i="12"/>
  <c r="G15" i="39" s="1"/>
  <c r="F108" i="12"/>
  <c r="F15" i="39"/>
  <c r="E108" i="12"/>
  <c r="E15" i="39"/>
  <c r="D108" i="12"/>
  <c r="D15" i="39"/>
  <c r="C108" i="12"/>
  <c r="B108" i="12"/>
  <c r="B15" i="39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B2" i="12"/>
  <c r="A15" i="39"/>
  <c r="Q110" i="11"/>
  <c r="Q111" i="11" s="1"/>
  <c r="P110" i="11"/>
  <c r="P112" i="11" s="1"/>
  <c r="O110" i="11"/>
  <c r="O112" i="11" s="1"/>
  <c r="N110" i="11"/>
  <c r="N112" i="11"/>
  <c r="M110" i="11"/>
  <c r="M112" i="11" s="1"/>
  <c r="L110" i="11"/>
  <c r="L112" i="11" s="1"/>
  <c r="K110" i="11"/>
  <c r="K112" i="11"/>
  <c r="F110" i="11"/>
  <c r="F112" i="11"/>
  <c r="E110" i="11"/>
  <c r="E112" i="11" s="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Q108" i="11"/>
  <c r="Q14" i="39" s="1"/>
  <c r="P108" i="11"/>
  <c r="P14" i="39" s="1"/>
  <c r="O108" i="11"/>
  <c r="O14" i="39"/>
  <c r="N108" i="11"/>
  <c r="N14" i="39" s="1"/>
  <c r="M108" i="11"/>
  <c r="M14" i="39" s="1"/>
  <c r="L108" i="11"/>
  <c r="K108" i="11"/>
  <c r="K14" i="39" s="1"/>
  <c r="J108" i="11"/>
  <c r="J14" i="39" s="1"/>
  <c r="I108" i="11"/>
  <c r="H108" i="11"/>
  <c r="G108" i="11"/>
  <c r="G14" i="39" s="1"/>
  <c r="F108" i="11"/>
  <c r="E108" i="11"/>
  <c r="D108" i="11"/>
  <c r="C108" i="11"/>
  <c r="C14" i="39"/>
  <c r="B108" i="11"/>
  <c r="B14" i="39" s="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B2" i="11"/>
  <c r="A14" i="39" s="1"/>
  <c r="Q110" i="10"/>
  <c r="Q112" i="10" s="1"/>
  <c r="P110" i="10"/>
  <c r="P112" i="10"/>
  <c r="O110" i="10"/>
  <c r="O111" i="10" s="1"/>
  <c r="N110" i="10"/>
  <c r="N112" i="10"/>
  <c r="M110" i="10"/>
  <c r="M111" i="10"/>
  <c r="L110" i="10"/>
  <c r="L111" i="10"/>
  <c r="K110" i="10"/>
  <c r="K112" i="10" s="1"/>
  <c r="G110" i="10"/>
  <c r="G112" i="10" s="1"/>
  <c r="F110" i="10"/>
  <c r="F112" i="10" s="1"/>
  <c r="E110" i="10"/>
  <c r="E112" i="10"/>
  <c r="D110" i="10"/>
  <c r="D112" i="10" s="1"/>
  <c r="C110" i="10"/>
  <c r="C112" i="10"/>
  <c r="B110" i="10"/>
  <c r="B112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Q108" i="10"/>
  <c r="Q13" i="39"/>
  <c r="P108" i="10"/>
  <c r="O108" i="10"/>
  <c r="O13" i="39"/>
  <c r="N108" i="10"/>
  <c r="M108" i="10"/>
  <c r="M13" i="39" s="1"/>
  <c r="L108" i="10"/>
  <c r="L13" i="39"/>
  <c r="K108" i="10"/>
  <c r="K13" i="39" s="1"/>
  <c r="J108" i="10"/>
  <c r="I108" i="10"/>
  <c r="I13" i="39"/>
  <c r="H108" i="10"/>
  <c r="H13" i="39" s="1"/>
  <c r="G108" i="10"/>
  <c r="G13" i="39" s="1"/>
  <c r="F108" i="10"/>
  <c r="F13" i="39"/>
  <c r="E108" i="10"/>
  <c r="E13" i="39"/>
  <c r="D108" i="10"/>
  <c r="C108" i="10"/>
  <c r="C13" i="39"/>
  <c r="B108" i="10"/>
  <c r="B13" i="39" s="1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B2" i="10"/>
  <c r="A13" i="39"/>
  <c r="Q110" i="9"/>
  <c r="Q111" i="9"/>
  <c r="P110" i="9"/>
  <c r="P112" i="9"/>
  <c r="O110" i="9"/>
  <c r="O112" i="9" s="1"/>
  <c r="N110" i="9"/>
  <c r="N112" i="9" s="1"/>
  <c r="M110" i="9"/>
  <c r="M112" i="9"/>
  <c r="L110" i="9"/>
  <c r="L112" i="9"/>
  <c r="K110" i="9"/>
  <c r="K112" i="9" s="1"/>
  <c r="G110" i="9"/>
  <c r="G111" i="9"/>
  <c r="F110" i="9"/>
  <c r="F111" i="9"/>
  <c r="E110" i="9"/>
  <c r="E112" i="9"/>
  <c r="D110" i="9"/>
  <c r="D111" i="9" s="1"/>
  <c r="C110" i="9"/>
  <c r="C112" i="9" s="1"/>
  <c r="B110" i="9"/>
  <c r="B112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Q108" i="9"/>
  <c r="P108" i="9"/>
  <c r="P12" i="39" s="1"/>
  <c r="O108" i="9"/>
  <c r="N108" i="9"/>
  <c r="N12" i="39"/>
  <c r="M108" i="9"/>
  <c r="M12" i="39"/>
  <c r="L108" i="9"/>
  <c r="K108" i="9"/>
  <c r="K12" i="39" s="1"/>
  <c r="J108" i="9"/>
  <c r="J12" i="39" s="1"/>
  <c r="I108" i="9"/>
  <c r="I12" i="39" s="1"/>
  <c r="H108" i="9"/>
  <c r="H12" i="39" s="1"/>
  <c r="G108" i="9"/>
  <c r="G12" i="39"/>
  <c r="F108" i="9"/>
  <c r="E108" i="9"/>
  <c r="E12" i="39" s="1"/>
  <c r="D108" i="9"/>
  <c r="D12" i="39"/>
  <c r="C108" i="9"/>
  <c r="C12" i="39"/>
  <c r="B108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B2" i="9"/>
  <c r="A12" i="39"/>
  <c r="N112" i="8"/>
  <c r="M112" i="8"/>
  <c r="E112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Q108" i="8"/>
  <c r="Q11" i="39"/>
  <c r="P108" i="8"/>
  <c r="P11" i="39" s="1"/>
  <c r="O108" i="8"/>
  <c r="O11" i="39" s="1"/>
  <c r="N108" i="8"/>
  <c r="M108" i="8"/>
  <c r="M11" i="39"/>
  <c r="L108" i="8"/>
  <c r="L11" i="39" s="1"/>
  <c r="K108" i="8"/>
  <c r="K11" i="39" s="1"/>
  <c r="J108" i="8"/>
  <c r="I108" i="8"/>
  <c r="I11" i="39" s="1"/>
  <c r="H108" i="8"/>
  <c r="H11" i="39" s="1"/>
  <c r="G108" i="8"/>
  <c r="G11" i="39" s="1"/>
  <c r="F108" i="8"/>
  <c r="F11" i="39"/>
  <c r="E108" i="8"/>
  <c r="E11" i="39" s="1"/>
  <c r="D108" i="8"/>
  <c r="D11" i="39" s="1"/>
  <c r="C108" i="8"/>
  <c r="C11" i="39"/>
  <c r="B108" i="8"/>
  <c r="B11" i="39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B2" i="8"/>
  <c r="A11" i="39" s="1"/>
  <c r="Q112" i="3"/>
  <c r="K112" i="3"/>
  <c r="B110" i="3"/>
  <c r="B112" i="3" s="1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Q108" i="3"/>
  <c r="Q10" i="39"/>
  <c r="P108" i="3"/>
  <c r="O108" i="3"/>
  <c r="O10" i="39" s="1"/>
  <c r="N108" i="3"/>
  <c r="N10" i="39" s="1"/>
  <c r="M108" i="3"/>
  <c r="M10" i="39" s="1"/>
  <c r="L108" i="3"/>
  <c r="L10" i="39" s="1"/>
  <c r="K108" i="3"/>
  <c r="K10" i="39"/>
  <c r="J108" i="3"/>
  <c r="J10" i="39"/>
  <c r="I108" i="3"/>
  <c r="H108" i="3"/>
  <c r="H10" i="39"/>
  <c r="G108" i="3"/>
  <c r="G10" i="39" s="1"/>
  <c r="F108" i="3"/>
  <c r="F10" i="39" s="1"/>
  <c r="E108" i="3"/>
  <c r="E10" i="39"/>
  <c r="D108" i="3"/>
  <c r="D10" i="39"/>
  <c r="C108" i="3"/>
  <c r="C10" i="39" s="1"/>
  <c r="B108" i="3"/>
  <c r="B10" i="39" s="1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B2" i="3"/>
  <c r="A10" i="39" s="1"/>
  <c r="J27" i="39"/>
  <c r="I27" i="39"/>
  <c r="C27" i="39"/>
  <c r="N109" i="2"/>
  <c r="O109" i="2"/>
  <c r="P109" i="2"/>
  <c r="N108" i="2"/>
  <c r="N9" i="39" s="1"/>
  <c r="O108" i="2"/>
  <c r="P108" i="2"/>
  <c r="P9" i="39" s="1"/>
  <c r="N107" i="2"/>
  <c r="O107" i="2"/>
  <c r="P107" i="2"/>
  <c r="N106" i="2"/>
  <c r="O106" i="2"/>
  <c r="P106" i="2"/>
  <c r="K107" i="6"/>
  <c r="J107" i="6"/>
  <c r="I107" i="6"/>
  <c r="K87" i="6"/>
  <c r="J87" i="6"/>
  <c r="K67" i="6"/>
  <c r="J67" i="6"/>
  <c r="K47" i="6"/>
  <c r="J47" i="6"/>
  <c r="K27" i="6"/>
  <c r="J27" i="6"/>
  <c r="K8" i="6"/>
  <c r="J8" i="6"/>
  <c r="N17" i="39"/>
  <c r="M35" i="39"/>
  <c r="L35" i="39"/>
  <c r="K35" i="39"/>
  <c r="H35" i="39"/>
  <c r="D35" i="39"/>
  <c r="B35" i="39"/>
  <c r="A35" i="39"/>
  <c r="K92" i="6"/>
  <c r="J92" i="6"/>
  <c r="K51" i="6"/>
  <c r="J51" i="6"/>
  <c r="K50" i="6"/>
  <c r="J50" i="6"/>
  <c r="K91" i="6"/>
  <c r="J91" i="6"/>
  <c r="K90" i="6"/>
  <c r="J90" i="6"/>
  <c r="B110" i="2"/>
  <c r="B112" i="2" s="1"/>
  <c r="D112" i="2"/>
  <c r="Q112" i="2"/>
  <c r="T40" i="6"/>
  <c r="T21" i="6"/>
  <c r="K88" i="6"/>
  <c r="J88" i="6"/>
  <c r="K115" i="6"/>
  <c r="J115" i="6"/>
  <c r="I115" i="6"/>
  <c r="L12" i="39"/>
  <c r="F12" i="39"/>
  <c r="J9" i="6"/>
  <c r="K9" i="6"/>
  <c r="J10" i="6"/>
  <c r="K10" i="6"/>
  <c r="J11" i="6"/>
  <c r="K11" i="6"/>
  <c r="J12" i="6"/>
  <c r="K12" i="6"/>
  <c r="J13" i="6"/>
  <c r="K13" i="6"/>
  <c r="J14" i="6"/>
  <c r="K14" i="6"/>
  <c r="A26" i="39"/>
  <c r="C26" i="39"/>
  <c r="D26" i="39"/>
  <c r="H26" i="39"/>
  <c r="J26" i="39"/>
  <c r="K26" i="39"/>
  <c r="L26" i="39"/>
  <c r="O25" i="39"/>
  <c r="N25" i="39"/>
  <c r="J25" i="39"/>
  <c r="H25" i="39"/>
  <c r="F25" i="39"/>
  <c r="E25" i="39"/>
  <c r="D25" i="39"/>
  <c r="C25" i="39"/>
  <c r="Q24" i="39"/>
  <c r="E24" i="39"/>
  <c r="A24" i="39"/>
  <c r="Q23" i="39"/>
  <c r="M23" i="39"/>
  <c r="L23" i="39"/>
  <c r="E23" i="39"/>
  <c r="B23" i="39"/>
  <c r="Q22" i="39"/>
  <c r="N22" i="39"/>
  <c r="M22" i="39"/>
  <c r="L22" i="39"/>
  <c r="C22" i="39"/>
  <c r="Q21" i="39"/>
  <c r="P21" i="39"/>
  <c r="L21" i="39"/>
  <c r="K21" i="39"/>
  <c r="J21" i="39"/>
  <c r="G21" i="39"/>
  <c r="F21" i="39"/>
  <c r="D21" i="39"/>
  <c r="C21" i="39"/>
  <c r="M20" i="39"/>
  <c r="E20" i="39"/>
  <c r="A20" i="39"/>
  <c r="L19" i="39"/>
  <c r="K19" i="39"/>
  <c r="H19" i="39"/>
  <c r="G19" i="39"/>
  <c r="B19" i="39"/>
  <c r="J18" i="39"/>
  <c r="I18" i="39"/>
  <c r="H18" i="39"/>
  <c r="E18" i="39"/>
  <c r="D18" i="39"/>
  <c r="M17" i="39"/>
  <c r="L17" i="39"/>
  <c r="I17" i="39"/>
  <c r="C17" i="39"/>
  <c r="A17" i="39"/>
  <c r="P16" i="39"/>
  <c r="L16" i="39"/>
  <c r="F16" i="39"/>
  <c r="C16" i="39"/>
  <c r="B16" i="39"/>
  <c r="N15" i="39"/>
  <c r="M15" i="39"/>
  <c r="L15" i="39"/>
  <c r="H15" i="39"/>
  <c r="C15" i="39"/>
  <c r="L14" i="39"/>
  <c r="I14" i="39"/>
  <c r="H14" i="39"/>
  <c r="F14" i="39"/>
  <c r="E14" i="39"/>
  <c r="D14" i="39"/>
  <c r="P13" i="39"/>
  <c r="D13" i="39"/>
  <c r="B106" i="2"/>
  <c r="C106" i="2"/>
  <c r="D106" i="2"/>
  <c r="E106" i="2"/>
  <c r="F106" i="2"/>
  <c r="G106" i="2"/>
  <c r="H106" i="2"/>
  <c r="I106" i="2"/>
  <c r="J106" i="2"/>
  <c r="K106" i="2"/>
  <c r="L106" i="2"/>
  <c r="M106" i="2"/>
  <c r="Q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Q107" i="2"/>
  <c r="B108" i="2"/>
  <c r="B9" i="39" s="1"/>
  <c r="C108" i="2"/>
  <c r="C9" i="39" s="1"/>
  <c r="D108" i="2"/>
  <c r="D9" i="39" s="1"/>
  <c r="E108" i="2"/>
  <c r="E9" i="39"/>
  <c r="F108" i="2"/>
  <c r="F9" i="39"/>
  <c r="G108" i="2"/>
  <c r="G9" i="39" s="1"/>
  <c r="H108" i="2"/>
  <c r="H9" i="39"/>
  <c r="I108" i="2"/>
  <c r="J108" i="2"/>
  <c r="J9" i="39" s="1"/>
  <c r="K108" i="2"/>
  <c r="K9" i="39"/>
  <c r="L108" i="2"/>
  <c r="L9" i="39"/>
  <c r="M108" i="2"/>
  <c r="M9" i="39" s="1"/>
  <c r="Q108" i="2"/>
  <c r="Q9" i="39" s="1"/>
  <c r="B109" i="2"/>
  <c r="C109" i="2"/>
  <c r="D109" i="2"/>
  <c r="E109" i="2"/>
  <c r="F109" i="2"/>
  <c r="G109" i="2"/>
  <c r="H109" i="2"/>
  <c r="I109" i="2"/>
  <c r="J109" i="2"/>
  <c r="K109" i="2"/>
  <c r="L109" i="2"/>
  <c r="M109" i="2"/>
  <c r="Q109" i="2"/>
  <c r="N36" i="39"/>
  <c r="K36" i="39"/>
  <c r="G36" i="39"/>
  <c r="E36" i="39"/>
  <c r="D36" i="39"/>
  <c r="C36" i="39"/>
  <c r="A36" i="39"/>
  <c r="P35" i="39"/>
  <c r="G35" i="39"/>
  <c r="E35" i="39"/>
  <c r="C35" i="39"/>
  <c r="M34" i="39"/>
  <c r="L34" i="39"/>
  <c r="K34" i="39"/>
  <c r="J34" i="39"/>
  <c r="I34" i="39"/>
  <c r="H34" i="39"/>
  <c r="F34" i="39"/>
  <c r="M33" i="39"/>
  <c r="L33" i="39"/>
  <c r="J33" i="39"/>
  <c r="I33" i="39"/>
  <c r="H33" i="39"/>
  <c r="Q32" i="39"/>
  <c r="O32" i="39"/>
  <c r="N32" i="39"/>
  <c r="K32" i="39"/>
  <c r="I32" i="39"/>
  <c r="G32" i="39"/>
  <c r="F32" i="39"/>
  <c r="C32" i="39"/>
  <c r="B32" i="39"/>
  <c r="Q31" i="39"/>
  <c r="P31" i="39"/>
  <c r="M31" i="39"/>
  <c r="J31" i="39"/>
  <c r="F31" i="39"/>
  <c r="P30" i="39"/>
  <c r="L30" i="39"/>
  <c r="I30" i="39"/>
  <c r="F30" i="39"/>
  <c r="C30" i="39"/>
  <c r="B30" i="39"/>
  <c r="M29" i="39"/>
  <c r="K29" i="39"/>
  <c r="I29" i="39"/>
  <c r="H29" i="39"/>
  <c r="G29" i="39"/>
  <c r="F29" i="39"/>
  <c r="E29" i="39"/>
  <c r="P28" i="39"/>
  <c r="N28" i="39"/>
  <c r="M28" i="39"/>
  <c r="K28" i="39"/>
  <c r="F28" i="39"/>
  <c r="B28" i="39"/>
  <c r="P27" i="39"/>
  <c r="O27" i="39"/>
  <c r="M27" i="39"/>
  <c r="L27" i="39"/>
  <c r="H27" i="39"/>
  <c r="G27" i="39"/>
  <c r="B27" i="39"/>
  <c r="O26" i="39"/>
  <c r="G26" i="39"/>
  <c r="I25" i="39"/>
  <c r="H24" i="39"/>
  <c r="N23" i="39"/>
  <c r="C23" i="39"/>
  <c r="O22" i="39"/>
  <c r="D22" i="39"/>
  <c r="P20" i="39"/>
  <c r="F20" i="39"/>
  <c r="D20" i="39"/>
  <c r="F18" i="39"/>
  <c r="E17" i="39"/>
  <c r="M16" i="39"/>
  <c r="K16" i="39"/>
  <c r="K15" i="39"/>
  <c r="J15" i="39"/>
  <c r="Q12" i="39"/>
  <c r="O12" i="39"/>
  <c r="B12" i="39"/>
  <c r="N11" i="39"/>
  <c r="P10" i="39"/>
  <c r="E34" i="39"/>
  <c r="E26" i="39"/>
  <c r="P23" i="39"/>
  <c r="P18" i="39"/>
  <c r="P15" i="39"/>
  <c r="B2" i="2"/>
  <c r="A9" i="39" s="1"/>
  <c r="B2" i="39" s="1"/>
  <c r="D2" i="5" s="1"/>
  <c r="E22" i="39"/>
  <c r="K49" i="6"/>
  <c r="J49" i="6"/>
  <c r="K48" i="6"/>
  <c r="J48" i="6"/>
  <c r="I108" i="6"/>
  <c r="J108" i="6"/>
  <c r="K108" i="6"/>
  <c r="I109" i="6"/>
  <c r="J109" i="6"/>
  <c r="K109" i="6"/>
  <c r="I110" i="6"/>
  <c r="J110" i="6"/>
  <c r="K110" i="6"/>
  <c r="I111" i="6"/>
  <c r="J111" i="6"/>
  <c r="K111" i="6"/>
  <c r="I112" i="6"/>
  <c r="J112" i="6"/>
  <c r="K112" i="6"/>
  <c r="J89" i="6"/>
  <c r="K89" i="6"/>
  <c r="J68" i="6"/>
  <c r="K68" i="6"/>
  <c r="J69" i="6"/>
  <c r="K69" i="6"/>
  <c r="J70" i="6"/>
  <c r="K70" i="6"/>
  <c r="J71" i="6"/>
  <c r="K71" i="6"/>
  <c r="O36" i="39"/>
  <c r="J36" i="39"/>
  <c r="B36" i="39"/>
  <c r="N35" i="39"/>
  <c r="G34" i="39"/>
  <c r="J32" i="39"/>
  <c r="H32" i="39"/>
  <c r="D32" i="39"/>
  <c r="N29" i="39"/>
  <c r="B29" i="39"/>
  <c r="O23" i="39"/>
  <c r="G23" i="39"/>
  <c r="J11" i="39"/>
  <c r="J41" i="6"/>
  <c r="I113" i="6"/>
  <c r="I114" i="6"/>
  <c r="J113" i="6"/>
  <c r="K113" i="6"/>
  <c r="J114" i="6"/>
  <c r="K114" i="6"/>
  <c r="J72" i="6"/>
  <c r="K72" i="6"/>
  <c r="J73" i="6"/>
  <c r="K73" i="6"/>
  <c r="J29" i="6"/>
  <c r="K29" i="6"/>
  <c r="J30" i="6"/>
  <c r="K30" i="6"/>
  <c r="J31" i="6"/>
  <c r="K31" i="6"/>
  <c r="J32" i="6"/>
  <c r="K32" i="6"/>
  <c r="J33" i="6"/>
  <c r="K33" i="6"/>
  <c r="G33" i="39"/>
  <c r="N31" i="39"/>
  <c r="G31" i="39"/>
  <c r="F26" i="39"/>
  <c r="L20" i="39"/>
  <c r="N19" i="39"/>
  <c r="O18" i="39"/>
  <c r="O17" i="39"/>
  <c r="J17" i="39"/>
  <c r="H17" i="39"/>
  <c r="B17" i="39"/>
  <c r="N16" i="39"/>
  <c r="K28" i="6"/>
  <c r="J28" i="6"/>
  <c r="N13" i="39"/>
  <c r="J13" i="39"/>
  <c r="D9" i="5"/>
  <c r="D24" i="5" s="1"/>
  <c r="D10" i="5"/>
  <c r="I119" i="6"/>
  <c r="J101" i="6"/>
  <c r="J81" i="6"/>
  <c r="J61" i="6"/>
  <c r="I21" i="6"/>
  <c r="O9" i="39"/>
  <c r="D8" i="5"/>
  <c r="D20" i="5"/>
  <c r="D21" i="5"/>
  <c r="D22" i="5"/>
  <c r="D23" i="5"/>
  <c r="D11" i="5"/>
  <c r="D12" i="5"/>
  <c r="D13" i="5"/>
  <c r="D14" i="5"/>
  <c r="D15" i="5"/>
  <c r="D16" i="5"/>
  <c r="D17" i="5"/>
  <c r="D18" i="5"/>
  <c r="D19" i="5"/>
  <c r="P111" i="33"/>
  <c r="O111" i="33"/>
  <c r="N111" i="33"/>
  <c r="M111" i="33"/>
  <c r="L111" i="33"/>
  <c r="I111" i="33"/>
  <c r="F111" i="33"/>
  <c r="B111" i="33"/>
  <c r="Q111" i="32"/>
  <c r="O111" i="32"/>
  <c r="M111" i="32"/>
  <c r="K111" i="32"/>
  <c r="G111" i="32"/>
  <c r="F111" i="32"/>
  <c r="D111" i="32"/>
  <c r="O111" i="31"/>
  <c r="N111" i="31"/>
  <c r="L111" i="31"/>
  <c r="E111" i="31"/>
  <c r="D111" i="31"/>
  <c r="C111" i="31"/>
  <c r="B111" i="31"/>
  <c r="O111" i="30"/>
  <c r="N111" i="30"/>
  <c r="M111" i="30"/>
  <c r="E111" i="30"/>
  <c r="D111" i="30"/>
  <c r="B111" i="30"/>
  <c r="P111" i="29"/>
  <c r="N111" i="29"/>
  <c r="M111" i="29"/>
  <c r="L111" i="29"/>
  <c r="K111" i="29"/>
  <c r="E111" i="29"/>
  <c r="D111" i="29"/>
  <c r="C111" i="29"/>
  <c r="B111" i="29"/>
  <c r="Q111" i="28"/>
  <c r="O111" i="28"/>
  <c r="N111" i="28"/>
  <c r="M111" i="28"/>
  <c r="K111" i="28"/>
  <c r="G111" i="28"/>
  <c r="D111" i="28"/>
  <c r="C111" i="28"/>
  <c r="P111" i="27"/>
  <c r="N111" i="27"/>
  <c r="M111" i="27"/>
  <c r="E111" i="27"/>
  <c r="B111" i="27"/>
  <c r="N111" i="26"/>
  <c r="L111" i="26"/>
  <c r="K111" i="26"/>
  <c r="D111" i="26"/>
  <c r="P111" i="24"/>
  <c r="O111" i="24"/>
  <c r="N111" i="24"/>
  <c r="L111" i="24"/>
  <c r="K111" i="24"/>
  <c r="Q111" i="24"/>
  <c r="F111" i="24"/>
  <c r="D111" i="24"/>
  <c r="C111" i="24"/>
  <c r="P111" i="23"/>
  <c r="N111" i="23"/>
  <c r="M111" i="23"/>
  <c r="L111" i="23"/>
  <c r="K111" i="23"/>
  <c r="E111" i="23"/>
  <c r="D111" i="23"/>
  <c r="B111" i="23"/>
  <c r="P111" i="22"/>
  <c r="N111" i="22"/>
  <c r="M111" i="22"/>
  <c r="K111" i="22"/>
  <c r="D111" i="22"/>
  <c r="C111" i="22"/>
  <c r="B111" i="22"/>
  <c r="Q111" i="21"/>
  <c r="N111" i="21"/>
  <c r="M111" i="21"/>
  <c r="L111" i="21"/>
  <c r="E111" i="21"/>
  <c r="C111" i="21"/>
  <c r="B111" i="21"/>
  <c r="O111" i="20"/>
  <c r="M111" i="20"/>
  <c r="L111" i="20"/>
  <c r="K111" i="20"/>
  <c r="G111" i="20"/>
  <c r="E111" i="20"/>
  <c r="B111" i="20"/>
  <c r="P111" i="19"/>
  <c r="O111" i="19"/>
  <c r="N111" i="19"/>
  <c r="L111" i="19"/>
  <c r="H111" i="19"/>
  <c r="G111" i="19"/>
  <c r="F111" i="19"/>
  <c r="B111" i="19"/>
  <c r="O111" i="18"/>
  <c r="N111" i="18"/>
  <c r="L111" i="18"/>
  <c r="G111" i="18"/>
  <c r="E111" i="18"/>
  <c r="D111" i="18"/>
  <c r="P111" i="17"/>
  <c r="O111" i="17"/>
  <c r="B111" i="17"/>
  <c r="O111" i="16"/>
  <c r="N111" i="16"/>
  <c r="L111" i="16"/>
  <c r="G111" i="16"/>
  <c r="F111" i="16"/>
  <c r="E111" i="16"/>
  <c r="D111" i="16"/>
  <c r="P111" i="15"/>
  <c r="O111" i="15"/>
  <c r="N111" i="15"/>
  <c r="M111" i="15"/>
  <c r="K111" i="15"/>
  <c r="J111" i="15"/>
  <c r="E111" i="15"/>
  <c r="C111" i="15"/>
  <c r="B111" i="15"/>
  <c r="P111" i="14"/>
  <c r="N111" i="14"/>
  <c r="K111" i="14"/>
  <c r="G111" i="14"/>
  <c r="E111" i="14"/>
  <c r="C111" i="14"/>
  <c r="Q111" i="12"/>
  <c r="P111" i="12"/>
  <c r="E111" i="12"/>
  <c r="D111" i="12"/>
  <c r="C111" i="12"/>
  <c r="O111" i="11"/>
  <c r="N111" i="11"/>
  <c r="M111" i="11"/>
  <c r="K111" i="11"/>
  <c r="E111" i="11"/>
  <c r="Q111" i="10"/>
  <c r="P111" i="10"/>
  <c r="N111" i="10"/>
  <c r="K111" i="10"/>
  <c r="G111" i="10"/>
  <c r="F111" i="10"/>
  <c r="C111" i="10"/>
  <c r="B111" i="10"/>
  <c r="P111" i="9"/>
  <c r="N111" i="9"/>
  <c r="M111" i="9"/>
  <c r="K111" i="9"/>
  <c r="E111" i="9"/>
  <c r="C111" i="9"/>
  <c r="M111" i="8"/>
  <c r="E111" i="8"/>
  <c r="D111" i="8"/>
  <c r="Q111" i="3"/>
  <c r="P111" i="3"/>
  <c r="H111" i="3"/>
  <c r="G111" i="3"/>
  <c r="C112" i="30"/>
  <c r="C112" i="17"/>
  <c r="D112" i="3"/>
  <c r="M111" i="2"/>
  <c r="K112" i="2"/>
  <c r="Q111" i="2"/>
  <c r="D111" i="2"/>
  <c r="L112" i="10"/>
  <c r="M112" i="10"/>
  <c r="E111" i="10"/>
  <c r="L111" i="9"/>
  <c r="E112" i="2"/>
  <c r="C112" i="2"/>
  <c r="N111" i="2"/>
  <c r="B111" i="3"/>
  <c r="L111" i="2"/>
  <c r="M111" i="3"/>
  <c r="J111" i="10"/>
  <c r="H112" i="9"/>
  <c r="B111" i="9"/>
  <c r="J112" i="8"/>
  <c r="P111" i="8"/>
  <c r="L111" i="8"/>
  <c r="O111" i="8"/>
  <c r="H112" i="8"/>
  <c r="N111" i="8"/>
  <c r="J112" i="12"/>
  <c r="O112" i="12"/>
  <c r="J112" i="11"/>
  <c r="Q112" i="11"/>
  <c r="P111" i="11"/>
  <c r="G111" i="11"/>
  <c r="C111" i="16"/>
  <c r="I112" i="16"/>
  <c r="P111" i="16"/>
  <c r="I111" i="15"/>
  <c r="H112" i="14"/>
  <c r="J112" i="14"/>
  <c r="B112" i="18"/>
  <c r="J111" i="17"/>
  <c r="I112" i="17"/>
  <c r="H111" i="17"/>
  <c r="N112" i="17"/>
  <c r="L112" i="17"/>
  <c r="M111" i="17"/>
  <c r="K112" i="17"/>
  <c r="D112" i="17"/>
  <c r="E112" i="17"/>
  <c r="I112" i="20"/>
  <c r="J112" i="20"/>
  <c r="J112" i="19"/>
  <c r="E112" i="19"/>
  <c r="M112" i="19"/>
  <c r="C112" i="19"/>
  <c r="P112" i="25"/>
  <c r="O112" i="25"/>
  <c r="L111" i="25"/>
  <c r="J111" i="25"/>
  <c r="H112" i="25"/>
  <c r="G112" i="25"/>
  <c r="F111" i="25"/>
  <c r="Q112" i="25"/>
  <c r="K112" i="25"/>
  <c r="I112" i="25"/>
  <c r="J112" i="24"/>
  <c r="I111" i="24"/>
  <c r="H112" i="24"/>
  <c r="J111" i="23"/>
  <c r="Q111" i="23"/>
  <c r="O111" i="23"/>
  <c r="I112" i="23"/>
  <c r="G112" i="23"/>
  <c r="J111" i="22"/>
  <c r="O112" i="22"/>
  <c r="P112" i="21"/>
  <c r="D112" i="27"/>
  <c r="C112" i="27"/>
  <c r="H111" i="27"/>
  <c r="Q111" i="27"/>
  <c r="Q112" i="26"/>
  <c r="J112" i="26"/>
  <c r="E111" i="26"/>
  <c r="P112" i="26"/>
  <c r="K111" i="27"/>
  <c r="J111" i="27"/>
  <c r="B112" i="32"/>
  <c r="J112" i="32"/>
  <c r="H112" i="32"/>
  <c r="P111" i="31"/>
  <c r="H111" i="30"/>
  <c r="I111" i="29"/>
  <c r="O111" i="29"/>
  <c r="G112" i="29"/>
  <c r="I111" i="28"/>
  <c r="H112" i="28"/>
  <c r="B111" i="28"/>
  <c r="J111" i="33"/>
  <c r="P111" i="2"/>
  <c r="F111" i="2"/>
  <c r="B111" i="2"/>
  <c r="J112" i="3"/>
  <c r="L112" i="3"/>
  <c r="C112" i="3"/>
  <c r="F112" i="9"/>
  <c r="J111" i="9"/>
  <c r="Q112" i="9"/>
  <c r="D112" i="9"/>
  <c r="O111" i="9"/>
  <c r="D111" i="10"/>
  <c r="O112" i="10"/>
  <c r="H111" i="10"/>
  <c r="F111" i="11"/>
  <c r="M112" i="12"/>
  <c r="K112" i="12"/>
  <c r="M112" i="13"/>
  <c r="H111" i="13"/>
  <c r="F112" i="14"/>
  <c r="D111" i="14"/>
  <c r="O112" i="14"/>
  <c r="L112" i="15"/>
  <c r="G112" i="15"/>
  <c r="H112" i="15"/>
  <c r="H112" i="16"/>
  <c r="K111" i="16"/>
  <c r="M112" i="18"/>
  <c r="C112" i="18"/>
  <c r="K111" i="18"/>
  <c r="P112" i="20"/>
  <c r="C111" i="20"/>
  <c r="H111" i="20"/>
  <c r="N112" i="20"/>
  <c r="F111" i="21"/>
  <c r="D112" i="21"/>
  <c r="O111" i="21"/>
  <c r="I112" i="21"/>
  <c r="L112" i="22"/>
  <c r="F112" i="22"/>
  <c r="F112" i="23"/>
  <c r="M112" i="26"/>
  <c r="G112" i="27"/>
  <c r="Q112" i="29"/>
  <c r="F111" i="30"/>
  <c r="Q112" i="30"/>
  <c r="M112" i="31"/>
  <c r="K112" i="31"/>
  <c r="J112" i="31"/>
  <c r="E112" i="32"/>
  <c r="P111" i="32"/>
  <c r="C112" i="32"/>
  <c r="N112" i="32"/>
  <c r="K112" i="33"/>
  <c r="E111" i="33"/>
  <c r="Q112" i="33"/>
  <c r="I111" i="10"/>
  <c r="I111" i="9"/>
  <c r="G112" i="9"/>
  <c r="I111" i="8"/>
  <c r="G112" i="8"/>
  <c r="C112" i="8"/>
  <c r="B112" i="8"/>
  <c r="Q111" i="8"/>
  <c r="K112" i="8"/>
  <c r="I111" i="3"/>
  <c r="N111" i="3"/>
  <c r="E111" i="3"/>
  <c r="J111" i="2"/>
  <c r="I111" i="2"/>
  <c r="H111" i="2"/>
  <c r="O111" i="2"/>
  <c r="G111" i="2"/>
  <c r="Q112" i="14"/>
  <c r="I112" i="14"/>
  <c r="L112" i="14"/>
  <c r="Q111" i="13"/>
  <c r="P112" i="13"/>
  <c r="O112" i="13"/>
  <c r="J112" i="13"/>
  <c r="F111" i="13"/>
  <c r="C112" i="13"/>
  <c r="B111" i="13"/>
  <c r="E111" i="13"/>
  <c r="D111" i="13"/>
  <c r="K111" i="13"/>
  <c r="G111" i="13"/>
  <c r="I111" i="13"/>
  <c r="L112" i="13"/>
  <c r="F111" i="12"/>
  <c r="I112" i="12"/>
  <c r="G111" i="12"/>
  <c r="B111" i="12"/>
  <c r="N112" i="12"/>
  <c r="H111" i="12"/>
  <c r="D111" i="11"/>
  <c r="C111" i="11"/>
  <c r="B111" i="11"/>
  <c r="H112" i="11"/>
  <c r="I112" i="11"/>
  <c r="J112" i="18"/>
  <c r="I112" i="18"/>
  <c r="H111" i="18"/>
  <c r="P112" i="18"/>
  <c r="Q112" i="17"/>
  <c r="G112" i="17"/>
  <c r="Q111" i="16"/>
  <c r="B112" i="16"/>
  <c r="M112" i="16"/>
  <c r="Q112" i="15"/>
  <c r="F112" i="15"/>
  <c r="D112" i="15"/>
  <c r="D112" i="20"/>
  <c r="Q111" i="19"/>
  <c r="K111" i="19"/>
  <c r="I111" i="19"/>
  <c r="D112" i="19"/>
  <c r="H22" i="39"/>
  <c r="N112" i="25"/>
  <c r="H112" i="22"/>
  <c r="G111" i="22"/>
  <c r="Q111" i="22"/>
  <c r="E112" i="22"/>
  <c r="I111" i="22"/>
  <c r="H111" i="21"/>
  <c r="K112" i="21"/>
  <c r="J112" i="21"/>
  <c r="D112" i="25"/>
  <c r="C111" i="25"/>
  <c r="B111" i="25"/>
  <c r="E111" i="25"/>
  <c r="M112" i="25"/>
  <c r="G112" i="24"/>
  <c r="E111" i="24"/>
  <c r="I111" i="26"/>
  <c r="F111" i="26"/>
  <c r="G112" i="26"/>
  <c r="C112" i="26"/>
  <c r="B111" i="26"/>
  <c r="J112" i="29"/>
  <c r="F112" i="29"/>
  <c r="J111" i="28"/>
  <c r="F111" i="28"/>
  <c r="E112" i="28"/>
  <c r="P111" i="28"/>
  <c r="F111" i="27"/>
  <c r="O111" i="27"/>
  <c r="I112" i="32"/>
  <c r="G111" i="31"/>
  <c r="F112" i="31"/>
  <c r="H112" i="31"/>
  <c r="J112" i="30"/>
  <c r="L112" i="30"/>
  <c r="K111" i="30"/>
  <c r="P112" i="30"/>
  <c r="G112" i="30"/>
  <c r="I111" i="31"/>
  <c r="H111" i="33"/>
  <c r="C112" i="33"/>
  <c r="D112" i="33"/>
  <c r="G112" i="33"/>
  <c r="E39" i="39" l="1"/>
  <c r="O41" i="39"/>
  <c r="O38" i="39"/>
  <c r="O42" i="39"/>
  <c r="O39" i="39"/>
  <c r="D41" i="39"/>
  <c r="D40" i="39"/>
  <c r="D42" i="39"/>
  <c r="D38" i="39"/>
  <c r="D39" i="39"/>
  <c r="H41" i="39"/>
  <c r="H39" i="39"/>
  <c r="H40" i="39"/>
  <c r="H42" i="39"/>
  <c r="H38" i="39"/>
  <c r="O40" i="39"/>
  <c r="Q41" i="39"/>
  <c r="Q39" i="39"/>
  <c r="Q40" i="39"/>
  <c r="Q42" i="39"/>
  <c r="Q38" i="39"/>
  <c r="C41" i="39"/>
  <c r="C38" i="39"/>
  <c r="C42" i="39"/>
  <c r="C39" i="39"/>
  <c r="C40" i="39"/>
  <c r="I42" i="39"/>
  <c r="I40" i="39"/>
  <c r="I38" i="39"/>
  <c r="I41" i="39"/>
  <c r="I39" i="39"/>
  <c r="M42" i="39"/>
  <c r="M39" i="39"/>
  <c r="M41" i="39"/>
  <c r="M40" i="39"/>
  <c r="M38" i="39"/>
  <c r="K41" i="39"/>
  <c r="K39" i="39"/>
  <c r="K42" i="39"/>
  <c r="K40" i="39"/>
  <c r="K38" i="39"/>
  <c r="P40" i="39"/>
  <c r="P42" i="39"/>
  <c r="P39" i="39"/>
  <c r="P41" i="39"/>
  <c r="P38" i="39"/>
  <c r="B42" i="39"/>
  <c r="B40" i="39"/>
  <c r="B41" i="39"/>
  <c r="B38" i="39"/>
  <c r="B39" i="39"/>
  <c r="N40" i="39"/>
  <c r="N42" i="39"/>
  <c r="N38" i="39"/>
  <c r="N41" i="39"/>
  <c r="N39" i="39"/>
  <c r="F38" i="39"/>
  <c r="F42" i="39"/>
  <c r="F40" i="39"/>
  <c r="F39" i="39"/>
  <c r="F41" i="39"/>
  <c r="J41" i="39"/>
  <c r="J39" i="39"/>
  <c r="J40" i="39"/>
  <c r="J42" i="39"/>
  <c r="J38" i="39"/>
  <c r="D44" i="5"/>
  <c r="G40" i="39"/>
  <c r="G39" i="39"/>
  <c r="G42" i="39"/>
  <c r="G41" i="39"/>
  <c r="G38" i="39"/>
  <c r="L39" i="39"/>
  <c r="L40" i="39"/>
  <c r="L42" i="39"/>
  <c r="L41" i="39"/>
  <c r="L38" i="39"/>
  <c r="E42" i="39"/>
  <c r="E41" i="39"/>
  <c r="E38" i="39"/>
  <c r="E40" i="39"/>
  <c r="Q111" i="18"/>
  <c r="Q112" i="20"/>
  <c r="C111" i="23"/>
  <c r="M111" i="24"/>
  <c r="L111" i="32"/>
  <c r="M111" i="14"/>
  <c r="L111" i="28"/>
  <c r="L112" i="27"/>
  <c r="L111" i="11"/>
  <c r="H111" i="23"/>
  <c r="B112" i="14"/>
  <c r="G112" i="21"/>
  <c r="O112" i="3"/>
  <c r="N112" i="13"/>
  <c r="I112" i="30"/>
  <c r="B111" i="24"/>
  <c r="H112" i="26"/>
  <c r="F112" i="17"/>
  <c r="F112" i="3"/>
  <c r="L111" i="12"/>
  <c r="F111" i="18"/>
  <c r="F111" i="20"/>
  <c r="J111" i="16"/>
  <c r="H111" i="29"/>
  <c r="B43" i="39" l="1"/>
  <c r="B44" i="39"/>
  <c r="E43" i="39"/>
  <c r="E44" i="39"/>
  <c r="H44" i="39"/>
  <c r="H43" i="39"/>
  <c r="I44" i="39"/>
  <c r="I43" i="39"/>
  <c r="P43" i="39"/>
  <c r="P44" i="39"/>
  <c r="C44" i="39"/>
  <c r="C43" i="39"/>
  <c r="D43" i="39"/>
  <c r="D44" i="39"/>
  <c r="M43" i="39"/>
  <c r="M44" i="39"/>
  <c r="L44" i="39"/>
  <c r="L43" i="39"/>
  <c r="K43" i="39"/>
  <c r="K44" i="39"/>
  <c r="F43" i="39"/>
  <c r="F44" i="39"/>
  <c r="G44" i="39"/>
  <c r="G43" i="39"/>
  <c r="J44" i="39"/>
  <c r="J43" i="39"/>
  <c r="N44" i="39"/>
  <c r="N43" i="39"/>
  <c r="O44" i="39"/>
  <c r="O43" i="39"/>
  <c r="Q43" i="39"/>
  <c r="Q44" i="39"/>
</calcChain>
</file>

<file path=xl/sharedStrings.xml><?xml version="1.0" encoding="utf-8"?>
<sst xmlns="http://schemas.openxmlformats.org/spreadsheetml/2006/main" count="6103" uniqueCount="2937">
  <si>
    <t>Date:</t>
  </si>
  <si>
    <t>SO2</t>
  </si>
  <si>
    <t>NOX</t>
  </si>
  <si>
    <t>CO</t>
  </si>
  <si>
    <t>O3</t>
  </si>
  <si>
    <t>Status</t>
  </si>
  <si>
    <t>Start Date</t>
  </si>
  <si>
    <t>Stop Date</t>
  </si>
  <si>
    <t>Duration  (HH:MM)</t>
  </si>
  <si>
    <t>Report: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</si>
  <si>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</si>
  <si>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</si>
  <si>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</si>
  <si>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</si>
  <si>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</si>
  <si>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</si>
  <si>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</si>
  <si>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</si>
  <si>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</si>
  <si>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</si>
  <si>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</si>
  <si>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Month of</t>
  </si>
  <si>
    <t>TOTAL</t>
  </si>
  <si>
    <t>NH3</t>
  </si>
  <si>
    <t>VOC</t>
  </si>
  <si>
    <r>
      <t>NO OF VALID CALIBRATION OF SO2</t>
    </r>
    <r>
      <rPr>
        <b/>
        <sz val="10"/>
        <color indexed="9"/>
        <rFont val="Arial"/>
        <family val="2"/>
      </rPr>
      <t xml:space="preserve"> ARE </t>
    </r>
  </si>
  <si>
    <r>
      <t>No. OF VALID CALIBRATION OF NOX</t>
    </r>
    <r>
      <rPr>
        <b/>
        <sz val="10"/>
        <color indexed="9"/>
        <rFont val="Arial"/>
        <family val="2"/>
      </rPr>
      <t xml:space="preserve"> ARE </t>
    </r>
  </si>
  <si>
    <r>
      <t>No. OF VALID CALIBRATION OF NH3</t>
    </r>
    <r>
      <rPr>
        <b/>
        <sz val="10"/>
        <color indexed="9"/>
        <rFont val="Arial"/>
        <family val="2"/>
      </rPr>
      <t xml:space="preserve"> ARE </t>
    </r>
  </si>
  <si>
    <r>
      <t>No. OF VALID CALIBRATION OF CO</t>
    </r>
    <r>
      <rPr>
        <b/>
        <sz val="10"/>
        <color indexed="9"/>
        <rFont val="Arial"/>
        <family val="2"/>
      </rPr>
      <t xml:space="preserve"> ARE </t>
    </r>
  </si>
  <si>
    <r>
      <t>No. OF VALID CALIBRATION OF VOC</t>
    </r>
    <r>
      <rPr>
        <b/>
        <sz val="10"/>
        <color indexed="9"/>
        <rFont val="Arial"/>
        <family val="2"/>
      </rPr>
      <t xml:space="preserve"> ARE </t>
    </r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</si>
  <si>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</si>
  <si>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</si>
  <si>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</si>
  <si>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</si>
  <si>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</si>
  <si>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</si>
  <si>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</si>
  <si>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</si>
  <si>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</si>
  <si>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</si>
  <si>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</si>
  <si>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</si>
  <si>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</si>
  <si>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</si>
  <si>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</si>
  <si>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</si>
  <si>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</si>
  <si>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</si>
  <si>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</si>
  <si>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</si>
  <si>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</si>
  <si>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</si>
  <si>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</si>
  <si>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</si>
  <si>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</si>
  <si>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</si>
  <si>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</si>
  <si>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</si>
  <si>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</si>
  <si>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</si>
  <si>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</si>
  <si>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</si>
  <si>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</si>
  <si>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</si>
  <si>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</si>
  <si>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</si>
  <si>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</si>
  <si>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Valid</t>
  </si>
  <si>
    <t>Nox</t>
  </si>
  <si>
    <r>
      <t>NO OF VALID CALIBRATION OF O3</t>
    </r>
    <r>
      <rPr>
        <b/>
        <sz val="10"/>
        <color indexed="9"/>
        <rFont val="Arial"/>
        <family val="2"/>
      </rPr>
      <t xml:space="preserve"> ARE </t>
    </r>
  </si>
  <si>
    <t>PM 10</t>
  </si>
  <si>
    <t>PM 2.5</t>
  </si>
  <si>
    <t>Referance Gauge</t>
  </si>
  <si>
    <t>Measure</t>
  </si>
  <si>
    <t>Old K</t>
  </si>
  <si>
    <t>New K</t>
  </si>
  <si>
    <t>Blanks Count</t>
  </si>
  <si>
    <t>Stdev</t>
  </si>
  <si>
    <t>DATE</t>
  </si>
  <si>
    <t xml:space="preserve"> Ref .ratio</t>
  </si>
  <si>
    <t xml:space="preserve"> Raw sig</t>
  </si>
  <si>
    <t>Raw trend</t>
  </si>
  <si>
    <t>RPM</t>
  </si>
  <si>
    <t xml:space="preserve"> +24v</t>
  </si>
  <si>
    <r>
      <t>NO OF VALID CALIBRATION OF PM 10</t>
    </r>
    <r>
      <rPr>
        <b/>
        <sz val="10"/>
        <color indexed="9"/>
        <rFont val="Arial"/>
        <family val="2"/>
      </rPr>
      <t xml:space="preserve"> ARE </t>
    </r>
  </si>
  <si>
    <r>
      <t>NO OF VALID CALIBRATION OF PM 2.5</t>
    </r>
    <r>
      <rPr>
        <b/>
        <sz val="10"/>
        <color indexed="9"/>
        <rFont val="Arial"/>
        <family val="2"/>
      </rPr>
      <t xml:space="preserve"> ARE </t>
    </r>
  </si>
  <si>
    <t>Int. T</t>
  </si>
  <si>
    <t>GND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</si>
  <si>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</si>
  <si>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</si>
  <si>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</si>
  <si>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</si>
  <si>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</si>
  <si>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</si>
  <si>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</si>
  <si>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</si>
  <si>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</si>
  <si>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</si>
  <si>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</si>
  <si>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</si>
  <si>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</si>
  <si>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</si>
  <si>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</si>
  <si>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</si>
  <si>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</si>
  <si>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</si>
  <si>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</si>
  <si>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</si>
  <si>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</si>
  <si>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</si>
  <si>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</si>
  <si>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</si>
  <si>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</si>
  <si>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</si>
  <si>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</si>
  <si>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</si>
  <si>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Temp.</t>
  </si>
  <si>
    <t>Column pr.</t>
  </si>
  <si>
    <t>Supply pr.</t>
  </si>
  <si>
    <t>Trap pr.</t>
  </si>
  <si>
    <t>Atmo. Pr.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</si>
  <si>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</si>
  <si>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</si>
  <si>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</si>
  <si>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</si>
  <si>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</si>
  <si>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</si>
  <si>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</si>
  <si>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</si>
  <si>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</si>
  <si>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</si>
  <si>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</si>
  <si>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</si>
  <si>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MUX</t>
  </si>
  <si>
    <t>5v</t>
  </si>
  <si>
    <t>4v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</si>
  <si>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</si>
  <si>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</si>
  <si>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</si>
  <si>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</si>
  <si>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</si>
  <si>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</si>
  <si>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</si>
  <si>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</si>
  <si>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</si>
  <si>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</si>
  <si>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</si>
  <si>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</si>
  <si>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</si>
  <si>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</si>
  <si>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</si>
  <si>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</si>
  <si>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</si>
  <si>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</si>
  <si>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</si>
  <si>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</si>
  <si>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</si>
  <si>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</si>
  <si>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</si>
  <si>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</si>
  <si>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</si>
  <si>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</si>
  <si>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K.Karmakar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</si>
  <si>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</si>
  <si>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</si>
  <si>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</si>
  <si>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</si>
  <si>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</si>
  <si>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</si>
  <si>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</si>
  <si>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</si>
  <si>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</si>
  <si>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</si>
  <si>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Mean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</si>
  <si>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</si>
  <si>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</si>
  <si>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</si>
  <si>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</si>
  <si>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</si>
  <si>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</si>
  <si>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</si>
  <si>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</si>
  <si>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</si>
  <si>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</si>
  <si>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</si>
  <si>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</si>
  <si>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</si>
  <si>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</si>
  <si>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</si>
  <si>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</si>
  <si>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</si>
  <si>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</si>
  <si>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</si>
  <si>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</si>
  <si>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</si>
  <si>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</si>
  <si>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</si>
  <si>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</si>
  <si>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</si>
  <si>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</si>
  <si>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</si>
  <si>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</si>
  <si>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</si>
  <si>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</si>
  <si>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>Cooling fan</t>
  </si>
  <si>
    <t xml:space="preserve">Mixing fan </t>
  </si>
  <si>
    <t>Carrier gaz</t>
  </si>
  <si>
    <t>Hot box</t>
  </si>
  <si>
    <t>Vacuum pump</t>
  </si>
  <si>
    <t>Purge value</t>
  </si>
  <si>
    <t>Pilot value</t>
  </si>
  <si>
    <t>Zero valve</t>
  </si>
  <si>
    <t>Span valve</t>
  </si>
  <si>
    <t>Cham. T</t>
  </si>
  <si>
    <t>2.5v Ref</t>
  </si>
  <si>
    <t>RK</t>
  </si>
  <si>
    <t>801 ug/cm2</t>
  </si>
  <si>
    <t>4mv</t>
  </si>
  <si>
    <t>ON</t>
  </si>
  <si>
    <t>OFF</t>
  </si>
  <si>
    <t>MUX signal Report REPORT OF KUNJEMURA, RAIGARH MONTH OF</t>
  </si>
  <si>
    <t>BHATAGAON RAIPUR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</si>
  <si>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</si>
  <si>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</si>
  <si>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</si>
  <si>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</si>
  <si>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</si>
  <si>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</si>
  <si>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</si>
  <si>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</si>
  <si>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</si>
  <si>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</si>
  <si>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</si>
  <si>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</si>
  <si>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</si>
  <si>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</si>
  <si>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</si>
  <si>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</si>
  <si>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BHATAGAON RAIPPUR</t>
  </si>
  <si>
    <t>pm 10</t>
  </si>
  <si>
    <t>rahul</t>
  </si>
  <si>
    <t>RAHUL</t>
  </si>
  <si>
    <t>Calibration report Of BHATAGAON, RAIPUR</t>
  </si>
  <si>
    <t>POWER OFF REPORT OF BHATAGAON, RAIPUR</t>
  </si>
  <si>
    <t>01-02-2023 00:15</t>
  </si>
  <si>
    <t>01-02-2023 00:30</t>
  </si>
  <si>
    <t>01-02-2023 00:45</t>
  </si>
  <si>
    <t>01-02-2023 01:00</t>
  </si>
  <si>
    <t>01-02-2023 01:15</t>
  </si>
  <si>
    <t>01-02-2023 01:30</t>
  </si>
  <si>
    <t>01-02-2023 01:45</t>
  </si>
  <si>
    <t>01-02-2023 02:00</t>
  </si>
  <si>
    <t>01-02-2023 02:15</t>
  </si>
  <si>
    <t>01-02-2023 02:30</t>
  </si>
  <si>
    <t>01-02-2023 02:45</t>
  </si>
  <si>
    <t>01-02-2023 03:00</t>
  </si>
  <si>
    <t>01-02-2023 03:15</t>
  </si>
  <si>
    <t>01-02-2023 03:30</t>
  </si>
  <si>
    <t>01-02-2023 03:45</t>
  </si>
  <si>
    <t>01-02-2023 04:00</t>
  </si>
  <si>
    <t>01-02-2023 04:15</t>
  </si>
  <si>
    <t>01-02-2023 04:30</t>
  </si>
  <si>
    <t>01-02-2023 04:45</t>
  </si>
  <si>
    <t>01-02-2023 05:00</t>
  </si>
  <si>
    <t>01-02-2023 05:15</t>
  </si>
  <si>
    <t>01-02-2023 05:30</t>
  </si>
  <si>
    <t>01-02-2023 05:45</t>
  </si>
  <si>
    <t>01-02-2023 06:00</t>
  </si>
  <si>
    <t>01-02-2023 06:15</t>
  </si>
  <si>
    <t>01-02-2023 06:30</t>
  </si>
  <si>
    <t>01-02-2023 06:45</t>
  </si>
  <si>
    <t>01-02-2023 07:00</t>
  </si>
  <si>
    <t>01-02-2023 07:15</t>
  </si>
  <si>
    <t>01-02-2023 07:30</t>
  </si>
  <si>
    <t>01-02-2023 07:45</t>
  </si>
  <si>
    <t>01-02-2023 08:00</t>
  </si>
  <si>
    <t>01-02-2023 08:15</t>
  </si>
  <si>
    <t>01-02-2023 08:30</t>
  </si>
  <si>
    <t>01-02-2023 08:45</t>
  </si>
  <si>
    <t>01-02-2023 09:00</t>
  </si>
  <si>
    <t>01-02-2023 09:15</t>
  </si>
  <si>
    <t>01-02-2023 09:30</t>
  </si>
  <si>
    <t>01-02-2023 09:45</t>
  </si>
  <si>
    <t>01-02-2023 10:00</t>
  </si>
  <si>
    <t>01-02-2023 10:15</t>
  </si>
  <si>
    <t>01-02-2023 10:30</t>
  </si>
  <si>
    <t>01-02-2023 10:45</t>
  </si>
  <si>
    <t>01-02-2023 11:00</t>
  </si>
  <si>
    <t>01-02-2023 11:15</t>
  </si>
  <si>
    <t>01-02-2023 11:30</t>
  </si>
  <si>
    <t>01-02-2023 11:45</t>
  </si>
  <si>
    <t>01-02-2023 12:00</t>
  </si>
  <si>
    <t>01-02-2023 12:15</t>
  </si>
  <si>
    <t>01-02-2023 12:30</t>
  </si>
  <si>
    <t>01-02-2023 12:45</t>
  </si>
  <si>
    <t>01-02-2023 13:00</t>
  </si>
  <si>
    <t>01-02-2023 13:15</t>
  </si>
  <si>
    <t>01-02-2023 13:30</t>
  </si>
  <si>
    <t>01-02-2023 13:45</t>
  </si>
  <si>
    <t>01-02-2023 14:00</t>
  </si>
  <si>
    <t>01-02-2023 14:15</t>
  </si>
  <si>
    <t>01-02-2023 14:30</t>
  </si>
  <si>
    <t>01-02-2023 14:45</t>
  </si>
  <si>
    <t>01-02-2023 15:00</t>
  </si>
  <si>
    <t>01-02-2023 15:15</t>
  </si>
  <si>
    <t>01-02-2023 15:30</t>
  </si>
  <si>
    <t>01-02-2023 15:45</t>
  </si>
  <si>
    <t>01-02-2023 16:00</t>
  </si>
  <si>
    <t>01-02-2023 16:15</t>
  </si>
  <si>
    <t>01-02-2023 16:30</t>
  </si>
  <si>
    <t>01-02-2023 16:45</t>
  </si>
  <si>
    <t>01-02-2023 17:00</t>
  </si>
  <si>
    <t>01-02-2023 17:15</t>
  </si>
  <si>
    <t>01-02-2023 17:30</t>
  </si>
  <si>
    <t>01-02-2023 17:45</t>
  </si>
  <si>
    <t>01-02-2023 18:00</t>
  </si>
  <si>
    <t>01-02-2023 18:15</t>
  </si>
  <si>
    <t>01-02-2023 18:30</t>
  </si>
  <si>
    <t>01-02-2023 18:45</t>
  </si>
  <si>
    <t>01-02-2023 19:00</t>
  </si>
  <si>
    <t>01-02-2023 19:15</t>
  </si>
  <si>
    <t>01-02-2023 19:30</t>
  </si>
  <si>
    <t>01-02-2023 19:45</t>
  </si>
  <si>
    <t>01-02-2023 20:00</t>
  </si>
  <si>
    <t>01-02-2023 20:15</t>
  </si>
  <si>
    <t>01-02-2023 20:30</t>
  </si>
  <si>
    <t>01-02-2023 20:45</t>
  </si>
  <si>
    <t>01-02-2023 21:00</t>
  </si>
  <si>
    <t>01-02-2023 21:15</t>
  </si>
  <si>
    <t>01-02-2023 21:30</t>
  </si>
  <si>
    <t>01-02-2023 21:45</t>
  </si>
  <si>
    <t>01-02-2023 22:00</t>
  </si>
  <si>
    <t>01-02-2023 22:15</t>
  </si>
  <si>
    <t>01-02-2023 22:30</t>
  </si>
  <si>
    <t>01-02-2023 22:45</t>
  </si>
  <si>
    <t>01-02-2023 23:00</t>
  </si>
  <si>
    <t>01-02-2023 23:15</t>
  </si>
  <si>
    <t>01-02-2023 23:30</t>
  </si>
  <si>
    <t>01-02-2023 23:45</t>
  </si>
  <si>
    <t>01-02-2023 24:00</t>
  </si>
  <si>
    <t>ppb</t>
  </si>
  <si>
    <t>02-02-2023 00:15</t>
  </si>
  <si>
    <t>02-02-2023 00:30</t>
  </si>
  <si>
    <t>02-02-2023 00:45</t>
  </si>
  <si>
    <t>02-02-2023 01:00</t>
  </si>
  <si>
    <t>02-02-2023 01:15</t>
  </si>
  <si>
    <t>02-02-2023 01:30</t>
  </si>
  <si>
    <t>02-02-2023 01:45</t>
  </si>
  <si>
    <t>02-02-2023 02:00</t>
  </si>
  <si>
    <t>02-02-2023 02:15</t>
  </si>
  <si>
    <t>02-02-2023 02:30</t>
  </si>
  <si>
    <t>02-02-2023 02:45</t>
  </si>
  <si>
    <t>02-02-2023 03:00</t>
  </si>
  <si>
    <t>02-02-2023 03:15</t>
  </si>
  <si>
    <t>02-02-2023 03:30</t>
  </si>
  <si>
    <t>02-02-2023 03:45</t>
  </si>
  <si>
    <t>02-02-2023 04:00</t>
  </si>
  <si>
    <t>02-02-2023 04:15</t>
  </si>
  <si>
    <t>02-02-2023 04:30</t>
  </si>
  <si>
    <t>02-02-2023 04:45</t>
  </si>
  <si>
    <t>02-02-2023 05:00</t>
  </si>
  <si>
    <t>02-02-2023 05:15</t>
  </si>
  <si>
    <t>02-02-2023 05:30</t>
  </si>
  <si>
    <t>02-02-2023 05:45</t>
  </si>
  <si>
    <t>02-02-2023 06:00</t>
  </si>
  <si>
    <t>02-02-2023 06:15</t>
  </si>
  <si>
    <t>02-02-2023 06:30</t>
  </si>
  <si>
    <t>02-02-2023 06:45</t>
  </si>
  <si>
    <t>02-02-2023 07:00</t>
  </si>
  <si>
    <t>02-02-2023 07:15</t>
  </si>
  <si>
    <t>02-02-2023 07:30</t>
  </si>
  <si>
    <t>02-02-2023 07:45</t>
  </si>
  <si>
    <t>02-02-2023 08:00</t>
  </si>
  <si>
    <t>02-02-2023 08:15</t>
  </si>
  <si>
    <t>02-02-2023 08:30</t>
  </si>
  <si>
    <t>02-02-2023 08:45</t>
  </si>
  <si>
    <t>02-02-2023 09:00</t>
  </si>
  <si>
    <t>02-02-2023 09:15</t>
  </si>
  <si>
    <t>02-02-2023 09:30</t>
  </si>
  <si>
    <t>02-02-2023 09:45</t>
  </si>
  <si>
    <t>02-02-2023 10:00</t>
  </si>
  <si>
    <t>02-02-2023 10:15</t>
  </si>
  <si>
    <t>02-02-2023 10:30</t>
  </si>
  <si>
    <t>02-02-2023 10:45</t>
  </si>
  <si>
    <t>02-02-2023 11:00</t>
  </si>
  <si>
    <t>02-02-2023 11:15</t>
  </si>
  <si>
    <t>02-02-2023 11:30</t>
  </si>
  <si>
    <t>02-02-2023 11:45</t>
  </si>
  <si>
    <t>02-02-2023 12:00</t>
  </si>
  <si>
    <t>02-02-2023 12:15</t>
  </si>
  <si>
    <t>02-02-2023 12:30</t>
  </si>
  <si>
    <t>02-02-2023 12:45</t>
  </si>
  <si>
    <t>02-02-2023 13:00</t>
  </si>
  <si>
    <t>02-02-2023 13:15</t>
  </si>
  <si>
    <t>02-02-2023 13:30</t>
  </si>
  <si>
    <t>02-02-2023 13:45</t>
  </si>
  <si>
    <t>02-02-2023 14:00</t>
  </si>
  <si>
    <t>02-02-2023 14:15</t>
  </si>
  <si>
    <t>02-02-2023 14:30</t>
  </si>
  <si>
    <t>02-02-2023 14:45</t>
  </si>
  <si>
    <t>02-02-2023 15:00</t>
  </si>
  <si>
    <t>02-02-2023 15:15</t>
  </si>
  <si>
    <t>02-02-2023 15:30</t>
  </si>
  <si>
    <t>02-02-2023 15:45</t>
  </si>
  <si>
    <t>02-02-2023 16:00</t>
  </si>
  <si>
    <t>02-02-2023 16:15</t>
  </si>
  <si>
    <t>02-02-2023 16:30</t>
  </si>
  <si>
    <t>02-02-2023 16:45</t>
  </si>
  <si>
    <t>02-02-2023 17:00</t>
  </si>
  <si>
    <t>02-02-2023 17:15</t>
  </si>
  <si>
    <t>02-02-2023 17:30</t>
  </si>
  <si>
    <t>02-02-2023 17:45</t>
  </si>
  <si>
    <t>02-02-2023 18:00</t>
  </si>
  <si>
    <t>02-02-2023 18:15</t>
  </si>
  <si>
    <t>02-02-2023 18:30</t>
  </si>
  <si>
    <t>02-02-2023 18:45</t>
  </si>
  <si>
    <t>02-02-2023 19:00</t>
  </si>
  <si>
    <t>02-02-2023 19:15</t>
  </si>
  <si>
    <t>02-02-2023 19:30</t>
  </si>
  <si>
    <t>02-02-2023 19:45</t>
  </si>
  <si>
    <t>02-02-2023 20:00</t>
  </si>
  <si>
    <t>02-02-2023 20:15</t>
  </si>
  <si>
    <t>02-02-2023 20:30</t>
  </si>
  <si>
    <t>02-02-2023 20:45</t>
  </si>
  <si>
    <t>02-02-2023 21:00</t>
  </si>
  <si>
    <t>02-02-2023 21:15</t>
  </si>
  <si>
    <t>02-02-2023 21:30</t>
  </si>
  <si>
    <t>02-02-2023 21:45</t>
  </si>
  <si>
    <t>02-02-2023 22:00</t>
  </si>
  <si>
    <t>02-02-2023 22:15</t>
  </si>
  <si>
    <t>02-02-2023 22:30</t>
  </si>
  <si>
    <t>02-02-2023 22:45</t>
  </si>
  <si>
    <t>02-02-2023 23:00</t>
  </si>
  <si>
    <t>02-02-2023 23:15</t>
  </si>
  <si>
    <t>02-02-2023 23:30</t>
  </si>
  <si>
    <t>02-02-2023 23:45</t>
  </si>
  <si>
    <t>02-02-2023 24:00</t>
  </si>
  <si>
    <t>03-02-2023 00:15</t>
  </si>
  <si>
    <t>03-02-2023 00:30</t>
  </si>
  <si>
    <t>03-02-2023 00:45</t>
  </si>
  <si>
    <t>03-02-2023 01:00</t>
  </si>
  <si>
    <t>03-02-2023 01:15</t>
  </si>
  <si>
    <t>03-02-2023 01:30</t>
  </si>
  <si>
    <t>03-02-2023 01:45</t>
  </si>
  <si>
    <t>03-02-2023 02:00</t>
  </si>
  <si>
    <t>03-02-2023 02:15</t>
  </si>
  <si>
    <t>03-02-2023 02:30</t>
  </si>
  <si>
    <t>03-02-2023 02:45</t>
  </si>
  <si>
    <t>03-02-2023 03:00</t>
  </si>
  <si>
    <t>03-02-2023 03:15</t>
  </si>
  <si>
    <t>03-02-2023 03:30</t>
  </si>
  <si>
    <t>03-02-2023 03:45</t>
  </si>
  <si>
    <t>03-02-2023 04:00</t>
  </si>
  <si>
    <t>03-02-2023 04:15</t>
  </si>
  <si>
    <t>03-02-2023 04:30</t>
  </si>
  <si>
    <t>03-02-2023 04:45</t>
  </si>
  <si>
    <t>03-02-2023 05:00</t>
  </si>
  <si>
    <t>03-02-2023 05:15</t>
  </si>
  <si>
    <t>03-02-2023 05:30</t>
  </si>
  <si>
    <t>03-02-2023 05:45</t>
  </si>
  <si>
    <t>03-02-2023 06:00</t>
  </si>
  <si>
    <t>03-02-2023 06:15</t>
  </si>
  <si>
    <t>03-02-2023 06:30</t>
  </si>
  <si>
    <t>03-02-2023 06:45</t>
  </si>
  <si>
    <t>03-02-2023 07:00</t>
  </si>
  <si>
    <t>03-02-2023 07:15</t>
  </si>
  <si>
    <t>03-02-2023 07:30</t>
  </si>
  <si>
    <t>03-02-2023 07:45</t>
  </si>
  <si>
    <t>03-02-2023 08:00</t>
  </si>
  <si>
    <t>03-02-2023 08:15</t>
  </si>
  <si>
    <t>03-02-2023 08:30</t>
  </si>
  <si>
    <t>03-02-2023 08:45</t>
  </si>
  <si>
    <t>03-02-2023 09:00</t>
  </si>
  <si>
    <t>03-02-2023 09:15</t>
  </si>
  <si>
    <t>03-02-2023 09:30</t>
  </si>
  <si>
    <t>03-02-2023 09:45</t>
  </si>
  <si>
    <t>03-02-2023 10:00</t>
  </si>
  <si>
    <t>03-02-2023 10:15</t>
  </si>
  <si>
    <t>03-02-2023 10:30</t>
  </si>
  <si>
    <t>03-02-2023 10:45</t>
  </si>
  <si>
    <t>03-02-2023 11:00</t>
  </si>
  <si>
    <t>03-02-2023 11:15</t>
  </si>
  <si>
    <t>03-02-2023 11:30</t>
  </si>
  <si>
    <t>03-02-2023 11:45</t>
  </si>
  <si>
    <t>03-02-2023 12:00</t>
  </si>
  <si>
    <t>03-02-2023 12:15</t>
  </si>
  <si>
    <t>03-02-2023 12:30</t>
  </si>
  <si>
    <t>03-02-2023 12:45</t>
  </si>
  <si>
    <t>03-02-2023 13:00</t>
  </si>
  <si>
    <t>03-02-2023 13:15</t>
  </si>
  <si>
    <t>03-02-2023 13:30</t>
  </si>
  <si>
    <t>03-02-2023 13:45</t>
  </si>
  <si>
    <t>03-02-2023 14:00</t>
  </si>
  <si>
    <t>03-02-2023 14:15</t>
  </si>
  <si>
    <t>03-02-2023 14:30</t>
  </si>
  <si>
    <t>03-02-2023 14:45</t>
  </si>
  <si>
    <t>03-02-2023 15:00</t>
  </si>
  <si>
    <t>03-02-2023 15:15</t>
  </si>
  <si>
    <t>03-02-2023 15:30</t>
  </si>
  <si>
    <t>03-02-2023 15:45</t>
  </si>
  <si>
    <t>03-02-2023 16:00</t>
  </si>
  <si>
    <t>03-02-2023 16:15</t>
  </si>
  <si>
    <t>03-02-2023 16:30</t>
  </si>
  <si>
    <t>03-02-2023 16:45</t>
  </si>
  <si>
    <t>03-02-2023 17:00</t>
  </si>
  <si>
    <t>03-02-2023 17:15</t>
  </si>
  <si>
    <t>03-02-2023 17:30</t>
  </si>
  <si>
    <t>03-02-2023 17:45</t>
  </si>
  <si>
    <t>03-02-2023 18:00</t>
  </si>
  <si>
    <t>03-02-2023 18:15</t>
  </si>
  <si>
    <t>03-02-2023 18:30</t>
  </si>
  <si>
    <t>03-02-2023 18:45</t>
  </si>
  <si>
    <t>03-02-2023 19:00</t>
  </si>
  <si>
    <t>03-02-2023 19:15</t>
  </si>
  <si>
    <t>03-02-2023 19:30</t>
  </si>
  <si>
    <t>03-02-2023 19:45</t>
  </si>
  <si>
    <t>03-02-2023 20:00</t>
  </si>
  <si>
    <t>03-02-2023 20:15</t>
  </si>
  <si>
    <t>03-02-2023 20:30</t>
  </si>
  <si>
    <t>03-02-2023 20:45</t>
  </si>
  <si>
    <t>03-02-2023 21:00</t>
  </si>
  <si>
    <t>03-02-2023 21:15</t>
  </si>
  <si>
    <t>03-02-2023 21:30</t>
  </si>
  <si>
    <t>03-02-2023 21:45</t>
  </si>
  <si>
    <t>03-02-2023 22:00</t>
  </si>
  <si>
    <t>03-02-2023 22:15</t>
  </si>
  <si>
    <t>03-02-2023 22:30</t>
  </si>
  <si>
    <t>03-02-2023 22:45</t>
  </si>
  <si>
    <t>03-02-2023 23:00</t>
  </si>
  <si>
    <t>03-02-2023 23:15</t>
  </si>
  <si>
    <t>03-02-2023 23:30</t>
  </si>
  <si>
    <t>03-02-2023 23:45</t>
  </si>
  <si>
    <t>03-02-2023 24:00</t>
  </si>
  <si>
    <t>04-02-2023 00:15</t>
  </si>
  <si>
    <t>04-02-2023 00:30</t>
  </si>
  <si>
    <t>04-02-2023 00:45</t>
  </si>
  <si>
    <t>04-02-2023 01:00</t>
  </si>
  <si>
    <t>04-02-2023 01:15</t>
  </si>
  <si>
    <t>04-02-2023 01:30</t>
  </si>
  <si>
    <t>04-02-2023 01:45</t>
  </si>
  <si>
    <t>04-02-2023 02:00</t>
  </si>
  <si>
    <t>04-02-2023 02:15</t>
  </si>
  <si>
    <t>04-02-2023 02:30</t>
  </si>
  <si>
    <t>04-02-2023 02:45</t>
  </si>
  <si>
    <t>04-02-2023 03:00</t>
  </si>
  <si>
    <t>04-02-2023 03:15</t>
  </si>
  <si>
    <t>04-02-2023 03:30</t>
  </si>
  <si>
    <t>04-02-2023 03:45</t>
  </si>
  <si>
    <t>04-02-2023 04:00</t>
  </si>
  <si>
    <t>04-02-2023 04:15</t>
  </si>
  <si>
    <t>04-02-2023 04:30</t>
  </si>
  <si>
    <t>04-02-2023 04:45</t>
  </si>
  <si>
    <t>04-02-2023 05:00</t>
  </si>
  <si>
    <t>04-02-2023 05:15</t>
  </si>
  <si>
    <t>04-02-2023 05:30</t>
  </si>
  <si>
    <t>04-02-2023 05:45</t>
  </si>
  <si>
    <t>04-02-2023 06:00</t>
  </si>
  <si>
    <t>04-02-2023 06:15</t>
  </si>
  <si>
    <t>04-02-2023 06:30</t>
  </si>
  <si>
    <t>04-02-2023 06:45</t>
  </si>
  <si>
    <t>04-02-2023 07:00</t>
  </si>
  <si>
    <t>04-02-2023 07:15</t>
  </si>
  <si>
    <t>04-02-2023 07:30</t>
  </si>
  <si>
    <t>04-02-2023 07:45</t>
  </si>
  <si>
    <t>04-02-2023 08:00</t>
  </si>
  <si>
    <t>04-02-2023 08:15</t>
  </si>
  <si>
    <t>04-02-2023 08:30</t>
  </si>
  <si>
    <t>04-02-2023 08:45</t>
  </si>
  <si>
    <t>04-02-2023 09:00</t>
  </si>
  <si>
    <t>04-02-2023 09:15</t>
  </si>
  <si>
    <t>04-02-2023 09:30</t>
  </si>
  <si>
    <t>04-02-2023 09:45</t>
  </si>
  <si>
    <t>04-02-2023 10:00</t>
  </si>
  <si>
    <t>04-02-2023 10:15</t>
  </si>
  <si>
    <t>04-02-2023 10:30</t>
  </si>
  <si>
    <t>04-02-2023 10:45</t>
  </si>
  <si>
    <t>04-02-2023 11:00</t>
  </si>
  <si>
    <t>04-02-2023 11:15</t>
  </si>
  <si>
    <t>04-02-2023 11:30</t>
  </si>
  <si>
    <t>04-02-2023 11:45</t>
  </si>
  <si>
    <t>04-02-2023 12:00</t>
  </si>
  <si>
    <t>04-02-2023 12:15</t>
  </si>
  <si>
    <t>04-02-2023 12:30</t>
  </si>
  <si>
    <t>04-02-2023 12:45</t>
  </si>
  <si>
    <t>04-02-2023 13:00</t>
  </si>
  <si>
    <t>04-02-2023 13:15</t>
  </si>
  <si>
    <t>04-02-2023 13:30</t>
  </si>
  <si>
    <t>04-02-2023 13:45</t>
  </si>
  <si>
    <t>04-02-2023 14:00</t>
  </si>
  <si>
    <t>04-02-2023 14:15</t>
  </si>
  <si>
    <t>04-02-2023 14:30</t>
  </si>
  <si>
    <t>04-02-2023 14:45</t>
  </si>
  <si>
    <t>04-02-2023 15:00</t>
  </si>
  <si>
    <t>04-02-2023 15:15</t>
  </si>
  <si>
    <t>04-02-2023 15:30</t>
  </si>
  <si>
    <t>04-02-2023 15:45</t>
  </si>
  <si>
    <t>04-02-2023 16:00</t>
  </si>
  <si>
    <t>04-02-2023 16:15</t>
  </si>
  <si>
    <t>04-02-2023 16:30</t>
  </si>
  <si>
    <t>04-02-2023 16:45</t>
  </si>
  <si>
    <t>04-02-2023 17:00</t>
  </si>
  <si>
    <t>04-02-2023 17:15</t>
  </si>
  <si>
    <t>04-02-2023 17:30</t>
  </si>
  <si>
    <t>04-02-2023 17:45</t>
  </si>
  <si>
    <t>04-02-2023 18:00</t>
  </si>
  <si>
    <t>04-02-2023 18:15</t>
  </si>
  <si>
    <t>04-02-2023 18:30</t>
  </si>
  <si>
    <t>04-02-2023 18:45</t>
  </si>
  <si>
    <t>04-02-2023 19:00</t>
  </si>
  <si>
    <t>04-02-2023 19:15</t>
  </si>
  <si>
    <t>04-02-2023 19:30</t>
  </si>
  <si>
    <t>04-02-2023 19:45</t>
  </si>
  <si>
    <t>04-02-2023 20:00</t>
  </si>
  <si>
    <t>04-02-2023 20:15</t>
  </si>
  <si>
    <t>04-02-2023 20:30</t>
  </si>
  <si>
    <t>04-02-2023 20:45</t>
  </si>
  <si>
    <t>04-02-2023 21:00</t>
  </si>
  <si>
    <t>04-02-2023 21:15</t>
  </si>
  <si>
    <t>04-02-2023 21:30</t>
  </si>
  <si>
    <t>04-02-2023 21:45</t>
  </si>
  <si>
    <t>04-02-2023 22:00</t>
  </si>
  <si>
    <t>04-02-2023 22:15</t>
  </si>
  <si>
    <t>04-02-2023 22:30</t>
  </si>
  <si>
    <t>04-02-2023 22:45</t>
  </si>
  <si>
    <t>04-02-2023 23:00</t>
  </si>
  <si>
    <t>04-02-2023 23:15</t>
  </si>
  <si>
    <t>04-02-2023 23:30</t>
  </si>
  <si>
    <t>04-02-2023 23:45</t>
  </si>
  <si>
    <t>04-02-2023 24:00</t>
  </si>
  <si>
    <t>05-02-2023 00:15</t>
  </si>
  <si>
    <t>05-02-2023 00:30</t>
  </si>
  <si>
    <t>05-02-2023 00:45</t>
  </si>
  <si>
    <t>05-02-2023 01:00</t>
  </si>
  <si>
    <t>05-02-2023 01:15</t>
  </si>
  <si>
    <t>05-02-2023 01:30</t>
  </si>
  <si>
    <t>05-02-2023 01:45</t>
  </si>
  <si>
    <t>05-02-2023 02:00</t>
  </si>
  <si>
    <t>05-02-2023 02:15</t>
  </si>
  <si>
    <t>05-02-2023 02:30</t>
  </si>
  <si>
    <t>05-02-2023 02:45</t>
  </si>
  <si>
    <t>05-02-2023 03:00</t>
  </si>
  <si>
    <t>05-02-2023 03:15</t>
  </si>
  <si>
    <t>05-02-2023 03:30</t>
  </si>
  <si>
    <t>05-02-2023 03:45</t>
  </si>
  <si>
    <t>05-02-2023 04:00</t>
  </si>
  <si>
    <t>05-02-2023 04:15</t>
  </si>
  <si>
    <t>05-02-2023 04:30</t>
  </si>
  <si>
    <t>05-02-2023 04:45</t>
  </si>
  <si>
    <t>05-02-2023 05:00</t>
  </si>
  <si>
    <t>05-02-2023 05:15</t>
  </si>
  <si>
    <t>05-02-2023 05:30</t>
  </si>
  <si>
    <t>05-02-2023 05:45</t>
  </si>
  <si>
    <t>05-02-2023 06:00</t>
  </si>
  <si>
    <t>05-02-2023 06:15</t>
  </si>
  <si>
    <t>05-02-2023 06:30</t>
  </si>
  <si>
    <t>05-02-2023 06:45</t>
  </si>
  <si>
    <t>05-02-2023 07:00</t>
  </si>
  <si>
    <t>05-02-2023 07:15</t>
  </si>
  <si>
    <t>05-02-2023 07:30</t>
  </si>
  <si>
    <t>05-02-2023 07:45</t>
  </si>
  <si>
    <t>05-02-2023 08:00</t>
  </si>
  <si>
    <t>05-02-2023 08:15</t>
  </si>
  <si>
    <t>05-02-2023 08:30</t>
  </si>
  <si>
    <t>05-02-2023 08:45</t>
  </si>
  <si>
    <t>05-02-2023 09:00</t>
  </si>
  <si>
    <t>05-02-2023 09:15</t>
  </si>
  <si>
    <t>05-02-2023 09:30</t>
  </si>
  <si>
    <t>05-02-2023 09:45</t>
  </si>
  <si>
    <t>05-02-2023 10:00</t>
  </si>
  <si>
    <t>05-02-2023 10:15</t>
  </si>
  <si>
    <t>05-02-2023 10:30</t>
  </si>
  <si>
    <t>05-02-2023 10:45</t>
  </si>
  <si>
    <t>05-02-2023 11:00</t>
  </si>
  <si>
    <t>05-02-2023 11:15</t>
  </si>
  <si>
    <t>05-02-2023 11:30</t>
  </si>
  <si>
    <t>05-02-2023 11:45</t>
  </si>
  <si>
    <t>05-02-2023 12:00</t>
  </si>
  <si>
    <t>05-02-2023 12:15</t>
  </si>
  <si>
    <t>05-02-2023 12:30</t>
  </si>
  <si>
    <t>05-02-2023 12:45</t>
  </si>
  <si>
    <t>05-02-2023 13:00</t>
  </si>
  <si>
    <t>05-02-2023 13:15</t>
  </si>
  <si>
    <t>05-02-2023 13:30</t>
  </si>
  <si>
    <t>05-02-2023 13:45</t>
  </si>
  <si>
    <t>05-02-2023 14:00</t>
  </si>
  <si>
    <t>05-02-2023 14:15</t>
  </si>
  <si>
    <t>05-02-2023 14:30</t>
  </si>
  <si>
    <t>05-02-2023 14:45</t>
  </si>
  <si>
    <t>05-02-2023 15:00</t>
  </si>
  <si>
    <t>05-02-2023 15:15</t>
  </si>
  <si>
    <t>05-02-2023 15:30</t>
  </si>
  <si>
    <t>05-02-2023 15:45</t>
  </si>
  <si>
    <t>05-02-2023 16:00</t>
  </si>
  <si>
    <t>05-02-2023 16:15</t>
  </si>
  <si>
    <t>05-02-2023 16:30</t>
  </si>
  <si>
    <t>05-02-2023 16:45</t>
  </si>
  <si>
    <t>05-02-2023 17:00</t>
  </si>
  <si>
    <t>05-02-2023 17:15</t>
  </si>
  <si>
    <t>05-02-2023 17:30</t>
  </si>
  <si>
    <t>05-02-2023 17:45</t>
  </si>
  <si>
    <t>05-02-2023 18:00</t>
  </si>
  <si>
    <t>05-02-2023 18:15</t>
  </si>
  <si>
    <t>05-02-2023 18:30</t>
  </si>
  <si>
    <t>05-02-2023 18:45</t>
  </si>
  <si>
    <t>05-02-2023 19:00</t>
  </si>
  <si>
    <t>05-02-2023 19:15</t>
  </si>
  <si>
    <t>05-02-2023 19:30</t>
  </si>
  <si>
    <t>05-02-2023 19:45</t>
  </si>
  <si>
    <t>05-02-2023 20:00</t>
  </si>
  <si>
    <t>05-02-2023 20:15</t>
  </si>
  <si>
    <t>05-02-2023 20:30</t>
  </si>
  <si>
    <t>05-02-2023 20:45</t>
  </si>
  <si>
    <t>05-02-2023 21:00</t>
  </si>
  <si>
    <t>05-02-2023 21:15</t>
  </si>
  <si>
    <t>05-02-2023 21:30</t>
  </si>
  <si>
    <t>05-02-2023 21:45</t>
  </si>
  <si>
    <t>05-02-2023 22:00</t>
  </si>
  <si>
    <t>05-02-2023 22:15</t>
  </si>
  <si>
    <t>05-02-2023 22:30</t>
  </si>
  <si>
    <t>05-02-2023 22:45</t>
  </si>
  <si>
    <t>05-02-2023 23:00</t>
  </si>
  <si>
    <t>05-02-2023 23:15</t>
  </si>
  <si>
    <t>05-02-2023 23:30</t>
  </si>
  <si>
    <t>05-02-2023 23:45</t>
  </si>
  <si>
    <t>05-02-2023 24:00</t>
  </si>
  <si>
    <t>06-02-2023 00:15</t>
  </si>
  <si>
    <t>06-02-2023 00:30</t>
  </si>
  <si>
    <t>06-02-2023 00:45</t>
  </si>
  <si>
    <t>06-02-2023 01:00</t>
  </si>
  <si>
    <t>06-02-2023 01:15</t>
  </si>
  <si>
    <t>06-02-2023 01:30</t>
  </si>
  <si>
    <t>06-02-2023 01:45</t>
  </si>
  <si>
    <t>06-02-2023 02:00</t>
  </si>
  <si>
    <t>06-02-2023 02:15</t>
  </si>
  <si>
    <t>06-02-2023 02:30</t>
  </si>
  <si>
    <t>06-02-2023 02:45</t>
  </si>
  <si>
    <t>06-02-2023 03:00</t>
  </si>
  <si>
    <t>06-02-2023 03:15</t>
  </si>
  <si>
    <t>06-02-2023 03:30</t>
  </si>
  <si>
    <t>06-02-2023 03:45</t>
  </si>
  <si>
    <t>06-02-2023 04:00</t>
  </si>
  <si>
    <t>06-02-2023 04:15</t>
  </si>
  <si>
    <t>06-02-2023 04:30</t>
  </si>
  <si>
    <t>06-02-2023 04:45</t>
  </si>
  <si>
    <t>06-02-2023 05:00</t>
  </si>
  <si>
    <t>06-02-2023 05:15</t>
  </si>
  <si>
    <t>06-02-2023 05:30</t>
  </si>
  <si>
    <t>06-02-2023 05:45</t>
  </si>
  <si>
    <t>06-02-2023 06:00</t>
  </si>
  <si>
    <t>06-02-2023 06:15</t>
  </si>
  <si>
    <t>06-02-2023 06:30</t>
  </si>
  <si>
    <t>06-02-2023 06:45</t>
  </si>
  <si>
    <t>06-02-2023 07:00</t>
  </si>
  <si>
    <t>06-02-2023 07:15</t>
  </si>
  <si>
    <t>06-02-2023 07:30</t>
  </si>
  <si>
    <t>06-02-2023 07:45</t>
  </si>
  <si>
    <t>06-02-2023 08:00</t>
  </si>
  <si>
    <t>06-02-2023 08:15</t>
  </si>
  <si>
    <t>06-02-2023 08:30</t>
  </si>
  <si>
    <t>06-02-2023 08:45</t>
  </si>
  <si>
    <t>06-02-2023 09:00</t>
  </si>
  <si>
    <t>06-02-2023 09:15</t>
  </si>
  <si>
    <t>06-02-2023 09:30</t>
  </si>
  <si>
    <t>06-02-2023 09:45</t>
  </si>
  <si>
    <t>06-02-2023 10:00</t>
  </si>
  <si>
    <t>06-02-2023 10:15</t>
  </si>
  <si>
    <t>06-02-2023 10:30</t>
  </si>
  <si>
    <t>06-02-2023 10:45</t>
  </si>
  <si>
    <t>06-02-2023 11:00</t>
  </si>
  <si>
    <t>06-02-2023 11:15</t>
  </si>
  <si>
    <t>06-02-2023 11:30</t>
  </si>
  <si>
    <t>06-02-2023 11:45</t>
  </si>
  <si>
    <t>06-02-2023 12:00</t>
  </si>
  <si>
    <t>06-02-2023 12:15</t>
  </si>
  <si>
    <t>06-02-2023 12:30</t>
  </si>
  <si>
    <t>06-02-2023 12:45</t>
  </si>
  <si>
    <t>06-02-2023 13:00</t>
  </si>
  <si>
    <t>06-02-2023 13:15</t>
  </si>
  <si>
    <t>06-02-2023 13:30</t>
  </si>
  <si>
    <t>06-02-2023 13:45</t>
  </si>
  <si>
    <t>06-02-2023 14:00</t>
  </si>
  <si>
    <t>06-02-2023 14:15</t>
  </si>
  <si>
    <t>06-02-2023 14:30</t>
  </si>
  <si>
    <t>06-02-2023 14:45</t>
  </si>
  <si>
    <t>06-02-2023 15:00</t>
  </si>
  <si>
    <t>06-02-2023 15:15</t>
  </si>
  <si>
    <t>06-02-2023 15:30</t>
  </si>
  <si>
    <t>06-02-2023 15:45</t>
  </si>
  <si>
    <t>06-02-2023 16:00</t>
  </si>
  <si>
    <t>06-02-2023 16:15</t>
  </si>
  <si>
    <t>06-02-2023 16:30</t>
  </si>
  <si>
    <t>06-02-2023 16:45</t>
  </si>
  <si>
    <t>06-02-2023 17:00</t>
  </si>
  <si>
    <t>06-02-2023 17:15</t>
  </si>
  <si>
    <t>06-02-2023 17:30</t>
  </si>
  <si>
    <t>06-02-2023 17:45</t>
  </si>
  <si>
    <t>06-02-2023 18:00</t>
  </si>
  <si>
    <t>06-02-2023 18:15</t>
  </si>
  <si>
    <t>06-02-2023 18:30</t>
  </si>
  <si>
    <t>06-02-2023 18:45</t>
  </si>
  <si>
    <t>06-02-2023 19:00</t>
  </si>
  <si>
    <t>06-02-2023 19:15</t>
  </si>
  <si>
    <t>06-02-2023 19:30</t>
  </si>
  <si>
    <t>06-02-2023 19:45</t>
  </si>
  <si>
    <t>06-02-2023 20:00</t>
  </si>
  <si>
    <t>06-02-2023 20:15</t>
  </si>
  <si>
    <t>06-02-2023 20:30</t>
  </si>
  <si>
    <t>06-02-2023 20:45</t>
  </si>
  <si>
    <t>06-02-2023 21:00</t>
  </si>
  <si>
    <t>06-02-2023 21:15</t>
  </si>
  <si>
    <t>06-02-2023 21:30</t>
  </si>
  <si>
    <t>06-02-2023 21:45</t>
  </si>
  <si>
    <t>06-02-2023 22:00</t>
  </si>
  <si>
    <t>06-02-2023 22:15</t>
  </si>
  <si>
    <t>06-02-2023 22:30</t>
  </si>
  <si>
    <t>06-02-2023 22:45</t>
  </si>
  <si>
    <t>06-02-2023 23:00</t>
  </si>
  <si>
    <t>06-02-2023 23:15</t>
  </si>
  <si>
    <t>06-02-2023 23:30</t>
  </si>
  <si>
    <t>06-02-2023 23:45</t>
  </si>
  <si>
    <t>06-02-2023 24:00</t>
  </si>
  <si>
    <t>07-02-2023 00:15</t>
  </si>
  <si>
    <t>07-02-2023 00:30</t>
  </si>
  <si>
    <t>07-02-2023 00:45</t>
  </si>
  <si>
    <t>07-02-2023 01:00</t>
  </si>
  <si>
    <t>07-02-2023 01:15</t>
  </si>
  <si>
    <t>07-02-2023 01:30</t>
  </si>
  <si>
    <t>07-02-2023 01:45</t>
  </si>
  <si>
    <t>07-02-2023 02:00</t>
  </si>
  <si>
    <t>07-02-2023 02:15</t>
  </si>
  <si>
    <t>07-02-2023 02:30</t>
  </si>
  <si>
    <t>07-02-2023 02:45</t>
  </si>
  <si>
    <t>07-02-2023 03:00</t>
  </si>
  <si>
    <t>07-02-2023 03:15</t>
  </si>
  <si>
    <t>07-02-2023 03:30</t>
  </si>
  <si>
    <t>07-02-2023 03:45</t>
  </si>
  <si>
    <t>07-02-2023 04:00</t>
  </si>
  <si>
    <t>07-02-2023 04:15</t>
  </si>
  <si>
    <t>07-02-2023 04:30</t>
  </si>
  <si>
    <t>07-02-2023 04:45</t>
  </si>
  <si>
    <t>07-02-2023 05:00</t>
  </si>
  <si>
    <t>07-02-2023 05:15</t>
  </si>
  <si>
    <t>07-02-2023 05:30</t>
  </si>
  <si>
    <t>07-02-2023 05:45</t>
  </si>
  <si>
    <t>07-02-2023 06:00</t>
  </si>
  <si>
    <t>07-02-2023 06:15</t>
  </si>
  <si>
    <t>07-02-2023 06:30</t>
  </si>
  <si>
    <t>07-02-2023 06:45</t>
  </si>
  <si>
    <t>07-02-2023 07:00</t>
  </si>
  <si>
    <t>07-02-2023 07:15</t>
  </si>
  <si>
    <t>07-02-2023 07:30</t>
  </si>
  <si>
    <t>07-02-2023 07:45</t>
  </si>
  <si>
    <t>07-02-2023 08:00</t>
  </si>
  <si>
    <t>07-02-2023 08:15</t>
  </si>
  <si>
    <t>07-02-2023 08:30</t>
  </si>
  <si>
    <t>07-02-2023 08:45</t>
  </si>
  <si>
    <t>07-02-2023 09:00</t>
  </si>
  <si>
    <t>07-02-2023 09:15</t>
  </si>
  <si>
    <t>07-02-2023 09:30</t>
  </si>
  <si>
    <t>07-02-2023 09:45</t>
  </si>
  <si>
    <t>07-02-2023 10:00</t>
  </si>
  <si>
    <t>07-02-2023 10:15</t>
  </si>
  <si>
    <t>07-02-2023 10:30</t>
  </si>
  <si>
    <t>07-02-2023 10:45</t>
  </si>
  <si>
    <t>07-02-2023 11:00</t>
  </si>
  <si>
    <t>07-02-2023 11:15</t>
  </si>
  <si>
    <t>07-02-2023 11:30</t>
  </si>
  <si>
    <t>07-02-2023 11:45</t>
  </si>
  <si>
    <t>07-02-2023 12:00</t>
  </si>
  <si>
    <t>07-02-2023 12:15</t>
  </si>
  <si>
    <t>07-02-2023 12:30</t>
  </si>
  <si>
    <t>07-02-2023 12:45</t>
  </si>
  <si>
    <t>07-02-2023 13:00</t>
  </si>
  <si>
    <t>07-02-2023 13:15</t>
  </si>
  <si>
    <t>07-02-2023 13:30</t>
  </si>
  <si>
    <t>07-02-2023 13:45</t>
  </si>
  <si>
    <t>07-02-2023 14:00</t>
  </si>
  <si>
    <t>07-02-2023 14:15</t>
  </si>
  <si>
    <t>07-02-2023 14:30</t>
  </si>
  <si>
    <t>07-02-2023 14:45</t>
  </si>
  <si>
    <t>07-02-2023 15:00</t>
  </si>
  <si>
    <t>07-02-2023 15:15</t>
  </si>
  <si>
    <t>07-02-2023 15:30</t>
  </si>
  <si>
    <t>07-02-2023 15:45</t>
  </si>
  <si>
    <t>07-02-2023 16:00</t>
  </si>
  <si>
    <t>07-02-2023 16:15</t>
  </si>
  <si>
    <t>07-02-2023 16:30</t>
  </si>
  <si>
    <t>07-02-2023 16:45</t>
  </si>
  <si>
    <t>07-02-2023 17:00</t>
  </si>
  <si>
    <t>07-02-2023 17:15</t>
  </si>
  <si>
    <t>07-02-2023 17:30</t>
  </si>
  <si>
    <t>07-02-2023 17:45</t>
  </si>
  <si>
    <t>07-02-2023 18:00</t>
  </si>
  <si>
    <t>07-02-2023 18:15</t>
  </si>
  <si>
    <t>07-02-2023 18:30</t>
  </si>
  <si>
    <t>07-02-2023 18:45</t>
  </si>
  <si>
    <t>07-02-2023 19:00</t>
  </si>
  <si>
    <t>07-02-2023 19:15</t>
  </si>
  <si>
    <t>07-02-2023 19:30</t>
  </si>
  <si>
    <t>07-02-2023 19:45</t>
  </si>
  <si>
    <t>07-02-2023 20:00</t>
  </si>
  <si>
    <t>07-02-2023 20:15</t>
  </si>
  <si>
    <t>07-02-2023 20:30</t>
  </si>
  <si>
    <t>07-02-2023 20:45</t>
  </si>
  <si>
    <t>07-02-2023 21:00</t>
  </si>
  <si>
    <t>07-02-2023 21:15</t>
  </si>
  <si>
    <t>07-02-2023 21:30</t>
  </si>
  <si>
    <t>07-02-2023 21:45</t>
  </si>
  <si>
    <t>07-02-2023 22:00</t>
  </si>
  <si>
    <t>07-02-2023 22:15</t>
  </si>
  <si>
    <t>07-02-2023 22:30</t>
  </si>
  <si>
    <t>07-02-2023 22:45</t>
  </si>
  <si>
    <t>07-02-2023 23:00</t>
  </si>
  <si>
    <t>07-02-2023 23:15</t>
  </si>
  <si>
    <t>07-02-2023 23:30</t>
  </si>
  <si>
    <t>07-02-2023 23:45</t>
  </si>
  <si>
    <t>07-02-2023 24:00</t>
  </si>
  <si>
    <t>08-02-2023 00:15</t>
  </si>
  <si>
    <t>08-02-2023 00:30</t>
  </si>
  <si>
    <t>08-02-2023 00:45</t>
  </si>
  <si>
    <t>08-02-2023 01:00</t>
  </si>
  <si>
    <t>08-02-2023 01:15</t>
  </si>
  <si>
    <t>08-02-2023 01:30</t>
  </si>
  <si>
    <t>08-02-2023 01:45</t>
  </si>
  <si>
    <t>08-02-2023 02:00</t>
  </si>
  <si>
    <t>08-02-2023 02:15</t>
  </si>
  <si>
    <t>08-02-2023 02:30</t>
  </si>
  <si>
    <t>08-02-2023 02:45</t>
  </si>
  <si>
    <t>08-02-2023 03:00</t>
  </si>
  <si>
    <t>08-02-2023 03:15</t>
  </si>
  <si>
    <t>08-02-2023 03:30</t>
  </si>
  <si>
    <t>08-02-2023 03:45</t>
  </si>
  <si>
    <t>08-02-2023 04:00</t>
  </si>
  <si>
    <t>08-02-2023 04:15</t>
  </si>
  <si>
    <t>08-02-2023 04:30</t>
  </si>
  <si>
    <t>08-02-2023 04:45</t>
  </si>
  <si>
    <t>08-02-2023 05:00</t>
  </si>
  <si>
    <t>08-02-2023 05:15</t>
  </si>
  <si>
    <t>08-02-2023 05:30</t>
  </si>
  <si>
    <t>08-02-2023 05:45</t>
  </si>
  <si>
    <t>08-02-2023 06:00</t>
  </si>
  <si>
    <t>08-02-2023 06:15</t>
  </si>
  <si>
    <t>08-02-2023 06:30</t>
  </si>
  <si>
    <t>08-02-2023 06:45</t>
  </si>
  <si>
    <t>08-02-2023 07:00</t>
  </si>
  <si>
    <t>08-02-2023 07:15</t>
  </si>
  <si>
    <t>08-02-2023 07:30</t>
  </si>
  <si>
    <t>08-02-2023 07:45</t>
  </si>
  <si>
    <t>08-02-2023 08:00</t>
  </si>
  <si>
    <t>08-02-2023 08:15</t>
  </si>
  <si>
    <t>08-02-2023 08:30</t>
  </si>
  <si>
    <t>08-02-2023 08:45</t>
  </si>
  <si>
    <t>08-02-2023 09:00</t>
  </si>
  <si>
    <t>08-02-2023 09:15</t>
  </si>
  <si>
    <t>08-02-2023 09:30</t>
  </si>
  <si>
    <t>08-02-2023 09:45</t>
  </si>
  <si>
    <t>08-02-2023 10:00</t>
  </si>
  <si>
    <t>08-02-2023 10:15</t>
  </si>
  <si>
    <t>08-02-2023 10:30</t>
  </si>
  <si>
    <t>08-02-2023 10:45</t>
  </si>
  <si>
    <t>08-02-2023 11:00</t>
  </si>
  <si>
    <t>08-02-2023 11:15</t>
  </si>
  <si>
    <t>08-02-2023 11:30</t>
  </si>
  <si>
    <t>08-02-2023 11:45</t>
  </si>
  <si>
    <t>08-02-2023 12:00</t>
  </si>
  <si>
    <t>08-02-2023 12:15</t>
  </si>
  <si>
    <t>08-02-2023 12:30</t>
  </si>
  <si>
    <t>08-02-2023 12:45</t>
  </si>
  <si>
    <t>08-02-2023 13:00</t>
  </si>
  <si>
    <t>08-02-2023 13:15</t>
  </si>
  <si>
    <t>08-02-2023 13:30</t>
  </si>
  <si>
    <t>08-02-2023 13:45</t>
  </si>
  <si>
    <t>08-02-2023 14:00</t>
  </si>
  <si>
    <t>08-02-2023 14:15</t>
  </si>
  <si>
    <t>08-02-2023 14:30</t>
  </si>
  <si>
    <t>08-02-2023 14:45</t>
  </si>
  <si>
    <t>08-02-2023 15:00</t>
  </si>
  <si>
    <t>08-02-2023 15:15</t>
  </si>
  <si>
    <t>08-02-2023 15:30</t>
  </si>
  <si>
    <t>08-02-2023 15:45</t>
  </si>
  <si>
    <t>08-02-2023 16:00</t>
  </si>
  <si>
    <t>08-02-2023 16:15</t>
  </si>
  <si>
    <t>08-02-2023 16:30</t>
  </si>
  <si>
    <t>08-02-2023 16:45</t>
  </si>
  <si>
    <t>08-02-2023 17:00</t>
  </si>
  <si>
    <t>08-02-2023 17:15</t>
  </si>
  <si>
    <t>08-02-2023 17:30</t>
  </si>
  <si>
    <t>08-02-2023 17:45</t>
  </si>
  <si>
    <t>08-02-2023 18:00</t>
  </si>
  <si>
    <t>08-02-2023 18:15</t>
  </si>
  <si>
    <t>08-02-2023 18:30</t>
  </si>
  <si>
    <t>08-02-2023 18:45</t>
  </si>
  <si>
    <t>08-02-2023 19:00</t>
  </si>
  <si>
    <t>08-02-2023 19:15</t>
  </si>
  <si>
    <t>08-02-2023 19:30</t>
  </si>
  <si>
    <t>08-02-2023 19:45</t>
  </si>
  <si>
    <t>08-02-2023 20:00</t>
  </si>
  <si>
    <t>08-02-2023 20:15</t>
  </si>
  <si>
    <t>08-02-2023 20:30</t>
  </si>
  <si>
    <t>08-02-2023 20:45</t>
  </si>
  <si>
    <t>08-02-2023 21:00</t>
  </si>
  <si>
    <t>08-02-2023 21:15</t>
  </si>
  <si>
    <t>08-02-2023 21:30</t>
  </si>
  <si>
    <t>08-02-2023 21:45</t>
  </si>
  <si>
    <t>08-02-2023 22:00</t>
  </si>
  <si>
    <t>08-02-2023 22:15</t>
  </si>
  <si>
    <t>08-02-2023 22:30</t>
  </si>
  <si>
    <t>08-02-2023 22:45</t>
  </si>
  <si>
    <t>08-02-2023 23:00</t>
  </si>
  <si>
    <t>08-02-2023 23:15</t>
  </si>
  <si>
    <t>08-02-2023 23:30</t>
  </si>
  <si>
    <t>08-02-2023 23:45</t>
  </si>
  <si>
    <t>08-02-2023 24:00</t>
  </si>
  <si>
    <t>09-02-2023 00:15</t>
  </si>
  <si>
    <t>09-02-2023 00:30</t>
  </si>
  <si>
    <t>09-02-2023 00:45</t>
  </si>
  <si>
    <t>09-02-2023 01:00</t>
  </si>
  <si>
    <t>09-02-2023 01:15</t>
  </si>
  <si>
    <t>09-02-2023 01:30</t>
  </si>
  <si>
    <t>09-02-2023 01:45</t>
  </si>
  <si>
    <t>09-02-2023 02:00</t>
  </si>
  <si>
    <t>09-02-2023 02:15</t>
  </si>
  <si>
    <t>09-02-2023 02:30</t>
  </si>
  <si>
    <t>09-02-2023 02:45</t>
  </si>
  <si>
    <t>09-02-2023 03:00</t>
  </si>
  <si>
    <t>09-02-2023 03:15</t>
  </si>
  <si>
    <t>09-02-2023 03:30</t>
  </si>
  <si>
    <t>09-02-2023 03:45</t>
  </si>
  <si>
    <t>09-02-2023 04:00</t>
  </si>
  <si>
    <t>09-02-2023 04:15</t>
  </si>
  <si>
    <t>09-02-2023 04:30</t>
  </si>
  <si>
    <t>09-02-2023 04:45</t>
  </si>
  <si>
    <t>09-02-2023 05:00</t>
  </si>
  <si>
    <t>09-02-2023 05:15</t>
  </si>
  <si>
    <t>09-02-2023 05:30</t>
  </si>
  <si>
    <t>09-02-2023 05:45</t>
  </si>
  <si>
    <t>09-02-2023 06:00</t>
  </si>
  <si>
    <t>09-02-2023 06:15</t>
  </si>
  <si>
    <t>09-02-2023 06:30</t>
  </si>
  <si>
    <t>09-02-2023 06:45</t>
  </si>
  <si>
    <t>09-02-2023 07:00</t>
  </si>
  <si>
    <t>09-02-2023 07:15</t>
  </si>
  <si>
    <t>09-02-2023 07:30</t>
  </si>
  <si>
    <t>09-02-2023 07:45</t>
  </si>
  <si>
    <t>09-02-2023 08:00</t>
  </si>
  <si>
    <t>09-02-2023 08:15</t>
  </si>
  <si>
    <t>09-02-2023 08:30</t>
  </si>
  <si>
    <t>09-02-2023 08:45</t>
  </si>
  <si>
    <t>09-02-2023 09:00</t>
  </si>
  <si>
    <t>09-02-2023 09:15</t>
  </si>
  <si>
    <t>09-02-2023 09:30</t>
  </si>
  <si>
    <t>09-02-2023 09:45</t>
  </si>
  <si>
    <t>09-02-2023 10:00</t>
  </si>
  <si>
    <t>09-02-2023 10:15</t>
  </si>
  <si>
    <t>09-02-2023 10:30</t>
  </si>
  <si>
    <t>09-02-2023 10:45</t>
  </si>
  <si>
    <t>09-02-2023 11:00</t>
  </si>
  <si>
    <t>09-02-2023 11:15</t>
  </si>
  <si>
    <t>09-02-2023 11:30</t>
  </si>
  <si>
    <t>09-02-2023 11:45</t>
  </si>
  <si>
    <t>09-02-2023 12:00</t>
  </si>
  <si>
    <t>09-02-2023 12:15</t>
  </si>
  <si>
    <t>09-02-2023 12:30</t>
  </si>
  <si>
    <t>09-02-2023 12:45</t>
  </si>
  <si>
    <t>09-02-2023 13:00</t>
  </si>
  <si>
    <t>09-02-2023 13:15</t>
  </si>
  <si>
    <t>09-02-2023 13:30</t>
  </si>
  <si>
    <t>09-02-2023 13:45</t>
  </si>
  <si>
    <t>09-02-2023 14:00</t>
  </si>
  <si>
    <t>09-02-2023 14:15</t>
  </si>
  <si>
    <t>09-02-2023 14:30</t>
  </si>
  <si>
    <t>09-02-2023 14:45</t>
  </si>
  <si>
    <t>09-02-2023 15:00</t>
  </si>
  <si>
    <t>09-02-2023 15:15</t>
  </si>
  <si>
    <t>09-02-2023 15:30</t>
  </si>
  <si>
    <t>09-02-2023 15:45</t>
  </si>
  <si>
    <t>09-02-2023 16:00</t>
  </si>
  <si>
    <t>09-02-2023 16:15</t>
  </si>
  <si>
    <t>09-02-2023 16:30</t>
  </si>
  <si>
    <t>09-02-2023 16:45</t>
  </si>
  <si>
    <t>09-02-2023 17:00</t>
  </si>
  <si>
    <t>09-02-2023 17:15</t>
  </si>
  <si>
    <t>09-02-2023 17:30</t>
  </si>
  <si>
    <t>09-02-2023 17:45</t>
  </si>
  <si>
    <t>09-02-2023 18:00</t>
  </si>
  <si>
    <t>09-02-2023 18:15</t>
  </si>
  <si>
    <t>09-02-2023 18:30</t>
  </si>
  <si>
    <t>09-02-2023 18:45</t>
  </si>
  <si>
    <t>09-02-2023 19:00</t>
  </si>
  <si>
    <t>09-02-2023 19:15</t>
  </si>
  <si>
    <t>09-02-2023 19:30</t>
  </si>
  <si>
    <t>09-02-2023 19:45</t>
  </si>
  <si>
    <t>09-02-2023 20:00</t>
  </si>
  <si>
    <t>09-02-2023 20:15</t>
  </si>
  <si>
    <t>09-02-2023 20:30</t>
  </si>
  <si>
    <t>09-02-2023 20:45</t>
  </si>
  <si>
    <t>09-02-2023 21:00</t>
  </si>
  <si>
    <t>09-02-2023 21:15</t>
  </si>
  <si>
    <t>09-02-2023 21:30</t>
  </si>
  <si>
    <t>09-02-2023 21:45</t>
  </si>
  <si>
    <t>09-02-2023 22:00</t>
  </si>
  <si>
    <t>09-02-2023 22:15</t>
  </si>
  <si>
    <t>09-02-2023 22:30</t>
  </si>
  <si>
    <t>09-02-2023 22:45</t>
  </si>
  <si>
    <t>09-02-2023 23:00</t>
  </si>
  <si>
    <t>09-02-2023 23:15</t>
  </si>
  <si>
    <t>09-02-2023 23:30</t>
  </si>
  <si>
    <t>09-02-2023 23:45</t>
  </si>
  <si>
    <t>09-02-2023 24:00</t>
  </si>
  <si>
    <t>10-02-2023 00:15</t>
  </si>
  <si>
    <t>10-02-2023 00:30</t>
  </si>
  <si>
    <t>10-02-2023 00:45</t>
  </si>
  <si>
    <t>10-02-2023 01:00</t>
  </si>
  <si>
    <t>10-02-2023 01:15</t>
  </si>
  <si>
    <t>10-02-2023 01:30</t>
  </si>
  <si>
    <t>10-02-2023 01:45</t>
  </si>
  <si>
    <t>10-02-2023 02:00</t>
  </si>
  <si>
    <t>10-02-2023 02:15</t>
  </si>
  <si>
    <t>10-02-2023 02:30</t>
  </si>
  <si>
    <t>10-02-2023 02:45</t>
  </si>
  <si>
    <t>10-02-2023 03:00</t>
  </si>
  <si>
    <t>10-02-2023 03:15</t>
  </si>
  <si>
    <t>10-02-2023 03:30</t>
  </si>
  <si>
    <t>10-02-2023 03:45</t>
  </si>
  <si>
    <t>10-02-2023 04:00</t>
  </si>
  <si>
    <t>10-02-2023 04:15</t>
  </si>
  <si>
    <t>10-02-2023 04:30</t>
  </si>
  <si>
    <t>10-02-2023 04:45</t>
  </si>
  <si>
    <t>10-02-2023 05:00</t>
  </si>
  <si>
    <t>10-02-2023 05:15</t>
  </si>
  <si>
    <t>10-02-2023 05:30</t>
  </si>
  <si>
    <t>10-02-2023 05:45</t>
  </si>
  <si>
    <t>10-02-2023 06:00</t>
  </si>
  <si>
    <t>10-02-2023 06:15</t>
  </si>
  <si>
    <t>10-02-2023 06:30</t>
  </si>
  <si>
    <t>10-02-2023 06:45</t>
  </si>
  <si>
    <t>10-02-2023 07:00</t>
  </si>
  <si>
    <t>10-02-2023 07:15</t>
  </si>
  <si>
    <t>10-02-2023 07:30</t>
  </si>
  <si>
    <t>10-02-2023 07:45</t>
  </si>
  <si>
    <t>10-02-2023 08:00</t>
  </si>
  <si>
    <t>10-02-2023 08:15</t>
  </si>
  <si>
    <t>10-02-2023 08:30</t>
  </si>
  <si>
    <t>10-02-2023 08:45</t>
  </si>
  <si>
    <t>10-02-2023 09:00</t>
  </si>
  <si>
    <t>10-02-2023 09:15</t>
  </si>
  <si>
    <t>10-02-2023 09:30</t>
  </si>
  <si>
    <t>10-02-2023 09:45</t>
  </si>
  <si>
    <t>10-02-2023 10:00</t>
  </si>
  <si>
    <t>10-02-2023 10:15</t>
  </si>
  <si>
    <t>10-02-2023 10:30</t>
  </si>
  <si>
    <t>10-02-2023 10:45</t>
  </si>
  <si>
    <t>10-02-2023 11:00</t>
  </si>
  <si>
    <t>10-02-2023 11:15</t>
  </si>
  <si>
    <t>10-02-2023 11:30</t>
  </si>
  <si>
    <t>10-02-2023 11:45</t>
  </si>
  <si>
    <t>10-02-2023 12:00</t>
  </si>
  <si>
    <t>10-02-2023 12:15</t>
  </si>
  <si>
    <t>10-02-2023 12:30</t>
  </si>
  <si>
    <t>10-02-2023 12:45</t>
  </si>
  <si>
    <t>10-02-2023 13:00</t>
  </si>
  <si>
    <t>10-02-2023 13:15</t>
  </si>
  <si>
    <t>10-02-2023 13:30</t>
  </si>
  <si>
    <t>10-02-2023 13:45</t>
  </si>
  <si>
    <t>10-02-2023 14:00</t>
  </si>
  <si>
    <t>10-02-2023 14:15</t>
  </si>
  <si>
    <t>10-02-2023 14:30</t>
  </si>
  <si>
    <t>10-02-2023 14:45</t>
  </si>
  <si>
    <t>10-02-2023 15:00</t>
  </si>
  <si>
    <t>10-02-2023 15:15</t>
  </si>
  <si>
    <t>10-02-2023 15:30</t>
  </si>
  <si>
    <t>10-02-2023 15:45</t>
  </si>
  <si>
    <t>10-02-2023 16:00</t>
  </si>
  <si>
    <t>10-02-2023 16:15</t>
  </si>
  <si>
    <t>10-02-2023 16:30</t>
  </si>
  <si>
    <t>10-02-2023 16:45</t>
  </si>
  <si>
    <t>10-02-2023 17:00</t>
  </si>
  <si>
    <t>10-02-2023 17:15</t>
  </si>
  <si>
    <t>10-02-2023 17:30</t>
  </si>
  <si>
    <t>10-02-2023 17:45</t>
  </si>
  <si>
    <t>10-02-2023 18:00</t>
  </si>
  <si>
    <t>10-02-2023 18:15</t>
  </si>
  <si>
    <t>10-02-2023 18:30</t>
  </si>
  <si>
    <t>10-02-2023 18:45</t>
  </si>
  <si>
    <t>10-02-2023 19:00</t>
  </si>
  <si>
    <t>10-02-2023 19:15</t>
  </si>
  <si>
    <t>10-02-2023 19:30</t>
  </si>
  <si>
    <t>10-02-2023 19:45</t>
  </si>
  <si>
    <t>10-02-2023 20:00</t>
  </si>
  <si>
    <t>10-02-2023 20:15</t>
  </si>
  <si>
    <t>10-02-2023 20:30</t>
  </si>
  <si>
    <t>10-02-2023 20:45</t>
  </si>
  <si>
    <t>10-02-2023 21:00</t>
  </si>
  <si>
    <t>10-02-2023 21:15</t>
  </si>
  <si>
    <t>10-02-2023 21:30</t>
  </si>
  <si>
    <t>10-02-2023 21:45</t>
  </si>
  <si>
    <t>10-02-2023 22:00</t>
  </si>
  <si>
    <t>10-02-2023 22:15</t>
  </si>
  <si>
    <t>10-02-2023 22:30</t>
  </si>
  <si>
    <t>10-02-2023 22:45</t>
  </si>
  <si>
    <t>10-02-2023 23:00</t>
  </si>
  <si>
    <t>10-02-2023 23:15</t>
  </si>
  <si>
    <t>10-02-2023 23:30</t>
  </si>
  <si>
    <t>10-02-2023 23:45</t>
  </si>
  <si>
    <t>10-02-2023 24:00</t>
  </si>
  <si>
    <t>11-02-2023 00:15</t>
  </si>
  <si>
    <t>11-02-2023 00:30</t>
  </si>
  <si>
    <t>11-02-2023 00:45</t>
  </si>
  <si>
    <t>11-02-2023 01:00</t>
  </si>
  <si>
    <t>11-02-2023 01:15</t>
  </si>
  <si>
    <t>11-02-2023 01:30</t>
  </si>
  <si>
    <t>11-02-2023 01:45</t>
  </si>
  <si>
    <t>11-02-2023 02:00</t>
  </si>
  <si>
    <t>11-02-2023 02:15</t>
  </si>
  <si>
    <t>11-02-2023 02:30</t>
  </si>
  <si>
    <t>11-02-2023 02:45</t>
  </si>
  <si>
    <t>11-02-2023 03:00</t>
  </si>
  <si>
    <t>11-02-2023 03:15</t>
  </si>
  <si>
    <t>11-02-2023 03:30</t>
  </si>
  <si>
    <t>11-02-2023 03:45</t>
  </si>
  <si>
    <t>11-02-2023 04:00</t>
  </si>
  <si>
    <t>11-02-2023 04:15</t>
  </si>
  <si>
    <t>11-02-2023 04:30</t>
  </si>
  <si>
    <t>11-02-2023 04:45</t>
  </si>
  <si>
    <t>11-02-2023 05:00</t>
  </si>
  <si>
    <t>11-02-2023 05:15</t>
  </si>
  <si>
    <t>11-02-2023 05:30</t>
  </si>
  <si>
    <t>11-02-2023 05:45</t>
  </si>
  <si>
    <t>11-02-2023 06:00</t>
  </si>
  <si>
    <t>11-02-2023 06:15</t>
  </si>
  <si>
    <t>11-02-2023 06:30</t>
  </si>
  <si>
    <t>11-02-2023 06:45</t>
  </si>
  <si>
    <t>11-02-2023 07:00</t>
  </si>
  <si>
    <t>11-02-2023 07:15</t>
  </si>
  <si>
    <t>11-02-2023 07:30</t>
  </si>
  <si>
    <t>11-02-2023 07:45</t>
  </si>
  <si>
    <t>11-02-2023 08:00</t>
  </si>
  <si>
    <t>11-02-2023 08:15</t>
  </si>
  <si>
    <t>11-02-2023 08:30</t>
  </si>
  <si>
    <t>11-02-2023 08:45</t>
  </si>
  <si>
    <t>11-02-2023 09:00</t>
  </si>
  <si>
    <t>11-02-2023 09:15</t>
  </si>
  <si>
    <t>11-02-2023 09:30</t>
  </si>
  <si>
    <t>11-02-2023 09:45</t>
  </si>
  <si>
    <t>11-02-2023 10:00</t>
  </si>
  <si>
    <t>11-02-2023 10:15</t>
  </si>
  <si>
    <t>11-02-2023 10:30</t>
  </si>
  <si>
    <t>11-02-2023 10:45</t>
  </si>
  <si>
    <t>11-02-2023 11:00</t>
  </si>
  <si>
    <t>11-02-2023 11:15</t>
  </si>
  <si>
    <t>11-02-2023 11:30</t>
  </si>
  <si>
    <t>11-02-2023 11:45</t>
  </si>
  <si>
    <t>11-02-2023 12:00</t>
  </si>
  <si>
    <t>11-02-2023 12:15</t>
  </si>
  <si>
    <t>11-02-2023 12:30</t>
  </si>
  <si>
    <t>11-02-2023 12:45</t>
  </si>
  <si>
    <t>11-02-2023 13:00</t>
  </si>
  <si>
    <t>11-02-2023 13:15</t>
  </si>
  <si>
    <t>11-02-2023 13:30</t>
  </si>
  <si>
    <t>11-02-2023 13:45</t>
  </si>
  <si>
    <t>11-02-2023 14:00</t>
  </si>
  <si>
    <t>11-02-2023 14:15</t>
  </si>
  <si>
    <t>11-02-2023 14:30</t>
  </si>
  <si>
    <t>11-02-2023 14:45</t>
  </si>
  <si>
    <t>11-02-2023 15:00</t>
  </si>
  <si>
    <t>11-02-2023 15:15</t>
  </si>
  <si>
    <t>11-02-2023 15:30</t>
  </si>
  <si>
    <t>11-02-2023 15:45</t>
  </si>
  <si>
    <t>11-02-2023 16:00</t>
  </si>
  <si>
    <t>11-02-2023 16:15</t>
  </si>
  <si>
    <t>11-02-2023 16:30</t>
  </si>
  <si>
    <t>11-02-2023 16:45</t>
  </si>
  <si>
    <t>11-02-2023 17:00</t>
  </si>
  <si>
    <t>11-02-2023 17:15</t>
  </si>
  <si>
    <t>11-02-2023 17:30</t>
  </si>
  <si>
    <t>11-02-2023 17:45</t>
  </si>
  <si>
    <t>11-02-2023 18:00</t>
  </si>
  <si>
    <t>11-02-2023 18:15</t>
  </si>
  <si>
    <t>11-02-2023 18:30</t>
  </si>
  <si>
    <t>11-02-2023 18:45</t>
  </si>
  <si>
    <t>11-02-2023 19:00</t>
  </si>
  <si>
    <t>11-02-2023 19:15</t>
  </si>
  <si>
    <t>11-02-2023 19:30</t>
  </si>
  <si>
    <t>11-02-2023 19:45</t>
  </si>
  <si>
    <t>11-02-2023 20:00</t>
  </si>
  <si>
    <t>11-02-2023 20:15</t>
  </si>
  <si>
    <t>11-02-2023 20:30</t>
  </si>
  <si>
    <t>11-02-2023 20:45</t>
  </si>
  <si>
    <t>11-02-2023 21:00</t>
  </si>
  <si>
    <t>11-02-2023 21:15</t>
  </si>
  <si>
    <t>11-02-2023 21:30</t>
  </si>
  <si>
    <t>11-02-2023 21:45</t>
  </si>
  <si>
    <t>11-02-2023 22:00</t>
  </si>
  <si>
    <t>11-02-2023 22:15</t>
  </si>
  <si>
    <t>11-02-2023 22:30</t>
  </si>
  <si>
    <t>11-02-2023 22:45</t>
  </si>
  <si>
    <t>11-02-2023 23:00</t>
  </si>
  <si>
    <t>11-02-2023 23:15</t>
  </si>
  <si>
    <t>11-02-2023 23:30</t>
  </si>
  <si>
    <t>11-02-2023 23:45</t>
  </si>
  <si>
    <t>11-02-2023 24:00</t>
  </si>
  <si>
    <t>12-02-2023 00:15</t>
  </si>
  <si>
    <t>12-02-2023 00:30</t>
  </si>
  <si>
    <t>12-02-2023 00:45</t>
  </si>
  <si>
    <t>12-02-2023 01:00</t>
  </si>
  <si>
    <t>12-02-2023 01:15</t>
  </si>
  <si>
    <t>12-02-2023 01:30</t>
  </si>
  <si>
    <t>12-02-2023 01:45</t>
  </si>
  <si>
    <t>12-02-2023 02:00</t>
  </si>
  <si>
    <t>12-02-2023 02:15</t>
  </si>
  <si>
    <t>12-02-2023 02:30</t>
  </si>
  <si>
    <t>12-02-2023 02:45</t>
  </si>
  <si>
    <t>12-02-2023 03:00</t>
  </si>
  <si>
    <t>12-02-2023 03:15</t>
  </si>
  <si>
    <t>12-02-2023 03:30</t>
  </si>
  <si>
    <t>12-02-2023 03:45</t>
  </si>
  <si>
    <t>12-02-2023 04:00</t>
  </si>
  <si>
    <t>12-02-2023 04:15</t>
  </si>
  <si>
    <t>12-02-2023 04:30</t>
  </si>
  <si>
    <t>12-02-2023 04:45</t>
  </si>
  <si>
    <t>12-02-2023 05:00</t>
  </si>
  <si>
    <t>12-02-2023 05:15</t>
  </si>
  <si>
    <t>12-02-2023 05:30</t>
  </si>
  <si>
    <t>12-02-2023 05:45</t>
  </si>
  <si>
    <t>12-02-2023 06:00</t>
  </si>
  <si>
    <t>12-02-2023 06:15</t>
  </si>
  <si>
    <t>12-02-2023 06:30</t>
  </si>
  <si>
    <t>12-02-2023 06:45</t>
  </si>
  <si>
    <t>12-02-2023 07:00</t>
  </si>
  <si>
    <t>12-02-2023 07:15</t>
  </si>
  <si>
    <t>12-02-2023 07:30</t>
  </si>
  <si>
    <t>12-02-2023 07:45</t>
  </si>
  <si>
    <t>12-02-2023 08:00</t>
  </si>
  <si>
    <t>12-02-2023 08:15</t>
  </si>
  <si>
    <t>12-02-2023 08:30</t>
  </si>
  <si>
    <t>12-02-2023 08:45</t>
  </si>
  <si>
    <t>12-02-2023 09:00</t>
  </si>
  <si>
    <t>12-02-2023 09:15</t>
  </si>
  <si>
    <t>12-02-2023 09:30</t>
  </si>
  <si>
    <t>12-02-2023 09:45</t>
  </si>
  <si>
    <t>12-02-2023 10:00</t>
  </si>
  <si>
    <t>12-02-2023 10:15</t>
  </si>
  <si>
    <t>12-02-2023 10:30</t>
  </si>
  <si>
    <t>12-02-2023 10:45</t>
  </si>
  <si>
    <t>12-02-2023 11:00</t>
  </si>
  <si>
    <t>12-02-2023 11:15</t>
  </si>
  <si>
    <t>12-02-2023 11:30</t>
  </si>
  <si>
    <t>12-02-2023 11:45</t>
  </si>
  <si>
    <t>12-02-2023 12:00</t>
  </si>
  <si>
    <t>12-02-2023 12:15</t>
  </si>
  <si>
    <t>12-02-2023 12:30</t>
  </si>
  <si>
    <t>12-02-2023 12:45</t>
  </si>
  <si>
    <t>12-02-2023 13:00</t>
  </si>
  <si>
    <t>12-02-2023 13:15</t>
  </si>
  <si>
    <t>12-02-2023 13:30</t>
  </si>
  <si>
    <t>12-02-2023 13:45</t>
  </si>
  <si>
    <t>12-02-2023 14:00</t>
  </si>
  <si>
    <t>12-02-2023 14:15</t>
  </si>
  <si>
    <t>12-02-2023 14:30</t>
  </si>
  <si>
    <t>12-02-2023 14:45</t>
  </si>
  <si>
    <t>12-02-2023 15:00</t>
  </si>
  <si>
    <t>12-02-2023 15:15</t>
  </si>
  <si>
    <t>12-02-2023 15:30</t>
  </si>
  <si>
    <t>12-02-2023 15:45</t>
  </si>
  <si>
    <t>12-02-2023 16:00</t>
  </si>
  <si>
    <t>12-02-2023 16:15</t>
  </si>
  <si>
    <t>12-02-2023 16:30</t>
  </si>
  <si>
    <t>12-02-2023 16:45</t>
  </si>
  <si>
    <t>12-02-2023 17:00</t>
  </si>
  <si>
    <t>12-02-2023 17:15</t>
  </si>
  <si>
    <t>12-02-2023 17:30</t>
  </si>
  <si>
    <t>12-02-2023 17:45</t>
  </si>
  <si>
    <t>12-02-2023 18:00</t>
  </si>
  <si>
    <t>12-02-2023 18:15</t>
  </si>
  <si>
    <t>12-02-2023 18:30</t>
  </si>
  <si>
    <t>12-02-2023 18:45</t>
  </si>
  <si>
    <t>12-02-2023 19:00</t>
  </si>
  <si>
    <t>12-02-2023 19:15</t>
  </si>
  <si>
    <t>12-02-2023 19:30</t>
  </si>
  <si>
    <t>12-02-2023 19:45</t>
  </si>
  <si>
    <t>12-02-2023 20:00</t>
  </si>
  <si>
    <t>12-02-2023 20:15</t>
  </si>
  <si>
    <t>12-02-2023 20:30</t>
  </si>
  <si>
    <t>12-02-2023 20:45</t>
  </si>
  <si>
    <t>12-02-2023 21:00</t>
  </si>
  <si>
    <t>12-02-2023 21:15</t>
  </si>
  <si>
    <t>12-02-2023 21:30</t>
  </si>
  <si>
    <t>12-02-2023 21:45</t>
  </si>
  <si>
    <t>12-02-2023 22:00</t>
  </si>
  <si>
    <t>12-02-2023 22:15</t>
  </si>
  <si>
    <t>12-02-2023 22:30</t>
  </si>
  <si>
    <t>12-02-2023 22:45</t>
  </si>
  <si>
    <t>12-02-2023 23:00</t>
  </si>
  <si>
    <t>12-02-2023 23:15</t>
  </si>
  <si>
    <t>12-02-2023 23:30</t>
  </si>
  <si>
    <t>12-02-2023 23:45</t>
  </si>
  <si>
    <t>12-02-2023 24:00</t>
  </si>
  <si>
    <t>13-02-2023 00:15</t>
  </si>
  <si>
    <t>13-02-2023 00:30</t>
  </si>
  <si>
    <t>13-02-2023 00:45</t>
  </si>
  <si>
    <t>13-02-2023 01:00</t>
  </si>
  <si>
    <t>13-02-2023 01:15</t>
  </si>
  <si>
    <t>13-02-2023 01:30</t>
  </si>
  <si>
    <t>13-02-2023 01:45</t>
  </si>
  <si>
    <t>13-02-2023 02:00</t>
  </si>
  <si>
    <t>13-02-2023 02:15</t>
  </si>
  <si>
    <t>13-02-2023 02:30</t>
  </si>
  <si>
    <t>13-02-2023 02:45</t>
  </si>
  <si>
    <t>13-02-2023 03:00</t>
  </si>
  <si>
    <t>13-02-2023 03:15</t>
  </si>
  <si>
    <t>13-02-2023 03:30</t>
  </si>
  <si>
    <t>13-02-2023 03:45</t>
  </si>
  <si>
    <t>13-02-2023 04:00</t>
  </si>
  <si>
    <t>13-02-2023 04:15</t>
  </si>
  <si>
    <t>13-02-2023 04:30</t>
  </si>
  <si>
    <t>13-02-2023 04:45</t>
  </si>
  <si>
    <t>13-02-2023 05:00</t>
  </si>
  <si>
    <t>13-02-2023 05:15</t>
  </si>
  <si>
    <t>13-02-2023 05:30</t>
  </si>
  <si>
    <t>13-02-2023 05:45</t>
  </si>
  <si>
    <t>13-02-2023 06:00</t>
  </si>
  <si>
    <t>13-02-2023 06:15</t>
  </si>
  <si>
    <t>13-02-2023 06:30</t>
  </si>
  <si>
    <t>13-02-2023 06:45</t>
  </si>
  <si>
    <t>13-02-2023 07:00</t>
  </si>
  <si>
    <t>13-02-2023 07:15</t>
  </si>
  <si>
    <t>13-02-2023 07:30</t>
  </si>
  <si>
    <t>13-02-2023 07:45</t>
  </si>
  <si>
    <t>13-02-2023 08:00</t>
  </si>
  <si>
    <t>13-02-2023 08:15</t>
  </si>
  <si>
    <t>13-02-2023 08:30</t>
  </si>
  <si>
    <t>13-02-2023 08:45</t>
  </si>
  <si>
    <t>13-02-2023 09:00</t>
  </si>
  <si>
    <t>13-02-2023 09:15</t>
  </si>
  <si>
    <t>13-02-2023 09:30</t>
  </si>
  <si>
    <t>13-02-2023 09:45</t>
  </si>
  <si>
    <t>13-02-2023 10:00</t>
  </si>
  <si>
    <t>13-02-2023 10:15</t>
  </si>
  <si>
    <t>13-02-2023 10:30</t>
  </si>
  <si>
    <t>13-02-2023 10:45</t>
  </si>
  <si>
    <t>13-02-2023 11:00</t>
  </si>
  <si>
    <t>13-02-2023 11:15</t>
  </si>
  <si>
    <t>13-02-2023 11:30</t>
  </si>
  <si>
    <t>13-02-2023 11:45</t>
  </si>
  <si>
    <t>13-02-2023 12:00</t>
  </si>
  <si>
    <t>13-02-2023 12:15</t>
  </si>
  <si>
    <t>13-02-2023 12:30</t>
  </si>
  <si>
    <t>13-02-2023 12:45</t>
  </si>
  <si>
    <t>13-02-2023 13:00</t>
  </si>
  <si>
    <t>13-02-2023 13:15</t>
  </si>
  <si>
    <t>13-02-2023 13:30</t>
  </si>
  <si>
    <t>13-02-2023 13:45</t>
  </si>
  <si>
    <t>13-02-2023 14:00</t>
  </si>
  <si>
    <t>13-02-2023 14:15</t>
  </si>
  <si>
    <t>13-02-2023 14:30</t>
  </si>
  <si>
    <t>13-02-2023 14:45</t>
  </si>
  <si>
    <t>13-02-2023 15:00</t>
  </si>
  <si>
    <t>13-02-2023 15:15</t>
  </si>
  <si>
    <t>13-02-2023 15:30</t>
  </si>
  <si>
    <t>13-02-2023 15:45</t>
  </si>
  <si>
    <t>13-02-2023 16:00</t>
  </si>
  <si>
    <t>13-02-2023 16:15</t>
  </si>
  <si>
    <t>13-02-2023 16:30</t>
  </si>
  <si>
    <t>13-02-2023 16:45</t>
  </si>
  <si>
    <t>13-02-2023 17:00</t>
  </si>
  <si>
    <t>13-02-2023 17:15</t>
  </si>
  <si>
    <t>13-02-2023 17:30</t>
  </si>
  <si>
    <t>13-02-2023 17:45</t>
  </si>
  <si>
    <t>13-02-2023 18:00</t>
  </si>
  <si>
    <t>13-02-2023 18:15</t>
  </si>
  <si>
    <t>13-02-2023 18:30</t>
  </si>
  <si>
    <t>13-02-2023 18:45</t>
  </si>
  <si>
    <t>13-02-2023 19:00</t>
  </si>
  <si>
    <t>13-02-2023 19:15</t>
  </si>
  <si>
    <t>13-02-2023 19:30</t>
  </si>
  <si>
    <t>13-02-2023 19:45</t>
  </si>
  <si>
    <t>13-02-2023 20:00</t>
  </si>
  <si>
    <t>13-02-2023 20:15</t>
  </si>
  <si>
    <t>13-02-2023 20:30</t>
  </si>
  <si>
    <t>13-02-2023 20:45</t>
  </si>
  <si>
    <t>13-02-2023 21:00</t>
  </si>
  <si>
    <t>13-02-2023 21:15</t>
  </si>
  <si>
    <t>13-02-2023 21:30</t>
  </si>
  <si>
    <t>13-02-2023 21:45</t>
  </si>
  <si>
    <t>13-02-2023 22:00</t>
  </si>
  <si>
    <t>13-02-2023 22:15</t>
  </si>
  <si>
    <t>13-02-2023 22:30</t>
  </si>
  <si>
    <t>13-02-2023 22:45</t>
  </si>
  <si>
    <t>13-02-2023 23:00</t>
  </si>
  <si>
    <t>13-02-2023 23:15</t>
  </si>
  <si>
    <t>13-02-2023 23:30</t>
  </si>
  <si>
    <t>13-02-2023 23:45</t>
  </si>
  <si>
    <t>13-02-2023 24:00</t>
  </si>
  <si>
    <t>847 ug/cm2</t>
  </si>
  <si>
    <t>835 ug/cm2</t>
  </si>
  <si>
    <t>08/02/2023 11;45</t>
  </si>
  <si>
    <t>14-02-2023 00:15</t>
  </si>
  <si>
    <t>14-02-2023 00:30</t>
  </si>
  <si>
    <t>14-02-2023 00:45</t>
  </si>
  <si>
    <t>14-02-2023 01:00</t>
  </si>
  <si>
    <t>14-02-2023 01:15</t>
  </si>
  <si>
    <t>14-02-2023 01:30</t>
  </si>
  <si>
    <t>14-02-2023 01:45</t>
  </si>
  <si>
    <t>14-02-2023 02:00</t>
  </si>
  <si>
    <t>14-02-2023 02:15</t>
  </si>
  <si>
    <t>14-02-2023 02:30</t>
  </si>
  <si>
    <t>14-02-2023 02:45</t>
  </si>
  <si>
    <t>14-02-2023 03:00</t>
  </si>
  <si>
    <t>14-02-2023 03:15</t>
  </si>
  <si>
    <t>14-02-2023 03:30</t>
  </si>
  <si>
    <t>14-02-2023 03:45</t>
  </si>
  <si>
    <t>14-02-2023 04:00</t>
  </si>
  <si>
    <t>14-02-2023 04:15</t>
  </si>
  <si>
    <t>14-02-2023 04:30</t>
  </si>
  <si>
    <t>14-02-2023 04:45</t>
  </si>
  <si>
    <t>14-02-2023 05:00</t>
  </si>
  <si>
    <t>14-02-2023 05:15</t>
  </si>
  <si>
    <t>14-02-2023 05:30</t>
  </si>
  <si>
    <t>14-02-2023 05:45</t>
  </si>
  <si>
    <t>14-02-2023 06:00</t>
  </si>
  <si>
    <t>14-02-2023 06:15</t>
  </si>
  <si>
    <t>14-02-2023 06:30</t>
  </si>
  <si>
    <t>14-02-2023 06:45</t>
  </si>
  <si>
    <t>14-02-2023 07:00</t>
  </si>
  <si>
    <t>14-02-2023 07:15</t>
  </si>
  <si>
    <t>14-02-2023 07:30</t>
  </si>
  <si>
    <t>14-02-2023 07:45</t>
  </si>
  <si>
    <t>14-02-2023 08:00</t>
  </si>
  <si>
    <t>14-02-2023 08:15</t>
  </si>
  <si>
    <t>14-02-2023 08:30</t>
  </si>
  <si>
    <t>14-02-2023 08:45</t>
  </si>
  <si>
    <t>14-02-2023 09:00</t>
  </si>
  <si>
    <t>14-02-2023 09:15</t>
  </si>
  <si>
    <t>14-02-2023 09:30</t>
  </si>
  <si>
    <t>14-02-2023 09:45</t>
  </si>
  <si>
    <t>14-02-2023 10:00</t>
  </si>
  <si>
    <t>14-02-2023 10:15</t>
  </si>
  <si>
    <t>14-02-2023 10:30</t>
  </si>
  <si>
    <t>14-02-2023 10:45</t>
  </si>
  <si>
    <t>14-02-2023 11:00</t>
  </si>
  <si>
    <t>14-02-2023 11:15</t>
  </si>
  <si>
    <t>14-02-2023 11:30</t>
  </si>
  <si>
    <t>14-02-2023 11:45</t>
  </si>
  <si>
    <t>14-02-2023 12:00</t>
  </si>
  <si>
    <t>14-02-2023 12:15</t>
  </si>
  <si>
    <t>14-02-2023 12:30</t>
  </si>
  <si>
    <t>14-02-2023 12:45</t>
  </si>
  <si>
    <t>14-02-2023 13:00</t>
  </si>
  <si>
    <t>14-02-2023 13:15</t>
  </si>
  <si>
    <t>14-02-2023 13:30</t>
  </si>
  <si>
    <t>14-02-2023 13:45</t>
  </si>
  <si>
    <t>14-02-2023 14:00</t>
  </si>
  <si>
    <t>14-02-2023 14:15</t>
  </si>
  <si>
    <t>14-02-2023 14:30</t>
  </si>
  <si>
    <t>14-02-2023 14:45</t>
  </si>
  <si>
    <t>14-02-2023 15:00</t>
  </si>
  <si>
    <t>14-02-2023 15:15</t>
  </si>
  <si>
    <t>14-02-2023 15:30</t>
  </si>
  <si>
    <t>14-02-2023 15:45</t>
  </si>
  <si>
    <t>14-02-2023 16:00</t>
  </si>
  <si>
    <t>14-02-2023 16:15</t>
  </si>
  <si>
    <t>14-02-2023 16:30</t>
  </si>
  <si>
    <t>14-02-2023 16:45</t>
  </si>
  <si>
    <t>14-02-2023 17:00</t>
  </si>
  <si>
    <t>14-02-2023 17:15</t>
  </si>
  <si>
    <t>14-02-2023 17:30</t>
  </si>
  <si>
    <t>14-02-2023 17:45</t>
  </si>
  <si>
    <t>14-02-2023 18:00</t>
  </si>
  <si>
    <t>14-02-2023 18:15</t>
  </si>
  <si>
    <t>14-02-2023 18:30</t>
  </si>
  <si>
    <t>14-02-2023 18:45</t>
  </si>
  <si>
    <t>14-02-2023 19:00</t>
  </si>
  <si>
    <t>14-02-2023 19:15</t>
  </si>
  <si>
    <t>14-02-2023 19:30</t>
  </si>
  <si>
    <t>14-02-2023 19:45</t>
  </si>
  <si>
    <t>14-02-2023 20:00</t>
  </si>
  <si>
    <t>14-02-2023 20:15</t>
  </si>
  <si>
    <t>14-02-2023 20:30</t>
  </si>
  <si>
    <t>14-02-2023 20:45</t>
  </si>
  <si>
    <t>14-02-2023 21:00</t>
  </si>
  <si>
    <t>14-02-2023 21:15</t>
  </si>
  <si>
    <t>14-02-2023 21:30</t>
  </si>
  <si>
    <t>14-02-2023 21:45</t>
  </si>
  <si>
    <t>14-02-2023 22:00</t>
  </si>
  <si>
    <t>14-02-2023 22:15</t>
  </si>
  <si>
    <t>14-02-2023 22:30</t>
  </si>
  <si>
    <t>14-02-2023 22:45</t>
  </si>
  <si>
    <t>14-02-2023 23:00</t>
  </si>
  <si>
    <t>14-02-2023 23:15</t>
  </si>
  <si>
    <t>14-02-2023 23:30</t>
  </si>
  <si>
    <t>14-02-2023 23:45</t>
  </si>
  <si>
    <t>14-02-2023 24:00</t>
  </si>
  <si>
    <t>15-02-2023 00:15</t>
  </si>
  <si>
    <t>15-02-2023 00:30</t>
  </si>
  <si>
    <t>15-02-2023 00:45</t>
  </si>
  <si>
    <t>15-02-2023 01:00</t>
  </si>
  <si>
    <t>15-02-2023 01:15</t>
  </si>
  <si>
    <t>15-02-2023 01:30</t>
  </si>
  <si>
    <t>15-02-2023 01:45</t>
  </si>
  <si>
    <t>15-02-2023 02:00</t>
  </si>
  <si>
    <t>15-02-2023 02:15</t>
  </si>
  <si>
    <t>15-02-2023 02:30</t>
  </si>
  <si>
    <t>15-02-2023 02:45</t>
  </si>
  <si>
    <t>15-02-2023 03:00</t>
  </si>
  <si>
    <t>15-02-2023 03:15</t>
  </si>
  <si>
    <t>15-02-2023 03:30</t>
  </si>
  <si>
    <t>15-02-2023 03:45</t>
  </si>
  <si>
    <t>15-02-2023 04:00</t>
  </si>
  <si>
    <t>15-02-2023 04:15</t>
  </si>
  <si>
    <t>15-02-2023 04:30</t>
  </si>
  <si>
    <t>15-02-2023 04:45</t>
  </si>
  <si>
    <t>15-02-2023 05:00</t>
  </si>
  <si>
    <t>15-02-2023 05:15</t>
  </si>
  <si>
    <t>15-02-2023 05:30</t>
  </si>
  <si>
    <t>15-02-2023 05:45</t>
  </si>
  <si>
    <t>15-02-2023 06:00</t>
  </si>
  <si>
    <t>15-02-2023 06:15</t>
  </si>
  <si>
    <t>15-02-2023 06:30</t>
  </si>
  <si>
    <t>15-02-2023 06:45</t>
  </si>
  <si>
    <t>15-02-2023 07:00</t>
  </si>
  <si>
    <t>15-02-2023 07:15</t>
  </si>
  <si>
    <t>15-02-2023 07:30</t>
  </si>
  <si>
    <t>15-02-2023 07:45</t>
  </si>
  <si>
    <t>15-02-2023 08:00</t>
  </si>
  <si>
    <t>15-02-2023 08:15</t>
  </si>
  <si>
    <t>15-02-2023 08:30</t>
  </si>
  <si>
    <t>15-02-2023 08:45</t>
  </si>
  <si>
    <t>15-02-2023 09:00</t>
  </si>
  <si>
    <t>15-02-2023 09:15</t>
  </si>
  <si>
    <t>15-02-2023 09:30</t>
  </si>
  <si>
    <t>15-02-2023 09:45</t>
  </si>
  <si>
    <t>15-02-2023 10:00</t>
  </si>
  <si>
    <t>15-02-2023 10:15</t>
  </si>
  <si>
    <t>15-02-2023 10:30</t>
  </si>
  <si>
    <t>15-02-2023 10:45</t>
  </si>
  <si>
    <t>15-02-2023 11:00</t>
  </si>
  <si>
    <t>15-02-2023 11:15</t>
  </si>
  <si>
    <t>15-02-2023 11:30</t>
  </si>
  <si>
    <t>15-02-2023 11:45</t>
  </si>
  <si>
    <t>15-02-2023 12:00</t>
  </si>
  <si>
    <t>15-02-2023 12:15</t>
  </si>
  <si>
    <t>15-02-2023 12:30</t>
  </si>
  <si>
    <t>15-02-2023 12:45</t>
  </si>
  <si>
    <t>15-02-2023 13:00</t>
  </si>
  <si>
    <t>15-02-2023 13:15</t>
  </si>
  <si>
    <t>15-02-2023 13:30</t>
  </si>
  <si>
    <t>15-02-2023 13:45</t>
  </si>
  <si>
    <t>15-02-2023 14:00</t>
  </si>
  <si>
    <t>15-02-2023 14:15</t>
  </si>
  <si>
    <t>15-02-2023 14:30</t>
  </si>
  <si>
    <t>15-02-2023 14:45</t>
  </si>
  <si>
    <t>15-02-2023 15:00</t>
  </si>
  <si>
    <t>15-02-2023 15:15</t>
  </si>
  <si>
    <t>15-02-2023 15:30</t>
  </si>
  <si>
    <t>15-02-2023 15:45</t>
  </si>
  <si>
    <t>15-02-2023 16:00</t>
  </si>
  <si>
    <t>15-02-2023 16:15</t>
  </si>
  <si>
    <t>15-02-2023 16:30</t>
  </si>
  <si>
    <t>15-02-2023 16:45</t>
  </si>
  <si>
    <t>15-02-2023 17:00</t>
  </si>
  <si>
    <t>15-02-2023 17:15</t>
  </si>
  <si>
    <t>15-02-2023 17:30</t>
  </si>
  <si>
    <t>15-02-2023 17:45</t>
  </si>
  <si>
    <t>15-02-2023 18:00</t>
  </si>
  <si>
    <t>15-02-2023 18:15</t>
  </si>
  <si>
    <t>15-02-2023 18:30</t>
  </si>
  <si>
    <t>15-02-2023 18:45</t>
  </si>
  <si>
    <t>15-02-2023 19:00</t>
  </si>
  <si>
    <t>15-02-2023 19:15</t>
  </si>
  <si>
    <t>15-02-2023 19:30</t>
  </si>
  <si>
    <t>15-02-2023 19:45</t>
  </si>
  <si>
    <t>15-02-2023 20:00</t>
  </si>
  <si>
    <t>15-02-2023 20:15</t>
  </si>
  <si>
    <t>15-02-2023 20:30</t>
  </si>
  <si>
    <t>15-02-2023 20:45</t>
  </si>
  <si>
    <t>15-02-2023 21:00</t>
  </si>
  <si>
    <t>15-02-2023 21:15</t>
  </si>
  <si>
    <t>15-02-2023 21:30</t>
  </si>
  <si>
    <t>15-02-2023 21:45</t>
  </si>
  <si>
    <t>15-02-2023 22:00</t>
  </si>
  <si>
    <t>15-02-2023 22:15</t>
  </si>
  <si>
    <t>15-02-2023 22:30</t>
  </si>
  <si>
    <t>15-02-2023 22:45</t>
  </si>
  <si>
    <t>15-02-2023 23:00</t>
  </si>
  <si>
    <t>15-02-2023 23:15</t>
  </si>
  <si>
    <t>15-02-2023 23:30</t>
  </si>
  <si>
    <t>15-02-2023 23:45</t>
  </si>
  <si>
    <t>15-02-2023 24:00</t>
  </si>
  <si>
    <t>16-02-2023 00:15</t>
  </si>
  <si>
    <t>16-02-2023 00:30</t>
  </si>
  <si>
    <t>16-02-2023 00:45</t>
  </si>
  <si>
    <t>16-02-2023 01:00</t>
  </si>
  <si>
    <t>16-02-2023 01:15</t>
  </si>
  <si>
    <t>16-02-2023 01:30</t>
  </si>
  <si>
    <t>16-02-2023 01:45</t>
  </si>
  <si>
    <t>16-02-2023 02:00</t>
  </si>
  <si>
    <t>16-02-2023 02:15</t>
  </si>
  <si>
    <t>16-02-2023 02:30</t>
  </si>
  <si>
    <t>16-02-2023 02:45</t>
  </si>
  <si>
    <t>16-02-2023 03:00</t>
  </si>
  <si>
    <t>16-02-2023 03:15</t>
  </si>
  <si>
    <t>16-02-2023 03:30</t>
  </si>
  <si>
    <t>16-02-2023 03:45</t>
  </si>
  <si>
    <t>16-02-2023 04:00</t>
  </si>
  <si>
    <t>16-02-2023 04:15</t>
  </si>
  <si>
    <t>16-02-2023 04:30</t>
  </si>
  <si>
    <t>16-02-2023 04:45</t>
  </si>
  <si>
    <t>16-02-2023 05:00</t>
  </si>
  <si>
    <t>16-02-2023 05:15</t>
  </si>
  <si>
    <t>16-02-2023 05:30</t>
  </si>
  <si>
    <t>16-02-2023 05:45</t>
  </si>
  <si>
    <t>16-02-2023 06:00</t>
  </si>
  <si>
    <t>16-02-2023 06:15</t>
  </si>
  <si>
    <t>16-02-2023 06:30</t>
  </si>
  <si>
    <t>16-02-2023 06:45</t>
  </si>
  <si>
    <t>16-02-2023 07:00</t>
  </si>
  <si>
    <t>16-02-2023 07:15</t>
  </si>
  <si>
    <t>16-02-2023 07:30</t>
  </si>
  <si>
    <t>16-02-2023 07:45</t>
  </si>
  <si>
    <t>16-02-2023 08:00</t>
  </si>
  <si>
    <t>16-02-2023 08:15</t>
  </si>
  <si>
    <t>16-02-2023 08:30</t>
  </si>
  <si>
    <t>16-02-2023 08:45</t>
  </si>
  <si>
    <t>16-02-2023 09:00</t>
  </si>
  <si>
    <t>16-02-2023 09:15</t>
  </si>
  <si>
    <t>16-02-2023 09:30</t>
  </si>
  <si>
    <t>16-02-2023 09:45</t>
  </si>
  <si>
    <t>16-02-2023 10:00</t>
  </si>
  <si>
    <t>16-02-2023 10:15</t>
  </si>
  <si>
    <t>16-02-2023 10:30</t>
  </si>
  <si>
    <t>16-02-2023 10:45</t>
  </si>
  <si>
    <t>16-02-2023 11:00</t>
  </si>
  <si>
    <t>16-02-2023 11:15</t>
  </si>
  <si>
    <t>16-02-2023 11:30</t>
  </si>
  <si>
    <t>16-02-2023 11:45</t>
  </si>
  <si>
    <t>16-02-2023 12:00</t>
  </si>
  <si>
    <t>16-02-2023 12:15</t>
  </si>
  <si>
    <t>16-02-2023 12:30</t>
  </si>
  <si>
    <t>16-02-2023 12:45</t>
  </si>
  <si>
    <t>16-02-2023 13:00</t>
  </si>
  <si>
    <t>16-02-2023 13:15</t>
  </si>
  <si>
    <t>16-02-2023 13:30</t>
  </si>
  <si>
    <t>16-02-2023 13:45</t>
  </si>
  <si>
    <t>16-02-2023 14:00</t>
  </si>
  <si>
    <t>16-02-2023 14:15</t>
  </si>
  <si>
    <t>16-02-2023 14:30</t>
  </si>
  <si>
    <t>16-02-2023 14:45</t>
  </si>
  <si>
    <t>16-02-2023 15:00</t>
  </si>
  <si>
    <t>16-02-2023 15:15</t>
  </si>
  <si>
    <t>16-02-2023 15:30</t>
  </si>
  <si>
    <t>16-02-2023 15:45</t>
  </si>
  <si>
    <t>16-02-2023 16:00</t>
  </si>
  <si>
    <t>16-02-2023 16:15</t>
  </si>
  <si>
    <t>16-02-2023 16:30</t>
  </si>
  <si>
    <t>16-02-2023 16:45</t>
  </si>
  <si>
    <t>16-02-2023 17:00</t>
  </si>
  <si>
    <t>16-02-2023 17:15</t>
  </si>
  <si>
    <t>16-02-2023 17:30</t>
  </si>
  <si>
    <t>16-02-2023 17:45</t>
  </si>
  <si>
    <t>16-02-2023 18:00</t>
  </si>
  <si>
    <t>16-02-2023 18:15</t>
  </si>
  <si>
    <t>16-02-2023 18:30</t>
  </si>
  <si>
    <t>16-02-2023 18:45</t>
  </si>
  <si>
    <t>16-02-2023 19:00</t>
  </si>
  <si>
    <t>16-02-2023 19:15</t>
  </si>
  <si>
    <t>16-02-2023 19:30</t>
  </si>
  <si>
    <t>16-02-2023 19:45</t>
  </si>
  <si>
    <t>16-02-2023 20:00</t>
  </si>
  <si>
    <t>16-02-2023 20:15</t>
  </si>
  <si>
    <t>16-02-2023 20:30</t>
  </si>
  <si>
    <t>16-02-2023 20:45</t>
  </si>
  <si>
    <t>16-02-2023 21:00</t>
  </si>
  <si>
    <t>16-02-2023 21:15</t>
  </si>
  <si>
    <t>16-02-2023 21:30</t>
  </si>
  <si>
    <t>16-02-2023 21:45</t>
  </si>
  <si>
    <t>16-02-2023 22:00</t>
  </si>
  <si>
    <t>16-02-2023 22:15</t>
  </si>
  <si>
    <t>16-02-2023 22:30</t>
  </si>
  <si>
    <t>16-02-2023 22:45</t>
  </si>
  <si>
    <t>16-02-2023 23:00</t>
  </si>
  <si>
    <t>16-02-2023 23:15</t>
  </si>
  <si>
    <t>16-02-2023 23:30</t>
  </si>
  <si>
    <t>16-02-2023 23:45</t>
  </si>
  <si>
    <t>16-02-2023 24:00</t>
  </si>
  <si>
    <t>17-02-2023 00:15</t>
  </si>
  <si>
    <t>17-02-2023 00:30</t>
  </si>
  <si>
    <t>17-02-2023 00:45</t>
  </si>
  <si>
    <t>17-02-2023 01:00</t>
  </si>
  <si>
    <t>17-02-2023 01:15</t>
  </si>
  <si>
    <t>17-02-2023 01:30</t>
  </si>
  <si>
    <t>17-02-2023 01:45</t>
  </si>
  <si>
    <t>17-02-2023 02:00</t>
  </si>
  <si>
    <t>17-02-2023 02:15</t>
  </si>
  <si>
    <t>17-02-2023 02:30</t>
  </si>
  <si>
    <t>17-02-2023 02:45</t>
  </si>
  <si>
    <t>17-02-2023 03:00</t>
  </si>
  <si>
    <t>17-02-2023 03:15</t>
  </si>
  <si>
    <t>17-02-2023 03:30</t>
  </si>
  <si>
    <t>17-02-2023 03:45</t>
  </si>
  <si>
    <t>17-02-2023 04:00</t>
  </si>
  <si>
    <t>17-02-2023 04:15</t>
  </si>
  <si>
    <t>17-02-2023 04:30</t>
  </si>
  <si>
    <t>17-02-2023 04:45</t>
  </si>
  <si>
    <t>17-02-2023 05:00</t>
  </si>
  <si>
    <t>17-02-2023 05:15</t>
  </si>
  <si>
    <t>17-02-2023 05:30</t>
  </si>
  <si>
    <t>17-02-2023 05:45</t>
  </si>
  <si>
    <t>17-02-2023 06:00</t>
  </si>
  <si>
    <t>17-02-2023 06:15</t>
  </si>
  <si>
    <t>17-02-2023 06:30</t>
  </si>
  <si>
    <t>17-02-2023 06:45</t>
  </si>
  <si>
    <t>17-02-2023 07:00</t>
  </si>
  <si>
    <t>17-02-2023 07:15</t>
  </si>
  <si>
    <t>17-02-2023 07:30</t>
  </si>
  <si>
    <t>17-02-2023 07:45</t>
  </si>
  <si>
    <t>17-02-2023 08:00</t>
  </si>
  <si>
    <t>17-02-2023 08:15</t>
  </si>
  <si>
    <t>17-02-2023 08:30</t>
  </si>
  <si>
    <t>17-02-2023 08:45</t>
  </si>
  <si>
    <t>17-02-2023 09:00</t>
  </si>
  <si>
    <t>17-02-2023 09:15</t>
  </si>
  <si>
    <t>17-02-2023 09:30</t>
  </si>
  <si>
    <t>17-02-2023 09:45</t>
  </si>
  <si>
    <t>17-02-2023 10:00</t>
  </si>
  <si>
    <t>17-02-2023 10:15</t>
  </si>
  <si>
    <t>17-02-2023 10:30</t>
  </si>
  <si>
    <t>17-02-2023 10:45</t>
  </si>
  <si>
    <t>17-02-2023 11:00</t>
  </si>
  <si>
    <t>17-02-2023 11:15</t>
  </si>
  <si>
    <t>17-02-2023 11:30</t>
  </si>
  <si>
    <t>17-02-2023 11:45</t>
  </si>
  <si>
    <t>17-02-2023 12:00</t>
  </si>
  <si>
    <t>17-02-2023 12:15</t>
  </si>
  <si>
    <t>17-02-2023 12:30</t>
  </si>
  <si>
    <t>17-02-2023 12:45</t>
  </si>
  <si>
    <t>17-02-2023 13:00</t>
  </si>
  <si>
    <t>17-02-2023 13:15</t>
  </si>
  <si>
    <t>17-02-2023 13:30</t>
  </si>
  <si>
    <t>17-02-2023 13:45</t>
  </si>
  <si>
    <t>17-02-2023 14:00</t>
  </si>
  <si>
    <t>17-02-2023 14:15</t>
  </si>
  <si>
    <t>17-02-2023 14:30</t>
  </si>
  <si>
    <t>17-02-2023 14:45</t>
  </si>
  <si>
    <t>17-02-2023 15:00</t>
  </si>
  <si>
    <t>17-02-2023 15:15</t>
  </si>
  <si>
    <t>17-02-2023 15:30</t>
  </si>
  <si>
    <t>17-02-2023 15:45</t>
  </si>
  <si>
    <t>17-02-2023 16:00</t>
  </si>
  <si>
    <t>17-02-2023 16:15</t>
  </si>
  <si>
    <t>17-02-2023 16:30</t>
  </si>
  <si>
    <t>17-02-2023 16:45</t>
  </si>
  <si>
    <t>17-02-2023 17:00</t>
  </si>
  <si>
    <t>17-02-2023 17:15</t>
  </si>
  <si>
    <t>17-02-2023 17:30</t>
  </si>
  <si>
    <t>17-02-2023 17:45</t>
  </si>
  <si>
    <t>17-02-2023 18:00</t>
  </si>
  <si>
    <t>17-02-2023 18:15</t>
  </si>
  <si>
    <t>17-02-2023 18:30</t>
  </si>
  <si>
    <t>17-02-2023 18:45</t>
  </si>
  <si>
    <t>17-02-2023 19:00</t>
  </si>
  <si>
    <t>17-02-2023 19:15</t>
  </si>
  <si>
    <t>17-02-2023 19:30</t>
  </si>
  <si>
    <t>17-02-2023 19:45</t>
  </si>
  <si>
    <t>17-02-2023 20:00</t>
  </si>
  <si>
    <t>17-02-2023 20:15</t>
  </si>
  <si>
    <t>17-02-2023 20:30</t>
  </si>
  <si>
    <t>17-02-2023 20:45</t>
  </si>
  <si>
    <t>17-02-2023 21:00</t>
  </si>
  <si>
    <t>17-02-2023 21:15</t>
  </si>
  <si>
    <t>17-02-2023 21:30</t>
  </si>
  <si>
    <t>17-02-2023 21:45</t>
  </si>
  <si>
    <t>17-02-2023 22:00</t>
  </si>
  <si>
    <t>17-02-2023 22:15</t>
  </si>
  <si>
    <t>17-02-2023 22:30</t>
  </si>
  <si>
    <t>17-02-2023 22:45</t>
  </si>
  <si>
    <t>17-02-2023 23:00</t>
  </si>
  <si>
    <t>17-02-2023 23:15</t>
  </si>
  <si>
    <t>17-02-2023 23:30</t>
  </si>
  <si>
    <t>17-02-2023 23:45</t>
  </si>
  <si>
    <t>17-02-2023 24:00</t>
  </si>
  <si>
    <t>18-02-2023 00:15</t>
  </si>
  <si>
    <t>18-02-2023 00:30</t>
  </si>
  <si>
    <t>18-02-2023 00:45</t>
  </si>
  <si>
    <t>18-02-2023 01:00</t>
  </si>
  <si>
    <t>18-02-2023 01:15</t>
  </si>
  <si>
    <t>18-02-2023 01:30</t>
  </si>
  <si>
    <t>18-02-2023 01:45</t>
  </si>
  <si>
    <t>18-02-2023 02:00</t>
  </si>
  <si>
    <t>18-02-2023 02:15</t>
  </si>
  <si>
    <t>18-02-2023 02:30</t>
  </si>
  <si>
    <t>18-02-2023 02:45</t>
  </si>
  <si>
    <t>18-02-2023 03:00</t>
  </si>
  <si>
    <t>18-02-2023 03:15</t>
  </si>
  <si>
    <t>18-02-2023 03:30</t>
  </si>
  <si>
    <t>18-02-2023 03:45</t>
  </si>
  <si>
    <t>18-02-2023 04:00</t>
  </si>
  <si>
    <t>18-02-2023 04:15</t>
  </si>
  <si>
    <t>18-02-2023 04:30</t>
  </si>
  <si>
    <t>18-02-2023 04:45</t>
  </si>
  <si>
    <t>18-02-2023 05:00</t>
  </si>
  <si>
    <t>18-02-2023 05:15</t>
  </si>
  <si>
    <t>18-02-2023 05:30</t>
  </si>
  <si>
    <t>18-02-2023 05:45</t>
  </si>
  <si>
    <t>18-02-2023 06:00</t>
  </si>
  <si>
    <t>18-02-2023 06:15</t>
  </si>
  <si>
    <t>18-02-2023 06:30</t>
  </si>
  <si>
    <t>18-02-2023 06:45</t>
  </si>
  <si>
    <t>18-02-2023 07:00</t>
  </si>
  <si>
    <t>18-02-2023 07:15</t>
  </si>
  <si>
    <t>18-02-2023 07:30</t>
  </si>
  <si>
    <t>18-02-2023 07:45</t>
  </si>
  <si>
    <t>18-02-2023 08:00</t>
  </si>
  <si>
    <t>18-02-2023 08:15</t>
  </si>
  <si>
    <t>18-02-2023 08:30</t>
  </si>
  <si>
    <t>18-02-2023 08:45</t>
  </si>
  <si>
    <t>18-02-2023 09:00</t>
  </si>
  <si>
    <t>18-02-2023 09:15</t>
  </si>
  <si>
    <t>18-02-2023 09:30</t>
  </si>
  <si>
    <t>18-02-2023 09:45</t>
  </si>
  <si>
    <t>18-02-2023 10:00</t>
  </si>
  <si>
    <t>18-02-2023 10:15</t>
  </si>
  <si>
    <t>18-02-2023 10:30</t>
  </si>
  <si>
    <t>18-02-2023 10:45</t>
  </si>
  <si>
    <t>18-02-2023 11:00</t>
  </si>
  <si>
    <t>18-02-2023 11:15</t>
  </si>
  <si>
    <t>18-02-2023 11:30</t>
  </si>
  <si>
    <t>18-02-2023 11:45</t>
  </si>
  <si>
    <t>18-02-2023 12:00</t>
  </si>
  <si>
    <t>18-02-2023 12:15</t>
  </si>
  <si>
    <t>18-02-2023 12:30</t>
  </si>
  <si>
    <t>18-02-2023 12:45</t>
  </si>
  <si>
    <t>18-02-2023 13:00</t>
  </si>
  <si>
    <t>18-02-2023 13:15</t>
  </si>
  <si>
    <t>18-02-2023 13:30</t>
  </si>
  <si>
    <t>18-02-2023 13:45</t>
  </si>
  <si>
    <t>18-02-2023 14:00</t>
  </si>
  <si>
    <t>18-02-2023 14:15</t>
  </si>
  <si>
    <t>18-02-2023 14:30</t>
  </si>
  <si>
    <t>18-02-2023 14:45</t>
  </si>
  <si>
    <t>18-02-2023 15:00</t>
  </si>
  <si>
    <t>18-02-2023 15:15</t>
  </si>
  <si>
    <t>18-02-2023 15:30</t>
  </si>
  <si>
    <t>18-02-2023 15:45</t>
  </si>
  <si>
    <t>18-02-2023 16:00</t>
  </si>
  <si>
    <t>18-02-2023 16:15</t>
  </si>
  <si>
    <t>18-02-2023 16:30</t>
  </si>
  <si>
    <t>18-02-2023 16:45</t>
  </si>
  <si>
    <t>18-02-2023 17:00</t>
  </si>
  <si>
    <t>18-02-2023 17:15</t>
  </si>
  <si>
    <t>18-02-2023 17:30</t>
  </si>
  <si>
    <t>18-02-2023 17:45</t>
  </si>
  <si>
    <t>18-02-2023 18:00</t>
  </si>
  <si>
    <t>18-02-2023 18:15</t>
  </si>
  <si>
    <t>18-02-2023 18:30</t>
  </si>
  <si>
    <t>18-02-2023 18:45</t>
  </si>
  <si>
    <t>18-02-2023 19:00</t>
  </si>
  <si>
    <t>18-02-2023 19:15</t>
  </si>
  <si>
    <t>18-02-2023 19:30</t>
  </si>
  <si>
    <t>18-02-2023 19:45</t>
  </si>
  <si>
    <t>18-02-2023 20:00</t>
  </si>
  <si>
    <t>18-02-2023 20:15</t>
  </si>
  <si>
    <t>18-02-2023 20:30</t>
  </si>
  <si>
    <t>18-02-2023 20:45</t>
  </si>
  <si>
    <t>18-02-2023 21:00</t>
  </si>
  <si>
    <t>18-02-2023 21:15</t>
  </si>
  <si>
    <t>18-02-2023 21:30</t>
  </si>
  <si>
    <t>18-02-2023 21:45</t>
  </si>
  <si>
    <t>18-02-2023 22:00</t>
  </si>
  <si>
    <t>18-02-2023 22:15</t>
  </si>
  <si>
    <t>18-02-2023 22:30</t>
  </si>
  <si>
    <t>18-02-2023 22:45</t>
  </si>
  <si>
    <t>18-02-2023 23:00</t>
  </si>
  <si>
    <t>18-02-2023 23:15</t>
  </si>
  <si>
    <t>18-02-2023 23:30</t>
  </si>
  <si>
    <t>18-02-2023 23:45</t>
  </si>
  <si>
    <t>18-02-2023 24:00</t>
  </si>
  <si>
    <t>19-02-2023 00:15</t>
  </si>
  <si>
    <t>19-02-2023 00:30</t>
  </si>
  <si>
    <t>19-02-2023 00:45</t>
  </si>
  <si>
    <t>19-02-2023 01:00</t>
  </si>
  <si>
    <t>19-02-2023 01:15</t>
  </si>
  <si>
    <t>19-02-2023 01:30</t>
  </si>
  <si>
    <t>19-02-2023 01:45</t>
  </si>
  <si>
    <t>19-02-2023 02:00</t>
  </si>
  <si>
    <t>19-02-2023 02:15</t>
  </si>
  <si>
    <t>19-02-2023 02:30</t>
  </si>
  <si>
    <t>19-02-2023 02:45</t>
  </si>
  <si>
    <t>19-02-2023 03:00</t>
  </si>
  <si>
    <t>19-02-2023 03:15</t>
  </si>
  <si>
    <t>19-02-2023 03:30</t>
  </si>
  <si>
    <t>19-02-2023 03:45</t>
  </si>
  <si>
    <t>19-02-2023 04:00</t>
  </si>
  <si>
    <t>19-02-2023 04:15</t>
  </si>
  <si>
    <t>19-02-2023 04:30</t>
  </si>
  <si>
    <t>19-02-2023 04:45</t>
  </si>
  <si>
    <t>19-02-2023 05:00</t>
  </si>
  <si>
    <t>19-02-2023 05:15</t>
  </si>
  <si>
    <t>19-02-2023 05:30</t>
  </si>
  <si>
    <t>19-02-2023 05:45</t>
  </si>
  <si>
    <t>19-02-2023 06:00</t>
  </si>
  <si>
    <t>19-02-2023 06:15</t>
  </si>
  <si>
    <t>19-02-2023 06:30</t>
  </si>
  <si>
    <t>19-02-2023 06:45</t>
  </si>
  <si>
    <t>19-02-2023 07:00</t>
  </si>
  <si>
    <t>19-02-2023 07:15</t>
  </si>
  <si>
    <t>19-02-2023 07:30</t>
  </si>
  <si>
    <t>19-02-2023 07:45</t>
  </si>
  <si>
    <t>19-02-2023 08:00</t>
  </si>
  <si>
    <t>19-02-2023 08:15</t>
  </si>
  <si>
    <t>19-02-2023 08:30</t>
  </si>
  <si>
    <t>19-02-2023 08:45</t>
  </si>
  <si>
    <t>19-02-2023 09:00</t>
  </si>
  <si>
    <t>19-02-2023 09:15</t>
  </si>
  <si>
    <t>19-02-2023 09:30</t>
  </si>
  <si>
    <t>19-02-2023 09:45</t>
  </si>
  <si>
    <t>19-02-2023 10:00</t>
  </si>
  <si>
    <t>19-02-2023 10:15</t>
  </si>
  <si>
    <t>19-02-2023 10:30</t>
  </si>
  <si>
    <t>19-02-2023 10:45</t>
  </si>
  <si>
    <t>19-02-2023 11:00</t>
  </si>
  <si>
    <t>19-02-2023 11:15</t>
  </si>
  <si>
    <t>19-02-2023 11:30</t>
  </si>
  <si>
    <t>19-02-2023 11:45</t>
  </si>
  <si>
    <t>19-02-2023 12:00</t>
  </si>
  <si>
    <t>19-02-2023 12:15</t>
  </si>
  <si>
    <t>19-02-2023 12:30</t>
  </si>
  <si>
    <t>19-02-2023 12:45</t>
  </si>
  <si>
    <t>19-02-2023 13:00</t>
  </si>
  <si>
    <t>19-02-2023 13:15</t>
  </si>
  <si>
    <t>19-02-2023 13:30</t>
  </si>
  <si>
    <t>19-02-2023 13:45</t>
  </si>
  <si>
    <t>19-02-2023 14:00</t>
  </si>
  <si>
    <t>19-02-2023 14:15</t>
  </si>
  <si>
    <t>19-02-2023 14:30</t>
  </si>
  <si>
    <t>19-02-2023 14:45</t>
  </si>
  <si>
    <t>19-02-2023 15:00</t>
  </si>
  <si>
    <t>19-02-2023 15:15</t>
  </si>
  <si>
    <t>19-02-2023 15:30</t>
  </si>
  <si>
    <t>19-02-2023 15:45</t>
  </si>
  <si>
    <t>19-02-2023 16:00</t>
  </si>
  <si>
    <t>19-02-2023 16:15</t>
  </si>
  <si>
    <t>19-02-2023 16:30</t>
  </si>
  <si>
    <t>19-02-2023 16:45</t>
  </si>
  <si>
    <t>19-02-2023 17:00</t>
  </si>
  <si>
    <t>19-02-2023 17:15</t>
  </si>
  <si>
    <t>19-02-2023 17:30</t>
  </si>
  <si>
    <t>19-02-2023 17:45</t>
  </si>
  <si>
    <t>19-02-2023 18:00</t>
  </si>
  <si>
    <t>19-02-2023 18:15</t>
  </si>
  <si>
    <t>19-02-2023 18:30</t>
  </si>
  <si>
    <t>19-02-2023 18:45</t>
  </si>
  <si>
    <t>19-02-2023 19:00</t>
  </si>
  <si>
    <t>19-02-2023 19:15</t>
  </si>
  <si>
    <t>19-02-2023 19:30</t>
  </si>
  <si>
    <t>19-02-2023 19:45</t>
  </si>
  <si>
    <t>19-02-2023 20:00</t>
  </si>
  <si>
    <t>19-02-2023 20:15</t>
  </si>
  <si>
    <t>19-02-2023 20:30</t>
  </si>
  <si>
    <t>19-02-2023 20:45</t>
  </si>
  <si>
    <t>19-02-2023 21:00</t>
  </si>
  <si>
    <t>19-02-2023 21:15</t>
  </si>
  <si>
    <t>19-02-2023 21:30</t>
  </si>
  <si>
    <t>19-02-2023 21:45</t>
  </si>
  <si>
    <t>19-02-2023 22:00</t>
  </si>
  <si>
    <t>19-02-2023 22:15</t>
  </si>
  <si>
    <t>19-02-2023 22:30</t>
  </si>
  <si>
    <t>19-02-2023 22:45</t>
  </si>
  <si>
    <t>19-02-2023 23:00</t>
  </si>
  <si>
    <t>19-02-2023 23:15</t>
  </si>
  <si>
    <t>19-02-2023 23:30</t>
  </si>
  <si>
    <t>19-02-2023 23:45</t>
  </si>
  <si>
    <t>19-02-2023 24:00</t>
  </si>
  <si>
    <t>20-02-2023 00:15</t>
  </si>
  <si>
    <t>20-02-2023 00:30</t>
  </si>
  <si>
    <t>20-02-2023 00:45</t>
  </si>
  <si>
    <t>20-02-2023 01:00</t>
  </si>
  <si>
    <t>20-02-2023 01:15</t>
  </si>
  <si>
    <t>20-02-2023 01:30</t>
  </si>
  <si>
    <t>20-02-2023 01:45</t>
  </si>
  <si>
    <t>20-02-2023 02:00</t>
  </si>
  <si>
    <t>20-02-2023 02:15</t>
  </si>
  <si>
    <t>20-02-2023 02:30</t>
  </si>
  <si>
    <t>20-02-2023 02:45</t>
  </si>
  <si>
    <t>20-02-2023 03:00</t>
  </si>
  <si>
    <t>20-02-2023 03:15</t>
  </si>
  <si>
    <t>20-02-2023 03:30</t>
  </si>
  <si>
    <t>20-02-2023 03:45</t>
  </si>
  <si>
    <t>20-02-2023 04:00</t>
  </si>
  <si>
    <t>20-02-2023 04:15</t>
  </si>
  <si>
    <t>20-02-2023 04:30</t>
  </si>
  <si>
    <t>20-02-2023 04:45</t>
  </si>
  <si>
    <t>20-02-2023 05:00</t>
  </si>
  <si>
    <t>20-02-2023 05:15</t>
  </si>
  <si>
    <t>20-02-2023 05:30</t>
  </si>
  <si>
    <t>20-02-2023 05:45</t>
  </si>
  <si>
    <t>20-02-2023 06:00</t>
  </si>
  <si>
    <t>20-02-2023 06:15</t>
  </si>
  <si>
    <t>20-02-2023 06:30</t>
  </si>
  <si>
    <t>20-02-2023 06:45</t>
  </si>
  <si>
    <t>20-02-2023 07:00</t>
  </si>
  <si>
    <t>20-02-2023 07:15</t>
  </si>
  <si>
    <t>20-02-2023 07:30</t>
  </si>
  <si>
    <t>20-02-2023 07:45</t>
  </si>
  <si>
    <t>20-02-2023 08:00</t>
  </si>
  <si>
    <t>20-02-2023 08:15</t>
  </si>
  <si>
    <t>20-02-2023 08:30</t>
  </si>
  <si>
    <t>20-02-2023 08:45</t>
  </si>
  <si>
    <t>20-02-2023 09:00</t>
  </si>
  <si>
    <t>20-02-2023 09:15</t>
  </si>
  <si>
    <t>20-02-2023 09:30</t>
  </si>
  <si>
    <t>20-02-2023 09:45</t>
  </si>
  <si>
    <t>20-02-2023 10:00</t>
  </si>
  <si>
    <t>20-02-2023 10:15</t>
  </si>
  <si>
    <t>20-02-2023 10:30</t>
  </si>
  <si>
    <t>20-02-2023 10:45</t>
  </si>
  <si>
    <t>20-02-2023 11:00</t>
  </si>
  <si>
    <t>20-02-2023 11:15</t>
  </si>
  <si>
    <t>20-02-2023 11:30</t>
  </si>
  <si>
    <t>20-02-2023 11:45</t>
  </si>
  <si>
    <t>20-02-2023 12:00</t>
  </si>
  <si>
    <t>20-02-2023 12:15</t>
  </si>
  <si>
    <t>20-02-2023 12:30</t>
  </si>
  <si>
    <t>20-02-2023 12:45</t>
  </si>
  <si>
    <t>20-02-2023 13:00</t>
  </si>
  <si>
    <t>20-02-2023 13:15</t>
  </si>
  <si>
    <t>20-02-2023 13:30</t>
  </si>
  <si>
    <t>20-02-2023 13:45</t>
  </si>
  <si>
    <t>20-02-2023 14:00</t>
  </si>
  <si>
    <t>20-02-2023 14:15</t>
  </si>
  <si>
    <t>20-02-2023 14:30</t>
  </si>
  <si>
    <t>20-02-2023 14:45</t>
  </si>
  <si>
    <t>20-02-2023 15:00</t>
  </si>
  <si>
    <t>20-02-2023 15:15</t>
  </si>
  <si>
    <t>20-02-2023 15:30</t>
  </si>
  <si>
    <t>20-02-2023 15:45</t>
  </si>
  <si>
    <t>20-02-2023 16:00</t>
  </si>
  <si>
    <t>20-02-2023 16:15</t>
  </si>
  <si>
    <t>20-02-2023 16:30</t>
  </si>
  <si>
    <t>20-02-2023 16:45</t>
  </si>
  <si>
    <t>20-02-2023 17:00</t>
  </si>
  <si>
    <t>20-02-2023 17:15</t>
  </si>
  <si>
    <t>20-02-2023 17:30</t>
  </si>
  <si>
    <t>20-02-2023 17:45</t>
  </si>
  <si>
    <t>20-02-2023 18:00</t>
  </si>
  <si>
    <t>20-02-2023 18:15</t>
  </si>
  <si>
    <t>20-02-2023 18:30</t>
  </si>
  <si>
    <t>20-02-2023 18:45</t>
  </si>
  <si>
    <t>20-02-2023 19:00</t>
  </si>
  <si>
    <t>20-02-2023 19:15</t>
  </si>
  <si>
    <t>20-02-2023 19:30</t>
  </si>
  <si>
    <t>20-02-2023 19:45</t>
  </si>
  <si>
    <t>20-02-2023 20:00</t>
  </si>
  <si>
    <t>20-02-2023 20:15</t>
  </si>
  <si>
    <t>20-02-2023 20:30</t>
  </si>
  <si>
    <t>20-02-2023 20:45</t>
  </si>
  <si>
    <t>20-02-2023 21:00</t>
  </si>
  <si>
    <t>20-02-2023 21:15</t>
  </si>
  <si>
    <t>20-02-2023 21:30</t>
  </si>
  <si>
    <t>20-02-2023 21:45</t>
  </si>
  <si>
    <t>20-02-2023 22:00</t>
  </si>
  <si>
    <t>20-02-2023 22:15</t>
  </si>
  <si>
    <t>20-02-2023 22:30</t>
  </si>
  <si>
    <t>20-02-2023 22:45</t>
  </si>
  <si>
    <t>20-02-2023 23:00</t>
  </si>
  <si>
    <t>20-02-2023 23:15</t>
  </si>
  <si>
    <t>20-02-2023 23:30</t>
  </si>
  <si>
    <t>20-02-2023 23:45</t>
  </si>
  <si>
    <t>20-02-2023 24:00</t>
  </si>
  <si>
    <t>21-02-2023 00:15</t>
  </si>
  <si>
    <t>21-02-2023 00:30</t>
  </si>
  <si>
    <t>21-02-2023 00:45</t>
  </si>
  <si>
    <t>21-02-2023 01:00</t>
  </si>
  <si>
    <t>21-02-2023 01:15</t>
  </si>
  <si>
    <t>21-02-2023 01:30</t>
  </si>
  <si>
    <t>21-02-2023 01:45</t>
  </si>
  <si>
    <t>21-02-2023 02:00</t>
  </si>
  <si>
    <t>21-02-2023 02:15</t>
  </si>
  <si>
    <t>21-02-2023 02:30</t>
  </si>
  <si>
    <t>21-02-2023 02:45</t>
  </si>
  <si>
    <t>21-02-2023 03:00</t>
  </si>
  <si>
    <t>21-02-2023 03:15</t>
  </si>
  <si>
    <t>21-02-2023 03:30</t>
  </si>
  <si>
    <t>21-02-2023 03:45</t>
  </si>
  <si>
    <t>21-02-2023 04:00</t>
  </si>
  <si>
    <t>21-02-2023 04:15</t>
  </si>
  <si>
    <t>21-02-2023 04:30</t>
  </si>
  <si>
    <t>21-02-2023 04:45</t>
  </si>
  <si>
    <t>21-02-2023 05:00</t>
  </si>
  <si>
    <t>21-02-2023 05:15</t>
  </si>
  <si>
    <t>21-02-2023 05:30</t>
  </si>
  <si>
    <t>21-02-2023 05:45</t>
  </si>
  <si>
    <t>21-02-2023 06:00</t>
  </si>
  <si>
    <t>21-02-2023 06:15</t>
  </si>
  <si>
    <t>21-02-2023 06:30</t>
  </si>
  <si>
    <t>21-02-2023 06:45</t>
  </si>
  <si>
    <t>21-02-2023 07:00</t>
  </si>
  <si>
    <t>21-02-2023 07:15</t>
  </si>
  <si>
    <t>21-02-2023 07:30</t>
  </si>
  <si>
    <t>21-02-2023 07:45</t>
  </si>
  <si>
    <t>21-02-2023 08:00</t>
  </si>
  <si>
    <t>21-02-2023 08:15</t>
  </si>
  <si>
    <t>21-02-2023 08:30</t>
  </si>
  <si>
    <t>21-02-2023 08:45</t>
  </si>
  <si>
    <t>21-02-2023 09:00</t>
  </si>
  <si>
    <t>21-02-2023 09:15</t>
  </si>
  <si>
    <t>21-02-2023 09:30</t>
  </si>
  <si>
    <t>21-02-2023 09:45</t>
  </si>
  <si>
    <t>21-02-2023 10:00</t>
  </si>
  <si>
    <t>21-02-2023 10:15</t>
  </si>
  <si>
    <t>21-02-2023 10:30</t>
  </si>
  <si>
    <t>21-02-2023 10:45</t>
  </si>
  <si>
    <t>21-02-2023 11:00</t>
  </si>
  <si>
    <t>21-02-2023 11:15</t>
  </si>
  <si>
    <t>21-02-2023 11:30</t>
  </si>
  <si>
    <t>21-02-2023 11:45</t>
  </si>
  <si>
    <t>21-02-2023 12:00</t>
  </si>
  <si>
    <t>21-02-2023 12:15</t>
  </si>
  <si>
    <t>21-02-2023 12:30</t>
  </si>
  <si>
    <t>21-02-2023 12:45</t>
  </si>
  <si>
    <t>21-02-2023 13:00</t>
  </si>
  <si>
    <t>21-02-2023 13:15</t>
  </si>
  <si>
    <t>21-02-2023 13:30</t>
  </si>
  <si>
    <t>21-02-2023 13:45</t>
  </si>
  <si>
    <t>21-02-2023 14:00</t>
  </si>
  <si>
    <t>21-02-2023 14:15</t>
  </si>
  <si>
    <t>21-02-2023 14:30</t>
  </si>
  <si>
    <t>21-02-2023 14:45</t>
  </si>
  <si>
    <t>21-02-2023 15:00</t>
  </si>
  <si>
    <t>21-02-2023 15:15</t>
  </si>
  <si>
    <t>21-02-2023 15:30</t>
  </si>
  <si>
    <t>21-02-2023 15:45</t>
  </si>
  <si>
    <t>21-02-2023 16:00</t>
  </si>
  <si>
    <t>21-02-2023 16:15</t>
  </si>
  <si>
    <t>21-02-2023 16:30</t>
  </si>
  <si>
    <t>21-02-2023 16:45</t>
  </si>
  <si>
    <t>21-02-2023 17:00</t>
  </si>
  <si>
    <t>21-02-2023 17:15</t>
  </si>
  <si>
    <t>21-02-2023 17:30</t>
  </si>
  <si>
    <t>21-02-2023 17:45</t>
  </si>
  <si>
    <t>21-02-2023 18:00</t>
  </si>
  <si>
    <t>21-02-2023 18:15</t>
  </si>
  <si>
    <t>21-02-2023 18:30</t>
  </si>
  <si>
    <t>21-02-2023 18:45</t>
  </si>
  <si>
    <t>21-02-2023 19:00</t>
  </si>
  <si>
    <t>21-02-2023 19:15</t>
  </si>
  <si>
    <t>21-02-2023 19:30</t>
  </si>
  <si>
    <t>21-02-2023 19:45</t>
  </si>
  <si>
    <t>21-02-2023 20:00</t>
  </si>
  <si>
    <t>21-02-2023 20:15</t>
  </si>
  <si>
    <t>21-02-2023 20:30</t>
  </si>
  <si>
    <t>21-02-2023 20:45</t>
  </si>
  <si>
    <t>21-02-2023 21:00</t>
  </si>
  <si>
    <t>21-02-2023 21:15</t>
  </si>
  <si>
    <t>21-02-2023 21:30</t>
  </si>
  <si>
    <t>21-02-2023 21:45</t>
  </si>
  <si>
    <t>21-02-2023 22:00</t>
  </si>
  <si>
    <t>21-02-2023 22:15</t>
  </si>
  <si>
    <t>21-02-2023 22:30</t>
  </si>
  <si>
    <t>21-02-2023 22:45</t>
  </si>
  <si>
    <t>21-02-2023 23:00</t>
  </si>
  <si>
    <t>21-02-2023 23:15</t>
  </si>
  <si>
    <t>21-02-2023 23:30</t>
  </si>
  <si>
    <t>21-02-2023 23:45</t>
  </si>
  <si>
    <t>21-02-2023 24:00</t>
  </si>
  <si>
    <t>22-02-2023 00:15</t>
  </si>
  <si>
    <t>22-02-2023 00:30</t>
  </si>
  <si>
    <t>22-02-2023 00:45</t>
  </si>
  <si>
    <t>22-02-2023 01:00</t>
  </si>
  <si>
    <t>22-02-2023 01:15</t>
  </si>
  <si>
    <t>22-02-2023 01:30</t>
  </si>
  <si>
    <t>22-02-2023 01:45</t>
  </si>
  <si>
    <t>22-02-2023 02:00</t>
  </si>
  <si>
    <t>22-02-2023 02:15</t>
  </si>
  <si>
    <t>22-02-2023 02:30</t>
  </si>
  <si>
    <t>22-02-2023 02:45</t>
  </si>
  <si>
    <t>22-02-2023 03:00</t>
  </si>
  <si>
    <t>22-02-2023 03:15</t>
  </si>
  <si>
    <t>22-02-2023 03:30</t>
  </si>
  <si>
    <t>22-02-2023 03:45</t>
  </si>
  <si>
    <t>22-02-2023 04:00</t>
  </si>
  <si>
    <t>22-02-2023 04:15</t>
  </si>
  <si>
    <t>22-02-2023 04:30</t>
  </si>
  <si>
    <t>22-02-2023 04:45</t>
  </si>
  <si>
    <t>22-02-2023 05:00</t>
  </si>
  <si>
    <t>22-02-2023 05:15</t>
  </si>
  <si>
    <t>22-02-2023 05:30</t>
  </si>
  <si>
    <t>22-02-2023 05:45</t>
  </si>
  <si>
    <t>22-02-2023 06:00</t>
  </si>
  <si>
    <t>22-02-2023 06:15</t>
  </si>
  <si>
    <t>22-02-2023 06:30</t>
  </si>
  <si>
    <t>22-02-2023 06:45</t>
  </si>
  <si>
    <t>22-02-2023 07:00</t>
  </si>
  <si>
    <t>22-02-2023 07:15</t>
  </si>
  <si>
    <t>22-02-2023 07:30</t>
  </si>
  <si>
    <t>22-02-2023 07:45</t>
  </si>
  <si>
    <t>22-02-2023 08:00</t>
  </si>
  <si>
    <t>22-02-2023 08:15</t>
  </si>
  <si>
    <t>22-02-2023 08:30</t>
  </si>
  <si>
    <t>22-02-2023 08:45</t>
  </si>
  <si>
    <t>22-02-2023 09:00</t>
  </si>
  <si>
    <t>22-02-2023 09:15</t>
  </si>
  <si>
    <t>22-02-2023 09:30</t>
  </si>
  <si>
    <t>22-02-2023 09:45</t>
  </si>
  <si>
    <t>22-02-2023 10:00</t>
  </si>
  <si>
    <t>22-02-2023 10:15</t>
  </si>
  <si>
    <t>22-02-2023 10:30</t>
  </si>
  <si>
    <t>22-02-2023 10:45</t>
  </si>
  <si>
    <t>22-02-2023 11:00</t>
  </si>
  <si>
    <t>22-02-2023 11:15</t>
  </si>
  <si>
    <t>22-02-2023 11:30</t>
  </si>
  <si>
    <t>22-02-2023 11:45</t>
  </si>
  <si>
    <t>22-02-2023 12:00</t>
  </si>
  <si>
    <t>22-02-2023 12:15</t>
  </si>
  <si>
    <t>22-02-2023 12:30</t>
  </si>
  <si>
    <t>22-02-2023 12:45</t>
  </si>
  <si>
    <t>22-02-2023 13:00</t>
  </si>
  <si>
    <t>22-02-2023 13:15</t>
  </si>
  <si>
    <t>22-02-2023 13:30</t>
  </si>
  <si>
    <t>22-02-2023 13:45</t>
  </si>
  <si>
    <t>22-02-2023 14:00</t>
  </si>
  <si>
    <t>22-02-2023 14:15</t>
  </si>
  <si>
    <t>22-02-2023 14:30</t>
  </si>
  <si>
    <t>22-02-2023 14:45</t>
  </si>
  <si>
    <t>22-02-2023 15:00</t>
  </si>
  <si>
    <t>22-02-2023 15:15</t>
  </si>
  <si>
    <t>22-02-2023 15:30</t>
  </si>
  <si>
    <t>22-02-2023 15:45</t>
  </si>
  <si>
    <t>22-02-2023 16:00</t>
  </si>
  <si>
    <t>22-02-2023 16:15</t>
  </si>
  <si>
    <t>22-02-2023 16:30</t>
  </si>
  <si>
    <t>22-02-2023 16:45</t>
  </si>
  <si>
    <t>22-02-2023 17:00</t>
  </si>
  <si>
    <t>22-02-2023 17:15</t>
  </si>
  <si>
    <t>22-02-2023 17:30</t>
  </si>
  <si>
    <t>22-02-2023 17:45</t>
  </si>
  <si>
    <t>22-02-2023 18:00</t>
  </si>
  <si>
    <t>22-02-2023 18:15</t>
  </si>
  <si>
    <t>22-02-2023 18:30</t>
  </si>
  <si>
    <t>22-02-2023 18:45</t>
  </si>
  <si>
    <t>22-02-2023 19:00</t>
  </si>
  <si>
    <t>22-02-2023 19:15</t>
  </si>
  <si>
    <t>22-02-2023 19:30</t>
  </si>
  <si>
    <t>22-02-2023 19:45</t>
  </si>
  <si>
    <t>22-02-2023 20:00</t>
  </si>
  <si>
    <t>22-02-2023 20:15</t>
  </si>
  <si>
    <t>22-02-2023 20:30</t>
  </si>
  <si>
    <t>22-02-2023 20:45</t>
  </si>
  <si>
    <t>22-02-2023 21:00</t>
  </si>
  <si>
    <t>22-02-2023 21:15</t>
  </si>
  <si>
    <t>22-02-2023 21:30</t>
  </si>
  <si>
    <t>22-02-2023 21:45</t>
  </si>
  <si>
    <t>22-02-2023 22:00</t>
  </si>
  <si>
    <t>22-02-2023 22:15</t>
  </si>
  <si>
    <t>22-02-2023 22:30</t>
  </si>
  <si>
    <t>22-02-2023 22:45</t>
  </si>
  <si>
    <t>22-02-2023 23:00</t>
  </si>
  <si>
    <t>22-02-2023 23:15</t>
  </si>
  <si>
    <t>22-02-2023 23:30</t>
  </si>
  <si>
    <t>22-02-2023 23:45</t>
  </si>
  <si>
    <t>22-02-2023 24:00</t>
  </si>
  <si>
    <t>23-02-2023 00:15</t>
  </si>
  <si>
    <t>23-02-2023 00:30</t>
  </si>
  <si>
    <t>23-02-2023 00:45</t>
  </si>
  <si>
    <t>23-02-2023 01:00</t>
  </si>
  <si>
    <t>23-02-2023 01:15</t>
  </si>
  <si>
    <t>23-02-2023 01:30</t>
  </si>
  <si>
    <t>23-02-2023 01:45</t>
  </si>
  <si>
    <t>23-02-2023 02:00</t>
  </si>
  <si>
    <t>23-02-2023 02:15</t>
  </si>
  <si>
    <t>23-02-2023 02:30</t>
  </si>
  <si>
    <t>23-02-2023 02:45</t>
  </si>
  <si>
    <t>23-02-2023 03:00</t>
  </si>
  <si>
    <t>23-02-2023 03:15</t>
  </si>
  <si>
    <t>23-02-2023 03:30</t>
  </si>
  <si>
    <t>23-02-2023 03:45</t>
  </si>
  <si>
    <t>23-02-2023 04:00</t>
  </si>
  <si>
    <t>23-02-2023 04:15</t>
  </si>
  <si>
    <t>23-02-2023 04:30</t>
  </si>
  <si>
    <t>23-02-2023 04:45</t>
  </si>
  <si>
    <t>23-02-2023 05:00</t>
  </si>
  <si>
    <t>23-02-2023 05:15</t>
  </si>
  <si>
    <t>23-02-2023 05:30</t>
  </si>
  <si>
    <t>23-02-2023 05:45</t>
  </si>
  <si>
    <t>23-02-2023 06:00</t>
  </si>
  <si>
    <t>23-02-2023 06:15</t>
  </si>
  <si>
    <t>23-02-2023 06:30</t>
  </si>
  <si>
    <t>23-02-2023 06:45</t>
  </si>
  <si>
    <t>23-02-2023 07:00</t>
  </si>
  <si>
    <t>23-02-2023 07:15</t>
  </si>
  <si>
    <t>23-02-2023 07:30</t>
  </si>
  <si>
    <t>23-02-2023 07:45</t>
  </si>
  <si>
    <t>23-02-2023 08:00</t>
  </si>
  <si>
    <t>23-02-2023 08:15</t>
  </si>
  <si>
    <t>23-02-2023 08:30</t>
  </si>
  <si>
    <t>23-02-2023 08:45</t>
  </si>
  <si>
    <t>23-02-2023 09:00</t>
  </si>
  <si>
    <t>23-02-2023 09:15</t>
  </si>
  <si>
    <t>23-02-2023 09:30</t>
  </si>
  <si>
    <t>23-02-2023 09:45</t>
  </si>
  <si>
    <t>23-02-2023 10:00</t>
  </si>
  <si>
    <t>23-02-2023 10:15</t>
  </si>
  <si>
    <t>23-02-2023 10:30</t>
  </si>
  <si>
    <t>23-02-2023 10:45</t>
  </si>
  <si>
    <t>23-02-2023 11:00</t>
  </si>
  <si>
    <t>23-02-2023 11:15</t>
  </si>
  <si>
    <t>23-02-2023 11:30</t>
  </si>
  <si>
    <t>23-02-2023 11:45</t>
  </si>
  <si>
    <t>23-02-2023 12:00</t>
  </si>
  <si>
    <t>23-02-2023 12:15</t>
  </si>
  <si>
    <t>23-02-2023 12:30</t>
  </si>
  <si>
    <t>23-02-2023 12:45</t>
  </si>
  <si>
    <t>23-02-2023 13:00</t>
  </si>
  <si>
    <t>23-02-2023 13:15</t>
  </si>
  <si>
    <t>23-02-2023 13:30</t>
  </si>
  <si>
    <t>23-02-2023 13:45</t>
  </si>
  <si>
    <t>23-02-2023 14:00</t>
  </si>
  <si>
    <t>23-02-2023 14:15</t>
  </si>
  <si>
    <t>23-02-2023 14:30</t>
  </si>
  <si>
    <t>23-02-2023 14:45</t>
  </si>
  <si>
    <t>23-02-2023 15:00</t>
  </si>
  <si>
    <t>23-02-2023 15:15</t>
  </si>
  <si>
    <t>23-02-2023 15:30</t>
  </si>
  <si>
    <t>23-02-2023 15:45</t>
  </si>
  <si>
    <t>23-02-2023 16:00</t>
  </si>
  <si>
    <t>23-02-2023 16:15</t>
  </si>
  <si>
    <t>23-02-2023 16:30</t>
  </si>
  <si>
    <t>23-02-2023 16:45</t>
  </si>
  <si>
    <t>23-02-2023 17:00</t>
  </si>
  <si>
    <t>23-02-2023 17:15</t>
  </si>
  <si>
    <t>23-02-2023 17:30</t>
  </si>
  <si>
    <t>23-02-2023 17:45</t>
  </si>
  <si>
    <t>23-02-2023 18:00</t>
  </si>
  <si>
    <t>23-02-2023 18:15</t>
  </si>
  <si>
    <t>23-02-2023 18:30</t>
  </si>
  <si>
    <t>23-02-2023 18:45</t>
  </si>
  <si>
    <t>23-02-2023 19:00</t>
  </si>
  <si>
    <t>23-02-2023 19:15</t>
  </si>
  <si>
    <t>23-02-2023 19:30</t>
  </si>
  <si>
    <t>23-02-2023 19:45</t>
  </si>
  <si>
    <t>23-02-2023 20:00</t>
  </si>
  <si>
    <t>23-02-2023 20:15</t>
  </si>
  <si>
    <t>23-02-2023 20:30</t>
  </si>
  <si>
    <t>23-02-2023 20:45</t>
  </si>
  <si>
    <t>23-02-2023 21:00</t>
  </si>
  <si>
    <t>23-02-2023 21:15</t>
  </si>
  <si>
    <t>23-02-2023 21:30</t>
  </si>
  <si>
    <t>23-02-2023 21:45</t>
  </si>
  <si>
    <t>23-02-2023 22:00</t>
  </si>
  <si>
    <t>23-02-2023 22:15</t>
  </si>
  <si>
    <t>23-02-2023 22:30</t>
  </si>
  <si>
    <t>23-02-2023 22:45</t>
  </si>
  <si>
    <t>23-02-2023 23:00</t>
  </si>
  <si>
    <t>23-02-2023 23:15</t>
  </si>
  <si>
    <t>23-02-2023 23:30</t>
  </si>
  <si>
    <t>23-02-2023 23:45</t>
  </si>
  <si>
    <t>23-02-2023 24:00</t>
  </si>
  <si>
    <t>24-02-2023 00:15</t>
  </si>
  <si>
    <t>24-02-2023 00:30</t>
  </si>
  <si>
    <t>24-02-2023 00:45</t>
  </si>
  <si>
    <t>24-02-2023 01:00</t>
  </si>
  <si>
    <t>24-02-2023 01:15</t>
  </si>
  <si>
    <t>24-02-2023 01:30</t>
  </si>
  <si>
    <t>24-02-2023 01:45</t>
  </si>
  <si>
    <t>24-02-2023 02:00</t>
  </si>
  <si>
    <t>24-02-2023 02:15</t>
  </si>
  <si>
    <t>24-02-2023 02:30</t>
  </si>
  <si>
    <t>24-02-2023 02:45</t>
  </si>
  <si>
    <t>24-02-2023 03:00</t>
  </si>
  <si>
    <t>24-02-2023 03:15</t>
  </si>
  <si>
    <t>24-02-2023 03:30</t>
  </si>
  <si>
    <t>24-02-2023 03:45</t>
  </si>
  <si>
    <t>24-02-2023 04:00</t>
  </si>
  <si>
    <t>24-02-2023 04:15</t>
  </si>
  <si>
    <t>24-02-2023 04:30</t>
  </si>
  <si>
    <t>24-02-2023 04:45</t>
  </si>
  <si>
    <t>24-02-2023 05:00</t>
  </si>
  <si>
    <t>24-02-2023 05:15</t>
  </si>
  <si>
    <t>24-02-2023 05:30</t>
  </si>
  <si>
    <t>24-02-2023 05:45</t>
  </si>
  <si>
    <t>24-02-2023 06:00</t>
  </si>
  <si>
    <t>24-02-2023 06:15</t>
  </si>
  <si>
    <t>24-02-2023 06:30</t>
  </si>
  <si>
    <t>24-02-2023 06:45</t>
  </si>
  <si>
    <t>24-02-2023 07:00</t>
  </si>
  <si>
    <t>24-02-2023 07:15</t>
  </si>
  <si>
    <t>24-02-2023 07:30</t>
  </si>
  <si>
    <t>24-02-2023 07:45</t>
  </si>
  <si>
    <t>24-02-2023 08:00</t>
  </si>
  <si>
    <t>24-02-2023 08:15</t>
  </si>
  <si>
    <t>24-02-2023 08:30</t>
  </si>
  <si>
    <t>24-02-2023 08:45</t>
  </si>
  <si>
    <t>24-02-2023 09:00</t>
  </si>
  <si>
    <t>24-02-2023 09:15</t>
  </si>
  <si>
    <t>24-02-2023 09:30</t>
  </si>
  <si>
    <t>24-02-2023 09:45</t>
  </si>
  <si>
    <t>24-02-2023 10:00</t>
  </si>
  <si>
    <t>24-02-2023 10:15</t>
  </si>
  <si>
    <t>24-02-2023 10:30</t>
  </si>
  <si>
    <t>24-02-2023 10:45</t>
  </si>
  <si>
    <t>24-02-2023 11:00</t>
  </si>
  <si>
    <t>24-02-2023 11:15</t>
  </si>
  <si>
    <t>24-02-2023 11:30</t>
  </si>
  <si>
    <t>24-02-2023 11:45</t>
  </si>
  <si>
    <t>24-02-2023 12:00</t>
  </si>
  <si>
    <t>24-02-2023 12:15</t>
  </si>
  <si>
    <t>24-02-2023 12:30</t>
  </si>
  <si>
    <t>24-02-2023 12:45</t>
  </si>
  <si>
    <t>24-02-2023 13:00</t>
  </si>
  <si>
    <t>24-02-2023 13:15</t>
  </si>
  <si>
    <t>24-02-2023 13:30</t>
  </si>
  <si>
    <t>24-02-2023 13:45</t>
  </si>
  <si>
    <t>24-02-2023 14:00</t>
  </si>
  <si>
    <t>24-02-2023 14:15</t>
  </si>
  <si>
    <t>24-02-2023 14:30</t>
  </si>
  <si>
    <t>24-02-2023 14:45</t>
  </si>
  <si>
    <t>24-02-2023 15:00</t>
  </si>
  <si>
    <t>24-02-2023 15:15</t>
  </si>
  <si>
    <t>24-02-2023 15:30</t>
  </si>
  <si>
    <t>24-02-2023 15:45</t>
  </si>
  <si>
    <t>24-02-2023 16:00</t>
  </si>
  <si>
    <t>24-02-2023 16:15</t>
  </si>
  <si>
    <t>24-02-2023 16:30</t>
  </si>
  <si>
    <t>24-02-2023 16:45</t>
  </si>
  <si>
    <t>24-02-2023 17:00</t>
  </si>
  <si>
    <t>24-02-2023 17:15</t>
  </si>
  <si>
    <t>24-02-2023 17:30</t>
  </si>
  <si>
    <t>24-02-2023 17:45</t>
  </si>
  <si>
    <t>24-02-2023 18:00</t>
  </si>
  <si>
    <t>24-02-2023 18:15</t>
  </si>
  <si>
    <t>24-02-2023 18:30</t>
  </si>
  <si>
    <t>24-02-2023 18:45</t>
  </si>
  <si>
    <t>24-02-2023 19:00</t>
  </si>
  <si>
    <t>24-02-2023 19:15</t>
  </si>
  <si>
    <t>24-02-2023 19:30</t>
  </si>
  <si>
    <t>24-02-2023 19:45</t>
  </si>
  <si>
    <t>24-02-2023 20:00</t>
  </si>
  <si>
    <t>24-02-2023 20:15</t>
  </si>
  <si>
    <t>24-02-2023 20:30</t>
  </si>
  <si>
    <t>24-02-2023 20:45</t>
  </si>
  <si>
    <t>24-02-2023 21:00</t>
  </si>
  <si>
    <t>24-02-2023 21:15</t>
  </si>
  <si>
    <t>24-02-2023 21:30</t>
  </si>
  <si>
    <t>24-02-2023 21:45</t>
  </si>
  <si>
    <t>24-02-2023 22:00</t>
  </si>
  <si>
    <t>24-02-2023 22:15</t>
  </si>
  <si>
    <t>24-02-2023 22:30</t>
  </si>
  <si>
    <t>24-02-2023 22:45</t>
  </si>
  <si>
    <t>24-02-2023 23:00</t>
  </si>
  <si>
    <t>24-02-2023 23:15</t>
  </si>
  <si>
    <t>24-02-2023 23:30</t>
  </si>
  <si>
    <t>24-02-2023 23:45</t>
  </si>
  <si>
    <t>24-02-2023 24:00</t>
  </si>
  <si>
    <t>25-02-2023 00:15</t>
  </si>
  <si>
    <t>25-02-2023 00:30</t>
  </si>
  <si>
    <t>25-02-2023 00:45</t>
  </si>
  <si>
    <t>25-02-2023 01:00</t>
  </si>
  <si>
    <t>25-02-2023 01:15</t>
  </si>
  <si>
    <t>25-02-2023 01:30</t>
  </si>
  <si>
    <t>25-02-2023 01:45</t>
  </si>
  <si>
    <t>25-02-2023 02:00</t>
  </si>
  <si>
    <t>25-02-2023 02:15</t>
  </si>
  <si>
    <t>25-02-2023 02:30</t>
  </si>
  <si>
    <t>25-02-2023 02:45</t>
  </si>
  <si>
    <t>25-02-2023 03:00</t>
  </si>
  <si>
    <t>25-02-2023 03:15</t>
  </si>
  <si>
    <t>25-02-2023 03:30</t>
  </si>
  <si>
    <t>25-02-2023 03:45</t>
  </si>
  <si>
    <t>25-02-2023 04:00</t>
  </si>
  <si>
    <t>25-02-2023 04:15</t>
  </si>
  <si>
    <t>25-02-2023 04:30</t>
  </si>
  <si>
    <t>25-02-2023 04:45</t>
  </si>
  <si>
    <t>25-02-2023 05:00</t>
  </si>
  <si>
    <t>25-02-2023 05:15</t>
  </si>
  <si>
    <t>25-02-2023 05:30</t>
  </si>
  <si>
    <t>25-02-2023 05:45</t>
  </si>
  <si>
    <t>25-02-2023 06:00</t>
  </si>
  <si>
    <t>25-02-2023 06:15</t>
  </si>
  <si>
    <t>25-02-2023 06:30</t>
  </si>
  <si>
    <t>25-02-2023 06:45</t>
  </si>
  <si>
    <t>25-02-2023 07:00</t>
  </si>
  <si>
    <t>25-02-2023 07:15</t>
  </si>
  <si>
    <t>25-02-2023 07:30</t>
  </si>
  <si>
    <t>25-02-2023 07:45</t>
  </si>
  <si>
    <t>25-02-2023 08:00</t>
  </si>
  <si>
    <t>25-02-2023 08:15</t>
  </si>
  <si>
    <t>25-02-2023 08:30</t>
  </si>
  <si>
    <t>25-02-2023 08:45</t>
  </si>
  <si>
    <t>25-02-2023 09:00</t>
  </si>
  <si>
    <t>25-02-2023 09:15</t>
  </si>
  <si>
    <t>25-02-2023 09:30</t>
  </si>
  <si>
    <t>25-02-2023 09:45</t>
  </si>
  <si>
    <t>25-02-2023 10:00</t>
  </si>
  <si>
    <t>25-02-2023 10:15</t>
  </si>
  <si>
    <t>25-02-2023 10:30</t>
  </si>
  <si>
    <t>25-02-2023 10:45</t>
  </si>
  <si>
    <t>25-02-2023 11:00</t>
  </si>
  <si>
    <t>25-02-2023 11:15</t>
  </si>
  <si>
    <t>25-02-2023 11:30</t>
  </si>
  <si>
    <t>25-02-2023 11:45</t>
  </si>
  <si>
    <t>25-02-2023 12:00</t>
  </si>
  <si>
    <t>25-02-2023 12:15</t>
  </si>
  <si>
    <t>25-02-2023 12:30</t>
  </si>
  <si>
    <t>25-02-2023 12:45</t>
  </si>
  <si>
    <t>25-02-2023 13:00</t>
  </si>
  <si>
    <t>25-02-2023 13:15</t>
  </si>
  <si>
    <t>25-02-2023 13:30</t>
  </si>
  <si>
    <t>25-02-2023 13:45</t>
  </si>
  <si>
    <t>25-02-2023 14:00</t>
  </si>
  <si>
    <t>25-02-2023 14:15</t>
  </si>
  <si>
    <t>25-02-2023 14:30</t>
  </si>
  <si>
    <t>25-02-2023 14:45</t>
  </si>
  <si>
    <t>25-02-2023 15:00</t>
  </si>
  <si>
    <t>25-02-2023 15:15</t>
  </si>
  <si>
    <t>25-02-2023 15:30</t>
  </si>
  <si>
    <t>25-02-2023 15:45</t>
  </si>
  <si>
    <t>25-02-2023 16:00</t>
  </si>
  <si>
    <t>25-02-2023 16:15</t>
  </si>
  <si>
    <t>25-02-2023 16:30</t>
  </si>
  <si>
    <t>25-02-2023 16:45</t>
  </si>
  <si>
    <t>25-02-2023 17:00</t>
  </si>
  <si>
    <t>25-02-2023 17:15</t>
  </si>
  <si>
    <t>25-02-2023 17:30</t>
  </si>
  <si>
    <t>25-02-2023 17:45</t>
  </si>
  <si>
    <t>25-02-2023 18:00</t>
  </si>
  <si>
    <t>25-02-2023 18:15</t>
  </si>
  <si>
    <t>25-02-2023 18:30</t>
  </si>
  <si>
    <t>25-02-2023 18:45</t>
  </si>
  <si>
    <t>25-02-2023 19:00</t>
  </si>
  <si>
    <t>25-02-2023 19:15</t>
  </si>
  <si>
    <t>25-02-2023 19:30</t>
  </si>
  <si>
    <t>25-02-2023 19:45</t>
  </si>
  <si>
    <t>25-02-2023 20:00</t>
  </si>
  <si>
    <t>25-02-2023 20:15</t>
  </si>
  <si>
    <t>25-02-2023 20:30</t>
  </si>
  <si>
    <t>25-02-2023 20:45</t>
  </si>
  <si>
    <t>25-02-2023 21:00</t>
  </si>
  <si>
    <t>25-02-2023 21:15</t>
  </si>
  <si>
    <t>25-02-2023 21:30</t>
  </si>
  <si>
    <t>25-02-2023 21:45</t>
  </si>
  <si>
    <t>25-02-2023 22:00</t>
  </si>
  <si>
    <t>25-02-2023 22:15</t>
  </si>
  <si>
    <t>25-02-2023 22:30</t>
  </si>
  <si>
    <t>25-02-2023 22:45</t>
  </si>
  <si>
    <t>25-02-2023 23:00</t>
  </si>
  <si>
    <t>25-02-2023 23:15</t>
  </si>
  <si>
    <t>25-02-2023 23:30</t>
  </si>
  <si>
    <t>25-02-2023 23:45</t>
  </si>
  <si>
    <t>25-02-2023 24:00</t>
  </si>
  <si>
    <t>26-02-2023 00:15</t>
  </si>
  <si>
    <t>26-02-2023 00:30</t>
  </si>
  <si>
    <t>26-02-2023 00:45</t>
  </si>
  <si>
    <t>26-02-2023 01:00</t>
  </si>
  <si>
    <t>26-02-2023 01:15</t>
  </si>
  <si>
    <t>26-02-2023 01:30</t>
  </si>
  <si>
    <t>26-02-2023 01:45</t>
  </si>
  <si>
    <t>26-02-2023 02:00</t>
  </si>
  <si>
    <t>26-02-2023 02:15</t>
  </si>
  <si>
    <t>26-02-2023 02:30</t>
  </si>
  <si>
    <t>26-02-2023 02:45</t>
  </si>
  <si>
    <t>26-02-2023 03:00</t>
  </si>
  <si>
    <t>26-02-2023 03:15</t>
  </si>
  <si>
    <t>26-02-2023 03:30</t>
  </si>
  <si>
    <t>26-02-2023 03:45</t>
  </si>
  <si>
    <t>26-02-2023 04:00</t>
  </si>
  <si>
    <t>26-02-2023 04:15</t>
  </si>
  <si>
    <t>26-02-2023 04:30</t>
  </si>
  <si>
    <t>26-02-2023 04:45</t>
  </si>
  <si>
    <t>26-02-2023 05:00</t>
  </si>
  <si>
    <t>26-02-2023 05:15</t>
  </si>
  <si>
    <t>26-02-2023 05:30</t>
  </si>
  <si>
    <t>26-02-2023 05:45</t>
  </si>
  <si>
    <t>26-02-2023 06:00</t>
  </si>
  <si>
    <t>26-02-2023 06:15</t>
  </si>
  <si>
    <t>26-02-2023 06:30</t>
  </si>
  <si>
    <t>26-02-2023 06:45</t>
  </si>
  <si>
    <t>26-02-2023 07:00</t>
  </si>
  <si>
    <t>26-02-2023 07:15</t>
  </si>
  <si>
    <t>26-02-2023 07:30</t>
  </si>
  <si>
    <t>26-02-2023 07:45</t>
  </si>
  <si>
    <t>26-02-2023 08:00</t>
  </si>
  <si>
    <t>26-02-2023 08:15</t>
  </si>
  <si>
    <t>26-02-2023 08:30</t>
  </si>
  <si>
    <t>26-02-2023 08:45</t>
  </si>
  <si>
    <t>26-02-2023 09:00</t>
  </si>
  <si>
    <t>26-02-2023 09:15</t>
  </si>
  <si>
    <t>26-02-2023 09:30</t>
  </si>
  <si>
    <t>26-02-2023 09:45</t>
  </si>
  <si>
    <t>26-02-2023 10:00</t>
  </si>
  <si>
    <t>26-02-2023 10:15</t>
  </si>
  <si>
    <t>26-02-2023 10:30</t>
  </si>
  <si>
    <t>26-02-2023 10:45</t>
  </si>
  <si>
    <t>26-02-2023 11:00</t>
  </si>
  <si>
    <t>26-02-2023 11:15</t>
  </si>
  <si>
    <t>26-02-2023 11:30</t>
  </si>
  <si>
    <t>26-02-2023 11:45</t>
  </si>
  <si>
    <t>26-02-2023 12:00</t>
  </si>
  <si>
    <t>26-02-2023 12:15</t>
  </si>
  <si>
    <t>26-02-2023 12:30</t>
  </si>
  <si>
    <t>26-02-2023 12:45</t>
  </si>
  <si>
    <t>26-02-2023 13:00</t>
  </si>
  <si>
    <t>26-02-2023 13:15</t>
  </si>
  <si>
    <t>26-02-2023 13:30</t>
  </si>
  <si>
    <t>26-02-2023 13:45</t>
  </si>
  <si>
    <t>26-02-2023 14:00</t>
  </si>
  <si>
    <t>26-02-2023 14:15</t>
  </si>
  <si>
    <t>26-02-2023 14:30</t>
  </si>
  <si>
    <t>26-02-2023 14:45</t>
  </si>
  <si>
    <t>26-02-2023 15:00</t>
  </si>
  <si>
    <t>26-02-2023 15:15</t>
  </si>
  <si>
    <t>26-02-2023 15:30</t>
  </si>
  <si>
    <t>26-02-2023 15:45</t>
  </si>
  <si>
    <t>26-02-2023 16:00</t>
  </si>
  <si>
    <t>26-02-2023 16:15</t>
  </si>
  <si>
    <t>26-02-2023 16:30</t>
  </si>
  <si>
    <t>26-02-2023 16:45</t>
  </si>
  <si>
    <t>26-02-2023 17:00</t>
  </si>
  <si>
    <t>26-02-2023 17:15</t>
  </si>
  <si>
    <t>26-02-2023 17:30</t>
  </si>
  <si>
    <t>26-02-2023 17:45</t>
  </si>
  <si>
    <t>26-02-2023 18:00</t>
  </si>
  <si>
    <t>26-02-2023 18:15</t>
  </si>
  <si>
    <t>26-02-2023 18:30</t>
  </si>
  <si>
    <t>26-02-2023 18:45</t>
  </si>
  <si>
    <t>26-02-2023 19:00</t>
  </si>
  <si>
    <t>26-02-2023 19:15</t>
  </si>
  <si>
    <t>26-02-2023 19:30</t>
  </si>
  <si>
    <t>26-02-2023 19:45</t>
  </si>
  <si>
    <t>26-02-2023 20:00</t>
  </si>
  <si>
    <t>26-02-2023 20:15</t>
  </si>
  <si>
    <t>26-02-2023 20:30</t>
  </si>
  <si>
    <t>26-02-2023 20:45</t>
  </si>
  <si>
    <t>26-02-2023 21:00</t>
  </si>
  <si>
    <t>26-02-2023 21:15</t>
  </si>
  <si>
    <t>26-02-2023 21:30</t>
  </si>
  <si>
    <t>26-02-2023 21:45</t>
  </si>
  <si>
    <t>26-02-2023 22:00</t>
  </si>
  <si>
    <t>26-02-2023 22:15</t>
  </si>
  <si>
    <t>26-02-2023 22:30</t>
  </si>
  <si>
    <t>26-02-2023 22:45</t>
  </si>
  <si>
    <t>26-02-2023 23:00</t>
  </si>
  <si>
    <t>26-02-2023 23:15</t>
  </si>
  <si>
    <t>26-02-2023 23:30</t>
  </si>
  <si>
    <t>26-02-2023 23:45</t>
  </si>
  <si>
    <t>26-02-2023 24:00</t>
  </si>
  <si>
    <t>27-02-2023 00:15</t>
  </si>
  <si>
    <t>27-02-2023 00:30</t>
  </si>
  <si>
    <t>27-02-2023 00:45</t>
  </si>
  <si>
    <t>27-02-2023 01:00</t>
  </si>
  <si>
    <t>27-02-2023 01:15</t>
  </si>
  <si>
    <t>27-02-2023 01:30</t>
  </si>
  <si>
    <t>27-02-2023 01:45</t>
  </si>
  <si>
    <t>27-02-2023 02:00</t>
  </si>
  <si>
    <t>27-02-2023 02:15</t>
  </si>
  <si>
    <t>27-02-2023 02:30</t>
  </si>
  <si>
    <t>27-02-2023 02:45</t>
  </si>
  <si>
    <t>27-02-2023 03:00</t>
  </si>
  <si>
    <t>27-02-2023 03:15</t>
  </si>
  <si>
    <t>27-02-2023 03:30</t>
  </si>
  <si>
    <t>27-02-2023 03:45</t>
  </si>
  <si>
    <t>27-02-2023 04:00</t>
  </si>
  <si>
    <t>27-02-2023 04:15</t>
  </si>
  <si>
    <t>27-02-2023 04:30</t>
  </si>
  <si>
    <t>27-02-2023 04:45</t>
  </si>
  <si>
    <t>27-02-2023 05:00</t>
  </si>
  <si>
    <t>27-02-2023 05:15</t>
  </si>
  <si>
    <t>27-02-2023 05:30</t>
  </si>
  <si>
    <t>27-02-2023 05:45</t>
  </si>
  <si>
    <t>27-02-2023 06:00</t>
  </si>
  <si>
    <t>27-02-2023 06:15</t>
  </si>
  <si>
    <t>27-02-2023 06:30</t>
  </si>
  <si>
    <t>27-02-2023 06:45</t>
  </si>
  <si>
    <t>27-02-2023 07:00</t>
  </si>
  <si>
    <t>27-02-2023 07:15</t>
  </si>
  <si>
    <t>27-02-2023 07:30</t>
  </si>
  <si>
    <t>27-02-2023 07:45</t>
  </si>
  <si>
    <t>27-02-2023 08:00</t>
  </si>
  <si>
    <t>27-02-2023 08:15</t>
  </si>
  <si>
    <t>27-02-2023 08:30</t>
  </si>
  <si>
    <t>27-02-2023 08:45</t>
  </si>
  <si>
    <t>27-02-2023 09:00</t>
  </si>
  <si>
    <t>27-02-2023 09:15</t>
  </si>
  <si>
    <t>27-02-2023 09:30</t>
  </si>
  <si>
    <t>27-02-2023 09:45</t>
  </si>
  <si>
    <t>27-02-2023 10:00</t>
  </si>
  <si>
    <t>27-02-2023 10:15</t>
  </si>
  <si>
    <t>27-02-2023 10:30</t>
  </si>
  <si>
    <t>27-02-2023 10:45</t>
  </si>
  <si>
    <t>27-02-2023 11:00</t>
  </si>
  <si>
    <t>27-02-2023 11:15</t>
  </si>
  <si>
    <t>27-02-2023 11:30</t>
  </si>
  <si>
    <t>27-02-2023 11:45</t>
  </si>
  <si>
    <t>27-02-2023 12:00</t>
  </si>
  <si>
    <t>27-02-2023 12:15</t>
  </si>
  <si>
    <t>27-02-2023 12:30</t>
  </si>
  <si>
    <t>27-02-2023 12:45</t>
  </si>
  <si>
    <t>27-02-2023 13:00</t>
  </si>
  <si>
    <t>27-02-2023 13:15</t>
  </si>
  <si>
    <t>27-02-2023 13:30</t>
  </si>
  <si>
    <t>27-02-2023 13:45</t>
  </si>
  <si>
    <t>27-02-2023 14:00</t>
  </si>
  <si>
    <t>27-02-2023 14:15</t>
  </si>
  <si>
    <t>27-02-2023 14:30</t>
  </si>
  <si>
    <t>27-02-2023 14:45</t>
  </si>
  <si>
    <t>27-02-2023 15:00</t>
  </si>
  <si>
    <t>27-02-2023 15:15</t>
  </si>
  <si>
    <t>27-02-2023 15:30</t>
  </si>
  <si>
    <t>27-02-2023 15:45</t>
  </si>
  <si>
    <t>27-02-2023 16:00</t>
  </si>
  <si>
    <t>27-02-2023 16:15</t>
  </si>
  <si>
    <t>27-02-2023 16:30</t>
  </si>
  <si>
    <t>27-02-2023 16:45</t>
  </si>
  <si>
    <t>27-02-2023 17:00</t>
  </si>
  <si>
    <t>27-02-2023 17:15</t>
  </si>
  <si>
    <t>27-02-2023 17:30</t>
  </si>
  <si>
    <t>27-02-2023 17:45</t>
  </si>
  <si>
    <t>27-02-2023 18:00</t>
  </si>
  <si>
    <t>27-02-2023 18:15</t>
  </si>
  <si>
    <t>27-02-2023 18:30</t>
  </si>
  <si>
    <t>27-02-2023 18:45</t>
  </si>
  <si>
    <t>27-02-2023 19:00</t>
  </si>
  <si>
    <t>27-02-2023 19:15</t>
  </si>
  <si>
    <t>27-02-2023 19:30</t>
  </si>
  <si>
    <t>27-02-2023 19:45</t>
  </si>
  <si>
    <t>27-02-2023 20:00</t>
  </si>
  <si>
    <t>27-02-2023 20:15</t>
  </si>
  <si>
    <t>27-02-2023 20:30</t>
  </si>
  <si>
    <t>27-02-2023 20:45</t>
  </si>
  <si>
    <t>27-02-2023 21:00</t>
  </si>
  <si>
    <t>27-02-2023 21:15</t>
  </si>
  <si>
    <t>27-02-2023 21:30</t>
  </si>
  <si>
    <t>27-02-2023 21:45</t>
  </si>
  <si>
    <t>27-02-2023 22:00</t>
  </si>
  <si>
    <t>27-02-2023 22:15</t>
  </si>
  <si>
    <t>27-02-2023 22:30</t>
  </si>
  <si>
    <t>27-02-2023 22:45</t>
  </si>
  <si>
    <t>27-02-2023 23:00</t>
  </si>
  <si>
    <t>27-02-2023 23:15</t>
  </si>
  <si>
    <t>27-02-2023 23:30</t>
  </si>
  <si>
    <t>27-02-2023 23:45</t>
  </si>
  <si>
    <t>27-02-2023 24:00</t>
  </si>
  <si>
    <t>28-02-2023 00:15</t>
  </si>
  <si>
    <t>28-02-2023 00:30</t>
  </si>
  <si>
    <t>28-02-2023 00:45</t>
  </si>
  <si>
    <t>28-02-2023 01:00</t>
  </si>
  <si>
    <t>28-02-2023 01:15</t>
  </si>
  <si>
    <t>28-02-2023 01:30</t>
  </si>
  <si>
    <t>28-02-2023 01:45</t>
  </si>
  <si>
    <t>28-02-2023 02:00</t>
  </si>
  <si>
    <t>28-02-2023 02:15</t>
  </si>
  <si>
    <t>28-02-2023 02:30</t>
  </si>
  <si>
    <t>28-02-2023 02:45</t>
  </si>
  <si>
    <t>28-02-2023 03:00</t>
  </si>
  <si>
    <t>28-02-2023 03:15</t>
  </si>
  <si>
    <t>28-02-2023 03:30</t>
  </si>
  <si>
    <t>28-02-2023 03:45</t>
  </si>
  <si>
    <t>28-02-2023 04:00</t>
  </si>
  <si>
    <t>28-02-2023 04:15</t>
  </si>
  <si>
    <t>28-02-2023 04:30</t>
  </si>
  <si>
    <t>28-02-2023 04:45</t>
  </si>
  <si>
    <t>28-02-2023 05:00</t>
  </si>
  <si>
    <t>28-02-2023 05:15</t>
  </si>
  <si>
    <t>28-02-2023 05:30</t>
  </si>
  <si>
    <t>28-02-2023 05:45</t>
  </si>
  <si>
    <t>28-02-2023 06:00</t>
  </si>
  <si>
    <t>28-02-2023 06:15</t>
  </si>
  <si>
    <t>28-02-2023 06:30</t>
  </si>
  <si>
    <t>28-02-2023 06:45</t>
  </si>
  <si>
    <t>28-02-2023 07:00</t>
  </si>
  <si>
    <t>28-02-2023 07:15</t>
  </si>
  <si>
    <t>28-02-2023 07:30</t>
  </si>
  <si>
    <t>28-02-2023 07:45</t>
  </si>
  <si>
    <t>28-02-2023 08:00</t>
  </si>
  <si>
    <t>28-02-2023 08:15</t>
  </si>
  <si>
    <t>28-02-2023 08:30</t>
  </si>
  <si>
    <t>28-02-2023 08:45</t>
  </si>
  <si>
    <t>28-02-2023 09:00</t>
  </si>
  <si>
    <t>28-02-2023 09:15</t>
  </si>
  <si>
    <t>28-02-2023 09:30</t>
  </si>
  <si>
    <t>28-02-2023 09:45</t>
  </si>
  <si>
    <t>28-02-2023 10:00</t>
  </si>
  <si>
    <t>28-02-2023 10:15</t>
  </si>
  <si>
    <t>28-02-2023 10:30</t>
  </si>
  <si>
    <t>28-02-2023 10:45</t>
  </si>
  <si>
    <t>28-02-2023 11:00</t>
  </si>
  <si>
    <t>28-02-2023 11:15</t>
  </si>
  <si>
    <t>28-02-2023 11:30</t>
  </si>
  <si>
    <t>28-02-2023 11:45</t>
  </si>
  <si>
    <t>28-02-2023 12:00</t>
  </si>
  <si>
    <t>28-02-2023 12:15</t>
  </si>
  <si>
    <t>28-02-2023 12:30</t>
  </si>
  <si>
    <t>28-02-2023 12:45</t>
  </si>
  <si>
    <t>28-02-2023 13:00</t>
  </si>
  <si>
    <t>28-02-2023 13:15</t>
  </si>
  <si>
    <t>28-02-2023 13:30</t>
  </si>
  <si>
    <t>28-02-2023 13:45</t>
  </si>
  <si>
    <t>28-02-2023 14:00</t>
  </si>
  <si>
    <t>28-02-2023 14:15</t>
  </si>
  <si>
    <t>28-02-2023 14:30</t>
  </si>
  <si>
    <t>28-02-2023 14:45</t>
  </si>
  <si>
    <t>28-02-2023 15:00</t>
  </si>
  <si>
    <t>28-02-2023 15:15</t>
  </si>
  <si>
    <t>28-02-2023 15:30</t>
  </si>
  <si>
    <t>28-02-2023 15:45</t>
  </si>
  <si>
    <t>28-02-2023 16:00</t>
  </si>
  <si>
    <t>28-02-2023 16:15</t>
  </si>
  <si>
    <t>28-02-2023 16:30</t>
  </si>
  <si>
    <t>28-02-2023 16:45</t>
  </si>
  <si>
    <t>28-02-2023 17:00</t>
  </si>
  <si>
    <t>28-02-2023 17:15</t>
  </si>
  <si>
    <t>28-02-2023 17:30</t>
  </si>
  <si>
    <t>28-02-2023 17:45</t>
  </si>
  <si>
    <t>28-02-2023 18:00</t>
  </si>
  <si>
    <t>28-02-2023 18:15</t>
  </si>
  <si>
    <t>28-02-2023 18:30</t>
  </si>
  <si>
    <t>28-02-2023 18:45</t>
  </si>
  <si>
    <t>28-02-2023 19:00</t>
  </si>
  <si>
    <t>28-02-2023 19:15</t>
  </si>
  <si>
    <t>28-02-2023 19:30</t>
  </si>
  <si>
    <t>28-02-2023 19:45</t>
  </si>
  <si>
    <t>28-02-2023 20:00</t>
  </si>
  <si>
    <t>28-02-2023 20:15</t>
  </si>
  <si>
    <t>28-02-2023 20:30</t>
  </si>
  <si>
    <t>28-02-2023 20:45</t>
  </si>
  <si>
    <t>28-02-2023 21:00</t>
  </si>
  <si>
    <t>28-02-2023 21:15</t>
  </si>
  <si>
    <t>28-02-2023 21:30</t>
  </si>
  <si>
    <t>28-02-2023 21:45</t>
  </si>
  <si>
    <t>28-02-2023 22:00</t>
  </si>
  <si>
    <t>28-02-2023 22:15</t>
  </si>
  <si>
    <t>28-02-2023 22:30</t>
  </si>
  <si>
    <t>28-02-2023 22:45</t>
  </si>
  <si>
    <t>28-02-2023 23:00</t>
  </si>
  <si>
    <t>28-02-2023 23:15</t>
  </si>
  <si>
    <t>28-02-2023 23:30</t>
  </si>
  <si>
    <t>28-02-2023 23:45</t>
  </si>
  <si>
    <t>28-02-2023 24:00</t>
  </si>
  <si>
    <t>01/02/2023 - 28/02/2023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</si>
</sst>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mmmm\-yyyy"/>
    <numFmt numFmtId="166" formatCode="0.000"/>
  </numFmts>
  <fonts count="4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7111117893"/>
      <name val="Arial"/>
      <family val="2"/>
    </font>
    <font>
      <b/>
      <sz val="11"/>
      <color theme="1"/>
      <name val="Arial"/>
      <family val="2"/>
    </font>
    <font>
      <b/>
      <sz val="10"/>
      <color theme="2" tint="-0.89999084444715716"/>
      <name val="Arial Black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2" tint="-0.89999084444715716"/>
      <name val="Arial"/>
      <family val="2"/>
    </font>
    <font>
      <b/>
      <sz val="11"/>
      <color rgb="FFFF0000"/>
      <name val="Arial"/>
      <family val="2"/>
    </font>
    <font>
      <sz val="11"/>
      <color theme="3" tint="0.3999755851924192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2" tint="-0.89999084444715716"/>
      <name val="Arial Black"/>
      <family val="2"/>
    </font>
    <font>
      <b/>
      <sz val="9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3" tint="0.3999755851924192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Arial"/>
      <family val="2"/>
    </font>
    <font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sz val="16"/>
      <color theme="0"/>
      <name val="Arial Black"/>
      <family val="2"/>
    </font>
    <font>
      <b/>
      <sz val="16"/>
      <color theme="0"/>
      <name val="Arial Black"/>
      <family val="2"/>
    </font>
    <font>
      <b/>
      <sz val="24"/>
      <color theme="1"/>
      <name val="Arial Black"/>
      <family val="2"/>
    </font>
    <font>
      <b/>
      <sz val="22"/>
      <color theme="1"/>
      <name val="Arial Black"/>
      <family val="2"/>
    </font>
    <font>
      <b/>
      <sz val="26"/>
      <color theme="1"/>
      <name val="Arial Black"/>
      <family val="2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1">
    <xf numFmtId="0" fontId="0" fillId="0" borderId="0" xfId="0"/>
    <xf numFmtId="22" fontId="0" fillId="0" borderId="0" xfId="0" applyNumberFormat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15" fillId="2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7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46" fontId="7" fillId="0" borderId="0" xfId="0" applyNumberFormat="1" applyFont="1" applyAlignment="1">
      <alignment horizontal="center"/>
    </xf>
    <xf numFmtId="22" fontId="0" fillId="0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5" fillId="9" borderId="0" xfId="0" applyFont="1" applyFill="1" applyAlignment="1">
      <alignment horizontal="center"/>
    </xf>
    <xf numFmtId="0" fontId="20" fillId="10" borderId="1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20" fillId="10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46" fontId="6" fillId="0" borderId="1" xfId="0" applyNumberFormat="1" applyFont="1" applyBorder="1" applyAlignment="1">
      <alignment horizontal="center" vertical="center" wrapText="1"/>
    </xf>
    <xf numFmtId="22" fontId="0" fillId="0" borderId="1" xfId="0" applyNumberFormat="1" applyBorder="1" applyAlignment="1">
      <alignment horizontal="center"/>
    </xf>
    <xf numFmtId="46" fontId="1" fillId="0" borderId="1" xfId="0" applyNumberFormat="1" applyFont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46" fontId="7" fillId="0" borderId="1" xfId="0" applyNumberFormat="1" applyFont="1" applyBorder="1" applyAlignment="1">
      <alignment horizontal="center"/>
    </xf>
    <xf numFmtId="22" fontId="14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22" fontId="0" fillId="0" borderId="5" xfId="0" applyNumberFormat="1" applyBorder="1" applyAlignment="1">
      <alignment horizontal="center"/>
    </xf>
    <xf numFmtId="22" fontId="0" fillId="0" borderId="6" xfId="0" applyNumberFormat="1" applyBorder="1" applyAlignment="1">
      <alignment horizontal="center"/>
    </xf>
    <xf numFmtId="0" fontId="15" fillId="11" borderId="7" xfId="0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2" fontId="0" fillId="0" borderId="9" xfId="0" applyNumberFormat="1" applyBorder="1" applyAlignment="1">
      <alignment horizontal="center"/>
    </xf>
    <xf numFmtId="0" fontId="8" fillId="0" borderId="3" xfId="0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" fontId="12" fillId="11" borderId="7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22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22" fontId="0" fillId="0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22" fontId="0" fillId="0" borderId="5" xfId="0" applyNumberFormat="1" applyBorder="1" applyAlignment="1">
      <alignment horizontal="center" vertical="center"/>
    </xf>
    <xf numFmtId="22" fontId="0" fillId="0" borderId="6" xfId="0" applyNumberFormat="1" applyBorder="1" applyAlignment="1">
      <alignment horizontal="center" vertical="center"/>
    </xf>
    <xf numFmtId="1" fontId="12" fillId="11" borderId="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0" xfId="0" applyFont="1"/>
    <xf numFmtId="2" fontId="21" fillId="0" borderId="1" xfId="0" applyNumberFormat="1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2" fontId="2" fillId="0" borderId="5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/>
    </xf>
    <xf numFmtId="14" fontId="2" fillId="0" borderId="0" xfId="0" applyNumberFormat="1" applyFont="1" applyFill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14" fontId="0" fillId="0" borderId="0" xfId="0" applyNumberFormat="1"/>
    <xf numFmtId="14" fontId="0" fillId="0" borderId="0" xfId="0" applyNumberFormat="1" applyFill="1" applyAlignment="1">
      <alignment horizontal="center"/>
    </xf>
    <xf numFmtId="14" fontId="19" fillId="0" borderId="0" xfId="0" applyNumberFormat="1" applyFont="1" applyFill="1" applyAlignment="1">
      <alignment horizontal="center"/>
    </xf>
    <xf numFmtId="2" fontId="9" fillId="0" borderId="0" xfId="0" applyNumberFormat="1" applyFont="1" applyFill="1" applyAlignment="1">
      <alignment horizontal="center" vertical="center"/>
    </xf>
    <xf numFmtId="2" fontId="9" fillId="0" borderId="1" xfId="0" applyNumberFormat="1" applyFont="1" applyFill="1" applyBorder="1" applyAlignment="1">
      <alignment horizontal="center" vertical="center"/>
    </xf>
    <xf numFmtId="2" fontId="21" fillId="0" borderId="1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2" fillId="9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0" fillId="0" borderId="0" xfId="0" applyNumberFormat="1"/>
    <xf numFmtId="2" fontId="0" fillId="0" borderId="0" xfId="0" applyNumberFormat="1"/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2" fontId="0" fillId="0" borderId="13" xfId="0" applyNumberForma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6" fillId="12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7" xfId="0" applyFont="1" applyFill="1" applyBorder="1"/>
    <xf numFmtId="0" fontId="23" fillId="0" borderId="5" xfId="0" applyFont="1" applyBorder="1" applyAlignment="1">
      <alignment horizontal="center"/>
    </xf>
    <xf numFmtId="0" fontId="23" fillId="0" borderId="1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0" fillId="10" borderId="19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24" fillId="10" borderId="2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0" fillId="12" borderId="21" xfId="0" applyFill="1" applyBorder="1" applyAlignment="1">
      <alignment horizontal="center"/>
    </xf>
    <xf numFmtId="0" fontId="20" fillId="10" borderId="22" xfId="0" applyFont="1" applyFill="1" applyBorder="1" applyAlignment="1">
      <alignment horizontal="center"/>
    </xf>
    <xf numFmtId="0" fontId="0" fillId="12" borderId="23" xfId="0" applyFill="1" applyBorder="1" applyAlignment="1">
      <alignment horizontal="center"/>
    </xf>
    <xf numFmtId="0" fontId="24" fillId="10" borderId="1" xfId="0" applyFont="1" applyFill="1" applyBorder="1" applyAlignment="1">
      <alignment horizontal="center"/>
    </xf>
    <xf numFmtId="0" fontId="0" fillId="0" borderId="0" xfId="0" applyBorder="1"/>
    <xf numFmtId="0" fontId="17" fillId="0" borderId="0" xfId="0" applyFont="1" applyAlignment="1">
      <alignment horizontal="center"/>
    </xf>
    <xf numFmtId="0" fontId="24" fillId="10" borderId="24" xfId="0" applyFont="1" applyFill="1" applyBorder="1" applyAlignment="1">
      <alignment horizontal="center"/>
    </xf>
    <xf numFmtId="14" fontId="9" fillId="0" borderId="0" xfId="0" applyNumberFormat="1" applyFont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0" fillId="12" borderId="25" xfId="0" applyFill="1" applyBorder="1" applyAlignment="1">
      <alignment horizontal="center"/>
    </xf>
    <xf numFmtId="14" fontId="9" fillId="0" borderId="0" xfId="0" applyNumberFormat="1" applyFont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0" fillId="12" borderId="26" xfId="0" applyFill="1" applyBorder="1" applyAlignment="1">
      <alignment horizontal="center"/>
    </xf>
    <xf numFmtId="0" fontId="23" fillId="0" borderId="0" xfId="0" applyFont="1" applyFill="1" applyBorder="1"/>
    <xf numFmtId="0" fontId="11" fillId="0" borderId="0" xfId="0" applyFont="1" applyFill="1" applyAlignment="1">
      <alignment horizontal="center"/>
    </xf>
    <xf numFmtId="0" fontId="0" fillId="0" borderId="0" xfId="0" applyFill="1" applyBorder="1"/>
    <xf numFmtId="0" fontId="19" fillId="12" borderId="27" xfId="0" applyFont="1" applyFill="1" applyBorder="1" applyAlignment="1">
      <alignment horizontal="center"/>
    </xf>
    <xf numFmtId="0" fontId="26" fillId="12" borderId="27" xfId="0" applyFont="1" applyFill="1" applyBorder="1" applyAlignment="1">
      <alignment horizontal="center"/>
    </xf>
    <xf numFmtId="0" fontId="26" fillId="12" borderId="28" xfId="0" applyFont="1" applyFill="1" applyBorder="1" applyAlignment="1">
      <alignment horizontal="center"/>
    </xf>
    <xf numFmtId="0" fontId="27" fillId="12" borderId="29" xfId="0" applyFont="1" applyFill="1" applyBorder="1" applyAlignment="1">
      <alignment horizontal="center"/>
    </xf>
    <xf numFmtId="0" fontId="0" fillId="12" borderId="24" xfId="0" applyFill="1" applyBorder="1" applyAlignment="1">
      <alignment horizontal="center"/>
    </xf>
    <xf numFmtId="0" fontId="28" fillId="0" borderId="30" xfId="0" applyFont="1" applyBorder="1" applyAlignment="1">
      <alignment horizontal="center" wrapText="1"/>
    </xf>
    <xf numFmtId="0" fontId="28" fillId="0" borderId="30" xfId="0" applyFont="1" applyFill="1" applyBorder="1" applyAlignment="1">
      <alignment horizontal="center" wrapText="1"/>
    </xf>
    <xf numFmtId="0" fontId="29" fillId="10" borderId="14" xfId="0" applyFont="1" applyFill="1" applyBorder="1" applyAlignment="1">
      <alignment horizontal="center"/>
    </xf>
    <xf numFmtId="0" fontId="30" fillId="0" borderId="0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28" fillId="0" borderId="1" xfId="0" applyFont="1" applyBorder="1" applyAlignment="1">
      <alignment horizontal="center" wrapText="1"/>
    </xf>
    <xf numFmtId="0" fontId="28" fillId="0" borderId="1" xfId="0" applyFont="1" applyFill="1" applyBorder="1" applyAlignment="1">
      <alignment horizontal="center" wrapText="1"/>
    </xf>
    <xf numFmtId="0" fontId="29" fillId="10" borderId="1" xfId="0" applyFont="1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6" fillId="12" borderId="24" xfId="0" applyFont="1" applyFill="1" applyBorder="1" applyAlignment="1">
      <alignment horizontal="center"/>
    </xf>
    <xf numFmtId="0" fontId="28" fillId="0" borderId="14" xfId="0" applyFont="1" applyBorder="1" applyAlignment="1">
      <alignment horizontal="center"/>
    </xf>
    <xf numFmtId="0" fontId="28" fillId="0" borderId="14" xfId="0" applyFont="1" applyBorder="1" applyAlignment="1">
      <alignment horizontal="center" wrapText="1"/>
    </xf>
    <xf numFmtId="0" fontId="31" fillId="0" borderId="20" xfId="0" applyFont="1" applyBorder="1" applyAlignment="1">
      <alignment horizontal="center"/>
    </xf>
    <xf numFmtId="0" fontId="32" fillId="0" borderId="0" xfId="0" applyFont="1" applyFill="1" applyBorder="1" applyAlignment="1">
      <alignment horizontal="center"/>
    </xf>
    <xf numFmtId="0" fontId="31" fillId="0" borderId="3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0" fillId="12" borderId="32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33" fillId="10" borderId="1" xfId="0" applyFont="1" applyFill="1" applyBorder="1" applyAlignment="1">
      <alignment horizontal="center"/>
    </xf>
    <xf numFmtId="0" fontId="34" fillId="12" borderId="29" xfId="0" applyFont="1" applyFill="1" applyBorder="1" applyAlignment="1">
      <alignment horizontal="center"/>
    </xf>
    <xf numFmtId="0" fontId="31" fillId="12" borderId="24" xfId="0" applyFont="1" applyFill="1" applyBorder="1" applyAlignment="1">
      <alignment horizontal="center"/>
    </xf>
    <xf numFmtId="0" fontId="28" fillId="0" borderId="33" xfId="0" applyFont="1" applyBorder="1" applyAlignment="1">
      <alignment horizontal="center"/>
    </xf>
    <xf numFmtId="0" fontId="30" fillId="0" borderId="24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28" fillId="0" borderId="24" xfId="0" applyFon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2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18" xfId="0" applyNumberFormat="1" applyFont="1" applyBorder="1" applyAlignment="1">
      <alignment horizontal="center"/>
    </xf>
    <xf numFmtId="2" fontId="21" fillId="0" borderId="18" xfId="0" applyNumberFormat="1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21" fillId="0" borderId="0" xfId="0" applyNumberFormat="1" applyFont="1" applyBorder="1" applyAlignment="1">
      <alignment horizontal="center"/>
    </xf>
    <xf numFmtId="2" fontId="9" fillId="0" borderId="0" xfId="0" applyNumberFormat="1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/>
    </xf>
    <xf numFmtId="0" fontId="15" fillId="7" borderId="1" xfId="0" applyFont="1" applyFill="1" applyBorder="1" applyAlignment="1">
      <alignment horizontal="center"/>
    </xf>
    <xf numFmtId="0" fontId="17" fillId="8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9" borderId="0" xfId="0" applyFont="1" applyFill="1" applyAlignment="1">
      <alignment horizontal="center"/>
    </xf>
    <xf numFmtId="0" fontId="35" fillId="9" borderId="0" xfId="0" applyFont="1" applyFill="1" applyAlignment="1">
      <alignment horizontal="center"/>
    </xf>
    <xf numFmtId="0" fontId="35" fillId="9" borderId="0" xfId="0" applyFont="1" applyFill="1" applyAlignment="1">
      <alignment horizontal="left"/>
    </xf>
    <xf numFmtId="49" fontId="36" fillId="12" borderId="11" xfId="0" applyNumberFormat="1" applyFont="1" applyFill="1" applyBorder="1" applyAlignment="1">
      <alignment horizontal="center" vertical="center"/>
    </xf>
    <xf numFmtId="49" fontId="36" fillId="12" borderId="12" xfId="0" applyNumberFormat="1" applyFont="1" applyFill="1" applyBorder="1" applyAlignment="1">
      <alignment horizontal="center" vertical="center"/>
    </xf>
    <xf numFmtId="0" fontId="15" fillId="12" borderId="3" xfId="0" applyFont="1" applyFill="1" applyBorder="1" applyAlignment="1">
      <alignment horizontal="center"/>
    </xf>
    <xf numFmtId="0" fontId="15" fillId="12" borderId="7" xfId="0" applyFont="1" applyFill="1" applyBorder="1" applyAlignment="1">
      <alignment horizontal="center"/>
    </xf>
    <xf numFmtId="0" fontId="13" fillId="12" borderId="3" xfId="0" applyFont="1" applyFill="1" applyBorder="1" applyAlignment="1">
      <alignment horizontal="center"/>
    </xf>
    <xf numFmtId="0" fontId="15" fillId="12" borderId="7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165" fontId="37" fillId="9" borderId="0" xfId="0" applyNumberFormat="1" applyFont="1" applyFill="1" applyAlignment="1">
      <alignment horizontal="center" vertical="center"/>
    </xf>
    <xf numFmtId="22" fontId="38" fillId="0" borderId="0" xfId="0" applyNumberFormat="1" applyFont="1" applyFill="1" applyAlignment="1">
      <alignment horizontal="center" wrapText="1"/>
    </xf>
    <xf numFmtId="0" fontId="14" fillId="0" borderId="0" xfId="0" applyFont="1" applyAlignment="1">
      <alignment horizontal="center" vertical="center"/>
    </xf>
    <xf numFmtId="17" fontId="39" fillId="13" borderId="0" xfId="0" applyNumberFormat="1" applyFont="1" applyFill="1" applyAlignment="1">
      <alignment horizontal="center" vertical="center"/>
    </xf>
    <xf numFmtId="0" fontId="40" fillId="13" borderId="0" xfId="0" applyFont="1" applyFill="1" applyAlignment="1">
      <alignment horizontal="center" vertical="center"/>
    </xf>
    <xf numFmtId="0" fontId="41" fillId="12" borderId="34" xfId="0" applyFont="1" applyFill="1" applyBorder="1" applyAlignment="1">
      <alignment horizontal="center" vertical="center"/>
    </xf>
    <xf numFmtId="0" fontId="41" fillId="12" borderId="21" xfId="0" applyFont="1" applyFill="1" applyBorder="1" applyAlignment="1">
      <alignment horizontal="center" vertical="center"/>
    </xf>
    <xf numFmtId="0" fontId="6" fillId="12" borderId="35" xfId="0" applyFont="1" applyFill="1" applyBorder="1" applyAlignment="1">
      <alignment horizontal="center"/>
    </xf>
    <xf numFmtId="0" fontId="6" fillId="12" borderId="11" xfId="0" applyFont="1" applyFill="1" applyBorder="1" applyAlignment="1">
      <alignment horizontal="center"/>
    </xf>
    <xf numFmtId="0" fontId="42" fillId="12" borderId="1" xfId="0" applyFont="1" applyFill="1" applyBorder="1" applyAlignment="1">
      <alignment horizontal="center" vertical="center"/>
    </xf>
    <xf numFmtId="0" fontId="42" fillId="12" borderId="30" xfId="0" applyFont="1" applyFill="1" applyBorder="1" applyAlignment="1">
      <alignment horizontal="center" vertical="center"/>
    </xf>
    <xf numFmtId="0" fontId="6" fillId="12" borderId="24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6" fillId="12" borderId="18" xfId="0" applyFont="1" applyFill="1" applyBorder="1" applyAlignment="1">
      <alignment horizontal="center"/>
    </xf>
    <xf numFmtId="0" fontId="41" fillId="12" borderId="36" xfId="0" applyFont="1" applyFill="1" applyBorder="1" applyAlignment="1">
      <alignment horizontal="center" vertical="center"/>
    </xf>
    <xf numFmtId="0" fontId="41" fillId="12" borderId="32" xfId="0" applyFont="1" applyFill="1" applyBorder="1" applyAlignment="1">
      <alignment horizontal="center" vertical="center"/>
    </xf>
    <xf numFmtId="0" fontId="6" fillId="12" borderId="29" xfId="0" applyFont="1" applyFill="1" applyBorder="1" applyAlignment="1">
      <alignment horizontal="center"/>
    </xf>
    <xf numFmtId="0" fontId="43" fillId="12" borderId="37" xfId="0" applyFont="1" applyFill="1" applyBorder="1" applyAlignment="1">
      <alignment horizontal="center" vertical="center"/>
    </xf>
    <xf numFmtId="0" fontId="43" fillId="12" borderId="25" xfId="0" applyFont="1" applyFill="1" applyBorder="1" applyAlignment="1">
      <alignment horizontal="center" vertical="center"/>
    </xf>
    <xf numFmtId="0" fontId="6" fillId="12" borderId="38" xfId="0" applyFont="1" applyFill="1" applyBorder="1" applyAlignment="1">
      <alignment horizontal="center"/>
    </xf>
    <xf numFmtId="0" fontId="6" fillId="12" borderId="39" xfId="0" applyFont="1" applyFill="1" applyBorder="1" applyAlignment="1">
      <alignment horizontal="center"/>
    </xf>
    <xf numFmtId="0" fontId="41" fillId="12" borderId="37" xfId="0" applyFont="1" applyFill="1" applyBorder="1" applyAlignment="1">
      <alignment horizontal="center" vertical="center"/>
    </xf>
    <xf numFmtId="0" fontId="41" fillId="12" borderId="25" xfId="0" applyFont="1" applyFill="1" applyBorder="1" applyAlignment="1">
      <alignment horizontal="center" vertical="center"/>
    </xf>
    <xf numFmtId="0" fontId="42" fillId="12" borderId="1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pane xSplit="1" ySplit="8" topLeftCell="B111" activePane="bottomRight" state="frozen"/>
      <selection activeCell="A9" sqref="A9:U104"/>
      <selection pane="topRight" activeCell="A9" sqref="A9:U104"/>
      <selection pane="bottomLeft" activeCell="A9" sqref="A9:U104"/>
      <selection pane="bottomRight" activeCell="D9" sqref="D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238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01-02-2023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340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244</v>
      </c>
      <c r="B9" s="60">
        <v>11.08</v>
      </c>
      <c r="C9" s="60">
        <v>85.63</v>
      </c>
      <c r="D9" s="60">
        <v>56.55</v>
      </c>
      <c r="E9" s="60">
        <v>7.66</v>
      </c>
      <c r="F9" s="60">
        <v>7.91</v>
      </c>
      <c r="G9" s="60">
        <v>79.02</v>
      </c>
      <c r="H9" s="60">
        <v>46.65</v>
      </c>
      <c r="I9" s="210" t="s">
        <v>36</v>
      </c>
      <c r="J9" s="60">
        <v>1.43</v>
      </c>
      <c r="K9" s="60">
        <v>13.81</v>
      </c>
      <c r="L9" s="60">
        <v>21.97</v>
      </c>
      <c r="M9" s="60">
        <v>54</v>
      </c>
      <c r="N9" s="60">
        <v>4.4000000000000004</v>
      </c>
      <c r="O9" s="60">
        <v>0</v>
      </c>
      <c r="P9" s="60">
        <v>1.3</v>
      </c>
      <c r="Q9" s="60">
        <v>30.33</v>
      </c>
      <c r="R9" s="198"/>
      <c r="S9" s="198"/>
      <c r="T9" s="198"/>
      <c r="U9" s="198"/>
    </row>
    <row r="10" spans="1:21" s="12" customFormat="1" x14ac:dyDescent="0.25">
      <c r="A10" s="201" t="s">
        <v>245</v>
      </c>
      <c r="B10" s="60">
        <v>8.6199999999999992</v>
      </c>
      <c r="C10" s="60">
        <v>82.5</v>
      </c>
      <c r="D10" s="60">
        <v>52.85</v>
      </c>
      <c r="E10" s="60">
        <v>8.31</v>
      </c>
      <c r="F10" s="60">
        <v>8.41</v>
      </c>
      <c r="G10" s="60">
        <v>56.77</v>
      </c>
      <c r="H10" s="60">
        <v>39.979999999999997</v>
      </c>
      <c r="I10" s="210" t="s">
        <v>36</v>
      </c>
      <c r="J10" s="60">
        <v>1.72</v>
      </c>
      <c r="K10" s="60">
        <v>14.08</v>
      </c>
      <c r="L10" s="60">
        <v>21.85</v>
      </c>
      <c r="M10" s="60">
        <v>54</v>
      </c>
      <c r="N10" s="60">
        <v>4.3</v>
      </c>
      <c r="O10" s="60">
        <v>0</v>
      </c>
      <c r="P10" s="60">
        <v>1.2</v>
      </c>
      <c r="Q10" s="60">
        <v>29.42</v>
      </c>
      <c r="R10" s="198"/>
      <c r="S10" s="198"/>
      <c r="T10" s="198"/>
      <c r="U10" s="198"/>
    </row>
    <row r="11" spans="1:21" s="12" customFormat="1" x14ac:dyDescent="0.25">
      <c r="A11" s="201" t="s">
        <v>246</v>
      </c>
      <c r="B11" s="60">
        <v>6.26</v>
      </c>
      <c r="C11" s="60">
        <v>77.33</v>
      </c>
      <c r="D11" s="60">
        <v>48.11</v>
      </c>
      <c r="E11" s="60">
        <v>7.09</v>
      </c>
      <c r="F11" s="60">
        <v>8.74</v>
      </c>
      <c r="G11" s="60">
        <v>38.97</v>
      </c>
      <c r="H11" s="60">
        <v>34.880000000000003</v>
      </c>
      <c r="I11" s="210" t="s">
        <v>36</v>
      </c>
      <c r="J11" s="60">
        <v>1.56</v>
      </c>
      <c r="K11" s="60">
        <v>13.19</v>
      </c>
      <c r="L11" s="60">
        <v>21.68</v>
      </c>
      <c r="M11" s="60">
        <v>55</v>
      </c>
      <c r="N11" s="60">
        <v>4.5999999999999996</v>
      </c>
      <c r="O11" s="60">
        <v>0</v>
      </c>
      <c r="P11" s="60">
        <v>1.1000000000000001</v>
      </c>
      <c r="Q11" s="60">
        <v>28.43</v>
      </c>
      <c r="R11" s="198"/>
      <c r="S11" s="198"/>
      <c r="T11" s="198"/>
      <c r="U11" s="198"/>
    </row>
    <row r="12" spans="1:21" s="12" customFormat="1" x14ac:dyDescent="0.25">
      <c r="A12" s="201" t="s">
        <v>247</v>
      </c>
      <c r="B12" s="60">
        <v>4.72</v>
      </c>
      <c r="C12" s="60">
        <v>77.28</v>
      </c>
      <c r="D12" s="60">
        <v>46.85</v>
      </c>
      <c r="E12" s="60">
        <v>5.98</v>
      </c>
      <c r="F12" s="60">
        <v>7.11</v>
      </c>
      <c r="G12" s="60">
        <v>38.97</v>
      </c>
      <c r="H12" s="60">
        <v>34.880000000000003</v>
      </c>
      <c r="I12" s="210" t="s">
        <v>36</v>
      </c>
      <c r="J12" s="60">
        <v>1.75</v>
      </c>
      <c r="K12" s="60">
        <v>13.63</v>
      </c>
      <c r="L12" s="60">
        <v>21.52</v>
      </c>
      <c r="M12" s="60">
        <v>55</v>
      </c>
      <c r="N12" s="60">
        <v>4.5</v>
      </c>
      <c r="O12" s="60">
        <v>0</v>
      </c>
      <c r="P12" s="60">
        <v>1.02</v>
      </c>
      <c r="Q12" s="60">
        <v>28.94</v>
      </c>
      <c r="R12" s="198"/>
      <c r="S12" s="198"/>
      <c r="T12" s="198"/>
      <c r="U12" s="198"/>
    </row>
    <row r="13" spans="1:21" s="12" customFormat="1" x14ac:dyDescent="0.25">
      <c r="A13" s="201" t="s">
        <v>248</v>
      </c>
      <c r="B13" s="60">
        <v>2.94</v>
      </c>
      <c r="C13" s="60">
        <v>77.5</v>
      </c>
      <c r="D13" s="60">
        <v>45.54</v>
      </c>
      <c r="E13" s="60">
        <v>5.92</v>
      </c>
      <c r="F13" s="60">
        <v>6.42</v>
      </c>
      <c r="G13" s="60">
        <v>38.97</v>
      </c>
      <c r="H13" s="60">
        <v>34.880000000000003</v>
      </c>
      <c r="I13" s="210" t="s">
        <v>36</v>
      </c>
      <c r="J13" s="60">
        <v>1.49</v>
      </c>
      <c r="K13" s="60">
        <v>11.53</v>
      </c>
      <c r="L13" s="60">
        <v>21.36</v>
      </c>
      <c r="M13" s="60">
        <v>56</v>
      </c>
      <c r="N13" s="60">
        <v>4.5999999999999996</v>
      </c>
      <c r="O13" s="60">
        <v>0</v>
      </c>
      <c r="P13" s="60">
        <v>0.91</v>
      </c>
      <c r="Q13" s="60">
        <v>29.21</v>
      </c>
      <c r="R13" s="198"/>
      <c r="S13" s="198"/>
      <c r="T13" s="198"/>
      <c r="U13" s="198"/>
    </row>
    <row r="14" spans="1:21" s="12" customFormat="1" x14ac:dyDescent="0.25">
      <c r="A14" s="201" t="s">
        <v>249</v>
      </c>
      <c r="B14" s="60">
        <v>2.09</v>
      </c>
      <c r="C14" s="60">
        <v>73.959999999999994</v>
      </c>
      <c r="D14" s="60">
        <v>42.91</v>
      </c>
      <c r="E14" s="60">
        <v>5.93</v>
      </c>
      <c r="F14" s="60">
        <v>6.55</v>
      </c>
      <c r="G14" s="60">
        <v>44.99</v>
      </c>
      <c r="H14" s="60">
        <v>27.82</v>
      </c>
      <c r="I14" s="210" t="s">
        <v>36</v>
      </c>
      <c r="J14" s="60">
        <v>1.37</v>
      </c>
      <c r="K14" s="60">
        <v>10.88</v>
      </c>
      <c r="L14" s="60">
        <v>21.14</v>
      </c>
      <c r="M14" s="60">
        <v>57</v>
      </c>
      <c r="N14" s="60">
        <v>4.5999999999999996</v>
      </c>
      <c r="O14" s="60">
        <v>0</v>
      </c>
      <c r="P14" s="60">
        <v>0.87</v>
      </c>
      <c r="Q14" s="60">
        <v>28.52</v>
      </c>
      <c r="R14" s="198"/>
      <c r="S14" s="198"/>
      <c r="T14" s="198"/>
      <c r="U14" s="198"/>
    </row>
    <row r="15" spans="1:21" s="12" customFormat="1" x14ac:dyDescent="0.25">
      <c r="A15" s="201" t="s">
        <v>250</v>
      </c>
      <c r="B15" s="60">
        <v>1.66</v>
      </c>
      <c r="C15" s="60">
        <v>73.05</v>
      </c>
      <c r="D15" s="60">
        <v>42.06</v>
      </c>
      <c r="E15" s="60">
        <v>5.48</v>
      </c>
      <c r="F15" s="60">
        <v>6.93</v>
      </c>
      <c r="G15" s="60">
        <v>49.8</v>
      </c>
      <c r="H15" s="60">
        <v>22.18</v>
      </c>
      <c r="I15" s="210" t="s">
        <v>36</v>
      </c>
      <c r="J15" s="60">
        <v>1.26</v>
      </c>
      <c r="K15" s="60">
        <v>11.49</v>
      </c>
      <c r="L15" s="60">
        <v>20.93</v>
      </c>
      <c r="M15" s="60">
        <v>57</v>
      </c>
      <c r="N15" s="60">
        <v>4.5999999999999996</v>
      </c>
      <c r="O15" s="60">
        <v>0</v>
      </c>
      <c r="P15" s="60">
        <v>0.8</v>
      </c>
      <c r="Q15" s="60">
        <v>28.22</v>
      </c>
      <c r="R15" s="198"/>
      <c r="S15" s="198"/>
      <c r="T15" s="198"/>
      <c r="U15" s="198"/>
    </row>
    <row r="16" spans="1:21" s="12" customFormat="1" x14ac:dyDescent="0.25">
      <c r="A16" s="201" t="s">
        <v>251</v>
      </c>
      <c r="B16" s="60">
        <v>1.33</v>
      </c>
      <c r="C16" s="60">
        <v>70.17</v>
      </c>
      <c r="D16" s="60">
        <v>40.200000000000003</v>
      </c>
      <c r="E16" s="60">
        <v>5.3</v>
      </c>
      <c r="F16" s="60">
        <v>6.12</v>
      </c>
      <c r="G16" s="60">
        <v>49.8</v>
      </c>
      <c r="H16" s="60">
        <v>22.18</v>
      </c>
      <c r="I16" s="210" t="s">
        <v>36</v>
      </c>
      <c r="J16" s="60">
        <v>1.1100000000000001</v>
      </c>
      <c r="K16" s="60">
        <v>9.31</v>
      </c>
      <c r="L16" s="60">
        <v>20.74</v>
      </c>
      <c r="M16" s="60">
        <v>58</v>
      </c>
      <c r="N16" s="60">
        <v>4.5999999999999996</v>
      </c>
      <c r="O16" s="60">
        <v>0</v>
      </c>
      <c r="P16" s="60">
        <v>0.75</v>
      </c>
      <c r="Q16" s="60">
        <v>27.97</v>
      </c>
      <c r="R16" s="198"/>
      <c r="S16" s="198"/>
      <c r="T16" s="198"/>
      <c r="U16" s="198"/>
    </row>
    <row r="17" spans="1:21" s="12" customFormat="1" x14ac:dyDescent="0.25">
      <c r="A17" s="201" t="s">
        <v>252</v>
      </c>
      <c r="B17" s="60">
        <v>1.17</v>
      </c>
      <c r="C17" s="60">
        <v>70.25</v>
      </c>
      <c r="D17" s="60">
        <v>40.119999999999997</v>
      </c>
      <c r="E17" s="60">
        <v>5.52</v>
      </c>
      <c r="F17" s="60">
        <v>5.66</v>
      </c>
      <c r="G17" s="60">
        <v>49.8</v>
      </c>
      <c r="H17" s="60">
        <v>22.18</v>
      </c>
      <c r="I17" s="210" t="s">
        <v>36</v>
      </c>
      <c r="J17" s="60">
        <v>1.28</v>
      </c>
      <c r="K17" s="60">
        <v>13.12</v>
      </c>
      <c r="L17" s="60">
        <v>20.51</v>
      </c>
      <c r="M17" s="60">
        <v>58</v>
      </c>
      <c r="N17" s="60">
        <v>4.5</v>
      </c>
      <c r="O17" s="60">
        <v>0</v>
      </c>
      <c r="P17" s="60">
        <v>0.71</v>
      </c>
      <c r="Q17" s="60">
        <v>27.93</v>
      </c>
      <c r="R17" s="198"/>
      <c r="S17" s="198"/>
      <c r="T17" s="198"/>
      <c r="U17" s="198"/>
    </row>
    <row r="18" spans="1:21" s="12" customFormat="1" x14ac:dyDescent="0.25">
      <c r="A18" s="201" t="s">
        <v>253</v>
      </c>
      <c r="B18" s="60">
        <v>1.21</v>
      </c>
      <c r="C18" s="60">
        <v>68.63</v>
      </c>
      <c r="D18" s="60">
        <v>39.26</v>
      </c>
      <c r="E18" s="60">
        <v>4.96</v>
      </c>
      <c r="F18" s="60">
        <v>5.45</v>
      </c>
      <c r="G18" s="60">
        <v>38.75</v>
      </c>
      <c r="H18" s="60">
        <v>21.15</v>
      </c>
      <c r="I18" s="210" t="s">
        <v>36</v>
      </c>
      <c r="J18" s="60">
        <v>1.27</v>
      </c>
      <c r="K18" s="60">
        <v>8.39</v>
      </c>
      <c r="L18" s="60">
        <v>20.329999999999998</v>
      </c>
      <c r="M18" s="60">
        <v>59</v>
      </c>
      <c r="N18" s="60">
        <v>4.5999999999999996</v>
      </c>
      <c r="O18" s="60">
        <v>0</v>
      </c>
      <c r="P18" s="60">
        <v>0.66</v>
      </c>
      <c r="Q18" s="60">
        <v>27.29</v>
      </c>
      <c r="R18" s="198"/>
      <c r="S18" s="198"/>
      <c r="T18" s="198"/>
      <c r="U18" s="198"/>
    </row>
    <row r="19" spans="1:21" s="12" customFormat="1" x14ac:dyDescent="0.25">
      <c r="A19" s="201" t="s">
        <v>254</v>
      </c>
      <c r="B19" s="60">
        <v>1.41</v>
      </c>
      <c r="C19" s="60">
        <v>64.75</v>
      </c>
      <c r="D19" s="60">
        <v>37.28</v>
      </c>
      <c r="E19" s="60">
        <v>5.32</v>
      </c>
      <c r="F19" s="60">
        <v>6.48</v>
      </c>
      <c r="G19" s="60">
        <v>29.9</v>
      </c>
      <c r="H19" s="60">
        <v>20.32</v>
      </c>
      <c r="I19" s="210" t="s">
        <v>36</v>
      </c>
      <c r="J19" s="60">
        <v>1.06</v>
      </c>
      <c r="K19" s="60">
        <v>10.36</v>
      </c>
      <c r="L19" s="60">
        <v>20.14</v>
      </c>
      <c r="M19" s="60">
        <v>60</v>
      </c>
      <c r="N19" s="60">
        <v>4.5</v>
      </c>
      <c r="O19" s="60">
        <v>0</v>
      </c>
      <c r="P19" s="60">
        <v>0.63</v>
      </c>
      <c r="Q19" s="60">
        <v>26.48</v>
      </c>
      <c r="R19" s="198"/>
      <c r="S19" s="198"/>
      <c r="T19" s="198"/>
      <c r="U19" s="198"/>
    </row>
    <row r="20" spans="1:21" s="12" customFormat="1" x14ac:dyDescent="0.25">
      <c r="A20" s="201" t="s">
        <v>255</v>
      </c>
      <c r="B20" s="60">
        <v>1.59</v>
      </c>
      <c r="C20" s="60">
        <v>65.63</v>
      </c>
      <c r="D20" s="60">
        <v>37.909999999999997</v>
      </c>
      <c r="E20" s="60">
        <v>5.14</v>
      </c>
      <c r="F20" s="60">
        <v>5.95</v>
      </c>
      <c r="G20" s="60">
        <v>29.9</v>
      </c>
      <c r="H20" s="60">
        <v>20.32</v>
      </c>
      <c r="I20" s="210" t="s">
        <v>36</v>
      </c>
      <c r="J20" s="60">
        <v>0.88</v>
      </c>
      <c r="K20" s="60">
        <v>9.52</v>
      </c>
      <c r="L20" s="60">
        <v>19.89</v>
      </c>
      <c r="M20" s="60">
        <v>61</v>
      </c>
      <c r="N20" s="60">
        <v>4.5999999999999996</v>
      </c>
      <c r="O20" s="60">
        <v>0</v>
      </c>
      <c r="P20" s="60">
        <v>0.6</v>
      </c>
      <c r="Q20" s="60">
        <v>26.08</v>
      </c>
      <c r="R20" s="198"/>
      <c r="S20" s="198"/>
      <c r="T20" s="198"/>
      <c r="U20" s="198"/>
    </row>
    <row r="21" spans="1:21" s="12" customFormat="1" x14ac:dyDescent="0.25">
      <c r="A21" s="201" t="s">
        <v>256</v>
      </c>
      <c r="B21" s="60">
        <v>1.72</v>
      </c>
      <c r="C21" s="60">
        <v>66.95</v>
      </c>
      <c r="D21" s="60">
        <v>38.74</v>
      </c>
      <c r="E21" s="60">
        <v>5.21</v>
      </c>
      <c r="F21" s="60">
        <v>5.05</v>
      </c>
      <c r="G21" s="60">
        <v>29.9</v>
      </c>
      <c r="H21" s="60">
        <v>20.32</v>
      </c>
      <c r="I21" s="210" t="s">
        <v>36</v>
      </c>
      <c r="J21" s="60">
        <v>0.83</v>
      </c>
      <c r="K21" s="60">
        <v>11</v>
      </c>
      <c r="L21" s="60">
        <v>19.62</v>
      </c>
      <c r="M21" s="60">
        <v>62</v>
      </c>
      <c r="N21" s="60">
        <v>4.4000000000000004</v>
      </c>
      <c r="O21" s="60">
        <v>0</v>
      </c>
      <c r="P21" s="60">
        <v>0.57999999999999996</v>
      </c>
      <c r="Q21" s="60">
        <v>26.06</v>
      </c>
      <c r="R21" s="198"/>
      <c r="S21" s="198"/>
      <c r="T21" s="198"/>
      <c r="U21" s="198"/>
    </row>
    <row r="22" spans="1:21" s="12" customFormat="1" x14ac:dyDescent="0.25">
      <c r="A22" s="201" t="s">
        <v>257</v>
      </c>
      <c r="B22" s="60">
        <v>1.86</v>
      </c>
      <c r="C22" s="60">
        <v>67.209999999999994</v>
      </c>
      <c r="D22" s="60">
        <v>38.99</v>
      </c>
      <c r="E22" s="60">
        <v>5.14</v>
      </c>
      <c r="F22" s="60">
        <v>4.6900000000000004</v>
      </c>
      <c r="G22" s="60">
        <v>30.93</v>
      </c>
      <c r="H22" s="60">
        <v>15.92</v>
      </c>
      <c r="I22" s="210" t="s">
        <v>36</v>
      </c>
      <c r="J22" s="60">
        <v>0.8</v>
      </c>
      <c r="K22" s="60">
        <v>10.99</v>
      </c>
      <c r="L22" s="60">
        <v>19.54</v>
      </c>
      <c r="M22" s="60">
        <v>62</v>
      </c>
      <c r="N22" s="60">
        <v>4.4000000000000004</v>
      </c>
      <c r="O22" s="60">
        <v>0</v>
      </c>
      <c r="P22" s="60">
        <v>0.56000000000000005</v>
      </c>
      <c r="Q22" s="60">
        <v>26.24</v>
      </c>
      <c r="R22" s="198"/>
      <c r="S22" s="198"/>
      <c r="T22" s="198"/>
      <c r="U22" s="198"/>
    </row>
    <row r="23" spans="1:21" s="12" customFormat="1" x14ac:dyDescent="0.25">
      <c r="A23" s="201" t="s">
        <v>258</v>
      </c>
      <c r="B23" s="60">
        <v>1.99</v>
      </c>
      <c r="C23" s="60">
        <v>63.88</v>
      </c>
      <c r="D23" s="60">
        <v>37.270000000000003</v>
      </c>
      <c r="E23" s="60">
        <v>5.96</v>
      </c>
      <c r="F23" s="60">
        <v>5.65</v>
      </c>
      <c r="G23" s="60">
        <v>31.75</v>
      </c>
      <c r="H23" s="60">
        <v>12.4</v>
      </c>
      <c r="I23" s="210" t="s">
        <v>36</v>
      </c>
      <c r="J23" s="60">
        <v>1</v>
      </c>
      <c r="K23" s="60">
        <v>12.24</v>
      </c>
      <c r="L23" s="60">
        <v>19.420000000000002</v>
      </c>
      <c r="M23" s="60">
        <v>62</v>
      </c>
      <c r="N23" s="60">
        <v>4.3</v>
      </c>
      <c r="O23" s="60">
        <v>0</v>
      </c>
      <c r="P23" s="60">
        <v>0.54</v>
      </c>
      <c r="Q23" s="60">
        <v>26.58</v>
      </c>
      <c r="R23" s="198"/>
      <c r="S23" s="198"/>
      <c r="T23" s="198"/>
      <c r="U23" s="198"/>
    </row>
    <row r="24" spans="1:21" s="12" customFormat="1" x14ac:dyDescent="0.25">
      <c r="A24" s="201" t="s">
        <v>259</v>
      </c>
      <c r="B24" s="60">
        <v>2.08</v>
      </c>
      <c r="C24" s="60">
        <v>63.12</v>
      </c>
      <c r="D24" s="60">
        <v>36.92</v>
      </c>
      <c r="E24" s="60">
        <v>4.74</v>
      </c>
      <c r="F24" s="60">
        <v>5.67</v>
      </c>
      <c r="G24" s="60">
        <v>31.75</v>
      </c>
      <c r="H24" s="60">
        <v>12.4</v>
      </c>
      <c r="I24" s="210" t="s">
        <v>36</v>
      </c>
      <c r="J24" s="60">
        <v>1.33</v>
      </c>
      <c r="K24" s="60">
        <v>9.7899999999999991</v>
      </c>
      <c r="L24" s="60">
        <v>19.34</v>
      </c>
      <c r="M24" s="60">
        <v>62</v>
      </c>
      <c r="N24" s="60">
        <v>4.2</v>
      </c>
      <c r="O24" s="60">
        <v>0</v>
      </c>
      <c r="P24" s="60">
        <v>0.53</v>
      </c>
      <c r="Q24" s="60">
        <v>26.88</v>
      </c>
      <c r="R24" s="198"/>
      <c r="S24" s="198"/>
      <c r="T24" s="198"/>
      <c r="U24" s="198"/>
    </row>
    <row r="25" spans="1:21" s="12" customFormat="1" x14ac:dyDescent="0.25">
      <c r="A25" s="201" t="s">
        <v>260</v>
      </c>
      <c r="B25" s="60">
        <v>2.1</v>
      </c>
      <c r="C25" s="60">
        <v>63.24</v>
      </c>
      <c r="D25" s="60">
        <v>37</v>
      </c>
      <c r="E25" s="60">
        <v>6.18</v>
      </c>
      <c r="F25" s="60">
        <v>5.49</v>
      </c>
      <c r="G25" s="60">
        <v>31.75</v>
      </c>
      <c r="H25" s="60">
        <v>12.4</v>
      </c>
      <c r="I25" s="210" t="s">
        <v>36</v>
      </c>
      <c r="J25" s="60">
        <v>1</v>
      </c>
      <c r="K25" s="60">
        <v>12.41</v>
      </c>
      <c r="L25" s="60">
        <v>19.3</v>
      </c>
      <c r="M25" s="60">
        <v>62</v>
      </c>
      <c r="N25" s="60">
        <v>4.4000000000000004</v>
      </c>
      <c r="O25" s="60">
        <v>0</v>
      </c>
      <c r="P25" s="60">
        <v>0.51</v>
      </c>
      <c r="Q25" s="60">
        <v>26.93</v>
      </c>
      <c r="R25" s="198"/>
      <c r="S25" s="198"/>
      <c r="T25" s="198"/>
      <c r="U25" s="198"/>
    </row>
    <row r="26" spans="1:21" s="12" customFormat="1" x14ac:dyDescent="0.25">
      <c r="A26" s="201" t="s">
        <v>261</v>
      </c>
      <c r="B26" s="60">
        <v>2.19</v>
      </c>
      <c r="C26" s="60">
        <v>66.040000000000006</v>
      </c>
      <c r="D26" s="60">
        <v>38.619999999999997</v>
      </c>
      <c r="E26" s="60">
        <v>5.74</v>
      </c>
      <c r="F26" s="60">
        <v>5</v>
      </c>
      <c r="G26" s="60">
        <v>30.73</v>
      </c>
      <c r="H26" s="60">
        <v>14.49</v>
      </c>
      <c r="I26" s="210" t="s">
        <v>36</v>
      </c>
      <c r="J26" s="60">
        <v>0.88</v>
      </c>
      <c r="K26" s="60">
        <v>10.47</v>
      </c>
      <c r="L26" s="60">
        <v>19.23</v>
      </c>
      <c r="M26" s="60">
        <v>61</v>
      </c>
      <c r="N26" s="60">
        <v>4.3</v>
      </c>
      <c r="O26" s="60">
        <v>0</v>
      </c>
      <c r="P26" s="60">
        <v>0.51</v>
      </c>
      <c r="Q26" s="60">
        <v>27.33</v>
      </c>
      <c r="R26" s="198"/>
      <c r="S26" s="198"/>
      <c r="T26" s="198"/>
      <c r="U26" s="198"/>
    </row>
    <row r="27" spans="1:21" s="12" customFormat="1" x14ac:dyDescent="0.25">
      <c r="A27" s="201" t="s">
        <v>262</v>
      </c>
      <c r="B27" s="60">
        <v>2.09</v>
      </c>
      <c r="C27" s="60">
        <v>66.41</v>
      </c>
      <c r="D27" s="60">
        <v>38.74</v>
      </c>
      <c r="E27" s="60">
        <v>6.45</v>
      </c>
      <c r="F27" s="60">
        <v>4.88</v>
      </c>
      <c r="G27" s="60">
        <v>29.91</v>
      </c>
      <c r="H27" s="60">
        <v>16.170000000000002</v>
      </c>
      <c r="I27" s="210" t="s">
        <v>36</v>
      </c>
      <c r="J27" s="60">
        <v>1.01</v>
      </c>
      <c r="K27" s="60">
        <v>11.63</v>
      </c>
      <c r="L27" s="60">
        <v>19.190000000000001</v>
      </c>
      <c r="M27" s="60">
        <v>60</v>
      </c>
      <c r="N27" s="60">
        <v>4.3</v>
      </c>
      <c r="O27" s="60">
        <v>0</v>
      </c>
      <c r="P27" s="60">
        <v>0.48</v>
      </c>
      <c r="Q27" s="60">
        <v>28.24</v>
      </c>
      <c r="R27" s="198"/>
      <c r="S27" s="198"/>
      <c r="T27" s="198"/>
      <c r="U27" s="198"/>
    </row>
    <row r="28" spans="1:21" s="12" customFormat="1" x14ac:dyDescent="0.25">
      <c r="A28" s="201" t="s">
        <v>263</v>
      </c>
      <c r="B28" s="60">
        <v>1.98</v>
      </c>
      <c r="C28" s="60">
        <v>65.959999999999994</v>
      </c>
      <c r="D28" s="60">
        <v>38.4</v>
      </c>
      <c r="E28" s="60">
        <v>6.08</v>
      </c>
      <c r="F28" s="60">
        <v>5.15</v>
      </c>
      <c r="G28" s="60">
        <v>29.91</v>
      </c>
      <c r="H28" s="60">
        <v>16.170000000000002</v>
      </c>
      <c r="I28" s="210" t="s">
        <v>36</v>
      </c>
      <c r="J28" s="60">
        <v>1.1399999999999999</v>
      </c>
      <c r="K28" s="60">
        <v>12.22</v>
      </c>
      <c r="L28" s="60">
        <v>19.21</v>
      </c>
      <c r="M28" s="60">
        <v>59</v>
      </c>
      <c r="N28" s="60">
        <v>4.2</v>
      </c>
      <c r="O28" s="60">
        <v>0</v>
      </c>
      <c r="P28" s="60">
        <v>0.46</v>
      </c>
      <c r="Q28" s="60">
        <v>28.57</v>
      </c>
      <c r="R28" s="198"/>
      <c r="S28" s="198"/>
      <c r="T28" s="198"/>
      <c r="U28" s="198"/>
    </row>
    <row r="29" spans="1:21" s="12" customFormat="1" x14ac:dyDescent="0.25">
      <c r="A29" s="201" t="s">
        <v>264</v>
      </c>
      <c r="B29" s="60">
        <v>1.94</v>
      </c>
      <c r="C29" s="60">
        <v>66.48</v>
      </c>
      <c r="D29" s="60">
        <v>38.659999999999997</v>
      </c>
      <c r="E29" s="60">
        <v>6.07</v>
      </c>
      <c r="F29" s="60">
        <v>5.28</v>
      </c>
      <c r="G29" s="60">
        <v>29.91</v>
      </c>
      <c r="H29" s="60">
        <v>16.170000000000002</v>
      </c>
      <c r="I29" s="210" t="s">
        <v>36</v>
      </c>
      <c r="J29" s="60">
        <v>0.97</v>
      </c>
      <c r="K29" s="60">
        <v>13.13</v>
      </c>
      <c r="L29" s="60">
        <v>19.18</v>
      </c>
      <c r="M29" s="60">
        <v>57</v>
      </c>
      <c r="N29" s="60">
        <v>4.2</v>
      </c>
      <c r="O29" s="60">
        <v>0</v>
      </c>
      <c r="P29" s="60">
        <v>0.46</v>
      </c>
      <c r="Q29" s="60">
        <v>28.49</v>
      </c>
      <c r="R29" s="198"/>
      <c r="S29" s="198"/>
      <c r="T29" s="198"/>
      <c r="U29" s="198"/>
    </row>
    <row r="30" spans="1:21" s="12" customFormat="1" x14ac:dyDescent="0.25">
      <c r="A30" s="201" t="s">
        <v>265</v>
      </c>
      <c r="B30" s="60">
        <v>1.92</v>
      </c>
      <c r="C30" s="60">
        <v>66.959999999999994</v>
      </c>
      <c r="D30" s="60">
        <v>38.909999999999997</v>
      </c>
      <c r="E30" s="60">
        <v>5.86</v>
      </c>
      <c r="F30" s="60">
        <v>5.82</v>
      </c>
      <c r="G30" s="60">
        <v>18.579999999999998</v>
      </c>
      <c r="H30" s="60">
        <v>14.02</v>
      </c>
      <c r="I30" s="210" t="s">
        <v>36</v>
      </c>
      <c r="J30" s="60">
        <v>1.1100000000000001</v>
      </c>
      <c r="K30" s="60">
        <v>14.48</v>
      </c>
      <c r="L30" s="60">
        <v>19.13</v>
      </c>
      <c r="M30" s="60">
        <v>57</v>
      </c>
      <c r="N30" s="60">
        <v>4.4000000000000004</v>
      </c>
      <c r="O30" s="60">
        <v>0</v>
      </c>
      <c r="P30" s="60">
        <v>0.43</v>
      </c>
      <c r="Q30" s="60">
        <v>28.23</v>
      </c>
      <c r="R30" s="198"/>
      <c r="S30" s="198"/>
      <c r="T30" s="198"/>
      <c r="U30" s="198"/>
    </row>
    <row r="31" spans="1:21" s="12" customFormat="1" x14ac:dyDescent="0.25">
      <c r="A31" s="201" t="s">
        <v>266</v>
      </c>
      <c r="B31" s="60">
        <v>2.2400000000000002</v>
      </c>
      <c r="C31" s="60">
        <v>67.989999999999995</v>
      </c>
      <c r="D31" s="60">
        <v>39.729999999999997</v>
      </c>
      <c r="E31" s="60">
        <v>6.37</v>
      </c>
      <c r="F31" s="60">
        <v>4.97</v>
      </c>
      <c r="G31" s="211" t="s">
        <v>43</v>
      </c>
      <c r="H31" s="211" t="s">
        <v>43</v>
      </c>
      <c r="I31" s="210" t="s">
        <v>36</v>
      </c>
      <c r="J31" s="60">
        <v>0.56999999999999995</v>
      </c>
      <c r="K31" s="60">
        <v>45.93</v>
      </c>
      <c r="L31" s="60">
        <v>19</v>
      </c>
      <c r="M31" s="60">
        <v>56</v>
      </c>
      <c r="N31" s="60">
        <v>4.4000000000000004</v>
      </c>
      <c r="O31" s="60">
        <v>0</v>
      </c>
      <c r="P31" s="60">
        <v>0.43</v>
      </c>
      <c r="Q31" s="60">
        <v>28.22</v>
      </c>
      <c r="R31" s="198"/>
      <c r="S31" s="198"/>
      <c r="T31" s="198"/>
      <c r="U31" s="198"/>
    </row>
    <row r="32" spans="1:21" s="12" customFormat="1" x14ac:dyDescent="0.25">
      <c r="A32" s="201" t="s">
        <v>267</v>
      </c>
      <c r="B32" s="60">
        <v>3.21</v>
      </c>
      <c r="C32" s="60">
        <v>70.64</v>
      </c>
      <c r="D32" s="60">
        <v>41.98</v>
      </c>
      <c r="E32" s="60">
        <v>6.52</v>
      </c>
      <c r="F32" s="60">
        <v>4.29</v>
      </c>
      <c r="G32" s="211" t="s">
        <v>43</v>
      </c>
      <c r="H32" s="211" t="s">
        <v>43</v>
      </c>
      <c r="I32" s="210" t="s">
        <v>36</v>
      </c>
      <c r="J32" s="60">
        <v>0.81</v>
      </c>
      <c r="K32" s="60">
        <v>25.87</v>
      </c>
      <c r="L32" s="60">
        <v>18.89</v>
      </c>
      <c r="M32" s="60">
        <v>56</v>
      </c>
      <c r="N32" s="60">
        <v>4.3</v>
      </c>
      <c r="O32" s="60">
        <v>0</v>
      </c>
      <c r="P32" s="60">
        <v>0.42</v>
      </c>
      <c r="Q32" s="60">
        <v>28.35</v>
      </c>
      <c r="R32" s="198"/>
      <c r="S32" s="198"/>
      <c r="T32" s="198"/>
      <c r="U32" s="198"/>
    </row>
    <row r="33" spans="1:21" s="12" customFormat="1" x14ac:dyDescent="0.25">
      <c r="A33" s="201" t="s">
        <v>268</v>
      </c>
      <c r="B33" s="60">
        <v>3.86</v>
      </c>
      <c r="C33" s="60">
        <v>71.67</v>
      </c>
      <c r="D33" s="60">
        <v>43.06</v>
      </c>
      <c r="E33" s="60">
        <v>8.09</v>
      </c>
      <c r="F33" s="60">
        <v>5.56</v>
      </c>
      <c r="G33" s="211" t="s">
        <v>43</v>
      </c>
      <c r="H33" s="211" t="s">
        <v>43</v>
      </c>
      <c r="I33" s="210" t="s">
        <v>36</v>
      </c>
      <c r="J33" s="60">
        <v>1.35</v>
      </c>
      <c r="K33" s="60">
        <v>20.94</v>
      </c>
      <c r="L33" s="60">
        <v>18.920000000000002</v>
      </c>
      <c r="M33" s="60">
        <v>56</v>
      </c>
      <c r="N33" s="60">
        <v>4.0999999999999996</v>
      </c>
      <c r="O33" s="60">
        <v>0</v>
      </c>
      <c r="P33" s="60">
        <v>0.42</v>
      </c>
      <c r="Q33" s="60">
        <v>27.48</v>
      </c>
      <c r="R33" s="198"/>
      <c r="S33" s="198"/>
      <c r="T33" s="198"/>
      <c r="U33" s="198"/>
    </row>
    <row r="34" spans="1:21" s="12" customFormat="1" x14ac:dyDescent="0.25">
      <c r="A34" s="201" t="s">
        <v>269</v>
      </c>
      <c r="B34" s="60">
        <v>4.68</v>
      </c>
      <c r="C34" s="60">
        <v>72.58</v>
      </c>
      <c r="D34" s="60">
        <v>44.22</v>
      </c>
      <c r="E34" s="60">
        <v>7.98</v>
      </c>
      <c r="F34" s="60">
        <v>4.87</v>
      </c>
      <c r="G34" s="60">
        <v>28.07</v>
      </c>
      <c r="H34" s="60">
        <v>13.05</v>
      </c>
      <c r="I34" s="210" t="s">
        <v>36</v>
      </c>
      <c r="J34" s="60">
        <v>1.1299999999999999</v>
      </c>
      <c r="K34" s="60">
        <v>26.56</v>
      </c>
      <c r="L34" s="60">
        <v>18.829999999999998</v>
      </c>
      <c r="M34" s="60">
        <v>56</v>
      </c>
      <c r="N34" s="60">
        <v>5.6</v>
      </c>
      <c r="O34" s="60">
        <v>0</v>
      </c>
      <c r="P34" s="60">
        <v>0.43</v>
      </c>
      <c r="Q34" s="60">
        <v>26.41</v>
      </c>
      <c r="R34" s="198"/>
      <c r="S34" s="198"/>
      <c r="T34" s="198"/>
      <c r="U34" s="198"/>
    </row>
    <row r="35" spans="1:21" s="12" customFormat="1" x14ac:dyDescent="0.25">
      <c r="A35" s="201" t="s">
        <v>270</v>
      </c>
      <c r="B35" s="60">
        <v>5.53</v>
      </c>
      <c r="C35" s="60">
        <v>73.53</v>
      </c>
      <c r="D35" s="60">
        <v>45.43</v>
      </c>
      <c r="E35" s="60">
        <v>6.73</v>
      </c>
      <c r="F35" s="60">
        <v>4.34</v>
      </c>
      <c r="G35" s="60">
        <v>42.92</v>
      </c>
      <c r="H35" s="60">
        <v>13.65</v>
      </c>
      <c r="I35" s="210" t="s">
        <v>36</v>
      </c>
      <c r="J35" s="60">
        <v>0.78</v>
      </c>
      <c r="K35" s="60">
        <v>25.31</v>
      </c>
      <c r="L35" s="60">
        <v>18.66</v>
      </c>
      <c r="M35" s="60">
        <v>56</v>
      </c>
      <c r="N35" s="60">
        <v>9.6</v>
      </c>
      <c r="O35" s="60">
        <v>0</v>
      </c>
      <c r="P35" s="60">
        <v>0.43</v>
      </c>
      <c r="Q35" s="60">
        <v>25.92</v>
      </c>
      <c r="R35" s="198"/>
      <c r="S35" s="198"/>
      <c r="T35" s="198"/>
      <c r="U35" s="198"/>
    </row>
    <row r="36" spans="1:21" s="12" customFormat="1" x14ac:dyDescent="0.25">
      <c r="A36" s="201" t="s">
        <v>271</v>
      </c>
      <c r="B36" s="60">
        <v>6.34</v>
      </c>
      <c r="C36" s="60">
        <v>73.69</v>
      </c>
      <c r="D36" s="60">
        <v>46.17</v>
      </c>
      <c r="E36" s="60">
        <v>6.29</v>
      </c>
      <c r="F36" s="60">
        <v>4.26</v>
      </c>
      <c r="G36" s="60">
        <v>42.92</v>
      </c>
      <c r="H36" s="60">
        <v>13.65</v>
      </c>
      <c r="I36" s="210" t="s">
        <v>36</v>
      </c>
      <c r="J36" s="60">
        <v>0.82</v>
      </c>
      <c r="K36" s="60">
        <v>19.09</v>
      </c>
      <c r="L36" s="60">
        <v>18.63</v>
      </c>
      <c r="M36" s="60">
        <v>55</v>
      </c>
      <c r="N36" s="60">
        <v>17.8</v>
      </c>
      <c r="O36" s="60">
        <v>0</v>
      </c>
      <c r="P36" s="60">
        <v>0.44</v>
      </c>
      <c r="Q36" s="60">
        <v>26.26</v>
      </c>
      <c r="R36" s="198"/>
      <c r="S36" s="198"/>
      <c r="T36" s="198"/>
      <c r="U36" s="198"/>
    </row>
    <row r="37" spans="1:21" s="12" customFormat="1" x14ac:dyDescent="0.25">
      <c r="A37" s="201" t="s">
        <v>272</v>
      </c>
      <c r="B37" s="60">
        <v>7.14</v>
      </c>
      <c r="C37" s="60">
        <v>73.44</v>
      </c>
      <c r="D37" s="60">
        <v>46.68</v>
      </c>
      <c r="E37" s="60">
        <v>6.38</v>
      </c>
      <c r="F37" s="60">
        <v>4.53</v>
      </c>
      <c r="G37" s="60">
        <v>42.92</v>
      </c>
      <c r="H37" s="60">
        <v>13.65</v>
      </c>
      <c r="I37" s="210" t="s">
        <v>36</v>
      </c>
      <c r="J37" s="60">
        <v>0.84</v>
      </c>
      <c r="K37" s="60">
        <v>17.62</v>
      </c>
      <c r="L37" s="60">
        <v>18.78</v>
      </c>
      <c r="M37" s="60">
        <v>55</v>
      </c>
      <c r="N37" s="60">
        <v>27.3</v>
      </c>
      <c r="O37" s="60">
        <v>0</v>
      </c>
      <c r="P37" s="60">
        <v>0.47</v>
      </c>
      <c r="Q37" s="60">
        <v>26.38</v>
      </c>
      <c r="R37" s="198"/>
      <c r="S37" s="198"/>
      <c r="T37" s="198"/>
      <c r="U37" s="198"/>
    </row>
    <row r="38" spans="1:21" s="12" customFormat="1" x14ac:dyDescent="0.25">
      <c r="A38" s="201" t="s">
        <v>273</v>
      </c>
      <c r="B38" s="60">
        <v>7.31</v>
      </c>
      <c r="C38" s="60">
        <v>75.05</v>
      </c>
      <c r="D38" s="60">
        <v>47.69</v>
      </c>
      <c r="E38" s="60">
        <v>5.9</v>
      </c>
      <c r="F38" s="60">
        <v>4.79</v>
      </c>
      <c r="G38" s="60">
        <v>39.64</v>
      </c>
      <c r="H38" s="60">
        <v>16.190000000000001</v>
      </c>
      <c r="I38" s="210" t="s">
        <v>36</v>
      </c>
      <c r="J38" s="60">
        <v>0.93</v>
      </c>
      <c r="K38" s="60">
        <v>19.77</v>
      </c>
      <c r="L38" s="60">
        <v>19.07</v>
      </c>
      <c r="M38" s="60">
        <v>54</v>
      </c>
      <c r="N38" s="60">
        <v>51</v>
      </c>
      <c r="O38" s="60">
        <v>0</v>
      </c>
      <c r="P38" s="60">
        <v>0.51</v>
      </c>
      <c r="Q38" s="60">
        <v>26.25</v>
      </c>
      <c r="R38" s="198"/>
      <c r="S38" s="198"/>
      <c r="T38" s="198"/>
      <c r="U38" s="198"/>
    </row>
    <row r="39" spans="1:21" s="12" customFormat="1" x14ac:dyDescent="0.25">
      <c r="A39" s="201" t="s">
        <v>274</v>
      </c>
      <c r="B39" s="60">
        <v>7.72</v>
      </c>
      <c r="C39" s="60">
        <v>76.34</v>
      </c>
      <c r="D39" s="60">
        <v>48.74</v>
      </c>
      <c r="E39" s="60">
        <v>6.44</v>
      </c>
      <c r="F39" s="60">
        <v>4.75</v>
      </c>
      <c r="G39" s="60">
        <v>37.01</v>
      </c>
      <c r="H39" s="60">
        <v>18.23</v>
      </c>
      <c r="I39" s="210" t="s">
        <v>36</v>
      </c>
      <c r="J39" s="60">
        <v>0.93</v>
      </c>
      <c r="K39" s="60">
        <v>20.58</v>
      </c>
      <c r="L39" s="60">
        <v>19.54</v>
      </c>
      <c r="M39" s="60">
        <v>53</v>
      </c>
      <c r="N39" s="60">
        <v>94.9</v>
      </c>
      <c r="O39" s="60">
        <v>0</v>
      </c>
      <c r="P39" s="60">
        <v>0.53</v>
      </c>
      <c r="Q39" s="60">
        <v>26.18</v>
      </c>
      <c r="R39" s="198"/>
      <c r="S39" s="198"/>
      <c r="T39" s="198"/>
      <c r="U39" s="198"/>
    </row>
    <row r="40" spans="1:21" s="12" customFormat="1" x14ac:dyDescent="0.25">
      <c r="A40" s="201" t="s">
        <v>275</v>
      </c>
      <c r="B40" s="60">
        <v>8.86</v>
      </c>
      <c r="C40" s="60">
        <v>77.72</v>
      </c>
      <c r="D40" s="60">
        <v>50.41</v>
      </c>
      <c r="E40" s="60">
        <v>4.12</v>
      </c>
      <c r="F40" s="60">
        <v>4.4000000000000004</v>
      </c>
      <c r="G40" s="60">
        <v>37.01</v>
      </c>
      <c r="H40" s="60">
        <v>18.23</v>
      </c>
      <c r="I40" s="210" t="s">
        <v>36</v>
      </c>
      <c r="J40" s="60">
        <v>0.75</v>
      </c>
      <c r="K40" s="60">
        <v>41.37</v>
      </c>
      <c r="L40" s="60">
        <v>20.34</v>
      </c>
      <c r="M40" s="60">
        <v>50</v>
      </c>
      <c r="N40" s="60">
        <v>142.80000000000001</v>
      </c>
      <c r="O40" s="60">
        <v>0</v>
      </c>
      <c r="P40" s="60">
        <v>0.55000000000000004</v>
      </c>
      <c r="Q40" s="60">
        <v>26.47</v>
      </c>
      <c r="R40" s="198"/>
      <c r="S40" s="198"/>
      <c r="T40" s="198"/>
      <c r="U40" s="198"/>
    </row>
    <row r="41" spans="1:21" s="12" customFormat="1" x14ac:dyDescent="0.25">
      <c r="A41" s="201" t="s">
        <v>276</v>
      </c>
      <c r="B41" s="60">
        <v>9.0299999999999994</v>
      </c>
      <c r="C41" s="60">
        <v>79.16</v>
      </c>
      <c r="D41" s="60">
        <v>51.35</v>
      </c>
      <c r="E41" s="60">
        <v>5.79</v>
      </c>
      <c r="F41" s="60">
        <v>4.12</v>
      </c>
      <c r="G41" s="60">
        <v>37.01</v>
      </c>
      <c r="H41" s="60">
        <v>18.23</v>
      </c>
      <c r="I41" s="210" t="s">
        <v>36</v>
      </c>
      <c r="J41" s="60">
        <v>0.8</v>
      </c>
      <c r="K41" s="60">
        <v>50.52</v>
      </c>
      <c r="L41" s="60">
        <v>21.2</v>
      </c>
      <c r="M41" s="60">
        <v>48</v>
      </c>
      <c r="N41" s="60">
        <v>216.3</v>
      </c>
      <c r="O41" s="60">
        <v>0</v>
      </c>
      <c r="P41" s="60">
        <v>0.56999999999999995</v>
      </c>
      <c r="Q41" s="60">
        <v>27.91</v>
      </c>
      <c r="R41" s="198"/>
      <c r="S41" s="198"/>
      <c r="T41" s="198"/>
      <c r="U41" s="198"/>
    </row>
    <row r="42" spans="1:21" s="12" customFormat="1" x14ac:dyDescent="0.25">
      <c r="A42" s="201" t="s">
        <v>277</v>
      </c>
      <c r="B42" s="60">
        <v>8.89</v>
      </c>
      <c r="C42" s="60">
        <v>80.42</v>
      </c>
      <c r="D42" s="60">
        <v>51.93</v>
      </c>
      <c r="E42" s="60">
        <v>5.66</v>
      </c>
      <c r="F42" s="60">
        <v>3.95</v>
      </c>
      <c r="G42" s="60">
        <v>43.27</v>
      </c>
      <c r="H42" s="60">
        <v>17.21</v>
      </c>
      <c r="I42" s="210" t="s">
        <v>36</v>
      </c>
      <c r="J42" s="60">
        <v>0.62</v>
      </c>
      <c r="K42" s="60">
        <v>57.95</v>
      </c>
      <c r="L42" s="60">
        <v>21.8</v>
      </c>
      <c r="M42" s="60">
        <v>47</v>
      </c>
      <c r="N42" s="60">
        <v>233.5</v>
      </c>
      <c r="O42" s="60">
        <v>0</v>
      </c>
      <c r="P42" s="60">
        <v>0.57999999999999996</v>
      </c>
      <c r="Q42" s="60">
        <v>28.23</v>
      </c>
      <c r="R42" s="198"/>
      <c r="S42" s="198"/>
      <c r="T42" s="198"/>
      <c r="U42" s="198"/>
    </row>
    <row r="43" spans="1:21" s="12" customFormat="1" x14ac:dyDescent="0.25">
      <c r="A43" s="201" t="s">
        <v>278</v>
      </c>
      <c r="B43" s="60">
        <v>9</v>
      </c>
      <c r="C43" s="60">
        <v>81.37</v>
      </c>
      <c r="D43" s="60">
        <v>52.54</v>
      </c>
      <c r="E43" s="60">
        <v>5.51</v>
      </c>
      <c r="F43" s="60">
        <v>3.93</v>
      </c>
      <c r="G43" s="60">
        <v>48.27</v>
      </c>
      <c r="H43" s="60">
        <v>16.399999999999999</v>
      </c>
      <c r="I43" s="210" t="s">
        <v>36</v>
      </c>
      <c r="J43" s="60">
        <v>0.48</v>
      </c>
      <c r="K43" s="60">
        <v>65.41</v>
      </c>
      <c r="L43" s="60">
        <v>22.52</v>
      </c>
      <c r="M43" s="60">
        <v>46</v>
      </c>
      <c r="N43" s="60">
        <v>299.60000000000002</v>
      </c>
      <c r="O43" s="60">
        <v>0</v>
      </c>
      <c r="P43" s="60">
        <v>0.57999999999999996</v>
      </c>
      <c r="Q43" s="60">
        <v>28.47</v>
      </c>
      <c r="R43" s="198"/>
      <c r="S43" s="198"/>
      <c r="T43" s="198"/>
      <c r="U43" s="198"/>
    </row>
    <row r="44" spans="1:21" s="12" customFormat="1" x14ac:dyDescent="0.25">
      <c r="A44" s="201" t="s">
        <v>279</v>
      </c>
      <c r="B44" s="60">
        <v>9.16</v>
      </c>
      <c r="C44" s="60">
        <v>82.32</v>
      </c>
      <c r="D44" s="60">
        <v>53.19</v>
      </c>
      <c r="E44" s="60">
        <v>5.69</v>
      </c>
      <c r="F44" s="60">
        <v>3.95</v>
      </c>
      <c r="G44" s="60">
        <v>48.27</v>
      </c>
      <c r="H44" s="60">
        <v>16.399999999999999</v>
      </c>
      <c r="I44" s="210" t="s">
        <v>36</v>
      </c>
      <c r="J44" s="60">
        <v>0.64</v>
      </c>
      <c r="K44" s="60">
        <v>63.82</v>
      </c>
      <c r="L44" s="60">
        <v>23.28</v>
      </c>
      <c r="M44" s="60">
        <v>44</v>
      </c>
      <c r="N44" s="60">
        <v>361.9</v>
      </c>
      <c r="O44" s="60">
        <v>0</v>
      </c>
      <c r="P44" s="60">
        <v>0.59</v>
      </c>
      <c r="Q44" s="60">
        <v>28.85</v>
      </c>
      <c r="R44" s="198"/>
      <c r="S44" s="198"/>
      <c r="T44" s="198"/>
      <c r="U44" s="198"/>
    </row>
    <row r="45" spans="1:21" s="12" customFormat="1" x14ac:dyDescent="0.25">
      <c r="A45" s="201" t="s">
        <v>280</v>
      </c>
      <c r="B45" s="60">
        <v>9.92</v>
      </c>
      <c r="C45" s="60">
        <v>83.71</v>
      </c>
      <c r="D45" s="60">
        <v>54.56</v>
      </c>
      <c r="E45" s="60">
        <v>5.65</v>
      </c>
      <c r="F45" s="60">
        <v>4</v>
      </c>
      <c r="G45" s="60">
        <v>48.27</v>
      </c>
      <c r="H45" s="60">
        <v>16.399999999999999</v>
      </c>
      <c r="I45" s="210" t="s">
        <v>36</v>
      </c>
      <c r="J45" s="60">
        <v>1.41</v>
      </c>
      <c r="K45" s="60">
        <v>18.25</v>
      </c>
      <c r="L45" s="60">
        <v>25.46</v>
      </c>
      <c r="M45" s="60">
        <v>39</v>
      </c>
      <c r="N45" s="60">
        <v>376</v>
      </c>
      <c r="O45" s="60">
        <v>0</v>
      </c>
      <c r="P45" s="60">
        <v>0.62</v>
      </c>
      <c r="Q45" s="60">
        <v>28.98</v>
      </c>
      <c r="R45" s="198"/>
      <c r="S45" s="198"/>
      <c r="T45" s="198"/>
      <c r="U45" s="198"/>
    </row>
    <row r="46" spans="1:21" s="12" customFormat="1" x14ac:dyDescent="0.25">
      <c r="A46" s="201" t="s">
        <v>281</v>
      </c>
      <c r="B46" s="60">
        <v>9.58</v>
      </c>
      <c r="C46" s="60">
        <v>85.33</v>
      </c>
      <c r="D46" s="60">
        <v>55.19</v>
      </c>
      <c r="E46" s="60">
        <v>5.21</v>
      </c>
      <c r="F46" s="60">
        <v>4.07</v>
      </c>
      <c r="G46" s="60">
        <v>44.34</v>
      </c>
      <c r="H46" s="60">
        <v>16.489999999999998</v>
      </c>
      <c r="I46" s="210" t="s">
        <v>36</v>
      </c>
      <c r="J46" s="60">
        <v>1.1499999999999999</v>
      </c>
      <c r="K46" s="60">
        <v>15.96</v>
      </c>
      <c r="L46" s="60">
        <v>26.71</v>
      </c>
      <c r="M46" s="60">
        <v>36</v>
      </c>
      <c r="N46" s="60">
        <v>430.6</v>
      </c>
      <c r="O46" s="60">
        <v>0</v>
      </c>
      <c r="P46" s="60">
        <v>0.63</v>
      </c>
      <c r="Q46" s="60">
        <v>28.61</v>
      </c>
      <c r="R46" s="198"/>
      <c r="S46" s="198"/>
      <c r="T46" s="198"/>
      <c r="U46" s="198"/>
    </row>
    <row r="47" spans="1:21" s="12" customFormat="1" x14ac:dyDescent="0.25">
      <c r="A47" s="201" t="s">
        <v>282</v>
      </c>
      <c r="B47" s="60">
        <v>8.89</v>
      </c>
      <c r="C47" s="60">
        <v>86.04</v>
      </c>
      <c r="D47" s="60">
        <v>55.03</v>
      </c>
      <c r="E47" s="60">
        <v>5.53</v>
      </c>
      <c r="F47" s="60">
        <v>4.6900000000000004</v>
      </c>
      <c r="G47" s="60">
        <v>41.19</v>
      </c>
      <c r="H47" s="60">
        <v>16.57</v>
      </c>
      <c r="I47" s="210" t="s">
        <v>36</v>
      </c>
      <c r="J47" s="60">
        <v>1.05</v>
      </c>
      <c r="K47" s="60">
        <v>12.75</v>
      </c>
      <c r="L47" s="60">
        <v>27.8</v>
      </c>
      <c r="M47" s="60">
        <v>35</v>
      </c>
      <c r="N47" s="60">
        <v>433.6</v>
      </c>
      <c r="O47" s="60">
        <v>0</v>
      </c>
      <c r="P47" s="60">
        <v>0.64</v>
      </c>
      <c r="Q47" s="60">
        <v>27.97</v>
      </c>
      <c r="R47" s="198"/>
      <c r="S47" s="198"/>
      <c r="T47" s="198"/>
      <c r="U47" s="198"/>
    </row>
    <row r="48" spans="1:21" s="12" customFormat="1" x14ac:dyDescent="0.25">
      <c r="A48" s="201" t="s">
        <v>283</v>
      </c>
      <c r="B48" s="60">
        <v>8.83</v>
      </c>
      <c r="C48" s="60">
        <v>84.88</v>
      </c>
      <c r="D48" s="60">
        <v>54.34</v>
      </c>
      <c r="E48" s="60">
        <v>6.05</v>
      </c>
      <c r="F48" s="60">
        <v>5.2</v>
      </c>
      <c r="G48" s="60">
        <v>41.19</v>
      </c>
      <c r="H48" s="60">
        <v>16.57</v>
      </c>
      <c r="I48" s="210" t="s">
        <v>36</v>
      </c>
      <c r="J48" s="60">
        <v>1.44</v>
      </c>
      <c r="K48" s="60">
        <v>19.41</v>
      </c>
      <c r="L48" s="60">
        <v>28.15</v>
      </c>
      <c r="M48" s="60">
        <v>34</v>
      </c>
      <c r="N48" s="60">
        <v>485.9</v>
      </c>
      <c r="O48" s="60">
        <v>0</v>
      </c>
      <c r="P48" s="60">
        <v>0.66</v>
      </c>
      <c r="Q48" s="60">
        <v>27.42</v>
      </c>
      <c r="R48" s="198"/>
      <c r="S48" s="198"/>
      <c r="T48" s="198"/>
      <c r="U48" s="198"/>
    </row>
    <row r="49" spans="1:21" s="12" customFormat="1" x14ac:dyDescent="0.25">
      <c r="A49" s="201" t="s">
        <v>284</v>
      </c>
      <c r="B49" s="60">
        <v>9.76</v>
      </c>
      <c r="C49" s="60">
        <v>87.08</v>
      </c>
      <c r="D49" s="60">
        <v>56.3</v>
      </c>
      <c r="E49" s="60">
        <v>7.22</v>
      </c>
      <c r="F49" s="60">
        <v>4.7</v>
      </c>
      <c r="G49" s="60">
        <v>41.19</v>
      </c>
      <c r="H49" s="60">
        <v>16.57</v>
      </c>
      <c r="I49" s="210" t="s">
        <v>36</v>
      </c>
      <c r="J49" s="60">
        <v>0.94</v>
      </c>
      <c r="K49" s="60">
        <v>28.8</v>
      </c>
      <c r="L49" s="60">
        <v>28.23</v>
      </c>
      <c r="M49" s="60">
        <v>34</v>
      </c>
      <c r="N49" s="60">
        <v>500.3</v>
      </c>
      <c r="O49" s="60">
        <v>0</v>
      </c>
      <c r="P49" s="60">
        <v>0.67</v>
      </c>
      <c r="Q49" s="60">
        <v>26.89</v>
      </c>
      <c r="R49" s="198"/>
      <c r="S49" s="198"/>
      <c r="T49" s="198"/>
      <c r="U49" s="198"/>
    </row>
    <row r="50" spans="1:21" s="12" customFormat="1" x14ac:dyDescent="0.25">
      <c r="A50" s="201" t="s">
        <v>285</v>
      </c>
      <c r="B50" s="60">
        <v>10.33</v>
      </c>
      <c r="C50" s="60">
        <v>86.11</v>
      </c>
      <c r="D50" s="60">
        <v>56.22</v>
      </c>
      <c r="E50" s="60">
        <v>6.9</v>
      </c>
      <c r="F50" s="60">
        <v>4.9400000000000004</v>
      </c>
      <c r="G50" s="60">
        <v>40.340000000000003</v>
      </c>
      <c r="H50" s="60">
        <v>16.66</v>
      </c>
      <c r="I50" s="210" t="s">
        <v>36</v>
      </c>
      <c r="J50" s="60">
        <v>0.89</v>
      </c>
      <c r="K50" s="60">
        <v>80.37</v>
      </c>
      <c r="L50" s="60">
        <v>26.46</v>
      </c>
      <c r="M50" s="60">
        <v>37</v>
      </c>
      <c r="N50" s="60">
        <v>521.4</v>
      </c>
      <c r="O50" s="60">
        <v>0</v>
      </c>
      <c r="P50" s="60">
        <v>0.68</v>
      </c>
      <c r="Q50" s="60">
        <v>26.95</v>
      </c>
      <c r="R50" s="198"/>
      <c r="S50" s="198"/>
      <c r="T50" s="198"/>
      <c r="U50" s="198"/>
    </row>
    <row r="51" spans="1:21" s="12" customFormat="1" x14ac:dyDescent="0.25">
      <c r="A51" s="201" t="s">
        <v>286</v>
      </c>
      <c r="B51" s="60">
        <v>10.07</v>
      </c>
      <c r="C51" s="60">
        <v>83.79</v>
      </c>
      <c r="D51" s="60">
        <v>54.73</v>
      </c>
      <c r="E51" s="60">
        <v>7</v>
      </c>
      <c r="F51" s="60">
        <v>4.9800000000000004</v>
      </c>
      <c r="G51" s="60">
        <v>39.65</v>
      </c>
      <c r="H51" s="60">
        <v>16.73</v>
      </c>
      <c r="I51" s="210" t="s">
        <v>36</v>
      </c>
      <c r="J51" s="60">
        <v>0.86</v>
      </c>
      <c r="K51" s="60">
        <v>90.75</v>
      </c>
      <c r="L51" s="60">
        <v>26.38</v>
      </c>
      <c r="M51" s="60">
        <v>38</v>
      </c>
      <c r="N51" s="60">
        <v>550</v>
      </c>
      <c r="O51" s="60">
        <v>0</v>
      </c>
      <c r="P51" s="60">
        <v>0.68</v>
      </c>
      <c r="Q51" s="60">
        <v>27.48</v>
      </c>
      <c r="R51" s="198"/>
      <c r="S51" s="198"/>
      <c r="T51" s="198"/>
      <c r="U51" s="198"/>
    </row>
    <row r="52" spans="1:21" s="12" customFormat="1" x14ac:dyDescent="0.25">
      <c r="A52" s="201" t="s">
        <v>287</v>
      </c>
      <c r="B52" s="60">
        <v>10.55</v>
      </c>
      <c r="C52" s="60">
        <v>86.31</v>
      </c>
      <c r="D52" s="60">
        <v>56.5</v>
      </c>
      <c r="E52" s="60">
        <v>7.27</v>
      </c>
      <c r="F52" s="60">
        <v>4.74</v>
      </c>
      <c r="G52" s="60">
        <v>39.65</v>
      </c>
      <c r="H52" s="60">
        <v>16.73</v>
      </c>
      <c r="I52" s="210" t="s">
        <v>36</v>
      </c>
      <c r="J52" s="60">
        <v>1.1399999999999999</v>
      </c>
      <c r="K52" s="60">
        <v>33.14</v>
      </c>
      <c r="L52" s="60">
        <v>28.46</v>
      </c>
      <c r="M52" s="60">
        <v>33</v>
      </c>
      <c r="N52" s="60">
        <v>568.79999999999995</v>
      </c>
      <c r="O52" s="60">
        <v>0</v>
      </c>
      <c r="P52" s="60">
        <v>0.68</v>
      </c>
      <c r="Q52" s="60">
        <v>28.1</v>
      </c>
      <c r="R52" s="198"/>
      <c r="S52" s="198"/>
      <c r="T52" s="198"/>
      <c r="U52" s="198"/>
    </row>
    <row r="53" spans="1:21" s="12" customFormat="1" x14ac:dyDescent="0.25">
      <c r="A53" s="201" t="s">
        <v>288</v>
      </c>
      <c r="B53" s="60">
        <v>10.58</v>
      </c>
      <c r="C53" s="60">
        <v>88.54</v>
      </c>
      <c r="D53" s="60">
        <v>57.77</v>
      </c>
      <c r="E53" s="60">
        <v>9.2899999999999991</v>
      </c>
      <c r="F53" s="60">
        <v>5.77</v>
      </c>
      <c r="G53" s="60">
        <v>39.65</v>
      </c>
      <c r="H53" s="60">
        <v>16.73</v>
      </c>
      <c r="I53" s="210" t="s">
        <v>36</v>
      </c>
      <c r="J53" s="60">
        <v>1.22</v>
      </c>
      <c r="K53" s="60">
        <v>25.17</v>
      </c>
      <c r="L53" s="60">
        <v>29.43</v>
      </c>
      <c r="M53" s="60">
        <v>31</v>
      </c>
      <c r="N53" s="60">
        <v>583.9</v>
      </c>
      <c r="O53" s="60">
        <v>0</v>
      </c>
      <c r="P53" s="60">
        <v>0.68</v>
      </c>
      <c r="Q53" s="60">
        <v>28.25</v>
      </c>
      <c r="R53" s="198"/>
      <c r="S53" s="198"/>
      <c r="T53" s="198"/>
      <c r="U53" s="198"/>
    </row>
    <row r="54" spans="1:21" s="12" customFormat="1" x14ac:dyDescent="0.25">
      <c r="A54" s="201" t="s">
        <v>289</v>
      </c>
      <c r="B54" s="60">
        <v>11.32</v>
      </c>
      <c r="C54" s="60">
        <v>87.17</v>
      </c>
      <c r="D54" s="60">
        <v>57.6</v>
      </c>
      <c r="E54" s="60">
        <v>9.02</v>
      </c>
      <c r="F54" s="60">
        <v>5.62</v>
      </c>
      <c r="G54" s="60">
        <v>37.869999999999997</v>
      </c>
      <c r="H54" s="60">
        <v>17.29</v>
      </c>
      <c r="I54" s="210" t="s">
        <v>36</v>
      </c>
      <c r="J54" s="60">
        <v>0.8</v>
      </c>
      <c r="K54" s="60">
        <v>59.73</v>
      </c>
      <c r="L54" s="60">
        <v>28.46</v>
      </c>
      <c r="M54" s="60">
        <v>32</v>
      </c>
      <c r="N54" s="60">
        <v>622.1</v>
      </c>
      <c r="O54" s="60">
        <v>0</v>
      </c>
      <c r="P54" s="60">
        <v>0.68</v>
      </c>
      <c r="Q54" s="60">
        <v>28.34</v>
      </c>
      <c r="R54" s="198"/>
      <c r="S54" s="198"/>
      <c r="T54" s="198"/>
      <c r="U54" s="198"/>
    </row>
    <row r="55" spans="1:21" s="12" customFormat="1" x14ac:dyDescent="0.25">
      <c r="A55" s="201" t="s">
        <v>290</v>
      </c>
      <c r="B55" s="60">
        <v>10.57</v>
      </c>
      <c r="C55" s="60">
        <v>88.44</v>
      </c>
      <c r="D55" s="60">
        <v>57.7</v>
      </c>
      <c r="E55" s="60">
        <v>6.92</v>
      </c>
      <c r="F55" s="60">
        <v>4.91</v>
      </c>
      <c r="G55" s="60">
        <v>36.44</v>
      </c>
      <c r="H55" s="60">
        <v>17.75</v>
      </c>
      <c r="I55" s="210" t="s">
        <v>36</v>
      </c>
      <c r="J55" s="60">
        <v>0.65</v>
      </c>
      <c r="K55" s="60">
        <v>71.680000000000007</v>
      </c>
      <c r="L55" s="60">
        <v>29.02</v>
      </c>
      <c r="M55" s="60">
        <v>30</v>
      </c>
      <c r="N55" s="60">
        <v>650.20000000000005</v>
      </c>
      <c r="O55" s="60">
        <v>0</v>
      </c>
      <c r="P55" s="60">
        <v>0.69</v>
      </c>
      <c r="Q55" s="60">
        <v>29.54</v>
      </c>
      <c r="R55" s="198"/>
      <c r="S55" s="198"/>
      <c r="T55" s="198"/>
      <c r="U55" s="198"/>
    </row>
    <row r="56" spans="1:21" s="12" customFormat="1" x14ac:dyDescent="0.25">
      <c r="A56" s="201" t="s">
        <v>291</v>
      </c>
      <c r="B56" s="60">
        <v>8.7200000000000006</v>
      </c>
      <c r="C56" s="60">
        <v>86.24</v>
      </c>
      <c r="D56" s="60">
        <v>55</v>
      </c>
      <c r="E56" s="60">
        <v>4.24</v>
      </c>
      <c r="F56" s="60">
        <v>5.03</v>
      </c>
      <c r="G56" s="60">
        <v>36.44</v>
      </c>
      <c r="H56" s="60">
        <v>17.75</v>
      </c>
      <c r="I56" s="210" t="s">
        <v>36</v>
      </c>
      <c r="J56" s="60">
        <v>1.21</v>
      </c>
      <c r="K56" s="60">
        <v>98.2</v>
      </c>
      <c r="L56" s="60">
        <v>27.79</v>
      </c>
      <c r="M56" s="60">
        <v>32</v>
      </c>
      <c r="N56" s="60">
        <v>654.4</v>
      </c>
      <c r="O56" s="60">
        <v>0</v>
      </c>
      <c r="P56" s="60">
        <v>0.67</v>
      </c>
      <c r="Q56" s="60">
        <v>30.5</v>
      </c>
      <c r="R56" s="198"/>
      <c r="S56" s="198"/>
      <c r="T56" s="198"/>
      <c r="U56" s="198"/>
    </row>
    <row r="57" spans="1:21" s="12" customFormat="1" x14ac:dyDescent="0.25">
      <c r="A57" s="201" t="s">
        <v>292</v>
      </c>
      <c r="B57" s="60">
        <v>7.3</v>
      </c>
      <c r="C57" s="60">
        <v>87.68</v>
      </c>
      <c r="D57" s="60">
        <v>54.65</v>
      </c>
      <c r="E57" s="60">
        <v>5.48</v>
      </c>
      <c r="F57" s="60">
        <v>4.8</v>
      </c>
      <c r="G57" s="60">
        <v>36.44</v>
      </c>
      <c r="H57" s="60">
        <v>17.75</v>
      </c>
      <c r="I57" s="210" t="s">
        <v>36</v>
      </c>
      <c r="J57" s="60">
        <v>1.01</v>
      </c>
      <c r="K57" s="60">
        <v>91.78</v>
      </c>
      <c r="L57" s="60">
        <v>27.85</v>
      </c>
      <c r="M57" s="60">
        <v>31</v>
      </c>
      <c r="N57" s="60">
        <v>638.29999999999995</v>
      </c>
      <c r="O57" s="60">
        <v>0</v>
      </c>
      <c r="P57" s="60">
        <v>0.66</v>
      </c>
      <c r="Q57" s="60">
        <v>30.9</v>
      </c>
      <c r="R57" s="198"/>
      <c r="S57" s="198"/>
      <c r="T57" s="198"/>
      <c r="U57" s="198"/>
    </row>
    <row r="58" spans="1:21" s="12" customFormat="1" x14ac:dyDescent="0.25">
      <c r="A58" s="201" t="s">
        <v>293</v>
      </c>
      <c r="B58" s="60">
        <v>5.8</v>
      </c>
      <c r="C58" s="60">
        <v>86.78</v>
      </c>
      <c r="D58" s="60">
        <v>52.96</v>
      </c>
      <c r="E58" s="60">
        <v>5.75</v>
      </c>
      <c r="F58" s="60">
        <v>5.94</v>
      </c>
      <c r="G58" s="60">
        <v>37.35</v>
      </c>
      <c r="H58" s="60">
        <v>17.489999999999998</v>
      </c>
      <c r="I58" s="210" t="s">
        <v>36</v>
      </c>
      <c r="J58" s="60">
        <v>0.69</v>
      </c>
      <c r="K58" s="60">
        <v>47.56</v>
      </c>
      <c r="L58" s="60">
        <v>28.87</v>
      </c>
      <c r="M58" s="60">
        <v>29</v>
      </c>
      <c r="N58" s="60">
        <v>605.4</v>
      </c>
      <c r="O58" s="60">
        <v>0</v>
      </c>
      <c r="P58" s="60">
        <v>0.65</v>
      </c>
      <c r="Q58" s="60">
        <v>30.86</v>
      </c>
      <c r="R58" s="198"/>
      <c r="S58" s="198"/>
      <c r="T58" s="198"/>
      <c r="U58" s="198"/>
    </row>
    <row r="59" spans="1:21" s="12" customFormat="1" x14ac:dyDescent="0.25">
      <c r="A59" s="201" t="s">
        <v>294</v>
      </c>
      <c r="B59" s="60">
        <v>5.15</v>
      </c>
      <c r="C59" s="60">
        <v>88.51</v>
      </c>
      <c r="D59" s="60">
        <v>53.39</v>
      </c>
      <c r="E59" s="60">
        <v>5.98</v>
      </c>
      <c r="F59" s="60">
        <v>5.45</v>
      </c>
      <c r="G59" s="60">
        <v>38.08</v>
      </c>
      <c r="H59" s="60">
        <v>17.29</v>
      </c>
      <c r="I59" s="210" t="s">
        <v>36</v>
      </c>
      <c r="J59" s="60">
        <v>1.1299999999999999</v>
      </c>
      <c r="K59" s="60">
        <v>18.21</v>
      </c>
      <c r="L59" s="60">
        <v>31.44</v>
      </c>
      <c r="M59" s="60">
        <v>24</v>
      </c>
      <c r="N59" s="60">
        <v>599.4</v>
      </c>
      <c r="O59" s="60">
        <v>0</v>
      </c>
      <c r="P59" s="60">
        <v>0.66</v>
      </c>
      <c r="Q59" s="60">
        <v>30.83</v>
      </c>
      <c r="R59" s="198"/>
      <c r="S59" s="198"/>
      <c r="T59" s="198"/>
      <c r="U59" s="198"/>
    </row>
    <row r="60" spans="1:21" s="12" customFormat="1" x14ac:dyDescent="0.25">
      <c r="A60" s="201" t="s">
        <v>295</v>
      </c>
      <c r="B60" s="60">
        <v>4.7</v>
      </c>
      <c r="C60" s="60">
        <v>88.38</v>
      </c>
      <c r="D60" s="60">
        <v>52.96</v>
      </c>
      <c r="E60" s="60">
        <v>6.47</v>
      </c>
      <c r="F60" s="60">
        <v>5.76</v>
      </c>
      <c r="G60" s="60">
        <v>38.08</v>
      </c>
      <c r="H60" s="60">
        <v>17.29</v>
      </c>
      <c r="I60" s="210" t="s">
        <v>36</v>
      </c>
      <c r="J60" s="60">
        <v>0.81</v>
      </c>
      <c r="K60" s="60">
        <v>46.34</v>
      </c>
      <c r="L60" s="60">
        <v>30.69</v>
      </c>
      <c r="M60" s="60">
        <v>25</v>
      </c>
      <c r="N60" s="60">
        <v>556.9</v>
      </c>
      <c r="O60" s="60">
        <v>0</v>
      </c>
      <c r="P60" s="60">
        <v>0.66</v>
      </c>
      <c r="Q60" s="60">
        <v>30.91</v>
      </c>
      <c r="R60" s="198"/>
      <c r="S60" s="198"/>
      <c r="T60" s="198"/>
      <c r="U60" s="198"/>
    </row>
    <row r="61" spans="1:21" s="12" customFormat="1" x14ac:dyDescent="0.25">
      <c r="A61" s="201" t="s">
        <v>296</v>
      </c>
      <c r="B61" s="60">
        <v>4.3899999999999997</v>
      </c>
      <c r="C61" s="60">
        <v>88.29</v>
      </c>
      <c r="D61" s="60">
        <v>52.66</v>
      </c>
      <c r="E61" s="60">
        <v>6.32</v>
      </c>
      <c r="F61" s="60">
        <v>6.11</v>
      </c>
      <c r="G61" s="60">
        <v>38.08</v>
      </c>
      <c r="H61" s="60">
        <v>17.29</v>
      </c>
      <c r="I61" s="210" t="s">
        <v>36</v>
      </c>
      <c r="J61" s="60">
        <v>0.7</v>
      </c>
      <c r="K61" s="60">
        <v>43.72</v>
      </c>
      <c r="L61" s="60">
        <v>30.96</v>
      </c>
      <c r="M61" s="60">
        <v>25</v>
      </c>
      <c r="N61" s="60">
        <v>542.4</v>
      </c>
      <c r="O61" s="60">
        <v>0</v>
      </c>
      <c r="P61" s="60">
        <v>0.66</v>
      </c>
      <c r="Q61" s="60">
        <v>31.08</v>
      </c>
      <c r="R61" s="198"/>
      <c r="S61" s="198"/>
      <c r="T61" s="198"/>
      <c r="U61" s="198"/>
    </row>
    <row r="62" spans="1:21" s="12" customFormat="1" x14ac:dyDescent="0.25">
      <c r="A62" s="201" t="s">
        <v>297</v>
      </c>
      <c r="B62" s="60">
        <v>5.83</v>
      </c>
      <c r="C62" s="60">
        <v>84.45</v>
      </c>
      <c r="D62" s="60">
        <v>51.7</v>
      </c>
      <c r="E62" s="60">
        <v>9.52</v>
      </c>
      <c r="F62" s="60">
        <v>11.23</v>
      </c>
      <c r="G62" s="60">
        <v>38.74</v>
      </c>
      <c r="H62" s="60">
        <v>16.100000000000001</v>
      </c>
      <c r="I62" s="210" t="s">
        <v>36</v>
      </c>
      <c r="J62" s="60">
        <v>0.99</v>
      </c>
      <c r="K62" s="60">
        <v>26.93</v>
      </c>
      <c r="L62" s="60">
        <v>30.93</v>
      </c>
      <c r="M62" s="60">
        <v>23</v>
      </c>
      <c r="N62" s="60">
        <v>505.4</v>
      </c>
      <c r="O62" s="60">
        <v>0</v>
      </c>
      <c r="P62" s="60">
        <v>0.69</v>
      </c>
      <c r="Q62" s="60">
        <v>30.45</v>
      </c>
      <c r="R62" s="198"/>
      <c r="S62" s="198"/>
      <c r="T62" s="198"/>
      <c r="U62" s="198"/>
    </row>
    <row r="63" spans="1:21" s="12" customFormat="1" x14ac:dyDescent="0.25">
      <c r="A63" s="201" t="s">
        <v>298</v>
      </c>
      <c r="B63" s="60">
        <v>5.12</v>
      </c>
      <c r="C63" s="60">
        <v>85.7</v>
      </c>
      <c r="D63" s="60">
        <v>51.82</v>
      </c>
      <c r="E63" s="60">
        <v>7.24</v>
      </c>
      <c r="F63" s="60">
        <v>6.29</v>
      </c>
      <c r="G63" s="60">
        <v>39.270000000000003</v>
      </c>
      <c r="H63" s="60">
        <v>15.14</v>
      </c>
      <c r="I63" s="210" t="s">
        <v>36</v>
      </c>
      <c r="J63" s="60">
        <v>1.69</v>
      </c>
      <c r="K63" s="60">
        <v>13.67</v>
      </c>
      <c r="L63" s="60">
        <v>32.369999999999997</v>
      </c>
      <c r="M63" s="60">
        <v>20</v>
      </c>
      <c r="N63" s="60">
        <v>485.9</v>
      </c>
      <c r="O63" s="60">
        <v>0</v>
      </c>
      <c r="P63" s="60">
        <v>0.69</v>
      </c>
      <c r="Q63" s="60">
        <v>28.73</v>
      </c>
      <c r="R63" s="198"/>
      <c r="S63" s="198"/>
      <c r="T63" s="198"/>
      <c r="U63" s="198"/>
    </row>
    <row r="64" spans="1:21" s="12" customFormat="1" x14ac:dyDescent="0.25">
      <c r="A64" s="201" t="s">
        <v>299</v>
      </c>
      <c r="B64" s="60">
        <v>5.07</v>
      </c>
      <c r="C64" s="60">
        <v>87.27</v>
      </c>
      <c r="D64" s="60">
        <v>52.65</v>
      </c>
      <c r="E64" s="60">
        <v>7.97</v>
      </c>
      <c r="F64" s="60">
        <v>8.58</v>
      </c>
      <c r="G64" s="60">
        <v>39.270000000000003</v>
      </c>
      <c r="H64" s="60">
        <v>15.14</v>
      </c>
      <c r="I64" s="210" t="s">
        <v>36</v>
      </c>
      <c r="J64" s="60">
        <v>1.6</v>
      </c>
      <c r="K64" s="60">
        <v>13.87</v>
      </c>
      <c r="L64" s="60">
        <v>32.61</v>
      </c>
      <c r="M64" s="60">
        <v>19</v>
      </c>
      <c r="N64" s="60">
        <v>461.2</v>
      </c>
      <c r="O64" s="60">
        <v>0</v>
      </c>
      <c r="P64" s="60">
        <v>0.68</v>
      </c>
      <c r="Q64" s="60">
        <v>27.91</v>
      </c>
      <c r="R64" s="198"/>
      <c r="S64" s="198"/>
      <c r="T64" s="198"/>
      <c r="U64" s="198"/>
    </row>
    <row r="65" spans="1:21" s="12" customFormat="1" x14ac:dyDescent="0.25">
      <c r="A65" s="201" t="s">
        <v>300</v>
      </c>
      <c r="B65" s="60">
        <v>5.4</v>
      </c>
      <c r="C65" s="60">
        <v>81.209999999999994</v>
      </c>
      <c r="D65" s="60">
        <v>49.56</v>
      </c>
      <c r="E65" s="60">
        <v>9.4499999999999993</v>
      </c>
      <c r="F65" s="60">
        <v>10.37</v>
      </c>
      <c r="G65" s="60">
        <v>39.270000000000003</v>
      </c>
      <c r="H65" s="60">
        <v>15.14</v>
      </c>
      <c r="I65" s="210" t="s">
        <v>36</v>
      </c>
      <c r="J65" s="60">
        <v>1.28</v>
      </c>
      <c r="K65" s="60">
        <v>22.37</v>
      </c>
      <c r="L65" s="60">
        <v>31.95</v>
      </c>
      <c r="M65" s="60">
        <v>20</v>
      </c>
      <c r="N65" s="60">
        <v>430</v>
      </c>
      <c r="O65" s="60">
        <v>0</v>
      </c>
      <c r="P65" s="60">
        <v>0.68</v>
      </c>
      <c r="Q65" s="60">
        <v>27.82</v>
      </c>
      <c r="R65" s="198"/>
      <c r="S65" s="198"/>
      <c r="T65" s="198"/>
      <c r="U65" s="198"/>
    </row>
    <row r="66" spans="1:21" s="12" customFormat="1" x14ac:dyDescent="0.25">
      <c r="A66" s="201" t="s">
        <v>301</v>
      </c>
      <c r="B66" s="60">
        <v>8</v>
      </c>
      <c r="C66" s="60">
        <v>80.87</v>
      </c>
      <c r="D66" s="60">
        <v>51.46</v>
      </c>
      <c r="E66" s="60">
        <v>10.63</v>
      </c>
      <c r="F66" s="60">
        <v>10.97</v>
      </c>
      <c r="G66" s="60">
        <v>53.34</v>
      </c>
      <c r="H66" s="60">
        <v>15.21</v>
      </c>
      <c r="I66" s="210" t="s">
        <v>36</v>
      </c>
      <c r="J66" s="60">
        <v>1.17</v>
      </c>
      <c r="K66" s="60">
        <v>17.52</v>
      </c>
      <c r="L66" s="60">
        <v>31.51</v>
      </c>
      <c r="M66" s="60">
        <v>21</v>
      </c>
      <c r="N66" s="60">
        <v>406.4</v>
      </c>
      <c r="O66" s="60">
        <v>0</v>
      </c>
      <c r="P66" s="60">
        <v>0.69</v>
      </c>
      <c r="Q66" s="60">
        <v>27.71</v>
      </c>
      <c r="R66" s="198"/>
      <c r="S66" s="198"/>
      <c r="T66" s="198"/>
      <c r="U66" s="198"/>
    </row>
    <row r="67" spans="1:21" s="12" customFormat="1" x14ac:dyDescent="0.25">
      <c r="A67" s="201" t="s">
        <v>302</v>
      </c>
      <c r="B67" s="60">
        <v>7.72</v>
      </c>
      <c r="C67" s="60">
        <v>81.5</v>
      </c>
      <c r="D67" s="60">
        <v>51.59</v>
      </c>
      <c r="E67" s="60">
        <v>13.05</v>
      </c>
      <c r="F67" s="60">
        <v>11.57</v>
      </c>
      <c r="G67" s="60">
        <v>64.59</v>
      </c>
      <c r="H67" s="60">
        <v>15.26</v>
      </c>
      <c r="I67" s="210" t="s">
        <v>36</v>
      </c>
      <c r="J67" s="60">
        <v>1.04</v>
      </c>
      <c r="K67" s="60">
        <v>19.57</v>
      </c>
      <c r="L67" s="60">
        <v>31.34</v>
      </c>
      <c r="M67" s="60">
        <v>20</v>
      </c>
      <c r="N67" s="60">
        <v>384.3</v>
      </c>
      <c r="O67" s="60">
        <v>0</v>
      </c>
      <c r="P67" s="60">
        <v>0.7</v>
      </c>
      <c r="Q67" s="60">
        <v>27.55</v>
      </c>
      <c r="R67" s="198"/>
      <c r="S67" s="198"/>
      <c r="T67" s="198"/>
      <c r="U67" s="198"/>
    </row>
    <row r="68" spans="1:21" s="12" customFormat="1" x14ac:dyDescent="0.25">
      <c r="A68" s="201" t="s">
        <v>303</v>
      </c>
      <c r="B68" s="60">
        <v>6.87</v>
      </c>
      <c r="C68" s="60">
        <v>76.69</v>
      </c>
      <c r="D68" s="60">
        <v>48.25</v>
      </c>
      <c r="E68" s="60">
        <v>10.24</v>
      </c>
      <c r="F68" s="60">
        <v>11.38</v>
      </c>
      <c r="G68" s="60">
        <v>64.59</v>
      </c>
      <c r="H68" s="60">
        <v>15.26</v>
      </c>
      <c r="I68" s="210" t="s">
        <v>36</v>
      </c>
      <c r="J68" s="60">
        <v>1.44</v>
      </c>
      <c r="K68" s="60">
        <v>24.82</v>
      </c>
      <c r="L68" s="60">
        <v>30.85</v>
      </c>
      <c r="M68" s="60">
        <v>21</v>
      </c>
      <c r="N68" s="60">
        <v>279.60000000000002</v>
      </c>
      <c r="O68" s="60">
        <v>0</v>
      </c>
      <c r="P68" s="60">
        <v>0.69</v>
      </c>
      <c r="Q68" s="60">
        <v>27.65</v>
      </c>
      <c r="R68" s="198"/>
      <c r="S68" s="198"/>
      <c r="T68" s="198"/>
      <c r="U68" s="198"/>
    </row>
    <row r="69" spans="1:21" s="12" customFormat="1" x14ac:dyDescent="0.25">
      <c r="A69" s="201" t="s">
        <v>304</v>
      </c>
      <c r="B69" s="60">
        <v>5.83</v>
      </c>
      <c r="C69" s="60">
        <v>81.540000000000006</v>
      </c>
      <c r="D69" s="60">
        <v>50.09</v>
      </c>
      <c r="E69" s="60">
        <v>6.79</v>
      </c>
      <c r="F69" s="60">
        <v>5.21</v>
      </c>
      <c r="G69" s="60">
        <v>64.59</v>
      </c>
      <c r="H69" s="60">
        <v>15.26</v>
      </c>
      <c r="I69" s="210" t="s">
        <v>36</v>
      </c>
      <c r="J69" s="60">
        <v>1.6</v>
      </c>
      <c r="K69" s="60">
        <v>7.64</v>
      </c>
      <c r="L69" s="60">
        <v>31.29</v>
      </c>
      <c r="M69" s="60">
        <v>20</v>
      </c>
      <c r="N69" s="60">
        <v>204</v>
      </c>
      <c r="O69" s="60">
        <v>0</v>
      </c>
      <c r="P69" s="60">
        <v>0.7</v>
      </c>
      <c r="Q69" s="60">
        <v>28.27</v>
      </c>
      <c r="R69" s="198"/>
      <c r="S69" s="198"/>
      <c r="T69" s="198"/>
      <c r="U69" s="198"/>
    </row>
    <row r="70" spans="1:21" s="12" customFormat="1" x14ac:dyDescent="0.25">
      <c r="A70" s="201" t="s">
        <v>305</v>
      </c>
      <c r="B70" s="60">
        <v>5.73</v>
      </c>
      <c r="C70" s="60">
        <v>85.75</v>
      </c>
      <c r="D70" s="60">
        <v>52.34</v>
      </c>
      <c r="E70" s="60">
        <v>5.51</v>
      </c>
      <c r="F70" s="60">
        <v>5.86</v>
      </c>
      <c r="G70" s="60">
        <v>58.03</v>
      </c>
      <c r="H70" s="60">
        <v>15.83</v>
      </c>
      <c r="I70" s="210" t="s">
        <v>36</v>
      </c>
      <c r="J70" s="60">
        <v>1.7</v>
      </c>
      <c r="K70" s="60">
        <v>3.18</v>
      </c>
      <c r="L70" s="60">
        <v>30.98</v>
      </c>
      <c r="M70" s="60">
        <v>20</v>
      </c>
      <c r="N70" s="60">
        <v>151.4</v>
      </c>
      <c r="O70" s="60">
        <v>0</v>
      </c>
      <c r="P70" s="60">
        <v>0.68</v>
      </c>
      <c r="Q70" s="60">
        <v>28.84</v>
      </c>
      <c r="R70" s="198"/>
      <c r="S70" s="198"/>
      <c r="T70" s="198"/>
      <c r="U70" s="198"/>
    </row>
    <row r="71" spans="1:21" s="12" customFormat="1" x14ac:dyDescent="0.25">
      <c r="A71" s="201" t="s">
        <v>306</v>
      </c>
      <c r="B71" s="60">
        <v>4.54</v>
      </c>
      <c r="C71" s="60">
        <v>85.54</v>
      </c>
      <c r="D71" s="60">
        <v>51.26</v>
      </c>
      <c r="E71" s="60">
        <v>6.17</v>
      </c>
      <c r="F71" s="60">
        <v>6.84</v>
      </c>
      <c r="G71" s="60">
        <v>52.77</v>
      </c>
      <c r="H71" s="60">
        <v>16.29</v>
      </c>
      <c r="I71" s="210" t="s">
        <v>36</v>
      </c>
      <c r="J71" s="60">
        <v>0.91</v>
      </c>
      <c r="K71" s="60">
        <v>18.21</v>
      </c>
      <c r="L71" s="60">
        <v>30.43</v>
      </c>
      <c r="M71" s="60">
        <v>21</v>
      </c>
      <c r="N71" s="60">
        <v>147.1</v>
      </c>
      <c r="O71" s="60">
        <v>0</v>
      </c>
      <c r="P71" s="60">
        <v>0.67</v>
      </c>
      <c r="Q71" s="60">
        <v>28.77</v>
      </c>
      <c r="R71" s="198"/>
      <c r="S71" s="198"/>
      <c r="T71" s="198"/>
      <c r="U71" s="198"/>
    </row>
    <row r="72" spans="1:21" s="12" customFormat="1" x14ac:dyDescent="0.25">
      <c r="A72" s="201" t="s">
        <v>307</v>
      </c>
      <c r="B72" s="60">
        <v>4.08</v>
      </c>
      <c r="C72" s="60">
        <v>85.34</v>
      </c>
      <c r="D72" s="60">
        <v>50.79</v>
      </c>
      <c r="E72" s="60">
        <v>4.25</v>
      </c>
      <c r="F72" s="60">
        <v>6.25</v>
      </c>
      <c r="G72" s="60">
        <v>52.77</v>
      </c>
      <c r="H72" s="60">
        <v>16.29</v>
      </c>
      <c r="I72" s="210" t="s">
        <v>36</v>
      </c>
      <c r="J72" s="60">
        <v>1.26</v>
      </c>
      <c r="K72" s="60">
        <v>33.17</v>
      </c>
      <c r="L72" s="60">
        <v>30.08</v>
      </c>
      <c r="M72" s="60">
        <v>22</v>
      </c>
      <c r="N72" s="60">
        <v>114.8</v>
      </c>
      <c r="O72" s="60">
        <v>0</v>
      </c>
      <c r="P72" s="60">
        <v>0.67</v>
      </c>
      <c r="Q72" s="60">
        <v>28.83</v>
      </c>
      <c r="R72" s="198"/>
      <c r="S72" s="198"/>
      <c r="T72" s="198"/>
      <c r="U72" s="198"/>
    </row>
    <row r="73" spans="1:21" s="12" customFormat="1" x14ac:dyDescent="0.25">
      <c r="A73" s="201" t="s">
        <v>308</v>
      </c>
      <c r="B73" s="60">
        <v>4.26</v>
      </c>
      <c r="C73" s="60">
        <v>85.53</v>
      </c>
      <c r="D73" s="60">
        <v>51.03</v>
      </c>
      <c r="E73" s="60">
        <v>5.38</v>
      </c>
      <c r="F73" s="60">
        <v>5.96</v>
      </c>
      <c r="G73" s="60">
        <v>52.77</v>
      </c>
      <c r="H73" s="60">
        <v>16.29</v>
      </c>
      <c r="I73" s="210" t="s">
        <v>36</v>
      </c>
      <c r="J73" s="60">
        <v>0.94</v>
      </c>
      <c r="K73" s="60">
        <v>17.46</v>
      </c>
      <c r="L73" s="60">
        <v>29.37</v>
      </c>
      <c r="M73" s="60">
        <v>24</v>
      </c>
      <c r="N73" s="60">
        <v>106.8</v>
      </c>
      <c r="O73" s="60">
        <v>0</v>
      </c>
      <c r="P73" s="60">
        <v>0.68</v>
      </c>
      <c r="Q73" s="60">
        <v>28.98</v>
      </c>
      <c r="R73" s="198"/>
      <c r="S73" s="198"/>
      <c r="T73" s="198"/>
      <c r="U73" s="198"/>
    </row>
    <row r="74" spans="1:21" s="12" customFormat="1" x14ac:dyDescent="0.25">
      <c r="A74" s="201" t="s">
        <v>309</v>
      </c>
      <c r="B74" s="60">
        <v>5.0599999999999996</v>
      </c>
      <c r="C74" s="60">
        <v>85.14</v>
      </c>
      <c r="D74" s="60">
        <v>51.46</v>
      </c>
      <c r="E74" s="60">
        <v>5.56</v>
      </c>
      <c r="F74" s="60">
        <v>6.23</v>
      </c>
      <c r="G74" s="60">
        <v>52.72</v>
      </c>
      <c r="H74" s="60">
        <v>17.88</v>
      </c>
      <c r="I74" s="210" t="s">
        <v>36</v>
      </c>
      <c r="J74" s="60">
        <v>0.64</v>
      </c>
      <c r="K74" s="60">
        <v>24.02</v>
      </c>
      <c r="L74" s="60">
        <v>28.92</v>
      </c>
      <c r="M74" s="60">
        <v>25</v>
      </c>
      <c r="N74" s="60">
        <v>81.2</v>
      </c>
      <c r="O74" s="60">
        <v>0</v>
      </c>
      <c r="P74" s="60">
        <v>0.69</v>
      </c>
      <c r="Q74" s="60">
        <v>28.96</v>
      </c>
      <c r="R74" s="198"/>
      <c r="S74" s="198"/>
      <c r="T74" s="198"/>
      <c r="U74" s="198"/>
    </row>
    <row r="75" spans="1:21" s="12" customFormat="1" x14ac:dyDescent="0.25">
      <c r="A75" s="201" t="s">
        <v>310</v>
      </c>
      <c r="B75" s="60">
        <v>6.22</v>
      </c>
      <c r="C75" s="60">
        <v>86.39</v>
      </c>
      <c r="D75" s="60">
        <v>53.08</v>
      </c>
      <c r="E75" s="60">
        <v>5.26</v>
      </c>
      <c r="F75" s="60">
        <v>6.06</v>
      </c>
      <c r="G75" s="60">
        <v>52.67</v>
      </c>
      <c r="H75" s="60">
        <v>19.16</v>
      </c>
      <c r="I75" s="210" t="s">
        <v>36</v>
      </c>
      <c r="J75" s="60">
        <v>0.48</v>
      </c>
      <c r="K75" s="60">
        <v>22.13</v>
      </c>
      <c r="L75" s="60">
        <v>28.57</v>
      </c>
      <c r="M75" s="60">
        <v>26</v>
      </c>
      <c r="N75" s="60">
        <v>59.9</v>
      </c>
      <c r="O75" s="60">
        <v>0</v>
      </c>
      <c r="P75" s="60">
        <v>0.73</v>
      </c>
      <c r="Q75" s="60">
        <v>29.29</v>
      </c>
      <c r="R75" s="198"/>
      <c r="S75" s="198"/>
      <c r="T75" s="198"/>
      <c r="U75" s="198"/>
    </row>
    <row r="76" spans="1:21" s="12" customFormat="1" x14ac:dyDescent="0.25">
      <c r="A76" s="201" t="s">
        <v>311</v>
      </c>
      <c r="B76" s="60">
        <v>10.92</v>
      </c>
      <c r="C76" s="60">
        <v>84.08</v>
      </c>
      <c r="D76" s="60">
        <v>55.57</v>
      </c>
      <c r="E76" s="60">
        <v>8.83</v>
      </c>
      <c r="F76" s="60">
        <v>14.5</v>
      </c>
      <c r="G76" s="60">
        <v>52.67</v>
      </c>
      <c r="H76" s="60">
        <v>19.16</v>
      </c>
      <c r="I76" s="210" t="s">
        <v>36</v>
      </c>
      <c r="J76" s="60">
        <v>0.48</v>
      </c>
      <c r="K76" s="60">
        <v>17.649999999999999</v>
      </c>
      <c r="L76" s="60">
        <v>28.07</v>
      </c>
      <c r="M76" s="60">
        <v>27</v>
      </c>
      <c r="N76" s="60">
        <v>49.5</v>
      </c>
      <c r="O76" s="60">
        <v>0</v>
      </c>
      <c r="P76" s="60">
        <v>0.83</v>
      </c>
      <c r="Q76" s="60">
        <v>28.99</v>
      </c>
      <c r="R76" s="198"/>
      <c r="S76" s="198"/>
      <c r="T76" s="198"/>
      <c r="U76" s="198"/>
    </row>
    <row r="77" spans="1:21" s="12" customFormat="1" x14ac:dyDescent="0.25">
      <c r="A77" s="201" t="s">
        <v>312</v>
      </c>
      <c r="B77" s="60">
        <v>13.05</v>
      </c>
      <c r="C77" s="60">
        <v>90.16</v>
      </c>
      <c r="D77" s="60">
        <v>60.64</v>
      </c>
      <c r="E77" s="60">
        <v>10.07</v>
      </c>
      <c r="F77" s="60">
        <v>8.6300000000000008</v>
      </c>
      <c r="G77" s="60">
        <v>52.67</v>
      </c>
      <c r="H77" s="60">
        <v>19.16</v>
      </c>
      <c r="I77" s="210" t="s">
        <v>36</v>
      </c>
      <c r="J77" s="60">
        <v>0.57999999999999996</v>
      </c>
      <c r="K77" s="60">
        <v>22.36</v>
      </c>
      <c r="L77" s="60">
        <v>27.48</v>
      </c>
      <c r="M77" s="60">
        <v>28</v>
      </c>
      <c r="N77" s="60">
        <v>35.299999999999997</v>
      </c>
      <c r="O77" s="60">
        <v>0</v>
      </c>
      <c r="P77" s="60">
        <v>0.84</v>
      </c>
      <c r="Q77" s="60">
        <v>28.38</v>
      </c>
      <c r="R77" s="198"/>
      <c r="S77" s="198"/>
      <c r="T77" s="198"/>
      <c r="U77" s="198"/>
    </row>
    <row r="78" spans="1:21" s="12" customFormat="1" x14ac:dyDescent="0.25">
      <c r="A78" s="201" t="s">
        <v>313</v>
      </c>
      <c r="B78" s="60">
        <v>13.59</v>
      </c>
      <c r="C78" s="60">
        <v>88.34</v>
      </c>
      <c r="D78" s="60">
        <v>60.07</v>
      </c>
      <c r="E78" s="60">
        <v>10.92</v>
      </c>
      <c r="F78" s="60">
        <v>10.09</v>
      </c>
      <c r="G78" s="60">
        <v>51.75</v>
      </c>
      <c r="H78" s="60">
        <v>19.989999999999998</v>
      </c>
      <c r="I78" s="210" t="s">
        <v>36</v>
      </c>
      <c r="J78" s="60">
        <v>0.45</v>
      </c>
      <c r="K78" s="60">
        <v>29.67</v>
      </c>
      <c r="L78" s="60">
        <v>26.88</v>
      </c>
      <c r="M78" s="60">
        <v>29</v>
      </c>
      <c r="N78" s="60">
        <v>22.2</v>
      </c>
      <c r="O78" s="60">
        <v>0</v>
      </c>
      <c r="P78" s="60">
        <v>0.89</v>
      </c>
      <c r="Q78" s="60">
        <v>28.61</v>
      </c>
      <c r="R78" s="198"/>
      <c r="S78" s="198"/>
      <c r="T78" s="198"/>
      <c r="U78" s="198"/>
    </row>
    <row r="79" spans="1:21" s="12" customFormat="1" x14ac:dyDescent="0.25">
      <c r="A79" s="201" t="s">
        <v>314</v>
      </c>
      <c r="B79" s="60">
        <v>12.23</v>
      </c>
      <c r="C79" s="60">
        <v>91.92</v>
      </c>
      <c r="D79" s="60">
        <v>60.95</v>
      </c>
      <c r="E79" s="60">
        <v>9.19</v>
      </c>
      <c r="F79" s="60">
        <v>8.42</v>
      </c>
      <c r="G79" s="60">
        <v>51.01</v>
      </c>
      <c r="H79" s="60">
        <v>20.65</v>
      </c>
      <c r="I79" s="210" t="s">
        <v>36</v>
      </c>
      <c r="J79" s="60">
        <v>0.18</v>
      </c>
      <c r="K79" s="60">
        <v>91.51</v>
      </c>
      <c r="L79" s="60">
        <v>26.3</v>
      </c>
      <c r="M79" s="60">
        <v>30</v>
      </c>
      <c r="N79" s="60">
        <v>11.6</v>
      </c>
      <c r="O79" s="60">
        <v>0</v>
      </c>
      <c r="P79" s="60">
        <v>0.92</v>
      </c>
      <c r="Q79" s="60">
        <v>29.4</v>
      </c>
      <c r="R79" s="198"/>
      <c r="S79" s="198"/>
      <c r="T79" s="198"/>
      <c r="U79" s="198"/>
    </row>
    <row r="80" spans="1:21" s="12" customFormat="1" x14ac:dyDescent="0.25">
      <c r="A80" s="201" t="s">
        <v>315</v>
      </c>
      <c r="B80" s="60">
        <v>16.52</v>
      </c>
      <c r="C80" s="60">
        <v>99.34</v>
      </c>
      <c r="D80" s="60">
        <v>68.48</v>
      </c>
      <c r="E80" s="60">
        <v>6.76</v>
      </c>
      <c r="F80" s="60">
        <v>6.66</v>
      </c>
      <c r="G80" s="60">
        <v>51.01</v>
      </c>
      <c r="H80" s="60">
        <v>20.65</v>
      </c>
      <c r="I80" s="210" t="s">
        <v>36</v>
      </c>
      <c r="J80" s="60">
        <v>0.04</v>
      </c>
      <c r="K80" s="60">
        <v>227.66</v>
      </c>
      <c r="L80" s="60">
        <v>25.41</v>
      </c>
      <c r="M80" s="60">
        <v>33</v>
      </c>
      <c r="N80" s="60">
        <v>6.3</v>
      </c>
      <c r="O80" s="60">
        <v>0</v>
      </c>
      <c r="P80" s="60">
        <v>0.95</v>
      </c>
      <c r="Q80" s="60">
        <v>30.17</v>
      </c>
      <c r="R80" s="198"/>
      <c r="S80" s="198"/>
      <c r="T80" s="198"/>
      <c r="U80" s="198"/>
    </row>
    <row r="81" spans="1:26" s="12" customFormat="1" x14ac:dyDescent="0.25">
      <c r="A81" s="201" t="s">
        <v>316</v>
      </c>
      <c r="B81" s="60">
        <v>28.52</v>
      </c>
      <c r="C81" s="60">
        <v>108.98</v>
      </c>
      <c r="D81" s="60">
        <v>83.43</v>
      </c>
      <c r="E81" s="60">
        <v>6.6</v>
      </c>
      <c r="F81" s="60">
        <v>4.28</v>
      </c>
      <c r="G81" s="60">
        <v>51.01</v>
      </c>
      <c r="H81" s="60">
        <v>20.65</v>
      </c>
      <c r="I81" s="210" t="s">
        <v>36</v>
      </c>
      <c r="J81" s="60">
        <v>0.08</v>
      </c>
      <c r="K81" s="60">
        <v>345.47</v>
      </c>
      <c r="L81" s="60">
        <v>24.45</v>
      </c>
      <c r="M81" s="60">
        <v>38</v>
      </c>
      <c r="N81" s="60">
        <v>4.7</v>
      </c>
      <c r="O81" s="60">
        <v>0</v>
      </c>
      <c r="P81" s="60">
        <v>1.06</v>
      </c>
      <c r="Q81" s="60">
        <v>29.74</v>
      </c>
      <c r="R81" s="198"/>
      <c r="S81" s="198"/>
      <c r="T81" s="198"/>
      <c r="U81" s="198"/>
    </row>
    <row r="82" spans="1:26" s="12" customFormat="1" x14ac:dyDescent="0.25">
      <c r="A82" s="201" t="s">
        <v>317</v>
      </c>
      <c r="B82" s="60">
        <v>24.95</v>
      </c>
      <c r="C82" s="60">
        <v>104.72</v>
      </c>
      <c r="D82" s="60">
        <v>78.209999999999994</v>
      </c>
      <c r="E82" s="60">
        <v>6.02</v>
      </c>
      <c r="F82" s="60">
        <v>3.61</v>
      </c>
      <c r="G82" s="60">
        <v>70.239999999999995</v>
      </c>
      <c r="H82" s="60">
        <v>24.38</v>
      </c>
      <c r="I82" s="210" t="s">
        <v>36</v>
      </c>
      <c r="J82" s="60">
        <v>0.1</v>
      </c>
      <c r="K82" s="60">
        <v>136.29</v>
      </c>
      <c r="L82" s="60">
        <v>23.79</v>
      </c>
      <c r="M82" s="60">
        <v>40</v>
      </c>
      <c r="N82" s="60">
        <v>4.5999999999999996</v>
      </c>
      <c r="O82" s="60">
        <v>0</v>
      </c>
      <c r="P82" s="60">
        <v>0.99</v>
      </c>
      <c r="Q82" s="60">
        <v>30.84</v>
      </c>
      <c r="R82" s="198"/>
      <c r="S82" s="198"/>
      <c r="T82" s="198"/>
      <c r="U82" s="198"/>
    </row>
    <row r="83" spans="1:26" s="12" customFormat="1" x14ac:dyDescent="0.25">
      <c r="A83" s="201" t="s">
        <v>318</v>
      </c>
      <c r="B83" s="60">
        <v>26.95</v>
      </c>
      <c r="C83" s="60">
        <v>102.96</v>
      </c>
      <c r="D83" s="60">
        <v>78.849999999999994</v>
      </c>
      <c r="E83" s="60">
        <v>5.77</v>
      </c>
      <c r="F83" s="60">
        <v>3.58</v>
      </c>
      <c r="G83" s="60">
        <v>85.63</v>
      </c>
      <c r="H83" s="60">
        <v>27.36</v>
      </c>
      <c r="I83" s="210" t="s">
        <v>36</v>
      </c>
      <c r="J83" s="60">
        <v>0.11</v>
      </c>
      <c r="K83" s="60">
        <v>342</v>
      </c>
      <c r="L83" s="60">
        <v>23.27</v>
      </c>
      <c r="M83" s="60">
        <v>40</v>
      </c>
      <c r="N83" s="60">
        <v>4.5</v>
      </c>
      <c r="O83" s="60">
        <v>0</v>
      </c>
      <c r="P83" s="60">
        <v>1.01</v>
      </c>
      <c r="Q83" s="60">
        <v>32.29</v>
      </c>
      <c r="R83" s="198"/>
      <c r="S83" s="198"/>
      <c r="T83" s="198"/>
      <c r="U83" s="198"/>
    </row>
    <row r="84" spans="1:26" s="12" customFormat="1" x14ac:dyDescent="0.25">
      <c r="A84" s="201" t="s">
        <v>319</v>
      </c>
      <c r="B84" s="60">
        <v>26.69</v>
      </c>
      <c r="C84" s="60">
        <v>100.83</v>
      </c>
      <c r="D84" s="60">
        <v>77.47</v>
      </c>
      <c r="E84" s="60">
        <v>5.35</v>
      </c>
      <c r="F84" s="60">
        <v>3.72</v>
      </c>
      <c r="G84" s="60">
        <v>85.63</v>
      </c>
      <c r="H84" s="60">
        <v>27.36</v>
      </c>
      <c r="I84" s="210" t="s">
        <v>36</v>
      </c>
      <c r="J84" s="60">
        <v>0.15</v>
      </c>
      <c r="K84" s="60">
        <v>14.46</v>
      </c>
      <c r="L84" s="60">
        <v>22.8</v>
      </c>
      <c r="M84" s="60">
        <v>48</v>
      </c>
      <c r="N84" s="60">
        <v>4.5</v>
      </c>
      <c r="O84" s="60">
        <v>0</v>
      </c>
      <c r="P84" s="60">
        <v>1.1000000000000001</v>
      </c>
      <c r="Q84" s="60">
        <v>34.799999999999997</v>
      </c>
      <c r="R84" s="198"/>
      <c r="S84" s="198"/>
      <c r="T84" s="198"/>
      <c r="U84" s="198"/>
    </row>
    <row r="85" spans="1:26" s="12" customFormat="1" x14ac:dyDescent="0.25">
      <c r="A85" s="201" t="s">
        <v>320</v>
      </c>
      <c r="B85" s="60">
        <v>39.9</v>
      </c>
      <c r="C85" s="60">
        <v>109.02</v>
      </c>
      <c r="D85" s="60">
        <v>92.57</v>
      </c>
      <c r="E85" s="60">
        <v>4.9000000000000004</v>
      </c>
      <c r="F85" s="60">
        <v>3.74</v>
      </c>
      <c r="G85" s="60">
        <v>85.63</v>
      </c>
      <c r="H85" s="60">
        <v>27.36</v>
      </c>
      <c r="I85" s="210" t="s">
        <v>36</v>
      </c>
      <c r="J85" s="60">
        <v>0.13</v>
      </c>
      <c r="K85" s="60">
        <v>36.81</v>
      </c>
      <c r="L85" s="60">
        <v>22.56</v>
      </c>
      <c r="M85" s="60">
        <v>48</v>
      </c>
      <c r="N85" s="60">
        <v>4.4000000000000004</v>
      </c>
      <c r="O85" s="60">
        <v>0</v>
      </c>
      <c r="P85" s="60">
        <v>1.35</v>
      </c>
      <c r="Q85" s="60">
        <v>36.39</v>
      </c>
      <c r="R85" s="198"/>
      <c r="S85" s="198"/>
      <c r="T85" s="198"/>
      <c r="U85" s="198"/>
    </row>
    <row r="86" spans="1:26" s="12" customFormat="1" x14ac:dyDescent="0.25">
      <c r="A86" s="201" t="s">
        <v>321</v>
      </c>
      <c r="B86" s="60">
        <v>49.26</v>
      </c>
      <c r="C86" s="60">
        <v>113.07</v>
      </c>
      <c r="D86" s="60">
        <v>102.31</v>
      </c>
      <c r="E86" s="60">
        <v>5.36</v>
      </c>
      <c r="F86" s="60">
        <v>3.51</v>
      </c>
      <c r="G86" s="60">
        <v>101.91</v>
      </c>
      <c r="H86" s="60">
        <v>32.950000000000003</v>
      </c>
      <c r="I86" s="210" t="s">
        <v>36</v>
      </c>
      <c r="J86" s="60">
        <v>0.03</v>
      </c>
      <c r="K86" s="60">
        <v>133.02000000000001</v>
      </c>
      <c r="L86" s="60">
        <v>22.26</v>
      </c>
      <c r="M86" s="60">
        <v>47</v>
      </c>
      <c r="N86" s="60">
        <v>4.4000000000000004</v>
      </c>
      <c r="O86" s="60">
        <v>0</v>
      </c>
      <c r="P86" s="60">
        <v>1.56</v>
      </c>
      <c r="Q86" s="60">
        <v>37.24</v>
      </c>
      <c r="R86" s="198"/>
      <c r="S86" s="198"/>
      <c r="T86" s="198"/>
      <c r="U86" s="198"/>
    </row>
    <row r="87" spans="1:26" s="12" customFormat="1" x14ac:dyDescent="0.25">
      <c r="A87" s="201" t="s">
        <v>322</v>
      </c>
      <c r="B87" s="60">
        <v>64.489999999999995</v>
      </c>
      <c r="C87" s="60">
        <v>121.28</v>
      </c>
      <c r="D87" s="60">
        <v>119.06</v>
      </c>
      <c r="E87" s="60">
        <v>5.13</v>
      </c>
      <c r="F87" s="60">
        <v>3.59</v>
      </c>
      <c r="G87" s="60">
        <v>114.94</v>
      </c>
      <c r="H87" s="60">
        <v>37.42</v>
      </c>
      <c r="I87" s="210" t="s">
        <v>36</v>
      </c>
      <c r="J87" s="60">
        <v>0.04</v>
      </c>
      <c r="K87" s="60">
        <v>254.27</v>
      </c>
      <c r="L87" s="60">
        <v>21.82</v>
      </c>
      <c r="M87" s="60">
        <v>52</v>
      </c>
      <c r="N87" s="60">
        <v>4.4000000000000004</v>
      </c>
      <c r="O87" s="60">
        <v>0</v>
      </c>
      <c r="P87" s="60">
        <v>1.71</v>
      </c>
      <c r="Q87" s="60">
        <v>38.1</v>
      </c>
      <c r="R87" s="198"/>
      <c r="S87" s="198"/>
      <c r="T87" s="198"/>
      <c r="U87" s="198"/>
    </row>
    <row r="88" spans="1:26" s="12" customFormat="1" x14ac:dyDescent="0.25">
      <c r="A88" s="201" t="s">
        <v>323</v>
      </c>
      <c r="B88" s="60">
        <v>81.180000000000007</v>
      </c>
      <c r="C88" s="60">
        <v>130.03</v>
      </c>
      <c r="D88" s="60">
        <v>137.27000000000001</v>
      </c>
      <c r="E88" s="60">
        <v>4.25</v>
      </c>
      <c r="F88" s="60">
        <v>3.51</v>
      </c>
      <c r="G88" s="60">
        <v>114.94</v>
      </c>
      <c r="H88" s="60">
        <v>37.42</v>
      </c>
      <c r="I88" s="210" t="s">
        <v>36</v>
      </c>
      <c r="J88" s="60">
        <v>0.21</v>
      </c>
      <c r="K88" s="60">
        <v>115.71</v>
      </c>
      <c r="L88" s="60">
        <v>21.68</v>
      </c>
      <c r="M88" s="60">
        <v>51</v>
      </c>
      <c r="N88" s="60">
        <v>4</v>
      </c>
      <c r="O88" s="60">
        <v>0</v>
      </c>
      <c r="P88" s="60">
        <v>1.86</v>
      </c>
      <c r="Q88" s="60">
        <v>39.549999999999997</v>
      </c>
      <c r="R88" s="198"/>
      <c r="S88" s="198"/>
      <c r="T88" s="198"/>
      <c r="U88" s="198"/>
    </row>
    <row r="89" spans="1:26" s="12" customFormat="1" x14ac:dyDescent="0.25">
      <c r="A89" s="201" t="s">
        <v>324</v>
      </c>
      <c r="B89" s="60">
        <v>89.81</v>
      </c>
      <c r="C89" s="60">
        <v>135.06</v>
      </c>
      <c r="D89" s="60">
        <v>146.97</v>
      </c>
      <c r="E89" s="60">
        <v>6.25</v>
      </c>
      <c r="F89" s="60">
        <v>3.75</v>
      </c>
      <c r="G89" s="60">
        <v>114.94</v>
      </c>
      <c r="H89" s="60">
        <v>37.42</v>
      </c>
      <c r="I89" s="210" t="s">
        <v>36</v>
      </c>
      <c r="J89" s="60">
        <v>0.05</v>
      </c>
      <c r="K89" s="60">
        <v>111</v>
      </c>
      <c r="L89" s="60">
        <v>21.39</v>
      </c>
      <c r="M89" s="60">
        <v>54</v>
      </c>
      <c r="N89" s="60">
        <v>4.4000000000000004</v>
      </c>
      <c r="O89" s="60">
        <v>0</v>
      </c>
      <c r="P89" s="60">
        <v>1.95</v>
      </c>
      <c r="Q89" s="60">
        <v>40.03</v>
      </c>
      <c r="R89" s="198"/>
      <c r="S89" s="198"/>
      <c r="T89" s="198"/>
      <c r="U89" s="198"/>
    </row>
    <row r="90" spans="1:26" s="12" customFormat="1" x14ac:dyDescent="0.25">
      <c r="A90" s="201" t="s">
        <v>325</v>
      </c>
      <c r="B90" s="60">
        <v>115.35</v>
      </c>
      <c r="C90" s="60">
        <v>146.38999999999999</v>
      </c>
      <c r="D90" s="60">
        <v>173.7</v>
      </c>
      <c r="E90" s="60">
        <v>6.44</v>
      </c>
      <c r="F90" s="60">
        <v>3.96</v>
      </c>
      <c r="G90" s="60">
        <v>127.97</v>
      </c>
      <c r="H90" s="60">
        <v>43.02</v>
      </c>
      <c r="I90" s="210" t="s">
        <v>36</v>
      </c>
      <c r="J90" s="60">
        <v>0.12</v>
      </c>
      <c r="K90" s="60">
        <v>338.11</v>
      </c>
      <c r="L90" s="60">
        <v>21.03</v>
      </c>
      <c r="M90" s="60">
        <v>57</v>
      </c>
      <c r="N90" s="60">
        <v>4.2</v>
      </c>
      <c r="O90" s="60">
        <v>0</v>
      </c>
      <c r="P90" s="60">
        <v>2.39</v>
      </c>
      <c r="Q90" s="60">
        <v>38.11</v>
      </c>
      <c r="R90" s="198"/>
      <c r="S90" s="198"/>
      <c r="T90" s="198"/>
      <c r="U90" s="198"/>
    </row>
    <row r="91" spans="1:26" s="12" customFormat="1" x14ac:dyDescent="0.25">
      <c r="A91" s="201" t="s">
        <v>326</v>
      </c>
      <c r="B91" s="60">
        <v>118.5</v>
      </c>
      <c r="C91" s="60">
        <v>147.66</v>
      </c>
      <c r="D91" s="60">
        <v>176.93</v>
      </c>
      <c r="E91" s="60">
        <v>6.99</v>
      </c>
      <c r="F91" s="60">
        <v>3.4</v>
      </c>
      <c r="G91" s="60">
        <v>137.94</v>
      </c>
      <c r="H91" s="60">
        <v>47.3</v>
      </c>
      <c r="I91" s="210" t="s">
        <v>36</v>
      </c>
      <c r="J91" s="60">
        <v>0.14000000000000001</v>
      </c>
      <c r="K91" s="60">
        <v>328.75</v>
      </c>
      <c r="L91" s="60">
        <v>21.03</v>
      </c>
      <c r="M91" s="60">
        <v>53</v>
      </c>
      <c r="N91" s="60">
        <v>3.9</v>
      </c>
      <c r="O91" s="60">
        <v>0</v>
      </c>
      <c r="P91" s="60">
        <v>2.31</v>
      </c>
      <c r="Q91" s="60">
        <v>38.01</v>
      </c>
      <c r="R91" s="198"/>
      <c r="S91" s="198"/>
      <c r="T91" s="198"/>
      <c r="U91" s="198"/>
    </row>
    <row r="92" spans="1:26" s="12" customFormat="1" x14ac:dyDescent="0.25">
      <c r="A92" s="201" t="s">
        <v>327</v>
      </c>
      <c r="B92" s="60">
        <v>118.09</v>
      </c>
      <c r="C92" s="60">
        <v>145.26</v>
      </c>
      <c r="D92" s="60">
        <v>175.28</v>
      </c>
      <c r="E92" s="60">
        <v>7.15</v>
      </c>
      <c r="F92" s="60">
        <v>3.56</v>
      </c>
      <c r="G92" s="60">
        <v>137.94</v>
      </c>
      <c r="H92" s="60">
        <v>47.3</v>
      </c>
      <c r="I92" s="210" t="s">
        <v>36</v>
      </c>
      <c r="J92" s="60">
        <v>0.11</v>
      </c>
      <c r="K92" s="60">
        <v>276.44</v>
      </c>
      <c r="L92" s="60">
        <v>20.8</v>
      </c>
      <c r="M92" s="60">
        <v>54</v>
      </c>
      <c r="N92" s="60">
        <v>4.2</v>
      </c>
      <c r="O92" s="60">
        <v>0</v>
      </c>
      <c r="P92" s="60">
        <v>2.35</v>
      </c>
      <c r="Q92" s="60">
        <v>38.270000000000003</v>
      </c>
      <c r="R92" s="198"/>
      <c r="S92" s="198"/>
      <c r="T92" s="198"/>
      <c r="U92" s="198"/>
    </row>
    <row r="93" spans="1:26" s="12" customFormat="1" x14ac:dyDescent="0.25">
      <c r="A93" s="201" t="s">
        <v>328</v>
      </c>
      <c r="B93" s="60">
        <v>128.44</v>
      </c>
      <c r="C93" s="60">
        <v>148.88999999999999</v>
      </c>
      <c r="D93" s="60">
        <v>185.59</v>
      </c>
      <c r="E93" s="60">
        <v>7.13</v>
      </c>
      <c r="F93" s="60">
        <v>3.66</v>
      </c>
      <c r="G93" s="60">
        <v>137.94</v>
      </c>
      <c r="H93" s="60">
        <v>47.3</v>
      </c>
      <c r="I93" s="210" t="s">
        <v>36</v>
      </c>
      <c r="J93" s="210" t="s">
        <v>36</v>
      </c>
      <c r="K93" s="60">
        <v>235.57</v>
      </c>
      <c r="L93" s="60">
        <v>20.59</v>
      </c>
      <c r="M93" s="60">
        <v>57</v>
      </c>
      <c r="N93" s="60">
        <v>4.3</v>
      </c>
      <c r="O93" s="60">
        <v>0</v>
      </c>
      <c r="P93" s="60">
        <v>2.44</v>
      </c>
      <c r="Q93" s="60">
        <v>39.21</v>
      </c>
      <c r="R93" s="198"/>
      <c r="S93" s="198"/>
      <c r="T93" s="198"/>
      <c r="U93" s="198"/>
    </row>
    <row r="94" spans="1:26" s="12" customFormat="1" x14ac:dyDescent="0.25">
      <c r="A94" s="201" t="s">
        <v>329</v>
      </c>
      <c r="B94" s="60">
        <v>138.5</v>
      </c>
      <c r="C94" s="60">
        <v>150.03</v>
      </c>
      <c r="D94" s="60">
        <v>194.28</v>
      </c>
      <c r="E94" s="60">
        <v>6.96</v>
      </c>
      <c r="F94" s="60">
        <v>3.64</v>
      </c>
      <c r="G94" s="60">
        <v>168.29</v>
      </c>
      <c r="H94" s="60">
        <v>56.47</v>
      </c>
      <c r="I94" s="210" t="s">
        <v>36</v>
      </c>
      <c r="J94" s="60">
        <v>0.21</v>
      </c>
      <c r="K94" s="60">
        <v>17.010000000000002</v>
      </c>
      <c r="L94" s="60">
        <v>20.22</v>
      </c>
      <c r="M94" s="60">
        <v>63</v>
      </c>
      <c r="N94" s="60">
        <v>4.2</v>
      </c>
      <c r="O94" s="60">
        <v>0</v>
      </c>
      <c r="P94" s="60">
        <v>2.5499999999999998</v>
      </c>
      <c r="Q94" s="60">
        <v>40.47</v>
      </c>
      <c r="R94" s="198"/>
      <c r="S94" s="198"/>
      <c r="T94" s="198"/>
      <c r="U94" s="198"/>
    </row>
    <row r="95" spans="1:26" s="12" customFormat="1" x14ac:dyDescent="0.25">
      <c r="A95" s="201" t="s">
        <v>330</v>
      </c>
      <c r="B95" s="60">
        <v>149.65</v>
      </c>
      <c r="C95" s="60">
        <v>154.41</v>
      </c>
      <c r="D95" s="60">
        <v>205.63</v>
      </c>
      <c r="E95" s="60">
        <v>7.02</v>
      </c>
      <c r="F95" s="60">
        <v>3.51</v>
      </c>
      <c r="G95" s="60">
        <v>192.56</v>
      </c>
      <c r="H95" s="60">
        <v>63.81</v>
      </c>
      <c r="I95" s="210" t="s">
        <v>36</v>
      </c>
      <c r="J95" s="60">
        <v>0.06</v>
      </c>
      <c r="K95" s="60">
        <v>357.59</v>
      </c>
      <c r="L95" s="60">
        <v>19.88</v>
      </c>
      <c r="M95" s="60">
        <v>62</v>
      </c>
      <c r="N95" s="60">
        <v>4.5</v>
      </c>
      <c r="O95" s="60">
        <v>0</v>
      </c>
      <c r="P95" s="60">
        <v>2.77</v>
      </c>
      <c r="Q95" s="60">
        <v>41.61</v>
      </c>
      <c r="R95" s="198"/>
      <c r="S95" s="198"/>
      <c r="T95" s="198"/>
      <c r="U95" s="198"/>
    </row>
    <row r="96" spans="1:26" s="12" customFormat="1" x14ac:dyDescent="0.25">
      <c r="A96" s="201" t="s">
        <v>331</v>
      </c>
      <c r="B96" s="60">
        <v>151.1</v>
      </c>
      <c r="C96" s="60">
        <v>153.1</v>
      </c>
      <c r="D96" s="60">
        <v>206.08</v>
      </c>
      <c r="E96" s="60">
        <v>7.14</v>
      </c>
      <c r="F96" s="60">
        <v>3.45</v>
      </c>
      <c r="G96" s="60">
        <v>192.56</v>
      </c>
      <c r="H96" s="60">
        <v>63.81</v>
      </c>
      <c r="I96" s="210" t="s">
        <v>36</v>
      </c>
      <c r="J96" s="60">
        <v>0.13</v>
      </c>
      <c r="K96" s="60">
        <v>296.91000000000003</v>
      </c>
      <c r="L96" s="60">
        <v>20.190000000000001</v>
      </c>
      <c r="M96" s="60">
        <v>59</v>
      </c>
      <c r="N96" s="60">
        <v>3.9</v>
      </c>
      <c r="O96" s="60">
        <v>0</v>
      </c>
      <c r="P96" s="60">
        <v>2.85</v>
      </c>
      <c r="Q96" s="60">
        <v>43.57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332</v>
      </c>
      <c r="B97" s="60">
        <v>150.31</v>
      </c>
      <c r="C97" s="60">
        <v>151.47</v>
      </c>
      <c r="D97" s="60">
        <v>204.54</v>
      </c>
      <c r="E97" s="60">
        <v>6.93</v>
      </c>
      <c r="F97" s="60">
        <v>3.5</v>
      </c>
      <c r="G97" s="60">
        <v>192.56</v>
      </c>
      <c r="H97" s="60">
        <v>63.81</v>
      </c>
      <c r="I97" s="210" t="s">
        <v>36</v>
      </c>
      <c r="J97" s="60">
        <v>0.3</v>
      </c>
      <c r="K97" s="60">
        <v>24.63</v>
      </c>
      <c r="L97" s="60">
        <v>19.78</v>
      </c>
      <c r="M97" s="60">
        <v>63</v>
      </c>
      <c r="N97" s="60">
        <v>4</v>
      </c>
      <c r="O97" s="60">
        <v>0</v>
      </c>
      <c r="P97" s="60">
        <v>2.88</v>
      </c>
      <c r="Q97" s="60">
        <v>44.9</v>
      </c>
      <c r="R97" s="198"/>
      <c r="S97" s="198"/>
      <c r="T97" s="198"/>
      <c r="U97" s="198"/>
    </row>
    <row r="98" spans="1:33" s="12" customFormat="1" x14ac:dyDescent="0.25">
      <c r="A98" s="201" t="s">
        <v>333</v>
      </c>
      <c r="B98" s="60">
        <v>150.86000000000001</v>
      </c>
      <c r="C98" s="60">
        <v>150.47</v>
      </c>
      <c r="D98" s="60">
        <v>204.44</v>
      </c>
      <c r="E98" s="60">
        <v>7.71</v>
      </c>
      <c r="F98" s="60">
        <v>3.6</v>
      </c>
      <c r="G98" s="60">
        <v>187.76</v>
      </c>
      <c r="H98" s="60">
        <v>64.09</v>
      </c>
      <c r="I98" s="210" t="s">
        <v>36</v>
      </c>
      <c r="J98" s="60">
        <v>0.95</v>
      </c>
      <c r="K98" s="60">
        <v>29.13</v>
      </c>
      <c r="L98" s="60">
        <v>20.72</v>
      </c>
      <c r="M98" s="60">
        <v>55</v>
      </c>
      <c r="N98" s="60">
        <v>1.7</v>
      </c>
      <c r="O98" s="60">
        <v>0</v>
      </c>
      <c r="P98" s="60">
        <v>2.96</v>
      </c>
      <c r="Q98" s="60">
        <v>46.09</v>
      </c>
      <c r="R98" s="198"/>
      <c r="S98" s="198"/>
      <c r="T98" s="198"/>
      <c r="U98" s="198"/>
    </row>
    <row r="99" spans="1:33" s="12" customFormat="1" x14ac:dyDescent="0.25">
      <c r="A99" s="201" t="s">
        <v>334</v>
      </c>
      <c r="B99" s="60">
        <v>145.28</v>
      </c>
      <c r="C99" s="60">
        <v>150.13999999999999</v>
      </c>
      <c r="D99" s="60">
        <v>199.78</v>
      </c>
      <c r="E99" s="60">
        <v>8.24</v>
      </c>
      <c r="F99" s="60">
        <v>3.56</v>
      </c>
      <c r="G99" s="60">
        <v>183.92</v>
      </c>
      <c r="H99" s="60">
        <v>64.31</v>
      </c>
      <c r="I99" s="210" t="s">
        <v>36</v>
      </c>
      <c r="J99" s="60">
        <v>0.53</v>
      </c>
      <c r="K99" s="60">
        <v>42.47</v>
      </c>
      <c r="L99" s="60">
        <v>21.35</v>
      </c>
      <c r="M99" s="60">
        <v>49</v>
      </c>
      <c r="N99" s="60">
        <v>3.6</v>
      </c>
      <c r="O99" s="60">
        <v>0</v>
      </c>
      <c r="P99" s="60">
        <v>3</v>
      </c>
      <c r="Q99" s="60">
        <v>46.2</v>
      </c>
      <c r="R99" s="198"/>
      <c r="S99" s="198"/>
      <c r="T99" s="198"/>
      <c r="U99" s="198"/>
    </row>
    <row r="100" spans="1:33" s="12" customFormat="1" x14ac:dyDescent="0.25">
      <c r="A100" s="201" t="s">
        <v>335</v>
      </c>
      <c r="B100" s="60">
        <v>139.99</v>
      </c>
      <c r="C100" s="60">
        <v>149.99</v>
      </c>
      <c r="D100" s="60">
        <v>195.45</v>
      </c>
      <c r="E100" s="60">
        <v>8.42</v>
      </c>
      <c r="F100" s="60">
        <v>3.55</v>
      </c>
      <c r="G100" s="60">
        <v>183.92</v>
      </c>
      <c r="H100" s="60">
        <v>64.31</v>
      </c>
      <c r="I100" s="210" t="s">
        <v>36</v>
      </c>
      <c r="J100" s="60">
        <v>0.38</v>
      </c>
      <c r="K100" s="60">
        <v>42.61</v>
      </c>
      <c r="L100" s="60">
        <v>21.34</v>
      </c>
      <c r="M100" s="60">
        <v>49</v>
      </c>
      <c r="N100" s="60">
        <v>3.9</v>
      </c>
      <c r="O100" s="60">
        <v>0</v>
      </c>
      <c r="P100" s="60">
        <v>2.96</v>
      </c>
      <c r="Q100" s="60">
        <v>45.48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336</v>
      </c>
      <c r="B101" s="60">
        <v>133.97999999999999</v>
      </c>
      <c r="C101" s="60">
        <v>147.76</v>
      </c>
      <c r="D101" s="60">
        <v>189.4</v>
      </c>
      <c r="E101" s="60">
        <v>8.43</v>
      </c>
      <c r="F101" s="60">
        <v>3.58</v>
      </c>
      <c r="G101" s="60">
        <v>183.92</v>
      </c>
      <c r="H101" s="60">
        <v>64.31</v>
      </c>
      <c r="I101" s="210" t="s">
        <v>36</v>
      </c>
      <c r="J101" s="60">
        <v>0.28999999999999998</v>
      </c>
      <c r="K101" s="60">
        <v>41.66</v>
      </c>
      <c r="L101" s="60">
        <v>21.09</v>
      </c>
      <c r="M101" s="60">
        <v>47</v>
      </c>
      <c r="N101" s="60">
        <v>4.4000000000000004</v>
      </c>
      <c r="O101" s="60">
        <v>0</v>
      </c>
      <c r="P101" s="60">
        <v>2.91</v>
      </c>
      <c r="Q101" s="60">
        <v>44.65</v>
      </c>
      <c r="R101" s="198"/>
      <c r="S101" s="198"/>
      <c r="T101" s="198"/>
      <c r="U101" s="198"/>
    </row>
    <row r="102" spans="1:33" s="12" customFormat="1" x14ac:dyDescent="0.25">
      <c r="A102" s="201" t="s">
        <v>337</v>
      </c>
      <c r="B102" s="60">
        <v>127.96</v>
      </c>
      <c r="C102" s="60">
        <v>145.16</v>
      </c>
      <c r="D102" s="60">
        <v>183.14</v>
      </c>
      <c r="E102" s="60">
        <v>7.74</v>
      </c>
      <c r="F102" s="60">
        <v>3.5</v>
      </c>
      <c r="G102" s="60">
        <v>158.31</v>
      </c>
      <c r="H102" s="60">
        <v>66.540000000000006</v>
      </c>
      <c r="I102" s="210" t="s">
        <v>36</v>
      </c>
      <c r="J102" s="60">
        <v>0.27</v>
      </c>
      <c r="K102" s="60">
        <v>53.88</v>
      </c>
      <c r="L102" s="60">
        <v>20.97</v>
      </c>
      <c r="M102" s="60">
        <v>41</v>
      </c>
      <c r="N102" s="60">
        <v>4.0999999999999996</v>
      </c>
      <c r="O102" s="60">
        <v>0</v>
      </c>
      <c r="P102" s="60">
        <v>2.86</v>
      </c>
      <c r="Q102" s="60">
        <v>43.84</v>
      </c>
      <c r="R102" s="198"/>
      <c r="S102" s="198"/>
      <c r="T102" s="198"/>
      <c r="U102" s="198"/>
    </row>
    <row r="103" spans="1:33" s="12" customFormat="1" x14ac:dyDescent="0.25">
      <c r="A103" s="201" t="s">
        <v>338</v>
      </c>
      <c r="B103" s="60">
        <v>121.46</v>
      </c>
      <c r="C103" s="60">
        <v>142.62</v>
      </c>
      <c r="D103" s="60">
        <v>176.53</v>
      </c>
      <c r="E103" s="60">
        <v>7.94</v>
      </c>
      <c r="F103" s="60">
        <v>3.51</v>
      </c>
      <c r="G103" s="60">
        <v>137.82</v>
      </c>
      <c r="H103" s="60">
        <v>68.239999999999995</v>
      </c>
      <c r="I103" s="210" t="s">
        <v>36</v>
      </c>
      <c r="J103" s="60">
        <v>0.2</v>
      </c>
      <c r="K103" s="60">
        <v>75.459999999999994</v>
      </c>
      <c r="L103" s="60">
        <v>20.93</v>
      </c>
      <c r="M103" s="60">
        <v>38</v>
      </c>
      <c r="N103" s="60">
        <v>4.3</v>
      </c>
      <c r="O103" s="60">
        <v>0</v>
      </c>
      <c r="P103" s="60">
        <v>2.78</v>
      </c>
      <c r="Q103" s="60">
        <v>43.3</v>
      </c>
      <c r="R103" s="198"/>
      <c r="S103" s="198"/>
      <c r="T103" s="198"/>
      <c r="U103" s="198"/>
    </row>
    <row r="104" spans="1:33" s="12" customFormat="1" x14ac:dyDescent="0.25">
      <c r="A104" s="201" t="s">
        <v>339</v>
      </c>
      <c r="B104" s="60">
        <v>111.83</v>
      </c>
      <c r="C104" s="60">
        <v>138.32</v>
      </c>
      <c r="D104" s="60">
        <v>166.44</v>
      </c>
      <c r="E104" s="60">
        <v>4.83</v>
      </c>
      <c r="F104" s="60">
        <v>3.52</v>
      </c>
      <c r="G104" s="60">
        <v>137.82</v>
      </c>
      <c r="H104" s="60">
        <v>68.239999999999995</v>
      </c>
      <c r="I104" s="210" t="s">
        <v>36</v>
      </c>
      <c r="J104" s="60">
        <v>0.25</v>
      </c>
      <c r="K104" s="60">
        <v>102.35</v>
      </c>
      <c r="L104" s="60">
        <v>20.48</v>
      </c>
      <c r="M104" s="60">
        <v>39</v>
      </c>
      <c r="N104" s="60">
        <v>4.2</v>
      </c>
      <c r="O104" s="60">
        <v>0</v>
      </c>
      <c r="P104" s="60">
        <v>2.68</v>
      </c>
      <c r="Q104" s="60">
        <v>42.46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1.17</v>
      </c>
      <c r="C106" s="67">
        <f>MIN(C9:C104)</f>
        <v>63.12</v>
      </c>
      <c r="D106" s="67">
        <f t="shared" ref="D106:Q106" si="0">MIN(D9:D104)</f>
        <v>36.92</v>
      </c>
      <c r="E106" s="67">
        <f t="shared" si="0"/>
        <v>4.12</v>
      </c>
      <c r="F106" s="67">
        <f t="shared" si="0"/>
        <v>3.4</v>
      </c>
      <c r="G106" s="67">
        <f t="shared" si="0"/>
        <v>18.579999999999998</v>
      </c>
      <c r="H106" s="67">
        <f t="shared" si="0"/>
        <v>12.4</v>
      </c>
      <c r="I106" s="67">
        <f t="shared" si="0"/>
        <v>0</v>
      </c>
      <c r="J106" s="67">
        <f t="shared" si="0"/>
        <v>0.03</v>
      </c>
      <c r="K106" s="67">
        <f t="shared" si="0"/>
        <v>3.18</v>
      </c>
      <c r="L106" s="67">
        <f t="shared" si="0"/>
        <v>18.63</v>
      </c>
      <c r="M106" s="67">
        <f t="shared" si="0"/>
        <v>19</v>
      </c>
      <c r="N106" s="67">
        <f t="shared" si="0"/>
        <v>1.7</v>
      </c>
      <c r="O106" s="67">
        <f t="shared" si="0"/>
        <v>0</v>
      </c>
      <c r="P106" s="67">
        <f t="shared" si="0"/>
        <v>0.42</v>
      </c>
      <c r="Q106" s="67">
        <f t="shared" si="0"/>
        <v>25.92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151.1</v>
      </c>
      <c r="C107" s="66">
        <f t="shared" ref="C107:Q107" si="1">MAX(C9:C104)</f>
        <v>154.41</v>
      </c>
      <c r="D107" s="66">
        <f t="shared" si="1"/>
        <v>206.08</v>
      </c>
      <c r="E107" s="66">
        <f t="shared" si="1"/>
        <v>13.05</v>
      </c>
      <c r="F107" s="66">
        <f t="shared" si="1"/>
        <v>14.5</v>
      </c>
      <c r="G107" s="66">
        <f t="shared" si="1"/>
        <v>192.56</v>
      </c>
      <c r="H107" s="66">
        <f t="shared" si="1"/>
        <v>68.239999999999995</v>
      </c>
      <c r="I107" s="66">
        <f t="shared" si="1"/>
        <v>0</v>
      </c>
      <c r="J107" s="66">
        <f t="shared" si="1"/>
        <v>1.75</v>
      </c>
      <c r="K107" s="66">
        <f t="shared" si="1"/>
        <v>357.59</v>
      </c>
      <c r="L107" s="66">
        <f t="shared" si="1"/>
        <v>32.61</v>
      </c>
      <c r="M107" s="66">
        <f t="shared" si="1"/>
        <v>63</v>
      </c>
      <c r="N107" s="66">
        <f t="shared" si="1"/>
        <v>654.4</v>
      </c>
      <c r="O107" s="66">
        <f t="shared" si="1"/>
        <v>0</v>
      </c>
      <c r="P107" s="66">
        <f t="shared" si="1"/>
        <v>3</v>
      </c>
      <c r="Q107" s="66">
        <f t="shared" si="1"/>
        <v>46.2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30.025729166666665</v>
      </c>
      <c r="C108" s="67">
        <f t="shared" ref="C108:Q108" si="2">AVERAGE(C9:C104)</f>
        <v>93.192812500000016</v>
      </c>
      <c r="D108" s="67">
        <f t="shared" si="2"/>
        <v>75.924062499999991</v>
      </c>
      <c r="E108" s="67">
        <f t="shared" si="2"/>
        <v>6.6593750000000007</v>
      </c>
      <c r="F108" s="67">
        <f t="shared" si="2"/>
        <v>5.5387499999999976</v>
      </c>
      <c r="G108" s="67">
        <f t="shared" si="2"/>
        <v>67.020645161290346</v>
      </c>
      <c r="H108" s="67">
        <f t="shared" si="2"/>
        <v>26.356559139784938</v>
      </c>
      <c r="I108" s="67" t="e">
        <f t="shared" si="2"/>
        <v>#DIV/0!</v>
      </c>
      <c r="J108" s="67">
        <f t="shared" si="2"/>
        <v>0.8222105263157895</v>
      </c>
      <c r="K108" s="67">
        <f t="shared" si="2"/>
        <v>62.137916666666676</v>
      </c>
      <c r="L108" s="67">
        <f t="shared" si="2"/>
        <v>23.818749999999994</v>
      </c>
      <c r="M108" s="67">
        <f t="shared" si="2"/>
        <v>43.9375</v>
      </c>
      <c r="N108" s="67">
        <f t="shared" si="2"/>
        <v>155.54583333333329</v>
      </c>
      <c r="O108" s="67">
        <f t="shared" si="2"/>
        <v>0</v>
      </c>
      <c r="P108" s="67">
        <f t="shared" si="2"/>
        <v>1.0539583333333331</v>
      </c>
      <c r="Q108" s="67">
        <f t="shared" si="2"/>
        <v>31.123125000000016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47.320202534264077</v>
      </c>
      <c r="C109" s="67">
        <f t="shared" ref="C109:Q109" si="3">STDEV(C9:C104)</f>
        <v>27.153128527826787</v>
      </c>
      <c r="D109" s="67">
        <f t="shared" si="3"/>
        <v>52.519646861724638</v>
      </c>
      <c r="E109" s="67">
        <f t="shared" si="3"/>
        <v>1.6018895503682329</v>
      </c>
      <c r="F109" s="67">
        <f t="shared" si="3"/>
        <v>2.1520150899490562</v>
      </c>
      <c r="G109" s="67">
        <f t="shared" si="3"/>
        <v>47.532449117886372</v>
      </c>
      <c r="H109" s="67">
        <f t="shared" si="3"/>
        <v>16.413588252912238</v>
      </c>
      <c r="I109" s="67" t="e">
        <f t="shared" si="3"/>
        <v>#DIV/0!</v>
      </c>
      <c r="J109" s="67">
        <f t="shared" si="3"/>
        <v>0.47850649509224563</v>
      </c>
      <c r="K109" s="67">
        <f t="shared" si="3"/>
        <v>87.955531969484937</v>
      </c>
      <c r="L109" s="67">
        <f t="shared" si="3"/>
        <v>4.4247591073294412</v>
      </c>
      <c r="M109" s="67">
        <f t="shared" si="3"/>
        <v>14.259853472340856</v>
      </c>
      <c r="N109" s="67">
        <f t="shared" si="3"/>
        <v>221.34781913334442</v>
      </c>
      <c r="O109" s="67">
        <f t="shared" si="3"/>
        <v>0</v>
      </c>
      <c r="P109" s="67">
        <f t="shared" si="3"/>
        <v>0.7769406658462501</v>
      </c>
      <c r="Q109" s="67">
        <f t="shared" si="3"/>
        <v>5.6579682632920436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93</v>
      </c>
      <c r="H110" s="66">
        <f t="shared" si="4"/>
        <v>93</v>
      </c>
      <c r="I110" s="66">
        <f>COUNT(I9:I104)+96</f>
        <v>96</v>
      </c>
      <c r="J110" s="66">
        <f>COUNT(J9:J104)+1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215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5" activePane="bottomRight" state="frozen"/>
      <selection activeCell="A9" sqref="A9:U104"/>
      <selection pane="topRight" activeCell="A9" sqref="A9:U104"/>
      <selection pane="bottomLeft" activeCell="A9" sqref="A9:U104"/>
      <selection pane="bottomRight" activeCell="I111" sqref="I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02-02-2023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340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341</v>
      </c>
      <c r="B9" s="60">
        <v>103.42</v>
      </c>
      <c r="C9" s="60">
        <v>133.38999999999999</v>
      </c>
      <c r="D9" s="60">
        <v>156.96</v>
      </c>
      <c r="E9" s="60">
        <v>7.56</v>
      </c>
      <c r="F9" s="60">
        <v>3.68</v>
      </c>
      <c r="G9" s="60">
        <v>137.82</v>
      </c>
      <c r="H9" s="60">
        <v>68.239999999999995</v>
      </c>
      <c r="I9" s="210" t="s">
        <v>36</v>
      </c>
      <c r="J9" s="60">
        <v>0.31</v>
      </c>
      <c r="K9" s="60">
        <v>96.56</v>
      </c>
      <c r="L9" s="60">
        <v>20.47</v>
      </c>
      <c r="M9" s="60">
        <v>39</v>
      </c>
      <c r="N9" s="60">
        <v>3.9</v>
      </c>
      <c r="O9" s="60">
        <v>0</v>
      </c>
      <c r="P9" s="60">
        <v>2.62</v>
      </c>
      <c r="Q9" s="60">
        <v>41.45</v>
      </c>
      <c r="R9" s="198"/>
      <c r="S9" s="198"/>
      <c r="T9" s="198"/>
      <c r="U9" s="198"/>
    </row>
    <row r="10" spans="1:21" s="12" customFormat="1" x14ac:dyDescent="0.25">
      <c r="A10" s="201" t="s">
        <v>342</v>
      </c>
      <c r="B10" s="60">
        <v>98.63</v>
      </c>
      <c r="C10" s="60">
        <v>129.77000000000001</v>
      </c>
      <c r="D10" s="60">
        <v>151.13</v>
      </c>
      <c r="E10" s="60">
        <v>7.86</v>
      </c>
      <c r="F10" s="60">
        <v>3.69</v>
      </c>
      <c r="G10" s="60">
        <v>140.4</v>
      </c>
      <c r="H10" s="60">
        <v>62.76</v>
      </c>
      <c r="I10" s="210" t="s">
        <v>36</v>
      </c>
      <c r="J10" s="60">
        <v>0.23</v>
      </c>
      <c r="K10" s="60">
        <v>50.39</v>
      </c>
      <c r="L10" s="60">
        <v>20.07</v>
      </c>
      <c r="M10" s="60">
        <v>38</v>
      </c>
      <c r="N10" s="60">
        <v>4.0999999999999996</v>
      </c>
      <c r="O10" s="60">
        <v>0</v>
      </c>
      <c r="P10" s="60">
        <v>2.57</v>
      </c>
      <c r="Q10" s="60">
        <v>40.229999999999997</v>
      </c>
      <c r="R10" s="198"/>
      <c r="S10" s="198"/>
      <c r="T10" s="198"/>
      <c r="U10" s="198"/>
    </row>
    <row r="11" spans="1:21" s="12" customFormat="1" x14ac:dyDescent="0.25">
      <c r="A11" s="201" t="s">
        <v>343</v>
      </c>
      <c r="B11" s="60">
        <v>94.83</v>
      </c>
      <c r="C11" s="60">
        <v>127.93</v>
      </c>
      <c r="D11" s="60">
        <v>147.07</v>
      </c>
      <c r="E11" s="60">
        <v>7.29</v>
      </c>
      <c r="F11" s="60">
        <v>3.66</v>
      </c>
      <c r="G11" s="60">
        <v>142.37</v>
      </c>
      <c r="H11" s="60">
        <v>58.37</v>
      </c>
      <c r="I11" s="210" t="s">
        <v>36</v>
      </c>
      <c r="J11" s="60">
        <v>0.48</v>
      </c>
      <c r="K11" s="60">
        <v>26.28</v>
      </c>
      <c r="L11" s="60">
        <v>19.91</v>
      </c>
      <c r="M11" s="60">
        <v>37</v>
      </c>
      <c r="N11" s="60">
        <v>3.7</v>
      </c>
      <c r="O11" s="60">
        <v>0</v>
      </c>
      <c r="P11" s="60">
        <v>2.54</v>
      </c>
      <c r="Q11" s="60">
        <v>39.51</v>
      </c>
      <c r="R11" s="198"/>
      <c r="S11" s="198"/>
      <c r="T11" s="198"/>
      <c r="U11" s="198"/>
    </row>
    <row r="12" spans="1:21" s="12" customFormat="1" x14ac:dyDescent="0.25">
      <c r="A12" s="201" t="s">
        <v>344</v>
      </c>
      <c r="B12" s="60">
        <v>90.13</v>
      </c>
      <c r="C12" s="60">
        <v>123.07</v>
      </c>
      <c r="D12" s="60">
        <v>140.61000000000001</v>
      </c>
      <c r="E12" s="60">
        <v>7.05</v>
      </c>
      <c r="F12" s="60">
        <v>3.99</v>
      </c>
      <c r="G12" s="60">
        <v>142.37</v>
      </c>
      <c r="H12" s="60">
        <v>58.37</v>
      </c>
      <c r="I12" s="210" t="s">
        <v>36</v>
      </c>
      <c r="J12" s="60">
        <v>0.46</v>
      </c>
      <c r="K12" s="60">
        <v>29.29</v>
      </c>
      <c r="L12" s="60">
        <v>19.82</v>
      </c>
      <c r="M12" s="60">
        <v>36</v>
      </c>
      <c r="N12" s="60">
        <v>3.9</v>
      </c>
      <c r="O12" s="60">
        <v>0</v>
      </c>
      <c r="P12" s="60">
        <v>2.46</v>
      </c>
      <c r="Q12" s="60">
        <v>39.21</v>
      </c>
      <c r="R12" s="198"/>
      <c r="S12" s="198"/>
      <c r="T12" s="198"/>
      <c r="U12" s="198"/>
    </row>
    <row r="13" spans="1:21" s="12" customFormat="1" x14ac:dyDescent="0.25">
      <c r="A13" s="201" t="s">
        <v>345</v>
      </c>
      <c r="B13" s="60">
        <v>84.23</v>
      </c>
      <c r="C13" s="60">
        <v>120.73</v>
      </c>
      <c r="D13" s="60">
        <v>134.58000000000001</v>
      </c>
      <c r="E13" s="60">
        <v>6.9</v>
      </c>
      <c r="F13" s="60">
        <v>4.32</v>
      </c>
      <c r="G13" s="60">
        <v>142.37</v>
      </c>
      <c r="H13" s="60">
        <v>58.37</v>
      </c>
      <c r="I13" s="210" t="s">
        <v>36</v>
      </c>
      <c r="J13" s="60">
        <v>0.56999999999999995</v>
      </c>
      <c r="K13" s="60">
        <v>25.57</v>
      </c>
      <c r="L13" s="60">
        <v>19.64</v>
      </c>
      <c r="M13" s="60">
        <v>35</v>
      </c>
      <c r="N13" s="60">
        <v>3.7</v>
      </c>
      <c r="O13" s="60">
        <v>0</v>
      </c>
      <c r="P13" s="60">
        <v>2.19</v>
      </c>
      <c r="Q13" s="60">
        <v>38.85</v>
      </c>
      <c r="R13" s="198"/>
      <c r="S13" s="198"/>
      <c r="T13" s="198"/>
      <c r="U13" s="198"/>
    </row>
    <row r="14" spans="1:21" s="12" customFormat="1" x14ac:dyDescent="0.25">
      <c r="A14" s="201" t="s">
        <v>346</v>
      </c>
      <c r="B14" s="60">
        <v>79.11</v>
      </c>
      <c r="C14" s="60">
        <v>113.72</v>
      </c>
      <c r="D14" s="60">
        <v>126.62</v>
      </c>
      <c r="E14" s="60">
        <v>6.96</v>
      </c>
      <c r="F14" s="60">
        <v>4.0199999999999996</v>
      </c>
      <c r="G14" s="60">
        <v>111.63</v>
      </c>
      <c r="H14" s="60">
        <v>53.72</v>
      </c>
      <c r="I14" s="210" t="s">
        <v>36</v>
      </c>
      <c r="J14" s="60">
        <v>0.36</v>
      </c>
      <c r="K14" s="60">
        <v>34.869999999999997</v>
      </c>
      <c r="L14" s="60">
        <v>19.57</v>
      </c>
      <c r="M14" s="60">
        <v>32</v>
      </c>
      <c r="N14" s="60">
        <v>4.0999999999999996</v>
      </c>
      <c r="O14" s="60">
        <v>0</v>
      </c>
      <c r="P14" s="60">
        <v>2.19</v>
      </c>
      <c r="Q14" s="60">
        <v>38.17</v>
      </c>
      <c r="R14" s="198"/>
      <c r="S14" s="198"/>
      <c r="T14" s="198"/>
      <c r="U14" s="198"/>
    </row>
    <row r="15" spans="1:21" s="12" customFormat="1" x14ac:dyDescent="0.25">
      <c r="A15" s="201" t="s">
        <v>347</v>
      </c>
      <c r="B15" s="60">
        <v>74.540000000000006</v>
      </c>
      <c r="C15" s="60">
        <v>111.61</v>
      </c>
      <c r="D15" s="60">
        <v>121.78</v>
      </c>
      <c r="E15" s="60">
        <v>6.89</v>
      </c>
      <c r="F15" s="60">
        <v>3.85</v>
      </c>
      <c r="G15" s="60">
        <v>87.04</v>
      </c>
      <c r="H15" s="60">
        <v>49.99</v>
      </c>
      <c r="I15" s="210" t="s">
        <v>36</v>
      </c>
      <c r="J15" s="60">
        <v>0.31</v>
      </c>
      <c r="K15" s="60">
        <v>69.39</v>
      </c>
      <c r="L15" s="60">
        <v>19.21</v>
      </c>
      <c r="M15" s="60">
        <v>32</v>
      </c>
      <c r="N15" s="60">
        <v>4.2</v>
      </c>
      <c r="O15" s="60">
        <v>0</v>
      </c>
      <c r="P15" s="60">
        <v>2.11</v>
      </c>
      <c r="Q15" s="60">
        <v>37.6</v>
      </c>
      <c r="R15" s="198"/>
      <c r="S15" s="198"/>
      <c r="T15" s="198"/>
      <c r="U15" s="198"/>
    </row>
    <row r="16" spans="1:21" s="12" customFormat="1" x14ac:dyDescent="0.25">
      <c r="A16" s="201" t="s">
        <v>348</v>
      </c>
      <c r="B16" s="60">
        <v>71.69</v>
      </c>
      <c r="C16" s="60">
        <v>110.67</v>
      </c>
      <c r="D16" s="60">
        <v>118.98</v>
      </c>
      <c r="E16" s="60">
        <v>6.44</v>
      </c>
      <c r="F16" s="60">
        <v>3.56</v>
      </c>
      <c r="G16" s="60">
        <v>87.04</v>
      </c>
      <c r="H16" s="60">
        <v>49.99</v>
      </c>
      <c r="I16" s="210" t="s">
        <v>36</v>
      </c>
      <c r="J16" s="60">
        <v>0.26</v>
      </c>
      <c r="K16" s="60">
        <v>54.58</v>
      </c>
      <c r="L16" s="60">
        <v>18.77</v>
      </c>
      <c r="M16" s="60">
        <v>34</v>
      </c>
      <c r="N16" s="60">
        <v>4.3</v>
      </c>
      <c r="O16" s="60">
        <v>0</v>
      </c>
      <c r="P16" s="60">
        <v>2</v>
      </c>
      <c r="Q16" s="60">
        <v>37.869999999999997</v>
      </c>
      <c r="R16" s="198"/>
      <c r="S16" s="198"/>
      <c r="T16" s="198"/>
      <c r="U16" s="198"/>
    </row>
    <row r="17" spans="1:21" s="12" customFormat="1" x14ac:dyDescent="0.25">
      <c r="A17" s="201" t="s">
        <v>349</v>
      </c>
      <c r="B17" s="60">
        <v>66.209999999999994</v>
      </c>
      <c r="C17" s="60">
        <v>107.9</v>
      </c>
      <c r="D17" s="60">
        <v>113.06</v>
      </c>
      <c r="E17" s="60">
        <v>6.42</v>
      </c>
      <c r="F17" s="60">
        <v>3.6</v>
      </c>
      <c r="G17" s="60">
        <v>87.04</v>
      </c>
      <c r="H17" s="60">
        <v>49.99</v>
      </c>
      <c r="I17" s="210" t="s">
        <v>36</v>
      </c>
      <c r="J17" s="60">
        <v>0.88</v>
      </c>
      <c r="K17" s="60">
        <v>14.35</v>
      </c>
      <c r="L17" s="60">
        <v>18.66</v>
      </c>
      <c r="M17" s="60">
        <v>35</v>
      </c>
      <c r="N17" s="60">
        <v>3.4</v>
      </c>
      <c r="O17" s="60">
        <v>0</v>
      </c>
      <c r="P17" s="60">
        <v>1.88</v>
      </c>
      <c r="Q17" s="60">
        <v>38.090000000000003</v>
      </c>
      <c r="R17" s="198"/>
      <c r="S17" s="198"/>
      <c r="T17" s="198"/>
      <c r="U17" s="198"/>
    </row>
    <row r="18" spans="1:21" s="12" customFormat="1" x14ac:dyDescent="0.25">
      <c r="A18" s="201" t="s">
        <v>350</v>
      </c>
      <c r="B18" s="60">
        <v>59.53</v>
      </c>
      <c r="C18" s="60">
        <v>104.25</v>
      </c>
      <c r="D18" s="60">
        <v>105.69</v>
      </c>
      <c r="E18" s="60">
        <v>6.6</v>
      </c>
      <c r="F18" s="60">
        <v>3.73</v>
      </c>
      <c r="G18" s="60">
        <v>68.88</v>
      </c>
      <c r="H18" s="60">
        <v>41.67</v>
      </c>
      <c r="I18" s="210" t="s">
        <v>36</v>
      </c>
      <c r="J18" s="60">
        <v>1.03</v>
      </c>
      <c r="K18" s="60">
        <v>16.55</v>
      </c>
      <c r="L18" s="60">
        <v>18.73</v>
      </c>
      <c r="M18" s="60">
        <v>33</v>
      </c>
      <c r="N18" s="60">
        <v>3.6</v>
      </c>
      <c r="O18" s="60">
        <v>0</v>
      </c>
      <c r="P18" s="60">
        <v>1.75</v>
      </c>
      <c r="Q18" s="60">
        <v>36.93</v>
      </c>
      <c r="R18" s="198"/>
      <c r="S18" s="198"/>
      <c r="T18" s="198"/>
      <c r="U18" s="198"/>
    </row>
    <row r="19" spans="1:21" s="12" customFormat="1" x14ac:dyDescent="0.25">
      <c r="A19" s="201" t="s">
        <v>351</v>
      </c>
      <c r="B19" s="60">
        <v>53.08</v>
      </c>
      <c r="C19" s="60">
        <v>100.73</v>
      </c>
      <c r="D19" s="60">
        <v>98.57</v>
      </c>
      <c r="E19" s="60">
        <v>7.35</v>
      </c>
      <c r="F19" s="60">
        <v>3.76</v>
      </c>
      <c r="G19" s="60">
        <v>54.35</v>
      </c>
      <c r="H19" s="60">
        <v>35.01</v>
      </c>
      <c r="I19" s="210" t="s">
        <v>36</v>
      </c>
      <c r="J19" s="60">
        <v>1.17</v>
      </c>
      <c r="K19" s="60">
        <v>21.84</v>
      </c>
      <c r="L19" s="60">
        <v>18.559999999999999</v>
      </c>
      <c r="M19" s="60">
        <v>37</v>
      </c>
      <c r="N19" s="60">
        <v>3.9</v>
      </c>
      <c r="O19" s="60">
        <v>0</v>
      </c>
      <c r="P19" s="60">
        <v>1.65</v>
      </c>
      <c r="Q19" s="60">
        <v>35.56</v>
      </c>
      <c r="R19" s="198"/>
      <c r="S19" s="198"/>
      <c r="T19" s="198"/>
      <c r="U19" s="198"/>
    </row>
    <row r="20" spans="1:21" s="12" customFormat="1" x14ac:dyDescent="0.25">
      <c r="A20" s="201" t="s">
        <v>352</v>
      </c>
      <c r="B20" s="60">
        <v>47.68</v>
      </c>
      <c r="C20" s="60">
        <v>98.43</v>
      </c>
      <c r="D20" s="60">
        <v>92.97</v>
      </c>
      <c r="E20" s="60">
        <v>8.08</v>
      </c>
      <c r="F20" s="60">
        <v>3.57</v>
      </c>
      <c r="G20" s="60">
        <v>54.35</v>
      </c>
      <c r="H20" s="60">
        <v>35.01</v>
      </c>
      <c r="I20" s="210" t="s">
        <v>36</v>
      </c>
      <c r="J20" s="60">
        <v>0.99</v>
      </c>
      <c r="K20" s="60">
        <v>15.12</v>
      </c>
      <c r="L20" s="60">
        <v>18.37</v>
      </c>
      <c r="M20" s="60">
        <v>40</v>
      </c>
      <c r="N20" s="60">
        <v>4.2</v>
      </c>
      <c r="O20" s="60">
        <v>0</v>
      </c>
      <c r="P20" s="60">
        <v>1.59</v>
      </c>
      <c r="Q20" s="60">
        <v>34.43</v>
      </c>
      <c r="R20" s="198"/>
      <c r="S20" s="198"/>
      <c r="T20" s="198"/>
      <c r="U20" s="198"/>
    </row>
    <row r="21" spans="1:21" s="12" customFormat="1" x14ac:dyDescent="0.25">
      <c r="A21" s="201" t="s">
        <v>353</v>
      </c>
      <c r="B21" s="60">
        <v>43.67</v>
      </c>
      <c r="C21" s="60">
        <v>96.91</v>
      </c>
      <c r="D21" s="60">
        <v>88.92</v>
      </c>
      <c r="E21" s="60">
        <v>9.25</v>
      </c>
      <c r="F21" s="60">
        <v>3.51</v>
      </c>
      <c r="G21" s="60">
        <v>54.35</v>
      </c>
      <c r="H21" s="60">
        <v>35.01</v>
      </c>
      <c r="I21" s="210" t="s">
        <v>36</v>
      </c>
      <c r="J21" s="60">
        <v>1.1200000000000001</v>
      </c>
      <c r="K21" s="60">
        <v>12.44</v>
      </c>
      <c r="L21" s="60">
        <v>18.190000000000001</v>
      </c>
      <c r="M21" s="60">
        <v>42</v>
      </c>
      <c r="N21" s="60">
        <v>4</v>
      </c>
      <c r="O21" s="60">
        <v>0</v>
      </c>
      <c r="P21" s="60">
        <v>1.54</v>
      </c>
      <c r="Q21" s="60">
        <v>33.479999999999997</v>
      </c>
      <c r="R21" s="198"/>
      <c r="S21" s="198"/>
      <c r="T21" s="198"/>
      <c r="U21" s="198"/>
    </row>
    <row r="22" spans="1:21" s="12" customFormat="1" x14ac:dyDescent="0.25">
      <c r="A22" s="201" t="s">
        <v>354</v>
      </c>
      <c r="B22" s="60">
        <v>41.23</v>
      </c>
      <c r="C22" s="60">
        <v>96.26</v>
      </c>
      <c r="D22" s="60">
        <v>86.6</v>
      </c>
      <c r="E22" s="60">
        <v>10.93</v>
      </c>
      <c r="F22" s="60">
        <v>3.66</v>
      </c>
      <c r="G22" s="60">
        <v>81.2</v>
      </c>
      <c r="H22" s="60">
        <v>38.51</v>
      </c>
      <c r="I22" s="210" t="s">
        <v>36</v>
      </c>
      <c r="J22" s="60">
        <v>1.0900000000000001</v>
      </c>
      <c r="K22" s="60">
        <v>10.7</v>
      </c>
      <c r="L22" s="60">
        <v>17.84</v>
      </c>
      <c r="M22" s="60">
        <v>42</v>
      </c>
      <c r="N22" s="60">
        <v>4.0999999999999996</v>
      </c>
      <c r="O22" s="60">
        <v>0</v>
      </c>
      <c r="P22" s="60">
        <v>1.48</v>
      </c>
      <c r="Q22" s="60">
        <v>32.54</v>
      </c>
      <c r="R22" s="198"/>
      <c r="S22" s="198"/>
      <c r="T22" s="198"/>
      <c r="U22" s="198"/>
    </row>
    <row r="23" spans="1:21" s="12" customFormat="1" x14ac:dyDescent="0.25">
      <c r="A23" s="201" t="s">
        <v>355</v>
      </c>
      <c r="B23" s="60">
        <v>38.9</v>
      </c>
      <c r="C23" s="60">
        <v>95.54</v>
      </c>
      <c r="D23" s="60">
        <v>84.34</v>
      </c>
      <c r="E23" s="60">
        <v>15.74</v>
      </c>
      <c r="F23" s="60">
        <v>3.58</v>
      </c>
      <c r="G23" s="60">
        <v>102.69</v>
      </c>
      <c r="H23" s="60">
        <v>41.31</v>
      </c>
      <c r="I23" s="210" t="s">
        <v>36</v>
      </c>
      <c r="J23" s="60">
        <v>1</v>
      </c>
      <c r="K23" s="60">
        <v>14.64</v>
      </c>
      <c r="L23" s="60">
        <v>17.72</v>
      </c>
      <c r="M23" s="60">
        <v>42</v>
      </c>
      <c r="N23" s="60">
        <v>4.2</v>
      </c>
      <c r="O23" s="60">
        <v>0</v>
      </c>
      <c r="P23" s="60">
        <v>1.41</v>
      </c>
      <c r="Q23" s="60">
        <v>31.13</v>
      </c>
      <c r="R23" s="198"/>
      <c r="S23" s="198"/>
      <c r="T23" s="198"/>
      <c r="U23" s="198"/>
    </row>
    <row r="24" spans="1:21" s="12" customFormat="1" x14ac:dyDescent="0.25">
      <c r="A24" s="201" t="s">
        <v>356</v>
      </c>
      <c r="B24" s="60">
        <v>37.99</v>
      </c>
      <c r="C24" s="60">
        <v>94.46</v>
      </c>
      <c r="D24" s="60">
        <v>83.01</v>
      </c>
      <c r="E24" s="60">
        <v>5.24</v>
      </c>
      <c r="F24" s="60">
        <v>3.8</v>
      </c>
      <c r="G24" s="60">
        <v>102.69</v>
      </c>
      <c r="H24" s="60">
        <v>41.31</v>
      </c>
      <c r="I24" s="210" t="s">
        <v>36</v>
      </c>
      <c r="J24" s="60">
        <v>0.4</v>
      </c>
      <c r="K24" s="60">
        <v>28.2</v>
      </c>
      <c r="L24" s="60">
        <v>17.29</v>
      </c>
      <c r="M24" s="60">
        <v>42</v>
      </c>
      <c r="N24" s="60">
        <v>4.5999999999999996</v>
      </c>
      <c r="O24" s="60">
        <v>0</v>
      </c>
      <c r="P24" s="60">
        <v>1.36</v>
      </c>
      <c r="Q24" s="60">
        <v>30.11</v>
      </c>
      <c r="R24" s="198"/>
      <c r="S24" s="198"/>
      <c r="T24" s="198"/>
      <c r="U24" s="198"/>
    </row>
    <row r="25" spans="1:21" s="12" customFormat="1" x14ac:dyDescent="0.25">
      <c r="A25" s="201" t="s">
        <v>357</v>
      </c>
      <c r="B25" s="60">
        <v>37.520000000000003</v>
      </c>
      <c r="C25" s="60">
        <v>93.82</v>
      </c>
      <c r="D25" s="60">
        <v>82.28</v>
      </c>
      <c r="E25" s="60">
        <v>9.32</v>
      </c>
      <c r="F25" s="60">
        <v>3.71</v>
      </c>
      <c r="G25" s="60">
        <v>102.69</v>
      </c>
      <c r="H25" s="60">
        <v>41.31</v>
      </c>
      <c r="I25" s="210" t="s">
        <v>36</v>
      </c>
      <c r="J25" s="60">
        <v>0.18</v>
      </c>
      <c r="K25" s="60">
        <v>51.14</v>
      </c>
      <c r="L25" s="60">
        <v>16.87</v>
      </c>
      <c r="M25" s="60">
        <v>43</v>
      </c>
      <c r="N25" s="60">
        <v>4.5</v>
      </c>
      <c r="O25" s="60">
        <v>0</v>
      </c>
      <c r="P25" s="60">
        <v>1.34</v>
      </c>
      <c r="Q25" s="60">
        <v>29.7</v>
      </c>
      <c r="R25" s="198"/>
      <c r="S25" s="198"/>
      <c r="T25" s="198"/>
      <c r="U25" s="198"/>
    </row>
    <row r="26" spans="1:21" s="12" customFormat="1" x14ac:dyDescent="0.25">
      <c r="A26" s="201" t="s">
        <v>358</v>
      </c>
      <c r="B26" s="60">
        <v>37.53</v>
      </c>
      <c r="C26" s="60">
        <v>93.33</v>
      </c>
      <c r="D26" s="60">
        <v>82.02</v>
      </c>
      <c r="E26" s="60">
        <v>9.82</v>
      </c>
      <c r="F26" s="60">
        <v>3.58</v>
      </c>
      <c r="G26" s="60">
        <v>121.05</v>
      </c>
      <c r="H26" s="60">
        <v>44.49</v>
      </c>
      <c r="I26" s="210" t="s">
        <v>36</v>
      </c>
      <c r="J26" s="60">
        <v>0.24</v>
      </c>
      <c r="K26" s="60">
        <v>92.52</v>
      </c>
      <c r="L26" s="60">
        <v>16.309999999999999</v>
      </c>
      <c r="M26" s="60">
        <v>44</v>
      </c>
      <c r="N26" s="60">
        <v>4.4000000000000004</v>
      </c>
      <c r="O26" s="60">
        <v>0</v>
      </c>
      <c r="P26" s="60">
        <v>1.3</v>
      </c>
      <c r="Q26" s="60">
        <v>29.46</v>
      </c>
      <c r="R26" s="198"/>
      <c r="S26" s="198"/>
      <c r="T26" s="198"/>
      <c r="U26" s="198"/>
    </row>
    <row r="27" spans="1:21" s="12" customFormat="1" x14ac:dyDescent="0.25">
      <c r="A27" s="201" t="s">
        <v>359</v>
      </c>
      <c r="B27" s="60">
        <v>37.39</v>
      </c>
      <c r="C27" s="60">
        <v>92.35</v>
      </c>
      <c r="D27" s="60">
        <v>81.37</v>
      </c>
      <c r="E27" s="60">
        <v>9.17</v>
      </c>
      <c r="F27" s="60">
        <v>3.53</v>
      </c>
      <c r="G27" s="60">
        <v>135.74</v>
      </c>
      <c r="H27" s="60">
        <v>47.03</v>
      </c>
      <c r="I27" s="210" t="s">
        <v>36</v>
      </c>
      <c r="J27" s="60">
        <v>0.38</v>
      </c>
      <c r="K27" s="60">
        <v>82.81</v>
      </c>
      <c r="L27" s="60">
        <v>16.14</v>
      </c>
      <c r="M27" s="60">
        <v>44</v>
      </c>
      <c r="N27" s="60">
        <v>4</v>
      </c>
      <c r="O27" s="60">
        <v>0</v>
      </c>
      <c r="P27" s="60">
        <v>1.27</v>
      </c>
      <c r="Q27" s="60">
        <v>29.31</v>
      </c>
      <c r="R27" s="198"/>
      <c r="S27" s="198"/>
      <c r="T27" s="198"/>
      <c r="U27" s="198"/>
    </row>
    <row r="28" spans="1:21" s="12" customFormat="1" x14ac:dyDescent="0.25">
      <c r="A28" s="201" t="s">
        <v>360</v>
      </c>
      <c r="B28" s="60">
        <v>37.11</v>
      </c>
      <c r="C28" s="60">
        <v>91.38</v>
      </c>
      <c r="D28" s="60">
        <v>80.599999999999994</v>
      </c>
      <c r="E28" s="60">
        <v>9.1199999999999992</v>
      </c>
      <c r="F28" s="60">
        <v>3.66</v>
      </c>
      <c r="G28" s="60">
        <v>135.74</v>
      </c>
      <c r="H28" s="60">
        <v>47.03</v>
      </c>
      <c r="I28" s="210" t="s">
        <v>36</v>
      </c>
      <c r="J28" s="60">
        <v>0.31</v>
      </c>
      <c r="K28" s="60">
        <v>41.41</v>
      </c>
      <c r="L28" s="60">
        <v>16</v>
      </c>
      <c r="M28" s="60">
        <v>44</v>
      </c>
      <c r="N28" s="60">
        <v>3.9</v>
      </c>
      <c r="O28" s="60">
        <v>0</v>
      </c>
      <c r="P28" s="60">
        <v>1.26</v>
      </c>
      <c r="Q28" s="60">
        <v>29.57</v>
      </c>
      <c r="R28" s="198"/>
      <c r="S28" s="198"/>
      <c r="T28" s="198"/>
      <c r="U28" s="198"/>
    </row>
    <row r="29" spans="1:21" s="12" customFormat="1" x14ac:dyDescent="0.25">
      <c r="A29" s="201" t="s">
        <v>361</v>
      </c>
      <c r="B29" s="60">
        <v>36.700000000000003</v>
      </c>
      <c r="C29" s="60">
        <v>90.64</v>
      </c>
      <c r="D29" s="60">
        <v>79.87</v>
      </c>
      <c r="E29" s="60">
        <v>8.7200000000000006</v>
      </c>
      <c r="F29" s="60">
        <v>3.61</v>
      </c>
      <c r="G29" s="60">
        <v>135.74</v>
      </c>
      <c r="H29" s="60">
        <v>47.03</v>
      </c>
      <c r="I29" s="210" t="s">
        <v>36</v>
      </c>
      <c r="J29" s="60">
        <v>0.34</v>
      </c>
      <c r="K29" s="60">
        <v>34.19</v>
      </c>
      <c r="L29" s="60">
        <v>15.76</v>
      </c>
      <c r="M29" s="60">
        <v>45</v>
      </c>
      <c r="N29" s="60">
        <v>3.9</v>
      </c>
      <c r="O29" s="60">
        <v>0</v>
      </c>
      <c r="P29" s="60">
        <v>1.26</v>
      </c>
      <c r="Q29" s="60">
        <v>29.64</v>
      </c>
      <c r="R29" s="198"/>
      <c r="S29" s="198"/>
      <c r="T29" s="198"/>
      <c r="U29" s="198"/>
    </row>
    <row r="30" spans="1:21" s="12" customFormat="1" x14ac:dyDescent="0.25">
      <c r="A30" s="201" t="s">
        <v>362</v>
      </c>
      <c r="B30" s="60">
        <v>36.369999999999997</v>
      </c>
      <c r="C30" s="60">
        <v>89.82</v>
      </c>
      <c r="D30" s="60">
        <v>79.150000000000006</v>
      </c>
      <c r="E30" s="60">
        <v>8.74</v>
      </c>
      <c r="F30" s="60">
        <v>3.62</v>
      </c>
      <c r="G30" s="60">
        <v>135.19999999999999</v>
      </c>
      <c r="H30" s="60">
        <v>50.78</v>
      </c>
      <c r="I30" s="210" t="s">
        <v>36</v>
      </c>
      <c r="J30" s="60">
        <v>0.76</v>
      </c>
      <c r="K30" s="60">
        <v>15.61</v>
      </c>
      <c r="L30" s="60">
        <v>15.51</v>
      </c>
      <c r="M30" s="60">
        <v>48</v>
      </c>
      <c r="N30" s="60">
        <v>3.6</v>
      </c>
      <c r="O30" s="60">
        <v>0</v>
      </c>
      <c r="P30" s="60">
        <v>1.25</v>
      </c>
      <c r="Q30" s="60">
        <v>29.68</v>
      </c>
      <c r="R30" s="198"/>
      <c r="S30" s="198"/>
      <c r="T30" s="198"/>
      <c r="U30" s="198"/>
    </row>
    <row r="31" spans="1:21" s="12" customFormat="1" x14ac:dyDescent="0.25">
      <c r="A31" s="201" t="s">
        <v>363</v>
      </c>
      <c r="B31" s="60">
        <v>36.090000000000003</v>
      </c>
      <c r="C31" s="60">
        <v>89.34</v>
      </c>
      <c r="D31" s="60">
        <v>78.66</v>
      </c>
      <c r="E31" s="60">
        <v>9.3800000000000008</v>
      </c>
      <c r="F31" s="60">
        <v>3.61</v>
      </c>
      <c r="G31" s="60">
        <v>134.77000000000001</v>
      </c>
      <c r="H31" s="60">
        <v>53.78</v>
      </c>
      <c r="I31" s="210" t="s">
        <v>36</v>
      </c>
      <c r="J31" s="60">
        <v>0.46</v>
      </c>
      <c r="K31" s="60">
        <v>351.72</v>
      </c>
      <c r="L31" s="60">
        <v>14.97</v>
      </c>
      <c r="M31" s="60">
        <v>52</v>
      </c>
      <c r="N31" s="60">
        <v>4.0999999999999996</v>
      </c>
      <c r="O31" s="60">
        <v>0</v>
      </c>
      <c r="P31" s="60">
        <v>1.23</v>
      </c>
      <c r="Q31" s="60">
        <v>30.46</v>
      </c>
      <c r="R31" s="198"/>
      <c r="S31" s="198"/>
      <c r="T31" s="198"/>
      <c r="U31" s="198"/>
    </row>
    <row r="32" spans="1:21" s="12" customFormat="1" x14ac:dyDescent="0.25">
      <c r="A32" s="201" t="s">
        <v>364</v>
      </c>
      <c r="B32" s="60">
        <v>37.409999999999997</v>
      </c>
      <c r="C32" s="60">
        <v>89.35</v>
      </c>
      <c r="D32" s="60">
        <v>79.72</v>
      </c>
      <c r="E32" s="60">
        <v>9.85</v>
      </c>
      <c r="F32" s="60">
        <v>3.63</v>
      </c>
      <c r="G32" s="60">
        <v>134.77000000000001</v>
      </c>
      <c r="H32" s="60">
        <v>53.78</v>
      </c>
      <c r="I32" s="210" t="s">
        <v>36</v>
      </c>
      <c r="J32" s="60">
        <v>0.17</v>
      </c>
      <c r="K32" s="60">
        <v>28.41</v>
      </c>
      <c r="L32" s="60">
        <v>14.7</v>
      </c>
      <c r="M32" s="60">
        <v>54</v>
      </c>
      <c r="N32" s="60">
        <v>4.4000000000000004</v>
      </c>
      <c r="O32" s="60">
        <v>0</v>
      </c>
      <c r="P32" s="60">
        <v>1.21</v>
      </c>
      <c r="Q32" s="60">
        <v>30.82</v>
      </c>
      <c r="R32" s="198"/>
      <c r="S32" s="198"/>
      <c r="T32" s="198"/>
      <c r="U32" s="198"/>
    </row>
    <row r="33" spans="1:21" s="12" customFormat="1" x14ac:dyDescent="0.25">
      <c r="A33" s="201" t="s">
        <v>365</v>
      </c>
      <c r="B33" s="60">
        <v>39.29</v>
      </c>
      <c r="C33" s="60">
        <v>89.78</v>
      </c>
      <c r="D33" s="60">
        <v>81.47</v>
      </c>
      <c r="E33" s="60">
        <v>9.44</v>
      </c>
      <c r="F33" s="60">
        <v>3.61</v>
      </c>
      <c r="G33" s="60">
        <v>134.77000000000001</v>
      </c>
      <c r="H33" s="60">
        <v>53.78</v>
      </c>
      <c r="I33" s="210" t="s">
        <v>36</v>
      </c>
      <c r="J33" s="60">
        <v>0.32</v>
      </c>
      <c r="K33" s="60">
        <v>69.98</v>
      </c>
      <c r="L33" s="60">
        <v>14.88</v>
      </c>
      <c r="M33" s="60">
        <v>51</v>
      </c>
      <c r="N33" s="60">
        <v>3.7</v>
      </c>
      <c r="O33" s="60">
        <v>0</v>
      </c>
      <c r="P33" s="60">
        <v>1.19</v>
      </c>
      <c r="Q33" s="60">
        <v>31.04</v>
      </c>
      <c r="R33" s="198"/>
      <c r="S33" s="198"/>
      <c r="T33" s="198"/>
      <c r="U33" s="198"/>
    </row>
    <row r="34" spans="1:21" s="12" customFormat="1" x14ac:dyDescent="0.25">
      <c r="A34" s="201" t="s">
        <v>366</v>
      </c>
      <c r="B34" s="60">
        <v>40.24</v>
      </c>
      <c r="C34" s="60">
        <v>90.06</v>
      </c>
      <c r="D34" s="60">
        <v>82.39</v>
      </c>
      <c r="E34" s="60">
        <v>9.5399999999999991</v>
      </c>
      <c r="F34" s="60">
        <v>3.65</v>
      </c>
      <c r="G34" s="60">
        <v>138.65</v>
      </c>
      <c r="H34" s="60">
        <v>53.16</v>
      </c>
      <c r="I34" s="210" t="s">
        <v>36</v>
      </c>
      <c r="J34" s="60">
        <v>0.44</v>
      </c>
      <c r="K34" s="60">
        <v>29.77</v>
      </c>
      <c r="L34" s="60">
        <v>14.85</v>
      </c>
      <c r="M34" s="60">
        <v>51</v>
      </c>
      <c r="N34" s="60">
        <v>4.8</v>
      </c>
      <c r="O34" s="60">
        <v>0</v>
      </c>
      <c r="P34" s="60">
        <v>1.19</v>
      </c>
      <c r="Q34" s="60">
        <v>30.77</v>
      </c>
      <c r="R34" s="198"/>
      <c r="S34" s="198"/>
      <c r="T34" s="198"/>
      <c r="U34" s="198"/>
    </row>
    <row r="35" spans="1:21" s="12" customFormat="1" x14ac:dyDescent="0.25">
      <c r="A35" s="201" t="s">
        <v>367</v>
      </c>
      <c r="B35" s="60">
        <v>42.13</v>
      </c>
      <c r="C35" s="60">
        <v>91.04</v>
      </c>
      <c r="D35" s="60">
        <v>84.44</v>
      </c>
      <c r="E35" s="60">
        <v>9.74</v>
      </c>
      <c r="F35" s="60">
        <v>3.58</v>
      </c>
      <c r="G35" s="60">
        <v>141.75</v>
      </c>
      <c r="H35" s="60">
        <v>52.66</v>
      </c>
      <c r="I35" s="210" t="s">
        <v>36</v>
      </c>
      <c r="J35" s="60">
        <v>0.5</v>
      </c>
      <c r="K35" s="60">
        <v>19.11</v>
      </c>
      <c r="L35" s="60">
        <v>14.73</v>
      </c>
      <c r="M35" s="60">
        <v>51</v>
      </c>
      <c r="N35" s="60">
        <v>8.9</v>
      </c>
      <c r="O35" s="60">
        <v>0</v>
      </c>
      <c r="P35" s="60">
        <v>1.21</v>
      </c>
      <c r="Q35" s="60">
        <v>30.79</v>
      </c>
      <c r="R35" s="198"/>
      <c r="S35" s="198"/>
      <c r="T35" s="198"/>
      <c r="U35" s="198"/>
    </row>
    <row r="36" spans="1:21" s="12" customFormat="1" x14ac:dyDescent="0.25">
      <c r="A36" s="201" t="s">
        <v>368</v>
      </c>
      <c r="B36" s="60">
        <v>43.33</v>
      </c>
      <c r="C36" s="60">
        <v>91.95</v>
      </c>
      <c r="D36" s="60">
        <v>85.91</v>
      </c>
      <c r="E36" s="60">
        <v>8.5</v>
      </c>
      <c r="F36" s="60">
        <v>3.48</v>
      </c>
      <c r="G36" s="60">
        <v>141.75</v>
      </c>
      <c r="H36" s="60">
        <v>52.66</v>
      </c>
      <c r="I36" s="210" t="s">
        <v>36</v>
      </c>
      <c r="J36" s="60">
        <v>0.08</v>
      </c>
      <c r="K36" s="60">
        <v>44.24</v>
      </c>
      <c r="L36" s="60">
        <v>14.6</v>
      </c>
      <c r="M36" s="60">
        <v>52</v>
      </c>
      <c r="N36" s="60">
        <v>19.100000000000001</v>
      </c>
      <c r="O36" s="60">
        <v>0</v>
      </c>
      <c r="P36" s="60">
        <v>1.28</v>
      </c>
      <c r="Q36" s="60">
        <v>30.7</v>
      </c>
      <c r="R36" s="198"/>
      <c r="S36" s="198"/>
      <c r="T36" s="198"/>
      <c r="U36" s="198"/>
    </row>
    <row r="37" spans="1:21" s="12" customFormat="1" x14ac:dyDescent="0.25">
      <c r="A37" s="201" t="s">
        <v>369</v>
      </c>
      <c r="B37" s="60">
        <v>44.67</v>
      </c>
      <c r="C37" s="60">
        <v>92.72</v>
      </c>
      <c r="D37" s="60">
        <v>87.4</v>
      </c>
      <c r="E37" s="60">
        <v>7.66</v>
      </c>
      <c r="F37" s="60">
        <v>3.63</v>
      </c>
      <c r="G37" s="60">
        <v>141.75</v>
      </c>
      <c r="H37" s="60">
        <v>52.66</v>
      </c>
      <c r="I37" s="210" t="s">
        <v>36</v>
      </c>
      <c r="J37" s="60">
        <v>0.2</v>
      </c>
      <c r="K37" s="60">
        <v>91.56</v>
      </c>
      <c r="L37" s="60">
        <v>15.04</v>
      </c>
      <c r="M37" s="60">
        <v>51</v>
      </c>
      <c r="N37" s="60">
        <v>27.4</v>
      </c>
      <c r="O37" s="60">
        <v>0</v>
      </c>
      <c r="P37" s="60">
        <v>1.36</v>
      </c>
      <c r="Q37" s="60">
        <v>30.09</v>
      </c>
      <c r="R37" s="198"/>
      <c r="S37" s="198"/>
      <c r="T37" s="198"/>
      <c r="U37" s="198"/>
    </row>
    <row r="38" spans="1:21" s="12" customFormat="1" x14ac:dyDescent="0.25">
      <c r="A38" s="201" t="s">
        <v>370</v>
      </c>
      <c r="B38" s="60">
        <v>45.33</v>
      </c>
      <c r="C38" s="60">
        <v>92.85</v>
      </c>
      <c r="D38" s="60">
        <v>88</v>
      </c>
      <c r="E38" s="60">
        <v>7.05</v>
      </c>
      <c r="F38" s="60">
        <v>3.54</v>
      </c>
      <c r="G38" s="60">
        <v>134.28</v>
      </c>
      <c r="H38" s="60">
        <v>52.67</v>
      </c>
      <c r="I38" s="210" t="s">
        <v>36</v>
      </c>
      <c r="J38" s="60">
        <v>0.36</v>
      </c>
      <c r="K38" s="60">
        <v>74.63</v>
      </c>
      <c r="L38" s="60">
        <v>15.67</v>
      </c>
      <c r="M38" s="60">
        <v>48</v>
      </c>
      <c r="N38" s="60">
        <v>35.9</v>
      </c>
      <c r="O38" s="60">
        <v>0</v>
      </c>
      <c r="P38" s="60">
        <v>1.48</v>
      </c>
      <c r="Q38" s="60">
        <v>29.23</v>
      </c>
      <c r="R38" s="198"/>
      <c r="S38" s="198"/>
      <c r="T38" s="198"/>
      <c r="U38" s="198"/>
    </row>
    <row r="39" spans="1:21" s="12" customFormat="1" x14ac:dyDescent="0.25">
      <c r="A39" s="201" t="s">
        <v>371</v>
      </c>
      <c r="B39" s="60">
        <v>43.96</v>
      </c>
      <c r="C39" s="60">
        <v>90.85</v>
      </c>
      <c r="D39" s="60">
        <v>85.8</v>
      </c>
      <c r="E39" s="60">
        <v>6.94</v>
      </c>
      <c r="F39" s="60">
        <v>3.64</v>
      </c>
      <c r="G39" s="60">
        <v>128.30000000000001</v>
      </c>
      <c r="H39" s="60">
        <v>52.68</v>
      </c>
      <c r="I39" s="210" t="s">
        <v>36</v>
      </c>
      <c r="J39" s="60">
        <v>0.61</v>
      </c>
      <c r="K39" s="60">
        <v>69.89</v>
      </c>
      <c r="L39" s="60">
        <v>16.63</v>
      </c>
      <c r="M39" s="60">
        <v>43</v>
      </c>
      <c r="N39" s="60">
        <v>129.19999999999999</v>
      </c>
      <c r="O39" s="60">
        <v>0</v>
      </c>
      <c r="P39" s="60">
        <v>1.48</v>
      </c>
      <c r="Q39" s="60">
        <v>28.76</v>
      </c>
      <c r="R39" s="198"/>
      <c r="S39" s="198"/>
      <c r="T39" s="198"/>
      <c r="U39" s="198"/>
    </row>
    <row r="40" spans="1:21" s="12" customFormat="1" x14ac:dyDescent="0.25">
      <c r="A40" s="201" t="s">
        <v>372</v>
      </c>
      <c r="B40" s="60">
        <v>43.58</v>
      </c>
      <c r="C40" s="60">
        <v>91.74</v>
      </c>
      <c r="D40" s="60">
        <v>85.99</v>
      </c>
      <c r="E40" s="60">
        <v>5.5</v>
      </c>
      <c r="F40" s="60">
        <v>3.67</v>
      </c>
      <c r="G40" s="60">
        <v>128.30000000000001</v>
      </c>
      <c r="H40" s="60">
        <v>52.68</v>
      </c>
      <c r="I40" s="210" t="s">
        <v>36</v>
      </c>
      <c r="J40" s="60">
        <v>0.65</v>
      </c>
      <c r="K40" s="60">
        <v>29.82</v>
      </c>
      <c r="L40" s="60">
        <v>19.239999999999998</v>
      </c>
      <c r="M40" s="60">
        <v>37</v>
      </c>
      <c r="N40" s="60">
        <v>255.2</v>
      </c>
      <c r="O40" s="60">
        <v>0</v>
      </c>
      <c r="P40" s="60">
        <v>1.47</v>
      </c>
      <c r="Q40" s="60">
        <v>28.69</v>
      </c>
      <c r="R40" s="198"/>
      <c r="S40" s="198"/>
      <c r="T40" s="198"/>
      <c r="U40" s="198"/>
    </row>
    <row r="41" spans="1:21" s="12" customFormat="1" x14ac:dyDescent="0.25">
      <c r="A41" s="201" t="s">
        <v>373</v>
      </c>
      <c r="B41" s="60">
        <v>41.99</v>
      </c>
      <c r="C41" s="60">
        <v>92.07</v>
      </c>
      <c r="D41" s="60">
        <v>84.9</v>
      </c>
      <c r="E41" s="60">
        <v>8.39</v>
      </c>
      <c r="F41" s="60">
        <v>3.82</v>
      </c>
      <c r="G41" s="60">
        <v>128.30000000000001</v>
      </c>
      <c r="H41" s="60">
        <v>52.68</v>
      </c>
      <c r="I41" s="210" t="s">
        <v>36</v>
      </c>
      <c r="J41" s="60">
        <v>0.59</v>
      </c>
      <c r="K41" s="60">
        <v>39.4</v>
      </c>
      <c r="L41" s="60">
        <v>21.29</v>
      </c>
      <c r="M41" s="60">
        <v>33</v>
      </c>
      <c r="N41" s="60">
        <v>306.8</v>
      </c>
      <c r="O41" s="60">
        <v>0</v>
      </c>
      <c r="P41" s="60">
        <v>1.43</v>
      </c>
      <c r="Q41" s="60">
        <v>28.6</v>
      </c>
      <c r="R41" s="198"/>
      <c r="S41" s="198"/>
      <c r="T41" s="198"/>
      <c r="U41" s="198"/>
    </row>
    <row r="42" spans="1:21" s="12" customFormat="1" x14ac:dyDescent="0.25">
      <c r="A42" s="201" t="s">
        <v>374</v>
      </c>
      <c r="B42" s="60">
        <v>38.6</v>
      </c>
      <c r="C42" s="60">
        <v>91.24</v>
      </c>
      <c r="D42" s="60">
        <v>81.72</v>
      </c>
      <c r="E42" s="60">
        <v>9.06</v>
      </c>
      <c r="F42" s="60">
        <v>4.22</v>
      </c>
      <c r="G42" s="60">
        <v>100.05</v>
      </c>
      <c r="H42" s="60">
        <v>49.4</v>
      </c>
      <c r="I42" s="210" t="s">
        <v>36</v>
      </c>
      <c r="J42" s="60">
        <v>0.69</v>
      </c>
      <c r="K42" s="60">
        <v>74.760000000000005</v>
      </c>
      <c r="L42" s="60">
        <v>22</v>
      </c>
      <c r="M42" s="60">
        <v>31</v>
      </c>
      <c r="N42" s="60">
        <v>354.6</v>
      </c>
      <c r="O42" s="60">
        <v>0</v>
      </c>
      <c r="P42" s="60">
        <v>1.38</v>
      </c>
      <c r="Q42" s="60">
        <v>28.28</v>
      </c>
      <c r="R42" s="198"/>
      <c r="S42" s="198"/>
      <c r="T42" s="198"/>
      <c r="U42" s="198"/>
    </row>
    <row r="43" spans="1:21" s="12" customFormat="1" x14ac:dyDescent="0.25">
      <c r="A43" s="201" t="s">
        <v>375</v>
      </c>
      <c r="B43" s="60">
        <v>36.450000000000003</v>
      </c>
      <c r="C43" s="60">
        <v>89.94</v>
      </c>
      <c r="D43" s="60">
        <v>79.290000000000006</v>
      </c>
      <c r="E43" s="60">
        <v>8.74</v>
      </c>
      <c r="F43" s="60">
        <v>4.6500000000000004</v>
      </c>
      <c r="G43" s="60">
        <v>77.45</v>
      </c>
      <c r="H43" s="60">
        <v>46.78</v>
      </c>
      <c r="I43" s="210" t="s">
        <v>36</v>
      </c>
      <c r="J43" s="60">
        <v>0.99</v>
      </c>
      <c r="K43" s="60">
        <v>38.86</v>
      </c>
      <c r="L43" s="60">
        <v>22.36</v>
      </c>
      <c r="M43" s="60">
        <v>30</v>
      </c>
      <c r="N43" s="60">
        <v>399.1</v>
      </c>
      <c r="O43" s="60">
        <v>0</v>
      </c>
      <c r="P43" s="60">
        <v>1.32</v>
      </c>
      <c r="Q43" s="60">
        <v>28.04</v>
      </c>
      <c r="R43" s="198"/>
      <c r="S43" s="198"/>
      <c r="T43" s="198"/>
      <c r="U43" s="198"/>
    </row>
    <row r="44" spans="1:21" s="12" customFormat="1" x14ac:dyDescent="0.25">
      <c r="A44" s="201" t="s">
        <v>376</v>
      </c>
      <c r="B44" s="60">
        <v>33.1</v>
      </c>
      <c r="C44" s="60">
        <v>91.88</v>
      </c>
      <c r="D44" s="60">
        <v>77.66</v>
      </c>
      <c r="E44" s="60">
        <v>8.06</v>
      </c>
      <c r="F44" s="60">
        <v>4.17</v>
      </c>
      <c r="G44" s="60">
        <v>77.45</v>
      </c>
      <c r="H44" s="60">
        <v>46.78</v>
      </c>
      <c r="I44" s="210" t="s">
        <v>36</v>
      </c>
      <c r="J44" s="60">
        <v>0.85</v>
      </c>
      <c r="K44" s="60">
        <v>100.42</v>
      </c>
      <c r="L44" s="60">
        <v>22.62</v>
      </c>
      <c r="M44" s="60">
        <v>30</v>
      </c>
      <c r="N44" s="60">
        <v>447.4</v>
      </c>
      <c r="O44" s="60">
        <v>0</v>
      </c>
      <c r="P44" s="60">
        <v>1.27</v>
      </c>
      <c r="Q44" s="60">
        <v>27.9</v>
      </c>
      <c r="R44" s="198"/>
      <c r="S44" s="198"/>
      <c r="T44" s="198"/>
      <c r="U44" s="198"/>
    </row>
    <row r="45" spans="1:21" s="12" customFormat="1" x14ac:dyDescent="0.25">
      <c r="A45" s="201" t="s">
        <v>377</v>
      </c>
      <c r="B45" s="60">
        <v>31.17</v>
      </c>
      <c r="C45" s="60">
        <v>89.73</v>
      </c>
      <c r="D45" s="60">
        <v>74.930000000000007</v>
      </c>
      <c r="E45" s="60">
        <v>7.97</v>
      </c>
      <c r="F45" s="60">
        <v>4.07</v>
      </c>
      <c r="G45" s="60">
        <v>77.45</v>
      </c>
      <c r="H45" s="60">
        <v>46.78</v>
      </c>
      <c r="I45" s="210" t="s">
        <v>36</v>
      </c>
      <c r="J45" s="60">
        <v>1.04</v>
      </c>
      <c r="K45" s="60">
        <v>32.42</v>
      </c>
      <c r="L45" s="60">
        <v>23.99</v>
      </c>
      <c r="M45" s="60">
        <v>27</v>
      </c>
      <c r="N45" s="60">
        <v>483.9</v>
      </c>
      <c r="O45" s="60">
        <v>0</v>
      </c>
      <c r="P45" s="60">
        <v>1.21</v>
      </c>
      <c r="Q45" s="60">
        <v>28.72</v>
      </c>
      <c r="R45" s="198"/>
      <c r="S45" s="198"/>
      <c r="T45" s="198"/>
      <c r="U45" s="198"/>
    </row>
    <row r="46" spans="1:21" s="12" customFormat="1" x14ac:dyDescent="0.25">
      <c r="A46" s="201" t="s">
        <v>378</v>
      </c>
      <c r="B46" s="60">
        <v>29.32</v>
      </c>
      <c r="C46" s="60">
        <v>90.74</v>
      </c>
      <c r="D46" s="60">
        <v>74.010000000000005</v>
      </c>
      <c r="E46" s="60">
        <v>7.85</v>
      </c>
      <c r="F46" s="60">
        <v>4.04</v>
      </c>
      <c r="G46" s="60">
        <v>60.7</v>
      </c>
      <c r="H46" s="60">
        <v>39.450000000000003</v>
      </c>
      <c r="I46" s="210" t="s">
        <v>36</v>
      </c>
      <c r="J46" s="60">
        <v>0.65</v>
      </c>
      <c r="K46" s="60">
        <v>34.380000000000003</v>
      </c>
      <c r="L46" s="60">
        <v>25.21</v>
      </c>
      <c r="M46" s="60">
        <v>25</v>
      </c>
      <c r="N46" s="60">
        <v>511.4</v>
      </c>
      <c r="O46" s="60">
        <v>0</v>
      </c>
      <c r="P46" s="60">
        <v>1.1599999999999999</v>
      </c>
      <c r="Q46" s="60">
        <v>28.73</v>
      </c>
      <c r="R46" s="198"/>
      <c r="S46" s="198"/>
      <c r="T46" s="198"/>
      <c r="U46" s="198"/>
    </row>
    <row r="47" spans="1:21" s="12" customFormat="1" x14ac:dyDescent="0.25">
      <c r="A47" s="201" t="s">
        <v>379</v>
      </c>
      <c r="B47" s="60">
        <v>27.66</v>
      </c>
      <c r="C47" s="60">
        <v>91.69</v>
      </c>
      <c r="D47" s="60">
        <v>73.2</v>
      </c>
      <c r="E47" s="60">
        <v>7.82</v>
      </c>
      <c r="F47" s="60">
        <v>3.86</v>
      </c>
      <c r="G47" s="60">
        <v>47.3</v>
      </c>
      <c r="H47" s="60">
        <v>33.590000000000003</v>
      </c>
      <c r="I47" s="210" t="s">
        <v>36</v>
      </c>
      <c r="J47" s="60">
        <v>0.7</v>
      </c>
      <c r="K47" s="60">
        <v>38.03</v>
      </c>
      <c r="L47" s="60">
        <v>25.64</v>
      </c>
      <c r="M47" s="60">
        <v>25</v>
      </c>
      <c r="N47" s="60">
        <v>533.79999999999995</v>
      </c>
      <c r="O47" s="60">
        <v>0</v>
      </c>
      <c r="P47" s="60">
        <v>1.1200000000000001</v>
      </c>
      <c r="Q47" s="60">
        <v>28.58</v>
      </c>
      <c r="R47" s="198"/>
      <c r="S47" s="198"/>
      <c r="T47" s="198"/>
      <c r="U47" s="198"/>
    </row>
    <row r="48" spans="1:21" s="12" customFormat="1" x14ac:dyDescent="0.25">
      <c r="A48" s="201" t="s">
        <v>380</v>
      </c>
      <c r="B48" s="60">
        <v>26.08</v>
      </c>
      <c r="C48" s="60">
        <v>92.58</v>
      </c>
      <c r="D48" s="60">
        <v>72.42</v>
      </c>
      <c r="E48" s="60">
        <v>7.75</v>
      </c>
      <c r="F48" s="60">
        <v>4.0199999999999996</v>
      </c>
      <c r="G48" s="60">
        <v>47.3</v>
      </c>
      <c r="H48" s="60">
        <v>33.590000000000003</v>
      </c>
      <c r="I48" s="210" t="s">
        <v>36</v>
      </c>
      <c r="J48" s="60">
        <v>1.05</v>
      </c>
      <c r="K48" s="60">
        <v>29.29</v>
      </c>
      <c r="L48" s="60">
        <v>26.85</v>
      </c>
      <c r="M48" s="60">
        <v>22</v>
      </c>
      <c r="N48" s="60">
        <v>557.70000000000005</v>
      </c>
      <c r="O48" s="60">
        <v>0</v>
      </c>
      <c r="P48" s="60">
        <v>1.08</v>
      </c>
      <c r="Q48" s="60">
        <v>28.45</v>
      </c>
      <c r="R48" s="198"/>
      <c r="S48" s="198"/>
      <c r="T48" s="198"/>
      <c r="U48" s="198"/>
    </row>
    <row r="49" spans="1:21" s="12" customFormat="1" x14ac:dyDescent="0.25">
      <c r="A49" s="201" t="s">
        <v>381</v>
      </c>
      <c r="B49" s="60">
        <v>25.03</v>
      </c>
      <c r="C49" s="60">
        <v>93.77</v>
      </c>
      <c r="D49" s="60">
        <v>72.23</v>
      </c>
      <c r="E49" s="60">
        <v>8.0399999999999991</v>
      </c>
      <c r="F49" s="60">
        <v>3.94</v>
      </c>
      <c r="G49" s="60">
        <v>47.3</v>
      </c>
      <c r="H49" s="60">
        <v>33.590000000000003</v>
      </c>
      <c r="I49" s="210" t="s">
        <v>36</v>
      </c>
      <c r="J49" s="60">
        <v>0.71</v>
      </c>
      <c r="K49" s="60">
        <v>58.68</v>
      </c>
      <c r="L49" s="60">
        <v>26.9</v>
      </c>
      <c r="M49" s="60">
        <v>23</v>
      </c>
      <c r="N49" s="60">
        <v>572.9</v>
      </c>
      <c r="O49" s="60">
        <v>0</v>
      </c>
      <c r="P49" s="60">
        <v>1.06</v>
      </c>
      <c r="Q49" s="60">
        <v>28.1</v>
      </c>
      <c r="R49" s="198"/>
      <c r="S49" s="198"/>
      <c r="T49" s="198"/>
      <c r="U49" s="198"/>
    </row>
    <row r="50" spans="1:21" s="12" customFormat="1" x14ac:dyDescent="0.25">
      <c r="A50" s="201" t="s">
        <v>382</v>
      </c>
      <c r="B50" s="60">
        <v>23.56</v>
      </c>
      <c r="C50" s="60">
        <v>92.7</v>
      </c>
      <c r="D50" s="60">
        <v>70.47</v>
      </c>
      <c r="E50" s="60">
        <v>8.36</v>
      </c>
      <c r="F50" s="60">
        <v>3.93</v>
      </c>
      <c r="G50" s="60">
        <v>44.99</v>
      </c>
      <c r="H50" s="60">
        <v>31.26</v>
      </c>
      <c r="I50" s="210" t="s">
        <v>36</v>
      </c>
      <c r="J50" s="60">
        <v>1.32</v>
      </c>
      <c r="K50" s="60">
        <v>21.66</v>
      </c>
      <c r="L50" s="60">
        <v>28.05</v>
      </c>
      <c r="M50" s="60">
        <v>22</v>
      </c>
      <c r="N50" s="60">
        <v>586</v>
      </c>
      <c r="O50" s="60">
        <v>0</v>
      </c>
      <c r="P50" s="60">
        <v>1.03</v>
      </c>
      <c r="Q50" s="60">
        <v>27.76</v>
      </c>
      <c r="R50" s="198"/>
      <c r="S50" s="198"/>
      <c r="T50" s="198"/>
      <c r="U50" s="198"/>
    </row>
    <row r="51" spans="1:21" s="12" customFormat="1" x14ac:dyDescent="0.25">
      <c r="A51" s="201" t="s">
        <v>383</v>
      </c>
      <c r="B51" s="60">
        <v>22.88</v>
      </c>
      <c r="C51" s="60">
        <v>95.46</v>
      </c>
      <c r="D51" s="60">
        <v>71.44</v>
      </c>
      <c r="E51" s="60">
        <v>9</v>
      </c>
      <c r="F51" s="60">
        <v>3.9</v>
      </c>
      <c r="G51" s="60">
        <v>43.15</v>
      </c>
      <c r="H51" s="60">
        <v>29.4</v>
      </c>
      <c r="I51" s="210" t="s">
        <v>36</v>
      </c>
      <c r="J51" s="60">
        <v>0.43</v>
      </c>
      <c r="K51" s="60">
        <v>87.11</v>
      </c>
      <c r="L51" s="60">
        <v>28.37</v>
      </c>
      <c r="M51" s="60">
        <v>21</v>
      </c>
      <c r="N51" s="60">
        <v>602.5</v>
      </c>
      <c r="O51" s="60">
        <v>0</v>
      </c>
      <c r="P51" s="60">
        <v>1</v>
      </c>
      <c r="Q51" s="60">
        <v>27.32</v>
      </c>
      <c r="R51" s="198"/>
      <c r="S51" s="198"/>
      <c r="T51" s="198"/>
      <c r="U51" s="198"/>
    </row>
    <row r="52" spans="1:21" s="12" customFormat="1" x14ac:dyDescent="0.25">
      <c r="A52" s="201" t="s">
        <v>384</v>
      </c>
      <c r="B52" s="60">
        <v>22.48</v>
      </c>
      <c r="C52" s="60">
        <v>96.17</v>
      </c>
      <c r="D52" s="60">
        <v>71.510000000000005</v>
      </c>
      <c r="E52" s="60">
        <v>8.34</v>
      </c>
      <c r="F52" s="60">
        <v>4.3499999999999996</v>
      </c>
      <c r="G52" s="60">
        <v>43.15</v>
      </c>
      <c r="H52" s="60">
        <v>29.4</v>
      </c>
      <c r="I52" s="210" t="s">
        <v>36</v>
      </c>
      <c r="J52" s="60">
        <v>0.56999999999999995</v>
      </c>
      <c r="K52" s="60">
        <v>38.229999999999997</v>
      </c>
      <c r="L52" s="60">
        <v>27.74</v>
      </c>
      <c r="M52" s="60">
        <v>21</v>
      </c>
      <c r="N52" s="60">
        <v>629.4</v>
      </c>
      <c r="O52" s="60">
        <v>0</v>
      </c>
      <c r="P52" s="60">
        <v>0.98</v>
      </c>
      <c r="Q52" s="60">
        <v>26.86</v>
      </c>
      <c r="R52" s="198"/>
      <c r="S52" s="198"/>
      <c r="T52" s="198"/>
      <c r="U52" s="198"/>
    </row>
    <row r="53" spans="1:21" s="12" customFormat="1" x14ac:dyDescent="0.25">
      <c r="A53" s="201" t="s">
        <v>385</v>
      </c>
      <c r="B53" s="60">
        <v>21.35</v>
      </c>
      <c r="C53" s="60">
        <v>95.36</v>
      </c>
      <c r="D53" s="60">
        <v>70.16</v>
      </c>
      <c r="E53" s="60">
        <v>7.73</v>
      </c>
      <c r="F53" s="60">
        <v>4.84</v>
      </c>
      <c r="G53" s="60">
        <v>43.15</v>
      </c>
      <c r="H53" s="60">
        <v>29.4</v>
      </c>
      <c r="I53" s="210" t="s">
        <v>36</v>
      </c>
      <c r="J53" s="60">
        <v>0.56000000000000005</v>
      </c>
      <c r="K53" s="60">
        <v>88.4</v>
      </c>
      <c r="L53" s="60">
        <v>27.17</v>
      </c>
      <c r="M53" s="60">
        <v>22</v>
      </c>
      <c r="N53" s="60">
        <v>663.4</v>
      </c>
      <c r="O53" s="60">
        <v>0</v>
      </c>
      <c r="P53" s="60">
        <v>0.95</v>
      </c>
      <c r="Q53" s="60">
        <v>26.56</v>
      </c>
      <c r="R53" s="198"/>
      <c r="S53" s="198"/>
      <c r="T53" s="198"/>
      <c r="U53" s="198"/>
    </row>
    <row r="54" spans="1:21" s="12" customFormat="1" x14ac:dyDescent="0.25">
      <c r="A54" s="201" t="s">
        <v>386</v>
      </c>
      <c r="B54" s="60">
        <v>19.760000000000002</v>
      </c>
      <c r="C54" s="60">
        <v>92.59</v>
      </c>
      <c r="D54" s="60">
        <v>67.36</v>
      </c>
      <c r="E54" s="60">
        <v>6.97</v>
      </c>
      <c r="F54" s="60">
        <v>5.31</v>
      </c>
      <c r="G54" s="60">
        <v>41.52</v>
      </c>
      <c r="H54" s="60">
        <v>26.17</v>
      </c>
      <c r="I54" s="210" t="s">
        <v>36</v>
      </c>
      <c r="J54" s="60">
        <v>0.88</v>
      </c>
      <c r="K54" s="60">
        <v>21.46</v>
      </c>
      <c r="L54" s="60">
        <v>29.83</v>
      </c>
      <c r="M54" s="60">
        <v>17</v>
      </c>
      <c r="N54" s="60">
        <v>689.1</v>
      </c>
      <c r="O54" s="60">
        <v>0</v>
      </c>
      <c r="P54" s="60">
        <v>0.92</v>
      </c>
      <c r="Q54" s="60">
        <v>26.47</v>
      </c>
      <c r="R54" s="198"/>
      <c r="S54" s="198"/>
      <c r="T54" s="198"/>
      <c r="U54" s="198"/>
    </row>
    <row r="55" spans="1:21" s="12" customFormat="1" x14ac:dyDescent="0.25">
      <c r="A55" s="201" t="s">
        <v>387</v>
      </c>
      <c r="B55" s="60">
        <v>18.170000000000002</v>
      </c>
      <c r="C55" s="60">
        <v>94.07</v>
      </c>
      <c r="D55" s="60">
        <v>66.900000000000006</v>
      </c>
      <c r="E55" s="60">
        <v>7.03</v>
      </c>
      <c r="F55" s="60">
        <v>5.45</v>
      </c>
      <c r="G55" s="60">
        <v>40.22</v>
      </c>
      <c r="H55" s="60">
        <v>23.58</v>
      </c>
      <c r="I55" s="210" t="s">
        <v>36</v>
      </c>
      <c r="J55" s="60">
        <v>0.49</v>
      </c>
      <c r="K55" s="60">
        <v>53.87</v>
      </c>
      <c r="L55" s="60">
        <v>30.04</v>
      </c>
      <c r="M55" s="60">
        <v>17</v>
      </c>
      <c r="N55" s="60">
        <v>721.9</v>
      </c>
      <c r="O55" s="60">
        <v>0</v>
      </c>
      <c r="P55" s="60">
        <v>0.91</v>
      </c>
      <c r="Q55" s="60">
        <v>26.48</v>
      </c>
      <c r="R55" s="198"/>
      <c r="S55" s="198"/>
      <c r="T55" s="198"/>
      <c r="U55" s="198"/>
    </row>
    <row r="56" spans="1:21" s="12" customFormat="1" x14ac:dyDescent="0.25">
      <c r="A56" s="201" t="s">
        <v>388</v>
      </c>
      <c r="B56" s="60">
        <v>17.05</v>
      </c>
      <c r="C56" s="60">
        <v>92.17</v>
      </c>
      <c r="D56" s="60">
        <v>64.95</v>
      </c>
      <c r="E56" s="60">
        <v>4.3</v>
      </c>
      <c r="F56" s="60">
        <v>4.58</v>
      </c>
      <c r="G56" s="60">
        <v>40.22</v>
      </c>
      <c r="H56" s="60">
        <v>23.58</v>
      </c>
      <c r="I56" s="210" t="s">
        <v>36</v>
      </c>
      <c r="J56" s="60">
        <v>0.4</v>
      </c>
      <c r="K56" s="60">
        <v>101.36</v>
      </c>
      <c r="L56" s="60">
        <v>27.67</v>
      </c>
      <c r="M56" s="60">
        <v>19</v>
      </c>
      <c r="N56" s="60">
        <v>735</v>
      </c>
      <c r="O56" s="60">
        <v>0</v>
      </c>
      <c r="P56" s="60">
        <v>0.89</v>
      </c>
      <c r="Q56" s="60">
        <v>26.71</v>
      </c>
      <c r="R56" s="198"/>
      <c r="S56" s="198"/>
      <c r="T56" s="198"/>
      <c r="U56" s="198"/>
    </row>
    <row r="57" spans="1:21" s="12" customFormat="1" x14ac:dyDescent="0.25">
      <c r="A57" s="201" t="s">
        <v>389</v>
      </c>
      <c r="B57" s="60">
        <v>15.99</v>
      </c>
      <c r="C57" s="60">
        <v>90.59</v>
      </c>
      <c r="D57" s="60">
        <v>63.24</v>
      </c>
      <c r="E57" s="60">
        <v>7</v>
      </c>
      <c r="F57" s="60">
        <v>5.12</v>
      </c>
      <c r="G57" s="60">
        <v>40.22</v>
      </c>
      <c r="H57" s="60">
        <v>23.58</v>
      </c>
      <c r="I57" s="210" t="s">
        <v>36</v>
      </c>
      <c r="J57" s="60">
        <v>0.65</v>
      </c>
      <c r="K57" s="60">
        <v>26.91</v>
      </c>
      <c r="L57" s="60">
        <v>30.62</v>
      </c>
      <c r="M57" s="60">
        <v>15</v>
      </c>
      <c r="N57" s="60">
        <v>741.3</v>
      </c>
      <c r="O57" s="60">
        <v>0</v>
      </c>
      <c r="P57" s="60">
        <v>0.86</v>
      </c>
      <c r="Q57" s="60">
        <v>27.14</v>
      </c>
      <c r="R57" s="198"/>
      <c r="S57" s="198"/>
      <c r="T57" s="198"/>
      <c r="U57" s="198"/>
    </row>
    <row r="58" spans="1:21" s="12" customFormat="1" x14ac:dyDescent="0.25">
      <c r="A58" s="201" t="s">
        <v>390</v>
      </c>
      <c r="B58" s="60">
        <v>14.97</v>
      </c>
      <c r="C58" s="60">
        <v>90.88</v>
      </c>
      <c r="D58" s="60">
        <v>62.57</v>
      </c>
      <c r="E58" s="60">
        <v>5.99</v>
      </c>
      <c r="F58" s="60">
        <v>4.2699999999999996</v>
      </c>
      <c r="G58" s="60">
        <v>36.26</v>
      </c>
      <c r="H58" s="60">
        <v>20.99</v>
      </c>
      <c r="I58" s="210" t="s">
        <v>36</v>
      </c>
      <c r="J58" s="60">
        <v>0.27</v>
      </c>
      <c r="K58" s="60">
        <v>19.77</v>
      </c>
      <c r="L58" s="60">
        <v>29.66</v>
      </c>
      <c r="M58" s="60">
        <v>15</v>
      </c>
      <c r="N58" s="60">
        <v>731</v>
      </c>
      <c r="O58" s="60">
        <v>0</v>
      </c>
      <c r="P58" s="60">
        <v>0.85</v>
      </c>
      <c r="Q58" s="60">
        <v>27.33</v>
      </c>
      <c r="R58" s="198"/>
      <c r="S58" s="198"/>
      <c r="T58" s="198"/>
      <c r="U58" s="198"/>
    </row>
    <row r="59" spans="1:21" s="12" customFormat="1" x14ac:dyDescent="0.25">
      <c r="A59" s="201" t="s">
        <v>391</v>
      </c>
      <c r="B59" s="60">
        <v>13.23</v>
      </c>
      <c r="C59" s="60">
        <v>89.03</v>
      </c>
      <c r="D59" s="60">
        <v>60.16</v>
      </c>
      <c r="E59" s="60">
        <v>6.91</v>
      </c>
      <c r="F59" s="60">
        <v>5.0199999999999996</v>
      </c>
      <c r="G59" s="60">
        <v>33.090000000000003</v>
      </c>
      <c r="H59" s="60">
        <v>18.920000000000002</v>
      </c>
      <c r="I59" s="210" t="s">
        <v>36</v>
      </c>
      <c r="J59" s="60">
        <v>0.78</v>
      </c>
      <c r="K59" s="60">
        <v>23.38</v>
      </c>
      <c r="L59" s="60">
        <v>31.34</v>
      </c>
      <c r="M59" s="60">
        <v>13</v>
      </c>
      <c r="N59" s="60">
        <v>706.8</v>
      </c>
      <c r="O59" s="60">
        <v>0</v>
      </c>
      <c r="P59" s="60">
        <v>0.83</v>
      </c>
      <c r="Q59" s="60">
        <v>28.13</v>
      </c>
      <c r="R59" s="198"/>
      <c r="S59" s="198"/>
      <c r="T59" s="198"/>
      <c r="U59" s="198"/>
    </row>
    <row r="60" spans="1:21" s="12" customFormat="1" x14ac:dyDescent="0.25">
      <c r="A60" s="201" t="s">
        <v>392</v>
      </c>
      <c r="B60" s="60">
        <v>11.96</v>
      </c>
      <c r="C60" s="60">
        <v>90.8</v>
      </c>
      <c r="D60" s="60">
        <v>60.12</v>
      </c>
      <c r="E60" s="60">
        <v>7.68</v>
      </c>
      <c r="F60" s="60">
        <v>4.5199999999999996</v>
      </c>
      <c r="G60" s="60">
        <v>33.090000000000003</v>
      </c>
      <c r="H60" s="60">
        <v>18.920000000000002</v>
      </c>
      <c r="I60" s="210" t="s">
        <v>36</v>
      </c>
      <c r="J60" s="60">
        <v>0.22</v>
      </c>
      <c r="K60" s="60">
        <v>113.78</v>
      </c>
      <c r="L60" s="60">
        <v>30.32</v>
      </c>
      <c r="M60" s="60">
        <v>14</v>
      </c>
      <c r="N60" s="60">
        <v>659.3</v>
      </c>
      <c r="O60" s="60">
        <v>0</v>
      </c>
      <c r="P60" s="60">
        <v>0.82</v>
      </c>
      <c r="Q60" s="60">
        <v>29.17</v>
      </c>
      <c r="R60" s="198"/>
      <c r="S60" s="198"/>
      <c r="T60" s="198"/>
      <c r="U60" s="198"/>
    </row>
    <row r="61" spans="1:21" s="12" customFormat="1" x14ac:dyDescent="0.25">
      <c r="A61" s="201" t="s">
        <v>393</v>
      </c>
      <c r="B61" s="60">
        <v>10.89</v>
      </c>
      <c r="C61" s="60">
        <v>92.1</v>
      </c>
      <c r="D61" s="60">
        <v>59.97</v>
      </c>
      <c r="E61" s="60">
        <v>8.02</v>
      </c>
      <c r="F61" s="60">
        <v>4.6500000000000004</v>
      </c>
      <c r="G61" s="60">
        <v>33.090000000000003</v>
      </c>
      <c r="H61" s="60">
        <v>18.920000000000002</v>
      </c>
      <c r="I61" s="210" t="s">
        <v>36</v>
      </c>
      <c r="J61" s="60">
        <v>0.64</v>
      </c>
      <c r="K61" s="60">
        <v>32.24</v>
      </c>
      <c r="L61" s="60">
        <v>30.67</v>
      </c>
      <c r="M61" s="60">
        <v>14</v>
      </c>
      <c r="N61" s="60">
        <v>600.1</v>
      </c>
      <c r="O61" s="60">
        <v>0</v>
      </c>
      <c r="P61" s="60">
        <v>0.77</v>
      </c>
      <c r="Q61" s="60">
        <v>29.61</v>
      </c>
      <c r="R61" s="198"/>
      <c r="S61" s="198"/>
      <c r="T61" s="198"/>
      <c r="U61" s="198"/>
    </row>
    <row r="62" spans="1:21" s="12" customFormat="1" x14ac:dyDescent="0.25">
      <c r="A62" s="201" t="s">
        <v>394</v>
      </c>
      <c r="B62" s="60">
        <v>9.6999999999999993</v>
      </c>
      <c r="C62" s="60">
        <v>92.48</v>
      </c>
      <c r="D62" s="60">
        <v>59.23</v>
      </c>
      <c r="E62" s="60">
        <v>8.4</v>
      </c>
      <c r="F62" s="60">
        <v>4.6500000000000004</v>
      </c>
      <c r="G62" s="60">
        <v>35.520000000000003</v>
      </c>
      <c r="H62" s="60">
        <v>18.62</v>
      </c>
      <c r="I62" s="210" t="s">
        <v>36</v>
      </c>
      <c r="J62" s="60">
        <v>0.38</v>
      </c>
      <c r="K62" s="60">
        <v>56.77</v>
      </c>
      <c r="L62" s="60">
        <v>30.31</v>
      </c>
      <c r="M62" s="60">
        <v>15</v>
      </c>
      <c r="N62" s="60">
        <v>549.29999999999995</v>
      </c>
      <c r="O62" s="60">
        <v>0</v>
      </c>
      <c r="P62" s="60">
        <v>0.8</v>
      </c>
      <c r="Q62" s="60">
        <v>29.69</v>
      </c>
      <c r="R62" s="198"/>
      <c r="S62" s="198"/>
      <c r="T62" s="198"/>
      <c r="U62" s="198"/>
    </row>
    <row r="63" spans="1:21" s="12" customFormat="1" x14ac:dyDescent="0.25">
      <c r="A63" s="201" t="s">
        <v>395</v>
      </c>
      <c r="B63" s="60">
        <v>8.8000000000000007</v>
      </c>
      <c r="C63" s="60">
        <v>94.05</v>
      </c>
      <c r="D63" s="60">
        <v>59.38</v>
      </c>
      <c r="E63" s="60">
        <v>9.6999999999999993</v>
      </c>
      <c r="F63" s="60">
        <v>4.55</v>
      </c>
      <c r="G63" s="60">
        <v>37.47</v>
      </c>
      <c r="H63" s="60">
        <v>18.38</v>
      </c>
      <c r="I63" s="210" t="s">
        <v>36</v>
      </c>
      <c r="J63" s="60">
        <v>0.59</v>
      </c>
      <c r="K63" s="60">
        <v>23.98</v>
      </c>
      <c r="L63" s="60">
        <v>32</v>
      </c>
      <c r="M63" s="60">
        <v>14</v>
      </c>
      <c r="N63" s="60">
        <v>493.1</v>
      </c>
      <c r="O63" s="60">
        <v>0</v>
      </c>
      <c r="P63" s="60">
        <v>0.82</v>
      </c>
      <c r="Q63" s="60">
        <v>29.68</v>
      </c>
      <c r="R63" s="198"/>
      <c r="S63" s="198"/>
      <c r="T63" s="198"/>
      <c r="U63" s="198"/>
    </row>
    <row r="64" spans="1:21" s="12" customFormat="1" x14ac:dyDescent="0.25">
      <c r="A64" s="201" t="s">
        <v>396</v>
      </c>
      <c r="B64" s="60">
        <v>7.97</v>
      </c>
      <c r="C64" s="60">
        <v>96.5</v>
      </c>
      <c r="D64" s="60">
        <v>60.06</v>
      </c>
      <c r="E64" s="60">
        <v>9.06</v>
      </c>
      <c r="F64" s="60">
        <v>4.53</v>
      </c>
      <c r="G64" s="60">
        <v>37.47</v>
      </c>
      <c r="H64" s="60">
        <v>18.38</v>
      </c>
      <c r="I64" s="210" t="s">
        <v>36</v>
      </c>
      <c r="J64" s="60">
        <v>0.79</v>
      </c>
      <c r="K64" s="60">
        <v>59.69</v>
      </c>
      <c r="L64" s="60">
        <v>29.7</v>
      </c>
      <c r="M64" s="60">
        <v>15</v>
      </c>
      <c r="N64" s="60">
        <v>463.8</v>
      </c>
      <c r="O64" s="60">
        <v>0</v>
      </c>
      <c r="P64" s="60">
        <v>0.8</v>
      </c>
      <c r="Q64" s="60">
        <v>29.57</v>
      </c>
      <c r="R64" s="198"/>
      <c r="S64" s="198"/>
      <c r="T64" s="198"/>
      <c r="U64" s="198"/>
    </row>
    <row r="65" spans="1:21" s="12" customFormat="1" x14ac:dyDescent="0.25">
      <c r="A65" s="201" t="s">
        <v>397</v>
      </c>
      <c r="B65" s="60">
        <v>7.35</v>
      </c>
      <c r="C65" s="60">
        <v>97.02</v>
      </c>
      <c r="D65" s="60">
        <v>59.85</v>
      </c>
      <c r="E65" s="60">
        <v>9.0399999999999991</v>
      </c>
      <c r="F65" s="60">
        <v>4.59</v>
      </c>
      <c r="G65" s="60">
        <v>37.47</v>
      </c>
      <c r="H65" s="60">
        <v>18.38</v>
      </c>
      <c r="I65" s="210" t="s">
        <v>36</v>
      </c>
      <c r="J65" s="60">
        <v>1.1299999999999999</v>
      </c>
      <c r="K65" s="60">
        <v>21.06</v>
      </c>
      <c r="L65" s="60">
        <v>31.23</v>
      </c>
      <c r="M65" s="60">
        <v>14</v>
      </c>
      <c r="N65" s="60">
        <v>458.3</v>
      </c>
      <c r="O65" s="60">
        <v>0</v>
      </c>
      <c r="P65" s="60">
        <v>0.81</v>
      </c>
      <c r="Q65" s="60">
        <v>29.35</v>
      </c>
      <c r="R65" s="198"/>
      <c r="S65" s="198"/>
      <c r="T65" s="198"/>
      <c r="U65" s="198"/>
    </row>
    <row r="66" spans="1:21" s="12" customFormat="1" x14ac:dyDescent="0.25">
      <c r="A66" s="201" t="s">
        <v>398</v>
      </c>
      <c r="B66" s="60">
        <v>7.71</v>
      </c>
      <c r="C66" s="60">
        <v>92.27</v>
      </c>
      <c r="D66" s="60">
        <v>57.52</v>
      </c>
      <c r="E66" s="60">
        <v>10.84</v>
      </c>
      <c r="F66" s="60">
        <v>8.4</v>
      </c>
      <c r="G66" s="60">
        <v>53.58</v>
      </c>
      <c r="H66" s="60">
        <v>19.72</v>
      </c>
      <c r="I66" s="210" t="s">
        <v>36</v>
      </c>
      <c r="J66" s="60">
        <v>1.28</v>
      </c>
      <c r="K66" s="60">
        <v>21</v>
      </c>
      <c r="L66" s="60">
        <v>31.57</v>
      </c>
      <c r="M66" s="60">
        <v>13</v>
      </c>
      <c r="N66" s="60">
        <v>454.8</v>
      </c>
      <c r="O66" s="60">
        <v>0</v>
      </c>
      <c r="P66" s="60">
        <v>0.8</v>
      </c>
      <c r="Q66" s="60">
        <v>28.2</v>
      </c>
      <c r="R66" s="198"/>
      <c r="S66" s="198"/>
      <c r="T66" s="198"/>
      <c r="U66" s="198"/>
    </row>
    <row r="67" spans="1:21" s="12" customFormat="1" x14ac:dyDescent="0.25">
      <c r="A67" s="201" t="s">
        <v>399</v>
      </c>
      <c r="B67" s="60">
        <v>7.04</v>
      </c>
      <c r="C67" s="60">
        <v>93.59</v>
      </c>
      <c r="D67" s="60">
        <v>57.71</v>
      </c>
      <c r="E67" s="60">
        <v>8.65</v>
      </c>
      <c r="F67" s="60">
        <v>6.53</v>
      </c>
      <c r="G67" s="60">
        <v>66.459999999999994</v>
      </c>
      <c r="H67" s="60">
        <v>20.8</v>
      </c>
      <c r="I67" s="210" t="s">
        <v>36</v>
      </c>
      <c r="J67" s="60">
        <v>0.61</v>
      </c>
      <c r="K67" s="60">
        <v>3.87</v>
      </c>
      <c r="L67" s="60">
        <v>31.87</v>
      </c>
      <c r="M67" s="60">
        <v>13</v>
      </c>
      <c r="N67" s="60">
        <v>449.3</v>
      </c>
      <c r="O67" s="60">
        <v>0</v>
      </c>
      <c r="P67" s="60">
        <v>0.8</v>
      </c>
      <c r="Q67" s="60">
        <v>26.77</v>
      </c>
      <c r="R67" s="198"/>
      <c r="S67" s="198"/>
      <c r="T67" s="198"/>
      <c r="U67" s="198"/>
    </row>
    <row r="68" spans="1:21" s="12" customFormat="1" x14ac:dyDescent="0.25">
      <c r="A68" s="201" t="s">
        <v>400</v>
      </c>
      <c r="B68" s="60">
        <v>6.28</v>
      </c>
      <c r="C68" s="60">
        <v>94.17</v>
      </c>
      <c r="D68" s="60">
        <v>57.42</v>
      </c>
      <c r="E68" s="60">
        <v>6.63</v>
      </c>
      <c r="F68" s="60">
        <v>5.36</v>
      </c>
      <c r="G68" s="60">
        <v>66.459999999999994</v>
      </c>
      <c r="H68" s="60">
        <v>20.8</v>
      </c>
      <c r="I68" s="210" t="s">
        <v>36</v>
      </c>
      <c r="J68" s="60">
        <v>1.0900000000000001</v>
      </c>
      <c r="K68" s="60">
        <v>4.32</v>
      </c>
      <c r="L68" s="60">
        <v>32.35</v>
      </c>
      <c r="M68" s="60">
        <v>13</v>
      </c>
      <c r="N68" s="60">
        <v>293.8</v>
      </c>
      <c r="O68" s="60">
        <v>0</v>
      </c>
      <c r="P68" s="60">
        <v>0.79</v>
      </c>
      <c r="Q68" s="60">
        <v>26.42</v>
      </c>
      <c r="R68" s="198"/>
      <c r="S68" s="198"/>
      <c r="T68" s="198"/>
      <c r="U68" s="198"/>
    </row>
    <row r="69" spans="1:21" s="12" customFormat="1" x14ac:dyDescent="0.25">
      <c r="A69" s="201" t="s">
        <v>401</v>
      </c>
      <c r="B69" s="60">
        <v>6.65</v>
      </c>
      <c r="C69" s="60">
        <v>93.78</v>
      </c>
      <c r="D69" s="60">
        <v>57.5</v>
      </c>
      <c r="E69" s="60">
        <v>8</v>
      </c>
      <c r="F69" s="60">
        <v>7.1</v>
      </c>
      <c r="G69" s="60">
        <v>66.459999999999994</v>
      </c>
      <c r="H69" s="60">
        <v>20.8</v>
      </c>
      <c r="I69" s="210" t="s">
        <v>36</v>
      </c>
      <c r="J69" s="60">
        <v>0.98</v>
      </c>
      <c r="K69" s="60">
        <v>12.47</v>
      </c>
      <c r="L69" s="60">
        <v>32.19</v>
      </c>
      <c r="M69" s="60">
        <v>12</v>
      </c>
      <c r="N69" s="60">
        <v>199.5</v>
      </c>
      <c r="O69" s="60">
        <v>0</v>
      </c>
      <c r="P69" s="60">
        <v>0.78</v>
      </c>
      <c r="Q69" s="60">
        <v>26.47</v>
      </c>
      <c r="R69" s="198"/>
      <c r="S69" s="198"/>
      <c r="T69" s="198"/>
      <c r="U69" s="198"/>
    </row>
    <row r="70" spans="1:21" s="12" customFormat="1" x14ac:dyDescent="0.25">
      <c r="A70" s="201" t="s">
        <v>402</v>
      </c>
      <c r="B70" s="60">
        <v>6.44</v>
      </c>
      <c r="C70" s="60">
        <v>89.85</v>
      </c>
      <c r="D70" s="60">
        <v>55.17</v>
      </c>
      <c r="E70" s="60">
        <v>7.79</v>
      </c>
      <c r="F70" s="60">
        <v>6.29</v>
      </c>
      <c r="G70" s="60">
        <v>61.52</v>
      </c>
      <c r="H70" s="60">
        <v>19.690000000000001</v>
      </c>
      <c r="I70" s="210" t="s">
        <v>36</v>
      </c>
      <c r="J70" s="60">
        <v>0.71</v>
      </c>
      <c r="K70" s="60">
        <v>3</v>
      </c>
      <c r="L70" s="60">
        <v>31.82</v>
      </c>
      <c r="M70" s="60">
        <v>12</v>
      </c>
      <c r="N70" s="60">
        <v>138.6</v>
      </c>
      <c r="O70" s="60">
        <v>0</v>
      </c>
      <c r="P70" s="60">
        <v>0.77</v>
      </c>
      <c r="Q70" s="60">
        <v>26.54</v>
      </c>
      <c r="R70" s="198"/>
      <c r="S70" s="198"/>
      <c r="T70" s="198"/>
      <c r="U70" s="198"/>
    </row>
    <row r="71" spans="1:21" s="12" customFormat="1" x14ac:dyDescent="0.25">
      <c r="A71" s="201" t="s">
        <v>403</v>
      </c>
      <c r="B71" s="60">
        <v>6.23</v>
      </c>
      <c r="C71" s="60">
        <v>85.8</v>
      </c>
      <c r="D71" s="60">
        <v>52.76</v>
      </c>
      <c r="E71" s="60">
        <v>7.46</v>
      </c>
      <c r="F71" s="60">
        <v>6.33</v>
      </c>
      <c r="G71" s="60">
        <v>57.57</v>
      </c>
      <c r="H71" s="60">
        <v>18.8</v>
      </c>
      <c r="I71" s="210" t="s">
        <v>36</v>
      </c>
      <c r="J71" s="60">
        <v>1.18</v>
      </c>
      <c r="K71" s="60">
        <v>3.68</v>
      </c>
      <c r="L71" s="60">
        <v>31.27</v>
      </c>
      <c r="M71" s="60">
        <v>13</v>
      </c>
      <c r="N71" s="60">
        <v>136.1</v>
      </c>
      <c r="O71" s="60">
        <v>0</v>
      </c>
      <c r="P71" s="60">
        <v>0.75</v>
      </c>
      <c r="Q71" s="60">
        <v>26.66</v>
      </c>
      <c r="R71" s="198"/>
      <c r="S71" s="198"/>
      <c r="T71" s="198"/>
      <c r="U71" s="198"/>
    </row>
    <row r="72" spans="1:21" s="12" customFormat="1" x14ac:dyDescent="0.25">
      <c r="A72" s="201" t="s">
        <v>404</v>
      </c>
      <c r="B72" s="60">
        <v>7.74</v>
      </c>
      <c r="C72" s="60">
        <v>85.24</v>
      </c>
      <c r="D72" s="60">
        <v>53.67</v>
      </c>
      <c r="E72" s="60">
        <v>6.56</v>
      </c>
      <c r="F72" s="60">
        <v>9.06</v>
      </c>
      <c r="G72" s="60">
        <v>57.57</v>
      </c>
      <c r="H72" s="60">
        <v>18.8</v>
      </c>
      <c r="I72" s="210" t="s">
        <v>36</v>
      </c>
      <c r="J72" s="60">
        <v>0.84</v>
      </c>
      <c r="K72" s="60">
        <v>13.71</v>
      </c>
      <c r="L72" s="60">
        <v>30.52</v>
      </c>
      <c r="M72" s="60">
        <v>10</v>
      </c>
      <c r="N72" s="60">
        <v>94.3</v>
      </c>
      <c r="O72" s="60">
        <v>0</v>
      </c>
      <c r="P72" s="60">
        <v>0.73</v>
      </c>
      <c r="Q72" s="60">
        <v>26.65</v>
      </c>
      <c r="R72" s="198"/>
      <c r="S72" s="198"/>
      <c r="T72" s="198"/>
      <c r="U72" s="198"/>
    </row>
    <row r="73" spans="1:21" s="12" customFormat="1" x14ac:dyDescent="0.25">
      <c r="A73" s="201" t="s">
        <v>405</v>
      </c>
      <c r="B73" s="60">
        <v>6.95</v>
      </c>
      <c r="C73" s="60">
        <v>87.73</v>
      </c>
      <c r="D73" s="60">
        <v>54.41</v>
      </c>
      <c r="E73" s="60">
        <v>6.59</v>
      </c>
      <c r="F73" s="60">
        <v>5.37</v>
      </c>
      <c r="G73" s="60">
        <v>57.57</v>
      </c>
      <c r="H73" s="60">
        <v>18.8</v>
      </c>
      <c r="I73" s="210" t="s">
        <v>36</v>
      </c>
      <c r="J73" s="60">
        <v>0.96</v>
      </c>
      <c r="K73" s="60">
        <v>353.6</v>
      </c>
      <c r="L73" s="60">
        <v>29.46</v>
      </c>
      <c r="M73" s="60">
        <v>11</v>
      </c>
      <c r="N73" s="60">
        <v>112.7</v>
      </c>
      <c r="O73" s="60">
        <v>0</v>
      </c>
      <c r="P73" s="60">
        <v>0.74</v>
      </c>
      <c r="Q73" s="60">
        <v>27.02</v>
      </c>
      <c r="R73" s="198"/>
      <c r="S73" s="198"/>
      <c r="T73" s="198"/>
      <c r="U73" s="198"/>
    </row>
    <row r="74" spans="1:21" s="12" customFormat="1" x14ac:dyDescent="0.25">
      <c r="A74" s="201" t="s">
        <v>406</v>
      </c>
      <c r="B74" s="60">
        <v>7.27</v>
      </c>
      <c r="C74" s="60">
        <v>88.48</v>
      </c>
      <c r="D74" s="60">
        <v>55.07</v>
      </c>
      <c r="E74" s="60">
        <v>6.09</v>
      </c>
      <c r="F74" s="60">
        <v>4.8899999999999997</v>
      </c>
      <c r="G74" s="60">
        <v>52.05</v>
      </c>
      <c r="H74" s="60">
        <v>19.149999999999999</v>
      </c>
      <c r="I74" s="210" t="s">
        <v>36</v>
      </c>
      <c r="J74" s="60">
        <v>1.23</v>
      </c>
      <c r="K74" s="60">
        <v>20.2</v>
      </c>
      <c r="L74" s="60">
        <v>28.2</v>
      </c>
      <c r="M74" s="60">
        <v>11</v>
      </c>
      <c r="N74" s="60">
        <v>68.7</v>
      </c>
      <c r="O74" s="60">
        <v>0</v>
      </c>
      <c r="P74" s="60">
        <v>0.73</v>
      </c>
      <c r="Q74" s="60">
        <v>27.93</v>
      </c>
      <c r="R74" s="198"/>
      <c r="S74" s="198"/>
      <c r="T74" s="198"/>
      <c r="U74" s="198"/>
    </row>
    <row r="75" spans="1:21" s="12" customFormat="1" x14ac:dyDescent="0.25">
      <c r="A75" s="201" t="s">
        <v>407</v>
      </c>
      <c r="B75" s="60">
        <v>7.42</v>
      </c>
      <c r="C75" s="60">
        <v>89.8</v>
      </c>
      <c r="D75" s="60">
        <v>55.92</v>
      </c>
      <c r="E75" s="60">
        <v>5.86</v>
      </c>
      <c r="F75" s="60">
        <v>4.7</v>
      </c>
      <c r="G75" s="60">
        <v>47.63</v>
      </c>
      <c r="H75" s="60">
        <v>19.43</v>
      </c>
      <c r="I75" s="210" t="s">
        <v>36</v>
      </c>
      <c r="J75" s="60">
        <v>0.93</v>
      </c>
      <c r="K75" s="60">
        <v>3.39</v>
      </c>
      <c r="L75" s="60">
        <v>27.43</v>
      </c>
      <c r="M75" s="60">
        <v>13</v>
      </c>
      <c r="N75" s="60">
        <v>46.7</v>
      </c>
      <c r="O75" s="60">
        <v>0</v>
      </c>
      <c r="P75" s="60">
        <v>0.74</v>
      </c>
      <c r="Q75" s="60">
        <v>28</v>
      </c>
      <c r="R75" s="198"/>
      <c r="S75" s="198"/>
      <c r="T75" s="198"/>
      <c r="U75" s="198"/>
    </row>
    <row r="76" spans="1:21" s="12" customFormat="1" x14ac:dyDescent="0.25">
      <c r="A76" s="201" t="s">
        <v>408</v>
      </c>
      <c r="B76" s="60">
        <v>7.38</v>
      </c>
      <c r="C76" s="60">
        <v>89.67</v>
      </c>
      <c r="D76" s="60">
        <v>55.82</v>
      </c>
      <c r="E76" s="60">
        <v>6.08</v>
      </c>
      <c r="F76" s="60">
        <v>4.55</v>
      </c>
      <c r="G76" s="60">
        <v>47.63</v>
      </c>
      <c r="H76" s="60">
        <v>19.43</v>
      </c>
      <c r="I76" s="210" t="s">
        <v>36</v>
      </c>
      <c r="J76" s="60">
        <v>0.84</v>
      </c>
      <c r="K76" s="60">
        <v>7.78</v>
      </c>
      <c r="L76" s="60">
        <v>26.83</v>
      </c>
      <c r="M76" s="60">
        <v>14</v>
      </c>
      <c r="N76" s="60">
        <v>35.4</v>
      </c>
      <c r="O76" s="60">
        <v>0</v>
      </c>
      <c r="P76" s="60">
        <v>0.74</v>
      </c>
      <c r="Q76" s="60">
        <v>28.13</v>
      </c>
      <c r="R76" s="198"/>
      <c r="S76" s="198"/>
      <c r="T76" s="198"/>
      <c r="U76" s="198"/>
    </row>
    <row r="77" spans="1:21" s="12" customFormat="1" x14ac:dyDescent="0.25">
      <c r="A77" s="201" t="s">
        <v>409</v>
      </c>
      <c r="B77" s="60">
        <v>8.82</v>
      </c>
      <c r="C77" s="60">
        <v>92.55</v>
      </c>
      <c r="D77" s="60">
        <v>58.56</v>
      </c>
      <c r="E77" s="60">
        <v>5.72</v>
      </c>
      <c r="F77" s="60">
        <v>4.42</v>
      </c>
      <c r="G77" s="60">
        <v>47.63</v>
      </c>
      <c r="H77" s="60">
        <v>19.43</v>
      </c>
      <c r="I77" s="210" t="s">
        <v>36</v>
      </c>
      <c r="J77" s="60">
        <v>0.68</v>
      </c>
      <c r="K77" s="60">
        <v>9.35</v>
      </c>
      <c r="L77" s="60">
        <v>26.42</v>
      </c>
      <c r="M77" s="60">
        <v>15</v>
      </c>
      <c r="N77" s="60">
        <v>28.9</v>
      </c>
      <c r="O77" s="60">
        <v>0</v>
      </c>
      <c r="P77" s="60">
        <v>0.76</v>
      </c>
      <c r="Q77" s="60">
        <v>28.32</v>
      </c>
      <c r="R77" s="198"/>
      <c r="S77" s="198"/>
      <c r="T77" s="198"/>
      <c r="U77" s="198"/>
    </row>
    <row r="78" spans="1:21" s="12" customFormat="1" x14ac:dyDescent="0.25">
      <c r="A78" s="201" t="s">
        <v>410</v>
      </c>
      <c r="B78" s="60">
        <v>11.08</v>
      </c>
      <c r="C78" s="60">
        <v>94.29</v>
      </c>
      <c r="D78" s="60">
        <v>61.34</v>
      </c>
      <c r="E78" s="60">
        <v>5.46</v>
      </c>
      <c r="F78" s="60">
        <v>4.0999999999999996</v>
      </c>
      <c r="G78" s="60">
        <v>44.96</v>
      </c>
      <c r="H78" s="60">
        <v>18.579999999999998</v>
      </c>
      <c r="I78" s="210" t="s">
        <v>36</v>
      </c>
      <c r="J78" s="60">
        <v>0.46</v>
      </c>
      <c r="K78" s="60">
        <v>16.02</v>
      </c>
      <c r="L78" s="60">
        <v>25.75</v>
      </c>
      <c r="M78" s="60">
        <v>17</v>
      </c>
      <c r="N78" s="60">
        <v>21</v>
      </c>
      <c r="O78" s="60">
        <v>0</v>
      </c>
      <c r="P78" s="60">
        <v>0.8</v>
      </c>
      <c r="Q78" s="60">
        <v>28.38</v>
      </c>
      <c r="R78" s="198"/>
      <c r="S78" s="198"/>
      <c r="T78" s="198"/>
      <c r="U78" s="198"/>
    </row>
    <row r="79" spans="1:21" s="12" customFormat="1" x14ac:dyDescent="0.25">
      <c r="A79" s="201" t="s">
        <v>411</v>
      </c>
      <c r="B79" s="60">
        <v>12.68</v>
      </c>
      <c r="C79" s="60">
        <v>96.41</v>
      </c>
      <c r="D79" s="60">
        <v>63.79</v>
      </c>
      <c r="E79" s="60">
        <v>5.54</v>
      </c>
      <c r="F79" s="60">
        <v>3.78</v>
      </c>
      <c r="G79" s="60">
        <v>42.82</v>
      </c>
      <c r="H79" s="60">
        <v>17.899999999999999</v>
      </c>
      <c r="I79" s="210" t="s">
        <v>36</v>
      </c>
      <c r="J79" s="60">
        <v>0.3</v>
      </c>
      <c r="K79" s="60">
        <v>77.58</v>
      </c>
      <c r="L79" s="60">
        <v>25.08</v>
      </c>
      <c r="M79" s="60">
        <v>18</v>
      </c>
      <c r="N79" s="60">
        <v>12.1</v>
      </c>
      <c r="O79" s="60">
        <v>0</v>
      </c>
      <c r="P79" s="60">
        <v>0.84</v>
      </c>
      <c r="Q79" s="60">
        <v>28.73</v>
      </c>
      <c r="R79" s="198"/>
      <c r="S79" s="198"/>
      <c r="T79" s="198"/>
      <c r="U79" s="198"/>
    </row>
    <row r="80" spans="1:21" s="12" customFormat="1" x14ac:dyDescent="0.25">
      <c r="A80" s="201" t="s">
        <v>412</v>
      </c>
      <c r="B80" s="60">
        <v>20.29</v>
      </c>
      <c r="C80" s="60">
        <v>106.09</v>
      </c>
      <c r="D80" s="60">
        <v>75.23</v>
      </c>
      <c r="E80" s="60">
        <v>8.32</v>
      </c>
      <c r="F80" s="60">
        <v>3.92</v>
      </c>
      <c r="G80" s="60">
        <v>42.82</v>
      </c>
      <c r="H80" s="60">
        <v>17.899999999999999</v>
      </c>
      <c r="I80" s="210" t="s">
        <v>36</v>
      </c>
      <c r="J80" s="60">
        <v>0.28000000000000003</v>
      </c>
      <c r="K80" s="60">
        <v>80.91</v>
      </c>
      <c r="L80" s="60">
        <v>24.37</v>
      </c>
      <c r="M80" s="60">
        <v>18</v>
      </c>
      <c r="N80" s="60">
        <v>6.1</v>
      </c>
      <c r="O80" s="60">
        <v>0</v>
      </c>
      <c r="P80" s="60">
        <v>1.02</v>
      </c>
      <c r="Q80" s="60">
        <v>28.31</v>
      </c>
      <c r="R80" s="198"/>
      <c r="S80" s="198"/>
      <c r="T80" s="198"/>
      <c r="U80" s="198"/>
    </row>
    <row r="81" spans="1:26" s="12" customFormat="1" x14ac:dyDescent="0.25">
      <c r="A81" s="201" t="s">
        <v>413</v>
      </c>
      <c r="B81" s="60">
        <v>23.24</v>
      </c>
      <c r="C81" s="60">
        <v>105.68</v>
      </c>
      <c r="D81" s="60">
        <v>77.37</v>
      </c>
      <c r="E81" s="60">
        <v>8.85</v>
      </c>
      <c r="F81" s="60">
        <v>3.75</v>
      </c>
      <c r="G81" s="60">
        <v>42.82</v>
      </c>
      <c r="H81" s="60">
        <v>17.899999999999999</v>
      </c>
      <c r="I81" s="210" t="s">
        <v>36</v>
      </c>
      <c r="J81" s="60">
        <v>0.16</v>
      </c>
      <c r="K81" s="60">
        <v>89.35</v>
      </c>
      <c r="L81" s="60">
        <v>23.64</v>
      </c>
      <c r="M81" s="60">
        <v>20</v>
      </c>
      <c r="N81" s="60">
        <v>4.5</v>
      </c>
      <c r="O81" s="60">
        <v>0</v>
      </c>
      <c r="P81" s="60">
        <v>0.98</v>
      </c>
      <c r="Q81" s="60">
        <v>27.43</v>
      </c>
      <c r="R81" s="198"/>
      <c r="S81" s="198"/>
      <c r="T81" s="198"/>
      <c r="U81" s="198"/>
    </row>
    <row r="82" spans="1:26" s="12" customFormat="1" x14ac:dyDescent="0.25">
      <c r="A82" s="201" t="s">
        <v>414</v>
      </c>
      <c r="B82" s="60">
        <v>32.03</v>
      </c>
      <c r="C82" s="60">
        <v>110.12</v>
      </c>
      <c r="D82" s="60">
        <v>86.87</v>
      </c>
      <c r="E82" s="60">
        <v>9.75</v>
      </c>
      <c r="F82" s="60">
        <v>3.66</v>
      </c>
      <c r="G82" s="60">
        <v>52.19</v>
      </c>
      <c r="H82" s="60">
        <v>19.48</v>
      </c>
      <c r="I82" s="210" t="s">
        <v>36</v>
      </c>
      <c r="J82" s="60">
        <v>0.23</v>
      </c>
      <c r="K82" s="60">
        <v>56.71</v>
      </c>
      <c r="L82" s="60">
        <v>22.72</v>
      </c>
      <c r="M82" s="60">
        <v>24</v>
      </c>
      <c r="N82" s="60">
        <v>4.0999999999999996</v>
      </c>
      <c r="O82" s="60">
        <v>0</v>
      </c>
      <c r="P82" s="60">
        <v>1.1299999999999999</v>
      </c>
      <c r="Q82" s="60">
        <v>27.05</v>
      </c>
      <c r="R82" s="198"/>
      <c r="S82" s="198"/>
      <c r="T82" s="198"/>
      <c r="U82" s="198"/>
    </row>
    <row r="83" spans="1:26" s="12" customFormat="1" x14ac:dyDescent="0.25">
      <c r="A83" s="201" t="s">
        <v>415</v>
      </c>
      <c r="B83" s="60">
        <v>28.81</v>
      </c>
      <c r="C83" s="60">
        <v>107.91</v>
      </c>
      <c r="D83" s="60">
        <v>83.07</v>
      </c>
      <c r="E83" s="60">
        <v>7.68</v>
      </c>
      <c r="F83" s="60">
        <v>3.66</v>
      </c>
      <c r="G83" s="60">
        <v>59.68</v>
      </c>
      <c r="H83" s="60">
        <v>20.75</v>
      </c>
      <c r="I83" s="210" t="s">
        <v>36</v>
      </c>
      <c r="J83" s="60">
        <v>0.09</v>
      </c>
      <c r="K83" s="60">
        <v>105.31</v>
      </c>
      <c r="L83" s="60">
        <v>22.1</v>
      </c>
      <c r="M83" s="60">
        <v>25</v>
      </c>
      <c r="N83" s="60">
        <v>4.0999999999999996</v>
      </c>
      <c r="O83" s="60">
        <v>0</v>
      </c>
      <c r="P83" s="60">
        <v>1.0900000000000001</v>
      </c>
      <c r="Q83" s="60">
        <v>27.99</v>
      </c>
      <c r="R83" s="198"/>
      <c r="S83" s="198"/>
      <c r="T83" s="198"/>
      <c r="U83" s="198"/>
    </row>
    <row r="84" spans="1:26" s="12" customFormat="1" x14ac:dyDescent="0.25">
      <c r="A84" s="201" t="s">
        <v>416</v>
      </c>
      <c r="B84" s="60">
        <v>31.63</v>
      </c>
      <c r="C84" s="60">
        <v>109.16</v>
      </c>
      <c r="D84" s="60">
        <v>86.03</v>
      </c>
      <c r="E84" s="60">
        <v>7.13</v>
      </c>
      <c r="F84" s="60">
        <v>3.63</v>
      </c>
      <c r="G84" s="60">
        <v>59.68</v>
      </c>
      <c r="H84" s="60">
        <v>20.75</v>
      </c>
      <c r="I84" s="210" t="s">
        <v>36</v>
      </c>
      <c r="J84" s="60">
        <v>0.08</v>
      </c>
      <c r="K84" s="60">
        <v>341.26</v>
      </c>
      <c r="L84" s="60">
        <v>21.33</v>
      </c>
      <c r="M84" s="60">
        <v>27</v>
      </c>
      <c r="N84" s="60">
        <v>4.2</v>
      </c>
      <c r="O84" s="60">
        <v>0</v>
      </c>
      <c r="P84" s="60">
        <v>1.1000000000000001</v>
      </c>
      <c r="Q84" s="60">
        <v>29.55</v>
      </c>
      <c r="R84" s="198"/>
      <c r="S84" s="198"/>
      <c r="T84" s="198"/>
      <c r="U84" s="198"/>
    </row>
    <row r="85" spans="1:26" s="12" customFormat="1" x14ac:dyDescent="0.25">
      <c r="A85" s="201" t="s">
        <v>417</v>
      </c>
      <c r="B85" s="60">
        <v>35.79</v>
      </c>
      <c r="C85" s="60">
        <v>108.95</v>
      </c>
      <c r="D85" s="60">
        <v>89.24</v>
      </c>
      <c r="E85" s="60">
        <v>6.56</v>
      </c>
      <c r="F85" s="60">
        <v>3.65</v>
      </c>
      <c r="G85" s="60">
        <v>59.68</v>
      </c>
      <c r="H85" s="60">
        <v>20.75</v>
      </c>
      <c r="I85" s="210" t="s">
        <v>36</v>
      </c>
      <c r="J85" s="60">
        <v>0.08</v>
      </c>
      <c r="K85" s="60">
        <v>17.97</v>
      </c>
      <c r="L85" s="60">
        <v>20.38</v>
      </c>
      <c r="M85" s="60">
        <v>33</v>
      </c>
      <c r="N85" s="60">
        <v>4.5</v>
      </c>
      <c r="O85" s="60">
        <v>0</v>
      </c>
      <c r="P85" s="60">
        <v>1.17</v>
      </c>
      <c r="Q85" s="60">
        <v>30.29</v>
      </c>
      <c r="R85" s="198"/>
      <c r="S85" s="198"/>
      <c r="T85" s="198"/>
      <c r="U85" s="198"/>
    </row>
    <row r="86" spans="1:26" s="12" customFormat="1" x14ac:dyDescent="0.25">
      <c r="A86" s="201" t="s">
        <v>418</v>
      </c>
      <c r="B86" s="60">
        <v>44.85</v>
      </c>
      <c r="C86" s="60">
        <v>111.31</v>
      </c>
      <c r="D86" s="60">
        <v>97.81</v>
      </c>
      <c r="E86" s="60">
        <v>6.56</v>
      </c>
      <c r="F86" s="60">
        <v>3.67</v>
      </c>
      <c r="G86" s="60">
        <v>77.66</v>
      </c>
      <c r="H86" s="60">
        <v>26.69</v>
      </c>
      <c r="I86" s="210" t="s">
        <v>36</v>
      </c>
      <c r="J86" s="60">
        <v>0.09</v>
      </c>
      <c r="K86" s="60">
        <v>269.82</v>
      </c>
      <c r="L86" s="60">
        <v>19.72</v>
      </c>
      <c r="M86" s="60">
        <v>35</v>
      </c>
      <c r="N86" s="60">
        <v>4</v>
      </c>
      <c r="O86" s="60">
        <v>0</v>
      </c>
      <c r="P86" s="60">
        <v>1.3</v>
      </c>
      <c r="Q86" s="60">
        <v>30.25</v>
      </c>
      <c r="R86" s="198"/>
      <c r="S86" s="198"/>
      <c r="T86" s="198"/>
      <c r="U86" s="198"/>
    </row>
    <row r="87" spans="1:26" s="12" customFormat="1" x14ac:dyDescent="0.25">
      <c r="A87" s="201" t="s">
        <v>419</v>
      </c>
      <c r="B87" s="60">
        <v>50.46</v>
      </c>
      <c r="C87" s="60">
        <v>113.53</v>
      </c>
      <c r="D87" s="60">
        <v>103.54</v>
      </c>
      <c r="E87" s="60">
        <v>6.7</v>
      </c>
      <c r="F87" s="60">
        <v>3.55</v>
      </c>
      <c r="G87" s="60">
        <v>91.42</v>
      </c>
      <c r="H87" s="60">
        <v>31.44</v>
      </c>
      <c r="I87" s="210" t="s">
        <v>36</v>
      </c>
      <c r="J87" s="60">
        <v>0.08</v>
      </c>
      <c r="K87" s="60">
        <v>283.18</v>
      </c>
      <c r="L87" s="60">
        <v>19.440000000000001</v>
      </c>
      <c r="M87" s="60">
        <v>35</v>
      </c>
      <c r="N87" s="60">
        <v>4.0999999999999996</v>
      </c>
      <c r="O87" s="60">
        <v>0</v>
      </c>
      <c r="P87" s="60">
        <v>1.36</v>
      </c>
      <c r="Q87" s="60">
        <v>31.4</v>
      </c>
      <c r="R87" s="198"/>
      <c r="S87" s="198"/>
      <c r="T87" s="198"/>
      <c r="U87" s="198"/>
    </row>
    <row r="88" spans="1:26" s="12" customFormat="1" x14ac:dyDescent="0.25">
      <c r="A88" s="201" t="s">
        <v>420</v>
      </c>
      <c r="B88" s="60">
        <v>54.35</v>
      </c>
      <c r="C88" s="60">
        <v>115.14</v>
      </c>
      <c r="D88" s="60">
        <v>107.55</v>
      </c>
      <c r="E88" s="60">
        <v>4.6100000000000003</v>
      </c>
      <c r="F88" s="60">
        <v>3.52</v>
      </c>
      <c r="G88" s="60">
        <v>91.42</v>
      </c>
      <c r="H88" s="60">
        <v>31.44</v>
      </c>
      <c r="I88" s="210" t="s">
        <v>36</v>
      </c>
      <c r="J88" s="60">
        <v>0.08</v>
      </c>
      <c r="K88" s="60">
        <v>313.7</v>
      </c>
      <c r="L88" s="60">
        <v>19.14</v>
      </c>
      <c r="M88" s="60">
        <v>37</v>
      </c>
      <c r="N88" s="60">
        <v>3.8</v>
      </c>
      <c r="O88" s="60">
        <v>0</v>
      </c>
      <c r="P88" s="60">
        <v>1.47</v>
      </c>
      <c r="Q88" s="60">
        <v>33.65</v>
      </c>
      <c r="R88" s="198"/>
      <c r="S88" s="198"/>
      <c r="T88" s="198"/>
      <c r="U88" s="198"/>
    </row>
    <row r="89" spans="1:26" s="12" customFormat="1" x14ac:dyDescent="0.25">
      <c r="A89" s="201" t="s">
        <v>421</v>
      </c>
      <c r="B89" s="60">
        <v>64.709999999999994</v>
      </c>
      <c r="C89" s="60">
        <v>120.55</v>
      </c>
      <c r="D89" s="60">
        <v>118.83</v>
      </c>
      <c r="E89" s="60">
        <v>6.5</v>
      </c>
      <c r="F89" s="60">
        <v>3.64</v>
      </c>
      <c r="G89" s="60">
        <v>91.42</v>
      </c>
      <c r="H89" s="60">
        <v>31.44</v>
      </c>
      <c r="I89" s="210" t="s">
        <v>36</v>
      </c>
      <c r="J89" s="60">
        <v>0.09</v>
      </c>
      <c r="K89" s="60">
        <v>335.9</v>
      </c>
      <c r="L89" s="60">
        <v>18.75</v>
      </c>
      <c r="M89" s="60">
        <v>41</v>
      </c>
      <c r="N89" s="60">
        <v>4.2</v>
      </c>
      <c r="O89" s="60">
        <v>0</v>
      </c>
      <c r="P89" s="60">
        <v>1.64</v>
      </c>
      <c r="Q89" s="60">
        <v>35.15</v>
      </c>
      <c r="R89" s="198"/>
      <c r="S89" s="198"/>
      <c r="T89" s="198"/>
      <c r="U89" s="198"/>
    </row>
    <row r="90" spans="1:26" s="12" customFormat="1" x14ac:dyDescent="0.25">
      <c r="A90" s="201" t="s">
        <v>422</v>
      </c>
      <c r="B90" s="60">
        <v>77.66</v>
      </c>
      <c r="C90" s="60">
        <v>127.94</v>
      </c>
      <c r="D90" s="60">
        <v>133.30000000000001</v>
      </c>
      <c r="E90" s="60">
        <v>7.01</v>
      </c>
      <c r="F90" s="60">
        <v>3.65</v>
      </c>
      <c r="G90" s="60">
        <v>142.07</v>
      </c>
      <c r="H90" s="60">
        <v>36.840000000000003</v>
      </c>
      <c r="I90" s="210" t="s">
        <v>36</v>
      </c>
      <c r="J90" s="60">
        <v>0.12</v>
      </c>
      <c r="K90" s="60">
        <v>341.09</v>
      </c>
      <c r="L90" s="60">
        <v>18.559999999999999</v>
      </c>
      <c r="M90" s="60">
        <v>45</v>
      </c>
      <c r="N90" s="60">
        <v>3.8</v>
      </c>
      <c r="O90" s="60">
        <v>0</v>
      </c>
      <c r="P90" s="60">
        <v>1.83</v>
      </c>
      <c r="Q90" s="60">
        <v>36.020000000000003</v>
      </c>
      <c r="R90" s="198"/>
      <c r="S90" s="198"/>
      <c r="T90" s="198"/>
      <c r="U90" s="198"/>
    </row>
    <row r="91" spans="1:26" s="12" customFormat="1" x14ac:dyDescent="0.25">
      <c r="A91" s="201" t="s">
        <v>423</v>
      </c>
      <c r="B91" s="60">
        <v>92.02</v>
      </c>
      <c r="C91" s="60">
        <v>134.68</v>
      </c>
      <c r="D91" s="60">
        <v>148.54</v>
      </c>
      <c r="E91" s="60">
        <v>7.11</v>
      </c>
      <c r="F91" s="60">
        <v>3.57</v>
      </c>
      <c r="G91" s="60">
        <v>182.59</v>
      </c>
      <c r="H91" s="60">
        <v>41.16</v>
      </c>
      <c r="I91" s="210" t="s">
        <v>36</v>
      </c>
      <c r="J91" s="60">
        <v>0.05</v>
      </c>
      <c r="K91" s="60">
        <v>124.88</v>
      </c>
      <c r="L91" s="60">
        <v>18.239999999999998</v>
      </c>
      <c r="M91" s="60">
        <v>45</v>
      </c>
      <c r="N91" s="60">
        <v>4</v>
      </c>
      <c r="O91" s="60">
        <v>0</v>
      </c>
      <c r="P91" s="60">
        <v>2.09</v>
      </c>
      <c r="Q91" s="60">
        <v>36.97</v>
      </c>
      <c r="R91" s="198"/>
      <c r="S91" s="198"/>
      <c r="T91" s="198"/>
      <c r="U91" s="198"/>
    </row>
    <row r="92" spans="1:26" s="12" customFormat="1" x14ac:dyDescent="0.25">
      <c r="A92" s="201" t="s">
        <v>424</v>
      </c>
      <c r="B92" s="60">
        <v>108.14</v>
      </c>
      <c r="C92" s="60">
        <v>142.38</v>
      </c>
      <c r="D92" s="60">
        <v>165.71</v>
      </c>
      <c r="E92" s="60">
        <v>7.04</v>
      </c>
      <c r="F92" s="60">
        <v>3.63</v>
      </c>
      <c r="G92" s="60">
        <v>182.59</v>
      </c>
      <c r="H92" s="60">
        <v>41.16</v>
      </c>
      <c r="I92" s="210" t="s">
        <v>36</v>
      </c>
      <c r="J92" s="60">
        <v>0.03</v>
      </c>
      <c r="K92" s="60">
        <v>148.65</v>
      </c>
      <c r="L92" s="60">
        <v>18.11</v>
      </c>
      <c r="M92" s="60">
        <v>47</v>
      </c>
      <c r="N92" s="60">
        <v>4.0999999999999996</v>
      </c>
      <c r="O92" s="60">
        <v>0</v>
      </c>
      <c r="P92" s="60">
        <v>2.33</v>
      </c>
      <c r="Q92" s="60">
        <v>38.11</v>
      </c>
      <c r="R92" s="198"/>
      <c r="S92" s="198"/>
      <c r="T92" s="198"/>
      <c r="U92" s="198"/>
    </row>
    <row r="93" spans="1:26" s="12" customFormat="1" x14ac:dyDescent="0.25">
      <c r="A93" s="201" t="s">
        <v>425</v>
      </c>
      <c r="B93" s="60">
        <v>128.71</v>
      </c>
      <c r="C93" s="60">
        <v>152.77000000000001</v>
      </c>
      <c r="D93" s="60">
        <v>187.94</v>
      </c>
      <c r="E93" s="60">
        <v>7.49</v>
      </c>
      <c r="F93" s="60">
        <v>3.75</v>
      </c>
      <c r="G93" s="60">
        <v>182.59</v>
      </c>
      <c r="H93" s="60">
        <v>41.16</v>
      </c>
      <c r="I93" s="210" t="s">
        <v>36</v>
      </c>
      <c r="J93" s="60">
        <v>0.15</v>
      </c>
      <c r="K93" s="60">
        <v>282.20999999999998</v>
      </c>
      <c r="L93" s="60">
        <v>17.97</v>
      </c>
      <c r="M93" s="60">
        <v>46</v>
      </c>
      <c r="N93" s="60">
        <v>3.5</v>
      </c>
      <c r="O93" s="60">
        <v>0</v>
      </c>
      <c r="P93" s="60">
        <v>2.58</v>
      </c>
      <c r="Q93" s="60">
        <v>39.67</v>
      </c>
      <c r="R93" s="198"/>
      <c r="S93" s="198"/>
      <c r="T93" s="198"/>
      <c r="U93" s="198"/>
    </row>
    <row r="94" spans="1:26" s="12" customFormat="1" x14ac:dyDescent="0.25">
      <c r="A94" s="201" t="s">
        <v>426</v>
      </c>
      <c r="B94" s="60">
        <v>152.21</v>
      </c>
      <c r="C94" s="60">
        <v>162.28</v>
      </c>
      <c r="D94" s="60">
        <v>212.03</v>
      </c>
      <c r="E94" s="60">
        <v>7.79</v>
      </c>
      <c r="F94" s="60">
        <v>3.81</v>
      </c>
      <c r="G94" s="60">
        <v>195.39</v>
      </c>
      <c r="H94" s="60">
        <v>50.8</v>
      </c>
      <c r="I94" s="210" t="s">
        <v>36</v>
      </c>
      <c r="J94" s="60">
        <v>0.13</v>
      </c>
      <c r="K94" s="60">
        <v>353.41</v>
      </c>
      <c r="L94" s="60">
        <v>18.02</v>
      </c>
      <c r="M94" s="60">
        <v>48</v>
      </c>
      <c r="N94" s="60">
        <v>3.9</v>
      </c>
      <c r="O94" s="60">
        <v>0</v>
      </c>
      <c r="P94" s="60">
        <v>2.78</v>
      </c>
      <c r="Q94" s="60">
        <v>40.24</v>
      </c>
      <c r="R94" s="198"/>
      <c r="S94" s="198"/>
      <c r="T94" s="198"/>
      <c r="U94" s="198"/>
    </row>
    <row r="95" spans="1:26" s="12" customFormat="1" x14ac:dyDescent="0.25">
      <c r="A95" s="201" t="s">
        <v>427</v>
      </c>
      <c r="B95" s="60">
        <v>172.01</v>
      </c>
      <c r="C95" s="60">
        <v>172.12</v>
      </c>
      <c r="D95" s="60">
        <v>233.34</v>
      </c>
      <c r="E95" s="60">
        <v>8.02</v>
      </c>
      <c r="F95" s="60">
        <v>3.67</v>
      </c>
      <c r="G95" s="60">
        <v>205.63</v>
      </c>
      <c r="H95" s="60">
        <v>58.52</v>
      </c>
      <c r="I95" s="210" t="s">
        <v>36</v>
      </c>
      <c r="J95" s="60">
        <v>0.1</v>
      </c>
      <c r="K95" s="60">
        <v>290.07</v>
      </c>
      <c r="L95" s="60">
        <v>17.71</v>
      </c>
      <c r="M95" s="60">
        <v>49</v>
      </c>
      <c r="N95" s="60">
        <v>3.9</v>
      </c>
      <c r="O95" s="60">
        <v>0</v>
      </c>
      <c r="P95" s="60">
        <v>2.98</v>
      </c>
      <c r="Q95" s="60">
        <v>41.1</v>
      </c>
      <c r="R95" s="198"/>
      <c r="S95" s="198"/>
      <c r="T95" s="198"/>
      <c r="U95" s="198"/>
    </row>
    <row r="96" spans="1:26" s="12" customFormat="1" x14ac:dyDescent="0.25">
      <c r="A96" s="201" t="s">
        <v>428</v>
      </c>
      <c r="B96" s="60">
        <v>187.07</v>
      </c>
      <c r="C96" s="60">
        <v>178.49</v>
      </c>
      <c r="D96" s="60">
        <v>248.93</v>
      </c>
      <c r="E96" s="60">
        <v>7.77</v>
      </c>
      <c r="F96" s="60">
        <v>3.68</v>
      </c>
      <c r="G96" s="60">
        <v>205.63</v>
      </c>
      <c r="H96" s="60">
        <v>58.52</v>
      </c>
      <c r="I96" s="210" t="s">
        <v>36</v>
      </c>
      <c r="J96" s="60">
        <v>0.17</v>
      </c>
      <c r="K96" s="60">
        <v>340.87</v>
      </c>
      <c r="L96" s="60">
        <v>17.43</v>
      </c>
      <c r="M96" s="60">
        <v>56</v>
      </c>
      <c r="N96" s="60">
        <v>3.9</v>
      </c>
      <c r="O96" s="60">
        <v>0</v>
      </c>
      <c r="P96" s="60">
        <v>3.17</v>
      </c>
      <c r="Q96" s="60">
        <v>42.51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429</v>
      </c>
      <c r="B97" s="60">
        <v>196.17</v>
      </c>
      <c r="C97" s="60">
        <v>181.59</v>
      </c>
      <c r="D97" s="60">
        <v>257.95</v>
      </c>
      <c r="E97" s="60">
        <v>8.35</v>
      </c>
      <c r="F97" s="60">
        <v>3.65</v>
      </c>
      <c r="G97" s="60">
        <v>205.63</v>
      </c>
      <c r="H97" s="60">
        <v>58.52</v>
      </c>
      <c r="I97" s="210" t="s">
        <v>36</v>
      </c>
      <c r="J97" s="60">
        <v>0.09</v>
      </c>
      <c r="K97" s="60">
        <v>286.81</v>
      </c>
      <c r="L97" s="60">
        <v>17.09</v>
      </c>
      <c r="M97" s="60">
        <v>51</v>
      </c>
      <c r="N97" s="60">
        <v>4.0999999999999996</v>
      </c>
      <c r="O97" s="60">
        <v>0</v>
      </c>
      <c r="P97" s="60">
        <v>3.34</v>
      </c>
      <c r="Q97" s="60">
        <v>43.82</v>
      </c>
      <c r="R97" s="198"/>
      <c r="S97" s="198"/>
      <c r="T97" s="198"/>
      <c r="U97" s="198"/>
    </row>
    <row r="98" spans="1:33" s="12" customFormat="1" x14ac:dyDescent="0.25">
      <c r="A98" s="201" t="s">
        <v>430</v>
      </c>
      <c r="B98" s="60">
        <v>204.13</v>
      </c>
      <c r="C98" s="60">
        <v>183.73</v>
      </c>
      <c r="D98" s="60">
        <v>265.51</v>
      </c>
      <c r="E98" s="60">
        <v>7.96</v>
      </c>
      <c r="F98" s="60">
        <v>3.69</v>
      </c>
      <c r="G98" s="60">
        <v>214.26</v>
      </c>
      <c r="H98" s="60">
        <v>66.48</v>
      </c>
      <c r="I98" s="210" t="s">
        <v>36</v>
      </c>
      <c r="J98" s="60">
        <v>0.06</v>
      </c>
      <c r="K98" s="60">
        <v>312.99</v>
      </c>
      <c r="L98" s="60">
        <v>17.010000000000002</v>
      </c>
      <c r="M98" s="60">
        <v>54</v>
      </c>
      <c r="N98" s="60">
        <v>4.3</v>
      </c>
      <c r="O98" s="60">
        <v>0</v>
      </c>
      <c r="P98" s="60">
        <v>3.46</v>
      </c>
      <c r="Q98" s="60">
        <v>44.45</v>
      </c>
      <c r="R98" s="198"/>
      <c r="S98" s="198"/>
      <c r="T98" s="198"/>
      <c r="U98" s="198"/>
    </row>
    <row r="99" spans="1:33" s="12" customFormat="1" x14ac:dyDescent="0.25">
      <c r="A99" s="201" t="s">
        <v>431</v>
      </c>
      <c r="B99" s="60">
        <v>215.12</v>
      </c>
      <c r="C99" s="60">
        <v>185.57</v>
      </c>
      <c r="D99" s="60">
        <v>275.33999999999997</v>
      </c>
      <c r="E99" s="60">
        <v>8.8800000000000008</v>
      </c>
      <c r="F99" s="60">
        <v>3.66</v>
      </c>
      <c r="G99" s="60">
        <v>221.16</v>
      </c>
      <c r="H99" s="60">
        <v>72.56</v>
      </c>
      <c r="I99" s="210" t="s">
        <v>36</v>
      </c>
      <c r="J99" s="60">
        <v>0.15</v>
      </c>
      <c r="K99" s="60">
        <v>345.52</v>
      </c>
      <c r="L99" s="60">
        <v>16.84</v>
      </c>
      <c r="M99" s="60">
        <v>57</v>
      </c>
      <c r="N99" s="60">
        <v>3.9</v>
      </c>
      <c r="O99" s="60">
        <v>0</v>
      </c>
      <c r="P99" s="60">
        <v>3.59</v>
      </c>
      <c r="Q99" s="60">
        <v>45.4</v>
      </c>
      <c r="R99" s="198"/>
      <c r="S99" s="198"/>
      <c r="T99" s="198"/>
      <c r="U99" s="198"/>
    </row>
    <row r="100" spans="1:33" s="12" customFormat="1" x14ac:dyDescent="0.25">
      <c r="A100" s="201" t="s">
        <v>432</v>
      </c>
      <c r="B100" s="60">
        <v>232.22</v>
      </c>
      <c r="C100" s="60">
        <v>191.93</v>
      </c>
      <c r="D100" s="60">
        <v>292.57</v>
      </c>
      <c r="E100" s="60">
        <v>8.82</v>
      </c>
      <c r="F100" s="60">
        <v>3.61</v>
      </c>
      <c r="G100" s="60">
        <v>221.16</v>
      </c>
      <c r="H100" s="60">
        <v>72.56</v>
      </c>
      <c r="I100" s="210" t="s">
        <v>36</v>
      </c>
      <c r="J100" s="60">
        <v>0.13</v>
      </c>
      <c r="K100" s="60">
        <v>4.67</v>
      </c>
      <c r="L100" s="60">
        <v>16.59</v>
      </c>
      <c r="M100" s="60">
        <v>58</v>
      </c>
      <c r="N100" s="60">
        <v>3.9</v>
      </c>
      <c r="O100" s="60">
        <v>0</v>
      </c>
      <c r="P100" s="60">
        <v>3.79</v>
      </c>
      <c r="Q100" s="60">
        <v>46.56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433</v>
      </c>
      <c r="B101" s="60">
        <v>241.98</v>
      </c>
      <c r="C101" s="60">
        <v>195.64</v>
      </c>
      <c r="D101" s="60">
        <v>302.44</v>
      </c>
      <c r="E101" s="60">
        <v>8.7799999999999994</v>
      </c>
      <c r="F101" s="60">
        <v>3.65</v>
      </c>
      <c r="G101" s="60">
        <v>221.16</v>
      </c>
      <c r="H101" s="60">
        <v>72.56</v>
      </c>
      <c r="I101" s="210" t="s">
        <v>36</v>
      </c>
      <c r="J101" s="60">
        <v>0.01</v>
      </c>
      <c r="K101" s="60">
        <v>335.21</v>
      </c>
      <c r="L101" s="60">
        <v>16.7</v>
      </c>
      <c r="M101" s="60">
        <v>59</v>
      </c>
      <c r="N101" s="60">
        <v>3.9</v>
      </c>
      <c r="O101" s="60">
        <v>0</v>
      </c>
      <c r="P101" s="60">
        <v>3.94</v>
      </c>
      <c r="Q101" s="60">
        <v>47.83</v>
      </c>
      <c r="R101" s="198"/>
      <c r="S101" s="198"/>
      <c r="T101" s="198"/>
      <c r="U101" s="198"/>
    </row>
    <row r="102" spans="1:33" s="12" customFormat="1" x14ac:dyDescent="0.25">
      <c r="A102" s="201" t="s">
        <v>434</v>
      </c>
      <c r="B102" s="60">
        <v>251.11</v>
      </c>
      <c r="C102" s="60">
        <v>197.4</v>
      </c>
      <c r="D102" s="60">
        <v>310.73</v>
      </c>
      <c r="E102" s="60">
        <v>9.1300000000000008</v>
      </c>
      <c r="F102" s="60">
        <v>3.66</v>
      </c>
      <c r="G102" s="60">
        <v>220.79</v>
      </c>
      <c r="H102" s="60">
        <v>75.83</v>
      </c>
      <c r="I102" s="210" t="s">
        <v>36</v>
      </c>
      <c r="J102" s="60">
        <v>0.05</v>
      </c>
      <c r="K102" s="60">
        <v>292.67</v>
      </c>
      <c r="L102" s="60">
        <v>16.399999999999999</v>
      </c>
      <c r="M102" s="60">
        <v>66</v>
      </c>
      <c r="N102" s="60">
        <v>4.0999999999999996</v>
      </c>
      <c r="O102" s="60">
        <v>0</v>
      </c>
      <c r="P102" s="60">
        <v>4.09</v>
      </c>
      <c r="Q102" s="60">
        <v>49.45</v>
      </c>
      <c r="R102" s="198"/>
      <c r="S102" s="198"/>
      <c r="T102" s="198"/>
      <c r="U102" s="198"/>
    </row>
    <row r="103" spans="1:33" s="12" customFormat="1" x14ac:dyDescent="0.25">
      <c r="A103" s="201" t="s">
        <v>435</v>
      </c>
      <c r="B103" s="60">
        <v>254.91</v>
      </c>
      <c r="C103" s="60">
        <v>198.56</v>
      </c>
      <c r="D103" s="60">
        <v>314.42</v>
      </c>
      <c r="E103" s="60">
        <v>9.2799999999999994</v>
      </c>
      <c r="F103" s="60">
        <v>3.65</v>
      </c>
      <c r="G103" s="60">
        <v>220.5</v>
      </c>
      <c r="H103" s="60">
        <v>78.34</v>
      </c>
      <c r="I103" s="210" t="s">
        <v>36</v>
      </c>
      <c r="J103" s="60">
        <v>0.06</v>
      </c>
      <c r="K103" s="60">
        <v>301.70999999999998</v>
      </c>
      <c r="L103" s="60">
        <v>16.25</v>
      </c>
      <c r="M103" s="60">
        <v>68</v>
      </c>
      <c r="N103" s="60">
        <v>4.0999999999999996</v>
      </c>
      <c r="O103" s="60">
        <v>0</v>
      </c>
      <c r="P103" s="60">
        <v>4.26</v>
      </c>
      <c r="Q103" s="60">
        <v>50.76</v>
      </c>
      <c r="R103" s="198"/>
      <c r="S103" s="198"/>
      <c r="T103" s="198"/>
      <c r="U103" s="198"/>
    </row>
    <row r="104" spans="1:33" s="12" customFormat="1" x14ac:dyDescent="0.25">
      <c r="A104" s="201" t="s">
        <v>436</v>
      </c>
      <c r="B104" s="60">
        <v>256.27999999999997</v>
      </c>
      <c r="C104" s="60">
        <v>197.87</v>
      </c>
      <c r="D104" s="60">
        <v>315.13</v>
      </c>
      <c r="E104" s="60">
        <v>5.73</v>
      </c>
      <c r="F104" s="60">
        <v>3.65</v>
      </c>
      <c r="G104" s="60">
        <v>220.5</v>
      </c>
      <c r="H104" s="60">
        <v>78.34</v>
      </c>
      <c r="I104" s="210" t="s">
        <v>36</v>
      </c>
      <c r="J104" s="60">
        <v>7.0000000000000007E-2</v>
      </c>
      <c r="K104" s="60">
        <v>335.78</v>
      </c>
      <c r="L104" s="60">
        <v>16.11</v>
      </c>
      <c r="M104" s="60">
        <v>68</v>
      </c>
      <c r="N104" s="60">
        <v>4.2</v>
      </c>
      <c r="O104" s="60">
        <v>0</v>
      </c>
      <c r="P104" s="60">
        <v>4.42</v>
      </c>
      <c r="Q104" s="60">
        <v>50.88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6.23</v>
      </c>
      <c r="C106" s="67">
        <f>MIN(C9:C104)</f>
        <v>85.24</v>
      </c>
      <c r="D106" s="67">
        <f t="shared" ref="D106:Q106" si="0">MIN(D9:D104)</f>
        <v>52.76</v>
      </c>
      <c r="E106" s="67">
        <f t="shared" si="0"/>
        <v>4.3</v>
      </c>
      <c r="F106" s="67">
        <f t="shared" si="0"/>
        <v>3.48</v>
      </c>
      <c r="G106" s="67">
        <f t="shared" si="0"/>
        <v>33.090000000000003</v>
      </c>
      <c r="H106" s="67">
        <f t="shared" si="0"/>
        <v>17.899999999999999</v>
      </c>
      <c r="I106" s="67">
        <f t="shared" si="0"/>
        <v>0</v>
      </c>
      <c r="J106" s="67">
        <f t="shared" si="0"/>
        <v>0.01</v>
      </c>
      <c r="K106" s="67">
        <f t="shared" si="0"/>
        <v>3</v>
      </c>
      <c r="L106" s="67">
        <f t="shared" si="0"/>
        <v>14.6</v>
      </c>
      <c r="M106" s="67">
        <f t="shared" si="0"/>
        <v>10</v>
      </c>
      <c r="N106" s="67">
        <f t="shared" si="0"/>
        <v>3.4</v>
      </c>
      <c r="O106" s="67">
        <f t="shared" si="0"/>
        <v>0</v>
      </c>
      <c r="P106" s="67">
        <f t="shared" si="0"/>
        <v>0.73</v>
      </c>
      <c r="Q106" s="67">
        <f t="shared" si="0"/>
        <v>26.42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256.27999999999997</v>
      </c>
      <c r="C107" s="66">
        <f t="shared" ref="C107:Q107" si="1">MAX(C9:C104)</f>
        <v>198.56</v>
      </c>
      <c r="D107" s="66">
        <f t="shared" si="1"/>
        <v>315.13</v>
      </c>
      <c r="E107" s="66">
        <f t="shared" si="1"/>
        <v>15.74</v>
      </c>
      <c r="F107" s="66">
        <f t="shared" si="1"/>
        <v>9.06</v>
      </c>
      <c r="G107" s="66">
        <f t="shared" si="1"/>
        <v>221.16</v>
      </c>
      <c r="H107" s="66">
        <f t="shared" si="1"/>
        <v>78.34</v>
      </c>
      <c r="I107" s="66">
        <f t="shared" si="1"/>
        <v>0</v>
      </c>
      <c r="J107" s="66">
        <f t="shared" si="1"/>
        <v>1.32</v>
      </c>
      <c r="K107" s="66">
        <f t="shared" si="1"/>
        <v>353.6</v>
      </c>
      <c r="L107" s="66">
        <f t="shared" si="1"/>
        <v>32.35</v>
      </c>
      <c r="M107" s="66">
        <f t="shared" si="1"/>
        <v>68</v>
      </c>
      <c r="N107" s="66">
        <f t="shared" si="1"/>
        <v>741.3</v>
      </c>
      <c r="O107" s="66">
        <f t="shared" si="1"/>
        <v>0</v>
      </c>
      <c r="P107" s="66">
        <f t="shared" si="1"/>
        <v>4.42</v>
      </c>
      <c r="Q107" s="66">
        <f t="shared" si="1"/>
        <v>50.88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57.548124999999992</v>
      </c>
      <c r="C108" s="67">
        <f t="shared" ref="C108:Q108" si="2">AVERAGE(C9:C104)</f>
        <v>109.65645833333333</v>
      </c>
      <c r="D108" s="67">
        <f t="shared" si="2"/>
        <v>107.08093749999996</v>
      </c>
      <c r="E108" s="67">
        <f t="shared" si="2"/>
        <v>7.8265625000000005</v>
      </c>
      <c r="F108" s="67">
        <f t="shared" si="2"/>
        <v>4.1801041666666672</v>
      </c>
      <c r="G108" s="67">
        <f t="shared" si="2"/>
        <v>98.808020833333387</v>
      </c>
      <c r="H108" s="67">
        <f t="shared" si="2"/>
        <v>39.066145833333344</v>
      </c>
      <c r="I108" s="67" t="e">
        <f t="shared" si="2"/>
        <v>#DIV/0!</v>
      </c>
      <c r="J108" s="67">
        <f t="shared" si="2"/>
        <v>0.5078125</v>
      </c>
      <c r="K108" s="67">
        <f t="shared" si="2"/>
        <v>98.167812499999968</v>
      </c>
      <c r="L108" s="67">
        <f t="shared" si="2"/>
        <v>22.16333333333333</v>
      </c>
      <c r="M108" s="67">
        <f t="shared" si="2"/>
        <v>32.96875</v>
      </c>
      <c r="N108" s="67">
        <f t="shared" si="2"/>
        <v>176.81145833333326</v>
      </c>
      <c r="O108" s="67">
        <f t="shared" si="2"/>
        <v>0</v>
      </c>
      <c r="P108" s="67">
        <f t="shared" si="2"/>
        <v>1.5507291666666658</v>
      </c>
      <c r="Q108" s="67">
        <f t="shared" si="2"/>
        <v>32.355833333333344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63.541322622824715</v>
      </c>
      <c r="C109" s="67">
        <f t="shared" ref="C109:Q109" si="3">STDEV(C9:C104)</f>
        <v>30.766153548447768</v>
      </c>
      <c r="D109" s="67">
        <f t="shared" si="3"/>
        <v>67.571289715741628</v>
      </c>
      <c r="E109" s="67">
        <f t="shared" si="3"/>
        <v>1.555900705886762</v>
      </c>
      <c r="F109" s="67">
        <f t="shared" si="3"/>
        <v>0.97969006354766552</v>
      </c>
      <c r="G109" s="67">
        <f t="shared" si="3"/>
        <v>57.749372685037358</v>
      </c>
      <c r="H109" s="67">
        <f t="shared" si="3"/>
        <v>17.285832188897345</v>
      </c>
      <c r="I109" s="67" t="e">
        <f t="shared" si="3"/>
        <v>#DIV/0!</v>
      </c>
      <c r="J109" s="67">
        <f t="shared" si="3"/>
        <v>0.36619294058848534</v>
      </c>
      <c r="K109" s="67">
        <f t="shared" si="3"/>
        <v>115.07154459363306</v>
      </c>
      <c r="L109" s="67">
        <f t="shared" si="3"/>
        <v>5.7029546666464475</v>
      </c>
      <c r="M109" s="67">
        <f t="shared" si="3"/>
        <v>15.544471432160798</v>
      </c>
      <c r="N109" s="67">
        <f t="shared" si="3"/>
        <v>253.68972174677538</v>
      </c>
      <c r="O109" s="67">
        <f t="shared" si="3"/>
        <v>0</v>
      </c>
      <c r="P109" s="67">
        <f t="shared" si="3"/>
        <v>0.90104996624308786</v>
      </c>
      <c r="Q109" s="67">
        <f t="shared" si="3"/>
        <v>6.2563900246348352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COUNT(I9:I104)+96</f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215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P110" sqref="P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03-02-2023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340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437</v>
      </c>
      <c r="B9" s="60">
        <v>258.3</v>
      </c>
      <c r="C9" s="60">
        <v>198.29</v>
      </c>
      <c r="D9" s="60">
        <v>316.98</v>
      </c>
      <c r="E9" s="60">
        <v>9.15</v>
      </c>
      <c r="F9" s="60">
        <v>3.56</v>
      </c>
      <c r="G9" s="60">
        <v>220.5</v>
      </c>
      <c r="H9" s="60">
        <v>78.34</v>
      </c>
      <c r="I9" s="210" t="s">
        <v>36</v>
      </c>
      <c r="J9" s="60">
        <v>0.05</v>
      </c>
      <c r="K9" s="60">
        <v>347.39</v>
      </c>
      <c r="L9" s="60">
        <v>15.85</v>
      </c>
      <c r="M9" s="60">
        <v>69</v>
      </c>
      <c r="N9" s="60">
        <v>4.4000000000000004</v>
      </c>
      <c r="O9" s="60">
        <v>0</v>
      </c>
      <c r="P9" s="60">
        <v>4.5599999999999996</v>
      </c>
      <c r="Q9" s="60">
        <v>50.82</v>
      </c>
      <c r="R9" s="198"/>
      <c r="S9" s="198"/>
      <c r="T9" s="198"/>
      <c r="U9" s="198"/>
    </row>
    <row r="10" spans="1:21" s="12" customFormat="1" x14ac:dyDescent="0.25">
      <c r="A10" s="201" t="s">
        <v>438</v>
      </c>
      <c r="B10" s="60">
        <v>260.66000000000003</v>
      </c>
      <c r="C10" s="60">
        <v>198.8</v>
      </c>
      <c r="D10" s="60">
        <v>319.16000000000003</v>
      </c>
      <c r="E10" s="60">
        <v>9.16</v>
      </c>
      <c r="F10" s="60">
        <v>3.52</v>
      </c>
      <c r="G10" s="60">
        <v>200.65</v>
      </c>
      <c r="H10" s="60">
        <v>79.11</v>
      </c>
      <c r="I10" s="210" t="s">
        <v>36</v>
      </c>
      <c r="J10" s="60">
        <v>0.08</v>
      </c>
      <c r="K10" s="60">
        <v>324.93</v>
      </c>
      <c r="L10" s="60">
        <v>15.7</v>
      </c>
      <c r="M10" s="60">
        <v>71</v>
      </c>
      <c r="N10" s="60">
        <v>4.0999999999999996</v>
      </c>
      <c r="O10" s="60">
        <v>0</v>
      </c>
      <c r="P10" s="60">
        <v>4.7</v>
      </c>
      <c r="Q10" s="60">
        <v>50.72</v>
      </c>
      <c r="R10" s="198"/>
      <c r="S10" s="198"/>
      <c r="T10" s="198"/>
      <c r="U10" s="198"/>
    </row>
    <row r="11" spans="1:21" s="12" customFormat="1" x14ac:dyDescent="0.25">
      <c r="A11" s="201" t="s">
        <v>439</v>
      </c>
      <c r="B11" s="60">
        <v>262.58</v>
      </c>
      <c r="C11" s="60">
        <v>198.49</v>
      </c>
      <c r="D11" s="60">
        <v>320.52999999999997</v>
      </c>
      <c r="E11" s="60">
        <v>9.3699999999999992</v>
      </c>
      <c r="F11" s="60">
        <v>3.58</v>
      </c>
      <c r="G11" s="60">
        <v>184.77</v>
      </c>
      <c r="H11" s="60">
        <v>79.73</v>
      </c>
      <c r="I11" s="210" t="s">
        <v>36</v>
      </c>
      <c r="J11" s="60">
        <v>0.02</v>
      </c>
      <c r="K11" s="60">
        <v>283.14999999999998</v>
      </c>
      <c r="L11" s="60">
        <v>15.79</v>
      </c>
      <c r="M11" s="60">
        <v>67</v>
      </c>
      <c r="N11" s="60">
        <v>4</v>
      </c>
      <c r="O11" s="60">
        <v>0</v>
      </c>
      <c r="P11" s="60">
        <v>4.82</v>
      </c>
      <c r="Q11" s="60">
        <v>50.68</v>
      </c>
      <c r="R11" s="198"/>
      <c r="S11" s="198"/>
      <c r="T11" s="198"/>
      <c r="U11" s="198"/>
    </row>
    <row r="12" spans="1:21" s="12" customFormat="1" x14ac:dyDescent="0.25">
      <c r="A12" s="201" t="s">
        <v>440</v>
      </c>
      <c r="B12" s="60">
        <v>260.67</v>
      </c>
      <c r="C12" s="60">
        <v>196.68</v>
      </c>
      <c r="D12" s="60">
        <v>317.99</v>
      </c>
      <c r="E12" s="60">
        <v>9.68</v>
      </c>
      <c r="F12" s="60">
        <v>3.6</v>
      </c>
      <c r="G12" s="60">
        <v>184.77</v>
      </c>
      <c r="H12" s="60">
        <v>79.73</v>
      </c>
      <c r="I12" s="210" t="s">
        <v>36</v>
      </c>
      <c r="J12" s="60">
        <v>0.06</v>
      </c>
      <c r="K12" s="60">
        <v>353.57</v>
      </c>
      <c r="L12" s="60">
        <v>16.440000000000001</v>
      </c>
      <c r="M12" s="60">
        <v>52</v>
      </c>
      <c r="N12" s="60">
        <v>3.6</v>
      </c>
      <c r="O12" s="60">
        <v>0</v>
      </c>
      <c r="P12" s="60">
        <v>4.8499999999999996</v>
      </c>
      <c r="Q12" s="60">
        <v>50.47</v>
      </c>
      <c r="R12" s="198"/>
      <c r="S12" s="198"/>
      <c r="T12" s="198"/>
      <c r="U12" s="198"/>
    </row>
    <row r="13" spans="1:21" s="12" customFormat="1" x14ac:dyDescent="0.25">
      <c r="A13" s="201" t="s">
        <v>441</v>
      </c>
      <c r="B13" s="60">
        <v>249.09</v>
      </c>
      <c r="C13" s="60">
        <v>188.76</v>
      </c>
      <c r="D13" s="60">
        <v>304.33999999999997</v>
      </c>
      <c r="E13" s="60">
        <v>10.47</v>
      </c>
      <c r="F13" s="60">
        <v>3.5</v>
      </c>
      <c r="G13" s="60">
        <v>184.77</v>
      </c>
      <c r="H13" s="60">
        <v>79.73</v>
      </c>
      <c r="I13" s="210" t="s">
        <v>36</v>
      </c>
      <c r="J13" s="60">
        <v>0.14000000000000001</v>
      </c>
      <c r="K13" s="60">
        <v>214.43</v>
      </c>
      <c r="L13" s="60">
        <v>16.72</v>
      </c>
      <c r="M13" s="60">
        <v>53</v>
      </c>
      <c r="N13" s="60">
        <v>3.4</v>
      </c>
      <c r="O13" s="60">
        <v>0</v>
      </c>
      <c r="P13" s="60">
        <v>4.2699999999999996</v>
      </c>
      <c r="Q13" s="60">
        <v>49.64</v>
      </c>
      <c r="R13" s="198"/>
      <c r="S13" s="198"/>
      <c r="T13" s="198"/>
      <c r="U13" s="198"/>
    </row>
    <row r="14" spans="1:21" s="12" customFormat="1" x14ac:dyDescent="0.25">
      <c r="A14" s="201" t="s">
        <v>442</v>
      </c>
      <c r="B14" s="60">
        <v>241.99</v>
      </c>
      <c r="C14" s="60">
        <v>182.82</v>
      </c>
      <c r="D14" s="60">
        <v>295.36</v>
      </c>
      <c r="E14" s="60">
        <v>9.83</v>
      </c>
      <c r="F14" s="60">
        <v>3.53</v>
      </c>
      <c r="G14" s="60">
        <v>184.77</v>
      </c>
      <c r="H14" s="60">
        <v>87.11</v>
      </c>
      <c r="I14" s="210" t="s">
        <v>36</v>
      </c>
      <c r="J14" s="60">
        <v>0.14000000000000001</v>
      </c>
      <c r="K14" s="60">
        <v>205</v>
      </c>
      <c r="L14" s="60">
        <v>17.05</v>
      </c>
      <c r="M14" s="60">
        <v>48</v>
      </c>
      <c r="N14" s="60">
        <v>3.4</v>
      </c>
      <c r="O14" s="60">
        <v>0</v>
      </c>
      <c r="P14" s="60">
        <v>4.42</v>
      </c>
      <c r="Q14" s="60">
        <v>48.11</v>
      </c>
      <c r="R14" s="198"/>
      <c r="S14" s="198"/>
      <c r="T14" s="198"/>
      <c r="U14" s="198"/>
    </row>
    <row r="15" spans="1:21" s="12" customFormat="1" x14ac:dyDescent="0.25">
      <c r="A15" s="201" t="s">
        <v>443</v>
      </c>
      <c r="B15" s="60">
        <v>233.1</v>
      </c>
      <c r="C15" s="60">
        <v>178.97</v>
      </c>
      <c r="D15" s="60">
        <v>286.11</v>
      </c>
      <c r="E15" s="60">
        <v>10.06</v>
      </c>
      <c r="F15" s="60">
        <v>3.52</v>
      </c>
      <c r="G15" s="60">
        <v>254.78</v>
      </c>
      <c r="H15" s="60">
        <v>93.02</v>
      </c>
      <c r="I15" s="210" t="s">
        <v>36</v>
      </c>
      <c r="J15" s="60">
        <v>0.2</v>
      </c>
      <c r="K15" s="60">
        <v>243.71</v>
      </c>
      <c r="L15" s="60">
        <v>17.14</v>
      </c>
      <c r="M15" s="60">
        <v>45</v>
      </c>
      <c r="N15" s="60">
        <v>3.6</v>
      </c>
      <c r="O15" s="60">
        <v>0</v>
      </c>
      <c r="P15" s="60">
        <v>4.3099999999999996</v>
      </c>
      <c r="Q15" s="60">
        <v>46.93</v>
      </c>
      <c r="R15" s="198"/>
      <c r="S15" s="198"/>
      <c r="T15" s="198"/>
      <c r="U15" s="198"/>
    </row>
    <row r="16" spans="1:21" s="12" customFormat="1" x14ac:dyDescent="0.25">
      <c r="A16" s="201" t="s">
        <v>444</v>
      </c>
      <c r="B16" s="60">
        <v>220.79</v>
      </c>
      <c r="C16" s="60">
        <v>173.32</v>
      </c>
      <c r="D16" s="60">
        <v>273.12</v>
      </c>
      <c r="E16" s="60">
        <v>9.8699999999999992</v>
      </c>
      <c r="F16" s="60">
        <v>3.54</v>
      </c>
      <c r="G16" s="60">
        <v>254.78</v>
      </c>
      <c r="H16" s="60">
        <v>93.02</v>
      </c>
      <c r="I16" s="210" t="s">
        <v>36</v>
      </c>
      <c r="J16" s="60">
        <v>0.14000000000000001</v>
      </c>
      <c r="K16" s="60">
        <v>260.14</v>
      </c>
      <c r="L16" s="60">
        <v>16.75</v>
      </c>
      <c r="M16" s="60">
        <v>47</v>
      </c>
      <c r="N16" s="60">
        <v>4.2</v>
      </c>
      <c r="O16" s="60">
        <v>0</v>
      </c>
      <c r="P16" s="60">
        <v>4.16</v>
      </c>
      <c r="Q16" s="60">
        <v>45.91</v>
      </c>
      <c r="R16" s="198"/>
      <c r="S16" s="198"/>
      <c r="T16" s="198"/>
      <c r="U16" s="198"/>
    </row>
    <row r="17" spans="1:21" s="12" customFormat="1" x14ac:dyDescent="0.25">
      <c r="A17" s="201" t="s">
        <v>445</v>
      </c>
      <c r="B17" s="60">
        <v>208.25</v>
      </c>
      <c r="C17" s="60">
        <v>167.01</v>
      </c>
      <c r="D17" s="60">
        <v>259.58999999999997</v>
      </c>
      <c r="E17" s="60">
        <v>9.6199999999999992</v>
      </c>
      <c r="F17" s="60">
        <v>3.58</v>
      </c>
      <c r="G17" s="60">
        <v>254.78</v>
      </c>
      <c r="H17" s="60">
        <v>93.02</v>
      </c>
      <c r="I17" s="210" t="s">
        <v>36</v>
      </c>
      <c r="J17" s="60">
        <v>0.06</v>
      </c>
      <c r="K17" s="60">
        <v>100.11</v>
      </c>
      <c r="L17" s="60">
        <v>16.13</v>
      </c>
      <c r="M17" s="60">
        <v>48</v>
      </c>
      <c r="N17" s="60">
        <v>4.2</v>
      </c>
      <c r="O17" s="60">
        <v>0</v>
      </c>
      <c r="P17" s="60">
        <v>4.01</v>
      </c>
      <c r="Q17" s="60">
        <v>44.81</v>
      </c>
      <c r="R17" s="198"/>
      <c r="S17" s="198"/>
      <c r="T17" s="198"/>
      <c r="U17" s="198"/>
    </row>
    <row r="18" spans="1:21" s="12" customFormat="1" x14ac:dyDescent="0.25">
      <c r="A18" s="201" t="s">
        <v>446</v>
      </c>
      <c r="B18" s="60">
        <v>195.82</v>
      </c>
      <c r="C18" s="60">
        <v>160.63</v>
      </c>
      <c r="D18" s="60">
        <v>246.1</v>
      </c>
      <c r="E18" s="60">
        <v>9.48</v>
      </c>
      <c r="F18" s="60">
        <v>3.55</v>
      </c>
      <c r="G18" s="60">
        <v>217.01</v>
      </c>
      <c r="H18" s="60">
        <v>96</v>
      </c>
      <c r="I18" s="210" t="s">
        <v>36</v>
      </c>
      <c r="J18" s="60">
        <v>0.23</v>
      </c>
      <c r="K18" s="60">
        <v>49.8</v>
      </c>
      <c r="L18" s="60">
        <v>16.2</v>
      </c>
      <c r="M18" s="60">
        <v>49</v>
      </c>
      <c r="N18" s="60">
        <v>3.7</v>
      </c>
      <c r="O18" s="60">
        <v>0</v>
      </c>
      <c r="P18" s="60">
        <v>3.87</v>
      </c>
      <c r="Q18" s="60">
        <v>43.56</v>
      </c>
      <c r="R18" s="198"/>
      <c r="S18" s="198"/>
      <c r="T18" s="198"/>
      <c r="U18" s="198"/>
    </row>
    <row r="19" spans="1:21" s="12" customFormat="1" x14ac:dyDescent="0.25">
      <c r="A19" s="201" t="s">
        <v>447</v>
      </c>
      <c r="B19" s="60">
        <v>184.27</v>
      </c>
      <c r="C19" s="60">
        <v>155.88</v>
      </c>
      <c r="D19" s="60">
        <v>234.21</v>
      </c>
      <c r="E19" s="60">
        <v>9.75</v>
      </c>
      <c r="F19" s="60">
        <v>3.47</v>
      </c>
      <c r="G19" s="60">
        <v>217.01</v>
      </c>
      <c r="H19" s="60">
        <v>98.38</v>
      </c>
      <c r="I19" s="210" t="s">
        <v>36</v>
      </c>
      <c r="J19" s="60">
        <v>0.46</v>
      </c>
      <c r="K19" s="60">
        <v>18.32</v>
      </c>
      <c r="L19" s="60">
        <v>16.350000000000001</v>
      </c>
      <c r="M19" s="60">
        <v>48</v>
      </c>
      <c r="N19" s="60">
        <v>3.1</v>
      </c>
      <c r="O19" s="60">
        <v>0</v>
      </c>
      <c r="P19" s="60">
        <v>3.73</v>
      </c>
      <c r="Q19" s="60">
        <v>42.79</v>
      </c>
      <c r="R19" s="198"/>
      <c r="S19" s="198"/>
      <c r="T19" s="198"/>
      <c r="U19" s="198"/>
    </row>
    <row r="20" spans="1:21" s="12" customFormat="1" x14ac:dyDescent="0.25">
      <c r="A20" s="201" t="s">
        <v>448</v>
      </c>
      <c r="B20" s="60">
        <v>172.33</v>
      </c>
      <c r="C20" s="60">
        <v>149.53</v>
      </c>
      <c r="D20" s="60">
        <v>221.13</v>
      </c>
      <c r="E20" s="60">
        <v>9.56</v>
      </c>
      <c r="F20" s="60">
        <v>3.65</v>
      </c>
      <c r="G20" s="60">
        <v>217.01</v>
      </c>
      <c r="H20" s="60">
        <v>98.38</v>
      </c>
      <c r="I20" s="210" t="s">
        <v>36</v>
      </c>
      <c r="J20" s="60">
        <v>0.45</v>
      </c>
      <c r="K20" s="60">
        <v>21.13</v>
      </c>
      <c r="L20" s="60">
        <v>16.309999999999999</v>
      </c>
      <c r="M20" s="60">
        <v>48</v>
      </c>
      <c r="N20" s="60">
        <v>3.8</v>
      </c>
      <c r="O20" s="60">
        <v>0</v>
      </c>
      <c r="P20" s="60">
        <v>3.54</v>
      </c>
      <c r="Q20" s="60">
        <v>42.53</v>
      </c>
      <c r="R20" s="198"/>
      <c r="S20" s="198"/>
      <c r="T20" s="198"/>
      <c r="U20" s="198"/>
    </row>
    <row r="21" spans="1:21" s="12" customFormat="1" x14ac:dyDescent="0.25">
      <c r="A21" s="201" t="s">
        <v>449</v>
      </c>
      <c r="B21" s="60">
        <v>163</v>
      </c>
      <c r="C21" s="60">
        <v>145.80000000000001</v>
      </c>
      <c r="D21" s="60">
        <v>211.59</v>
      </c>
      <c r="E21" s="60">
        <v>9</v>
      </c>
      <c r="F21" s="60">
        <v>3.8</v>
      </c>
      <c r="G21" s="60">
        <v>217.01</v>
      </c>
      <c r="H21" s="60">
        <v>98.38</v>
      </c>
      <c r="I21" s="210" t="s">
        <v>36</v>
      </c>
      <c r="J21" s="60">
        <v>0.34</v>
      </c>
      <c r="K21" s="60">
        <v>72.53</v>
      </c>
      <c r="L21" s="60">
        <v>16.34</v>
      </c>
      <c r="M21" s="60">
        <v>47</v>
      </c>
      <c r="N21" s="60">
        <v>3.9</v>
      </c>
      <c r="O21" s="60">
        <v>0</v>
      </c>
      <c r="P21" s="60">
        <v>3.36</v>
      </c>
      <c r="Q21" s="60">
        <v>42.2</v>
      </c>
      <c r="R21" s="198"/>
      <c r="S21" s="198"/>
      <c r="T21" s="198"/>
      <c r="U21" s="198"/>
    </row>
    <row r="22" spans="1:21" s="12" customFormat="1" x14ac:dyDescent="0.25">
      <c r="A22" s="201" t="s">
        <v>450</v>
      </c>
      <c r="B22" s="60">
        <v>151.12</v>
      </c>
      <c r="C22" s="60">
        <v>141.06</v>
      </c>
      <c r="D22" s="60">
        <v>199.45</v>
      </c>
      <c r="E22" s="60">
        <v>8.65</v>
      </c>
      <c r="F22" s="60">
        <v>3.59</v>
      </c>
      <c r="G22" s="60">
        <v>199.87</v>
      </c>
      <c r="H22" s="60">
        <v>91.17</v>
      </c>
      <c r="I22" s="210" t="s">
        <v>36</v>
      </c>
      <c r="J22" s="60">
        <v>0.33</v>
      </c>
      <c r="K22" s="60">
        <v>87.43</v>
      </c>
      <c r="L22" s="60">
        <v>16.309999999999999</v>
      </c>
      <c r="M22" s="60">
        <v>48</v>
      </c>
      <c r="N22" s="60">
        <v>3.9</v>
      </c>
      <c r="O22" s="60">
        <v>0</v>
      </c>
      <c r="P22" s="60">
        <v>3.18</v>
      </c>
      <c r="Q22" s="60">
        <v>41.21</v>
      </c>
      <c r="R22" s="198"/>
      <c r="S22" s="198"/>
      <c r="T22" s="198"/>
      <c r="U22" s="198"/>
    </row>
    <row r="23" spans="1:21" s="12" customFormat="1" x14ac:dyDescent="0.25">
      <c r="A23" s="201" t="s">
        <v>451</v>
      </c>
      <c r="B23" s="60">
        <v>139.71</v>
      </c>
      <c r="C23" s="60">
        <v>136.82</v>
      </c>
      <c r="D23" s="60">
        <v>187.96</v>
      </c>
      <c r="E23" s="60">
        <v>8.89</v>
      </c>
      <c r="F23" s="60">
        <v>3.55</v>
      </c>
      <c r="G23" s="60">
        <v>186.16</v>
      </c>
      <c r="H23" s="60">
        <v>85.41</v>
      </c>
      <c r="I23" s="210" t="s">
        <v>36</v>
      </c>
      <c r="J23" s="60">
        <v>0.09</v>
      </c>
      <c r="K23" s="60">
        <v>75.22</v>
      </c>
      <c r="L23" s="60">
        <v>16.190000000000001</v>
      </c>
      <c r="M23" s="60">
        <v>48</v>
      </c>
      <c r="N23" s="60">
        <v>4.3</v>
      </c>
      <c r="O23" s="60">
        <v>0</v>
      </c>
      <c r="P23" s="60">
        <v>3.02</v>
      </c>
      <c r="Q23" s="60">
        <v>40.1</v>
      </c>
      <c r="R23" s="198"/>
      <c r="S23" s="198"/>
      <c r="T23" s="198"/>
      <c r="U23" s="198"/>
    </row>
    <row r="24" spans="1:21" s="12" customFormat="1" x14ac:dyDescent="0.25">
      <c r="A24" s="201" t="s">
        <v>452</v>
      </c>
      <c r="B24" s="60">
        <v>128.91</v>
      </c>
      <c r="C24" s="60">
        <v>132.91999999999999</v>
      </c>
      <c r="D24" s="60">
        <v>177.15</v>
      </c>
      <c r="E24" s="60">
        <v>6.78</v>
      </c>
      <c r="F24" s="60">
        <v>3.56</v>
      </c>
      <c r="G24" s="60">
        <v>186.16</v>
      </c>
      <c r="H24" s="60">
        <v>85.41</v>
      </c>
      <c r="I24" s="210" t="s">
        <v>36</v>
      </c>
      <c r="J24" s="60">
        <v>0.11</v>
      </c>
      <c r="K24" s="60">
        <v>67.290000000000006</v>
      </c>
      <c r="L24" s="60">
        <v>15.77</v>
      </c>
      <c r="M24" s="60">
        <v>49</v>
      </c>
      <c r="N24" s="60">
        <v>4</v>
      </c>
      <c r="O24" s="60">
        <v>0</v>
      </c>
      <c r="P24" s="60">
        <v>2.86</v>
      </c>
      <c r="Q24" s="60">
        <v>39</v>
      </c>
      <c r="R24" s="198"/>
      <c r="S24" s="198"/>
      <c r="T24" s="198"/>
      <c r="U24" s="198"/>
    </row>
    <row r="25" spans="1:21" s="12" customFormat="1" x14ac:dyDescent="0.25">
      <c r="A25" s="201" t="s">
        <v>453</v>
      </c>
      <c r="B25" s="60">
        <v>118.68</v>
      </c>
      <c r="C25" s="60">
        <v>128.63</v>
      </c>
      <c r="D25" s="60">
        <v>166.58</v>
      </c>
      <c r="E25" s="60">
        <v>8.31</v>
      </c>
      <c r="F25" s="60">
        <v>3.49</v>
      </c>
      <c r="G25" s="60">
        <v>186.16</v>
      </c>
      <c r="H25" s="60">
        <v>85.41</v>
      </c>
      <c r="I25" s="210" t="s">
        <v>36</v>
      </c>
      <c r="J25" s="60">
        <v>0.09</v>
      </c>
      <c r="K25" s="60">
        <v>79.03</v>
      </c>
      <c r="L25" s="60">
        <v>16.09</v>
      </c>
      <c r="M25" s="60">
        <v>45</v>
      </c>
      <c r="N25" s="60">
        <v>3.7</v>
      </c>
      <c r="O25" s="60">
        <v>0</v>
      </c>
      <c r="P25" s="60">
        <v>2.69</v>
      </c>
      <c r="Q25" s="60">
        <v>37.880000000000003</v>
      </c>
      <c r="R25" s="198"/>
      <c r="S25" s="198"/>
      <c r="T25" s="198"/>
      <c r="U25" s="198"/>
    </row>
    <row r="26" spans="1:21" s="12" customFormat="1" x14ac:dyDescent="0.25">
      <c r="A26" s="201" t="s">
        <v>454</v>
      </c>
      <c r="B26" s="60">
        <v>108.92</v>
      </c>
      <c r="C26" s="60">
        <v>124.64</v>
      </c>
      <c r="D26" s="60">
        <v>156.55000000000001</v>
      </c>
      <c r="E26" s="60">
        <v>8.49</v>
      </c>
      <c r="F26" s="60">
        <v>3.52</v>
      </c>
      <c r="G26" s="60">
        <v>141.16</v>
      </c>
      <c r="H26" s="60">
        <v>75.2</v>
      </c>
      <c r="I26" s="210" t="s">
        <v>36</v>
      </c>
      <c r="J26" s="60">
        <v>0.01</v>
      </c>
      <c r="K26" s="60">
        <v>231.83</v>
      </c>
      <c r="L26" s="60">
        <v>15.91</v>
      </c>
      <c r="M26" s="60">
        <v>46</v>
      </c>
      <c r="N26" s="60">
        <v>4.2</v>
      </c>
      <c r="O26" s="60">
        <v>0</v>
      </c>
      <c r="P26" s="60">
        <v>2.52</v>
      </c>
      <c r="Q26" s="60">
        <v>36.64</v>
      </c>
      <c r="R26" s="198"/>
      <c r="S26" s="198"/>
      <c r="T26" s="198"/>
      <c r="U26" s="198"/>
    </row>
    <row r="27" spans="1:21" s="12" customFormat="1" x14ac:dyDescent="0.25">
      <c r="A27" s="201" t="s">
        <v>455</v>
      </c>
      <c r="B27" s="60">
        <v>99.5</v>
      </c>
      <c r="C27" s="60">
        <v>122.35</v>
      </c>
      <c r="D27" s="60">
        <v>147.72999999999999</v>
      </c>
      <c r="E27" s="60">
        <v>8.5</v>
      </c>
      <c r="F27" s="60">
        <v>3.52</v>
      </c>
      <c r="G27" s="60">
        <v>105.17</v>
      </c>
      <c r="H27" s="60">
        <v>67.040000000000006</v>
      </c>
      <c r="I27" s="210" t="s">
        <v>36</v>
      </c>
      <c r="J27" s="60">
        <v>0.17</v>
      </c>
      <c r="K27" s="60">
        <v>255.66</v>
      </c>
      <c r="L27" s="60">
        <v>15.53</v>
      </c>
      <c r="M27" s="60">
        <v>48</v>
      </c>
      <c r="N27" s="60">
        <v>4</v>
      </c>
      <c r="O27" s="60">
        <v>0</v>
      </c>
      <c r="P27" s="60">
        <v>2.36</v>
      </c>
      <c r="Q27" s="60">
        <v>35.19</v>
      </c>
      <c r="R27" s="198"/>
      <c r="S27" s="198"/>
      <c r="T27" s="198"/>
      <c r="U27" s="198"/>
    </row>
    <row r="28" spans="1:21" s="12" customFormat="1" x14ac:dyDescent="0.25">
      <c r="A28" s="201" t="s">
        <v>456</v>
      </c>
      <c r="B28" s="60">
        <v>91.47</v>
      </c>
      <c r="C28" s="60">
        <v>118.76</v>
      </c>
      <c r="D28" s="60">
        <v>139.31</v>
      </c>
      <c r="E28" s="60">
        <v>7.81</v>
      </c>
      <c r="F28" s="60">
        <v>3.52</v>
      </c>
      <c r="G28" s="60">
        <v>105.17</v>
      </c>
      <c r="H28" s="60">
        <v>67.040000000000006</v>
      </c>
      <c r="I28" s="210" t="s">
        <v>36</v>
      </c>
      <c r="J28" s="60">
        <v>0.12</v>
      </c>
      <c r="K28" s="60">
        <v>21.31</v>
      </c>
      <c r="L28" s="60">
        <v>15.28</v>
      </c>
      <c r="M28" s="60">
        <v>50</v>
      </c>
      <c r="N28" s="60">
        <v>4</v>
      </c>
      <c r="O28" s="60">
        <v>0</v>
      </c>
      <c r="P28" s="60">
        <v>2.2200000000000002</v>
      </c>
      <c r="Q28" s="60">
        <v>33.81</v>
      </c>
      <c r="R28" s="198"/>
      <c r="S28" s="198"/>
      <c r="T28" s="198"/>
      <c r="U28" s="198"/>
    </row>
    <row r="29" spans="1:21" s="12" customFormat="1" x14ac:dyDescent="0.25">
      <c r="A29" s="201" t="s">
        <v>457</v>
      </c>
      <c r="B29" s="60">
        <v>86.18</v>
      </c>
      <c r="C29" s="60">
        <v>116.22</v>
      </c>
      <c r="D29" s="60">
        <v>133.66</v>
      </c>
      <c r="E29" s="60">
        <v>7.56</v>
      </c>
      <c r="F29" s="60">
        <v>3.59</v>
      </c>
      <c r="G29" s="60">
        <v>105.17</v>
      </c>
      <c r="H29" s="60">
        <v>67.040000000000006</v>
      </c>
      <c r="I29" s="210" t="s">
        <v>36</v>
      </c>
      <c r="J29" s="60">
        <v>0.06</v>
      </c>
      <c r="K29" s="60">
        <v>279.12</v>
      </c>
      <c r="L29" s="60">
        <v>14.65</v>
      </c>
      <c r="M29" s="60">
        <v>54</v>
      </c>
      <c r="N29" s="60">
        <v>4.5999999999999996</v>
      </c>
      <c r="O29" s="60">
        <v>0</v>
      </c>
      <c r="P29" s="60">
        <v>2.09</v>
      </c>
      <c r="Q29" s="60">
        <v>33.06</v>
      </c>
      <c r="R29" s="198"/>
      <c r="S29" s="198"/>
      <c r="T29" s="198"/>
      <c r="U29" s="198"/>
    </row>
    <row r="30" spans="1:21" s="12" customFormat="1" x14ac:dyDescent="0.25">
      <c r="A30" s="201" t="s">
        <v>458</v>
      </c>
      <c r="B30" s="60">
        <v>81.44</v>
      </c>
      <c r="C30" s="60">
        <v>114.04</v>
      </c>
      <c r="D30" s="60">
        <v>128.66</v>
      </c>
      <c r="E30" s="60">
        <v>7.34</v>
      </c>
      <c r="F30" s="60">
        <v>3.58</v>
      </c>
      <c r="G30" s="60">
        <v>85.98</v>
      </c>
      <c r="H30" s="60">
        <v>53.95</v>
      </c>
      <c r="I30" s="210" t="s">
        <v>36</v>
      </c>
      <c r="J30" s="60">
        <v>0.13</v>
      </c>
      <c r="K30" s="60">
        <v>268.14999999999998</v>
      </c>
      <c r="L30" s="60">
        <v>14.54</v>
      </c>
      <c r="M30" s="60">
        <v>54</v>
      </c>
      <c r="N30" s="60">
        <v>4.0999999999999996</v>
      </c>
      <c r="O30" s="60">
        <v>0</v>
      </c>
      <c r="P30" s="60">
        <v>1.98</v>
      </c>
      <c r="Q30" s="60">
        <v>32.33</v>
      </c>
      <c r="R30" s="198"/>
      <c r="S30" s="198"/>
      <c r="T30" s="198"/>
      <c r="U30" s="198"/>
    </row>
    <row r="31" spans="1:21" s="12" customFormat="1" x14ac:dyDescent="0.25">
      <c r="A31" s="201" t="s">
        <v>459</v>
      </c>
      <c r="B31" s="60">
        <v>78.88</v>
      </c>
      <c r="C31" s="60">
        <v>112.56</v>
      </c>
      <c r="D31" s="60">
        <v>125.79</v>
      </c>
      <c r="E31" s="60">
        <v>7.16</v>
      </c>
      <c r="F31" s="60">
        <v>3.53</v>
      </c>
      <c r="G31" s="60">
        <v>70.62</v>
      </c>
      <c r="H31" s="60">
        <v>43.47</v>
      </c>
      <c r="I31" s="210" t="s">
        <v>36</v>
      </c>
      <c r="J31" s="60">
        <v>0.14000000000000001</v>
      </c>
      <c r="K31" s="60">
        <v>258.67</v>
      </c>
      <c r="L31" s="60">
        <v>14.15</v>
      </c>
      <c r="M31" s="60">
        <v>58</v>
      </c>
      <c r="N31" s="60">
        <v>4.0999999999999996</v>
      </c>
      <c r="O31" s="60">
        <v>0</v>
      </c>
      <c r="P31" s="60">
        <v>1.9</v>
      </c>
      <c r="Q31" s="60">
        <v>32.07</v>
      </c>
      <c r="R31" s="198"/>
      <c r="S31" s="198"/>
      <c r="T31" s="198"/>
      <c r="U31" s="198"/>
    </row>
    <row r="32" spans="1:21" s="12" customFormat="1" x14ac:dyDescent="0.25">
      <c r="A32" s="201" t="s">
        <v>460</v>
      </c>
      <c r="B32" s="60">
        <v>77.790000000000006</v>
      </c>
      <c r="C32" s="60">
        <v>111.11</v>
      </c>
      <c r="D32" s="60">
        <v>124.12</v>
      </c>
      <c r="E32" s="60">
        <v>6.94</v>
      </c>
      <c r="F32" s="60">
        <v>3.55</v>
      </c>
      <c r="G32" s="60">
        <v>70.62</v>
      </c>
      <c r="H32" s="60">
        <v>43.47</v>
      </c>
      <c r="I32" s="210" t="s">
        <v>36</v>
      </c>
      <c r="J32" s="60">
        <v>0.09</v>
      </c>
      <c r="K32" s="60">
        <v>309.18</v>
      </c>
      <c r="L32" s="60">
        <v>13.7</v>
      </c>
      <c r="M32" s="60">
        <v>67</v>
      </c>
      <c r="N32" s="60">
        <v>4.4000000000000004</v>
      </c>
      <c r="O32" s="60">
        <v>0</v>
      </c>
      <c r="P32" s="60">
        <v>1.84</v>
      </c>
      <c r="Q32" s="60">
        <v>32.01</v>
      </c>
      <c r="R32" s="198"/>
      <c r="S32" s="198"/>
      <c r="T32" s="198"/>
      <c r="U32" s="198"/>
    </row>
    <row r="33" spans="1:21" s="12" customFormat="1" x14ac:dyDescent="0.25">
      <c r="A33" s="201" t="s">
        <v>461</v>
      </c>
      <c r="B33" s="60">
        <v>76.790000000000006</v>
      </c>
      <c r="C33" s="60">
        <v>109.2</v>
      </c>
      <c r="D33" s="60">
        <v>122.25</v>
      </c>
      <c r="E33" s="60">
        <v>7.33</v>
      </c>
      <c r="F33" s="60">
        <v>3.56</v>
      </c>
      <c r="G33" s="60">
        <v>70.62</v>
      </c>
      <c r="H33" s="60">
        <v>43.47</v>
      </c>
      <c r="I33" s="210" t="s">
        <v>36</v>
      </c>
      <c r="J33" s="60">
        <v>0.1</v>
      </c>
      <c r="K33" s="60">
        <v>48.42</v>
      </c>
      <c r="L33" s="60">
        <v>13.46</v>
      </c>
      <c r="M33" s="60">
        <v>62</v>
      </c>
      <c r="N33" s="60">
        <v>4</v>
      </c>
      <c r="O33" s="60">
        <v>0</v>
      </c>
      <c r="P33" s="60">
        <v>1.75</v>
      </c>
      <c r="Q33" s="60">
        <v>31.85</v>
      </c>
      <c r="R33" s="198"/>
      <c r="S33" s="198"/>
      <c r="T33" s="198"/>
      <c r="U33" s="198"/>
    </row>
    <row r="34" spans="1:21" s="12" customFormat="1" x14ac:dyDescent="0.25">
      <c r="A34" s="201" t="s">
        <v>462</v>
      </c>
      <c r="B34" s="60">
        <v>75.209999999999994</v>
      </c>
      <c r="C34" s="60">
        <v>107.86</v>
      </c>
      <c r="D34" s="60">
        <v>120.25</v>
      </c>
      <c r="E34" s="60">
        <v>7.62</v>
      </c>
      <c r="F34" s="60">
        <v>3.48</v>
      </c>
      <c r="G34" s="60">
        <v>80.36</v>
      </c>
      <c r="H34" s="60">
        <v>41.89</v>
      </c>
      <c r="I34" s="210" t="s">
        <v>36</v>
      </c>
      <c r="J34" s="60">
        <v>0.17</v>
      </c>
      <c r="K34" s="60">
        <v>78.75</v>
      </c>
      <c r="L34" s="60">
        <v>14.2</v>
      </c>
      <c r="M34" s="60">
        <v>55</v>
      </c>
      <c r="N34" s="60">
        <v>4.8</v>
      </c>
      <c r="O34" s="60">
        <v>0</v>
      </c>
      <c r="P34" s="60">
        <v>1.68</v>
      </c>
      <c r="Q34" s="60">
        <v>31.43</v>
      </c>
      <c r="R34" s="198"/>
      <c r="S34" s="198"/>
      <c r="T34" s="198"/>
      <c r="U34" s="198"/>
    </row>
    <row r="35" spans="1:21" s="12" customFormat="1" x14ac:dyDescent="0.25">
      <c r="A35" s="201" t="s">
        <v>463</v>
      </c>
      <c r="B35" s="60">
        <v>72.53</v>
      </c>
      <c r="C35" s="60">
        <v>106.71</v>
      </c>
      <c r="D35" s="60">
        <v>117.47</v>
      </c>
      <c r="E35" s="60">
        <v>7.52</v>
      </c>
      <c r="F35" s="60">
        <v>3.46</v>
      </c>
      <c r="G35" s="60">
        <v>88.16</v>
      </c>
      <c r="H35" s="60">
        <v>40.630000000000003</v>
      </c>
      <c r="I35" s="210" t="s">
        <v>36</v>
      </c>
      <c r="J35" s="60">
        <v>0.05</v>
      </c>
      <c r="K35" s="60">
        <v>307.63</v>
      </c>
      <c r="L35" s="60">
        <v>14.6</v>
      </c>
      <c r="M35" s="60">
        <v>55</v>
      </c>
      <c r="N35" s="60">
        <v>10</v>
      </c>
      <c r="O35" s="60">
        <v>0</v>
      </c>
      <c r="P35" s="60">
        <v>1.6</v>
      </c>
      <c r="Q35" s="60">
        <v>32.130000000000003</v>
      </c>
      <c r="R35" s="198"/>
      <c r="S35" s="198"/>
      <c r="T35" s="198"/>
      <c r="U35" s="198"/>
    </row>
    <row r="36" spans="1:21" s="12" customFormat="1" x14ac:dyDescent="0.25">
      <c r="A36" s="201" t="s">
        <v>464</v>
      </c>
      <c r="B36" s="60">
        <v>71.28</v>
      </c>
      <c r="C36" s="60">
        <v>106.89</v>
      </c>
      <c r="D36" s="60">
        <v>116.56</v>
      </c>
      <c r="E36" s="60">
        <v>7.07</v>
      </c>
      <c r="F36" s="60">
        <v>3.51</v>
      </c>
      <c r="G36" s="60">
        <v>88.16</v>
      </c>
      <c r="H36" s="60">
        <v>40.630000000000003</v>
      </c>
      <c r="I36" s="210" t="s">
        <v>36</v>
      </c>
      <c r="J36" s="60">
        <v>0.05</v>
      </c>
      <c r="K36" s="60">
        <v>270.81</v>
      </c>
      <c r="L36" s="60">
        <v>14.27</v>
      </c>
      <c r="M36" s="60">
        <v>57</v>
      </c>
      <c r="N36" s="60">
        <v>19.399999999999999</v>
      </c>
      <c r="O36" s="60">
        <v>0</v>
      </c>
      <c r="P36" s="60">
        <v>1.52</v>
      </c>
      <c r="Q36" s="60">
        <v>32.53</v>
      </c>
      <c r="R36" s="198"/>
      <c r="S36" s="198"/>
      <c r="T36" s="198"/>
      <c r="U36" s="198"/>
    </row>
    <row r="37" spans="1:21" s="12" customFormat="1" x14ac:dyDescent="0.25">
      <c r="A37" s="201" t="s">
        <v>465</v>
      </c>
      <c r="B37" s="60">
        <v>70.59</v>
      </c>
      <c r="C37" s="60">
        <v>107.21</v>
      </c>
      <c r="D37" s="60">
        <v>116.19</v>
      </c>
      <c r="E37" s="60">
        <v>7.37</v>
      </c>
      <c r="F37" s="60">
        <v>3.47</v>
      </c>
      <c r="G37" s="60">
        <v>88.16</v>
      </c>
      <c r="H37" s="60">
        <v>40.630000000000003</v>
      </c>
      <c r="I37" s="210" t="s">
        <v>36</v>
      </c>
      <c r="J37" s="60">
        <v>0.18</v>
      </c>
      <c r="K37" s="60">
        <v>45.89</v>
      </c>
      <c r="L37" s="60">
        <v>14.58</v>
      </c>
      <c r="M37" s="60">
        <v>57</v>
      </c>
      <c r="N37" s="60">
        <v>27.6</v>
      </c>
      <c r="O37" s="60">
        <v>0</v>
      </c>
      <c r="P37" s="60">
        <v>1.58</v>
      </c>
      <c r="Q37" s="60">
        <v>32.549999999999997</v>
      </c>
      <c r="R37" s="198"/>
      <c r="S37" s="198"/>
      <c r="T37" s="198"/>
      <c r="U37" s="198"/>
    </row>
    <row r="38" spans="1:21" s="12" customFormat="1" x14ac:dyDescent="0.25">
      <c r="A38" s="201" t="s">
        <v>466</v>
      </c>
      <c r="B38" s="60">
        <v>72.53</v>
      </c>
      <c r="C38" s="60">
        <v>108.93</v>
      </c>
      <c r="D38" s="60">
        <v>118.7</v>
      </c>
      <c r="E38" s="60">
        <v>7.45</v>
      </c>
      <c r="F38" s="60">
        <v>3.54</v>
      </c>
      <c r="G38" s="60">
        <v>89.97</v>
      </c>
      <c r="H38" s="60">
        <v>42.95</v>
      </c>
      <c r="I38" s="210" t="s">
        <v>36</v>
      </c>
      <c r="J38" s="60">
        <v>0.44</v>
      </c>
      <c r="K38" s="60">
        <v>17.63</v>
      </c>
      <c r="L38" s="60">
        <v>15.42</v>
      </c>
      <c r="M38" s="60">
        <v>54</v>
      </c>
      <c r="N38" s="60">
        <v>38.799999999999997</v>
      </c>
      <c r="O38" s="60">
        <v>0</v>
      </c>
      <c r="P38" s="60">
        <v>1.69</v>
      </c>
      <c r="Q38" s="60">
        <v>32.25</v>
      </c>
      <c r="R38" s="198"/>
      <c r="S38" s="198"/>
      <c r="T38" s="198"/>
      <c r="U38" s="198"/>
    </row>
    <row r="39" spans="1:21" s="12" customFormat="1" x14ac:dyDescent="0.25">
      <c r="A39" s="201" t="s">
        <v>467</v>
      </c>
      <c r="B39" s="60">
        <v>72.59</v>
      </c>
      <c r="C39" s="60">
        <v>110.31</v>
      </c>
      <c r="D39" s="60">
        <v>119.5</v>
      </c>
      <c r="E39" s="60">
        <v>7.84</v>
      </c>
      <c r="F39" s="60">
        <v>3.54</v>
      </c>
      <c r="G39" s="60">
        <v>91.42</v>
      </c>
      <c r="H39" s="60">
        <v>44.8</v>
      </c>
      <c r="I39" s="210" t="s">
        <v>36</v>
      </c>
      <c r="J39" s="60">
        <v>0.25</v>
      </c>
      <c r="K39" s="60">
        <v>68.83</v>
      </c>
      <c r="L39" s="60">
        <v>16.579999999999998</v>
      </c>
      <c r="M39" s="60">
        <v>50</v>
      </c>
      <c r="N39" s="60">
        <v>139.80000000000001</v>
      </c>
      <c r="O39" s="60">
        <v>0</v>
      </c>
      <c r="P39" s="60">
        <v>1.72</v>
      </c>
      <c r="Q39" s="60">
        <v>32.18</v>
      </c>
      <c r="R39" s="198"/>
      <c r="S39" s="198"/>
      <c r="T39" s="198"/>
      <c r="U39" s="198"/>
    </row>
    <row r="40" spans="1:21" s="12" customFormat="1" x14ac:dyDescent="0.25">
      <c r="A40" s="201" t="s">
        <v>468</v>
      </c>
      <c r="B40" s="60">
        <v>70.88</v>
      </c>
      <c r="C40" s="60">
        <v>111.28</v>
      </c>
      <c r="D40" s="60">
        <v>118.67</v>
      </c>
      <c r="E40" s="60">
        <v>5.6</v>
      </c>
      <c r="F40" s="60">
        <v>3.53</v>
      </c>
      <c r="G40" s="60">
        <v>91.42</v>
      </c>
      <c r="H40" s="60">
        <v>44.8</v>
      </c>
      <c r="I40" s="210" t="s">
        <v>36</v>
      </c>
      <c r="J40" s="60">
        <v>0.39</v>
      </c>
      <c r="K40" s="60">
        <v>10.39</v>
      </c>
      <c r="L40" s="60">
        <v>19.73</v>
      </c>
      <c r="M40" s="60">
        <v>42</v>
      </c>
      <c r="N40" s="60">
        <v>246.8</v>
      </c>
      <c r="O40" s="60">
        <v>0</v>
      </c>
      <c r="P40" s="60">
        <v>1.73</v>
      </c>
      <c r="Q40" s="60">
        <v>32.020000000000003</v>
      </c>
      <c r="R40" s="198"/>
      <c r="S40" s="198"/>
      <c r="T40" s="198"/>
      <c r="U40" s="198"/>
    </row>
    <row r="41" spans="1:21" s="12" customFormat="1" x14ac:dyDescent="0.25">
      <c r="A41" s="201" t="s">
        <v>469</v>
      </c>
      <c r="B41" s="60">
        <v>68.36</v>
      </c>
      <c r="C41" s="60">
        <v>112.4</v>
      </c>
      <c r="D41" s="60">
        <v>117.26</v>
      </c>
      <c r="E41" s="60">
        <v>7.46</v>
      </c>
      <c r="F41" s="60">
        <v>3.55</v>
      </c>
      <c r="G41" s="60">
        <v>91.42</v>
      </c>
      <c r="H41" s="60">
        <v>44.8</v>
      </c>
      <c r="I41" s="210" t="s">
        <v>36</v>
      </c>
      <c r="J41" s="60">
        <v>0.64</v>
      </c>
      <c r="K41" s="60">
        <v>77.819999999999993</v>
      </c>
      <c r="L41" s="60">
        <v>20.75</v>
      </c>
      <c r="M41" s="60">
        <v>36</v>
      </c>
      <c r="N41" s="60">
        <v>300.8</v>
      </c>
      <c r="O41" s="60">
        <v>0</v>
      </c>
      <c r="P41" s="60">
        <v>1.7</v>
      </c>
      <c r="Q41" s="60">
        <v>31.65</v>
      </c>
      <c r="R41" s="198"/>
      <c r="S41" s="198"/>
      <c r="T41" s="198"/>
      <c r="U41" s="198"/>
    </row>
    <row r="42" spans="1:21" s="12" customFormat="1" x14ac:dyDescent="0.25">
      <c r="A42" s="201" t="s">
        <v>470</v>
      </c>
      <c r="B42" s="60">
        <v>61.31</v>
      </c>
      <c r="C42" s="60">
        <v>110.8</v>
      </c>
      <c r="D42" s="60">
        <v>110.73</v>
      </c>
      <c r="E42" s="60">
        <v>7.48</v>
      </c>
      <c r="F42" s="60">
        <v>3.93</v>
      </c>
      <c r="G42" s="60">
        <v>98.39</v>
      </c>
      <c r="H42" s="60">
        <v>47.08</v>
      </c>
      <c r="I42" s="210" t="s">
        <v>36</v>
      </c>
      <c r="J42" s="60">
        <v>0.94</v>
      </c>
      <c r="K42" s="60">
        <v>25.64</v>
      </c>
      <c r="L42" s="60">
        <v>22</v>
      </c>
      <c r="M42" s="60">
        <v>32</v>
      </c>
      <c r="N42" s="60">
        <v>344.9</v>
      </c>
      <c r="O42" s="60">
        <v>0</v>
      </c>
      <c r="P42" s="60">
        <v>1.62</v>
      </c>
      <c r="Q42" s="60">
        <v>30.57</v>
      </c>
      <c r="R42" s="198"/>
      <c r="S42" s="198"/>
      <c r="T42" s="198"/>
      <c r="U42" s="198"/>
    </row>
    <row r="43" spans="1:21" s="12" customFormat="1" x14ac:dyDescent="0.25">
      <c r="A43" s="201" t="s">
        <v>471</v>
      </c>
      <c r="B43" s="60">
        <v>57.38</v>
      </c>
      <c r="C43" s="60">
        <v>107.95</v>
      </c>
      <c r="D43" s="60">
        <v>106</v>
      </c>
      <c r="E43" s="60">
        <v>6.75</v>
      </c>
      <c r="F43" s="60">
        <v>4</v>
      </c>
      <c r="G43" s="60">
        <v>103.96</v>
      </c>
      <c r="H43" s="60">
        <v>48.9</v>
      </c>
      <c r="I43" s="210" t="s">
        <v>36</v>
      </c>
      <c r="J43" s="60">
        <v>0.73</v>
      </c>
      <c r="K43" s="60">
        <v>30.61</v>
      </c>
      <c r="L43" s="60">
        <v>23.47</v>
      </c>
      <c r="M43" s="60">
        <v>29</v>
      </c>
      <c r="N43" s="60">
        <v>389.3</v>
      </c>
      <c r="O43" s="60">
        <v>0</v>
      </c>
      <c r="P43" s="60">
        <v>1.56</v>
      </c>
      <c r="Q43" s="60">
        <v>29.39</v>
      </c>
      <c r="R43" s="198"/>
      <c r="S43" s="198"/>
      <c r="T43" s="198"/>
      <c r="U43" s="198"/>
    </row>
    <row r="44" spans="1:21" s="12" customFormat="1" x14ac:dyDescent="0.25">
      <c r="A44" s="201" t="s">
        <v>472</v>
      </c>
      <c r="B44" s="60">
        <v>50.37</v>
      </c>
      <c r="C44" s="60">
        <v>106.64</v>
      </c>
      <c r="D44" s="60">
        <v>99.66</v>
      </c>
      <c r="E44" s="60">
        <v>6.92</v>
      </c>
      <c r="F44" s="60">
        <v>4.25</v>
      </c>
      <c r="G44" s="60">
        <v>103.96</v>
      </c>
      <c r="H44" s="60">
        <v>48.9</v>
      </c>
      <c r="I44" s="210" t="s">
        <v>36</v>
      </c>
      <c r="J44" s="60">
        <v>0.91</v>
      </c>
      <c r="K44" s="60">
        <v>26.64</v>
      </c>
      <c r="L44" s="60">
        <v>23.75</v>
      </c>
      <c r="M44" s="60">
        <v>30</v>
      </c>
      <c r="N44" s="60">
        <v>437.2</v>
      </c>
      <c r="O44" s="60">
        <v>0</v>
      </c>
      <c r="P44" s="60">
        <v>1.5</v>
      </c>
      <c r="Q44" s="60">
        <v>28.97</v>
      </c>
      <c r="R44" s="198"/>
      <c r="S44" s="198"/>
      <c r="T44" s="198"/>
      <c r="U44" s="198"/>
    </row>
    <row r="45" spans="1:21" s="12" customFormat="1" x14ac:dyDescent="0.25">
      <c r="A45" s="201" t="s">
        <v>473</v>
      </c>
      <c r="B45" s="60">
        <v>47.08</v>
      </c>
      <c r="C45" s="60">
        <v>104</v>
      </c>
      <c r="D45" s="60">
        <v>95.56</v>
      </c>
      <c r="E45" s="60">
        <v>7.21</v>
      </c>
      <c r="F45" s="60">
        <v>4.28</v>
      </c>
      <c r="G45" s="60">
        <v>103.96</v>
      </c>
      <c r="H45" s="60">
        <v>48.9</v>
      </c>
      <c r="I45" s="210" t="s">
        <v>36</v>
      </c>
      <c r="J45" s="60">
        <v>0.85</v>
      </c>
      <c r="K45" s="60">
        <v>50.4</v>
      </c>
      <c r="L45" s="60">
        <v>24.16</v>
      </c>
      <c r="M45" s="60">
        <v>29</v>
      </c>
      <c r="N45" s="60">
        <v>476</v>
      </c>
      <c r="O45" s="60">
        <v>0</v>
      </c>
      <c r="P45" s="60">
        <v>1.42</v>
      </c>
      <c r="Q45" s="60">
        <v>28.48</v>
      </c>
      <c r="R45" s="198"/>
      <c r="S45" s="198"/>
      <c r="T45" s="198"/>
      <c r="U45" s="198"/>
    </row>
    <row r="46" spans="1:21" s="12" customFormat="1" x14ac:dyDescent="0.25">
      <c r="A46" s="201" t="s">
        <v>474</v>
      </c>
      <c r="B46" s="60">
        <v>42.33</v>
      </c>
      <c r="C46" s="60">
        <v>102.33</v>
      </c>
      <c r="D46" s="60">
        <v>90.83</v>
      </c>
      <c r="E46" s="60">
        <v>7.15</v>
      </c>
      <c r="F46" s="60">
        <v>5.81</v>
      </c>
      <c r="G46" s="60">
        <v>90.7</v>
      </c>
      <c r="H46" s="60">
        <v>40.06</v>
      </c>
      <c r="I46" s="210" t="s">
        <v>36</v>
      </c>
      <c r="J46" s="60">
        <v>1.1200000000000001</v>
      </c>
      <c r="K46" s="60">
        <v>22.24</v>
      </c>
      <c r="L46" s="60">
        <v>25.72</v>
      </c>
      <c r="M46" s="60">
        <v>26</v>
      </c>
      <c r="N46" s="60">
        <v>499.3</v>
      </c>
      <c r="O46" s="60">
        <v>0</v>
      </c>
      <c r="P46" s="60">
        <v>1.36</v>
      </c>
      <c r="Q46" s="60">
        <v>27.95</v>
      </c>
      <c r="R46" s="198"/>
      <c r="S46" s="198"/>
      <c r="T46" s="198"/>
      <c r="U46" s="198"/>
    </row>
    <row r="47" spans="1:21" s="12" customFormat="1" x14ac:dyDescent="0.25">
      <c r="A47" s="201" t="s">
        <v>475</v>
      </c>
      <c r="B47" s="60">
        <v>38.270000000000003</v>
      </c>
      <c r="C47" s="60">
        <v>103.68</v>
      </c>
      <c r="D47" s="60">
        <v>88.33</v>
      </c>
      <c r="E47" s="60">
        <v>7.2</v>
      </c>
      <c r="F47" s="60">
        <v>5.36</v>
      </c>
      <c r="G47" s="60">
        <v>80.09</v>
      </c>
      <c r="H47" s="60">
        <v>32.99</v>
      </c>
      <c r="I47" s="210" t="s">
        <v>36</v>
      </c>
      <c r="J47" s="60">
        <v>0.83</v>
      </c>
      <c r="K47" s="60">
        <v>43.8</v>
      </c>
      <c r="L47" s="60">
        <v>26.75</v>
      </c>
      <c r="M47" s="60">
        <v>24</v>
      </c>
      <c r="N47" s="60">
        <v>527.1</v>
      </c>
      <c r="O47" s="60">
        <v>0</v>
      </c>
      <c r="P47" s="60">
        <v>1.32</v>
      </c>
      <c r="Q47" s="60">
        <v>27.33</v>
      </c>
      <c r="R47" s="198"/>
      <c r="S47" s="198"/>
      <c r="T47" s="198"/>
      <c r="U47" s="198"/>
    </row>
    <row r="48" spans="1:21" s="12" customFormat="1" x14ac:dyDescent="0.25">
      <c r="A48" s="201" t="s">
        <v>476</v>
      </c>
      <c r="B48" s="60">
        <v>33.94</v>
      </c>
      <c r="C48" s="60">
        <v>100.57</v>
      </c>
      <c r="D48" s="60">
        <v>83.14</v>
      </c>
      <c r="E48" s="60">
        <v>7.07</v>
      </c>
      <c r="F48" s="60">
        <v>5.6</v>
      </c>
      <c r="G48" s="60">
        <v>80.09</v>
      </c>
      <c r="H48" s="60">
        <v>32.99</v>
      </c>
      <c r="I48" s="210" t="s">
        <v>36</v>
      </c>
      <c r="J48" s="60">
        <v>1.31</v>
      </c>
      <c r="K48" s="60">
        <v>15.51</v>
      </c>
      <c r="L48" s="60">
        <v>26.7</v>
      </c>
      <c r="M48" s="60">
        <v>23</v>
      </c>
      <c r="N48" s="60">
        <v>553.4</v>
      </c>
      <c r="O48" s="60">
        <v>0</v>
      </c>
      <c r="P48" s="60">
        <v>1.26</v>
      </c>
      <c r="Q48" s="60">
        <v>27.04</v>
      </c>
      <c r="R48" s="198"/>
      <c r="S48" s="198"/>
      <c r="T48" s="198"/>
      <c r="U48" s="198"/>
    </row>
    <row r="49" spans="1:21" s="12" customFormat="1" x14ac:dyDescent="0.25">
      <c r="A49" s="201" t="s">
        <v>477</v>
      </c>
      <c r="B49" s="60">
        <v>31.82</v>
      </c>
      <c r="C49" s="60">
        <v>102.56</v>
      </c>
      <c r="D49" s="60">
        <v>82.53</v>
      </c>
      <c r="E49" s="60">
        <v>6.47</v>
      </c>
      <c r="F49" s="60">
        <v>4.6399999999999997</v>
      </c>
      <c r="G49" s="60">
        <v>80.09</v>
      </c>
      <c r="H49" s="60">
        <v>32.99</v>
      </c>
      <c r="I49" s="210" t="s">
        <v>36</v>
      </c>
      <c r="J49" s="60">
        <v>0.82</v>
      </c>
      <c r="K49" s="60">
        <v>34.17</v>
      </c>
      <c r="L49" s="60">
        <v>27.99</v>
      </c>
      <c r="M49" s="60">
        <v>21</v>
      </c>
      <c r="N49" s="60">
        <v>571.5</v>
      </c>
      <c r="O49" s="60">
        <v>0</v>
      </c>
      <c r="P49" s="60">
        <v>1.23</v>
      </c>
      <c r="Q49" s="60">
        <v>27.29</v>
      </c>
      <c r="R49" s="198"/>
      <c r="S49" s="198"/>
      <c r="T49" s="198"/>
      <c r="U49" s="198"/>
    </row>
    <row r="50" spans="1:21" s="12" customFormat="1" x14ac:dyDescent="0.25">
      <c r="A50" s="201" t="s">
        <v>478</v>
      </c>
      <c r="B50" s="60">
        <v>28.93</v>
      </c>
      <c r="C50" s="60">
        <v>101.66</v>
      </c>
      <c r="D50" s="60">
        <v>79.72</v>
      </c>
      <c r="E50" s="60">
        <v>6.05</v>
      </c>
      <c r="F50" s="60">
        <v>4.24</v>
      </c>
      <c r="G50" s="60">
        <v>63.42</v>
      </c>
      <c r="H50" s="60">
        <v>31.91</v>
      </c>
      <c r="I50" s="210" t="s">
        <v>36</v>
      </c>
      <c r="J50" s="60">
        <v>0.91</v>
      </c>
      <c r="K50" s="60">
        <v>20.18</v>
      </c>
      <c r="L50" s="60">
        <v>28.82</v>
      </c>
      <c r="M50" s="60">
        <v>17</v>
      </c>
      <c r="N50" s="60">
        <v>587.20000000000005</v>
      </c>
      <c r="O50" s="60">
        <v>0</v>
      </c>
      <c r="P50" s="60">
        <v>1.17</v>
      </c>
      <c r="Q50" s="60">
        <v>27.5</v>
      </c>
      <c r="R50" s="198"/>
      <c r="S50" s="198"/>
      <c r="T50" s="198"/>
      <c r="U50" s="198"/>
    </row>
    <row r="51" spans="1:21" s="12" customFormat="1" x14ac:dyDescent="0.25">
      <c r="A51" s="201" t="s">
        <v>479</v>
      </c>
      <c r="B51" s="60">
        <v>24.64</v>
      </c>
      <c r="C51" s="60">
        <v>98.52</v>
      </c>
      <c r="D51" s="60">
        <v>74.540000000000006</v>
      </c>
      <c r="E51" s="60">
        <v>6.12</v>
      </c>
      <c r="F51" s="60">
        <v>4.1399999999999997</v>
      </c>
      <c r="G51" s="60">
        <v>50.09</v>
      </c>
      <c r="H51" s="60">
        <v>31.05</v>
      </c>
      <c r="I51" s="210" t="s">
        <v>36</v>
      </c>
      <c r="J51" s="60">
        <v>0.87</v>
      </c>
      <c r="K51" s="60">
        <v>41.01</v>
      </c>
      <c r="L51" s="60">
        <v>28.96</v>
      </c>
      <c r="M51" s="60">
        <v>16</v>
      </c>
      <c r="N51" s="60">
        <v>605.29999999999995</v>
      </c>
      <c r="O51" s="60">
        <v>0</v>
      </c>
      <c r="P51" s="60">
        <v>1.1200000000000001</v>
      </c>
      <c r="Q51" s="60">
        <v>27.3</v>
      </c>
      <c r="R51" s="198"/>
      <c r="S51" s="198"/>
      <c r="T51" s="198"/>
      <c r="U51" s="198"/>
    </row>
    <row r="52" spans="1:21" s="12" customFormat="1" x14ac:dyDescent="0.25">
      <c r="A52" s="201" t="s">
        <v>480</v>
      </c>
      <c r="B52" s="60">
        <v>18.89</v>
      </c>
      <c r="C52" s="60">
        <v>92.48</v>
      </c>
      <c r="D52" s="60">
        <v>66.599999999999994</v>
      </c>
      <c r="E52" s="60">
        <v>6.16</v>
      </c>
      <c r="F52" s="60">
        <v>5.96</v>
      </c>
      <c r="G52" s="60">
        <v>50.09</v>
      </c>
      <c r="H52" s="60">
        <v>31.05</v>
      </c>
      <c r="I52" s="210" t="s">
        <v>36</v>
      </c>
      <c r="J52" s="60">
        <v>1.24</v>
      </c>
      <c r="K52" s="60">
        <v>89.5</v>
      </c>
      <c r="L52" s="60">
        <v>27.21</v>
      </c>
      <c r="M52" s="60">
        <v>16</v>
      </c>
      <c r="N52" s="60">
        <v>632.1</v>
      </c>
      <c r="O52" s="60">
        <v>0</v>
      </c>
      <c r="P52" s="60">
        <v>1</v>
      </c>
      <c r="Q52" s="60">
        <v>25.62</v>
      </c>
      <c r="R52" s="198"/>
      <c r="S52" s="198"/>
      <c r="T52" s="198"/>
      <c r="U52" s="198"/>
    </row>
    <row r="53" spans="1:21" s="12" customFormat="1" x14ac:dyDescent="0.25">
      <c r="A53" s="201" t="s">
        <v>481</v>
      </c>
      <c r="B53" s="60">
        <v>4.13</v>
      </c>
      <c r="C53" s="60">
        <v>60.78</v>
      </c>
      <c r="D53" s="60">
        <v>37.270000000000003</v>
      </c>
      <c r="E53" s="60">
        <v>8.9499999999999993</v>
      </c>
      <c r="F53" s="60">
        <v>25.69</v>
      </c>
      <c r="G53" s="60">
        <v>50.09</v>
      </c>
      <c r="H53" s="60">
        <v>31.05</v>
      </c>
      <c r="I53" s="210" t="s">
        <v>36</v>
      </c>
      <c r="J53" s="60">
        <v>0.98</v>
      </c>
      <c r="K53" s="60">
        <v>31.87</v>
      </c>
      <c r="L53" s="60">
        <v>28.46</v>
      </c>
      <c r="M53" s="60">
        <v>15</v>
      </c>
      <c r="N53" s="60">
        <v>651.1</v>
      </c>
      <c r="O53" s="60">
        <v>0</v>
      </c>
      <c r="P53" s="60">
        <v>0.5</v>
      </c>
      <c r="Q53" s="60">
        <v>11.17</v>
      </c>
      <c r="R53" s="198"/>
      <c r="S53" s="198"/>
      <c r="T53" s="198"/>
      <c r="U53" s="198"/>
    </row>
    <row r="54" spans="1:21" s="12" customFormat="1" x14ac:dyDescent="0.25">
      <c r="A54" s="201" t="s">
        <v>482</v>
      </c>
      <c r="B54" s="60">
        <v>2.7</v>
      </c>
      <c r="C54" s="60">
        <v>45.98</v>
      </c>
      <c r="D54" s="60">
        <v>27.95</v>
      </c>
      <c r="E54" s="60">
        <v>10.39</v>
      </c>
      <c r="F54" s="60">
        <v>34.56</v>
      </c>
      <c r="G54" s="60">
        <v>33.06</v>
      </c>
      <c r="H54" s="60">
        <v>24.39</v>
      </c>
      <c r="I54" s="210" t="s">
        <v>36</v>
      </c>
      <c r="J54" s="60">
        <v>0.74</v>
      </c>
      <c r="K54" s="60">
        <v>78.87</v>
      </c>
      <c r="L54" s="60">
        <v>28.89</v>
      </c>
      <c r="M54" s="60">
        <v>14</v>
      </c>
      <c r="N54" s="60">
        <v>682.2</v>
      </c>
      <c r="O54" s="60">
        <v>0</v>
      </c>
      <c r="P54" s="60">
        <v>0.42</v>
      </c>
      <c r="Q54" s="60">
        <v>4.5</v>
      </c>
      <c r="R54" s="198"/>
      <c r="S54" s="198"/>
      <c r="T54" s="198"/>
      <c r="U54" s="198"/>
    </row>
    <row r="55" spans="1:21" s="12" customFormat="1" x14ac:dyDescent="0.25">
      <c r="A55" s="201" t="s">
        <v>483</v>
      </c>
      <c r="B55" s="60">
        <v>1.78</v>
      </c>
      <c r="C55" s="60">
        <v>41.64</v>
      </c>
      <c r="D55" s="60">
        <v>24.82</v>
      </c>
      <c r="E55" s="60">
        <v>8.65</v>
      </c>
      <c r="F55" s="60">
        <v>37.270000000000003</v>
      </c>
      <c r="G55" s="211" t="s">
        <v>43</v>
      </c>
      <c r="H55" s="211" t="s">
        <v>43</v>
      </c>
      <c r="I55" s="210" t="s">
        <v>36</v>
      </c>
      <c r="J55" s="60">
        <v>1.26</v>
      </c>
      <c r="K55" s="60">
        <v>108.58</v>
      </c>
      <c r="L55" s="60">
        <v>28.3</v>
      </c>
      <c r="M55" s="60">
        <v>15</v>
      </c>
      <c r="N55" s="60">
        <v>714.8</v>
      </c>
      <c r="O55" s="60">
        <v>0</v>
      </c>
      <c r="P55" s="60">
        <v>0.41</v>
      </c>
      <c r="Q55" s="60">
        <v>3.09</v>
      </c>
      <c r="R55" s="198"/>
      <c r="S55" s="198"/>
      <c r="T55" s="198"/>
      <c r="U55" s="198"/>
    </row>
    <row r="56" spans="1:21" s="12" customFormat="1" x14ac:dyDescent="0.25">
      <c r="A56" s="201" t="s">
        <v>484</v>
      </c>
      <c r="B56" s="60">
        <v>0.83</v>
      </c>
      <c r="C56" s="60">
        <v>23.56</v>
      </c>
      <c r="D56" s="60">
        <v>14.08</v>
      </c>
      <c r="E56" s="60">
        <v>12.69</v>
      </c>
      <c r="F56" s="60">
        <v>50.65</v>
      </c>
      <c r="G56" s="211" t="s">
        <v>43</v>
      </c>
      <c r="H56" s="211" t="s">
        <v>43</v>
      </c>
      <c r="I56" s="210" t="s">
        <v>36</v>
      </c>
      <c r="J56" s="60">
        <v>1.22</v>
      </c>
      <c r="K56" s="60">
        <v>106.41</v>
      </c>
      <c r="L56" s="60">
        <v>27.72</v>
      </c>
      <c r="M56" s="60">
        <v>15</v>
      </c>
      <c r="N56" s="60">
        <v>733.7</v>
      </c>
      <c r="O56" s="60">
        <v>0</v>
      </c>
      <c r="P56" s="60">
        <v>0.28000000000000003</v>
      </c>
      <c r="Q56" s="60">
        <v>2</v>
      </c>
      <c r="R56" s="198"/>
      <c r="S56" s="198"/>
      <c r="T56" s="198"/>
      <c r="U56" s="198"/>
    </row>
    <row r="57" spans="1:21" s="12" customFormat="1" x14ac:dyDescent="0.25">
      <c r="A57" s="201" t="s">
        <v>485</v>
      </c>
      <c r="B57" s="60">
        <v>0.61</v>
      </c>
      <c r="C57" s="60">
        <v>18.86</v>
      </c>
      <c r="D57" s="60">
        <v>11.31</v>
      </c>
      <c r="E57" s="60">
        <v>16.03</v>
      </c>
      <c r="F57" s="60">
        <v>48.06</v>
      </c>
      <c r="G57" s="211" t="s">
        <v>43</v>
      </c>
      <c r="H57" s="211" t="s">
        <v>43</v>
      </c>
      <c r="I57" s="210" t="s">
        <v>36</v>
      </c>
      <c r="J57" s="60">
        <v>1.4</v>
      </c>
      <c r="K57" s="60">
        <v>118.57</v>
      </c>
      <c r="L57" s="60">
        <v>27.82</v>
      </c>
      <c r="M57" s="60">
        <v>15</v>
      </c>
      <c r="N57" s="60">
        <v>736.3</v>
      </c>
      <c r="O57" s="60">
        <v>0</v>
      </c>
      <c r="P57" s="60">
        <v>0.24</v>
      </c>
      <c r="Q57" s="60">
        <v>0.69</v>
      </c>
      <c r="R57" s="198"/>
      <c r="S57" s="198"/>
      <c r="T57" s="198"/>
      <c r="U57" s="198"/>
    </row>
    <row r="58" spans="1:21" s="12" customFormat="1" x14ac:dyDescent="0.25">
      <c r="A58" s="201" t="s">
        <v>486</v>
      </c>
      <c r="B58" s="60">
        <v>3.62</v>
      </c>
      <c r="C58" s="60">
        <v>21.45</v>
      </c>
      <c r="D58" s="60">
        <v>13.6</v>
      </c>
      <c r="E58" s="60">
        <v>11.4</v>
      </c>
      <c r="F58" s="60">
        <v>23.1</v>
      </c>
      <c r="G58" s="60">
        <v>23.22</v>
      </c>
      <c r="H58" s="60">
        <v>17.36</v>
      </c>
      <c r="I58" s="60">
        <v>0.13</v>
      </c>
      <c r="J58" s="60">
        <v>1.06</v>
      </c>
      <c r="K58" s="60">
        <v>107.91</v>
      </c>
      <c r="L58" s="60">
        <v>28.5</v>
      </c>
      <c r="M58" s="60">
        <v>14</v>
      </c>
      <c r="N58" s="60">
        <v>725.8</v>
      </c>
      <c r="O58" s="60">
        <v>0</v>
      </c>
      <c r="P58" s="60">
        <v>0.24</v>
      </c>
      <c r="Q58" s="60">
        <v>1.55</v>
      </c>
      <c r="R58" s="198"/>
      <c r="S58" s="198"/>
      <c r="T58" s="198"/>
      <c r="U58" s="198"/>
    </row>
    <row r="59" spans="1:21" s="12" customFormat="1" x14ac:dyDescent="0.25">
      <c r="A59" s="201" t="s">
        <v>487</v>
      </c>
      <c r="B59" s="60">
        <v>3.04</v>
      </c>
      <c r="C59" s="60">
        <v>28.08</v>
      </c>
      <c r="D59" s="60">
        <v>16.739999999999998</v>
      </c>
      <c r="E59" s="60">
        <v>7.41</v>
      </c>
      <c r="F59" s="60">
        <v>10.53</v>
      </c>
      <c r="G59" s="60">
        <v>26.25</v>
      </c>
      <c r="H59" s="60">
        <v>16</v>
      </c>
      <c r="I59" s="60">
        <v>0.45</v>
      </c>
      <c r="J59" s="60">
        <v>0.62</v>
      </c>
      <c r="K59" s="60">
        <v>49.46</v>
      </c>
      <c r="L59" s="60">
        <v>29.83</v>
      </c>
      <c r="M59" s="60">
        <v>14</v>
      </c>
      <c r="N59" s="60">
        <v>694.4</v>
      </c>
      <c r="O59" s="60">
        <v>0</v>
      </c>
      <c r="P59" s="60">
        <v>0.25</v>
      </c>
      <c r="Q59" s="60">
        <v>3.98</v>
      </c>
      <c r="R59" s="198"/>
      <c r="S59" s="198"/>
      <c r="T59" s="198"/>
      <c r="U59" s="198"/>
    </row>
    <row r="60" spans="1:21" s="12" customFormat="1" x14ac:dyDescent="0.25">
      <c r="A60" s="201" t="s">
        <v>488</v>
      </c>
      <c r="B60" s="60">
        <v>3.56</v>
      </c>
      <c r="C60" s="60">
        <v>32.61</v>
      </c>
      <c r="D60" s="60">
        <v>19.66</v>
      </c>
      <c r="E60" s="60">
        <v>6.86</v>
      </c>
      <c r="F60" s="60">
        <v>7.18</v>
      </c>
      <c r="G60" s="60">
        <v>26.25</v>
      </c>
      <c r="H60" s="60">
        <v>16</v>
      </c>
      <c r="I60" s="60">
        <v>0.45</v>
      </c>
      <c r="J60" s="60">
        <v>0.53</v>
      </c>
      <c r="K60" s="60">
        <v>46.2</v>
      </c>
      <c r="L60" s="60">
        <v>30.54</v>
      </c>
      <c r="M60" s="60">
        <v>13</v>
      </c>
      <c r="N60" s="60">
        <v>653.70000000000005</v>
      </c>
      <c r="O60" s="60">
        <v>0</v>
      </c>
      <c r="P60" s="60">
        <v>0.27</v>
      </c>
      <c r="Q60" s="60">
        <v>6.29</v>
      </c>
      <c r="R60" s="198"/>
      <c r="S60" s="198"/>
      <c r="T60" s="198"/>
      <c r="U60" s="198"/>
    </row>
    <row r="61" spans="1:21" s="12" customFormat="1" x14ac:dyDescent="0.25">
      <c r="A61" s="201" t="s">
        <v>489</v>
      </c>
      <c r="B61" s="60">
        <v>5.86</v>
      </c>
      <c r="C61" s="60">
        <v>38.630000000000003</v>
      </c>
      <c r="D61" s="60">
        <v>24.83</v>
      </c>
      <c r="E61" s="60">
        <v>8.41</v>
      </c>
      <c r="F61" s="60">
        <v>7.65</v>
      </c>
      <c r="G61" s="60">
        <v>26.25</v>
      </c>
      <c r="H61" s="60">
        <v>16</v>
      </c>
      <c r="I61" s="60">
        <v>0.48</v>
      </c>
      <c r="J61" s="60">
        <v>0.87</v>
      </c>
      <c r="K61" s="60">
        <v>28.65</v>
      </c>
      <c r="L61" s="60">
        <v>31.17</v>
      </c>
      <c r="M61" s="60">
        <v>12</v>
      </c>
      <c r="N61" s="60">
        <v>610.5</v>
      </c>
      <c r="O61" s="60">
        <v>0</v>
      </c>
      <c r="P61" s="60">
        <v>0.3</v>
      </c>
      <c r="Q61" s="60">
        <v>8.64</v>
      </c>
      <c r="R61" s="198"/>
      <c r="S61" s="198"/>
      <c r="T61" s="198"/>
      <c r="U61" s="198"/>
    </row>
    <row r="62" spans="1:21" s="12" customFormat="1" x14ac:dyDescent="0.25">
      <c r="A62" s="201" t="s">
        <v>490</v>
      </c>
      <c r="B62" s="60">
        <v>5.89</v>
      </c>
      <c r="C62" s="60">
        <v>44.43</v>
      </c>
      <c r="D62" s="60">
        <v>28.05</v>
      </c>
      <c r="E62" s="60">
        <v>10.15</v>
      </c>
      <c r="F62" s="60">
        <v>7.74</v>
      </c>
      <c r="G62" s="60">
        <v>34.03</v>
      </c>
      <c r="H62" s="60">
        <v>17.09</v>
      </c>
      <c r="I62" s="60">
        <v>0.48</v>
      </c>
      <c r="J62" s="60">
        <v>0.68</v>
      </c>
      <c r="K62" s="60">
        <v>3.75</v>
      </c>
      <c r="L62" s="60">
        <v>33.29</v>
      </c>
      <c r="M62" s="60">
        <v>11</v>
      </c>
      <c r="N62" s="60">
        <v>580.9</v>
      </c>
      <c r="O62" s="60">
        <v>0</v>
      </c>
      <c r="P62" s="60">
        <v>0.35</v>
      </c>
      <c r="Q62" s="60">
        <v>10.210000000000001</v>
      </c>
      <c r="R62" s="198"/>
      <c r="S62" s="198"/>
      <c r="T62" s="198"/>
      <c r="U62" s="198"/>
    </row>
    <row r="63" spans="1:21" s="12" customFormat="1" x14ac:dyDescent="0.25">
      <c r="A63" s="201" t="s">
        <v>491</v>
      </c>
      <c r="B63" s="60">
        <v>5.14</v>
      </c>
      <c r="C63" s="60">
        <v>49.59</v>
      </c>
      <c r="D63" s="60">
        <v>30.3</v>
      </c>
      <c r="E63" s="60">
        <v>8.98</v>
      </c>
      <c r="F63" s="60">
        <v>6.29</v>
      </c>
      <c r="G63" s="60">
        <v>39.97</v>
      </c>
      <c r="H63" s="60">
        <v>17.97</v>
      </c>
      <c r="I63" s="60">
        <v>0.49</v>
      </c>
      <c r="J63" s="60">
        <v>1.26</v>
      </c>
      <c r="K63" s="60">
        <v>9.01</v>
      </c>
      <c r="L63" s="60">
        <v>33.74</v>
      </c>
      <c r="M63" s="60">
        <v>10</v>
      </c>
      <c r="N63" s="60">
        <v>543</v>
      </c>
      <c r="O63" s="60">
        <v>0</v>
      </c>
      <c r="P63" s="60">
        <v>0.37</v>
      </c>
      <c r="Q63" s="60">
        <v>11.66</v>
      </c>
      <c r="R63" s="198"/>
      <c r="S63" s="198"/>
      <c r="T63" s="198"/>
      <c r="U63" s="198"/>
    </row>
    <row r="64" spans="1:21" s="12" customFormat="1" x14ac:dyDescent="0.25">
      <c r="A64" s="201" t="s">
        <v>492</v>
      </c>
      <c r="B64" s="60">
        <v>5.23</v>
      </c>
      <c r="C64" s="60">
        <v>54.62</v>
      </c>
      <c r="D64" s="60">
        <v>33.15</v>
      </c>
      <c r="E64" s="60">
        <v>8.41</v>
      </c>
      <c r="F64" s="60">
        <v>6.61</v>
      </c>
      <c r="G64" s="60">
        <v>39.97</v>
      </c>
      <c r="H64" s="60">
        <v>17.97</v>
      </c>
      <c r="I64" s="60">
        <v>0.49</v>
      </c>
      <c r="J64" s="60">
        <v>0.54</v>
      </c>
      <c r="K64" s="60">
        <v>64.47</v>
      </c>
      <c r="L64" s="60">
        <v>32.67</v>
      </c>
      <c r="M64" s="60">
        <v>10</v>
      </c>
      <c r="N64" s="60">
        <v>510.1</v>
      </c>
      <c r="O64" s="60">
        <v>0</v>
      </c>
      <c r="P64" s="60">
        <v>0.4</v>
      </c>
      <c r="Q64" s="60">
        <v>13.19</v>
      </c>
      <c r="R64" s="198"/>
      <c r="S64" s="198"/>
      <c r="T64" s="198"/>
      <c r="U64" s="198"/>
    </row>
    <row r="65" spans="1:21" s="12" customFormat="1" x14ac:dyDescent="0.25">
      <c r="A65" s="201" t="s">
        <v>493</v>
      </c>
      <c r="B65" s="60">
        <v>5.18</v>
      </c>
      <c r="C65" s="60">
        <v>58.19</v>
      </c>
      <c r="D65" s="60">
        <v>35.08</v>
      </c>
      <c r="E65" s="60">
        <v>7.69</v>
      </c>
      <c r="F65" s="60">
        <v>5.66</v>
      </c>
      <c r="G65" s="60">
        <v>39.97</v>
      </c>
      <c r="H65" s="60">
        <v>17.97</v>
      </c>
      <c r="I65" s="60">
        <v>0.5</v>
      </c>
      <c r="J65" s="60">
        <v>1.3</v>
      </c>
      <c r="K65" s="60">
        <v>15.92</v>
      </c>
      <c r="L65" s="60">
        <v>31.8</v>
      </c>
      <c r="M65" s="60">
        <v>11</v>
      </c>
      <c r="N65" s="60">
        <v>493.9</v>
      </c>
      <c r="O65" s="60">
        <v>0</v>
      </c>
      <c r="P65" s="60">
        <v>0.42</v>
      </c>
      <c r="Q65" s="60">
        <v>15.46</v>
      </c>
      <c r="R65" s="198"/>
      <c r="S65" s="198"/>
      <c r="T65" s="198"/>
      <c r="U65" s="198"/>
    </row>
    <row r="66" spans="1:21" s="12" customFormat="1" x14ac:dyDescent="0.25">
      <c r="A66" s="201" t="s">
        <v>494</v>
      </c>
      <c r="B66" s="60">
        <v>5.38</v>
      </c>
      <c r="C66" s="60">
        <v>60.73</v>
      </c>
      <c r="D66" s="60">
        <v>36.65</v>
      </c>
      <c r="E66" s="60">
        <v>7.61</v>
      </c>
      <c r="F66" s="60">
        <v>6.12</v>
      </c>
      <c r="G66" s="60">
        <v>45.72</v>
      </c>
      <c r="H66" s="60">
        <v>18.13</v>
      </c>
      <c r="I66" s="60">
        <v>0.51</v>
      </c>
      <c r="J66" s="60">
        <v>1.01</v>
      </c>
      <c r="K66" s="60">
        <v>5.61</v>
      </c>
      <c r="L66" s="60">
        <v>32.78</v>
      </c>
      <c r="M66" s="60">
        <v>11</v>
      </c>
      <c r="N66" s="60">
        <v>474.5</v>
      </c>
      <c r="O66" s="60">
        <v>0</v>
      </c>
      <c r="P66" s="60">
        <v>0.46</v>
      </c>
      <c r="Q66" s="60">
        <v>16.95</v>
      </c>
      <c r="R66" s="198"/>
      <c r="S66" s="198"/>
      <c r="T66" s="198"/>
      <c r="U66" s="198"/>
    </row>
    <row r="67" spans="1:21" s="12" customFormat="1" x14ac:dyDescent="0.25">
      <c r="A67" s="201" t="s">
        <v>495</v>
      </c>
      <c r="B67" s="60">
        <v>5.41</v>
      </c>
      <c r="C67" s="60">
        <v>65.959999999999994</v>
      </c>
      <c r="D67" s="60">
        <v>39.549999999999997</v>
      </c>
      <c r="E67" s="60">
        <v>9.34</v>
      </c>
      <c r="F67" s="60">
        <v>7.14</v>
      </c>
      <c r="G67" s="60">
        <v>50.11</v>
      </c>
      <c r="H67" s="60">
        <v>18.27</v>
      </c>
      <c r="I67" s="60">
        <v>0.51</v>
      </c>
      <c r="J67" s="60">
        <v>0.77</v>
      </c>
      <c r="K67" s="60">
        <v>344.25</v>
      </c>
      <c r="L67" s="60">
        <v>33.270000000000003</v>
      </c>
      <c r="M67" s="60">
        <v>11</v>
      </c>
      <c r="N67" s="60">
        <v>444.2</v>
      </c>
      <c r="O67" s="60">
        <v>0</v>
      </c>
      <c r="P67" s="60">
        <v>0.53</v>
      </c>
      <c r="Q67" s="60">
        <v>17.36</v>
      </c>
      <c r="R67" s="198"/>
      <c r="S67" s="198"/>
      <c r="T67" s="198"/>
      <c r="U67" s="198"/>
    </row>
    <row r="68" spans="1:21" s="12" customFormat="1" x14ac:dyDescent="0.25">
      <c r="A68" s="201" t="s">
        <v>496</v>
      </c>
      <c r="B68" s="60">
        <v>4.8099999999999996</v>
      </c>
      <c r="C68" s="60">
        <v>71.72</v>
      </c>
      <c r="D68" s="60">
        <v>42.25</v>
      </c>
      <c r="E68" s="60">
        <v>7.97</v>
      </c>
      <c r="F68" s="60">
        <v>6.19</v>
      </c>
      <c r="G68" s="60">
        <v>50.11</v>
      </c>
      <c r="H68" s="60">
        <v>18.27</v>
      </c>
      <c r="I68" s="60">
        <v>0.52</v>
      </c>
      <c r="J68" s="60">
        <v>1.18</v>
      </c>
      <c r="K68" s="60">
        <v>3.79</v>
      </c>
      <c r="L68" s="60">
        <v>33.64</v>
      </c>
      <c r="M68" s="60">
        <v>11</v>
      </c>
      <c r="N68" s="60">
        <v>307</v>
      </c>
      <c r="O68" s="60">
        <v>0</v>
      </c>
      <c r="P68" s="60">
        <v>0.54</v>
      </c>
      <c r="Q68" s="60">
        <v>17.739999999999998</v>
      </c>
      <c r="R68" s="198"/>
      <c r="S68" s="198"/>
      <c r="T68" s="198"/>
      <c r="U68" s="198"/>
    </row>
    <row r="69" spans="1:21" s="12" customFormat="1" x14ac:dyDescent="0.25">
      <c r="A69" s="201" t="s">
        <v>497</v>
      </c>
      <c r="B69" s="60">
        <v>4.95</v>
      </c>
      <c r="C69" s="60">
        <v>74.62</v>
      </c>
      <c r="D69" s="60">
        <v>43.96</v>
      </c>
      <c r="E69" s="60">
        <v>8.15</v>
      </c>
      <c r="F69" s="60">
        <v>7.07</v>
      </c>
      <c r="G69" s="60">
        <v>50.11</v>
      </c>
      <c r="H69" s="60">
        <v>18.27</v>
      </c>
      <c r="I69" s="60">
        <v>0.51</v>
      </c>
      <c r="J69" s="60">
        <v>0.98</v>
      </c>
      <c r="K69" s="60">
        <v>11.76</v>
      </c>
      <c r="L69" s="60">
        <v>32.1</v>
      </c>
      <c r="M69" s="60">
        <v>11</v>
      </c>
      <c r="N69" s="60">
        <v>171.1</v>
      </c>
      <c r="O69" s="60">
        <v>0</v>
      </c>
      <c r="P69" s="60">
        <v>0.56000000000000005</v>
      </c>
      <c r="Q69" s="60">
        <v>18.399999999999999</v>
      </c>
      <c r="R69" s="198"/>
      <c r="S69" s="198"/>
      <c r="T69" s="198"/>
      <c r="U69" s="198"/>
    </row>
    <row r="70" spans="1:21" s="12" customFormat="1" x14ac:dyDescent="0.25">
      <c r="A70" s="201" t="s">
        <v>498</v>
      </c>
      <c r="B70" s="60">
        <v>6.69</v>
      </c>
      <c r="C70" s="60">
        <v>74.39</v>
      </c>
      <c r="D70" s="60">
        <v>45.23</v>
      </c>
      <c r="E70" s="60">
        <v>8.7100000000000009</v>
      </c>
      <c r="F70" s="60">
        <v>8.82</v>
      </c>
      <c r="G70" s="60">
        <v>54.31</v>
      </c>
      <c r="H70" s="60">
        <v>17.41</v>
      </c>
      <c r="I70" s="60">
        <v>0.51</v>
      </c>
      <c r="J70" s="60">
        <v>0.96</v>
      </c>
      <c r="K70" s="60">
        <v>0.42</v>
      </c>
      <c r="L70" s="60">
        <v>32.44</v>
      </c>
      <c r="M70" s="60">
        <v>12</v>
      </c>
      <c r="N70" s="60">
        <v>141.30000000000001</v>
      </c>
      <c r="O70" s="60">
        <v>0</v>
      </c>
      <c r="P70" s="60">
        <v>0.56000000000000005</v>
      </c>
      <c r="Q70" s="60">
        <v>18.48</v>
      </c>
      <c r="R70" s="198"/>
      <c r="S70" s="198"/>
      <c r="T70" s="198"/>
      <c r="U70" s="198"/>
    </row>
    <row r="71" spans="1:21" s="12" customFormat="1" x14ac:dyDescent="0.25">
      <c r="A71" s="201" t="s">
        <v>499</v>
      </c>
      <c r="B71" s="60">
        <v>6.27</v>
      </c>
      <c r="C71" s="60">
        <v>78.05</v>
      </c>
      <c r="D71" s="60">
        <v>46.92</v>
      </c>
      <c r="E71" s="60">
        <v>10.25</v>
      </c>
      <c r="F71" s="60">
        <v>8.93</v>
      </c>
      <c r="G71" s="60">
        <v>57.53</v>
      </c>
      <c r="H71" s="60">
        <v>16.75</v>
      </c>
      <c r="I71" s="60">
        <v>0.55000000000000004</v>
      </c>
      <c r="J71" s="60">
        <v>1.21</v>
      </c>
      <c r="K71" s="60">
        <v>9.58</v>
      </c>
      <c r="L71" s="60">
        <v>31.79</v>
      </c>
      <c r="M71" s="60">
        <v>13</v>
      </c>
      <c r="N71" s="60">
        <v>121</v>
      </c>
      <c r="O71" s="60">
        <v>0</v>
      </c>
      <c r="P71" s="60">
        <v>0.59</v>
      </c>
      <c r="Q71" s="60">
        <v>18.260000000000002</v>
      </c>
      <c r="R71" s="198"/>
      <c r="S71" s="198"/>
      <c r="T71" s="198"/>
      <c r="U71" s="198"/>
    </row>
    <row r="72" spans="1:21" s="12" customFormat="1" x14ac:dyDescent="0.25">
      <c r="A72" s="201" t="s">
        <v>500</v>
      </c>
      <c r="B72" s="60">
        <v>7.28</v>
      </c>
      <c r="C72" s="60">
        <v>74.33</v>
      </c>
      <c r="D72" s="60">
        <v>45.67</v>
      </c>
      <c r="E72" s="60">
        <v>16.54</v>
      </c>
      <c r="F72" s="60">
        <v>11.06</v>
      </c>
      <c r="G72" s="60">
        <v>57.53</v>
      </c>
      <c r="H72" s="60">
        <v>16.75</v>
      </c>
      <c r="I72" s="60">
        <v>0.52</v>
      </c>
      <c r="J72" s="60">
        <v>1.25</v>
      </c>
      <c r="K72" s="60">
        <v>13.57</v>
      </c>
      <c r="L72" s="60">
        <v>31.18</v>
      </c>
      <c r="M72" s="60">
        <v>12</v>
      </c>
      <c r="N72" s="60">
        <v>86.6</v>
      </c>
      <c r="O72" s="60">
        <v>0</v>
      </c>
      <c r="P72" s="60">
        <v>0.62</v>
      </c>
      <c r="Q72" s="60">
        <v>18.55</v>
      </c>
      <c r="R72" s="198"/>
      <c r="S72" s="198"/>
      <c r="T72" s="198"/>
      <c r="U72" s="198"/>
    </row>
    <row r="73" spans="1:21" s="12" customFormat="1" x14ac:dyDescent="0.25">
      <c r="A73" s="201" t="s">
        <v>501</v>
      </c>
      <c r="B73" s="60">
        <v>7.62</v>
      </c>
      <c r="C73" s="60">
        <v>75.510000000000005</v>
      </c>
      <c r="D73" s="60">
        <v>46.6</v>
      </c>
      <c r="E73" s="60">
        <v>12.1</v>
      </c>
      <c r="F73" s="60">
        <v>8.4700000000000006</v>
      </c>
      <c r="G73" s="60">
        <v>57.53</v>
      </c>
      <c r="H73" s="60">
        <v>16.75</v>
      </c>
      <c r="I73" s="60">
        <v>0.52</v>
      </c>
      <c r="J73" s="60">
        <v>1.33</v>
      </c>
      <c r="K73" s="60">
        <v>11.17</v>
      </c>
      <c r="L73" s="60">
        <v>29.92</v>
      </c>
      <c r="M73" s="60">
        <v>13</v>
      </c>
      <c r="N73" s="60">
        <v>122.9</v>
      </c>
      <c r="O73" s="60">
        <v>0</v>
      </c>
      <c r="P73" s="60">
        <v>0.64</v>
      </c>
      <c r="Q73" s="60">
        <v>19.02</v>
      </c>
      <c r="R73" s="198"/>
      <c r="S73" s="198"/>
      <c r="T73" s="198"/>
      <c r="U73" s="198"/>
    </row>
    <row r="74" spans="1:21" s="12" customFormat="1" x14ac:dyDescent="0.25">
      <c r="A74" s="201" t="s">
        <v>502</v>
      </c>
      <c r="B74" s="60">
        <v>9.5299999999999994</v>
      </c>
      <c r="C74" s="60">
        <v>76.83</v>
      </c>
      <c r="D74" s="60">
        <v>48.85</v>
      </c>
      <c r="E74" s="60">
        <v>15.29</v>
      </c>
      <c r="F74" s="60">
        <v>10.24</v>
      </c>
      <c r="G74" s="60">
        <v>49.77</v>
      </c>
      <c r="H74" s="60">
        <v>17.66</v>
      </c>
      <c r="I74" s="60">
        <v>0.52</v>
      </c>
      <c r="J74" s="60">
        <v>1.42</v>
      </c>
      <c r="K74" s="60">
        <v>10.65</v>
      </c>
      <c r="L74" s="60">
        <v>28.85</v>
      </c>
      <c r="M74" s="60">
        <v>13</v>
      </c>
      <c r="N74" s="60">
        <v>55.8</v>
      </c>
      <c r="O74" s="60">
        <v>0</v>
      </c>
      <c r="P74" s="60">
        <v>0.65</v>
      </c>
      <c r="Q74" s="60">
        <v>19.32</v>
      </c>
      <c r="R74" s="198"/>
      <c r="S74" s="198"/>
      <c r="T74" s="198"/>
      <c r="U74" s="198"/>
    </row>
    <row r="75" spans="1:21" s="12" customFormat="1" x14ac:dyDescent="0.25">
      <c r="A75" s="201" t="s">
        <v>503</v>
      </c>
      <c r="B75" s="60">
        <v>9.07</v>
      </c>
      <c r="C75" s="60">
        <v>78.3</v>
      </c>
      <c r="D75" s="60">
        <v>49.29</v>
      </c>
      <c r="E75" s="60">
        <v>12.79</v>
      </c>
      <c r="F75" s="60">
        <v>9.41</v>
      </c>
      <c r="G75" s="60">
        <v>43.56</v>
      </c>
      <c r="H75" s="60">
        <v>18.39</v>
      </c>
      <c r="I75" s="60">
        <v>0.55000000000000004</v>
      </c>
      <c r="J75" s="60">
        <v>1.25</v>
      </c>
      <c r="K75" s="60">
        <v>16.21</v>
      </c>
      <c r="L75" s="60">
        <v>28.19</v>
      </c>
      <c r="M75" s="60">
        <v>12</v>
      </c>
      <c r="N75" s="60">
        <v>44.9</v>
      </c>
      <c r="O75" s="60">
        <v>0</v>
      </c>
      <c r="P75" s="60">
        <v>0.69</v>
      </c>
      <c r="Q75" s="60">
        <v>19.739999999999998</v>
      </c>
      <c r="R75" s="198"/>
      <c r="S75" s="198"/>
      <c r="T75" s="198"/>
      <c r="U75" s="198"/>
    </row>
    <row r="76" spans="1:21" s="12" customFormat="1" x14ac:dyDescent="0.25">
      <c r="A76" s="201" t="s">
        <v>504</v>
      </c>
      <c r="B76" s="60">
        <v>15.65</v>
      </c>
      <c r="C76" s="60">
        <v>84.03</v>
      </c>
      <c r="D76" s="60">
        <v>57.73</v>
      </c>
      <c r="E76" s="60">
        <v>17.010000000000002</v>
      </c>
      <c r="F76" s="60">
        <v>10.3</v>
      </c>
      <c r="G76" s="60">
        <v>43.56</v>
      </c>
      <c r="H76" s="60">
        <v>18.39</v>
      </c>
      <c r="I76" s="60">
        <v>0.56000000000000005</v>
      </c>
      <c r="J76" s="60">
        <v>0.94</v>
      </c>
      <c r="K76" s="60">
        <v>15.61</v>
      </c>
      <c r="L76" s="60">
        <v>27.73</v>
      </c>
      <c r="M76" s="60">
        <v>12</v>
      </c>
      <c r="N76" s="60">
        <v>33.6</v>
      </c>
      <c r="O76" s="60">
        <v>0</v>
      </c>
      <c r="P76" s="60">
        <v>0.75</v>
      </c>
      <c r="Q76" s="60">
        <v>19.66</v>
      </c>
      <c r="R76" s="198"/>
      <c r="S76" s="198"/>
      <c r="T76" s="198"/>
      <c r="U76" s="198"/>
    </row>
    <row r="77" spans="1:21" s="12" customFormat="1" x14ac:dyDescent="0.25">
      <c r="A77" s="201" t="s">
        <v>505</v>
      </c>
      <c r="B77" s="60">
        <v>16.34</v>
      </c>
      <c r="C77" s="60">
        <v>83.75</v>
      </c>
      <c r="D77" s="60">
        <v>58.13</v>
      </c>
      <c r="E77" s="60">
        <v>16.61</v>
      </c>
      <c r="F77" s="60">
        <v>8.34</v>
      </c>
      <c r="G77" s="60">
        <v>43.56</v>
      </c>
      <c r="H77" s="60">
        <v>18.39</v>
      </c>
      <c r="I77" s="60">
        <v>0.56000000000000005</v>
      </c>
      <c r="J77" s="60">
        <v>0.71</v>
      </c>
      <c r="K77" s="60">
        <v>14.75</v>
      </c>
      <c r="L77" s="60">
        <v>27.14</v>
      </c>
      <c r="M77" s="60">
        <v>13</v>
      </c>
      <c r="N77" s="60">
        <v>27.1</v>
      </c>
      <c r="O77" s="60">
        <v>0</v>
      </c>
      <c r="P77" s="60">
        <v>0.8</v>
      </c>
      <c r="Q77" s="60">
        <v>20.38</v>
      </c>
      <c r="R77" s="198"/>
      <c r="S77" s="198"/>
      <c r="T77" s="198"/>
      <c r="U77" s="198"/>
    </row>
    <row r="78" spans="1:21" s="12" customFormat="1" x14ac:dyDescent="0.25">
      <c r="A78" s="201" t="s">
        <v>506</v>
      </c>
      <c r="B78" s="60">
        <v>14.25</v>
      </c>
      <c r="C78" s="60">
        <v>87.78</v>
      </c>
      <c r="D78" s="60">
        <v>58.68</v>
      </c>
      <c r="E78" s="60">
        <v>8.0299999999999994</v>
      </c>
      <c r="F78" s="60">
        <v>5.16</v>
      </c>
      <c r="G78" s="60">
        <v>56.11</v>
      </c>
      <c r="H78" s="60">
        <v>16.59</v>
      </c>
      <c r="I78" s="60">
        <v>0.57999999999999996</v>
      </c>
      <c r="J78" s="60">
        <v>0.65</v>
      </c>
      <c r="K78" s="60">
        <v>11.76</v>
      </c>
      <c r="L78" s="60">
        <v>26.49</v>
      </c>
      <c r="M78" s="60">
        <v>15</v>
      </c>
      <c r="N78" s="60">
        <v>19.8</v>
      </c>
      <c r="O78" s="60">
        <v>0</v>
      </c>
      <c r="P78" s="60">
        <v>0.77</v>
      </c>
      <c r="Q78" s="60">
        <v>22.21</v>
      </c>
      <c r="R78" s="198"/>
      <c r="S78" s="198"/>
      <c r="T78" s="198"/>
      <c r="U78" s="198"/>
    </row>
    <row r="79" spans="1:21" s="12" customFormat="1" x14ac:dyDescent="0.25">
      <c r="A79" s="201" t="s">
        <v>507</v>
      </c>
      <c r="B79" s="60">
        <v>15.3</v>
      </c>
      <c r="C79" s="60">
        <v>89.47</v>
      </c>
      <c r="D79" s="60">
        <v>60.45</v>
      </c>
      <c r="E79" s="60">
        <v>7.84</v>
      </c>
      <c r="F79" s="60">
        <v>4.5199999999999996</v>
      </c>
      <c r="G79" s="60">
        <v>66.16</v>
      </c>
      <c r="H79" s="60">
        <v>15.15</v>
      </c>
      <c r="I79" s="60">
        <v>0.6</v>
      </c>
      <c r="J79" s="60">
        <v>0.4</v>
      </c>
      <c r="K79" s="60">
        <v>14.79</v>
      </c>
      <c r="L79" s="60">
        <v>25.78</v>
      </c>
      <c r="M79" s="60">
        <v>15</v>
      </c>
      <c r="N79" s="60">
        <v>11.7</v>
      </c>
      <c r="O79" s="60">
        <v>0</v>
      </c>
      <c r="P79" s="60">
        <v>0.85</v>
      </c>
      <c r="Q79" s="60">
        <v>23.67</v>
      </c>
      <c r="R79" s="198"/>
      <c r="S79" s="198"/>
      <c r="T79" s="198"/>
      <c r="U79" s="198"/>
    </row>
    <row r="80" spans="1:21" s="12" customFormat="1" x14ac:dyDescent="0.25">
      <c r="A80" s="201" t="s">
        <v>508</v>
      </c>
      <c r="B80" s="60">
        <v>17.63</v>
      </c>
      <c r="C80" s="60">
        <v>92.66</v>
      </c>
      <c r="D80" s="60">
        <v>64.08</v>
      </c>
      <c r="E80" s="60">
        <v>7.27</v>
      </c>
      <c r="F80" s="60">
        <v>4.16</v>
      </c>
      <c r="G80" s="60">
        <v>66.16</v>
      </c>
      <c r="H80" s="60">
        <v>15.15</v>
      </c>
      <c r="I80" s="60">
        <v>0.57999999999999996</v>
      </c>
      <c r="J80" s="60">
        <v>0.25</v>
      </c>
      <c r="K80" s="60">
        <v>70.180000000000007</v>
      </c>
      <c r="L80" s="60">
        <v>25.04</v>
      </c>
      <c r="M80" s="60">
        <v>17</v>
      </c>
      <c r="N80" s="60">
        <v>6</v>
      </c>
      <c r="O80" s="60">
        <v>0</v>
      </c>
      <c r="P80" s="60">
        <v>0.94</v>
      </c>
      <c r="Q80" s="60">
        <v>24.61</v>
      </c>
      <c r="R80" s="198"/>
      <c r="S80" s="198"/>
      <c r="T80" s="198"/>
      <c r="U80" s="198"/>
    </row>
    <row r="81" spans="1:26" s="12" customFormat="1" x14ac:dyDescent="0.25">
      <c r="A81" s="201" t="s">
        <v>509</v>
      </c>
      <c r="B81" s="60">
        <v>20.04</v>
      </c>
      <c r="C81" s="60">
        <v>94.13</v>
      </c>
      <c r="D81" s="60">
        <v>66.83</v>
      </c>
      <c r="E81" s="60">
        <v>7.43</v>
      </c>
      <c r="F81" s="60">
        <v>3.53</v>
      </c>
      <c r="G81" s="60">
        <v>66.16</v>
      </c>
      <c r="H81" s="60">
        <v>15.15</v>
      </c>
      <c r="I81" s="60">
        <v>0.62</v>
      </c>
      <c r="J81" s="60">
        <v>0.28000000000000003</v>
      </c>
      <c r="K81" s="60">
        <v>86.69</v>
      </c>
      <c r="L81" s="60">
        <v>24.51</v>
      </c>
      <c r="M81" s="60">
        <v>18</v>
      </c>
      <c r="N81" s="60">
        <v>4.2</v>
      </c>
      <c r="O81" s="60">
        <v>0</v>
      </c>
      <c r="P81" s="60">
        <v>1.01</v>
      </c>
      <c r="Q81" s="60">
        <v>25.28</v>
      </c>
      <c r="R81" s="198"/>
      <c r="S81" s="198"/>
      <c r="T81" s="198"/>
      <c r="U81" s="198"/>
    </row>
    <row r="82" spans="1:26" s="12" customFormat="1" x14ac:dyDescent="0.25">
      <c r="A82" s="201" t="s">
        <v>510</v>
      </c>
      <c r="B82" s="60">
        <v>22.97</v>
      </c>
      <c r="C82" s="60">
        <v>96.78</v>
      </c>
      <c r="D82" s="60">
        <v>70.64</v>
      </c>
      <c r="E82" s="60">
        <v>6.39</v>
      </c>
      <c r="F82" s="60">
        <v>3.42</v>
      </c>
      <c r="G82" s="60">
        <v>71.709999999999994</v>
      </c>
      <c r="H82" s="60">
        <v>17.440000000000001</v>
      </c>
      <c r="I82" s="60">
        <v>0.61</v>
      </c>
      <c r="J82" s="60">
        <v>0.06</v>
      </c>
      <c r="K82" s="60">
        <v>185.65</v>
      </c>
      <c r="L82" s="60">
        <v>23.12</v>
      </c>
      <c r="M82" s="60">
        <v>22</v>
      </c>
      <c r="N82" s="60">
        <v>4.9000000000000004</v>
      </c>
      <c r="O82" s="60">
        <v>0</v>
      </c>
      <c r="P82" s="60">
        <v>1.1000000000000001</v>
      </c>
      <c r="Q82" s="60">
        <v>25.74</v>
      </c>
      <c r="R82" s="198"/>
      <c r="S82" s="198"/>
      <c r="T82" s="198"/>
      <c r="U82" s="198"/>
    </row>
    <row r="83" spans="1:26" s="12" customFormat="1" x14ac:dyDescent="0.25">
      <c r="A83" s="201" t="s">
        <v>511</v>
      </c>
      <c r="B83" s="60">
        <v>27.19</v>
      </c>
      <c r="C83" s="60">
        <v>99.98</v>
      </c>
      <c r="D83" s="60">
        <v>75.790000000000006</v>
      </c>
      <c r="E83" s="60">
        <v>6.38</v>
      </c>
      <c r="F83" s="60">
        <v>3.49</v>
      </c>
      <c r="G83" s="60">
        <v>76.150000000000006</v>
      </c>
      <c r="H83" s="60">
        <v>19.27</v>
      </c>
      <c r="I83" s="60">
        <v>0.63</v>
      </c>
      <c r="J83" s="60">
        <v>0.11</v>
      </c>
      <c r="K83" s="60">
        <v>293.39</v>
      </c>
      <c r="L83" s="60">
        <v>21.86</v>
      </c>
      <c r="M83" s="60">
        <v>26</v>
      </c>
      <c r="N83" s="60">
        <v>4.5</v>
      </c>
      <c r="O83" s="60">
        <v>0</v>
      </c>
      <c r="P83" s="60">
        <v>1.2</v>
      </c>
      <c r="Q83" s="60">
        <v>26.4</v>
      </c>
      <c r="R83" s="198"/>
      <c r="S83" s="198"/>
      <c r="T83" s="198"/>
      <c r="U83" s="198"/>
    </row>
    <row r="84" spans="1:26" s="12" customFormat="1" x14ac:dyDescent="0.25">
      <c r="A84" s="201" t="s">
        <v>512</v>
      </c>
      <c r="B84" s="60">
        <v>43.75</v>
      </c>
      <c r="C84" s="60">
        <v>109.14</v>
      </c>
      <c r="D84" s="60">
        <v>94.13</v>
      </c>
      <c r="E84" s="60">
        <v>6.77</v>
      </c>
      <c r="F84" s="60">
        <v>3.66</v>
      </c>
      <c r="G84" s="60">
        <v>76.150000000000006</v>
      </c>
      <c r="H84" s="60">
        <v>19.27</v>
      </c>
      <c r="I84" s="60">
        <v>0.65</v>
      </c>
      <c r="J84" s="60">
        <v>0.06</v>
      </c>
      <c r="K84" s="60">
        <v>35.119999999999997</v>
      </c>
      <c r="L84" s="60">
        <v>20.89</v>
      </c>
      <c r="M84" s="60">
        <v>34</v>
      </c>
      <c r="N84" s="60">
        <v>4.4000000000000004</v>
      </c>
      <c r="O84" s="60">
        <v>0</v>
      </c>
      <c r="P84" s="60">
        <v>1.43</v>
      </c>
      <c r="Q84" s="60">
        <v>26.35</v>
      </c>
      <c r="R84" s="198"/>
      <c r="S84" s="198"/>
      <c r="T84" s="198"/>
      <c r="U84" s="198"/>
    </row>
    <row r="85" spans="1:26" s="12" customFormat="1" x14ac:dyDescent="0.25">
      <c r="A85" s="201" t="s">
        <v>513</v>
      </c>
      <c r="B85" s="60">
        <v>57.35</v>
      </c>
      <c r="C85" s="60">
        <v>116.27</v>
      </c>
      <c r="D85" s="60">
        <v>108.97</v>
      </c>
      <c r="E85" s="60">
        <v>6.47</v>
      </c>
      <c r="F85" s="60">
        <v>3.71</v>
      </c>
      <c r="G85" s="60">
        <v>76.150000000000006</v>
      </c>
      <c r="H85" s="60">
        <v>19.27</v>
      </c>
      <c r="I85" s="60">
        <v>0.74</v>
      </c>
      <c r="J85" s="60">
        <v>7.0000000000000007E-2</v>
      </c>
      <c r="K85" s="60">
        <v>255.85</v>
      </c>
      <c r="L85" s="60">
        <v>20.399999999999999</v>
      </c>
      <c r="M85" s="60">
        <v>32</v>
      </c>
      <c r="N85" s="60">
        <v>4.0999999999999996</v>
      </c>
      <c r="O85" s="60">
        <v>0</v>
      </c>
      <c r="P85" s="60">
        <v>1.55</v>
      </c>
      <c r="Q85" s="60">
        <v>25.96</v>
      </c>
      <c r="R85" s="198"/>
      <c r="S85" s="198"/>
      <c r="T85" s="198"/>
      <c r="U85" s="198"/>
    </row>
    <row r="86" spans="1:26" s="12" customFormat="1" x14ac:dyDescent="0.25">
      <c r="A86" s="201" t="s">
        <v>514</v>
      </c>
      <c r="B86" s="60">
        <v>66.72</v>
      </c>
      <c r="C86" s="60">
        <v>120.38</v>
      </c>
      <c r="D86" s="60">
        <v>118.75</v>
      </c>
      <c r="E86" s="60">
        <v>6.81</v>
      </c>
      <c r="F86" s="60">
        <v>3.53</v>
      </c>
      <c r="G86" s="60">
        <v>136.03</v>
      </c>
      <c r="H86" s="60">
        <v>28.89</v>
      </c>
      <c r="I86" s="60">
        <v>0.82</v>
      </c>
      <c r="J86" s="60">
        <v>0.06</v>
      </c>
      <c r="K86" s="60">
        <v>305.68</v>
      </c>
      <c r="L86" s="60">
        <v>19.95</v>
      </c>
      <c r="M86" s="60">
        <v>35</v>
      </c>
      <c r="N86" s="60">
        <v>4.2</v>
      </c>
      <c r="O86" s="60">
        <v>0</v>
      </c>
      <c r="P86" s="60">
        <v>1.68</v>
      </c>
      <c r="Q86" s="60">
        <v>27.15</v>
      </c>
      <c r="R86" s="198"/>
      <c r="S86" s="198"/>
      <c r="T86" s="198"/>
      <c r="U86" s="198"/>
    </row>
    <row r="87" spans="1:26" s="12" customFormat="1" x14ac:dyDescent="0.25">
      <c r="A87" s="201" t="s">
        <v>515</v>
      </c>
      <c r="B87" s="60">
        <v>76.37</v>
      </c>
      <c r="C87" s="60">
        <v>125</v>
      </c>
      <c r="D87" s="60">
        <v>129.04</v>
      </c>
      <c r="E87" s="60">
        <v>6.97</v>
      </c>
      <c r="F87" s="60">
        <v>3.65</v>
      </c>
      <c r="G87" s="60">
        <v>183.94</v>
      </c>
      <c r="H87" s="60">
        <v>36.590000000000003</v>
      </c>
      <c r="I87" s="60">
        <v>0.91</v>
      </c>
      <c r="J87" s="60">
        <v>0.05</v>
      </c>
      <c r="K87" s="60">
        <v>248.45</v>
      </c>
      <c r="L87" s="60">
        <v>19.64</v>
      </c>
      <c r="M87" s="60">
        <v>37</v>
      </c>
      <c r="N87" s="60">
        <v>4.0999999999999996</v>
      </c>
      <c r="O87" s="60">
        <v>0</v>
      </c>
      <c r="P87" s="60">
        <v>1.78</v>
      </c>
      <c r="Q87" s="60">
        <v>28.23</v>
      </c>
      <c r="R87" s="198"/>
      <c r="S87" s="198"/>
      <c r="T87" s="198"/>
      <c r="U87" s="198"/>
    </row>
    <row r="88" spans="1:26" s="12" customFormat="1" x14ac:dyDescent="0.25">
      <c r="A88" s="201" t="s">
        <v>516</v>
      </c>
      <c r="B88" s="60">
        <v>90.37</v>
      </c>
      <c r="C88" s="60">
        <v>130.54</v>
      </c>
      <c r="D88" s="60">
        <v>143.32</v>
      </c>
      <c r="E88" s="60">
        <v>4.68</v>
      </c>
      <c r="F88" s="60">
        <v>3.63</v>
      </c>
      <c r="G88" s="60">
        <v>183.94</v>
      </c>
      <c r="H88" s="60">
        <v>36.590000000000003</v>
      </c>
      <c r="I88" s="60">
        <v>0.95</v>
      </c>
      <c r="J88" s="60">
        <v>0.05</v>
      </c>
      <c r="K88" s="60">
        <v>85.26</v>
      </c>
      <c r="L88" s="60">
        <v>19.23</v>
      </c>
      <c r="M88" s="60">
        <v>40</v>
      </c>
      <c r="N88" s="60">
        <v>4.3</v>
      </c>
      <c r="O88" s="60">
        <v>0</v>
      </c>
      <c r="P88" s="60">
        <v>1.93</v>
      </c>
      <c r="Q88" s="60">
        <v>29.09</v>
      </c>
      <c r="R88" s="198"/>
      <c r="S88" s="198"/>
      <c r="T88" s="198"/>
      <c r="U88" s="198"/>
    </row>
    <row r="89" spans="1:26" s="12" customFormat="1" x14ac:dyDescent="0.25">
      <c r="A89" s="201" t="s">
        <v>517</v>
      </c>
      <c r="B89" s="60">
        <v>104.24</v>
      </c>
      <c r="C89" s="60">
        <v>138.87</v>
      </c>
      <c r="D89" s="60">
        <v>159.05000000000001</v>
      </c>
      <c r="E89" s="60">
        <v>7.21</v>
      </c>
      <c r="F89" s="60">
        <v>3.56</v>
      </c>
      <c r="G89" s="60">
        <v>183.94</v>
      </c>
      <c r="H89" s="60">
        <v>36.590000000000003</v>
      </c>
      <c r="I89" s="60">
        <v>1.01</v>
      </c>
      <c r="J89" s="60">
        <v>0.08</v>
      </c>
      <c r="K89" s="60">
        <v>313.49</v>
      </c>
      <c r="L89" s="60">
        <v>18.920000000000002</v>
      </c>
      <c r="M89" s="60">
        <v>43</v>
      </c>
      <c r="N89" s="60">
        <v>3.8</v>
      </c>
      <c r="O89" s="60">
        <v>0</v>
      </c>
      <c r="P89" s="60">
        <v>2.17</v>
      </c>
      <c r="Q89" s="60">
        <v>30.6</v>
      </c>
      <c r="R89" s="198"/>
      <c r="S89" s="198"/>
      <c r="T89" s="198"/>
      <c r="U89" s="198"/>
    </row>
    <row r="90" spans="1:26" s="12" customFormat="1" x14ac:dyDescent="0.25">
      <c r="A90" s="201" t="s">
        <v>518</v>
      </c>
      <c r="B90" s="60">
        <v>115.08</v>
      </c>
      <c r="C90" s="60">
        <v>140.84</v>
      </c>
      <c r="D90" s="60">
        <v>168.83</v>
      </c>
      <c r="E90" s="60">
        <v>7.5</v>
      </c>
      <c r="F90" s="60">
        <v>3.54</v>
      </c>
      <c r="G90" s="60">
        <v>213.84</v>
      </c>
      <c r="H90" s="60">
        <v>45.37</v>
      </c>
      <c r="I90" s="60">
        <v>1.08</v>
      </c>
      <c r="J90" s="60">
        <v>0.09</v>
      </c>
      <c r="K90" s="60">
        <v>119.47</v>
      </c>
      <c r="L90" s="60">
        <v>18.66</v>
      </c>
      <c r="M90" s="60">
        <v>41</v>
      </c>
      <c r="N90" s="60">
        <v>4</v>
      </c>
      <c r="O90" s="60">
        <v>0</v>
      </c>
      <c r="P90" s="60">
        <v>2.31</v>
      </c>
      <c r="Q90" s="60">
        <v>32.4</v>
      </c>
      <c r="R90" s="198"/>
      <c r="S90" s="198"/>
      <c r="T90" s="198"/>
      <c r="U90" s="198"/>
    </row>
    <row r="91" spans="1:26" s="12" customFormat="1" x14ac:dyDescent="0.25">
      <c r="A91" s="201" t="s">
        <v>519</v>
      </c>
      <c r="B91" s="60">
        <v>126.29</v>
      </c>
      <c r="C91" s="60">
        <v>146.63</v>
      </c>
      <c r="D91" s="60">
        <v>181</v>
      </c>
      <c r="E91" s="60">
        <v>8.3000000000000007</v>
      </c>
      <c r="F91" s="60">
        <v>3.49</v>
      </c>
      <c r="G91" s="60">
        <v>237.76</v>
      </c>
      <c r="H91" s="60">
        <v>52.4</v>
      </c>
      <c r="I91" s="60">
        <v>1.17</v>
      </c>
      <c r="J91" s="60">
        <v>0.01</v>
      </c>
      <c r="K91" s="60">
        <v>327.32</v>
      </c>
      <c r="L91" s="60">
        <v>18.43</v>
      </c>
      <c r="M91" s="60">
        <v>45</v>
      </c>
      <c r="N91" s="60">
        <v>3.9</v>
      </c>
      <c r="O91" s="60">
        <v>0</v>
      </c>
      <c r="P91" s="60">
        <v>2.42</v>
      </c>
      <c r="Q91" s="60">
        <v>33.479999999999997</v>
      </c>
      <c r="R91" s="198"/>
      <c r="S91" s="198"/>
      <c r="T91" s="198"/>
      <c r="U91" s="198"/>
    </row>
    <row r="92" spans="1:26" s="12" customFormat="1" x14ac:dyDescent="0.25">
      <c r="A92" s="201" t="s">
        <v>520</v>
      </c>
      <c r="B92" s="60">
        <v>138.51</v>
      </c>
      <c r="C92" s="60">
        <v>150.83000000000001</v>
      </c>
      <c r="D92" s="60">
        <v>193.13</v>
      </c>
      <c r="E92" s="60">
        <v>8.4700000000000006</v>
      </c>
      <c r="F92" s="60">
        <v>3.62</v>
      </c>
      <c r="G92" s="60">
        <v>237.76</v>
      </c>
      <c r="H92" s="60">
        <v>52.4</v>
      </c>
      <c r="I92" s="60">
        <v>1.22</v>
      </c>
      <c r="J92" s="60">
        <v>0.14000000000000001</v>
      </c>
      <c r="K92" s="60">
        <v>312.70999999999998</v>
      </c>
      <c r="L92" s="60">
        <v>18.559999999999999</v>
      </c>
      <c r="M92" s="60">
        <v>47</v>
      </c>
      <c r="N92" s="60">
        <v>3.5</v>
      </c>
      <c r="O92" s="60">
        <v>0</v>
      </c>
      <c r="P92" s="60">
        <v>2.5299999999999998</v>
      </c>
      <c r="Q92" s="60">
        <v>37.15</v>
      </c>
      <c r="R92" s="198"/>
      <c r="S92" s="198"/>
      <c r="T92" s="198"/>
      <c r="U92" s="198"/>
    </row>
    <row r="93" spans="1:26" s="12" customFormat="1" x14ac:dyDescent="0.25">
      <c r="A93" s="201" t="s">
        <v>521</v>
      </c>
      <c r="B93" s="60">
        <v>163.96</v>
      </c>
      <c r="C93" s="60">
        <v>161.66999999999999</v>
      </c>
      <c r="D93" s="60">
        <v>219.52</v>
      </c>
      <c r="E93" s="60">
        <v>7.86</v>
      </c>
      <c r="F93" s="60">
        <v>3.56</v>
      </c>
      <c r="G93" s="60">
        <v>237.76</v>
      </c>
      <c r="H93" s="60">
        <v>52.4</v>
      </c>
      <c r="I93" s="60">
        <v>1.32</v>
      </c>
      <c r="J93" s="60">
        <v>0.14000000000000001</v>
      </c>
      <c r="K93" s="60">
        <v>10.53</v>
      </c>
      <c r="L93" s="60">
        <v>18.03</v>
      </c>
      <c r="M93" s="60">
        <v>56</v>
      </c>
      <c r="N93" s="60">
        <v>4.2</v>
      </c>
      <c r="O93" s="60">
        <v>0</v>
      </c>
      <c r="P93" s="60">
        <v>2.84</v>
      </c>
      <c r="Q93" s="60">
        <v>40.229999999999997</v>
      </c>
      <c r="R93" s="198"/>
      <c r="S93" s="198"/>
      <c r="T93" s="198"/>
      <c r="U93" s="198"/>
    </row>
    <row r="94" spans="1:26" s="12" customFormat="1" x14ac:dyDescent="0.25">
      <c r="A94" s="201" t="s">
        <v>522</v>
      </c>
      <c r="B94" s="60">
        <v>186.39</v>
      </c>
      <c r="C94" s="60">
        <v>171.02</v>
      </c>
      <c r="D94" s="60">
        <v>242.66</v>
      </c>
      <c r="E94" s="60">
        <v>8.61</v>
      </c>
      <c r="F94" s="60">
        <v>3.49</v>
      </c>
      <c r="G94" s="60">
        <v>236.33</v>
      </c>
      <c r="H94" s="60">
        <v>61.49</v>
      </c>
      <c r="I94" s="60">
        <v>1.36</v>
      </c>
      <c r="J94" s="60">
        <v>0.05</v>
      </c>
      <c r="K94" s="60">
        <v>249.31</v>
      </c>
      <c r="L94" s="60">
        <v>17.86</v>
      </c>
      <c r="M94" s="60">
        <v>50</v>
      </c>
      <c r="N94" s="60">
        <v>4.2</v>
      </c>
      <c r="O94" s="60">
        <v>0</v>
      </c>
      <c r="P94" s="60">
        <v>3.15</v>
      </c>
      <c r="Q94" s="60">
        <v>42.3</v>
      </c>
      <c r="R94" s="198"/>
      <c r="S94" s="198"/>
      <c r="T94" s="198"/>
      <c r="U94" s="198"/>
    </row>
    <row r="95" spans="1:26" s="12" customFormat="1" x14ac:dyDescent="0.25">
      <c r="A95" s="201" t="s">
        <v>523</v>
      </c>
      <c r="B95" s="60">
        <v>213.22</v>
      </c>
      <c r="C95" s="60">
        <v>183.28</v>
      </c>
      <c r="D95" s="60">
        <v>270.95</v>
      </c>
      <c r="E95" s="60">
        <v>8.59</v>
      </c>
      <c r="F95" s="60">
        <v>3.5</v>
      </c>
      <c r="G95" s="60">
        <v>235.24</v>
      </c>
      <c r="H95" s="60">
        <v>68.77</v>
      </c>
      <c r="I95" s="60">
        <v>1.44</v>
      </c>
      <c r="J95" s="60">
        <v>0.04</v>
      </c>
      <c r="K95" s="60">
        <v>117.88</v>
      </c>
      <c r="L95" s="60">
        <v>17.649999999999999</v>
      </c>
      <c r="M95" s="60">
        <v>52</v>
      </c>
      <c r="N95" s="60">
        <v>4</v>
      </c>
      <c r="O95" s="60">
        <v>0</v>
      </c>
      <c r="P95" s="60">
        <v>3.39</v>
      </c>
      <c r="Q95" s="60">
        <v>44.42</v>
      </c>
      <c r="R95" s="198"/>
      <c r="S95" s="198"/>
      <c r="T95" s="198"/>
      <c r="U95" s="198"/>
    </row>
    <row r="96" spans="1:26" s="12" customFormat="1" x14ac:dyDescent="0.25">
      <c r="A96" s="201" t="s">
        <v>524</v>
      </c>
      <c r="B96" s="60">
        <v>252.7</v>
      </c>
      <c r="C96" s="60">
        <v>204.37</v>
      </c>
      <c r="D96" s="60">
        <v>314.24</v>
      </c>
      <c r="E96" s="60">
        <v>9.32</v>
      </c>
      <c r="F96" s="60">
        <v>3.64</v>
      </c>
      <c r="G96" s="60">
        <v>235.24</v>
      </c>
      <c r="H96" s="60">
        <v>68.77</v>
      </c>
      <c r="I96" s="60">
        <v>1.54</v>
      </c>
      <c r="J96" s="60">
        <v>0.08</v>
      </c>
      <c r="K96" s="60">
        <v>76.09</v>
      </c>
      <c r="L96" s="60">
        <v>17.399999999999999</v>
      </c>
      <c r="M96" s="60">
        <v>53</v>
      </c>
      <c r="N96" s="60">
        <v>4.3</v>
      </c>
      <c r="O96" s="60">
        <v>0</v>
      </c>
      <c r="P96" s="60">
        <v>3.63</v>
      </c>
      <c r="Q96" s="60">
        <v>47.68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525</v>
      </c>
      <c r="B97" s="60">
        <v>290.76</v>
      </c>
      <c r="C97" s="60">
        <v>222.8</v>
      </c>
      <c r="D97" s="60">
        <v>354.94</v>
      </c>
      <c r="E97" s="60">
        <v>9.4499999999999993</v>
      </c>
      <c r="F97" s="60">
        <v>3.79</v>
      </c>
      <c r="G97" s="60">
        <v>235.24</v>
      </c>
      <c r="H97" s="60">
        <v>68.77</v>
      </c>
      <c r="I97" s="60">
        <v>1.65</v>
      </c>
      <c r="J97" s="60">
        <v>0.04</v>
      </c>
      <c r="K97" s="60">
        <v>284.29000000000002</v>
      </c>
      <c r="L97" s="60">
        <v>17.350000000000001</v>
      </c>
      <c r="M97" s="60">
        <v>55</v>
      </c>
      <c r="N97" s="60">
        <v>3.9</v>
      </c>
      <c r="O97" s="60">
        <v>0</v>
      </c>
      <c r="P97" s="60">
        <v>3.91</v>
      </c>
      <c r="Q97" s="60">
        <v>50.69</v>
      </c>
      <c r="R97" s="198"/>
      <c r="S97" s="198"/>
      <c r="T97" s="198"/>
      <c r="U97" s="198"/>
    </row>
    <row r="98" spans="1:33" s="12" customFormat="1" x14ac:dyDescent="0.25">
      <c r="A98" s="201" t="s">
        <v>526</v>
      </c>
      <c r="B98" s="60">
        <v>319.25</v>
      </c>
      <c r="C98" s="60">
        <v>235.67</v>
      </c>
      <c r="D98" s="60">
        <v>384.88</v>
      </c>
      <c r="E98" s="60">
        <v>9.7899999999999991</v>
      </c>
      <c r="F98" s="60">
        <v>3.66</v>
      </c>
      <c r="G98" s="60">
        <v>235.24</v>
      </c>
      <c r="H98" s="60">
        <v>79.09</v>
      </c>
      <c r="I98" s="60">
        <v>1.74</v>
      </c>
      <c r="J98" s="60">
        <v>0.08</v>
      </c>
      <c r="K98" s="60">
        <v>319.58999999999997</v>
      </c>
      <c r="L98" s="60">
        <v>17.399999999999999</v>
      </c>
      <c r="M98" s="60">
        <v>55</v>
      </c>
      <c r="N98" s="60">
        <v>3.7</v>
      </c>
      <c r="O98" s="60">
        <v>0</v>
      </c>
      <c r="P98" s="60">
        <v>4.1900000000000004</v>
      </c>
      <c r="Q98" s="60">
        <v>53.19</v>
      </c>
      <c r="R98" s="198"/>
      <c r="S98" s="198"/>
      <c r="T98" s="198"/>
      <c r="U98" s="198"/>
    </row>
    <row r="99" spans="1:33" s="12" customFormat="1" x14ac:dyDescent="0.25">
      <c r="A99" s="201" t="s">
        <v>527</v>
      </c>
      <c r="B99" s="60">
        <v>339.63</v>
      </c>
      <c r="C99" s="60">
        <v>243.94</v>
      </c>
      <c r="D99" s="60">
        <v>405.8</v>
      </c>
      <c r="E99" s="60">
        <v>10.49</v>
      </c>
      <c r="F99" s="60">
        <v>3.64</v>
      </c>
      <c r="G99" s="60">
        <v>294.37</v>
      </c>
      <c r="H99" s="60">
        <v>87.34</v>
      </c>
      <c r="I99" s="60">
        <v>1.84</v>
      </c>
      <c r="J99" s="60">
        <v>0.03</v>
      </c>
      <c r="K99" s="60">
        <v>331.17</v>
      </c>
      <c r="L99" s="60">
        <v>17.329999999999998</v>
      </c>
      <c r="M99" s="60">
        <v>57</v>
      </c>
      <c r="N99" s="60">
        <v>4</v>
      </c>
      <c r="O99" s="60">
        <v>0</v>
      </c>
      <c r="P99" s="60">
        <v>4.43</v>
      </c>
      <c r="Q99" s="60">
        <v>53.39</v>
      </c>
      <c r="R99" s="198"/>
      <c r="S99" s="198"/>
      <c r="T99" s="198"/>
      <c r="U99" s="198"/>
    </row>
    <row r="100" spans="1:33" s="12" customFormat="1" x14ac:dyDescent="0.25">
      <c r="A100" s="201" t="s">
        <v>528</v>
      </c>
      <c r="B100" s="60">
        <v>343.77</v>
      </c>
      <c r="C100" s="60">
        <v>243.5</v>
      </c>
      <c r="D100" s="60">
        <v>408.86</v>
      </c>
      <c r="E100" s="60">
        <v>10.220000000000001</v>
      </c>
      <c r="F100" s="60">
        <v>3.54</v>
      </c>
      <c r="G100" s="60">
        <v>294.37</v>
      </c>
      <c r="H100" s="60">
        <v>87.34</v>
      </c>
      <c r="I100" s="60">
        <v>1.97</v>
      </c>
      <c r="J100" s="60">
        <v>0.03</v>
      </c>
      <c r="K100" s="60">
        <v>111.87</v>
      </c>
      <c r="L100" s="60">
        <v>17.13</v>
      </c>
      <c r="M100" s="60">
        <v>58</v>
      </c>
      <c r="N100" s="60">
        <v>4.0999999999999996</v>
      </c>
      <c r="O100" s="60">
        <v>0</v>
      </c>
      <c r="P100" s="60">
        <v>4.5599999999999996</v>
      </c>
      <c r="Q100" s="60">
        <v>54.72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529</v>
      </c>
      <c r="B101" s="60">
        <v>350.07</v>
      </c>
      <c r="C101" s="60">
        <v>244.11</v>
      </c>
      <c r="D101" s="60">
        <v>414.26</v>
      </c>
      <c r="E101" s="60">
        <v>10.39</v>
      </c>
      <c r="F101" s="60">
        <v>3.56</v>
      </c>
      <c r="G101" s="60">
        <v>294.37</v>
      </c>
      <c r="H101" s="60">
        <v>87.34</v>
      </c>
      <c r="I101" s="60">
        <v>2.04</v>
      </c>
      <c r="J101" s="60">
        <v>0.09</v>
      </c>
      <c r="K101" s="60">
        <v>296.10000000000002</v>
      </c>
      <c r="L101" s="60">
        <v>17.07</v>
      </c>
      <c r="M101" s="60">
        <v>61</v>
      </c>
      <c r="N101" s="60">
        <v>4</v>
      </c>
      <c r="O101" s="60">
        <v>0</v>
      </c>
      <c r="P101" s="60">
        <v>4.66</v>
      </c>
      <c r="Q101" s="60">
        <v>55.37</v>
      </c>
      <c r="R101" s="198"/>
      <c r="S101" s="198"/>
      <c r="T101" s="198"/>
      <c r="U101" s="198"/>
    </row>
    <row r="102" spans="1:33" s="12" customFormat="1" x14ac:dyDescent="0.25">
      <c r="A102" s="201" t="s">
        <v>530</v>
      </c>
      <c r="B102" s="60">
        <v>352.68</v>
      </c>
      <c r="C102" s="60">
        <v>243.29</v>
      </c>
      <c r="D102" s="60">
        <v>415.9</v>
      </c>
      <c r="E102" s="60">
        <v>10.56</v>
      </c>
      <c r="F102" s="60">
        <v>3.48</v>
      </c>
      <c r="G102" s="60">
        <v>270.37</v>
      </c>
      <c r="H102" s="60">
        <v>93.51</v>
      </c>
      <c r="I102" s="60">
        <v>2.12</v>
      </c>
      <c r="J102" s="60">
        <v>0.16</v>
      </c>
      <c r="K102" s="60">
        <v>301.36</v>
      </c>
      <c r="L102" s="60">
        <v>16.809999999999999</v>
      </c>
      <c r="M102" s="60">
        <v>63</v>
      </c>
      <c r="N102" s="60">
        <v>3.9</v>
      </c>
      <c r="O102" s="60">
        <v>0</v>
      </c>
      <c r="P102" s="60">
        <v>4.76</v>
      </c>
      <c r="Q102" s="60">
        <v>55.52</v>
      </c>
      <c r="R102" s="198"/>
      <c r="S102" s="198"/>
      <c r="T102" s="198"/>
      <c r="U102" s="198"/>
    </row>
    <row r="103" spans="1:33" s="12" customFormat="1" x14ac:dyDescent="0.25">
      <c r="A103" s="201" t="s">
        <v>531</v>
      </c>
      <c r="B103" s="60">
        <v>349.53</v>
      </c>
      <c r="C103" s="60">
        <v>238.8</v>
      </c>
      <c r="D103" s="60">
        <v>410.9</v>
      </c>
      <c r="E103" s="60">
        <v>10.32</v>
      </c>
      <c r="F103" s="60">
        <v>3.57</v>
      </c>
      <c r="G103" s="60">
        <v>252.02</v>
      </c>
      <c r="H103" s="60">
        <v>98.46</v>
      </c>
      <c r="I103" s="60">
        <v>2.16</v>
      </c>
      <c r="J103" s="60">
        <v>0.2</v>
      </c>
      <c r="K103" s="60">
        <v>260.44</v>
      </c>
      <c r="L103" s="60">
        <v>17.46</v>
      </c>
      <c r="M103" s="60">
        <v>52</v>
      </c>
      <c r="N103" s="60">
        <v>3.2</v>
      </c>
      <c r="O103" s="60">
        <v>0</v>
      </c>
      <c r="P103" s="60">
        <v>4.8099999999999996</v>
      </c>
      <c r="Q103" s="60">
        <v>55.83</v>
      </c>
      <c r="R103" s="198"/>
      <c r="S103" s="198"/>
      <c r="T103" s="198"/>
      <c r="U103" s="198"/>
    </row>
    <row r="104" spans="1:33" s="12" customFormat="1" x14ac:dyDescent="0.25">
      <c r="A104" s="201" t="s">
        <v>532</v>
      </c>
      <c r="B104" s="60">
        <v>336.3</v>
      </c>
      <c r="C104" s="60">
        <v>232.18</v>
      </c>
      <c r="D104" s="60">
        <v>396.63</v>
      </c>
      <c r="E104" s="60">
        <v>6.58</v>
      </c>
      <c r="F104" s="60">
        <v>3.6</v>
      </c>
      <c r="G104" s="60">
        <v>252.02</v>
      </c>
      <c r="H104" s="60">
        <v>98.46</v>
      </c>
      <c r="I104" s="60">
        <v>2.19</v>
      </c>
      <c r="J104" s="60">
        <v>0.13</v>
      </c>
      <c r="K104" s="60">
        <v>257.2</v>
      </c>
      <c r="L104" s="60">
        <v>17.03</v>
      </c>
      <c r="M104" s="60">
        <v>53</v>
      </c>
      <c r="N104" s="60">
        <v>4.0999999999999996</v>
      </c>
      <c r="O104" s="60">
        <v>0</v>
      </c>
      <c r="P104" s="60">
        <v>4.6900000000000004</v>
      </c>
      <c r="Q104" s="60">
        <v>55.66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0.61</v>
      </c>
      <c r="C106" s="67">
        <f>MIN(C9:C104)</f>
        <v>18.86</v>
      </c>
      <c r="D106" s="67">
        <f t="shared" ref="D106:Q106" si="0">MIN(D9:D104)</f>
        <v>11.31</v>
      </c>
      <c r="E106" s="67">
        <f t="shared" si="0"/>
        <v>4.68</v>
      </c>
      <c r="F106" s="67">
        <f t="shared" si="0"/>
        <v>3.42</v>
      </c>
      <c r="G106" s="67">
        <f t="shared" si="0"/>
        <v>23.22</v>
      </c>
      <c r="H106" s="67">
        <f t="shared" si="0"/>
        <v>15.15</v>
      </c>
      <c r="I106" s="67">
        <f t="shared" si="0"/>
        <v>0.13</v>
      </c>
      <c r="J106" s="67">
        <f t="shared" si="0"/>
        <v>0.01</v>
      </c>
      <c r="K106" s="67">
        <f t="shared" si="0"/>
        <v>0.42</v>
      </c>
      <c r="L106" s="67">
        <f t="shared" si="0"/>
        <v>13.46</v>
      </c>
      <c r="M106" s="67">
        <f t="shared" si="0"/>
        <v>10</v>
      </c>
      <c r="N106" s="67">
        <f t="shared" si="0"/>
        <v>3.1</v>
      </c>
      <c r="O106" s="67">
        <f t="shared" si="0"/>
        <v>0</v>
      </c>
      <c r="P106" s="67">
        <f t="shared" si="0"/>
        <v>0.24</v>
      </c>
      <c r="Q106" s="67">
        <f t="shared" si="0"/>
        <v>0.69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352.68</v>
      </c>
      <c r="C107" s="66">
        <f t="shared" ref="C107:Q107" si="1">MAX(C9:C104)</f>
        <v>244.11</v>
      </c>
      <c r="D107" s="66">
        <f t="shared" si="1"/>
        <v>415.9</v>
      </c>
      <c r="E107" s="66">
        <f t="shared" si="1"/>
        <v>17.010000000000002</v>
      </c>
      <c r="F107" s="66">
        <f t="shared" si="1"/>
        <v>50.65</v>
      </c>
      <c r="G107" s="66">
        <f t="shared" si="1"/>
        <v>294.37</v>
      </c>
      <c r="H107" s="66">
        <f t="shared" si="1"/>
        <v>98.46</v>
      </c>
      <c r="I107" s="66">
        <f t="shared" si="1"/>
        <v>2.19</v>
      </c>
      <c r="J107" s="66">
        <f t="shared" si="1"/>
        <v>1.42</v>
      </c>
      <c r="K107" s="66">
        <f t="shared" si="1"/>
        <v>353.57</v>
      </c>
      <c r="L107" s="66">
        <f t="shared" si="1"/>
        <v>33.74</v>
      </c>
      <c r="M107" s="66">
        <f t="shared" si="1"/>
        <v>71</v>
      </c>
      <c r="N107" s="66">
        <f t="shared" si="1"/>
        <v>736.3</v>
      </c>
      <c r="O107" s="66">
        <f t="shared" si="1"/>
        <v>0</v>
      </c>
      <c r="P107" s="66">
        <f t="shared" si="1"/>
        <v>4.8499999999999996</v>
      </c>
      <c r="Q107" s="66">
        <f t="shared" si="1"/>
        <v>55.83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101.45895833333333</v>
      </c>
      <c r="C108" s="67">
        <f t="shared" ref="C108:Q108" si="2">AVERAGE(C9:C104)</f>
        <v>120.27750000000003</v>
      </c>
      <c r="D108" s="67">
        <f t="shared" si="2"/>
        <v>147.37041666666664</v>
      </c>
      <c r="E108" s="67">
        <f t="shared" si="2"/>
        <v>8.7329166666666662</v>
      </c>
      <c r="F108" s="67">
        <f t="shared" si="2"/>
        <v>6.6878124999999962</v>
      </c>
      <c r="G108" s="67">
        <f t="shared" si="2"/>
        <v>127.59537634408605</v>
      </c>
      <c r="H108" s="67">
        <f t="shared" si="2"/>
        <v>48.527634408602168</v>
      </c>
      <c r="I108" s="67">
        <f t="shared" si="2"/>
        <v>0.92234042553191475</v>
      </c>
      <c r="J108" s="67">
        <f t="shared" si="2"/>
        <v>0.47302083333333328</v>
      </c>
      <c r="K108" s="67">
        <f t="shared" si="2"/>
        <v>127.72552083333336</v>
      </c>
      <c r="L108" s="67">
        <f t="shared" si="2"/>
        <v>21.893437500000008</v>
      </c>
      <c r="M108" s="67">
        <f t="shared" si="2"/>
        <v>35.78125</v>
      </c>
      <c r="N108" s="67">
        <f t="shared" si="2"/>
        <v>177.13958333333335</v>
      </c>
      <c r="O108" s="67">
        <f t="shared" si="2"/>
        <v>0</v>
      </c>
      <c r="P108" s="67">
        <f t="shared" si="2"/>
        <v>2.0345833333333334</v>
      </c>
      <c r="Q108" s="67">
        <f t="shared" si="2"/>
        <v>30.646979166666668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104.34093755295582</v>
      </c>
      <c r="C109" s="67">
        <f t="shared" ref="C109:Q109" si="3">STDEV(C9:C104)</f>
        <v>55.912219848804526</v>
      </c>
      <c r="D109" s="67">
        <f t="shared" si="3"/>
        <v>113.7101695578597</v>
      </c>
      <c r="E109" s="67">
        <f t="shared" si="3"/>
        <v>2.3443126774866379</v>
      </c>
      <c r="F109" s="67">
        <f t="shared" si="3"/>
        <v>8.3934433311929482</v>
      </c>
      <c r="G109" s="67">
        <f t="shared" si="3"/>
        <v>81.404478585789249</v>
      </c>
      <c r="H109" s="67">
        <f t="shared" si="3"/>
        <v>28.439588925583887</v>
      </c>
      <c r="I109" s="67">
        <f t="shared" si="3"/>
        <v>0.56641977353548401</v>
      </c>
      <c r="J109" s="67">
        <f t="shared" si="3"/>
        <v>0.45252768404216026</v>
      </c>
      <c r="K109" s="67">
        <f t="shared" si="3"/>
        <v>118.27263403607412</v>
      </c>
      <c r="L109" s="67">
        <f t="shared" si="3"/>
        <v>6.333709452416576</v>
      </c>
      <c r="M109" s="67">
        <f t="shared" si="3"/>
        <v>18.7634600809799</v>
      </c>
      <c r="N109" s="67">
        <f t="shared" si="3"/>
        <v>254.60094367839628</v>
      </c>
      <c r="O109" s="67">
        <f t="shared" si="3"/>
        <v>0</v>
      </c>
      <c r="P109" s="67">
        <f t="shared" si="3"/>
        <v>1.4512411505993692</v>
      </c>
      <c r="Q109" s="67">
        <f t="shared" si="3"/>
        <v>14.085703175078043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93</v>
      </c>
      <c r="H110" s="66">
        <f t="shared" si="4"/>
        <v>93</v>
      </c>
      <c r="I110" s="66">
        <f>COUNT(I9:I104)+49</f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215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6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D9" sqref="D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04-02-2023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340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533</v>
      </c>
      <c r="B9" s="60">
        <v>319.33</v>
      </c>
      <c r="C9" s="60">
        <v>222</v>
      </c>
      <c r="D9" s="60">
        <v>377.41</v>
      </c>
      <c r="E9" s="60">
        <v>9.1</v>
      </c>
      <c r="F9" s="60">
        <v>3.46</v>
      </c>
      <c r="G9" s="60">
        <v>252.02</v>
      </c>
      <c r="H9" s="60">
        <v>98.46</v>
      </c>
      <c r="I9" s="60">
        <v>2.23</v>
      </c>
      <c r="J9" s="60">
        <v>7.0000000000000007E-2</v>
      </c>
      <c r="K9" s="60">
        <v>222.27</v>
      </c>
      <c r="L9" s="60">
        <v>16.809999999999999</v>
      </c>
      <c r="M9" s="60">
        <v>59</v>
      </c>
      <c r="N9" s="60">
        <v>4.2</v>
      </c>
      <c r="O9" s="60">
        <v>0</v>
      </c>
      <c r="P9" s="60">
        <v>4.49</v>
      </c>
      <c r="Q9" s="60">
        <v>54.24</v>
      </c>
      <c r="R9" s="198"/>
      <c r="S9" s="198"/>
      <c r="T9" s="198"/>
      <c r="U9" s="198"/>
    </row>
    <row r="10" spans="1:21" s="12" customFormat="1" x14ac:dyDescent="0.25">
      <c r="A10" s="201" t="s">
        <v>534</v>
      </c>
      <c r="B10" s="60">
        <v>302.95</v>
      </c>
      <c r="C10" s="60">
        <v>213.37</v>
      </c>
      <c r="D10" s="60">
        <v>359.51</v>
      </c>
      <c r="E10" s="60">
        <v>9.51</v>
      </c>
      <c r="F10" s="60">
        <v>3.25</v>
      </c>
      <c r="G10" s="60">
        <v>237.38</v>
      </c>
      <c r="H10" s="60">
        <v>95.11</v>
      </c>
      <c r="I10" s="60">
        <v>2.19</v>
      </c>
      <c r="J10" s="60">
        <v>0.05</v>
      </c>
      <c r="K10" s="60">
        <v>14.88</v>
      </c>
      <c r="L10" s="60">
        <v>16.059999999999999</v>
      </c>
      <c r="M10" s="60">
        <v>64</v>
      </c>
      <c r="N10" s="60">
        <v>4.0999999999999996</v>
      </c>
      <c r="O10" s="60">
        <v>0</v>
      </c>
      <c r="P10" s="60">
        <v>4.3099999999999996</v>
      </c>
      <c r="Q10" s="60">
        <v>52.43</v>
      </c>
      <c r="R10" s="198"/>
      <c r="S10" s="198"/>
      <c r="T10" s="198"/>
      <c r="U10" s="198"/>
    </row>
    <row r="11" spans="1:21" s="12" customFormat="1" x14ac:dyDescent="0.25">
      <c r="A11" s="201" t="s">
        <v>535</v>
      </c>
      <c r="B11" s="60">
        <v>291.82</v>
      </c>
      <c r="C11" s="60">
        <v>205.9</v>
      </c>
      <c r="D11" s="60">
        <v>346.46</v>
      </c>
      <c r="E11" s="60">
        <v>9.33</v>
      </c>
      <c r="F11" s="60">
        <v>3.51</v>
      </c>
      <c r="G11" s="60">
        <v>237.38</v>
      </c>
      <c r="H11" s="60">
        <v>92.44</v>
      </c>
      <c r="I11" s="60">
        <v>2.11</v>
      </c>
      <c r="J11" s="60">
        <v>0.06</v>
      </c>
      <c r="K11" s="60">
        <v>257.60000000000002</v>
      </c>
      <c r="L11" s="60">
        <v>15.81</v>
      </c>
      <c r="M11" s="60">
        <v>66</v>
      </c>
      <c r="N11" s="60">
        <v>4.0999999999999996</v>
      </c>
      <c r="O11" s="60">
        <v>0</v>
      </c>
      <c r="P11" s="60">
        <v>4.17</v>
      </c>
      <c r="Q11" s="60">
        <v>52.05</v>
      </c>
      <c r="R11" s="198"/>
      <c r="S11" s="198"/>
      <c r="T11" s="198"/>
      <c r="U11" s="198"/>
    </row>
    <row r="12" spans="1:21" s="12" customFormat="1" x14ac:dyDescent="0.25">
      <c r="A12" s="201" t="s">
        <v>536</v>
      </c>
      <c r="B12" s="60">
        <v>279.76</v>
      </c>
      <c r="C12" s="60">
        <v>199.68</v>
      </c>
      <c r="D12" s="60">
        <v>333.36</v>
      </c>
      <c r="E12" s="60">
        <v>9.1999999999999993</v>
      </c>
      <c r="F12" s="60">
        <v>3.78</v>
      </c>
      <c r="G12" s="60">
        <v>237.38</v>
      </c>
      <c r="H12" s="60">
        <v>92.44</v>
      </c>
      <c r="I12" s="60">
        <v>2.04</v>
      </c>
      <c r="J12" s="60">
        <v>0.12</v>
      </c>
      <c r="K12" s="60">
        <v>343.77</v>
      </c>
      <c r="L12" s="60">
        <v>16.100000000000001</v>
      </c>
      <c r="M12" s="60">
        <v>63</v>
      </c>
      <c r="N12" s="60">
        <v>3.6</v>
      </c>
      <c r="O12" s="60">
        <v>0</v>
      </c>
      <c r="P12" s="60">
        <v>4.0199999999999996</v>
      </c>
      <c r="Q12" s="60">
        <v>51.28</v>
      </c>
      <c r="R12" s="198"/>
      <c r="S12" s="198"/>
      <c r="T12" s="198"/>
      <c r="U12" s="198"/>
    </row>
    <row r="13" spans="1:21" s="12" customFormat="1" x14ac:dyDescent="0.25">
      <c r="A13" s="201" t="s">
        <v>537</v>
      </c>
      <c r="B13" s="60">
        <v>267.27</v>
      </c>
      <c r="C13" s="60">
        <v>192.78</v>
      </c>
      <c r="D13" s="60">
        <v>319.54000000000002</v>
      </c>
      <c r="E13" s="60">
        <v>8.77</v>
      </c>
      <c r="F13" s="60">
        <v>3.43</v>
      </c>
      <c r="G13" s="60">
        <v>237.38</v>
      </c>
      <c r="H13" s="60">
        <v>92.44</v>
      </c>
      <c r="I13" s="60">
        <v>1.99</v>
      </c>
      <c r="J13" s="60">
        <v>0.11</v>
      </c>
      <c r="K13" s="60">
        <v>307.82</v>
      </c>
      <c r="L13" s="60">
        <v>15.85</v>
      </c>
      <c r="M13" s="60">
        <v>64</v>
      </c>
      <c r="N13" s="60">
        <v>4.0999999999999996</v>
      </c>
      <c r="O13" s="60">
        <v>0</v>
      </c>
      <c r="P13" s="60">
        <v>3.53</v>
      </c>
      <c r="Q13" s="60">
        <v>50.11</v>
      </c>
      <c r="R13" s="198"/>
      <c r="S13" s="198"/>
      <c r="T13" s="198"/>
      <c r="U13" s="198"/>
    </row>
    <row r="14" spans="1:21" s="12" customFormat="1" x14ac:dyDescent="0.25">
      <c r="A14" s="201" t="s">
        <v>538</v>
      </c>
      <c r="B14" s="60">
        <v>253.64</v>
      </c>
      <c r="C14" s="60">
        <v>186.62</v>
      </c>
      <c r="D14" s="60">
        <v>305.20999999999998</v>
      </c>
      <c r="E14" s="60">
        <v>8.58</v>
      </c>
      <c r="F14" s="60">
        <v>3.55</v>
      </c>
      <c r="G14" s="60">
        <v>237</v>
      </c>
      <c r="H14" s="60">
        <v>88.2</v>
      </c>
      <c r="I14" s="60">
        <v>1.92</v>
      </c>
      <c r="J14" s="60">
        <v>0.09</v>
      </c>
      <c r="K14" s="60">
        <v>104.91</v>
      </c>
      <c r="L14" s="60">
        <v>15.84</v>
      </c>
      <c r="M14" s="60">
        <v>63</v>
      </c>
      <c r="N14" s="60">
        <v>4.3</v>
      </c>
      <c r="O14" s="60">
        <v>0</v>
      </c>
      <c r="P14" s="60">
        <v>3.56</v>
      </c>
      <c r="Q14" s="60">
        <v>48.72</v>
      </c>
      <c r="R14" s="198"/>
      <c r="S14" s="198"/>
      <c r="T14" s="198"/>
      <c r="U14" s="198"/>
    </row>
    <row r="15" spans="1:21" s="12" customFormat="1" x14ac:dyDescent="0.25">
      <c r="A15" s="201" t="s">
        <v>539</v>
      </c>
      <c r="B15" s="60">
        <v>238.71</v>
      </c>
      <c r="C15" s="60">
        <v>179.7</v>
      </c>
      <c r="D15" s="60">
        <v>289.41000000000003</v>
      </c>
      <c r="E15" s="60">
        <v>8.3800000000000008</v>
      </c>
      <c r="F15" s="60">
        <v>3.57</v>
      </c>
      <c r="G15" s="60">
        <v>236.7</v>
      </c>
      <c r="H15" s="60">
        <v>84.81</v>
      </c>
      <c r="I15" s="60">
        <v>1.84</v>
      </c>
      <c r="J15" s="60">
        <v>0.12</v>
      </c>
      <c r="K15" s="60">
        <v>76.66</v>
      </c>
      <c r="L15" s="60">
        <v>15.75</v>
      </c>
      <c r="M15" s="60">
        <v>61</v>
      </c>
      <c r="N15" s="60">
        <v>4</v>
      </c>
      <c r="O15" s="60">
        <v>0</v>
      </c>
      <c r="P15" s="60">
        <v>3.4</v>
      </c>
      <c r="Q15" s="60">
        <v>47.53</v>
      </c>
      <c r="R15" s="198"/>
      <c r="S15" s="198"/>
      <c r="T15" s="198"/>
      <c r="U15" s="198"/>
    </row>
    <row r="16" spans="1:21" s="12" customFormat="1" x14ac:dyDescent="0.25">
      <c r="A16" s="201" t="s">
        <v>540</v>
      </c>
      <c r="B16" s="60">
        <v>225.51</v>
      </c>
      <c r="C16" s="60">
        <v>173.38</v>
      </c>
      <c r="D16" s="60">
        <v>275.33999999999997</v>
      </c>
      <c r="E16" s="60">
        <v>8.1</v>
      </c>
      <c r="F16" s="60">
        <v>3.23</v>
      </c>
      <c r="G16" s="60">
        <v>236.7</v>
      </c>
      <c r="H16" s="60">
        <v>84.81</v>
      </c>
      <c r="I16" s="60">
        <v>1.78</v>
      </c>
      <c r="J16" s="60">
        <v>0.11</v>
      </c>
      <c r="K16" s="60">
        <v>249.61</v>
      </c>
      <c r="L16" s="60">
        <v>15.95</v>
      </c>
      <c r="M16" s="60">
        <v>60</v>
      </c>
      <c r="N16" s="60">
        <v>4.0999999999999996</v>
      </c>
      <c r="O16" s="60">
        <v>0</v>
      </c>
      <c r="P16" s="60">
        <v>3.26</v>
      </c>
      <c r="Q16" s="60">
        <v>46.19</v>
      </c>
      <c r="R16" s="198"/>
      <c r="S16" s="198"/>
      <c r="T16" s="198"/>
      <c r="U16" s="198"/>
    </row>
    <row r="17" spans="1:21" s="12" customFormat="1" x14ac:dyDescent="0.25">
      <c r="A17" s="201" t="s">
        <v>541</v>
      </c>
      <c r="B17" s="60">
        <v>209.52</v>
      </c>
      <c r="C17" s="60">
        <v>166.19</v>
      </c>
      <c r="D17" s="60">
        <v>258.55</v>
      </c>
      <c r="E17" s="60">
        <v>8.25</v>
      </c>
      <c r="F17" s="60">
        <v>3.37</v>
      </c>
      <c r="G17" s="60">
        <v>236.7</v>
      </c>
      <c r="H17" s="60">
        <v>84.81</v>
      </c>
      <c r="I17" s="60">
        <v>1.71</v>
      </c>
      <c r="J17" s="60">
        <v>0.02</v>
      </c>
      <c r="K17" s="60">
        <v>282.3</v>
      </c>
      <c r="L17" s="60">
        <v>15.43</v>
      </c>
      <c r="M17" s="60">
        <v>62</v>
      </c>
      <c r="N17" s="60">
        <v>4.2</v>
      </c>
      <c r="O17" s="60">
        <v>0</v>
      </c>
      <c r="P17" s="60">
        <v>3.12</v>
      </c>
      <c r="Q17" s="60">
        <v>44.61</v>
      </c>
      <c r="R17" s="198"/>
      <c r="S17" s="198"/>
      <c r="T17" s="198"/>
      <c r="U17" s="198"/>
    </row>
    <row r="18" spans="1:21" s="12" customFormat="1" x14ac:dyDescent="0.25">
      <c r="A18" s="201" t="s">
        <v>542</v>
      </c>
      <c r="B18" s="60">
        <v>198.63</v>
      </c>
      <c r="C18" s="60">
        <v>160.04</v>
      </c>
      <c r="D18" s="60">
        <v>246.42</v>
      </c>
      <c r="E18" s="60">
        <v>7.7</v>
      </c>
      <c r="F18" s="60">
        <v>3.46</v>
      </c>
      <c r="G18" s="60">
        <v>179.4</v>
      </c>
      <c r="H18" s="60">
        <v>77.44</v>
      </c>
      <c r="I18" s="60">
        <v>1.66</v>
      </c>
      <c r="J18" s="60">
        <v>0.03</v>
      </c>
      <c r="K18" s="60">
        <v>307.75</v>
      </c>
      <c r="L18" s="60">
        <v>15.18</v>
      </c>
      <c r="M18" s="60">
        <v>63</v>
      </c>
      <c r="N18" s="60">
        <v>4</v>
      </c>
      <c r="O18" s="60">
        <v>0</v>
      </c>
      <c r="P18" s="60">
        <v>3.02</v>
      </c>
      <c r="Q18" s="60">
        <v>42.77</v>
      </c>
      <c r="R18" s="198"/>
      <c r="S18" s="198"/>
      <c r="T18" s="198"/>
      <c r="U18" s="198"/>
    </row>
    <row r="19" spans="1:21" s="12" customFormat="1" x14ac:dyDescent="0.25">
      <c r="A19" s="201" t="s">
        <v>543</v>
      </c>
      <c r="B19" s="60">
        <v>191.65</v>
      </c>
      <c r="C19" s="60">
        <v>156.97</v>
      </c>
      <c r="D19" s="60">
        <v>239.13</v>
      </c>
      <c r="E19" s="60">
        <v>8.4499999999999993</v>
      </c>
      <c r="F19" s="60">
        <v>3.45</v>
      </c>
      <c r="G19" s="60">
        <v>133.55000000000001</v>
      </c>
      <c r="H19" s="60">
        <v>71.55</v>
      </c>
      <c r="I19" s="60">
        <v>1.62</v>
      </c>
      <c r="J19" s="60">
        <v>0.09</v>
      </c>
      <c r="K19" s="60">
        <v>280.39999999999998</v>
      </c>
      <c r="L19" s="60">
        <v>15.37</v>
      </c>
      <c r="M19" s="60">
        <v>58</v>
      </c>
      <c r="N19" s="60">
        <v>4.0999999999999996</v>
      </c>
      <c r="O19" s="60">
        <v>0</v>
      </c>
      <c r="P19" s="60">
        <v>2.94</v>
      </c>
      <c r="Q19" s="60">
        <v>41.74</v>
      </c>
      <c r="R19" s="198"/>
      <c r="S19" s="198"/>
      <c r="T19" s="198"/>
      <c r="U19" s="198"/>
    </row>
    <row r="20" spans="1:21" s="12" customFormat="1" x14ac:dyDescent="0.25">
      <c r="A20" s="201" t="s">
        <v>544</v>
      </c>
      <c r="B20" s="60">
        <v>183.6</v>
      </c>
      <c r="C20" s="60">
        <v>152.97</v>
      </c>
      <c r="D20" s="60">
        <v>230.47</v>
      </c>
      <c r="E20" s="60">
        <v>8.1199999999999992</v>
      </c>
      <c r="F20" s="60">
        <v>3.48</v>
      </c>
      <c r="G20" s="60">
        <v>133.55000000000001</v>
      </c>
      <c r="H20" s="60">
        <v>71.55</v>
      </c>
      <c r="I20" s="60">
        <v>1.57</v>
      </c>
      <c r="J20" s="60">
        <v>0.13</v>
      </c>
      <c r="K20" s="60">
        <v>348.86</v>
      </c>
      <c r="L20" s="60">
        <v>14.97</v>
      </c>
      <c r="M20" s="60">
        <v>61</v>
      </c>
      <c r="N20" s="60">
        <v>4.2</v>
      </c>
      <c r="O20" s="60">
        <v>0</v>
      </c>
      <c r="P20" s="60">
        <v>2.87</v>
      </c>
      <c r="Q20" s="60">
        <v>40.94</v>
      </c>
      <c r="R20" s="198"/>
      <c r="S20" s="198"/>
      <c r="T20" s="198"/>
      <c r="U20" s="198"/>
    </row>
    <row r="21" spans="1:21" s="12" customFormat="1" x14ac:dyDescent="0.25">
      <c r="A21" s="201" t="s">
        <v>545</v>
      </c>
      <c r="B21" s="60">
        <v>176.45</v>
      </c>
      <c r="C21" s="60">
        <v>149.59</v>
      </c>
      <c r="D21" s="60">
        <v>222.86</v>
      </c>
      <c r="E21" s="60">
        <v>8.0299999999999994</v>
      </c>
      <c r="F21" s="60">
        <v>3.49</v>
      </c>
      <c r="G21" s="60">
        <v>133.55000000000001</v>
      </c>
      <c r="H21" s="60">
        <v>71.55</v>
      </c>
      <c r="I21" s="60">
        <v>1.54</v>
      </c>
      <c r="J21" s="60">
        <v>7.0000000000000007E-2</v>
      </c>
      <c r="K21" s="60">
        <v>260.52999999999997</v>
      </c>
      <c r="L21" s="60">
        <v>14.81</v>
      </c>
      <c r="M21" s="60">
        <v>61</v>
      </c>
      <c r="N21" s="60">
        <v>4.4000000000000004</v>
      </c>
      <c r="O21" s="60">
        <v>0</v>
      </c>
      <c r="P21" s="60">
        <v>2.8</v>
      </c>
      <c r="Q21" s="60">
        <v>40.28</v>
      </c>
      <c r="R21" s="198"/>
      <c r="S21" s="198"/>
      <c r="T21" s="198"/>
      <c r="U21" s="198"/>
    </row>
    <row r="22" spans="1:21" s="12" customFormat="1" x14ac:dyDescent="0.25">
      <c r="A22" s="201" t="s">
        <v>546</v>
      </c>
      <c r="B22" s="60">
        <v>168.43</v>
      </c>
      <c r="C22" s="60">
        <v>145.56</v>
      </c>
      <c r="D22" s="60">
        <v>214.21</v>
      </c>
      <c r="E22" s="60">
        <v>7.95</v>
      </c>
      <c r="F22" s="60">
        <v>3.36</v>
      </c>
      <c r="G22" s="60">
        <v>149.27000000000001</v>
      </c>
      <c r="H22" s="60">
        <v>74.319999999999993</v>
      </c>
      <c r="I22" s="60">
        <v>1.52</v>
      </c>
      <c r="J22" s="60">
        <v>0.06</v>
      </c>
      <c r="K22" s="60">
        <v>334.13</v>
      </c>
      <c r="L22" s="60">
        <v>14.54</v>
      </c>
      <c r="M22" s="60">
        <v>64</v>
      </c>
      <c r="N22" s="60">
        <v>4.4000000000000004</v>
      </c>
      <c r="O22" s="60">
        <v>0</v>
      </c>
      <c r="P22" s="60">
        <v>2.74</v>
      </c>
      <c r="Q22" s="60">
        <v>39.44</v>
      </c>
      <c r="R22" s="198"/>
      <c r="S22" s="198"/>
      <c r="T22" s="198"/>
      <c r="U22" s="198"/>
    </row>
    <row r="23" spans="1:21" s="12" customFormat="1" x14ac:dyDescent="0.25">
      <c r="A23" s="201" t="s">
        <v>547</v>
      </c>
      <c r="B23" s="60">
        <v>160.30000000000001</v>
      </c>
      <c r="C23" s="60">
        <v>140.91999999999999</v>
      </c>
      <c r="D23" s="60">
        <v>205.13</v>
      </c>
      <c r="E23" s="60">
        <v>7.9</v>
      </c>
      <c r="F23" s="60">
        <v>3.44</v>
      </c>
      <c r="G23" s="60">
        <v>161.84</v>
      </c>
      <c r="H23" s="60">
        <v>76.540000000000006</v>
      </c>
      <c r="I23" s="60">
        <v>1.49</v>
      </c>
      <c r="J23" s="60">
        <v>0.09</v>
      </c>
      <c r="K23" s="60">
        <v>300.76</v>
      </c>
      <c r="L23" s="60">
        <v>14.52</v>
      </c>
      <c r="M23" s="60">
        <v>64</v>
      </c>
      <c r="N23" s="60">
        <v>4</v>
      </c>
      <c r="O23" s="60">
        <v>0</v>
      </c>
      <c r="P23" s="60">
        <v>2.7</v>
      </c>
      <c r="Q23" s="60">
        <v>38.68</v>
      </c>
      <c r="R23" s="198"/>
      <c r="S23" s="198"/>
      <c r="T23" s="198"/>
      <c r="U23" s="198"/>
    </row>
    <row r="24" spans="1:21" s="12" customFormat="1" x14ac:dyDescent="0.25">
      <c r="A24" s="201" t="s">
        <v>548</v>
      </c>
      <c r="B24" s="60">
        <v>153.30000000000001</v>
      </c>
      <c r="C24" s="60">
        <v>136.72</v>
      </c>
      <c r="D24" s="60">
        <v>197.2</v>
      </c>
      <c r="E24" s="60">
        <v>4.92</v>
      </c>
      <c r="F24" s="60">
        <v>3.58</v>
      </c>
      <c r="G24" s="60">
        <v>161.84</v>
      </c>
      <c r="H24" s="60">
        <v>76.540000000000006</v>
      </c>
      <c r="I24" s="60">
        <v>1.45</v>
      </c>
      <c r="J24" s="60">
        <v>0.19</v>
      </c>
      <c r="K24" s="60">
        <v>3.71</v>
      </c>
      <c r="L24" s="60">
        <v>14.48</v>
      </c>
      <c r="M24" s="60">
        <v>66</v>
      </c>
      <c r="N24" s="60">
        <v>3.7</v>
      </c>
      <c r="O24" s="60">
        <v>0</v>
      </c>
      <c r="P24" s="60">
        <v>2.66</v>
      </c>
      <c r="Q24" s="60">
        <v>38.119999999999997</v>
      </c>
      <c r="R24" s="198"/>
      <c r="S24" s="198"/>
      <c r="T24" s="198"/>
      <c r="U24" s="198"/>
    </row>
    <row r="25" spans="1:21" s="12" customFormat="1" x14ac:dyDescent="0.25">
      <c r="A25" s="201" t="s">
        <v>549</v>
      </c>
      <c r="B25" s="60">
        <v>148.94</v>
      </c>
      <c r="C25" s="60">
        <v>134.74</v>
      </c>
      <c r="D25" s="60">
        <v>192.61</v>
      </c>
      <c r="E25" s="60">
        <v>7.91</v>
      </c>
      <c r="F25" s="60">
        <v>3.5</v>
      </c>
      <c r="G25" s="60">
        <v>161.84</v>
      </c>
      <c r="H25" s="60">
        <v>76.540000000000006</v>
      </c>
      <c r="I25" s="60">
        <v>1.43</v>
      </c>
      <c r="J25" s="60">
        <v>0.1</v>
      </c>
      <c r="K25" s="60">
        <v>346.26</v>
      </c>
      <c r="L25" s="60">
        <v>15.02</v>
      </c>
      <c r="M25" s="60">
        <v>57</v>
      </c>
      <c r="N25" s="60">
        <v>3.6</v>
      </c>
      <c r="O25" s="60">
        <v>0</v>
      </c>
      <c r="P25" s="60">
        <v>2.61</v>
      </c>
      <c r="Q25" s="60">
        <v>38.450000000000003</v>
      </c>
      <c r="R25" s="198"/>
      <c r="S25" s="198"/>
      <c r="T25" s="198"/>
      <c r="U25" s="198"/>
    </row>
    <row r="26" spans="1:21" s="12" customFormat="1" x14ac:dyDescent="0.25">
      <c r="A26" s="201" t="s">
        <v>550</v>
      </c>
      <c r="B26" s="60">
        <v>143.36000000000001</v>
      </c>
      <c r="C26" s="60">
        <v>132.82</v>
      </c>
      <c r="D26" s="60">
        <v>187.07</v>
      </c>
      <c r="E26" s="60">
        <v>8.34</v>
      </c>
      <c r="F26" s="60">
        <v>3.51</v>
      </c>
      <c r="G26" s="60">
        <v>192.47</v>
      </c>
      <c r="H26" s="60">
        <v>78.37</v>
      </c>
      <c r="I26" s="60">
        <v>1.4</v>
      </c>
      <c r="J26" s="60">
        <v>0.05</v>
      </c>
      <c r="K26" s="60">
        <v>253.47</v>
      </c>
      <c r="L26" s="60">
        <v>15.45</v>
      </c>
      <c r="M26" s="60">
        <v>54</v>
      </c>
      <c r="N26" s="60">
        <v>4</v>
      </c>
      <c r="O26" s="60">
        <v>0</v>
      </c>
      <c r="P26" s="60">
        <v>2.54</v>
      </c>
      <c r="Q26" s="60">
        <v>38.28</v>
      </c>
      <c r="R26" s="198"/>
      <c r="S26" s="198"/>
      <c r="T26" s="198"/>
      <c r="U26" s="198"/>
    </row>
    <row r="27" spans="1:21" s="12" customFormat="1" x14ac:dyDescent="0.25">
      <c r="A27" s="201" t="s">
        <v>551</v>
      </c>
      <c r="B27" s="60">
        <v>136.83000000000001</v>
      </c>
      <c r="C27" s="60">
        <v>130.35</v>
      </c>
      <c r="D27" s="60">
        <v>180.47</v>
      </c>
      <c r="E27" s="60">
        <v>8.7799999999999994</v>
      </c>
      <c r="F27" s="60">
        <v>3.52</v>
      </c>
      <c r="G27" s="60">
        <v>216.97</v>
      </c>
      <c r="H27" s="60">
        <v>79.84</v>
      </c>
      <c r="I27" s="60">
        <v>1.35</v>
      </c>
      <c r="J27" s="60">
        <v>0.17</v>
      </c>
      <c r="K27" s="60">
        <v>212.49</v>
      </c>
      <c r="L27" s="60">
        <v>15.26</v>
      </c>
      <c r="M27" s="60">
        <v>57</v>
      </c>
      <c r="N27" s="60">
        <v>3.9</v>
      </c>
      <c r="O27" s="60">
        <v>0</v>
      </c>
      <c r="P27" s="60">
        <v>2.4700000000000002</v>
      </c>
      <c r="Q27" s="60">
        <v>37.82</v>
      </c>
      <c r="R27" s="198"/>
      <c r="S27" s="198"/>
      <c r="T27" s="198"/>
      <c r="U27" s="198"/>
    </row>
    <row r="28" spans="1:21" s="12" customFormat="1" x14ac:dyDescent="0.25">
      <c r="A28" s="201" t="s">
        <v>552</v>
      </c>
      <c r="B28" s="60">
        <v>130.6</v>
      </c>
      <c r="C28" s="60">
        <v>127.42</v>
      </c>
      <c r="D28" s="60">
        <v>173.87</v>
      </c>
      <c r="E28" s="60">
        <v>8.73</v>
      </c>
      <c r="F28" s="60">
        <v>3.49</v>
      </c>
      <c r="G28" s="60">
        <v>216.97</v>
      </c>
      <c r="H28" s="60">
        <v>79.84</v>
      </c>
      <c r="I28" s="60">
        <v>1.3</v>
      </c>
      <c r="J28" s="60">
        <v>0.16</v>
      </c>
      <c r="K28" s="60">
        <v>237.91</v>
      </c>
      <c r="L28" s="60">
        <v>15.51</v>
      </c>
      <c r="M28" s="60">
        <v>55</v>
      </c>
      <c r="N28" s="60">
        <v>3.6</v>
      </c>
      <c r="O28" s="60">
        <v>0</v>
      </c>
      <c r="P28" s="60">
        <v>2.42</v>
      </c>
      <c r="Q28" s="60">
        <v>37.33</v>
      </c>
      <c r="R28" s="198"/>
      <c r="S28" s="198"/>
      <c r="T28" s="198"/>
      <c r="U28" s="198"/>
    </row>
    <row r="29" spans="1:21" s="12" customFormat="1" x14ac:dyDescent="0.25">
      <c r="A29" s="201" t="s">
        <v>553</v>
      </c>
      <c r="B29" s="60">
        <v>123.72</v>
      </c>
      <c r="C29" s="60">
        <v>124.61</v>
      </c>
      <c r="D29" s="60">
        <v>166.79</v>
      </c>
      <c r="E29" s="60">
        <v>8.9600000000000009</v>
      </c>
      <c r="F29" s="60">
        <v>3.54</v>
      </c>
      <c r="G29" s="60">
        <v>216.97</v>
      </c>
      <c r="H29" s="60">
        <v>79.84</v>
      </c>
      <c r="I29" s="60">
        <v>1.24</v>
      </c>
      <c r="J29" s="60">
        <v>0.15</v>
      </c>
      <c r="K29" s="60">
        <v>286.18</v>
      </c>
      <c r="L29" s="60">
        <v>15.16</v>
      </c>
      <c r="M29" s="60">
        <v>58</v>
      </c>
      <c r="N29" s="60">
        <v>4.4000000000000004</v>
      </c>
      <c r="O29" s="60">
        <v>0</v>
      </c>
      <c r="P29" s="60">
        <v>2.36</v>
      </c>
      <c r="Q29" s="60">
        <v>36.72</v>
      </c>
      <c r="R29" s="198"/>
      <c r="S29" s="198"/>
      <c r="T29" s="198"/>
      <c r="U29" s="198"/>
    </row>
    <row r="30" spans="1:21" s="12" customFormat="1" x14ac:dyDescent="0.25">
      <c r="A30" s="201" t="s">
        <v>554</v>
      </c>
      <c r="B30" s="60">
        <v>117.88</v>
      </c>
      <c r="C30" s="60">
        <v>121.95</v>
      </c>
      <c r="D30" s="60">
        <v>160.63999999999999</v>
      </c>
      <c r="E30" s="60">
        <v>8</v>
      </c>
      <c r="F30" s="60">
        <v>3.54</v>
      </c>
      <c r="G30" s="60">
        <v>190.79</v>
      </c>
      <c r="H30" s="60">
        <v>77.23</v>
      </c>
      <c r="I30" s="60">
        <v>1.19</v>
      </c>
      <c r="J30" s="60">
        <v>0.27</v>
      </c>
      <c r="K30" s="60">
        <v>229.05</v>
      </c>
      <c r="L30" s="60">
        <v>14.94</v>
      </c>
      <c r="M30" s="60">
        <v>70</v>
      </c>
      <c r="N30" s="60">
        <v>3.7</v>
      </c>
      <c r="O30" s="60">
        <v>0</v>
      </c>
      <c r="P30" s="60">
        <v>2.2999999999999998</v>
      </c>
      <c r="Q30" s="60">
        <v>36</v>
      </c>
      <c r="R30" s="198"/>
      <c r="S30" s="198"/>
      <c r="T30" s="198"/>
      <c r="U30" s="198"/>
    </row>
    <row r="31" spans="1:21" s="12" customFormat="1" x14ac:dyDescent="0.25">
      <c r="A31" s="201" t="s">
        <v>555</v>
      </c>
      <c r="B31" s="60">
        <v>113.44</v>
      </c>
      <c r="C31" s="60">
        <v>118.16</v>
      </c>
      <c r="D31" s="60">
        <v>154.99</v>
      </c>
      <c r="E31" s="60">
        <v>7.41</v>
      </c>
      <c r="F31" s="60">
        <v>3.57</v>
      </c>
      <c r="G31" s="60">
        <v>169.85</v>
      </c>
      <c r="H31" s="60">
        <v>75.14</v>
      </c>
      <c r="I31" s="60">
        <v>1.1499999999999999</v>
      </c>
      <c r="J31" s="60">
        <v>0.15</v>
      </c>
      <c r="K31" s="60">
        <v>298.74</v>
      </c>
      <c r="L31" s="60">
        <v>14.08</v>
      </c>
      <c r="M31" s="60">
        <v>75</v>
      </c>
      <c r="N31" s="60">
        <v>4.5999999999999996</v>
      </c>
      <c r="O31" s="60">
        <v>0</v>
      </c>
      <c r="P31" s="60">
        <v>2.23</v>
      </c>
      <c r="Q31" s="60">
        <v>35.380000000000003</v>
      </c>
      <c r="R31" s="198"/>
      <c r="S31" s="198"/>
      <c r="T31" s="198"/>
      <c r="U31" s="198"/>
    </row>
    <row r="32" spans="1:21" s="12" customFormat="1" x14ac:dyDescent="0.25">
      <c r="A32" s="201" t="s">
        <v>556</v>
      </c>
      <c r="B32" s="60">
        <v>109.39</v>
      </c>
      <c r="C32" s="60">
        <v>114.45</v>
      </c>
      <c r="D32" s="60">
        <v>149.69999999999999</v>
      </c>
      <c r="E32" s="60">
        <v>7.29</v>
      </c>
      <c r="F32" s="60">
        <v>3.37</v>
      </c>
      <c r="G32" s="60">
        <v>169.85</v>
      </c>
      <c r="H32" s="60">
        <v>75.14</v>
      </c>
      <c r="I32" s="60">
        <v>1.1200000000000001</v>
      </c>
      <c r="J32" s="60">
        <v>0.22</v>
      </c>
      <c r="K32" s="60">
        <v>260.95999999999998</v>
      </c>
      <c r="L32" s="60">
        <v>13.58</v>
      </c>
      <c r="M32" s="60">
        <v>75</v>
      </c>
      <c r="N32" s="60">
        <v>4.3</v>
      </c>
      <c r="O32" s="60">
        <v>0</v>
      </c>
      <c r="P32" s="60">
        <v>2.17</v>
      </c>
      <c r="Q32" s="60">
        <v>34.21</v>
      </c>
      <c r="R32" s="198"/>
      <c r="S32" s="198"/>
      <c r="T32" s="198"/>
      <c r="U32" s="198"/>
    </row>
    <row r="33" spans="1:21" s="12" customFormat="1" x14ac:dyDescent="0.25">
      <c r="A33" s="201" t="s">
        <v>557</v>
      </c>
      <c r="B33" s="60">
        <v>106.68</v>
      </c>
      <c r="C33" s="60">
        <v>112.22</v>
      </c>
      <c r="D33" s="60">
        <v>146.29</v>
      </c>
      <c r="E33" s="60">
        <v>7.04</v>
      </c>
      <c r="F33" s="60">
        <v>3.16</v>
      </c>
      <c r="G33" s="60">
        <v>169.85</v>
      </c>
      <c r="H33" s="60">
        <v>75.14</v>
      </c>
      <c r="I33" s="9" t="s">
        <v>36</v>
      </c>
      <c r="J33" s="60">
        <v>0.17</v>
      </c>
      <c r="K33" s="60">
        <v>284.38</v>
      </c>
      <c r="L33" s="60">
        <v>13.35</v>
      </c>
      <c r="M33" s="60">
        <v>74</v>
      </c>
      <c r="N33" s="60">
        <v>4.2</v>
      </c>
      <c r="O33" s="60">
        <v>0</v>
      </c>
      <c r="P33" s="60">
        <v>2.12</v>
      </c>
      <c r="Q33" s="60">
        <v>33.299999999999997</v>
      </c>
      <c r="R33" s="198"/>
      <c r="S33" s="198"/>
      <c r="T33" s="198"/>
      <c r="U33" s="198"/>
    </row>
    <row r="34" spans="1:21" s="12" customFormat="1" x14ac:dyDescent="0.25">
      <c r="A34" s="201" t="s">
        <v>558</v>
      </c>
      <c r="B34" s="60">
        <v>104.1</v>
      </c>
      <c r="C34" s="60">
        <v>110.4</v>
      </c>
      <c r="D34" s="60">
        <v>143.22</v>
      </c>
      <c r="E34" s="60">
        <v>6.78</v>
      </c>
      <c r="F34" s="60">
        <v>3.29</v>
      </c>
      <c r="G34" s="60">
        <v>183.36</v>
      </c>
      <c r="H34" s="60">
        <v>71.91</v>
      </c>
      <c r="I34" s="9" t="s">
        <v>36</v>
      </c>
      <c r="J34" s="60">
        <v>0.26</v>
      </c>
      <c r="K34" s="60">
        <v>249.06</v>
      </c>
      <c r="L34" s="60">
        <v>13.59</v>
      </c>
      <c r="M34" s="60">
        <v>70</v>
      </c>
      <c r="N34" s="60">
        <v>4.5999999999999996</v>
      </c>
      <c r="O34" s="60">
        <v>0</v>
      </c>
      <c r="P34" s="60">
        <v>2.09</v>
      </c>
      <c r="Q34" s="60">
        <v>32.64</v>
      </c>
      <c r="R34" s="198"/>
      <c r="S34" s="198"/>
      <c r="T34" s="198"/>
      <c r="U34" s="198"/>
    </row>
    <row r="35" spans="1:21" s="12" customFormat="1" x14ac:dyDescent="0.25">
      <c r="A35" s="201" t="s">
        <v>559</v>
      </c>
      <c r="B35" s="60">
        <v>102.14</v>
      </c>
      <c r="C35" s="60">
        <v>109.23</v>
      </c>
      <c r="D35" s="60">
        <v>141</v>
      </c>
      <c r="E35" s="60">
        <v>6.54</v>
      </c>
      <c r="F35" s="60">
        <v>3.4</v>
      </c>
      <c r="G35" s="60">
        <v>194.16</v>
      </c>
      <c r="H35" s="60">
        <v>69.319999999999993</v>
      </c>
      <c r="I35" s="9" t="s">
        <v>36</v>
      </c>
      <c r="J35" s="60">
        <v>0.21</v>
      </c>
      <c r="K35" s="60">
        <v>263</v>
      </c>
      <c r="L35" s="60">
        <v>13.56</v>
      </c>
      <c r="M35" s="60">
        <v>69</v>
      </c>
      <c r="N35" s="60">
        <v>9.5</v>
      </c>
      <c r="O35" s="60">
        <v>0</v>
      </c>
      <c r="P35" s="60">
        <v>2.08</v>
      </c>
      <c r="Q35" s="60">
        <v>32.33</v>
      </c>
      <c r="R35" s="198"/>
      <c r="S35" s="198"/>
      <c r="T35" s="198"/>
      <c r="U35" s="198"/>
    </row>
    <row r="36" spans="1:21" s="12" customFormat="1" x14ac:dyDescent="0.25">
      <c r="A36" s="201" t="s">
        <v>560</v>
      </c>
      <c r="B36" s="60">
        <v>100.98</v>
      </c>
      <c r="C36" s="60">
        <v>108.77</v>
      </c>
      <c r="D36" s="60">
        <v>139.82</v>
      </c>
      <c r="E36" s="60">
        <v>7.02</v>
      </c>
      <c r="F36" s="60">
        <v>3.48</v>
      </c>
      <c r="G36" s="60">
        <v>194.16</v>
      </c>
      <c r="H36" s="60">
        <v>69.319999999999993</v>
      </c>
      <c r="I36" s="9" t="s">
        <v>36</v>
      </c>
      <c r="J36" s="60">
        <v>0.12</v>
      </c>
      <c r="K36" s="60">
        <v>296.92</v>
      </c>
      <c r="L36" s="60">
        <v>13.35</v>
      </c>
      <c r="M36" s="60">
        <v>69</v>
      </c>
      <c r="N36" s="60">
        <v>19</v>
      </c>
      <c r="O36" s="60">
        <v>0</v>
      </c>
      <c r="P36" s="60">
        <v>2.0699999999999998</v>
      </c>
      <c r="Q36" s="60">
        <v>32.35</v>
      </c>
      <c r="R36" s="198"/>
      <c r="S36" s="198"/>
      <c r="T36" s="198"/>
      <c r="U36" s="198"/>
    </row>
    <row r="37" spans="1:21" s="12" customFormat="1" x14ac:dyDescent="0.25">
      <c r="A37" s="201" t="s">
        <v>561</v>
      </c>
      <c r="B37" s="60">
        <v>99.08</v>
      </c>
      <c r="C37" s="60">
        <v>108.36</v>
      </c>
      <c r="D37" s="60">
        <v>138.07</v>
      </c>
      <c r="E37" s="60">
        <v>6.72</v>
      </c>
      <c r="F37" s="60">
        <v>3.47</v>
      </c>
      <c r="G37" s="60">
        <v>194.16</v>
      </c>
      <c r="H37" s="60">
        <v>69.319999999999993</v>
      </c>
      <c r="I37" s="9" t="s">
        <v>36</v>
      </c>
      <c r="J37" s="60">
        <v>0.15</v>
      </c>
      <c r="K37" s="60">
        <v>342.13</v>
      </c>
      <c r="L37" s="60">
        <v>13.51</v>
      </c>
      <c r="M37" s="60">
        <v>70</v>
      </c>
      <c r="N37" s="60">
        <v>28.6</v>
      </c>
      <c r="O37" s="60">
        <v>0</v>
      </c>
      <c r="P37" s="60">
        <v>2.0099999999999998</v>
      </c>
      <c r="Q37" s="60">
        <v>32.200000000000003</v>
      </c>
      <c r="R37" s="198"/>
      <c r="S37" s="198"/>
      <c r="T37" s="198"/>
      <c r="U37" s="198"/>
    </row>
    <row r="38" spans="1:21" s="12" customFormat="1" x14ac:dyDescent="0.25">
      <c r="A38" s="201" t="s">
        <v>562</v>
      </c>
      <c r="B38" s="60">
        <v>102.5</v>
      </c>
      <c r="C38" s="60">
        <v>110.25</v>
      </c>
      <c r="D38" s="60">
        <v>141.85</v>
      </c>
      <c r="E38" s="60">
        <v>6.88</v>
      </c>
      <c r="F38" s="60">
        <v>3.43</v>
      </c>
      <c r="G38" s="60">
        <v>172.07</v>
      </c>
      <c r="H38" s="60">
        <v>70.180000000000007</v>
      </c>
      <c r="I38" s="9" t="s">
        <v>36</v>
      </c>
      <c r="J38" s="60">
        <v>0.13</v>
      </c>
      <c r="K38" s="60">
        <v>349.45</v>
      </c>
      <c r="L38" s="60">
        <v>13.79</v>
      </c>
      <c r="M38" s="60">
        <v>71</v>
      </c>
      <c r="N38" s="60">
        <v>40.1</v>
      </c>
      <c r="O38" s="60">
        <v>0</v>
      </c>
      <c r="P38" s="60">
        <v>2.1</v>
      </c>
      <c r="Q38" s="60">
        <v>32.22</v>
      </c>
      <c r="R38" s="198"/>
      <c r="S38" s="198"/>
      <c r="T38" s="198"/>
      <c r="U38" s="198"/>
    </row>
    <row r="39" spans="1:21" s="12" customFormat="1" x14ac:dyDescent="0.25">
      <c r="A39" s="201" t="s">
        <v>563</v>
      </c>
      <c r="B39" s="60">
        <v>106.89</v>
      </c>
      <c r="C39" s="60">
        <v>113.46</v>
      </c>
      <c r="D39" s="60">
        <v>147.15</v>
      </c>
      <c r="E39" s="60">
        <v>7.48</v>
      </c>
      <c r="F39" s="60">
        <v>3.49</v>
      </c>
      <c r="G39" s="60">
        <v>154.4</v>
      </c>
      <c r="H39" s="60">
        <v>70.86</v>
      </c>
      <c r="I39" s="9" t="s">
        <v>36</v>
      </c>
      <c r="J39" s="60">
        <v>0.06</v>
      </c>
      <c r="K39" s="60">
        <v>148.78</v>
      </c>
      <c r="L39" s="60">
        <v>14.99</v>
      </c>
      <c r="M39" s="60">
        <v>65</v>
      </c>
      <c r="N39" s="60">
        <v>135.4</v>
      </c>
      <c r="O39" s="60">
        <v>0</v>
      </c>
      <c r="P39" s="60">
        <v>2.12</v>
      </c>
      <c r="Q39" s="60">
        <v>33.42</v>
      </c>
      <c r="R39" s="198"/>
      <c r="S39" s="198"/>
      <c r="T39" s="198"/>
      <c r="U39" s="198"/>
    </row>
    <row r="40" spans="1:21" s="12" customFormat="1" x14ac:dyDescent="0.25">
      <c r="A40" s="201" t="s">
        <v>564</v>
      </c>
      <c r="B40" s="60">
        <v>109.42</v>
      </c>
      <c r="C40" s="60">
        <v>116.75</v>
      </c>
      <c r="D40" s="60">
        <v>150.99</v>
      </c>
      <c r="E40" s="60">
        <v>5.16</v>
      </c>
      <c r="F40" s="60">
        <v>3.63</v>
      </c>
      <c r="G40" s="60">
        <v>154.4</v>
      </c>
      <c r="H40" s="60">
        <v>70.86</v>
      </c>
      <c r="I40" s="9" t="s">
        <v>36</v>
      </c>
      <c r="J40" s="60">
        <v>0.22</v>
      </c>
      <c r="K40" s="60">
        <v>23.45</v>
      </c>
      <c r="L40" s="60">
        <v>19.11</v>
      </c>
      <c r="M40" s="60">
        <v>51</v>
      </c>
      <c r="N40" s="60">
        <v>221.2</v>
      </c>
      <c r="O40" s="60">
        <v>0</v>
      </c>
      <c r="P40" s="60">
        <v>2.15</v>
      </c>
      <c r="Q40" s="60">
        <v>34.340000000000003</v>
      </c>
      <c r="R40" s="198"/>
      <c r="S40" s="198"/>
      <c r="T40" s="198"/>
      <c r="U40" s="198"/>
    </row>
    <row r="41" spans="1:21" s="12" customFormat="1" x14ac:dyDescent="0.25">
      <c r="A41" s="201" t="s">
        <v>565</v>
      </c>
      <c r="B41" s="60">
        <v>113.51</v>
      </c>
      <c r="C41" s="60">
        <v>121.61</v>
      </c>
      <c r="D41" s="60">
        <v>156.94999999999999</v>
      </c>
      <c r="E41" s="60">
        <v>7.61</v>
      </c>
      <c r="F41" s="60">
        <v>3.54</v>
      </c>
      <c r="G41" s="60">
        <v>154.4</v>
      </c>
      <c r="H41" s="60">
        <v>70.86</v>
      </c>
      <c r="I41" s="9" t="s">
        <v>36</v>
      </c>
      <c r="J41" s="60">
        <v>0.22</v>
      </c>
      <c r="K41" s="60">
        <v>28.14</v>
      </c>
      <c r="L41" s="60">
        <v>21.75</v>
      </c>
      <c r="M41" s="60">
        <v>46</v>
      </c>
      <c r="N41" s="60">
        <v>266.5</v>
      </c>
      <c r="O41" s="60">
        <v>0</v>
      </c>
      <c r="P41" s="60">
        <v>2.21</v>
      </c>
      <c r="Q41" s="60">
        <v>34.76</v>
      </c>
      <c r="R41" s="198"/>
      <c r="S41" s="198"/>
      <c r="T41" s="198"/>
      <c r="U41" s="198"/>
    </row>
    <row r="42" spans="1:21" s="12" customFormat="1" x14ac:dyDescent="0.25">
      <c r="A42" s="201" t="s">
        <v>566</v>
      </c>
      <c r="B42" s="60">
        <v>114.83</v>
      </c>
      <c r="C42" s="60">
        <v>126.85</v>
      </c>
      <c r="D42" s="60">
        <v>160.9</v>
      </c>
      <c r="E42" s="60">
        <v>7.68</v>
      </c>
      <c r="F42" s="60">
        <v>3.43</v>
      </c>
      <c r="G42" s="60">
        <v>179.29</v>
      </c>
      <c r="H42" s="60">
        <v>76.930000000000007</v>
      </c>
      <c r="I42" s="9" t="s">
        <v>36</v>
      </c>
      <c r="J42" s="60">
        <v>0.11</v>
      </c>
      <c r="K42" s="60">
        <v>72.03</v>
      </c>
      <c r="L42" s="60">
        <v>23.64</v>
      </c>
      <c r="M42" s="60">
        <v>40</v>
      </c>
      <c r="N42" s="60">
        <v>308.60000000000002</v>
      </c>
      <c r="O42" s="60">
        <v>0</v>
      </c>
      <c r="P42" s="60">
        <v>2.23</v>
      </c>
      <c r="Q42" s="60">
        <v>35.090000000000003</v>
      </c>
      <c r="R42" s="198"/>
      <c r="S42" s="198"/>
      <c r="T42" s="198"/>
      <c r="U42" s="198"/>
    </row>
    <row r="43" spans="1:21" s="12" customFormat="1" x14ac:dyDescent="0.25">
      <c r="A43" s="201" t="s">
        <v>567</v>
      </c>
      <c r="B43" s="60">
        <v>113.05</v>
      </c>
      <c r="C43" s="60">
        <v>131.46</v>
      </c>
      <c r="D43" s="60">
        <v>162.02000000000001</v>
      </c>
      <c r="E43" s="60">
        <v>7.67</v>
      </c>
      <c r="F43" s="60">
        <v>3.58</v>
      </c>
      <c r="G43" s="60">
        <v>199.2</v>
      </c>
      <c r="H43" s="60">
        <v>81.790000000000006</v>
      </c>
      <c r="I43" s="9" t="s">
        <v>36</v>
      </c>
      <c r="J43" s="60">
        <v>0.2</v>
      </c>
      <c r="K43" s="60">
        <v>93.66</v>
      </c>
      <c r="L43" s="60">
        <v>24.56</v>
      </c>
      <c r="M43" s="60">
        <v>34</v>
      </c>
      <c r="N43" s="60">
        <v>361.1</v>
      </c>
      <c r="O43" s="60">
        <v>0</v>
      </c>
      <c r="P43" s="60">
        <v>2.2200000000000002</v>
      </c>
      <c r="Q43" s="60">
        <v>35.35</v>
      </c>
      <c r="R43" s="198"/>
      <c r="S43" s="198"/>
      <c r="T43" s="198"/>
      <c r="U43" s="198"/>
    </row>
    <row r="44" spans="1:21" s="12" customFormat="1" x14ac:dyDescent="0.25">
      <c r="A44" s="201" t="s">
        <v>568</v>
      </c>
      <c r="B44" s="60">
        <v>108.71</v>
      </c>
      <c r="C44" s="60">
        <v>134.43</v>
      </c>
      <c r="D44" s="60">
        <v>160.18</v>
      </c>
      <c r="E44" s="60">
        <v>8.02</v>
      </c>
      <c r="F44" s="60">
        <v>3.69</v>
      </c>
      <c r="G44" s="60">
        <v>199.2</v>
      </c>
      <c r="H44" s="60">
        <v>81.790000000000006</v>
      </c>
      <c r="I44" s="9" t="s">
        <v>36</v>
      </c>
      <c r="J44" s="60">
        <v>0.91</v>
      </c>
      <c r="K44" s="60">
        <v>112.81</v>
      </c>
      <c r="L44" s="60">
        <v>23.3</v>
      </c>
      <c r="M44" s="60">
        <v>30</v>
      </c>
      <c r="N44" s="60">
        <v>417.8</v>
      </c>
      <c r="O44" s="60">
        <v>0</v>
      </c>
      <c r="P44" s="60">
        <v>2.17</v>
      </c>
      <c r="Q44" s="60">
        <v>35.4</v>
      </c>
      <c r="R44" s="198"/>
      <c r="S44" s="198"/>
      <c r="T44" s="198"/>
      <c r="U44" s="198"/>
    </row>
    <row r="45" spans="1:21" s="12" customFormat="1" x14ac:dyDescent="0.25">
      <c r="A45" s="201" t="s">
        <v>569</v>
      </c>
      <c r="B45" s="60">
        <v>101.06</v>
      </c>
      <c r="C45" s="60">
        <v>133.13999999999999</v>
      </c>
      <c r="D45" s="60">
        <v>153.33000000000001</v>
      </c>
      <c r="E45" s="60">
        <v>7.82</v>
      </c>
      <c r="F45" s="60">
        <v>3.63</v>
      </c>
      <c r="G45" s="60">
        <v>199.2</v>
      </c>
      <c r="H45" s="60">
        <v>81.790000000000006</v>
      </c>
      <c r="I45" s="9" t="s">
        <v>36</v>
      </c>
      <c r="J45" s="60">
        <v>0.95</v>
      </c>
      <c r="K45" s="60">
        <v>112.38</v>
      </c>
      <c r="L45" s="60">
        <v>23.29</v>
      </c>
      <c r="M45" s="60">
        <v>30</v>
      </c>
      <c r="N45" s="60">
        <v>453.9</v>
      </c>
      <c r="O45" s="60">
        <v>0</v>
      </c>
      <c r="P45" s="60">
        <v>2.0699999999999998</v>
      </c>
      <c r="Q45" s="60">
        <v>35.03</v>
      </c>
      <c r="R45" s="198"/>
      <c r="S45" s="198"/>
      <c r="T45" s="198"/>
      <c r="U45" s="198"/>
    </row>
    <row r="46" spans="1:21" s="12" customFormat="1" x14ac:dyDescent="0.25">
      <c r="A46" s="201" t="s">
        <v>570</v>
      </c>
      <c r="B46" s="60">
        <v>90.42</v>
      </c>
      <c r="C46" s="60">
        <v>130.82</v>
      </c>
      <c r="D46" s="60">
        <v>143.52000000000001</v>
      </c>
      <c r="E46" s="60">
        <v>7.48</v>
      </c>
      <c r="F46" s="60">
        <v>3.83</v>
      </c>
      <c r="G46" s="60">
        <v>130.63999999999999</v>
      </c>
      <c r="H46" s="60">
        <v>71.400000000000006</v>
      </c>
      <c r="I46" s="9" t="s">
        <v>36</v>
      </c>
      <c r="J46" s="60">
        <v>0.94</v>
      </c>
      <c r="K46" s="60">
        <v>104.19</v>
      </c>
      <c r="L46" s="60">
        <v>23.73</v>
      </c>
      <c r="M46" s="60">
        <v>29</v>
      </c>
      <c r="N46" s="60">
        <v>476.8</v>
      </c>
      <c r="O46" s="60">
        <v>0</v>
      </c>
      <c r="P46" s="60">
        <v>1.98</v>
      </c>
      <c r="Q46" s="60">
        <v>33.94</v>
      </c>
      <c r="R46" s="198"/>
      <c r="S46" s="198"/>
      <c r="T46" s="198"/>
      <c r="U46" s="198"/>
    </row>
    <row r="47" spans="1:21" s="12" customFormat="1" x14ac:dyDescent="0.25">
      <c r="A47" s="201" t="s">
        <v>571</v>
      </c>
      <c r="B47" s="60">
        <v>86.53</v>
      </c>
      <c r="C47" s="60">
        <v>127.78</v>
      </c>
      <c r="D47" s="60">
        <v>138.72</v>
      </c>
      <c r="E47" s="60">
        <v>7.3</v>
      </c>
      <c r="F47" s="60">
        <v>3.68</v>
      </c>
      <c r="G47" s="60">
        <v>75.78</v>
      </c>
      <c r="H47" s="60">
        <v>63.1</v>
      </c>
      <c r="I47" s="9" t="s">
        <v>36</v>
      </c>
      <c r="J47" s="60">
        <v>0.71</v>
      </c>
      <c r="K47" s="60">
        <v>109.72</v>
      </c>
      <c r="L47" s="60">
        <v>24.71</v>
      </c>
      <c r="M47" s="60">
        <v>27</v>
      </c>
      <c r="N47" s="60">
        <v>497.5</v>
      </c>
      <c r="O47" s="60">
        <v>0</v>
      </c>
      <c r="P47" s="60">
        <v>1.92</v>
      </c>
      <c r="Q47" s="60">
        <v>33.6</v>
      </c>
      <c r="R47" s="198"/>
      <c r="S47" s="198"/>
      <c r="T47" s="198"/>
      <c r="U47" s="198"/>
    </row>
    <row r="48" spans="1:21" s="12" customFormat="1" x14ac:dyDescent="0.25">
      <c r="A48" s="201" t="s">
        <v>572</v>
      </c>
      <c r="B48" s="60">
        <v>78.099999999999994</v>
      </c>
      <c r="C48" s="60">
        <v>121.69</v>
      </c>
      <c r="D48" s="60">
        <v>128.6</v>
      </c>
      <c r="E48" s="60">
        <v>7.27</v>
      </c>
      <c r="F48" s="60">
        <v>3.77</v>
      </c>
      <c r="G48" s="60">
        <v>75.78</v>
      </c>
      <c r="H48" s="60">
        <v>63.1</v>
      </c>
      <c r="I48" s="9" t="s">
        <v>36</v>
      </c>
      <c r="J48" s="60">
        <v>0.86</v>
      </c>
      <c r="K48" s="60">
        <v>92.5</v>
      </c>
      <c r="L48" s="60">
        <v>25.73</v>
      </c>
      <c r="M48" s="60">
        <v>26</v>
      </c>
      <c r="N48" s="60">
        <v>523</v>
      </c>
      <c r="O48" s="60">
        <v>0</v>
      </c>
      <c r="P48" s="60">
        <v>1.85</v>
      </c>
      <c r="Q48" s="60">
        <v>33.659999999999997</v>
      </c>
      <c r="R48" s="198"/>
      <c r="S48" s="198"/>
      <c r="T48" s="198"/>
      <c r="U48" s="198"/>
    </row>
    <row r="49" spans="1:21" s="12" customFormat="1" x14ac:dyDescent="0.25">
      <c r="A49" s="201" t="s">
        <v>573</v>
      </c>
      <c r="B49" s="60">
        <v>74.27</v>
      </c>
      <c r="C49" s="60">
        <v>122.51</v>
      </c>
      <c r="D49" s="60">
        <v>125.98</v>
      </c>
      <c r="E49" s="60">
        <v>7.07</v>
      </c>
      <c r="F49" s="60">
        <v>3.86</v>
      </c>
      <c r="G49" s="60">
        <v>75.78</v>
      </c>
      <c r="H49" s="60">
        <v>63.1</v>
      </c>
      <c r="I49" s="9" t="s">
        <v>36</v>
      </c>
      <c r="J49" s="60">
        <v>1.08</v>
      </c>
      <c r="K49" s="60">
        <v>104.45</v>
      </c>
      <c r="L49" s="60">
        <v>25.38</v>
      </c>
      <c r="M49" s="60">
        <v>27</v>
      </c>
      <c r="N49" s="60">
        <v>539.9</v>
      </c>
      <c r="O49" s="60">
        <v>0</v>
      </c>
      <c r="P49" s="60">
        <v>1.78</v>
      </c>
      <c r="Q49" s="60">
        <v>33.31</v>
      </c>
      <c r="R49" s="198"/>
      <c r="S49" s="198"/>
      <c r="T49" s="198"/>
      <c r="U49" s="198"/>
    </row>
    <row r="50" spans="1:21" s="12" customFormat="1" x14ac:dyDescent="0.25">
      <c r="A50" s="201" t="s">
        <v>574</v>
      </c>
      <c r="B50" s="60">
        <v>65.650000000000006</v>
      </c>
      <c r="C50" s="60">
        <v>120.67</v>
      </c>
      <c r="D50" s="60">
        <v>118.05</v>
      </c>
      <c r="E50" s="60">
        <v>6.65</v>
      </c>
      <c r="F50" s="60">
        <v>3.99</v>
      </c>
      <c r="G50" s="60">
        <v>66.569999999999993</v>
      </c>
      <c r="H50" s="60">
        <v>54.6</v>
      </c>
      <c r="I50" s="9" t="s">
        <v>36</v>
      </c>
      <c r="J50" s="60">
        <v>1.1299999999999999</v>
      </c>
      <c r="K50" s="60">
        <v>102.27</v>
      </c>
      <c r="L50" s="60">
        <v>26.14</v>
      </c>
      <c r="M50" s="60">
        <v>25</v>
      </c>
      <c r="N50" s="60">
        <v>557.5</v>
      </c>
      <c r="O50" s="60">
        <v>0</v>
      </c>
      <c r="P50" s="60">
        <v>1.68</v>
      </c>
      <c r="Q50" s="60">
        <v>32.92</v>
      </c>
      <c r="R50" s="198"/>
      <c r="S50" s="198"/>
      <c r="T50" s="198"/>
      <c r="U50" s="198"/>
    </row>
    <row r="51" spans="1:21" s="12" customFormat="1" x14ac:dyDescent="0.25">
      <c r="A51" s="201" t="s">
        <v>575</v>
      </c>
      <c r="B51" s="60">
        <v>61.62</v>
      </c>
      <c r="C51" s="60">
        <v>119.26</v>
      </c>
      <c r="D51" s="60">
        <v>114.05</v>
      </c>
      <c r="E51" s="60">
        <v>6.68</v>
      </c>
      <c r="F51" s="60">
        <v>3.97</v>
      </c>
      <c r="G51" s="60">
        <v>59.21</v>
      </c>
      <c r="H51" s="60">
        <v>47.8</v>
      </c>
      <c r="I51" s="9" t="s">
        <v>36</v>
      </c>
      <c r="J51" s="60">
        <v>1.3</v>
      </c>
      <c r="K51" s="60">
        <v>110.28</v>
      </c>
      <c r="L51" s="60">
        <v>25.91</v>
      </c>
      <c r="M51" s="60">
        <v>25</v>
      </c>
      <c r="N51" s="60">
        <v>569.5</v>
      </c>
      <c r="O51" s="60">
        <v>0</v>
      </c>
      <c r="P51" s="60">
        <v>1.6</v>
      </c>
      <c r="Q51" s="60">
        <v>32.61</v>
      </c>
      <c r="R51" s="198"/>
      <c r="S51" s="198"/>
      <c r="T51" s="198"/>
      <c r="U51" s="198"/>
    </row>
    <row r="52" spans="1:21" s="12" customFormat="1" x14ac:dyDescent="0.25">
      <c r="A52" s="201" t="s">
        <v>576</v>
      </c>
      <c r="B52" s="60">
        <v>58.91</v>
      </c>
      <c r="C52" s="60">
        <v>115.44</v>
      </c>
      <c r="D52" s="60">
        <v>109.77</v>
      </c>
      <c r="E52" s="60">
        <v>6.19</v>
      </c>
      <c r="F52" s="60">
        <v>3.67</v>
      </c>
      <c r="G52" s="60">
        <v>59.21</v>
      </c>
      <c r="H52" s="60">
        <v>47.8</v>
      </c>
      <c r="I52" s="9" t="s">
        <v>36</v>
      </c>
      <c r="J52" s="60">
        <v>0.8</v>
      </c>
      <c r="K52" s="60">
        <v>110.45</v>
      </c>
      <c r="L52" s="60">
        <v>26.82</v>
      </c>
      <c r="M52" s="60">
        <v>24</v>
      </c>
      <c r="N52" s="60">
        <v>575.9</v>
      </c>
      <c r="O52" s="60">
        <v>0</v>
      </c>
      <c r="P52" s="60">
        <v>1.53</v>
      </c>
      <c r="Q52" s="60">
        <v>32.380000000000003</v>
      </c>
      <c r="R52" s="198"/>
      <c r="S52" s="198"/>
      <c r="T52" s="198"/>
      <c r="U52" s="198"/>
    </row>
    <row r="53" spans="1:21" s="12" customFormat="1" x14ac:dyDescent="0.25">
      <c r="A53" s="201" t="s">
        <v>577</v>
      </c>
      <c r="B53" s="60">
        <v>55.05</v>
      </c>
      <c r="C53" s="60">
        <v>115.16</v>
      </c>
      <c r="D53" s="60">
        <v>106.51</v>
      </c>
      <c r="E53" s="60">
        <v>6.36</v>
      </c>
      <c r="F53" s="60">
        <v>3.77</v>
      </c>
      <c r="G53" s="60">
        <v>59.21</v>
      </c>
      <c r="H53" s="60">
        <v>47.8</v>
      </c>
      <c r="I53" s="9" t="s">
        <v>36</v>
      </c>
      <c r="J53" s="60">
        <v>0.61</v>
      </c>
      <c r="K53" s="60">
        <v>32.64</v>
      </c>
      <c r="L53" s="60">
        <v>28.91</v>
      </c>
      <c r="M53" s="60">
        <v>21</v>
      </c>
      <c r="N53" s="60">
        <v>593.5</v>
      </c>
      <c r="O53" s="60">
        <v>0</v>
      </c>
      <c r="P53" s="60">
        <v>1.45</v>
      </c>
      <c r="Q53" s="60">
        <v>32.67</v>
      </c>
      <c r="R53" s="198"/>
      <c r="S53" s="198"/>
      <c r="T53" s="198"/>
      <c r="U53" s="198"/>
    </row>
    <row r="54" spans="1:21" s="12" customFormat="1" x14ac:dyDescent="0.25">
      <c r="A54" s="201" t="s">
        <v>578</v>
      </c>
      <c r="B54" s="60">
        <v>50.93</v>
      </c>
      <c r="C54" s="60">
        <v>115.17</v>
      </c>
      <c r="D54" s="60">
        <v>103.21</v>
      </c>
      <c r="E54" s="60">
        <v>7.64</v>
      </c>
      <c r="F54" s="60">
        <v>3.79</v>
      </c>
      <c r="G54" s="60">
        <v>59.47</v>
      </c>
      <c r="H54" s="60">
        <v>42.31</v>
      </c>
      <c r="I54" s="9" t="s">
        <v>36</v>
      </c>
      <c r="J54" s="60">
        <v>0.81</v>
      </c>
      <c r="K54" s="60">
        <v>343.6</v>
      </c>
      <c r="L54" s="60">
        <v>32.6</v>
      </c>
      <c r="M54" s="60">
        <v>17</v>
      </c>
      <c r="N54" s="60">
        <v>633.29999999999995</v>
      </c>
      <c r="O54" s="60">
        <v>0</v>
      </c>
      <c r="P54" s="60">
        <v>1.39</v>
      </c>
      <c r="Q54" s="60">
        <v>33.11</v>
      </c>
      <c r="R54" s="198"/>
      <c r="S54" s="198"/>
      <c r="T54" s="198"/>
      <c r="U54" s="198"/>
    </row>
    <row r="55" spans="1:21" s="12" customFormat="1" x14ac:dyDescent="0.25">
      <c r="A55" s="201" t="s">
        <v>579</v>
      </c>
      <c r="B55" s="60">
        <v>45.94</v>
      </c>
      <c r="C55" s="60">
        <v>115.9</v>
      </c>
      <c r="D55" s="60">
        <v>99.62</v>
      </c>
      <c r="E55" s="60">
        <v>7.35</v>
      </c>
      <c r="F55" s="60">
        <v>3.87</v>
      </c>
      <c r="G55" s="60">
        <v>59.68</v>
      </c>
      <c r="H55" s="60">
        <v>37.909999999999997</v>
      </c>
      <c r="I55" s="9" t="s">
        <v>36</v>
      </c>
      <c r="J55" s="60">
        <v>0.9</v>
      </c>
      <c r="K55" s="60">
        <v>355.91</v>
      </c>
      <c r="L55" s="60">
        <v>33.93</v>
      </c>
      <c r="M55" s="60">
        <v>15</v>
      </c>
      <c r="N55" s="60">
        <v>655.20000000000005</v>
      </c>
      <c r="O55" s="60">
        <v>0</v>
      </c>
      <c r="P55" s="60">
        <v>1.33</v>
      </c>
      <c r="Q55" s="60">
        <v>32.840000000000003</v>
      </c>
      <c r="R55" s="198"/>
      <c r="S55" s="198"/>
      <c r="T55" s="198"/>
      <c r="U55" s="198"/>
    </row>
    <row r="56" spans="1:21" s="12" customFormat="1" x14ac:dyDescent="0.25">
      <c r="A56" s="201" t="s">
        <v>580</v>
      </c>
      <c r="B56" s="60">
        <v>43.07</v>
      </c>
      <c r="C56" s="60">
        <v>117.04</v>
      </c>
      <c r="D56" s="60">
        <v>97.94</v>
      </c>
      <c r="E56" s="60">
        <v>4.12</v>
      </c>
      <c r="F56" s="60">
        <v>3.9</v>
      </c>
      <c r="G56" s="60">
        <v>59.68</v>
      </c>
      <c r="H56" s="60">
        <v>37.909999999999997</v>
      </c>
      <c r="I56" s="9" t="s">
        <v>36</v>
      </c>
      <c r="J56" s="60">
        <v>0.72</v>
      </c>
      <c r="K56" s="60">
        <v>335</v>
      </c>
      <c r="L56" s="60">
        <v>34.33</v>
      </c>
      <c r="M56" s="60">
        <v>15</v>
      </c>
      <c r="N56" s="60">
        <v>679.5</v>
      </c>
      <c r="O56" s="60">
        <v>0</v>
      </c>
      <c r="P56" s="60">
        <v>1.27</v>
      </c>
      <c r="Q56" s="60">
        <v>32.58</v>
      </c>
      <c r="R56" s="198"/>
      <c r="S56" s="198"/>
      <c r="T56" s="198"/>
      <c r="U56" s="198"/>
    </row>
    <row r="57" spans="1:21" s="12" customFormat="1" x14ac:dyDescent="0.25">
      <c r="A57" s="201" t="s">
        <v>581</v>
      </c>
      <c r="B57" s="60">
        <v>39.39</v>
      </c>
      <c r="C57" s="60">
        <v>117.49</v>
      </c>
      <c r="D57" s="60">
        <v>95.24</v>
      </c>
      <c r="E57" s="60">
        <v>6.71</v>
      </c>
      <c r="F57" s="60">
        <v>3.8</v>
      </c>
      <c r="G57" s="60">
        <v>59.68</v>
      </c>
      <c r="H57" s="60">
        <v>37.909999999999997</v>
      </c>
      <c r="I57" s="9" t="s">
        <v>36</v>
      </c>
      <c r="J57" s="60">
        <v>0.21</v>
      </c>
      <c r="K57" s="60">
        <v>346.86</v>
      </c>
      <c r="L57" s="60">
        <v>33.200000000000003</v>
      </c>
      <c r="M57" s="60">
        <v>14</v>
      </c>
      <c r="N57" s="60">
        <v>708.2</v>
      </c>
      <c r="O57" s="60">
        <v>0</v>
      </c>
      <c r="P57" s="60">
        <v>1.21</v>
      </c>
      <c r="Q57" s="60">
        <v>32.18</v>
      </c>
      <c r="R57" s="198"/>
      <c r="S57" s="198"/>
      <c r="T57" s="198"/>
      <c r="U57" s="198"/>
    </row>
    <row r="58" spans="1:21" s="12" customFormat="1" x14ac:dyDescent="0.25">
      <c r="A58" s="201" t="s">
        <v>582</v>
      </c>
      <c r="B58" s="60">
        <v>35.450000000000003</v>
      </c>
      <c r="C58" s="60">
        <v>116.66</v>
      </c>
      <c r="D58" s="60">
        <v>91.62</v>
      </c>
      <c r="E58" s="60">
        <v>6.58</v>
      </c>
      <c r="F58" s="60">
        <v>3.83</v>
      </c>
      <c r="G58" s="60">
        <v>55.85</v>
      </c>
      <c r="H58" s="60">
        <v>33.19</v>
      </c>
      <c r="I58" s="9" t="s">
        <v>36</v>
      </c>
      <c r="J58" s="60">
        <v>0.44</v>
      </c>
      <c r="K58" s="60">
        <v>109.18</v>
      </c>
      <c r="L58" s="60">
        <v>31.63</v>
      </c>
      <c r="M58" s="60">
        <v>15</v>
      </c>
      <c r="N58" s="60">
        <v>680.7</v>
      </c>
      <c r="O58" s="60">
        <v>0</v>
      </c>
      <c r="P58" s="60">
        <v>1.1599999999999999</v>
      </c>
      <c r="Q58" s="60">
        <v>31.71</v>
      </c>
      <c r="R58" s="198"/>
      <c r="S58" s="198"/>
      <c r="T58" s="198"/>
      <c r="U58" s="198"/>
    </row>
    <row r="59" spans="1:21" s="12" customFormat="1" x14ac:dyDescent="0.25">
      <c r="A59" s="201" t="s">
        <v>583</v>
      </c>
      <c r="B59" s="60">
        <v>29.86</v>
      </c>
      <c r="C59" s="60">
        <v>113.66</v>
      </c>
      <c r="D59" s="60">
        <v>85.48</v>
      </c>
      <c r="E59" s="60">
        <v>6.95</v>
      </c>
      <c r="F59" s="60">
        <v>3.94</v>
      </c>
      <c r="G59" s="60">
        <v>52.78</v>
      </c>
      <c r="H59" s="60">
        <v>29.4</v>
      </c>
      <c r="I59" s="9" t="s">
        <v>36</v>
      </c>
      <c r="J59" s="60">
        <v>0.39</v>
      </c>
      <c r="K59" s="60">
        <v>143.16999999999999</v>
      </c>
      <c r="L59" s="60">
        <v>29.8</v>
      </c>
      <c r="M59" s="60">
        <v>16</v>
      </c>
      <c r="N59" s="60">
        <v>641.70000000000005</v>
      </c>
      <c r="O59" s="60">
        <v>0</v>
      </c>
      <c r="P59" s="60">
        <v>1.1100000000000001</v>
      </c>
      <c r="Q59" s="60">
        <v>31.59</v>
      </c>
      <c r="R59" s="198"/>
      <c r="S59" s="198"/>
      <c r="T59" s="198"/>
      <c r="U59" s="198"/>
    </row>
    <row r="60" spans="1:21" s="12" customFormat="1" x14ac:dyDescent="0.25">
      <c r="A60" s="201" t="s">
        <v>584</v>
      </c>
      <c r="B60" s="60">
        <v>26.57</v>
      </c>
      <c r="C60" s="60">
        <v>114.13</v>
      </c>
      <c r="D60" s="60">
        <v>83.11</v>
      </c>
      <c r="E60" s="60">
        <v>7.06</v>
      </c>
      <c r="F60" s="60">
        <v>4.1100000000000003</v>
      </c>
      <c r="G60" s="60">
        <v>52.78</v>
      </c>
      <c r="H60" s="60">
        <v>29.4</v>
      </c>
      <c r="I60" s="60">
        <v>7.0000000000000007E-2</v>
      </c>
      <c r="J60" s="60">
        <v>0.28000000000000003</v>
      </c>
      <c r="K60" s="60">
        <v>9.2899999999999991</v>
      </c>
      <c r="L60" s="60">
        <v>31.57</v>
      </c>
      <c r="M60" s="60">
        <v>16</v>
      </c>
      <c r="N60" s="60">
        <v>585</v>
      </c>
      <c r="O60" s="60">
        <v>0</v>
      </c>
      <c r="P60" s="60">
        <v>1.06</v>
      </c>
      <c r="Q60" s="60">
        <v>31.09</v>
      </c>
      <c r="R60" s="198"/>
      <c r="S60" s="198"/>
      <c r="T60" s="198"/>
      <c r="U60" s="198"/>
    </row>
    <row r="61" spans="1:21" s="12" customFormat="1" x14ac:dyDescent="0.25">
      <c r="A61" s="201" t="s">
        <v>585</v>
      </c>
      <c r="B61" s="60">
        <v>24.17</v>
      </c>
      <c r="C61" s="60">
        <v>114.26</v>
      </c>
      <c r="D61" s="60">
        <v>81.25</v>
      </c>
      <c r="E61" s="60">
        <v>7.33</v>
      </c>
      <c r="F61" s="60">
        <v>4.41</v>
      </c>
      <c r="G61" s="60">
        <v>52.78</v>
      </c>
      <c r="H61" s="60">
        <v>29.4</v>
      </c>
      <c r="I61" s="60">
        <v>0.74</v>
      </c>
      <c r="J61" s="60">
        <v>0.23</v>
      </c>
      <c r="K61" s="60">
        <v>333.81</v>
      </c>
      <c r="L61" s="60">
        <v>31.17</v>
      </c>
      <c r="M61" s="60">
        <v>16</v>
      </c>
      <c r="N61" s="60">
        <v>549.79999999999995</v>
      </c>
      <c r="O61" s="60">
        <v>0</v>
      </c>
      <c r="P61" s="60">
        <v>1.0900000000000001</v>
      </c>
      <c r="Q61" s="60">
        <v>30.39</v>
      </c>
      <c r="R61" s="198"/>
      <c r="S61" s="198"/>
      <c r="T61" s="198"/>
      <c r="U61" s="198"/>
    </row>
    <row r="62" spans="1:21" s="12" customFormat="1" x14ac:dyDescent="0.25">
      <c r="A62" s="201" t="s">
        <v>586</v>
      </c>
      <c r="B62" s="60">
        <v>20.63</v>
      </c>
      <c r="C62" s="60">
        <v>109.33</v>
      </c>
      <c r="D62" s="60">
        <v>75.69</v>
      </c>
      <c r="E62" s="60">
        <v>8.4700000000000006</v>
      </c>
      <c r="F62" s="60">
        <v>7.27</v>
      </c>
      <c r="G62" s="60">
        <v>52.11</v>
      </c>
      <c r="H62" s="60">
        <v>27.31</v>
      </c>
      <c r="I62" s="60">
        <v>0.72</v>
      </c>
      <c r="J62" s="60">
        <v>0.19</v>
      </c>
      <c r="K62" s="60">
        <v>341.99</v>
      </c>
      <c r="L62" s="60">
        <v>32.06</v>
      </c>
      <c r="M62" s="60">
        <v>15</v>
      </c>
      <c r="N62" s="60">
        <v>509.5</v>
      </c>
      <c r="O62" s="60">
        <v>0</v>
      </c>
      <c r="P62" s="60">
        <v>1.1000000000000001</v>
      </c>
      <c r="Q62" s="60">
        <v>29.46</v>
      </c>
      <c r="R62" s="198"/>
      <c r="S62" s="198"/>
      <c r="T62" s="198"/>
      <c r="U62" s="198"/>
    </row>
    <row r="63" spans="1:21" s="12" customFormat="1" x14ac:dyDescent="0.25">
      <c r="A63" s="201" t="s">
        <v>587</v>
      </c>
      <c r="B63" s="60">
        <v>16.600000000000001</v>
      </c>
      <c r="C63" s="60">
        <v>104.01</v>
      </c>
      <c r="D63" s="60">
        <v>69.52</v>
      </c>
      <c r="E63" s="60">
        <v>8.35</v>
      </c>
      <c r="F63" s="60">
        <v>8.33</v>
      </c>
      <c r="G63" s="60">
        <v>51.56</v>
      </c>
      <c r="H63" s="60">
        <v>25.64</v>
      </c>
      <c r="I63" s="60">
        <v>0.7</v>
      </c>
      <c r="J63" s="60">
        <v>0.3</v>
      </c>
      <c r="K63" s="60">
        <v>61.15</v>
      </c>
      <c r="L63" s="60">
        <v>30.6</v>
      </c>
      <c r="M63" s="60">
        <v>16</v>
      </c>
      <c r="N63" s="60">
        <v>470.6</v>
      </c>
      <c r="O63" s="60">
        <v>0</v>
      </c>
      <c r="P63" s="60">
        <v>1.07</v>
      </c>
      <c r="Q63" s="60">
        <v>29.64</v>
      </c>
      <c r="R63" s="198"/>
      <c r="S63" s="198"/>
      <c r="T63" s="198"/>
      <c r="U63" s="198"/>
    </row>
    <row r="64" spans="1:21" s="12" customFormat="1" x14ac:dyDescent="0.25">
      <c r="A64" s="201" t="s">
        <v>588</v>
      </c>
      <c r="B64" s="60">
        <v>16.73</v>
      </c>
      <c r="C64" s="60">
        <v>109.1</v>
      </c>
      <c r="D64" s="60">
        <v>72.44</v>
      </c>
      <c r="E64" s="60">
        <v>8.34</v>
      </c>
      <c r="F64" s="60">
        <v>6.99</v>
      </c>
      <c r="G64" s="60">
        <v>51.56</v>
      </c>
      <c r="H64" s="60">
        <v>25.64</v>
      </c>
      <c r="I64" s="60">
        <v>0.69</v>
      </c>
      <c r="J64" s="60">
        <v>0.57999999999999996</v>
      </c>
      <c r="K64" s="60">
        <v>94.73</v>
      </c>
      <c r="L64" s="60">
        <v>31.38</v>
      </c>
      <c r="M64" s="60">
        <v>16</v>
      </c>
      <c r="N64" s="60">
        <v>441.8</v>
      </c>
      <c r="O64" s="60">
        <v>0</v>
      </c>
      <c r="P64" s="60">
        <v>1.08</v>
      </c>
      <c r="Q64" s="60">
        <v>30.17</v>
      </c>
      <c r="R64" s="198"/>
      <c r="S64" s="198"/>
      <c r="T64" s="198"/>
      <c r="U64" s="198"/>
    </row>
    <row r="65" spans="1:21" s="12" customFormat="1" x14ac:dyDescent="0.25">
      <c r="A65" s="201" t="s">
        <v>589</v>
      </c>
      <c r="B65" s="60">
        <v>14.2</v>
      </c>
      <c r="C65" s="60">
        <v>100.17</v>
      </c>
      <c r="D65" s="60">
        <v>65.48</v>
      </c>
      <c r="E65" s="60">
        <v>10.07</v>
      </c>
      <c r="F65" s="60">
        <v>9.9499999999999993</v>
      </c>
      <c r="G65" s="60">
        <v>51.56</v>
      </c>
      <c r="H65" s="60">
        <v>25.64</v>
      </c>
      <c r="I65" s="60">
        <v>0.69</v>
      </c>
      <c r="J65" s="60">
        <v>0.48</v>
      </c>
      <c r="K65" s="60">
        <v>101.59</v>
      </c>
      <c r="L65" s="60">
        <v>29.61</v>
      </c>
      <c r="M65" s="60">
        <v>17</v>
      </c>
      <c r="N65" s="60">
        <v>435.4</v>
      </c>
      <c r="O65" s="60">
        <v>0</v>
      </c>
      <c r="P65" s="60">
        <v>1.03</v>
      </c>
      <c r="Q65" s="60">
        <v>30.98</v>
      </c>
      <c r="R65" s="198"/>
      <c r="S65" s="198"/>
      <c r="T65" s="198"/>
      <c r="U65" s="198"/>
    </row>
    <row r="66" spans="1:21" s="12" customFormat="1" x14ac:dyDescent="0.25">
      <c r="A66" s="201" t="s">
        <v>590</v>
      </c>
      <c r="B66" s="60">
        <v>14.41</v>
      </c>
      <c r="C66" s="60">
        <v>100.96</v>
      </c>
      <c r="D66" s="60">
        <v>66.08</v>
      </c>
      <c r="E66" s="60">
        <v>9.42</v>
      </c>
      <c r="F66" s="60">
        <v>9.7200000000000006</v>
      </c>
      <c r="G66" s="60">
        <v>57.42</v>
      </c>
      <c r="H66" s="60">
        <v>26.02</v>
      </c>
      <c r="I66" s="60">
        <v>0.69</v>
      </c>
      <c r="J66" s="60">
        <v>0.85</v>
      </c>
      <c r="K66" s="60">
        <v>357.23</v>
      </c>
      <c r="L66" s="60">
        <v>31.94</v>
      </c>
      <c r="M66" s="60">
        <v>13</v>
      </c>
      <c r="N66" s="60">
        <v>453.2</v>
      </c>
      <c r="O66" s="60">
        <v>0</v>
      </c>
      <c r="P66" s="60">
        <v>0.99</v>
      </c>
      <c r="Q66" s="60">
        <v>31.14</v>
      </c>
      <c r="R66" s="198"/>
      <c r="S66" s="198"/>
      <c r="T66" s="198"/>
      <c r="U66" s="198"/>
    </row>
    <row r="67" spans="1:21" s="12" customFormat="1" x14ac:dyDescent="0.25">
      <c r="A67" s="201" t="s">
        <v>591</v>
      </c>
      <c r="B67" s="60">
        <v>13.66</v>
      </c>
      <c r="C67" s="60">
        <v>104.66</v>
      </c>
      <c r="D67" s="60">
        <v>67.53</v>
      </c>
      <c r="E67" s="60">
        <v>6.34</v>
      </c>
      <c r="F67" s="60">
        <v>5.54</v>
      </c>
      <c r="G67" s="60">
        <v>62.1</v>
      </c>
      <c r="H67" s="60">
        <v>26.31</v>
      </c>
      <c r="I67" s="60">
        <v>0.67</v>
      </c>
      <c r="J67" s="60">
        <v>0.87</v>
      </c>
      <c r="K67" s="60">
        <v>356.43</v>
      </c>
      <c r="L67" s="60">
        <v>33.46</v>
      </c>
      <c r="M67" s="60">
        <v>11</v>
      </c>
      <c r="N67" s="60">
        <v>461</v>
      </c>
      <c r="O67" s="60">
        <v>0</v>
      </c>
      <c r="P67" s="60">
        <v>1.01</v>
      </c>
      <c r="Q67" s="60">
        <v>30.99</v>
      </c>
      <c r="R67" s="198"/>
      <c r="S67" s="198"/>
      <c r="T67" s="198"/>
      <c r="U67" s="198"/>
    </row>
    <row r="68" spans="1:21" s="12" customFormat="1" x14ac:dyDescent="0.25">
      <c r="A68" s="201" t="s">
        <v>592</v>
      </c>
      <c r="B68" s="60">
        <v>11.44</v>
      </c>
      <c r="C68" s="60">
        <v>101.2</v>
      </c>
      <c r="D68" s="60">
        <v>63.83</v>
      </c>
      <c r="E68" s="60">
        <v>6.45</v>
      </c>
      <c r="F68" s="60">
        <v>5.49</v>
      </c>
      <c r="G68" s="60">
        <v>62.1</v>
      </c>
      <c r="H68" s="60">
        <v>26.31</v>
      </c>
      <c r="I68" s="60">
        <v>0.68</v>
      </c>
      <c r="J68" s="60">
        <v>0.56000000000000005</v>
      </c>
      <c r="K68" s="60">
        <v>346.92</v>
      </c>
      <c r="L68" s="60">
        <v>33.86</v>
      </c>
      <c r="M68" s="60">
        <v>10</v>
      </c>
      <c r="N68" s="60">
        <v>276.2</v>
      </c>
      <c r="O68" s="60">
        <v>0</v>
      </c>
      <c r="P68" s="60">
        <v>0.98</v>
      </c>
      <c r="Q68" s="60">
        <v>31.69</v>
      </c>
      <c r="R68" s="198"/>
      <c r="S68" s="198"/>
      <c r="T68" s="198"/>
      <c r="U68" s="198"/>
    </row>
    <row r="69" spans="1:21" s="12" customFormat="1" x14ac:dyDescent="0.25">
      <c r="A69" s="201" t="s">
        <v>593</v>
      </c>
      <c r="B69" s="60">
        <v>9.67</v>
      </c>
      <c r="C69" s="60">
        <v>100.99</v>
      </c>
      <c r="D69" s="60">
        <v>62.3</v>
      </c>
      <c r="E69" s="60">
        <v>5.9</v>
      </c>
      <c r="F69" s="60">
        <v>5.4</v>
      </c>
      <c r="G69" s="60">
        <v>62.1</v>
      </c>
      <c r="H69" s="60">
        <v>26.31</v>
      </c>
      <c r="I69" s="60">
        <v>0.69</v>
      </c>
      <c r="J69" s="60">
        <v>1</v>
      </c>
      <c r="K69" s="60">
        <v>6.8</v>
      </c>
      <c r="L69" s="60">
        <v>33.97</v>
      </c>
      <c r="M69" s="60">
        <v>11</v>
      </c>
      <c r="N69" s="60">
        <v>151.30000000000001</v>
      </c>
      <c r="O69" s="60">
        <v>0</v>
      </c>
      <c r="P69" s="60">
        <v>0.95</v>
      </c>
      <c r="Q69" s="60">
        <v>31.99</v>
      </c>
      <c r="R69" s="198"/>
      <c r="S69" s="198"/>
      <c r="T69" s="198"/>
      <c r="U69" s="198"/>
    </row>
    <row r="70" spans="1:21" s="12" customFormat="1" x14ac:dyDescent="0.25">
      <c r="A70" s="201" t="s">
        <v>594</v>
      </c>
      <c r="B70" s="60">
        <v>8.08</v>
      </c>
      <c r="C70" s="60">
        <v>97.51</v>
      </c>
      <c r="D70" s="60">
        <v>59.1</v>
      </c>
      <c r="E70" s="60">
        <v>5.82</v>
      </c>
      <c r="F70" s="60">
        <v>6.5</v>
      </c>
      <c r="G70" s="60">
        <v>46.16</v>
      </c>
      <c r="H70" s="60">
        <v>23.05</v>
      </c>
      <c r="I70" s="60">
        <v>0.67</v>
      </c>
      <c r="J70" s="60">
        <v>0.56999999999999995</v>
      </c>
      <c r="K70" s="60">
        <v>350.47</v>
      </c>
      <c r="L70" s="60">
        <v>33.590000000000003</v>
      </c>
      <c r="M70" s="60">
        <v>11</v>
      </c>
      <c r="N70" s="60">
        <v>163.4</v>
      </c>
      <c r="O70" s="60">
        <v>0</v>
      </c>
      <c r="P70" s="60">
        <v>0.91</v>
      </c>
      <c r="Q70" s="60">
        <v>31.81</v>
      </c>
      <c r="R70" s="198"/>
      <c r="S70" s="198"/>
      <c r="T70" s="198"/>
      <c r="U70" s="198"/>
    </row>
    <row r="71" spans="1:21" s="12" customFormat="1" x14ac:dyDescent="0.25">
      <c r="A71" s="201" t="s">
        <v>595</v>
      </c>
      <c r="B71" s="60">
        <v>8.06</v>
      </c>
      <c r="C71" s="60">
        <v>97.22</v>
      </c>
      <c r="D71" s="60">
        <v>58.92</v>
      </c>
      <c r="E71" s="60">
        <v>5.58</v>
      </c>
      <c r="F71" s="60">
        <v>5.73</v>
      </c>
      <c r="G71" s="60">
        <v>33.409999999999997</v>
      </c>
      <c r="H71" s="60">
        <v>20.55</v>
      </c>
      <c r="I71" s="60">
        <v>0.66</v>
      </c>
      <c r="J71" s="60">
        <v>0.8</v>
      </c>
      <c r="K71" s="60">
        <v>358.78</v>
      </c>
      <c r="L71" s="60">
        <v>31.97</v>
      </c>
      <c r="M71" s="60">
        <v>11</v>
      </c>
      <c r="N71" s="60">
        <v>118.8</v>
      </c>
      <c r="O71" s="60">
        <v>0</v>
      </c>
      <c r="P71" s="60">
        <v>0.88</v>
      </c>
      <c r="Q71" s="60">
        <v>31.26</v>
      </c>
      <c r="R71" s="198"/>
      <c r="S71" s="198"/>
      <c r="T71" s="198"/>
      <c r="U71" s="198"/>
    </row>
    <row r="72" spans="1:21" s="12" customFormat="1" x14ac:dyDescent="0.25">
      <c r="A72" s="201" t="s">
        <v>596</v>
      </c>
      <c r="B72" s="60">
        <v>6.89</v>
      </c>
      <c r="C72" s="60">
        <v>97.04</v>
      </c>
      <c r="D72" s="60">
        <v>57.89</v>
      </c>
      <c r="E72" s="60">
        <v>5.4</v>
      </c>
      <c r="F72" s="60">
        <v>5.43</v>
      </c>
      <c r="G72" s="60">
        <v>33.409999999999997</v>
      </c>
      <c r="H72" s="60">
        <v>20.55</v>
      </c>
      <c r="I72" s="60">
        <v>0.64</v>
      </c>
      <c r="J72" s="60">
        <v>0.41</v>
      </c>
      <c r="K72" s="60">
        <v>79.040000000000006</v>
      </c>
      <c r="L72" s="60">
        <v>30.94</v>
      </c>
      <c r="M72" s="60">
        <v>12</v>
      </c>
      <c r="N72" s="60">
        <v>78.2</v>
      </c>
      <c r="O72" s="60">
        <v>0</v>
      </c>
      <c r="P72" s="60">
        <v>0.86</v>
      </c>
      <c r="Q72" s="60">
        <v>30.54</v>
      </c>
      <c r="R72" s="198"/>
      <c r="S72" s="198"/>
      <c r="T72" s="198"/>
      <c r="U72" s="198"/>
    </row>
    <row r="73" spans="1:21" s="12" customFormat="1" x14ac:dyDescent="0.25">
      <c r="A73" s="201" t="s">
        <v>597</v>
      </c>
      <c r="B73" s="60">
        <v>7.48</v>
      </c>
      <c r="C73" s="60">
        <v>93.86</v>
      </c>
      <c r="D73" s="60">
        <v>56.61</v>
      </c>
      <c r="E73" s="60">
        <v>7.01</v>
      </c>
      <c r="F73" s="60">
        <v>6.63</v>
      </c>
      <c r="G73" s="60">
        <v>33.409999999999997</v>
      </c>
      <c r="H73" s="60">
        <v>20.55</v>
      </c>
      <c r="I73" s="60">
        <v>0.63</v>
      </c>
      <c r="J73" s="60">
        <v>1.04</v>
      </c>
      <c r="K73" s="60">
        <v>4.72</v>
      </c>
      <c r="L73" s="60">
        <v>30.13</v>
      </c>
      <c r="M73" s="60">
        <v>13</v>
      </c>
      <c r="N73" s="60">
        <v>129.1</v>
      </c>
      <c r="O73" s="60">
        <v>0</v>
      </c>
      <c r="P73" s="60">
        <v>0.82</v>
      </c>
      <c r="Q73" s="60">
        <v>30.13</v>
      </c>
      <c r="R73" s="198"/>
      <c r="S73" s="198"/>
      <c r="T73" s="198"/>
      <c r="U73" s="198"/>
    </row>
    <row r="74" spans="1:21" s="12" customFormat="1" x14ac:dyDescent="0.25">
      <c r="A74" s="201" t="s">
        <v>598</v>
      </c>
      <c r="B74" s="60">
        <v>6.35</v>
      </c>
      <c r="C74" s="60">
        <v>95.85</v>
      </c>
      <c r="D74" s="60">
        <v>56.8</v>
      </c>
      <c r="E74" s="60">
        <v>6.75</v>
      </c>
      <c r="F74" s="60">
        <v>7.12</v>
      </c>
      <c r="G74" s="60">
        <v>32.01</v>
      </c>
      <c r="H74" s="60">
        <v>17.579999999999998</v>
      </c>
      <c r="I74" s="60">
        <v>0.62</v>
      </c>
      <c r="J74" s="60">
        <v>1.03</v>
      </c>
      <c r="K74" s="60">
        <v>349.23</v>
      </c>
      <c r="L74" s="60">
        <v>29.24</v>
      </c>
      <c r="M74" s="60">
        <v>15</v>
      </c>
      <c r="N74" s="60">
        <v>53.4</v>
      </c>
      <c r="O74" s="60">
        <v>0</v>
      </c>
      <c r="P74" s="60">
        <v>0.81</v>
      </c>
      <c r="Q74" s="60">
        <v>29.47</v>
      </c>
      <c r="R74" s="198"/>
      <c r="S74" s="198"/>
      <c r="T74" s="198"/>
      <c r="U74" s="198"/>
    </row>
    <row r="75" spans="1:21" s="12" customFormat="1" x14ac:dyDescent="0.25">
      <c r="A75" s="201" t="s">
        <v>599</v>
      </c>
      <c r="B75" s="60">
        <v>8.51</v>
      </c>
      <c r="C75" s="60">
        <v>90.5</v>
      </c>
      <c r="D75" s="60">
        <v>55.58</v>
      </c>
      <c r="E75" s="60">
        <v>7.85</v>
      </c>
      <c r="F75" s="60">
        <v>9.33</v>
      </c>
      <c r="G75" s="60">
        <v>30.89</v>
      </c>
      <c r="H75" s="60">
        <v>15.21</v>
      </c>
      <c r="I75" s="60">
        <v>0.61</v>
      </c>
      <c r="J75" s="60">
        <v>0.82</v>
      </c>
      <c r="K75" s="60">
        <v>2.41</v>
      </c>
      <c r="L75" s="60">
        <v>28.73</v>
      </c>
      <c r="M75" s="60">
        <v>15</v>
      </c>
      <c r="N75" s="60">
        <v>56</v>
      </c>
      <c r="O75" s="60">
        <v>0</v>
      </c>
      <c r="P75" s="60">
        <v>0.8</v>
      </c>
      <c r="Q75" s="60">
        <v>28.33</v>
      </c>
      <c r="R75" s="198"/>
      <c r="S75" s="198"/>
      <c r="T75" s="198"/>
      <c r="U75" s="198"/>
    </row>
    <row r="76" spans="1:21" s="12" customFormat="1" x14ac:dyDescent="0.25">
      <c r="A76" s="201" t="s">
        <v>600</v>
      </c>
      <c r="B76" s="60">
        <v>9.08</v>
      </c>
      <c r="C76" s="60">
        <v>87.22</v>
      </c>
      <c r="D76" s="60">
        <v>54.23</v>
      </c>
      <c r="E76" s="60">
        <v>7.23</v>
      </c>
      <c r="F76" s="60">
        <v>9.1</v>
      </c>
      <c r="G76" s="60">
        <v>30.89</v>
      </c>
      <c r="H76" s="60">
        <v>15.21</v>
      </c>
      <c r="I76" s="60">
        <v>0.63</v>
      </c>
      <c r="J76" s="60">
        <v>0.85</v>
      </c>
      <c r="K76" s="60">
        <v>2.67</v>
      </c>
      <c r="L76" s="60">
        <v>28.29</v>
      </c>
      <c r="M76" s="60">
        <v>15</v>
      </c>
      <c r="N76" s="60">
        <v>35</v>
      </c>
      <c r="O76" s="60">
        <v>0</v>
      </c>
      <c r="P76" s="60">
        <v>0.82</v>
      </c>
      <c r="Q76" s="60">
        <v>27.7</v>
      </c>
      <c r="R76" s="198"/>
      <c r="S76" s="198"/>
      <c r="T76" s="198"/>
      <c r="U76" s="198"/>
    </row>
    <row r="77" spans="1:21" s="12" customFormat="1" x14ac:dyDescent="0.25">
      <c r="A77" s="201" t="s">
        <v>601</v>
      </c>
      <c r="B77" s="60">
        <v>8.92</v>
      </c>
      <c r="C77" s="60">
        <v>92.12</v>
      </c>
      <c r="D77" s="60">
        <v>56.8</v>
      </c>
      <c r="E77" s="60">
        <v>6.92</v>
      </c>
      <c r="F77" s="60">
        <v>7.48</v>
      </c>
      <c r="G77" s="60">
        <v>30.89</v>
      </c>
      <c r="H77" s="60">
        <v>15.21</v>
      </c>
      <c r="I77" s="60">
        <v>0.61</v>
      </c>
      <c r="J77" s="60">
        <v>0.95</v>
      </c>
      <c r="K77" s="60">
        <v>357.27</v>
      </c>
      <c r="L77" s="60">
        <v>27.83</v>
      </c>
      <c r="M77" s="60">
        <v>15</v>
      </c>
      <c r="N77" s="60">
        <v>28.6</v>
      </c>
      <c r="O77" s="60">
        <v>0</v>
      </c>
      <c r="P77" s="60">
        <v>0.81</v>
      </c>
      <c r="Q77" s="60">
        <v>27.96</v>
      </c>
      <c r="R77" s="198"/>
      <c r="S77" s="198"/>
      <c r="T77" s="198"/>
      <c r="U77" s="198"/>
    </row>
    <row r="78" spans="1:21" s="12" customFormat="1" x14ac:dyDescent="0.25">
      <c r="A78" s="201" t="s">
        <v>602</v>
      </c>
      <c r="B78" s="60">
        <v>13.92</v>
      </c>
      <c r="C78" s="60">
        <v>93.17</v>
      </c>
      <c r="D78" s="60">
        <v>61.39</v>
      </c>
      <c r="E78" s="60">
        <v>7.69</v>
      </c>
      <c r="F78" s="60">
        <v>8.85</v>
      </c>
      <c r="G78" s="60">
        <v>33.18</v>
      </c>
      <c r="H78" s="60">
        <v>15.13</v>
      </c>
      <c r="I78" s="60">
        <v>0.6</v>
      </c>
      <c r="J78" s="60">
        <v>0.23</v>
      </c>
      <c r="K78" s="60">
        <v>346.35</v>
      </c>
      <c r="L78" s="60">
        <v>27.11</v>
      </c>
      <c r="M78" s="60">
        <v>16</v>
      </c>
      <c r="N78" s="60">
        <v>21.2</v>
      </c>
      <c r="O78" s="60">
        <v>0</v>
      </c>
      <c r="P78" s="60">
        <v>0.88</v>
      </c>
      <c r="Q78" s="60">
        <v>27.88</v>
      </c>
      <c r="R78" s="198"/>
      <c r="S78" s="198"/>
      <c r="T78" s="198"/>
      <c r="U78" s="198"/>
    </row>
    <row r="79" spans="1:21" s="12" customFormat="1" x14ac:dyDescent="0.25">
      <c r="A79" s="201" t="s">
        <v>603</v>
      </c>
      <c r="B79" s="60">
        <v>18.59</v>
      </c>
      <c r="C79" s="60">
        <v>99.89</v>
      </c>
      <c r="D79" s="60">
        <v>68.849999999999994</v>
      </c>
      <c r="E79" s="60">
        <v>7.92</v>
      </c>
      <c r="F79" s="60">
        <v>7.46</v>
      </c>
      <c r="G79" s="60">
        <v>35.01</v>
      </c>
      <c r="H79" s="60">
        <v>15.06</v>
      </c>
      <c r="I79" s="60">
        <v>0.6</v>
      </c>
      <c r="J79" s="60">
        <v>7.0000000000000007E-2</v>
      </c>
      <c r="K79" s="60">
        <v>20.65</v>
      </c>
      <c r="L79" s="60">
        <v>26.03</v>
      </c>
      <c r="M79" s="60">
        <v>18</v>
      </c>
      <c r="N79" s="60">
        <v>12.3</v>
      </c>
      <c r="O79" s="60">
        <v>0</v>
      </c>
      <c r="P79" s="60">
        <v>0.99</v>
      </c>
      <c r="Q79" s="60">
        <v>28.16</v>
      </c>
      <c r="R79" s="198"/>
      <c r="S79" s="198"/>
      <c r="T79" s="198"/>
      <c r="U79" s="198"/>
    </row>
    <row r="80" spans="1:21" s="12" customFormat="1" x14ac:dyDescent="0.25">
      <c r="A80" s="201" t="s">
        <v>604</v>
      </c>
      <c r="B80" s="60">
        <v>15.89</v>
      </c>
      <c r="C80" s="60">
        <v>99.78</v>
      </c>
      <c r="D80" s="60">
        <v>66.62</v>
      </c>
      <c r="E80" s="60">
        <v>7.3</v>
      </c>
      <c r="F80" s="60">
        <v>5.72</v>
      </c>
      <c r="G80" s="60">
        <v>35.01</v>
      </c>
      <c r="H80" s="60">
        <v>15.06</v>
      </c>
      <c r="I80" s="60">
        <v>0.61</v>
      </c>
      <c r="J80" s="60">
        <v>0.19</v>
      </c>
      <c r="K80" s="60">
        <v>89.68</v>
      </c>
      <c r="L80" s="60">
        <v>25.08</v>
      </c>
      <c r="M80" s="60">
        <v>21</v>
      </c>
      <c r="N80" s="60">
        <v>6.2</v>
      </c>
      <c r="O80" s="60">
        <v>0</v>
      </c>
      <c r="P80" s="60">
        <v>0.98</v>
      </c>
      <c r="Q80" s="60">
        <v>29.22</v>
      </c>
      <c r="R80" s="198"/>
      <c r="S80" s="198"/>
      <c r="T80" s="198"/>
      <c r="U80" s="198"/>
    </row>
    <row r="81" spans="1:26" s="12" customFormat="1" x14ac:dyDescent="0.25">
      <c r="A81" s="201" t="s">
        <v>605</v>
      </c>
      <c r="B81" s="60">
        <v>34.75</v>
      </c>
      <c r="C81" s="60">
        <v>111.13</v>
      </c>
      <c r="D81" s="60">
        <v>88</v>
      </c>
      <c r="E81" s="60">
        <v>7.02</v>
      </c>
      <c r="F81" s="60">
        <v>4.2</v>
      </c>
      <c r="G81" s="60">
        <v>35.01</v>
      </c>
      <c r="H81" s="60">
        <v>15.06</v>
      </c>
      <c r="I81" s="60">
        <v>0.66</v>
      </c>
      <c r="J81" s="60">
        <v>0.01</v>
      </c>
      <c r="K81" s="60">
        <v>198.97</v>
      </c>
      <c r="L81" s="60">
        <v>23.87</v>
      </c>
      <c r="M81" s="60">
        <v>27</v>
      </c>
      <c r="N81" s="60">
        <v>4.7</v>
      </c>
      <c r="O81" s="60">
        <v>0</v>
      </c>
      <c r="P81" s="60">
        <v>1.08</v>
      </c>
      <c r="Q81" s="60">
        <v>28.26</v>
      </c>
      <c r="R81" s="198"/>
      <c r="S81" s="198"/>
      <c r="T81" s="198"/>
      <c r="U81" s="198"/>
    </row>
    <row r="82" spans="1:26" s="12" customFormat="1" x14ac:dyDescent="0.25">
      <c r="A82" s="201" t="s">
        <v>606</v>
      </c>
      <c r="B82" s="60">
        <v>23.83</v>
      </c>
      <c r="C82" s="60">
        <v>104.12</v>
      </c>
      <c r="D82" s="60">
        <v>75.38</v>
      </c>
      <c r="E82" s="60">
        <v>6.73</v>
      </c>
      <c r="F82" s="60">
        <v>3.9</v>
      </c>
      <c r="G82" s="60">
        <v>59.28</v>
      </c>
      <c r="H82" s="60">
        <v>18.920000000000002</v>
      </c>
      <c r="I82" s="60">
        <v>0.67</v>
      </c>
      <c r="J82" s="60">
        <v>0.11</v>
      </c>
      <c r="K82" s="60">
        <v>113.75</v>
      </c>
      <c r="L82" s="60">
        <v>23.14</v>
      </c>
      <c r="M82" s="60">
        <v>30</v>
      </c>
      <c r="N82" s="60">
        <v>4.2</v>
      </c>
      <c r="O82" s="60">
        <v>0</v>
      </c>
      <c r="P82" s="60">
        <v>0.98</v>
      </c>
      <c r="Q82" s="60">
        <v>30.1</v>
      </c>
      <c r="R82" s="198"/>
      <c r="S82" s="198"/>
      <c r="T82" s="198"/>
      <c r="U82" s="198"/>
    </row>
    <row r="83" spans="1:26" s="12" customFormat="1" x14ac:dyDescent="0.25">
      <c r="A83" s="201" t="s">
        <v>607</v>
      </c>
      <c r="B83" s="60">
        <v>26.78</v>
      </c>
      <c r="C83" s="60">
        <v>104.38</v>
      </c>
      <c r="D83" s="60">
        <v>77.89</v>
      </c>
      <c r="E83" s="60">
        <v>6.59</v>
      </c>
      <c r="F83" s="60">
        <v>3.73</v>
      </c>
      <c r="G83" s="60">
        <v>78.7</v>
      </c>
      <c r="H83" s="60">
        <v>22.01</v>
      </c>
      <c r="I83" s="60">
        <v>0.68</v>
      </c>
      <c r="J83" s="60">
        <v>0.03</v>
      </c>
      <c r="K83" s="60">
        <v>283.58999999999997</v>
      </c>
      <c r="L83" s="60">
        <v>22.45</v>
      </c>
      <c r="M83" s="60">
        <v>30</v>
      </c>
      <c r="N83" s="60">
        <v>4.5</v>
      </c>
      <c r="O83" s="60">
        <v>0</v>
      </c>
      <c r="P83" s="60">
        <v>1.03</v>
      </c>
      <c r="Q83" s="60">
        <v>33.04</v>
      </c>
      <c r="R83" s="198"/>
      <c r="S83" s="198"/>
      <c r="T83" s="198"/>
      <c r="U83" s="198"/>
    </row>
    <row r="84" spans="1:26" s="12" customFormat="1" x14ac:dyDescent="0.25">
      <c r="A84" s="201" t="s">
        <v>608</v>
      </c>
      <c r="B84" s="60">
        <v>33.53</v>
      </c>
      <c r="C84" s="60">
        <v>109.15</v>
      </c>
      <c r="D84" s="60">
        <v>85.94</v>
      </c>
      <c r="E84" s="60">
        <v>6.32</v>
      </c>
      <c r="F84" s="60">
        <v>3.74</v>
      </c>
      <c r="G84" s="60">
        <v>78.7</v>
      </c>
      <c r="H84" s="60">
        <v>22.01</v>
      </c>
      <c r="I84" s="60">
        <v>0.68</v>
      </c>
      <c r="J84" s="60">
        <v>0.06</v>
      </c>
      <c r="K84" s="60">
        <v>357.05</v>
      </c>
      <c r="L84" s="60">
        <v>21.81</v>
      </c>
      <c r="M84" s="60">
        <v>33</v>
      </c>
      <c r="N84" s="60">
        <v>4.5999999999999996</v>
      </c>
      <c r="O84" s="60">
        <v>0</v>
      </c>
      <c r="P84" s="60">
        <v>1.1000000000000001</v>
      </c>
      <c r="Q84" s="60">
        <v>34</v>
      </c>
      <c r="R84" s="198"/>
      <c r="S84" s="198"/>
      <c r="T84" s="198"/>
      <c r="U84" s="198"/>
    </row>
    <row r="85" spans="1:26" s="12" customFormat="1" x14ac:dyDescent="0.25">
      <c r="A85" s="201" t="s">
        <v>609</v>
      </c>
      <c r="B85" s="60">
        <v>41.89</v>
      </c>
      <c r="C85" s="60">
        <v>114.81</v>
      </c>
      <c r="D85" s="60">
        <v>95.76</v>
      </c>
      <c r="E85" s="60">
        <v>6.79</v>
      </c>
      <c r="F85" s="60">
        <v>3.84</v>
      </c>
      <c r="G85" s="60">
        <v>78.7</v>
      </c>
      <c r="H85" s="60">
        <v>22.01</v>
      </c>
      <c r="I85" s="60">
        <v>0.74</v>
      </c>
      <c r="J85" s="60">
        <v>0.04</v>
      </c>
      <c r="K85" s="60">
        <v>8.94</v>
      </c>
      <c r="L85" s="60">
        <v>21.22</v>
      </c>
      <c r="M85" s="60">
        <v>36</v>
      </c>
      <c r="N85" s="60">
        <v>4.5999999999999996</v>
      </c>
      <c r="O85" s="60">
        <v>0</v>
      </c>
      <c r="P85" s="60">
        <v>1.18</v>
      </c>
      <c r="Q85" s="60">
        <v>34.630000000000003</v>
      </c>
      <c r="R85" s="198"/>
      <c r="S85" s="198"/>
      <c r="T85" s="198"/>
      <c r="U85" s="198"/>
    </row>
    <row r="86" spans="1:26" s="12" customFormat="1" x14ac:dyDescent="0.25">
      <c r="A86" s="201" t="s">
        <v>610</v>
      </c>
      <c r="B86" s="60">
        <v>53.32</v>
      </c>
      <c r="C86" s="60">
        <v>121.11</v>
      </c>
      <c r="D86" s="60">
        <v>108.41</v>
      </c>
      <c r="E86" s="60">
        <v>6.56</v>
      </c>
      <c r="F86" s="60">
        <v>3.6</v>
      </c>
      <c r="G86" s="60">
        <v>121.73</v>
      </c>
      <c r="H86" s="60">
        <v>26.43</v>
      </c>
      <c r="I86" s="60">
        <v>0.75</v>
      </c>
      <c r="J86" s="60">
        <v>0.04</v>
      </c>
      <c r="K86" s="60">
        <v>5.94</v>
      </c>
      <c r="L86" s="60">
        <v>20.52</v>
      </c>
      <c r="M86" s="60">
        <v>39</v>
      </c>
      <c r="N86" s="60">
        <v>4.4000000000000004</v>
      </c>
      <c r="O86" s="60">
        <v>0</v>
      </c>
      <c r="P86" s="60">
        <v>1.35</v>
      </c>
      <c r="Q86" s="60">
        <v>35.369999999999997</v>
      </c>
      <c r="R86" s="198"/>
      <c r="S86" s="198"/>
      <c r="T86" s="198"/>
      <c r="U86" s="198"/>
    </row>
    <row r="87" spans="1:26" s="12" customFormat="1" x14ac:dyDescent="0.25">
      <c r="A87" s="201" t="s">
        <v>611</v>
      </c>
      <c r="B87" s="60">
        <v>68.819999999999993</v>
      </c>
      <c r="C87" s="60">
        <v>129.88</v>
      </c>
      <c r="D87" s="60">
        <v>125.68</v>
      </c>
      <c r="E87" s="60">
        <v>6.99</v>
      </c>
      <c r="F87" s="60">
        <v>3.67</v>
      </c>
      <c r="G87" s="60">
        <v>156.16</v>
      </c>
      <c r="H87" s="60">
        <v>29.96</v>
      </c>
      <c r="I87" s="60">
        <v>0.78</v>
      </c>
      <c r="J87" s="60">
        <v>0.04</v>
      </c>
      <c r="K87" s="60">
        <v>5.95</v>
      </c>
      <c r="L87" s="60">
        <v>20.399999999999999</v>
      </c>
      <c r="M87" s="60">
        <v>40</v>
      </c>
      <c r="N87" s="60">
        <v>4.3</v>
      </c>
      <c r="O87" s="60">
        <v>0</v>
      </c>
      <c r="P87" s="60">
        <v>1.46</v>
      </c>
      <c r="Q87" s="60">
        <v>36.25</v>
      </c>
      <c r="R87" s="198"/>
      <c r="S87" s="198"/>
      <c r="T87" s="198"/>
      <c r="U87" s="198"/>
    </row>
    <row r="88" spans="1:26" s="12" customFormat="1" x14ac:dyDescent="0.25">
      <c r="A88" s="201" t="s">
        <v>612</v>
      </c>
      <c r="B88" s="60">
        <v>88.1</v>
      </c>
      <c r="C88" s="60">
        <v>139.78</v>
      </c>
      <c r="D88" s="60">
        <v>146.6</v>
      </c>
      <c r="E88" s="60">
        <v>5.38</v>
      </c>
      <c r="F88" s="60">
        <v>3.62</v>
      </c>
      <c r="G88" s="60">
        <v>156.16</v>
      </c>
      <c r="H88" s="60">
        <v>29.96</v>
      </c>
      <c r="I88" s="60">
        <v>0.89</v>
      </c>
      <c r="J88" s="60">
        <v>0.04</v>
      </c>
      <c r="K88" s="60">
        <v>355.74</v>
      </c>
      <c r="L88" s="60">
        <v>19.920000000000002</v>
      </c>
      <c r="M88" s="60">
        <v>41</v>
      </c>
      <c r="N88" s="60">
        <v>4.5</v>
      </c>
      <c r="O88" s="60">
        <v>0</v>
      </c>
      <c r="P88" s="60">
        <v>1.62</v>
      </c>
      <c r="Q88" s="60">
        <v>37.590000000000003</v>
      </c>
      <c r="R88" s="198"/>
      <c r="S88" s="198"/>
      <c r="T88" s="198"/>
      <c r="U88" s="198"/>
    </row>
    <row r="89" spans="1:26" s="12" customFormat="1" x14ac:dyDescent="0.25">
      <c r="A89" s="201" t="s">
        <v>613</v>
      </c>
      <c r="B89" s="60">
        <v>117.91</v>
      </c>
      <c r="C89" s="60">
        <v>152.65</v>
      </c>
      <c r="D89" s="60">
        <v>177.61</v>
      </c>
      <c r="E89" s="60">
        <v>7.59</v>
      </c>
      <c r="F89" s="60">
        <v>3.49</v>
      </c>
      <c r="G89" s="60">
        <v>156.16</v>
      </c>
      <c r="H89" s="60">
        <v>29.96</v>
      </c>
      <c r="I89" s="60">
        <v>0.92</v>
      </c>
      <c r="J89" s="60">
        <v>0.13</v>
      </c>
      <c r="K89" s="60">
        <v>338.71</v>
      </c>
      <c r="L89" s="60">
        <v>19.93</v>
      </c>
      <c r="M89" s="60">
        <v>44</v>
      </c>
      <c r="N89" s="60">
        <v>3.6</v>
      </c>
      <c r="O89" s="60">
        <v>0</v>
      </c>
      <c r="P89" s="60">
        <v>1.91</v>
      </c>
      <c r="Q89" s="60">
        <v>36.39</v>
      </c>
      <c r="R89" s="198"/>
      <c r="S89" s="198"/>
      <c r="T89" s="198"/>
      <c r="U89" s="198"/>
    </row>
    <row r="90" spans="1:26" s="12" customFormat="1" x14ac:dyDescent="0.25">
      <c r="A90" s="201" t="s">
        <v>614</v>
      </c>
      <c r="B90" s="60">
        <v>134.16</v>
      </c>
      <c r="C90" s="60">
        <v>159.31</v>
      </c>
      <c r="D90" s="60">
        <v>194.32</v>
      </c>
      <c r="E90" s="60">
        <v>8.15</v>
      </c>
      <c r="F90" s="60">
        <v>3.47</v>
      </c>
      <c r="G90" s="60">
        <v>187.52</v>
      </c>
      <c r="H90" s="60">
        <v>41.87</v>
      </c>
      <c r="I90" s="60">
        <v>1.04</v>
      </c>
      <c r="J90" s="60">
        <v>7.0000000000000007E-2</v>
      </c>
      <c r="K90" s="60">
        <v>26.78</v>
      </c>
      <c r="L90" s="60">
        <v>19.61</v>
      </c>
      <c r="M90" s="60">
        <v>45</v>
      </c>
      <c r="N90" s="60">
        <v>4.2</v>
      </c>
      <c r="O90" s="60">
        <v>0</v>
      </c>
      <c r="P90" s="60">
        <v>2.1800000000000002</v>
      </c>
      <c r="Q90" s="60">
        <v>36.51</v>
      </c>
      <c r="R90" s="198"/>
      <c r="S90" s="198"/>
      <c r="T90" s="198"/>
      <c r="U90" s="198"/>
    </row>
    <row r="91" spans="1:26" s="12" customFormat="1" x14ac:dyDescent="0.25">
      <c r="A91" s="201" t="s">
        <v>615</v>
      </c>
      <c r="B91" s="60">
        <v>143.34</v>
      </c>
      <c r="C91" s="60">
        <v>164.98</v>
      </c>
      <c r="D91" s="60">
        <v>204.81</v>
      </c>
      <c r="E91" s="60">
        <v>8.14</v>
      </c>
      <c r="F91" s="60">
        <v>3.49</v>
      </c>
      <c r="G91" s="60">
        <v>212.61</v>
      </c>
      <c r="H91" s="60">
        <v>51.41</v>
      </c>
      <c r="I91" s="60">
        <v>1.17</v>
      </c>
      <c r="J91" s="60">
        <v>0.12</v>
      </c>
      <c r="K91" s="60">
        <v>12.51</v>
      </c>
      <c r="L91" s="60">
        <v>19.47</v>
      </c>
      <c r="M91" s="60">
        <v>46</v>
      </c>
      <c r="N91" s="60">
        <v>4</v>
      </c>
      <c r="O91" s="60">
        <v>0</v>
      </c>
      <c r="P91" s="60">
        <v>2.2799999999999998</v>
      </c>
      <c r="Q91" s="60">
        <v>37.49</v>
      </c>
      <c r="R91" s="198"/>
      <c r="S91" s="198"/>
      <c r="T91" s="198"/>
      <c r="U91" s="198"/>
    </row>
    <row r="92" spans="1:26" s="12" customFormat="1" x14ac:dyDescent="0.25">
      <c r="A92" s="201" t="s">
        <v>616</v>
      </c>
      <c r="B92" s="60">
        <v>158.72999999999999</v>
      </c>
      <c r="C92" s="60">
        <v>170.76</v>
      </c>
      <c r="D92" s="60">
        <v>220.34</v>
      </c>
      <c r="E92" s="60">
        <v>8.3699999999999992</v>
      </c>
      <c r="F92" s="60">
        <v>3.51</v>
      </c>
      <c r="G92" s="60">
        <v>212.61</v>
      </c>
      <c r="H92" s="60">
        <v>51.41</v>
      </c>
      <c r="I92" s="60">
        <v>1.25</v>
      </c>
      <c r="J92" s="60">
        <v>0.05</v>
      </c>
      <c r="K92" s="60">
        <v>77.180000000000007</v>
      </c>
      <c r="L92" s="60">
        <v>19.010000000000002</v>
      </c>
      <c r="M92" s="60">
        <v>50</v>
      </c>
      <c r="N92" s="60">
        <v>4.3</v>
      </c>
      <c r="O92" s="60">
        <v>0</v>
      </c>
      <c r="P92" s="60">
        <v>2.5</v>
      </c>
      <c r="Q92" s="60">
        <v>39.61</v>
      </c>
      <c r="R92" s="198"/>
      <c r="S92" s="198"/>
      <c r="T92" s="198"/>
      <c r="U92" s="198"/>
    </row>
    <row r="93" spans="1:26" s="12" customFormat="1" x14ac:dyDescent="0.25">
      <c r="A93" s="201" t="s">
        <v>617</v>
      </c>
      <c r="B93" s="60">
        <v>176.88</v>
      </c>
      <c r="C93" s="60">
        <v>176.63</v>
      </c>
      <c r="D93" s="60">
        <v>238.13</v>
      </c>
      <c r="E93" s="60">
        <v>8.66</v>
      </c>
      <c r="F93" s="60">
        <v>3.6</v>
      </c>
      <c r="G93" s="60">
        <v>212.61</v>
      </c>
      <c r="H93" s="60">
        <v>51.41</v>
      </c>
      <c r="I93" s="60">
        <v>1.33</v>
      </c>
      <c r="J93" s="60">
        <v>0.06</v>
      </c>
      <c r="K93" s="60">
        <v>125.86</v>
      </c>
      <c r="L93" s="60">
        <v>18.78</v>
      </c>
      <c r="M93" s="60">
        <v>48</v>
      </c>
      <c r="N93" s="60">
        <v>4.3</v>
      </c>
      <c r="O93" s="60">
        <v>0</v>
      </c>
      <c r="P93" s="60">
        <v>2.71</v>
      </c>
      <c r="Q93" s="60">
        <v>40.44</v>
      </c>
      <c r="R93" s="198"/>
      <c r="S93" s="198"/>
      <c r="T93" s="198"/>
      <c r="U93" s="198"/>
    </row>
    <row r="94" spans="1:26" s="12" customFormat="1" x14ac:dyDescent="0.25">
      <c r="A94" s="201" t="s">
        <v>618</v>
      </c>
      <c r="B94" s="60">
        <v>185.95</v>
      </c>
      <c r="C94" s="60">
        <v>180.49</v>
      </c>
      <c r="D94" s="60">
        <v>247.54</v>
      </c>
      <c r="E94" s="60">
        <v>8.5299999999999994</v>
      </c>
      <c r="F94" s="60">
        <v>3.58</v>
      </c>
      <c r="G94" s="60">
        <v>212.61</v>
      </c>
      <c r="H94" s="60">
        <v>61.77</v>
      </c>
      <c r="I94" s="60">
        <v>1.41</v>
      </c>
      <c r="J94" s="60">
        <v>0.05</v>
      </c>
      <c r="K94" s="60">
        <v>256.68</v>
      </c>
      <c r="L94" s="60">
        <v>18.77</v>
      </c>
      <c r="M94" s="60">
        <v>50</v>
      </c>
      <c r="N94" s="60">
        <v>4.0999999999999996</v>
      </c>
      <c r="O94" s="60">
        <v>0</v>
      </c>
      <c r="P94" s="60">
        <v>2.85</v>
      </c>
      <c r="Q94" s="60">
        <v>42.14</v>
      </c>
      <c r="R94" s="198"/>
      <c r="S94" s="198"/>
      <c r="T94" s="198"/>
      <c r="U94" s="198"/>
    </row>
    <row r="95" spans="1:26" s="12" customFormat="1" x14ac:dyDescent="0.25">
      <c r="A95" s="201" t="s">
        <v>619</v>
      </c>
      <c r="B95" s="60">
        <v>202.91</v>
      </c>
      <c r="C95" s="60">
        <v>185.78</v>
      </c>
      <c r="D95" s="60">
        <v>264.05</v>
      </c>
      <c r="E95" s="60">
        <v>9.31</v>
      </c>
      <c r="F95" s="60">
        <v>3.54</v>
      </c>
      <c r="G95" s="60">
        <v>263.14</v>
      </c>
      <c r="H95" s="60">
        <v>70.069999999999993</v>
      </c>
      <c r="I95" s="60">
        <v>1.49</v>
      </c>
      <c r="J95" s="60">
        <v>0.05</v>
      </c>
      <c r="K95" s="60">
        <v>277.55</v>
      </c>
      <c r="L95" s="60">
        <v>18.600000000000001</v>
      </c>
      <c r="M95" s="60">
        <v>51</v>
      </c>
      <c r="N95" s="60">
        <v>4.2</v>
      </c>
      <c r="O95" s="60">
        <v>0</v>
      </c>
      <c r="P95" s="60">
        <v>3</v>
      </c>
      <c r="Q95" s="60">
        <v>43.67</v>
      </c>
      <c r="R95" s="198"/>
      <c r="S95" s="198"/>
      <c r="T95" s="198"/>
      <c r="U95" s="198"/>
    </row>
    <row r="96" spans="1:26" s="12" customFormat="1" x14ac:dyDescent="0.25">
      <c r="A96" s="201" t="s">
        <v>620</v>
      </c>
      <c r="B96" s="60">
        <v>217.92</v>
      </c>
      <c r="C96" s="60">
        <v>193.54</v>
      </c>
      <c r="D96" s="60">
        <v>280.37</v>
      </c>
      <c r="E96" s="60">
        <v>9.43</v>
      </c>
      <c r="F96" s="60">
        <v>3.52</v>
      </c>
      <c r="G96" s="60">
        <v>263.14</v>
      </c>
      <c r="H96" s="60">
        <v>70.069999999999993</v>
      </c>
      <c r="I96" s="60">
        <v>1.57</v>
      </c>
      <c r="J96" s="60">
        <v>0.04</v>
      </c>
      <c r="K96" s="60">
        <v>278.39999999999998</v>
      </c>
      <c r="L96" s="60">
        <v>18.329999999999998</v>
      </c>
      <c r="M96" s="60">
        <v>51</v>
      </c>
      <c r="N96" s="60">
        <v>4.4000000000000004</v>
      </c>
      <c r="O96" s="60">
        <v>0</v>
      </c>
      <c r="P96" s="60">
        <v>3.14</v>
      </c>
      <c r="Q96" s="60">
        <v>45.87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621</v>
      </c>
      <c r="B97" s="60">
        <v>230.06</v>
      </c>
      <c r="C97" s="60">
        <v>197.93</v>
      </c>
      <c r="D97" s="60">
        <v>292.52999999999997</v>
      </c>
      <c r="E97" s="60">
        <v>9.89</v>
      </c>
      <c r="F97" s="60">
        <v>3.47</v>
      </c>
      <c r="G97" s="60">
        <v>263.14</v>
      </c>
      <c r="H97" s="60">
        <v>70.069999999999993</v>
      </c>
      <c r="I97" s="60">
        <v>1.64</v>
      </c>
      <c r="J97" s="60">
        <v>0.02</v>
      </c>
      <c r="K97" s="60">
        <v>110.53</v>
      </c>
      <c r="L97" s="60">
        <v>18.21</v>
      </c>
      <c r="M97" s="60">
        <v>52</v>
      </c>
      <c r="N97" s="60">
        <v>4.0999999999999996</v>
      </c>
      <c r="O97" s="60">
        <v>0</v>
      </c>
      <c r="P97" s="60">
        <v>3.27</v>
      </c>
      <c r="Q97" s="60">
        <v>49.78</v>
      </c>
      <c r="R97" s="198"/>
      <c r="S97" s="198"/>
      <c r="T97" s="198"/>
      <c r="U97" s="198"/>
    </row>
    <row r="98" spans="1:33" s="12" customFormat="1" x14ac:dyDescent="0.25">
      <c r="A98" s="201" t="s">
        <v>622</v>
      </c>
      <c r="B98" s="60">
        <v>242.08</v>
      </c>
      <c r="C98" s="60">
        <v>203.01</v>
      </c>
      <c r="D98" s="60">
        <v>304.98</v>
      </c>
      <c r="E98" s="60">
        <v>9.9600000000000009</v>
      </c>
      <c r="F98" s="60">
        <v>3.71</v>
      </c>
      <c r="G98" s="60">
        <v>213.1</v>
      </c>
      <c r="H98" s="60">
        <v>72.150000000000006</v>
      </c>
      <c r="I98" s="60">
        <v>1.7</v>
      </c>
      <c r="J98" s="60">
        <v>0.15</v>
      </c>
      <c r="K98" s="60">
        <v>284.99</v>
      </c>
      <c r="L98" s="60">
        <v>18.37</v>
      </c>
      <c r="M98" s="60">
        <v>47</v>
      </c>
      <c r="N98" s="60">
        <v>3.7</v>
      </c>
      <c r="O98" s="60">
        <v>0</v>
      </c>
      <c r="P98" s="60">
        <v>3.44</v>
      </c>
      <c r="Q98" s="60">
        <v>51.15</v>
      </c>
      <c r="R98" s="198"/>
      <c r="S98" s="198"/>
      <c r="T98" s="198"/>
      <c r="U98" s="198"/>
    </row>
    <row r="99" spans="1:33" s="12" customFormat="1" x14ac:dyDescent="0.25">
      <c r="A99" s="201" t="s">
        <v>623</v>
      </c>
      <c r="B99" s="60">
        <v>245.19</v>
      </c>
      <c r="C99" s="60">
        <v>203.5</v>
      </c>
      <c r="D99" s="60">
        <v>307.74</v>
      </c>
      <c r="E99" s="60">
        <v>9.6300000000000008</v>
      </c>
      <c r="F99" s="60">
        <v>3.56</v>
      </c>
      <c r="G99" s="60">
        <v>213.1</v>
      </c>
      <c r="H99" s="60">
        <v>73.819999999999993</v>
      </c>
      <c r="I99" s="60">
        <v>1.74</v>
      </c>
      <c r="J99" s="60">
        <v>0.16</v>
      </c>
      <c r="K99" s="60">
        <v>325.43</v>
      </c>
      <c r="L99" s="60">
        <v>18.54</v>
      </c>
      <c r="M99" s="60">
        <v>47</v>
      </c>
      <c r="N99" s="60">
        <v>3.7</v>
      </c>
      <c r="O99" s="60">
        <v>0</v>
      </c>
      <c r="P99" s="60">
        <v>3.53</v>
      </c>
      <c r="Q99" s="60">
        <v>51.52</v>
      </c>
      <c r="R99" s="198"/>
      <c r="S99" s="198"/>
      <c r="T99" s="198"/>
      <c r="U99" s="198"/>
    </row>
    <row r="100" spans="1:33" s="12" customFormat="1" x14ac:dyDescent="0.25">
      <c r="A100" s="201" t="s">
        <v>624</v>
      </c>
      <c r="B100" s="60">
        <v>245.95</v>
      </c>
      <c r="C100" s="60">
        <v>202.49</v>
      </c>
      <c r="D100" s="60">
        <v>307.8</v>
      </c>
      <c r="E100" s="60">
        <v>9.8000000000000007</v>
      </c>
      <c r="F100" s="60">
        <v>3.61</v>
      </c>
      <c r="G100" s="60">
        <v>213.1</v>
      </c>
      <c r="H100" s="60">
        <v>73.819999999999993</v>
      </c>
      <c r="I100" s="60">
        <v>1.78</v>
      </c>
      <c r="J100" s="60">
        <v>0.09</v>
      </c>
      <c r="K100" s="60">
        <v>298.85000000000002</v>
      </c>
      <c r="L100" s="60">
        <v>18.07</v>
      </c>
      <c r="M100" s="60">
        <v>47</v>
      </c>
      <c r="N100" s="60">
        <v>4.2</v>
      </c>
      <c r="O100" s="60">
        <v>0</v>
      </c>
      <c r="P100" s="60">
        <v>3.64</v>
      </c>
      <c r="Q100" s="60">
        <v>51.13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625</v>
      </c>
      <c r="B101" s="60">
        <v>246.04</v>
      </c>
      <c r="C101" s="60">
        <v>201.93</v>
      </c>
      <c r="D101" s="60">
        <v>307.56</v>
      </c>
      <c r="E101" s="60">
        <v>10.029999999999999</v>
      </c>
      <c r="F101" s="60">
        <v>3.7</v>
      </c>
      <c r="G101" s="60">
        <v>213.1</v>
      </c>
      <c r="H101" s="60">
        <v>73.819999999999993</v>
      </c>
      <c r="I101" s="60">
        <v>1.82</v>
      </c>
      <c r="J101" s="60">
        <v>0.08</v>
      </c>
      <c r="K101" s="60">
        <v>290.08</v>
      </c>
      <c r="L101" s="60">
        <v>17.579999999999998</v>
      </c>
      <c r="M101" s="60">
        <v>53</v>
      </c>
      <c r="N101" s="60">
        <v>4.5999999999999996</v>
      </c>
      <c r="O101" s="60">
        <v>0</v>
      </c>
      <c r="P101" s="60">
        <v>3.7</v>
      </c>
      <c r="Q101" s="60">
        <v>50.7</v>
      </c>
      <c r="R101" s="198"/>
      <c r="S101" s="198"/>
      <c r="T101" s="198"/>
      <c r="U101" s="198"/>
    </row>
    <row r="102" spans="1:33" s="12" customFormat="1" x14ac:dyDescent="0.25">
      <c r="A102" s="201" t="s">
        <v>626</v>
      </c>
      <c r="B102" s="60">
        <v>245.82</v>
      </c>
      <c r="C102" s="60">
        <v>200.58</v>
      </c>
      <c r="D102" s="60">
        <v>306.64</v>
      </c>
      <c r="E102" s="60">
        <v>9.92</v>
      </c>
      <c r="F102" s="60">
        <v>3.84</v>
      </c>
      <c r="G102" s="60">
        <v>185.32</v>
      </c>
      <c r="H102" s="60">
        <v>71.05</v>
      </c>
      <c r="I102" s="60">
        <v>1.83</v>
      </c>
      <c r="J102" s="60">
        <v>0.15</v>
      </c>
      <c r="K102" s="60">
        <v>327.99</v>
      </c>
      <c r="L102" s="60">
        <v>17.45</v>
      </c>
      <c r="M102" s="60">
        <v>56</v>
      </c>
      <c r="N102" s="60">
        <v>4.0999999999999996</v>
      </c>
      <c r="O102" s="60">
        <v>0</v>
      </c>
      <c r="P102" s="60">
        <v>3.75</v>
      </c>
      <c r="Q102" s="60">
        <v>50.14</v>
      </c>
      <c r="R102" s="198"/>
      <c r="S102" s="198"/>
      <c r="T102" s="198"/>
      <c r="U102" s="198"/>
    </row>
    <row r="103" spans="1:33" s="12" customFormat="1" x14ac:dyDescent="0.25">
      <c r="A103" s="201" t="s">
        <v>627</v>
      </c>
      <c r="B103" s="60">
        <v>242.17</v>
      </c>
      <c r="C103" s="60">
        <v>198.08</v>
      </c>
      <c r="D103" s="60">
        <v>302.33</v>
      </c>
      <c r="E103" s="60">
        <v>10.220000000000001</v>
      </c>
      <c r="F103" s="60">
        <v>3.62</v>
      </c>
      <c r="G103" s="60">
        <v>164.07</v>
      </c>
      <c r="H103" s="60">
        <v>68.930000000000007</v>
      </c>
      <c r="I103" s="60">
        <v>1.86</v>
      </c>
      <c r="J103" s="60">
        <v>0.13</v>
      </c>
      <c r="K103" s="60">
        <v>330.89</v>
      </c>
      <c r="L103" s="60">
        <v>17.559999999999999</v>
      </c>
      <c r="M103" s="60">
        <v>59</v>
      </c>
      <c r="N103" s="60">
        <v>4</v>
      </c>
      <c r="O103" s="60">
        <v>0</v>
      </c>
      <c r="P103" s="60">
        <v>3.73</v>
      </c>
      <c r="Q103" s="60">
        <v>49.57</v>
      </c>
      <c r="R103" s="198"/>
      <c r="S103" s="198"/>
      <c r="T103" s="198"/>
      <c r="U103" s="198"/>
    </row>
    <row r="104" spans="1:33" s="12" customFormat="1" x14ac:dyDescent="0.25">
      <c r="A104" s="201" t="s">
        <v>628</v>
      </c>
      <c r="B104" s="60">
        <v>234.31</v>
      </c>
      <c r="C104" s="60">
        <v>192.74</v>
      </c>
      <c r="D104" s="60">
        <v>293.08</v>
      </c>
      <c r="E104" s="60">
        <v>6.03</v>
      </c>
      <c r="F104" s="60">
        <v>4.1100000000000003</v>
      </c>
      <c r="G104" s="60">
        <v>164.07</v>
      </c>
      <c r="H104" s="60">
        <v>68.930000000000007</v>
      </c>
      <c r="I104" s="60">
        <v>1.89</v>
      </c>
      <c r="J104" s="60">
        <v>0.1</v>
      </c>
      <c r="K104" s="60">
        <v>352.18</v>
      </c>
      <c r="L104" s="60">
        <v>17.66</v>
      </c>
      <c r="M104" s="60">
        <v>55</v>
      </c>
      <c r="N104" s="60">
        <v>3.9</v>
      </c>
      <c r="O104" s="60">
        <v>0</v>
      </c>
      <c r="P104" s="60">
        <v>3.65</v>
      </c>
      <c r="Q104" s="60">
        <v>48.25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6.35</v>
      </c>
      <c r="C106" s="67">
        <f>MIN(C9:C104)</f>
        <v>87.22</v>
      </c>
      <c r="D106" s="67">
        <f t="shared" ref="D106:Q106" si="0">MIN(D9:D104)</f>
        <v>54.23</v>
      </c>
      <c r="E106" s="67">
        <f t="shared" si="0"/>
        <v>4.12</v>
      </c>
      <c r="F106" s="67">
        <f t="shared" si="0"/>
        <v>3.16</v>
      </c>
      <c r="G106" s="67">
        <f t="shared" si="0"/>
        <v>30.89</v>
      </c>
      <c r="H106" s="67">
        <f t="shared" si="0"/>
        <v>15.06</v>
      </c>
      <c r="I106" s="67">
        <f t="shared" si="0"/>
        <v>7.0000000000000007E-2</v>
      </c>
      <c r="J106" s="67">
        <f t="shared" si="0"/>
        <v>0.01</v>
      </c>
      <c r="K106" s="67">
        <f t="shared" si="0"/>
        <v>2.41</v>
      </c>
      <c r="L106" s="67">
        <f t="shared" si="0"/>
        <v>13.35</v>
      </c>
      <c r="M106" s="67">
        <f t="shared" si="0"/>
        <v>10</v>
      </c>
      <c r="N106" s="67">
        <f t="shared" si="0"/>
        <v>3.6</v>
      </c>
      <c r="O106" s="67">
        <f t="shared" si="0"/>
        <v>0</v>
      </c>
      <c r="P106" s="67">
        <f t="shared" si="0"/>
        <v>0.8</v>
      </c>
      <c r="Q106" s="67">
        <f t="shared" si="0"/>
        <v>27.7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319.33</v>
      </c>
      <c r="C107" s="66">
        <f t="shared" ref="C107:Q107" si="1">MAX(C9:C104)</f>
        <v>222</v>
      </c>
      <c r="D107" s="66">
        <f t="shared" si="1"/>
        <v>377.41</v>
      </c>
      <c r="E107" s="66">
        <f t="shared" si="1"/>
        <v>10.220000000000001</v>
      </c>
      <c r="F107" s="66">
        <f t="shared" si="1"/>
        <v>9.9499999999999993</v>
      </c>
      <c r="G107" s="66">
        <f t="shared" si="1"/>
        <v>263.14</v>
      </c>
      <c r="H107" s="66">
        <f t="shared" si="1"/>
        <v>98.46</v>
      </c>
      <c r="I107" s="66">
        <f t="shared" si="1"/>
        <v>2.23</v>
      </c>
      <c r="J107" s="66">
        <f t="shared" si="1"/>
        <v>1.3</v>
      </c>
      <c r="K107" s="66">
        <f t="shared" si="1"/>
        <v>358.78</v>
      </c>
      <c r="L107" s="66">
        <f t="shared" si="1"/>
        <v>34.33</v>
      </c>
      <c r="M107" s="66">
        <f t="shared" si="1"/>
        <v>75</v>
      </c>
      <c r="N107" s="66">
        <f t="shared" si="1"/>
        <v>708.2</v>
      </c>
      <c r="O107" s="66">
        <f t="shared" si="1"/>
        <v>0</v>
      </c>
      <c r="P107" s="66">
        <f t="shared" si="1"/>
        <v>4.49</v>
      </c>
      <c r="Q107" s="66">
        <f t="shared" si="1"/>
        <v>54.24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112.11937500000003</v>
      </c>
      <c r="C108" s="67">
        <f t="shared" ref="C108:Q108" si="2">AVERAGE(C9:C104)</f>
        <v>135.57083333333333</v>
      </c>
      <c r="D108" s="67">
        <f t="shared" si="2"/>
        <v>163.54104166666664</v>
      </c>
      <c r="E108" s="67">
        <f t="shared" si="2"/>
        <v>7.6429166666666619</v>
      </c>
      <c r="F108" s="67">
        <f t="shared" si="2"/>
        <v>4.3439583333333358</v>
      </c>
      <c r="G108" s="67">
        <f t="shared" si="2"/>
        <v>136.23645833333333</v>
      </c>
      <c r="H108" s="67">
        <f t="shared" si="2"/>
        <v>54.587604166666665</v>
      </c>
      <c r="I108" s="67">
        <f t="shared" si="2"/>
        <v>1.1934782608695647</v>
      </c>
      <c r="J108" s="67">
        <f t="shared" si="2"/>
        <v>0.32718750000000002</v>
      </c>
      <c r="K108" s="67">
        <f t="shared" si="2"/>
        <v>204.30395833333341</v>
      </c>
      <c r="L108" s="67">
        <f t="shared" si="2"/>
        <v>21.96781249999999</v>
      </c>
      <c r="M108" s="67">
        <f t="shared" si="2"/>
        <v>40.572916666666664</v>
      </c>
      <c r="N108" s="67">
        <f t="shared" si="2"/>
        <v>164.9739583333334</v>
      </c>
      <c r="O108" s="67">
        <f t="shared" si="2"/>
        <v>0</v>
      </c>
      <c r="P108" s="67">
        <f t="shared" si="2"/>
        <v>2.0894791666666661</v>
      </c>
      <c r="Q108" s="67">
        <f t="shared" si="2"/>
        <v>36.92135416666666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86.605475866896398</v>
      </c>
      <c r="C109" s="67">
        <f t="shared" ref="C109:Q109" si="3">STDEV(C9:C104)</f>
        <v>35.840658378194632</v>
      </c>
      <c r="D109" s="67">
        <f t="shared" si="3"/>
        <v>88.405359071652043</v>
      </c>
      <c r="E109" s="67">
        <f t="shared" si="3"/>
        <v>1.2614093343447219</v>
      </c>
      <c r="F109" s="67">
        <f t="shared" si="3"/>
        <v>1.6202121233225539</v>
      </c>
      <c r="G109" s="67">
        <f t="shared" si="3"/>
        <v>75.142633647850531</v>
      </c>
      <c r="H109" s="67">
        <f t="shared" si="3"/>
        <v>25.391062901190093</v>
      </c>
      <c r="I109" s="67">
        <f t="shared" si="3"/>
        <v>0.52715893932909796</v>
      </c>
      <c r="J109" s="67">
        <f t="shared" si="3"/>
        <v>0.34489267018504238</v>
      </c>
      <c r="K109" s="67">
        <f t="shared" si="3"/>
        <v>127.10480216593037</v>
      </c>
      <c r="L109" s="67">
        <f t="shared" si="3"/>
        <v>6.6951340072473835</v>
      </c>
      <c r="M109" s="67">
        <f t="shared" si="3"/>
        <v>20.768774533275554</v>
      </c>
      <c r="N109" s="67">
        <f t="shared" si="3"/>
        <v>235.36749551769446</v>
      </c>
      <c r="O109" s="67">
        <f t="shared" si="3"/>
        <v>0</v>
      </c>
      <c r="P109" s="67">
        <f t="shared" si="3"/>
        <v>0.98818639813354037</v>
      </c>
      <c r="Q109" s="67">
        <f t="shared" si="3"/>
        <v>7.1543349567409686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COUNT(I9:I104)+27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215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8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D9" sqref="D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05-02-2023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340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629</v>
      </c>
      <c r="B9" s="60">
        <v>223.18</v>
      </c>
      <c r="C9" s="60">
        <v>186.06</v>
      </c>
      <c r="D9" s="60">
        <v>280.47000000000003</v>
      </c>
      <c r="E9" s="60">
        <v>8.25</v>
      </c>
      <c r="F9" s="60">
        <v>3.63</v>
      </c>
      <c r="G9" s="60">
        <v>164.07</v>
      </c>
      <c r="H9" s="60">
        <v>68.930000000000007</v>
      </c>
      <c r="I9" s="60">
        <v>1.86</v>
      </c>
      <c r="J9" s="60">
        <v>0.04</v>
      </c>
      <c r="K9" s="60">
        <v>318.97000000000003</v>
      </c>
      <c r="L9" s="60">
        <v>17.07</v>
      </c>
      <c r="M9" s="60">
        <v>53</v>
      </c>
      <c r="N9" s="60">
        <v>4.4000000000000004</v>
      </c>
      <c r="O9" s="60">
        <v>0</v>
      </c>
      <c r="P9" s="60">
        <v>3.54</v>
      </c>
      <c r="Q9" s="60">
        <v>47.07</v>
      </c>
      <c r="R9" s="198"/>
      <c r="S9" s="198"/>
      <c r="T9" s="198"/>
      <c r="U9" s="198"/>
    </row>
    <row r="10" spans="1:21" s="12" customFormat="1" x14ac:dyDescent="0.25">
      <c r="A10" s="201" t="s">
        <v>630</v>
      </c>
      <c r="B10" s="60">
        <v>209.87</v>
      </c>
      <c r="C10" s="60">
        <v>177.32</v>
      </c>
      <c r="D10" s="60">
        <v>264.97000000000003</v>
      </c>
      <c r="E10" s="60">
        <v>8.42</v>
      </c>
      <c r="F10" s="60">
        <v>3.6</v>
      </c>
      <c r="G10" s="60">
        <v>136.91999999999999</v>
      </c>
      <c r="H10" s="60">
        <v>64.67</v>
      </c>
      <c r="I10" s="60">
        <v>1.83</v>
      </c>
      <c r="J10" s="60">
        <v>0.08</v>
      </c>
      <c r="K10" s="60">
        <v>350.93</v>
      </c>
      <c r="L10" s="60">
        <v>16.54</v>
      </c>
      <c r="M10" s="60">
        <v>57</v>
      </c>
      <c r="N10" s="60">
        <v>4.2</v>
      </c>
      <c r="O10" s="60">
        <v>0</v>
      </c>
      <c r="P10" s="60">
        <v>3.41</v>
      </c>
      <c r="Q10" s="60">
        <v>45.9</v>
      </c>
      <c r="R10" s="198"/>
      <c r="S10" s="198"/>
      <c r="T10" s="198"/>
      <c r="U10" s="198"/>
    </row>
    <row r="11" spans="1:21" s="12" customFormat="1" x14ac:dyDescent="0.25">
      <c r="A11" s="201" t="s">
        <v>631</v>
      </c>
      <c r="B11" s="60">
        <v>200.5</v>
      </c>
      <c r="C11" s="60">
        <v>173.72</v>
      </c>
      <c r="D11" s="60">
        <v>255.47</v>
      </c>
      <c r="E11" s="60">
        <v>8.19</v>
      </c>
      <c r="F11" s="60">
        <v>3.46</v>
      </c>
      <c r="G11" s="60">
        <v>115.21</v>
      </c>
      <c r="H11" s="60">
        <v>61.41</v>
      </c>
      <c r="I11" s="60">
        <v>1.78</v>
      </c>
      <c r="J11" s="60">
        <v>0.09</v>
      </c>
      <c r="K11" s="60">
        <v>295.39</v>
      </c>
      <c r="L11" s="60">
        <v>16.43</v>
      </c>
      <c r="M11" s="60">
        <v>54</v>
      </c>
      <c r="N11" s="60">
        <v>4.0999999999999996</v>
      </c>
      <c r="O11" s="60">
        <v>0</v>
      </c>
      <c r="P11" s="60">
        <v>3.29</v>
      </c>
      <c r="Q11" s="60">
        <v>44.75</v>
      </c>
      <c r="R11" s="198"/>
      <c r="S11" s="198"/>
      <c r="T11" s="198"/>
      <c r="U11" s="198"/>
    </row>
    <row r="12" spans="1:21" s="12" customFormat="1" x14ac:dyDescent="0.25">
      <c r="A12" s="201" t="s">
        <v>632</v>
      </c>
      <c r="B12" s="60">
        <v>189.85</v>
      </c>
      <c r="C12" s="60">
        <v>166.82</v>
      </c>
      <c r="D12" s="60">
        <v>243.12</v>
      </c>
      <c r="E12" s="60">
        <v>7.49</v>
      </c>
      <c r="F12" s="60">
        <v>3.4</v>
      </c>
      <c r="G12" s="60">
        <v>115.21</v>
      </c>
      <c r="H12" s="60">
        <v>61.41</v>
      </c>
      <c r="I12" s="60">
        <v>1.74</v>
      </c>
      <c r="J12" s="60">
        <v>0.13</v>
      </c>
      <c r="K12" s="60">
        <v>334.87</v>
      </c>
      <c r="L12" s="60">
        <v>16.34</v>
      </c>
      <c r="M12" s="60">
        <v>55</v>
      </c>
      <c r="N12" s="60">
        <v>4.2</v>
      </c>
      <c r="O12" s="60">
        <v>0</v>
      </c>
      <c r="P12" s="60">
        <v>3.17</v>
      </c>
      <c r="Q12" s="60">
        <v>43.89</v>
      </c>
      <c r="R12" s="198"/>
      <c r="S12" s="198"/>
      <c r="T12" s="198"/>
      <c r="U12" s="198"/>
    </row>
    <row r="13" spans="1:21" s="12" customFormat="1" x14ac:dyDescent="0.25">
      <c r="A13" s="201" t="s">
        <v>633</v>
      </c>
      <c r="B13" s="60">
        <v>181.42</v>
      </c>
      <c r="C13" s="60">
        <v>162.57</v>
      </c>
      <c r="D13" s="60">
        <v>234.01</v>
      </c>
      <c r="E13" s="60">
        <v>7.84</v>
      </c>
      <c r="F13" s="60">
        <v>3.39</v>
      </c>
      <c r="G13" s="60">
        <v>115.21</v>
      </c>
      <c r="H13" s="60">
        <v>61.41</v>
      </c>
      <c r="I13" s="60">
        <v>1.69</v>
      </c>
      <c r="J13" s="60">
        <v>0.06</v>
      </c>
      <c r="K13" s="60">
        <v>196.51</v>
      </c>
      <c r="L13" s="60">
        <v>16.149999999999999</v>
      </c>
      <c r="M13" s="60">
        <v>56</v>
      </c>
      <c r="N13" s="60">
        <v>4.3</v>
      </c>
      <c r="O13" s="60">
        <v>0</v>
      </c>
      <c r="P13" s="60">
        <v>2.78</v>
      </c>
      <c r="Q13" s="60">
        <v>42.92</v>
      </c>
      <c r="R13" s="198"/>
      <c r="S13" s="198"/>
      <c r="T13" s="198"/>
      <c r="U13" s="198"/>
    </row>
    <row r="14" spans="1:21" s="12" customFormat="1" x14ac:dyDescent="0.25">
      <c r="A14" s="201" t="s">
        <v>634</v>
      </c>
      <c r="B14" s="60">
        <v>171.18</v>
      </c>
      <c r="C14" s="60">
        <v>153.66</v>
      </c>
      <c r="D14" s="60">
        <v>220.88</v>
      </c>
      <c r="E14" s="60">
        <v>7.67</v>
      </c>
      <c r="F14" s="60">
        <v>3.65</v>
      </c>
      <c r="G14" s="60">
        <v>105.3</v>
      </c>
      <c r="H14" s="60">
        <v>57.14</v>
      </c>
      <c r="I14" s="60">
        <v>1.63</v>
      </c>
      <c r="J14" s="60">
        <v>0.16</v>
      </c>
      <c r="K14" s="60">
        <v>342.49</v>
      </c>
      <c r="L14" s="60">
        <v>15.99</v>
      </c>
      <c r="M14" s="60">
        <v>57</v>
      </c>
      <c r="N14" s="60">
        <v>4.2</v>
      </c>
      <c r="O14" s="60">
        <v>0</v>
      </c>
      <c r="P14" s="60">
        <v>2.83</v>
      </c>
      <c r="Q14" s="60">
        <v>42.11</v>
      </c>
      <c r="R14" s="198"/>
      <c r="S14" s="198"/>
      <c r="T14" s="198"/>
      <c r="U14" s="198"/>
    </row>
    <row r="15" spans="1:21" s="12" customFormat="1" x14ac:dyDescent="0.25">
      <c r="A15" s="201" t="s">
        <v>635</v>
      </c>
      <c r="B15" s="60">
        <v>165.11</v>
      </c>
      <c r="C15" s="60">
        <v>152.06</v>
      </c>
      <c r="D15" s="60">
        <v>215.14</v>
      </c>
      <c r="E15" s="60">
        <v>8.14</v>
      </c>
      <c r="F15" s="60">
        <v>3.56</v>
      </c>
      <c r="G15" s="60">
        <v>97.37</v>
      </c>
      <c r="H15" s="60">
        <v>53.73</v>
      </c>
      <c r="I15" s="60">
        <v>1.57</v>
      </c>
      <c r="J15" s="60">
        <v>0.05</v>
      </c>
      <c r="K15" s="60">
        <v>122.15</v>
      </c>
      <c r="L15" s="60">
        <v>16.079999999999998</v>
      </c>
      <c r="M15" s="60">
        <v>58</v>
      </c>
      <c r="N15" s="60">
        <v>3.7</v>
      </c>
      <c r="O15" s="60">
        <v>0</v>
      </c>
      <c r="P15" s="60">
        <v>2.74</v>
      </c>
      <c r="Q15" s="60">
        <v>42.23</v>
      </c>
      <c r="R15" s="198"/>
      <c r="S15" s="198"/>
      <c r="T15" s="198"/>
      <c r="U15" s="198"/>
    </row>
    <row r="16" spans="1:21" s="12" customFormat="1" x14ac:dyDescent="0.25">
      <c r="A16" s="201" t="s">
        <v>636</v>
      </c>
      <c r="B16" s="60">
        <v>157.34</v>
      </c>
      <c r="C16" s="60">
        <v>148.72999999999999</v>
      </c>
      <c r="D16" s="60">
        <v>207.07</v>
      </c>
      <c r="E16" s="60">
        <v>7.95</v>
      </c>
      <c r="F16" s="60">
        <v>3.63</v>
      </c>
      <c r="G16" s="60">
        <v>97.37</v>
      </c>
      <c r="H16" s="60">
        <v>53.73</v>
      </c>
      <c r="I16" s="60">
        <v>1.53</v>
      </c>
      <c r="J16" s="60">
        <v>0.03</v>
      </c>
      <c r="K16" s="60">
        <v>159.12</v>
      </c>
      <c r="L16" s="60">
        <v>16.04</v>
      </c>
      <c r="M16" s="60">
        <v>57</v>
      </c>
      <c r="N16" s="60">
        <v>4</v>
      </c>
      <c r="O16" s="60">
        <v>0</v>
      </c>
      <c r="P16" s="60">
        <v>2.65</v>
      </c>
      <c r="Q16" s="60">
        <v>42.11</v>
      </c>
      <c r="R16" s="198"/>
      <c r="S16" s="198"/>
      <c r="T16" s="198"/>
      <c r="U16" s="198"/>
    </row>
    <row r="17" spans="1:21" s="12" customFormat="1" x14ac:dyDescent="0.25">
      <c r="A17" s="201" t="s">
        <v>637</v>
      </c>
      <c r="B17" s="60">
        <v>149.08000000000001</v>
      </c>
      <c r="C17" s="60">
        <v>144.76</v>
      </c>
      <c r="D17" s="60">
        <v>198.26</v>
      </c>
      <c r="E17" s="60">
        <v>7.31</v>
      </c>
      <c r="F17" s="60">
        <v>3.68</v>
      </c>
      <c r="G17" s="60">
        <v>97.37</v>
      </c>
      <c r="H17" s="60">
        <v>53.73</v>
      </c>
      <c r="I17" s="60">
        <v>1.49</v>
      </c>
      <c r="J17" s="60">
        <v>0.09</v>
      </c>
      <c r="K17" s="60">
        <v>349.17</v>
      </c>
      <c r="L17" s="60">
        <v>16.02</v>
      </c>
      <c r="M17" s="60">
        <v>56</v>
      </c>
      <c r="N17" s="60">
        <v>4</v>
      </c>
      <c r="O17" s="60">
        <v>0</v>
      </c>
      <c r="P17" s="60">
        <v>2.5499999999999998</v>
      </c>
      <c r="Q17" s="60">
        <v>41.33</v>
      </c>
      <c r="R17" s="198"/>
      <c r="S17" s="198"/>
      <c r="T17" s="198"/>
      <c r="U17" s="198"/>
    </row>
    <row r="18" spans="1:21" s="12" customFormat="1" x14ac:dyDescent="0.25">
      <c r="A18" s="201" t="s">
        <v>638</v>
      </c>
      <c r="B18" s="60">
        <v>141.54</v>
      </c>
      <c r="C18" s="60">
        <v>141.09</v>
      </c>
      <c r="D18" s="60">
        <v>190.18</v>
      </c>
      <c r="E18" s="60">
        <v>7.68</v>
      </c>
      <c r="F18" s="60">
        <v>3.63</v>
      </c>
      <c r="G18" s="60">
        <v>106.32</v>
      </c>
      <c r="H18" s="60">
        <v>52.41</v>
      </c>
      <c r="I18" s="60">
        <v>1.44</v>
      </c>
      <c r="J18" s="60">
        <v>0.03</v>
      </c>
      <c r="K18" s="60">
        <v>53.52</v>
      </c>
      <c r="L18" s="60">
        <v>16.41</v>
      </c>
      <c r="M18" s="60">
        <v>51</v>
      </c>
      <c r="N18" s="60">
        <v>3.5</v>
      </c>
      <c r="O18" s="60">
        <v>0</v>
      </c>
      <c r="P18" s="60">
        <v>2.46</v>
      </c>
      <c r="Q18" s="60">
        <v>40.43</v>
      </c>
      <c r="R18" s="198"/>
      <c r="S18" s="198"/>
      <c r="T18" s="198"/>
      <c r="U18" s="198"/>
    </row>
    <row r="19" spans="1:21" s="12" customFormat="1" x14ac:dyDescent="0.25">
      <c r="A19" s="201" t="s">
        <v>639</v>
      </c>
      <c r="B19" s="60">
        <v>133.38999999999999</v>
      </c>
      <c r="C19" s="60">
        <v>137.83000000000001</v>
      </c>
      <c r="D19" s="60">
        <v>181.84</v>
      </c>
      <c r="E19" s="60">
        <v>7.71</v>
      </c>
      <c r="F19" s="60">
        <v>3.44</v>
      </c>
      <c r="G19" s="60">
        <v>113.47</v>
      </c>
      <c r="H19" s="60">
        <v>51.36</v>
      </c>
      <c r="I19" s="60">
        <v>1.39</v>
      </c>
      <c r="J19" s="60">
        <v>0.16</v>
      </c>
      <c r="K19" s="60">
        <v>230.89</v>
      </c>
      <c r="L19" s="60">
        <v>16.68</v>
      </c>
      <c r="M19" s="60">
        <v>49</v>
      </c>
      <c r="N19" s="60">
        <v>3.8</v>
      </c>
      <c r="O19" s="60">
        <v>0</v>
      </c>
      <c r="P19" s="60">
        <v>2.38</v>
      </c>
      <c r="Q19" s="60">
        <v>39.68</v>
      </c>
      <c r="R19" s="198"/>
      <c r="S19" s="198"/>
      <c r="T19" s="198"/>
      <c r="U19" s="198"/>
    </row>
    <row r="20" spans="1:21" s="12" customFormat="1" x14ac:dyDescent="0.25">
      <c r="A20" s="201" t="s">
        <v>640</v>
      </c>
      <c r="B20" s="60">
        <v>124.43</v>
      </c>
      <c r="C20" s="60">
        <v>134.74</v>
      </c>
      <c r="D20" s="60">
        <v>172.95</v>
      </c>
      <c r="E20" s="60">
        <v>7.59</v>
      </c>
      <c r="F20" s="60">
        <v>3.57</v>
      </c>
      <c r="G20" s="60">
        <v>113.47</v>
      </c>
      <c r="H20" s="60">
        <v>51.36</v>
      </c>
      <c r="I20" s="60">
        <v>1.33</v>
      </c>
      <c r="J20" s="60">
        <v>0.16</v>
      </c>
      <c r="K20" s="60">
        <v>271.89999999999998</v>
      </c>
      <c r="L20" s="60">
        <v>16.760000000000002</v>
      </c>
      <c r="M20" s="60">
        <v>48</v>
      </c>
      <c r="N20" s="60">
        <v>4</v>
      </c>
      <c r="O20" s="60">
        <v>0</v>
      </c>
      <c r="P20" s="60">
        <v>2.2799999999999998</v>
      </c>
      <c r="Q20" s="60">
        <v>38.72</v>
      </c>
      <c r="R20" s="198"/>
      <c r="S20" s="198"/>
      <c r="T20" s="198"/>
      <c r="U20" s="198"/>
    </row>
    <row r="21" spans="1:21" s="12" customFormat="1" x14ac:dyDescent="0.25">
      <c r="A21" s="201" t="s">
        <v>641</v>
      </c>
      <c r="B21" s="60">
        <v>114.69</v>
      </c>
      <c r="C21" s="60">
        <v>130.37</v>
      </c>
      <c r="D21" s="60">
        <v>162.72999999999999</v>
      </c>
      <c r="E21" s="60">
        <v>7.21</v>
      </c>
      <c r="F21" s="60">
        <v>3.65</v>
      </c>
      <c r="G21" s="60">
        <v>113.47</v>
      </c>
      <c r="H21" s="60">
        <v>51.36</v>
      </c>
      <c r="I21" s="60">
        <v>1.29</v>
      </c>
      <c r="J21" s="60">
        <v>0.12</v>
      </c>
      <c r="K21" s="60">
        <v>283.56</v>
      </c>
      <c r="L21" s="60">
        <v>15.89</v>
      </c>
      <c r="M21" s="60">
        <v>54</v>
      </c>
      <c r="N21" s="60">
        <v>4.3</v>
      </c>
      <c r="O21" s="60">
        <v>0</v>
      </c>
      <c r="P21" s="60">
        <v>2.19</v>
      </c>
      <c r="Q21" s="60">
        <v>37.659999999999997</v>
      </c>
      <c r="R21" s="198"/>
      <c r="S21" s="198"/>
      <c r="T21" s="198"/>
      <c r="U21" s="198"/>
    </row>
    <row r="22" spans="1:21" s="12" customFormat="1" x14ac:dyDescent="0.25">
      <c r="A22" s="201" t="s">
        <v>642</v>
      </c>
      <c r="B22" s="60">
        <v>107.23</v>
      </c>
      <c r="C22" s="60">
        <v>127.14</v>
      </c>
      <c r="D22" s="60">
        <v>154.97</v>
      </c>
      <c r="E22" s="60">
        <v>7.07</v>
      </c>
      <c r="F22" s="60">
        <v>3.86</v>
      </c>
      <c r="G22" s="60">
        <v>112.62</v>
      </c>
      <c r="H22" s="60">
        <v>53.64</v>
      </c>
      <c r="I22" s="60">
        <v>1.24</v>
      </c>
      <c r="J22" s="60">
        <v>0.14000000000000001</v>
      </c>
      <c r="K22" s="60">
        <v>308.19</v>
      </c>
      <c r="L22" s="60">
        <v>15.67</v>
      </c>
      <c r="M22" s="60">
        <v>56</v>
      </c>
      <c r="N22" s="60">
        <v>4.2</v>
      </c>
      <c r="O22" s="60">
        <v>0</v>
      </c>
      <c r="P22" s="60">
        <v>2.12</v>
      </c>
      <c r="Q22" s="60">
        <v>35.950000000000003</v>
      </c>
      <c r="R22" s="198"/>
      <c r="S22" s="198"/>
      <c r="T22" s="198"/>
      <c r="U22" s="198"/>
    </row>
    <row r="23" spans="1:21" s="12" customFormat="1" x14ac:dyDescent="0.25">
      <c r="A23" s="201" t="s">
        <v>643</v>
      </c>
      <c r="B23" s="60">
        <v>103.61</v>
      </c>
      <c r="C23" s="60">
        <v>126.15</v>
      </c>
      <c r="D23" s="60">
        <v>151.51</v>
      </c>
      <c r="E23" s="60">
        <v>7.31</v>
      </c>
      <c r="F23" s="60">
        <v>3.59</v>
      </c>
      <c r="G23" s="60">
        <v>111.93</v>
      </c>
      <c r="H23" s="60">
        <v>55.47</v>
      </c>
      <c r="I23" s="60">
        <v>1.19</v>
      </c>
      <c r="J23" s="60">
        <v>0.17</v>
      </c>
      <c r="K23" s="60">
        <v>327.24</v>
      </c>
      <c r="L23" s="60">
        <v>14.79</v>
      </c>
      <c r="M23" s="60">
        <v>63</v>
      </c>
      <c r="N23" s="60">
        <v>4.5999999999999996</v>
      </c>
      <c r="O23" s="60">
        <v>0</v>
      </c>
      <c r="P23" s="60">
        <v>2.0499999999999998</v>
      </c>
      <c r="Q23" s="60">
        <v>34.89</v>
      </c>
      <c r="R23" s="198"/>
      <c r="S23" s="198"/>
      <c r="T23" s="198"/>
      <c r="U23" s="198"/>
    </row>
    <row r="24" spans="1:21" s="12" customFormat="1" x14ac:dyDescent="0.25">
      <c r="A24" s="201" t="s">
        <v>644</v>
      </c>
      <c r="B24" s="60">
        <v>100.11</v>
      </c>
      <c r="C24" s="60">
        <v>123.97</v>
      </c>
      <c r="D24" s="60">
        <v>147.51</v>
      </c>
      <c r="E24" s="60">
        <v>4.33</v>
      </c>
      <c r="F24" s="60">
        <v>3.45</v>
      </c>
      <c r="G24" s="60">
        <v>111.93</v>
      </c>
      <c r="H24" s="60">
        <v>55.47</v>
      </c>
      <c r="I24" s="60">
        <v>1.1599999999999999</v>
      </c>
      <c r="J24" s="60">
        <v>0.13</v>
      </c>
      <c r="K24" s="60">
        <v>326.83</v>
      </c>
      <c r="L24" s="60">
        <v>14.57</v>
      </c>
      <c r="M24" s="60">
        <v>62</v>
      </c>
      <c r="N24" s="60">
        <v>4.4000000000000004</v>
      </c>
      <c r="O24" s="60">
        <v>0</v>
      </c>
      <c r="P24" s="60">
        <v>2</v>
      </c>
      <c r="Q24" s="60">
        <v>34.36</v>
      </c>
      <c r="R24" s="198"/>
      <c r="S24" s="198"/>
      <c r="T24" s="198"/>
      <c r="U24" s="198"/>
    </row>
    <row r="25" spans="1:21" s="12" customFormat="1" x14ac:dyDescent="0.25">
      <c r="A25" s="201" t="s">
        <v>645</v>
      </c>
      <c r="B25" s="60">
        <v>96.55</v>
      </c>
      <c r="C25" s="60">
        <v>121.64</v>
      </c>
      <c r="D25" s="60">
        <v>143.37</v>
      </c>
      <c r="E25" s="60">
        <v>6.58</v>
      </c>
      <c r="F25" s="60">
        <v>3.52</v>
      </c>
      <c r="G25" s="60">
        <v>111.93</v>
      </c>
      <c r="H25" s="60">
        <v>55.47</v>
      </c>
      <c r="I25" s="60">
        <v>1.1299999999999999</v>
      </c>
      <c r="J25" s="60">
        <v>0.16</v>
      </c>
      <c r="K25" s="60">
        <v>315.61</v>
      </c>
      <c r="L25" s="60">
        <v>14.51</v>
      </c>
      <c r="M25" s="60">
        <v>61</v>
      </c>
      <c r="N25" s="60">
        <v>4.0999999999999996</v>
      </c>
      <c r="O25" s="60">
        <v>0</v>
      </c>
      <c r="P25" s="60">
        <v>1.95</v>
      </c>
      <c r="Q25" s="60">
        <v>33.92</v>
      </c>
      <c r="R25" s="198"/>
      <c r="S25" s="198"/>
      <c r="T25" s="198"/>
      <c r="U25" s="198"/>
    </row>
    <row r="26" spans="1:21" s="12" customFormat="1" x14ac:dyDescent="0.25">
      <c r="A26" s="201" t="s">
        <v>646</v>
      </c>
      <c r="B26" s="60">
        <v>93.66</v>
      </c>
      <c r="C26" s="60">
        <v>119.22</v>
      </c>
      <c r="D26" s="60">
        <v>139.71</v>
      </c>
      <c r="E26" s="60">
        <v>6.36</v>
      </c>
      <c r="F26" s="60">
        <v>3.55</v>
      </c>
      <c r="G26" s="60">
        <v>111.54</v>
      </c>
      <c r="H26" s="60">
        <v>55.29</v>
      </c>
      <c r="I26" s="60">
        <v>1.1200000000000001</v>
      </c>
      <c r="J26" s="60">
        <v>0.04</v>
      </c>
      <c r="K26" s="60">
        <v>249.81</v>
      </c>
      <c r="L26" s="60">
        <v>14.38</v>
      </c>
      <c r="M26" s="60">
        <v>64</v>
      </c>
      <c r="N26" s="60">
        <v>3.6</v>
      </c>
      <c r="O26" s="60">
        <v>0</v>
      </c>
      <c r="P26" s="60">
        <v>1.89</v>
      </c>
      <c r="Q26" s="60">
        <v>33.32</v>
      </c>
      <c r="R26" s="198"/>
      <c r="S26" s="198"/>
      <c r="T26" s="198"/>
      <c r="U26" s="198"/>
    </row>
    <row r="27" spans="1:21" s="12" customFormat="1" x14ac:dyDescent="0.25">
      <c r="A27" s="201" t="s">
        <v>647</v>
      </c>
      <c r="B27" s="60">
        <v>93.31</v>
      </c>
      <c r="C27" s="60">
        <v>118.3</v>
      </c>
      <c r="D27" s="60">
        <v>138.91999999999999</v>
      </c>
      <c r="E27" s="60">
        <v>6.57</v>
      </c>
      <c r="F27" s="60">
        <v>3.44</v>
      </c>
      <c r="G27" s="60">
        <v>111.22</v>
      </c>
      <c r="H27" s="60">
        <v>55.15</v>
      </c>
      <c r="I27" s="60">
        <v>1.03</v>
      </c>
      <c r="J27" s="60">
        <v>0.19</v>
      </c>
      <c r="K27" s="60">
        <v>291.93</v>
      </c>
      <c r="L27" s="60">
        <v>14.3</v>
      </c>
      <c r="M27" s="60">
        <v>63</v>
      </c>
      <c r="N27" s="60">
        <v>4.3</v>
      </c>
      <c r="O27" s="60">
        <v>0</v>
      </c>
      <c r="P27" s="60">
        <v>1.87</v>
      </c>
      <c r="Q27" s="60">
        <v>33.01</v>
      </c>
      <c r="R27" s="198"/>
      <c r="S27" s="198"/>
      <c r="T27" s="198"/>
      <c r="U27" s="198"/>
    </row>
    <row r="28" spans="1:21" s="12" customFormat="1" x14ac:dyDescent="0.25">
      <c r="A28" s="201" t="s">
        <v>648</v>
      </c>
      <c r="B28" s="60">
        <v>92.56</v>
      </c>
      <c r="C28" s="60">
        <v>115.95</v>
      </c>
      <c r="D28" s="60">
        <v>137.03</v>
      </c>
      <c r="E28" s="60">
        <v>6.53</v>
      </c>
      <c r="F28" s="60">
        <v>3.45</v>
      </c>
      <c r="G28" s="60">
        <v>111.22</v>
      </c>
      <c r="H28" s="60">
        <v>55.15</v>
      </c>
      <c r="I28" s="60">
        <v>1.04</v>
      </c>
      <c r="J28" s="60">
        <v>0.12</v>
      </c>
      <c r="K28" s="60">
        <v>346.12</v>
      </c>
      <c r="L28" s="60">
        <v>14.04</v>
      </c>
      <c r="M28" s="60">
        <v>65</v>
      </c>
      <c r="N28" s="60">
        <v>4.2</v>
      </c>
      <c r="O28" s="60">
        <v>0</v>
      </c>
      <c r="P28" s="60">
        <v>1.84</v>
      </c>
      <c r="Q28" s="60">
        <v>32.950000000000003</v>
      </c>
      <c r="R28" s="198"/>
      <c r="S28" s="198"/>
      <c r="T28" s="198"/>
      <c r="U28" s="198"/>
    </row>
    <row r="29" spans="1:21" s="12" customFormat="1" x14ac:dyDescent="0.25">
      <c r="A29" s="201" t="s">
        <v>649</v>
      </c>
      <c r="B29" s="60">
        <v>90.65</v>
      </c>
      <c r="C29" s="60">
        <v>114.1</v>
      </c>
      <c r="D29" s="60">
        <v>134.47999999999999</v>
      </c>
      <c r="E29" s="60">
        <v>6.2</v>
      </c>
      <c r="F29" s="60">
        <v>3.6</v>
      </c>
      <c r="G29" s="60">
        <v>111.22</v>
      </c>
      <c r="H29" s="60">
        <v>55.15</v>
      </c>
      <c r="I29" s="60">
        <v>1</v>
      </c>
      <c r="J29" s="60">
        <v>0.21</v>
      </c>
      <c r="K29" s="60">
        <v>247.23</v>
      </c>
      <c r="L29" s="60">
        <v>14.18</v>
      </c>
      <c r="M29" s="60">
        <v>65</v>
      </c>
      <c r="N29" s="60">
        <v>3.8</v>
      </c>
      <c r="O29" s="60">
        <v>0</v>
      </c>
      <c r="P29" s="60">
        <v>1.82</v>
      </c>
      <c r="Q29" s="60">
        <v>33.31</v>
      </c>
      <c r="R29" s="198"/>
      <c r="S29" s="198"/>
      <c r="T29" s="198"/>
      <c r="U29" s="198"/>
    </row>
    <row r="30" spans="1:21" s="12" customFormat="1" x14ac:dyDescent="0.25">
      <c r="A30" s="201" t="s">
        <v>650</v>
      </c>
      <c r="B30" s="60">
        <v>88.65</v>
      </c>
      <c r="C30" s="60">
        <v>112.73</v>
      </c>
      <c r="D30" s="60">
        <v>132.11000000000001</v>
      </c>
      <c r="E30" s="60">
        <v>6.75</v>
      </c>
      <c r="F30" s="60">
        <v>4.04</v>
      </c>
      <c r="G30" s="60">
        <v>114.35</v>
      </c>
      <c r="H30" s="60">
        <v>51.81</v>
      </c>
      <c r="I30" s="60">
        <v>0.95</v>
      </c>
      <c r="J30" s="60">
        <v>0.2</v>
      </c>
      <c r="K30" s="60">
        <v>276.97000000000003</v>
      </c>
      <c r="L30" s="60">
        <v>13.98</v>
      </c>
      <c r="M30" s="60">
        <v>67</v>
      </c>
      <c r="N30" s="60">
        <v>4</v>
      </c>
      <c r="O30" s="60">
        <v>0</v>
      </c>
      <c r="P30" s="60">
        <v>1.77</v>
      </c>
      <c r="Q30" s="60">
        <v>33.840000000000003</v>
      </c>
      <c r="R30" s="198"/>
      <c r="S30" s="198"/>
      <c r="T30" s="198"/>
      <c r="U30" s="198"/>
    </row>
    <row r="31" spans="1:21" s="12" customFormat="1" x14ac:dyDescent="0.25">
      <c r="A31" s="201" t="s">
        <v>651</v>
      </c>
      <c r="B31" s="60">
        <v>86.85</v>
      </c>
      <c r="C31" s="60">
        <v>111.39</v>
      </c>
      <c r="D31" s="60">
        <v>129.93</v>
      </c>
      <c r="E31" s="60">
        <v>6.51</v>
      </c>
      <c r="F31" s="60">
        <v>3.77</v>
      </c>
      <c r="G31" s="60">
        <v>116.85</v>
      </c>
      <c r="H31" s="60">
        <v>49.13</v>
      </c>
      <c r="I31" s="60">
        <v>0.93</v>
      </c>
      <c r="J31" s="60">
        <v>0.17</v>
      </c>
      <c r="K31" s="60">
        <v>243.32</v>
      </c>
      <c r="L31" s="60">
        <v>14.09</v>
      </c>
      <c r="M31" s="60">
        <v>67</v>
      </c>
      <c r="N31" s="60">
        <v>3.7</v>
      </c>
      <c r="O31" s="60">
        <v>0</v>
      </c>
      <c r="P31" s="60">
        <v>1.75</v>
      </c>
      <c r="Q31" s="60">
        <v>33.85</v>
      </c>
      <c r="R31" s="198"/>
      <c r="S31" s="198"/>
      <c r="T31" s="198"/>
      <c r="U31" s="198"/>
    </row>
    <row r="32" spans="1:21" s="12" customFormat="1" x14ac:dyDescent="0.25">
      <c r="A32" s="201" t="s">
        <v>652</v>
      </c>
      <c r="B32" s="60">
        <v>86.08</v>
      </c>
      <c r="C32" s="60">
        <v>110.5</v>
      </c>
      <c r="D32" s="60">
        <v>128.83000000000001</v>
      </c>
      <c r="E32" s="60">
        <v>6.48</v>
      </c>
      <c r="F32" s="60">
        <v>3.52</v>
      </c>
      <c r="G32" s="60">
        <v>116.85</v>
      </c>
      <c r="H32" s="60">
        <v>49.13</v>
      </c>
      <c r="I32" s="60">
        <v>0.91</v>
      </c>
      <c r="J32" s="60">
        <v>0.16</v>
      </c>
      <c r="K32" s="60">
        <v>271.06</v>
      </c>
      <c r="L32" s="60">
        <v>13.87</v>
      </c>
      <c r="M32" s="60">
        <v>70</v>
      </c>
      <c r="N32" s="60">
        <v>4</v>
      </c>
      <c r="O32" s="60">
        <v>0</v>
      </c>
      <c r="P32" s="60">
        <v>1.7</v>
      </c>
      <c r="Q32" s="60">
        <v>33.67</v>
      </c>
      <c r="R32" s="198"/>
      <c r="S32" s="198"/>
      <c r="T32" s="198"/>
      <c r="U32" s="198"/>
    </row>
    <row r="33" spans="1:21" s="12" customFormat="1" x14ac:dyDescent="0.25">
      <c r="A33" s="201" t="s">
        <v>653</v>
      </c>
      <c r="B33" s="60">
        <v>84.62</v>
      </c>
      <c r="C33" s="60">
        <v>109.5</v>
      </c>
      <c r="D33" s="60">
        <v>127.1</v>
      </c>
      <c r="E33" s="60">
        <v>6.4</v>
      </c>
      <c r="F33" s="60">
        <v>2.71</v>
      </c>
      <c r="G33" s="60">
        <v>116.85</v>
      </c>
      <c r="H33" s="60">
        <v>49.13</v>
      </c>
      <c r="I33" s="60">
        <v>0.89</v>
      </c>
      <c r="J33" s="60">
        <v>0.24</v>
      </c>
      <c r="K33" s="60">
        <v>266.67</v>
      </c>
      <c r="L33" s="60">
        <v>13.81</v>
      </c>
      <c r="M33" s="60">
        <v>74</v>
      </c>
      <c r="N33" s="60">
        <v>3.9</v>
      </c>
      <c r="O33" s="60">
        <v>0</v>
      </c>
      <c r="P33" s="60">
        <v>1.67</v>
      </c>
      <c r="Q33" s="60">
        <v>33.42</v>
      </c>
      <c r="R33" s="198"/>
      <c r="S33" s="198"/>
      <c r="T33" s="198"/>
      <c r="U33" s="198"/>
    </row>
    <row r="34" spans="1:21" s="12" customFormat="1" x14ac:dyDescent="0.25">
      <c r="A34" s="201" t="s">
        <v>654</v>
      </c>
      <c r="B34" s="60">
        <v>82.9</v>
      </c>
      <c r="C34" s="60">
        <v>108.41</v>
      </c>
      <c r="D34" s="60">
        <v>125.11</v>
      </c>
      <c r="E34" s="60">
        <v>6.46</v>
      </c>
      <c r="F34" s="60">
        <v>3.64</v>
      </c>
      <c r="G34" s="60">
        <v>104.79</v>
      </c>
      <c r="H34" s="60">
        <v>49.01</v>
      </c>
      <c r="I34" s="60">
        <v>0.93</v>
      </c>
      <c r="J34" s="60">
        <v>0.13</v>
      </c>
      <c r="K34" s="60">
        <v>314.14999999999998</v>
      </c>
      <c r="L34" s="60">
        <v>13.39</v>
      </c>
      <c r="M34" s="60">
        <v>77</v>
      </c>
      <c r="N34" s="60">
        <v>5.3</v>
      </c>
      <c r="O34" s="60">
        <v>0</v>
      </c>
      <c r="P34" s="60">
        <v>1.64</v>
      </c>
      <c r="Q34" s="60">
        <v>32.92</v>
      </c>
      <c r="R34" s="198"/>
      <c r="S34" s="198"/>
      <c r="T34" s="198"/>
      <c r="U34" s="198"/>
    </row>
    <row r="35" spans="1:21" s="12" customFormat="1" x14ac:dyDescent="0.25">
      <c r="A35" s="201" t="s">
        <v>655</v>
      </c>
      <c r="B35" s="60">
        <v>85.01</v>
      </c>
      <c r="C35" s="60">
        <v>109.26</v>
      </c>
      <c r="D35" s="60">
        <v>127.28</v>
      </c>
      <c r="E35" s="60">
        <v>6.41</v>
      </c>
      <c r="F35" s="60">
        <v>3.55</v>
      </c>
      <c r="G35" s="60">
        <v>95.14</v>
      </c>
      <c r="H35" s="60">
        <v>48.9</v>
      </c>
      <c r="I35" s="210" t="s">
        <v>36</v>
      </c>
      <c r="J35" s="60">
        <v>0.15</v>
      </c>
      <c r="K35" s="60">
        <v>277.01</v>
      </c>
      <c r="L35" s="60">
        <v>13.18</v>
      </c>
      <c r="M35" s="60">
        <v>76</v>
      </c>
      <c r="N35" s="60">
        <v>9.6999999999999993</v>
      </c>
      <c r="O35" s="60">
        <v>0</v>
      </c>
      <c r="P35" s="60">
        <v>1.64</v>
      </c>
      <c r="Q35" s="60">
        <v>32.799999999999997</v>
      </c>
      <c r="R35" s="198"/>
      <c r="S35" s="198"/>
      <c r="T35" s="198"/>
      <c r="U35" s="198"/>
    </row>
    <row r="36" spans="1:21" s="12" customFormat="1" x14ac:dyDescent="0.25">
      <c r="A36" s="201" t="s">
        <v>656</v>
      </c>
      <c r="B36" s="60">
        <v>90.27</v>
      </c>
      <c r="C36" s="60">
        <v>111.63</v>
      </c>
      <c r="D36" s="60">
        <v>132.81</v>
      </c>
      <c r="E36" s="60">
        <v>6.4</v>
      </c>
      <c r="F36" s="60">
        <v>3.47</v>
      </c>
      <c r="G36" s="60">
        <v>95.14</v>
      </c>
      <c r="H36" s="60">
        <v>48.9</v>
      </c>
      <c r="I36" s="210" t="s">
        <v>36</v>
      </c>
      <c r="J36" s="60">
        <v>0.11</v>
      </c>
      <c r="K36" s="60">
        <v>325.07</v>
      </c>
      <c r="L36" s="60">
        <v>13.27</v>
      </c>
      <c r="M36" s="60">
        <v>78</v>
      </c>
      <c r="N36" s="60">
        <v>19.5</v>
      </c>
      <c r="O36" s="60">
        <v>0</v>
      </c>
      <c r="P36" s="60">
        <v>1.64</v>
      </c>
      <c r="Q36" s="60">
        <v>32.479999999999997</v>
      </c>
      <c r="R36" s="198"/>
      <c r="S36" s="198"/>
      <c r="T36" s="198"/>
      <c r="U36" s="198"/>
    </row>
    <row r="37" spans="1:21" s="12" customFormat="1" x14ac:dyDescent="0.25">
      <c r="A37" s="201" t="s">
        <v>657</v>
      </c>
      <c r="B37" s="60">
        <v>98.64</v>
      </c>
      <c r="C37" s="60">
        <v>115.33</v>
      </c>
      <c r="D37" s="60">
        <v>141.56</v>
      </c>
      <c r="E37" s="60">
        <v>6.12</v>
      </c>
      <c r="F37" s="60">
        <v>3.39</v>
      </c>
      <c r="G37" s="60">
        <v>95.14</v>
      </c>
      <c r="H37" s="60">
        <v>48.9</v>
      </c>
      <c r="I37" s="210" t="s">
        <v>36</v>
      </c>
      <c r="J37" s="60">
        <v>0.14000000000000001</v>
      </c>
      <c r="K37" s="60">
        <v>325.64</v>
      </c>
      <c r="L37" s="60">
        <v>13.52</v>
      </c>
      <c r="M37" s="60">
        <v>79</v>
      </c>
      <c r="N37" s="60">
        <v>29.2</v>
      </c>
      <c r="O37" s="60">
        <v>0</v>
      </c>
      <c r="P37" s="60">
        <v>1.62</v>
      </c>
      <c r="Q37" s="60">
        <v>32.69</v>
      </c>
      <c r="R37" s="198"/>
      <c r="S37" s="198"/>
      <c r="T37" s="198"/>
      <c r="U37" s="198"/>
    </row>
    <row r="38" spans="1:21" s="12" customFormat="1" x14ac:dyDescent="0.25">
      <c r="A38" s="201" t="s">
        <v>658</v>
      </c>
      <c r="B38" s="60">
        <v>107.35</v>
      </c>
      <c r="C38" s="60">
        <v>119.14</v>
      </c>
      <c r="D38" s="60">
        <v>150.65</v>
      </c>
      <c r="E38" s="60">
        <v>6.43</v>
      </c>
      <c r="F38" s="60">
        <v>3.5</v>
      </c>
      <c r="G38" s="60">
        <v>119.52</v>
      </c>
      <c r="H38" s="60">
        <v>50.54</v>
      </c>
      <c r="I38" s="210" t="s">
        <v>36</v>
      </c>
      <c r="J38" s="60">
        <v>0.18</v>
      </c>
      <c r="K38" s="60">
        <v>257.58999999999997</v>
      </c>
      <c r="L38" s="60">
        <v>14.46</v>
      </c>
      <c r="M38" s="60">
        <v>76</v>
      </c>
      <c r="N38" s="60">
        <v>42.2</v>
      </c>
      <c r="O38" s="60">
        <v>0</v>
      </c>
      <c r="P38" s="60">
        <v>1.72</v>
      </c>
      <c r="Q38" s="60">
        <v>33.08</v>
      </c>
      <c r="R38" s="198"/>
      <c r="S38" s="198"/>
      <c r="T38" s="198"/>
      <c r="U38" s="198"/>
    </row>
    <row r="39" spans="1:21" s="12" customFormat="1" x14ac:dyDescent="0.25">
      <c r="A39" s="201" t="s">
        <v>659</v>
      </c>
      <c r="B39" s="60">
        <v>109.39</v>
      </c>
      <c r="C39" s="60">
        <v>120.51</v>
      </c>
      <c r="D39" s="60">
        <v>153.04</v>
      </c>
      <c r="E39" s="60">
        <v>6.62</v>
      </c>
      <c r="F39" s="60">
        <v>4.0199999999999996</v>
      </c>
      <c r="G39" s="60">
        <v>139.01</v>
      </c>
      <c r="H39" s="60">
        <v>51.85</v>
      </c>
      <c r="I39" s="210" t="s">
        <v>36</v>
      </c>
      <c r="J39" s="60">
        <v>0.49</v>
      </c>
      <c r="K39" s="60">
        <v>207.01</v>
      </c>
      <c r="L39" s="60">
        <v>16.09</v>
      </c>
      <c r="M39" s="60">
        <v>69</v>
      </c>
      <c r="N39" s="60">
        <v>140.9</v>
      </c>
      <c r="O39" s="60">
        <v>0</v>
      </c>
      <c r="P39" s="60">
        <v>1.77</v>
      </c>
      <c r="Q39" s="60">
        <v>33.54</v>
      </c>
      <c r="R39" s="198"/>
      <c r="S39" s="198"/>
      <c r="T39" s="198"/>
      <c r="U39" s="198"/>
    </row>
    <row r="40" spans="1:21" s="12" customFormat="1" x14ac:dyDescent="0.25">
      <c r="A40" s="201" t="s">
        <v>660</v>
      </c>
      <c r="B40" s="60">
        <v>105.84</v>
      </c>
      <c r="C40" s="60">
        <v>119.43</v>
      </c>
      <c r="D40" s="60">
        <v>149.6</v>
      </c>
      <c r="E40" s="60">
        <v>5.22</v>
      </c>
      <c r="F40" s="60">
        <v>3.66</v>
      </c>
      <c r="G40" s="60">
        <v>139.01</v>
      </c>
      <c r="H40" s="60">
        <v>51.85</v>
      </c>
      <c r="I40" s="210" t="s">
        <v>36</v>
      </c>
      <c r="J40" s="60">
        <v>0.44</v>
      </c>
      <c r="K40" s="60">
        <v>207.77</v>
      </c>
      <c r="L40" s="60">
        <v>17.59</v>
      </c>
      <c r="M40" s="60">
        <v>63</v>
      </c>
      <c r="N40" s="60">
        <v>223.8</v>
      </c>
      <c r="O40" s="60">
        <v>0</v>
      </c>
      <c r="P40" s="60">
        <v>1.76</v>
      </c>
      <c r="Q40" s="60">
        <v>33.6</v>
      </c>
      <c r="R40" s="198"/>
      <c r="S40" s="198"/>
      <c r="T40" s="198"/>
      <c r="U40" s="198"/>
    </row>
    <row r="41" spans="1:21" s="12" customFormat="1" x14ac:dyDescent="0.25">
      <c r="A41" s="201" t="s">
        <v>661</v>
      </c>
      <c r="B41" s="60">
        <v>100.57</v>
      </c>
      <c r="C41" s="60">
        <v>118.05</v>
      </c>
      <c r="D41" s="60">
        <v>144.61000000000001</v>
      </c>
      <c r="E41" s="60">
        <v>7.15</v>
      </c>
      <c r="F41" s="60">
        <v>3.49</v>
      </c>
      <c r="G41" s="60">
        <v>139.01</v>
      </c>
      <c r="H41" s="60">
        <v>51.85</v>
      </c>
      <c r="I41" s="210" t="s">
        <v>36</v>
      </c>
      <c r="J41" s="60">
        <v>0.06</v>
      </c>
      <c r="K41" s="60">
        <v>172.41</v>
      </c>
      <c r="L41" s="60">
        <v>20.2</v>
      </c>
      <c r="M41" s="60">
        <v>55</v>
      </c>
      <c r="N41" s="60">
        <v>265.10000000000002</v>
      </c>
      <c r="O41" s="60">
        <v>0</v>
      </c>
      <c r="P41" s="60">
        <v>1.75</v>
      </c>
      <c r="Q41" s="60">
        <v>33.369999999999997</v>
      </c>
      <c r="R41" s="198"/>
      <c r="S41" s="198"/>
      <c r="T41" s="198"/>
      <c r="U41" s="198"/>
    </row>
    <row r="42" spans="1:21" s="12" customFormat="1" x14ac:dyDescent="0.25">
      <c r="A42" s="201" t="s">
        <v>662</v>
      </c>
      <c r="B42" s="60">
        <v>97.03</v>
      </c>
      <c r="C42" s="60">
        <v>118.72</v>
      </c>
      <c r="D42" s="60">
        <v>142.13999999999999</v>
      </c>
      <c r="E42" s="60">
        <v>7.2</v>
      </c>
      <c r="F42" s="60">
        <v>3.48</v>
      </c>
      <c r="G42" s="60">
        <v>132.11000000000001</v>
      </c>
      <c r="H42" s="60">
        <v>54.9</v>
      </c>
      <c r="I42" s="210" t="s">
        <v>36</v>
      </c>
      <c r="J42" s="60">
        <v>0.73</v>
      </c>
      <c r="K42" s="60">
        <v>169.82</v>
      </c>
      <c r="L42" s="60">
        <v>21.35</v>
      </c>
      <c r="M42" s="60">
        <v>51</v>
      </c>
      <c r="N42" s="60">
        <v>304.2</v>
      </c>
      <c r="O42" s="60">
        <v>0</v>
      </c>
      <c r="P42" s="60">
        <v>1.76</v>
      </c>
      <c r="Q42" s="60">
        <v>33.07</v>
      </c>
      <c r="R42" s="198"/>
      <c r="S42" s="198"/>
      <c r="T42" s="198"/>
      <c r="U42" s="198"/>
    </row>
    <row r="43" spans="1:21" s="12" customFormat="1" x14ac:dyDescent="0.25">
      <c r="A43" s="201" t="s">
        <v>663</v>
      </c>
      <c r="B43" s="60">
        <v>92.62</v>
      </c>
      <c r="C43" s="60">
        <v>119.29</v>
      </c>
      <c r="D43" s="60">
        <v>138.91999999999999</v>
      </c>
      <c r="E43" s="60">
        <v>6.85</v>
      </c>
      <c r="F43" s="60">
        <v>3.49</v>
      </c>
      <c r="G43" s="60">
        <v>126.59</v>
      </c>
      <c r="H43" s="60">
        <v>57.34</v>
      </c>
      <c r="I43" s="210" t="s">
        <v>36</v>
      </c>
      <c r="J43" s="60">
        <v>0.97</v>
      </c>
      <c r="K43" s="60">
        <v>170.07</v>
      </c>
      <c r="L43" s="60">
        <v>20.54</v>
      </c>
      <c r="M43" s="60">
        <v>53</v>
      </c>
      <c r="N43" s="60">
        <v>343.9</v>
      </c>
      <c r="O43" s="60">
        <v>0</v>
      </c>
      <c r="P43" s="60">
        <v>1.75</v>
      </c>
      <c r="Q43" s="60">
        <v>33.19</v>
      </c>
      <c r="R43" s="198"/>
      <c r="S43" s="198"/>
      <c r="T43" s="198"/>
      <c r="U43" s="198"/>
    </row>
    <row r="44" spans="1:21" s="12" customFormat="1" x14ac:dyDescent="0.25">
      <c r="A44" s="201" t="s">
        <v>664</v>
      </c>
      <c r="B44" s="60">
        <v>86.19</v>
      </c>
      <c r="C44" s="60">
        <v>119.18</v>
      </c>
      <c r="D44" s="60">
        <v>133.69999999999999</v>
      </c>
      <c r="E44" s="60">
        <v>6.75</v>
      </c>
      <c r="F44" s="60">
        <v>3.54</v>
      </c>
      <c r="G44" s="60">
        <v>126.59</v>
      </c>
      <c r="H44" s="60">
        <v>57.34</v>
      </c>
      <c r="I44" s="210" t="s">
        <v>36</v>
      </c>
      <c r="J44" s="60">
        <v>0.69</v>
      </c>
      <c r="K44" s="60">
        <v>169.57</v>
      </c>
      <c r="L44" s="60">
        <v>21.7</v>
      </c>
      <c r="M44" s="60">
        <v>48</v>
      </c>
      <c r="N44" s="60">
        <v>376.3</v>
      </c>
      <c r="O44" s="60">
        <v>0</v>
      </c>
      <c r="P44" s="60">
        <v>1.71</v>
      </c>
      <c r="Q44" s="60">
        <v>34.090000000000003</v>
      </c>
      <c r="R44" s="198"/>
      <c r="S44" s="198"/>
      <c r="T44" s="198"/>
      <c r="U44" s="198"/>
    </row>
    <row r="45" spans="1:21" s="12" customFormat="1" x14ac:dyDescent="0.25">
      <c r="A45" s="201" t="s">
        <v>665</v>
      </c>
      <c r="B45" s="60">
        <v>78.41</v>
      </c>
      <c r="C45" s="60">
        <v>119.67</v>
      </c>
      <c r="D45" s="60">
        <v>127.73</v>
      </c>
      <c r="E45" s="60">
        <v>6.59</v>
      </c>
      <c r="F45" s="60">
        <v>3.54</v>
      </c>
      <c r="G45" s="60">
        <v>126.59</v>
      </c>
      <c r="H45" s="60">
        <v>57.34</v>
      </c>
      <c r="I45" s="210" t="s">
        <v>36</v>
      </c>
      <c r="J45" s="60">
        <v>0.6</v>
      </c>
      <c r="K45" s="60">
        <v>167.5</v>
      </c>
      <c r="L45" s="60">
        <v>22.66</v>
      </c>
      <c r="M45" s="60">
        <v>45</v>
      </c>
      <c r="N45" s="60">
        <v>416.1</v>
      </c>
      <c r="O45" s="60">
        <v>0</v>
      </c>
      <c r="P45" s="60">
        <v>1.69</v>
      </c>
      <c r="Q45" s="60">
        <v>34.08</v>
      </c>
      <c r="R45" s="198"/>
      <c r="S45" s="198"/>
      <c r="T45" s="198"/>
      <c r="U45" s="198"/>
    </row>
    <row r="46" spans="1:21" s="12" customFormat="1" x14ac:dyDescent="0.25">
      <c r="A46" s="201" t="s">
        <v>666</v>
      </c>
      <c r="B46" s="60">
        <v>70.739999999999995</v>
      </c>
      <c r="C46" s="60">
        <v>121.12</v>
      </c>
      <c r="D46" s="60">
        <v>122.38</v>
      </c>
      <c r="E46" s="60">
        <v>6.71</v>
      </c>
      <c r="F46" s="60">
        <v>3.52</v>
      </c>
      <c r="G46" s="60">
        <v>113.22</v>
      </c>
      <c r="H46" s="60">
        <v>56.22</v>
      </c>
      <c r="I46" s="210" t="s">
        <v>36</v>
      </c>
      <c r="J46" s="60">
        <v>0.02</v>
      </c>
      <c r="K46" s="60">
        <v>170.14</v>
      </c>
      <c r="L46" s="60">
        <v>24.72</v>
      </c>
      <c r="M46" s="60">
        <v>40</v>
      </c>
      <c r="N46" s="60">
        <v>451.2</v>
      </c>
      <c r="O46" s="60">
        <v>0</v>
      </c>
      <c r="P46" s="60">
        <v>1.67</v>
      </c>
      <c r="Q46" s="60">
        <v>33.58</v>
      </c>
      <c r="R46" s="198"/>
      <c r="S46" s="198"/>
      <c r="T46" s="198"/>
      <c r="U46" s="198"/>
    </row>
    <row r="47" spans="1:21" s="12" customFormat="1" x14ac:dyDescent="0.25">
      <c r="A47" s="201" t="s">
        <v>667</v>
      </c>
      <c r="B47" s="60">
        <v>63.12</v>
      </c>
      <c r="C47" s="60">
        <v>123.65</v>
      </c>
      <c r="D47" s="60">
        <v>117.66</v>
      </c>
      <c r="E47" s="60">
        <v>6.92</v>
      </c>
      <c r="F47" s="60">
        <v>3.69</v>
      </c>
      <c r="G47" s="60">
        <v>102.52</v>
      </c>
      <c r="H47" s="60">
        <v>55.33</v>
      </c>
      <c r="I47" s="210" t="s">
        <v>36</v>
      </c>
      <c r="J47" s="60">
        <v>0.37</v>
      </c>
      <c r="K47" s="60">
        <v>37.130000000000003</v>
      </c>
      <c r="L47" s="60">
        <v>26.66</v>
      </c>
      <c r="M47" s="60">
        <v>29</v>
      </c>
      <c r="N47" s="60">
        <v>479.4</v>
      </c>
      <c r="O47" s="60">
        <v>0</v>
      </c>
      <c r="P47" s="60">
        <v>1.64</v>
      </c>
      <c r="Q47" s="60">
        <v>33.119999999999997</v>
      </c>
      <c r="R47" s="198"/>
      <c r="S47" s="198"/>
      <c r="T47" s="198"/>
      <c r="U47" s="198"/>
    </row>
    <row r="48" spans="1:21" s="12" customFormat="1" x14ac:dyDescent="0.25">
      <c r="A48" s="201" t="s">
        <v>668</v>
      </c>
      <c r="B48" s="60">
        <v>56.76</v>
      </c>
      <c r="C48" s="60">
        <v>126.1</v>
      </c>
      <c r="D48" s="60">
        <v>113.92</v>
      </c>
      <c r="E48" s="60">
        <v>6.61</v>
      </c>
      <c r="F48" s="60">
        <v>3.7</v>
      </c>
      <c r="G48" s="60">
        <v>102.52</v>
      </c>
      <c r="H48" s="60">
        <v>55.33</v>
      </c>
      <c r="I48" s="210" t="s">
        <v>36</v>
      </c>
      <c r="J48" s="60">
        <v>0.52</v>
      </c>
      <c r="K48" s="60">
        <v>59.54</v>
      </c>
      <c r="L48" s="60">
        <v>28.56</v>
      </c>
      <c r="M48" s="60">
        <v>22</v>
      </c>
      <c r="N48" s="60">
        <v>502.2</v>
      </c>
      <c r="O48" s="60">
        <v>0</v>
      </c>
      <c r="P48" s="60">
        <v>1.6</v>
      </c>
      <c r="Q48" s="60">
        <v>32.99</v>
      </c>
      <c r="R48" s="198"/>
      <c r="S48" s="198"/>
      <c r="T48" s="198"/>
      <c r="U48" s="198"/>
    </row>
    <row r="49" spans="1:21" s="12" customFormat="1" x14ac:dyDescent="0.25">
      <c r="A49" s="201" t="s">
        <v>669</v>
      </c>
      <c r="B49" s="60">
        <v>51.72</v>
      </c>
      <c r="C49" s="60">
        <v>127.57</v>
      </c>
      <c r="D49" s="60">
        <v>110.69</v>
      </c>
      <c r="E49" s="60">
        <v>7.32</v>
      </c>
      <c r="F49" s="60">
        <v>3.77</v>
      </c>
      <c r="G49" s="60">
        <v>102.52</v>
      </c>
      <c r="H49" s="60">
        <v>55.33</v>
      </c>
      <c r="I49" s="210" t="s">
        <v>36</v>
      </c>
      <c r="J49" s="60">
        <v>0.68</v>
      </c>
      <c r="K49" s="60">
        <v>109.55</v>
      </c>
      <c r="L49" s="60">
        <v>27.58</v>
      </c>
      <c r="M49" s="60">
        <v>25</v>
      </c>
      <c r="N49" s="60">
        <v>515.4</v>
      </c>
      <c r="O49" s="60">
        <v>0</v>
      </c>
      <c r="P49" s="60">
        <v>1.55</v>
      </c>
      <c r="Q49" s="60">
        <v>32.61</v>
      </c>
      <c r="R49" s="198"/>
      <c r="S49" s="198"/>
      <c r="T49" s="198"/>
      <c r="U49" s="198"/>
    </row>
    <row r="50" spans="1:21" s="12" customFormat="1" x14ac:dyDescent="0.25">
      <c r="A50" s="201" t="s">
        <v>670</v>
      </c>
      <c r="B50" s="60">
        <v>46.64</v>
      </c>
      <c r="C50" s="60">
        <v>127.56</v>
      </c>
      <c r="D50" s="60">
        <v>106.61</v>
      </c>
      <c r="E50" s="60">
        <v>6.86</v>
      </c>
      <c r="F50" s="60">
        <v>3.83</v>
      </c>
      <c r="G50" s="60">
        <v>91.95</v>
      </c>
      <c r="H50" s="60">
        <v>50.59</v>
      </c>
      <c r="I50" s="210" t="s">
        <v>36</v>
      </c>
      <c r="J50" s="60">
        <v>0.87</v>
      </c>
      <c r="K50" s="60">
        <v>118.27</v>
      </c>
      <c r="L50" s="60">
        <v>26.41</v>
      </c>
      <c r="M50" s="60">
        <v>26</v>
      </c>
      <c r="N50" s="60">
        <v>526.4</v>
      </c>
      <c r="O50" s="60">
        <v>0</v>
      </c>
      <c r="P50" s="60">
        <v>1.51</v>
      </c>
      <c r="Q50" s="60">
        <v>31.89</v>
      </c>
      <c r="R50" s="198"/>
      <c r="S50" s="198"/>
      <c r="T50" s="198"/>
      <c r="U50" s="198"/>
    </row>
    <row r="51" spans="1:21" s="12" customFormat="1" x14ac:dyDescent="0.25">
      <c r="A51" s="201" t="s">
        <v>671</v>
      </c>
      <c r="B51" s="60">
        <v>42.94</v>
      </c>
      <c r="C51" s="60">
        <v>126.1</v>
      </c>
      <c r="D51" s="60">
        <v>102.84</v>
      </c>
      <c r="E51" s="60">
        <v>6.59</v>
      </c>
      <c r="F51" s="60">
        <v>3.73</v>
      </c>
      <c r="G51" s="60">
        <v>83.5</v>
      </c>
      <c r="H51" s="60">
        <v>46.8</v>
      </c>
      <c r="I51" s="210" t="s">
        <v>36</v>
      </c>
      <c r="J51" s="60">
        <v>0.73</v>
      </c>
      <c r="K51" s="60">
        <v>124.41</v>
      </c>
      <c r="L51" s="60">
        <v>27.74</v>
      </c>
      <c r="M51" s="60">
        <v>23</v>
      </c>
      <c r="N51" s="60">
        <v>553.4</v>
      </c>
      <c r="O51" s="60">
        <v>0</v>
      </c>
      <c r="P51" s="60">
        <v>1.48</v>
      </c>
      <c r="Q51" s="60">
        <v>31.34</v>
      </c>
      <c r="R51" s="198"/>
      <c r="S51" s="198"/>
      <c r="T51" s="198"/>
      <c r="U51" s="198"/>
    </row>
    <row r="52" spans="1:21" s="12" customFormat="1" x14ac:dyDescent="0.25">
      <c r="A52" s="201" t="s">
        <v>672</v>
      </c>
      <c r="B52" s="60">
        <v>39.880000000000003</v>
      </c>
      <c r="C52" s="60">
        <v>124.17</v>
      </c>
      <c r="D52" s="60">
        <v>99.32</v>
      </c>
      <c r="E52" s="60">
        <v>6.52</v>
      </c>
      <c r="F52" s="60">
        <v>3.86</v>
      </c>
      <c r="G52" s="60">
        <v>83.5</v>
      </c>
      <c r="H52" s="60">
        <v>46.8</v>
      </c>
      <c r="I52" s="210" t="s">
        <v>36</v>
      </c>
      <c r="J52" s="60">
        <v>1.1399999999999999</v>
      </c>
      <c r="K52" s="60">
        <v>121.59</v>
      </c>
      <c r="L52" s="60">
        <v>27.29</v>
      </c>
      <c r="M52" s="60">
        <v>23</v>
      </c>
      <c r="N52" s="60">
        <v>576.9</v>
      </c>
      <c r="O52" s="60">
        <v>0</v>
      </c>
      <c r="P52" s="60">
        <v>1.43</v>
      </c>
      <c r="Q52" s="60">
        <v>31.24</v>
      </c>
      <c r="R52" s="198"/>
      <c r="S52" s="198"/>
      <c r="T52" s="198"/>
      <c r="U52" s="198"/>
    </row>
    <row r="53" spans="1:21" s="12" customFormat="1" x14ac:dyDescent="0.25">
      <c r="A53" s="201" t="s">
        <v>673</v>
      </c>
      <c r="B53" s="60">
        <v>36.47</v>
      </c>
      <c r="C53" s="60">
        <v>119.55</v>
      </c>
      <c r="D53" s="60">
        <v>94.03</v>
      </c>
      <c r="E53" s="60">
        <v>6.25</v>
      </c>
      <c r="F53" s="60">
        <v>3.85</v>
      </c>
      <c r="G53" s="60">
        <v>83.5</v>
      </c>
      <c r="H53" s="60">
        <v>46.8</v>
      </c>
      <c r="I53" s="210" t="s">
        <v>36</v>
      </c>
      <c r="J53" s="60">
        <v>1.02</v>
      </c>
      <c r="K53" s="60">
        <v>111.48</v>
      </c>
      <c r="L53" s="60">
        <v>27.48</v>
      </c>
      <c r="M53" s="60">
        <v>20</v>
      </c>
      <c r="N53" s="60">
        <v>615.29999999999995</v>
      </c>
      <c r="O53" s="60">
        <v>0</v>
      </c>
      <c r="P53" s="60">
        <v>1.37</v>
      </c>
      <c r="Q53" s="60">
        <v>31.27</v>
      </c>
      <c r="R53" s="198"/>
      <c r="S53" s="198"/>
      <c r="T53" s="198"/>
      <c r="U53" s="198"/>
    </row>
    <row r="54" spans="1:21" s="12" customFormat="1" x14ac:dyDescent="0.25">
      <c r="A54" s="201" t="s">
        <v>674</v>
      </c>
      <c r="B54" s="60">
        <v>33.51</v>
      </c>
      <c r="C54" s="60">
        <v>116.4</v>
      </c>
      <c r="D54" s="60">
        <v>89.92</v>
      </c>
      <c r="E54" s="60">
        <v>6.39</v>
      </c>
      <c r="F54" s="60">
        <v>4.1100000000000003</v>
      </c>
      <c r="G54" s="60">
        <v>75.540000000000006</v>
      </c>
      <c r="H54" s="60">
        <v>45.71</v>
      </c>
      <c r="I54" s="210" t="s">
        <v>36</v>
      </c>
      <c r="J54" s="60">
        <v>0.69</v>
      </c>
      <c r="K54" s="60">
        <v>114.27</v>
      </c>
      <c r="L54" s="60">
        <v>28.78</v>
      </c>
      <c r="M54" s="60">
        <v>20</v>
      </c>
      <c r="N54" s="60">
        <v>632.1</v>
      </c>
      <c r="O54" s="60">
        <v>0</v>
      </c>
      <c r="P54" s="60">
        <v>1.32</v>
      </c>
      <c r="Q54" s="60">
        <v>31.08</v>
      </c>
      <c r="R54" s="198"/>
      <c r="S54" s="198"/>
      <c r="T54" s="198"/>
      <c r="U54" s="198"/>
    </row>
    <row r="55" spans="1:21" s="12" customFormat="1" x14ac:dyDescent="0.25">
      <c r="A55" s="201" t="s">
        <v>675</v>
      </c>
      <c r="B55" s="60">
        <v>31.32</v>
      </c>
      <c r="C55" s="60">
        <v>112.96</v>
      </c>
      <c r="D55" s="60">
        <v>86.27</v>
      </c>
      <c r="E55" s="60">
        <v>6.35</v>
      </c>
      <c r="F55" s="60">
        <v>4.3</v>
      </c>
      <c r="G55" s="60">
        <v>69.17</v>
      </c>
      <c r="H55" s="60">
        <v>44.85</v>
      </c>
      <c r="I55" s="210" t="s">
        <v>36</v>
      </c>
      <c r="J55" s="60">
        <v>0.56999999999999995</v>
      </c>
      <c r="K55" s="60">
        <v>109.2</v>
      </c>
      <c r="L55" s="60">
        <v>29.4</v>
      </c>
      <c r="M55" s="60">
        <v>18</v>
      </c>
      <c r="N55" s="60">
        <v>655</v>
      </c>
      <c r="O55" s="60">
        <v>0</v>
      </c>
      <c r="P55" s="60">
        <v>1.28</v>
      </c>
      <c r="Q55" s="60">
        <v>31.35</v>
      </c>
      <c r="R55" s="198"/>
      <c r="S55" s="198"/>
      <c r="T55" s="198"/>
      <c r="U55" s="198"/>
    </row>
    <row r="56" spans="1:21" s="12" customFormat="1" x14ac:dyDescent="0.25">
      <c r="A56" s="201" t="s">
        <v>676</v>
      </c>
      <c r="B56" s="60">
        <v>28.65</v>
      </c>
      <c r="C56" s="60">
        <v>112.48</v>
      </c>
      <c r="D56" s="60">
        <v>83.86</v>
      </c>
      <c r="E56" s="60">
        <v>4.6500000000000004</v>
      </c>
      <c r="F56" s="60">
        <v>4.72</v>
      </c>
      <c r="G56" s="60">
        <v>69.17</v>
      </c>
      <c r="H56" s="60">
        <v>44.85</v>
      </c>
      <c r="I56" s="210" t="s">
        <v>36</v>
      </c>
      <c r="J56" s="60">
        <v>0.55000000000000004</v>
      </c>
      <c r="K56" s="60">
        <v>137.74</v>
      </c>
      <c r="L56" s="60">
        <v>29.33</v>
      </c>
      <c r="M56" s="60">
        <v>17</v>
      </c>
      <c r="N56" s="60">
        <v>671.8</v>
      </c>
      <c r="O56" s="60">
        <v>0</v>
      </c>
      <c r="P56" s="60">
        <v>1.22</v>
      </c>
      <c r="Q56" s="60">
        <v>31.58</v>
      </c>
      <c r="R56" s="198"/>
      <c r="S56" s="198"/>
      <c r="T56" s="198"/>
      <c r="U56" s="198"/>
    </row>
    <row r="57" spans="1:21" s="12" customFormat="1" x14ac:dyDescent="0.25">
      <c r="A57" s="201" t="s">
        <v>677</v>
      </c>
      <c r="B57" s="60">
        <v>26.87</v>
      </c>
      <c r="C57" s="60">
        <v>109.12</v>
      </c>
      <c r="D57" s="60">
        <v>80.58</v>
      </c>
      <c r="E57" s="60">
        <v>6.64</v>
      </c>
      <c r="F57" s="60">
        <v>4.46</v>
      </c>
      <c r="G57" s="60">
        <v>69.17</v>
      </c>
      <c r="H57" s="60">
        <v>44.85</v>
      </c>
      <c r="I57" s="210" t="s">
        <v>36</v>
      </c>
      <c r="J57" s="60">
        <v>0.26</v>
      </c>
      <c r="K57" s="60">
        <v>143.58000000000001</v>
      </c>
      <c r="L57" s="60">
        <v>30.19</v>
      </c>
      <c r="M57" s="60">
        <v>16</v>
      </c>
      <c r="N57" s="60">
        <v>686.9</v>
      </c>
      <c r="O57" s="60">
        <v>0</v>
      </c>
      <c r="P57" s="60">
        <v>1.17</v>
      </c>
      <c r="Q57" s="60">
        <v>31.64</v>
      </c>
      <c r="R57" s="198"/>
      <c r="S57" s="198"/>
      <c r="T57" s="198"/>
      <c r="U57" s="198"/>
    </row>
    <row r="58" spans="1:21" s="12" customFormat="1" x14ac:dyDescent="0.25">
      <c r="A58" s="201" t="s">
        <v>678</v>
      </c>
      <c r="B58" s="60">
        <v>24.94</v>
      </c>
      <c r="C58" s="60">
        <v>108.62</v>
      </c>
      <c r="D58" s="60">
        <v>78.75</v>
      </c>
      <c r="E58" s="60">
        <v>6.75</v>
      </c>
      <c r="F58" s="60">
        <v>4.47</v>
      </c>
      <c r="G58" s="60">
        <v>53.81</v>
      </c>
      <c r="H58" s="60">
        <v>38.729999999999997</v>
      </c>
      <c r="I58" s="210" t="s">
        <v>36</v>
      </c>
      <c r="J58" s="60">
        <v>0.98</v>
      </c>
      <c r="K58" s="60">
        <v>112.33</v>
      </c>
      <c r="L58" s="60">
        <v>30.37</v>
      </c>
      <c r="M58" s="60">
        <v>16</v>
      </c>
      <c r="N58" s="60">
        <v>681.6</v>
      </c>
      <c r="O58" s="60">
        <v>0</v>
      </c>
      <c r="P58" s="60">
        <v>1.1299999999999999</v>
      </c>
      <c r="Q58" s="60">
        <v>32.35</v>
      </c>
      <c r="R58" s="198"/>
      <c r="S58" s="198"/>
      <c r="T58" s="198"/>
      <c r="U58" s="198"/>
    </row>
    <row r="59" spans="1:21" s="12" customFormat="1" x14ac:dyDescent="0.25">
      <c r="A59" s="201" t="s">
        <v>679</v>
      </c>
      <c r="B59" s="60">
        <v>21.63</v>
      </c>
      <c r="C59" s="60">
        <v>107.64</v>
      </c>
      <c r="D59" s="60">
        <v>75.56</v>
      </c>
      <c r="E59" s="60">
        <v>6.86</v>
      </c>
      <c r="F59" s="60">
        <v>4.25</v>
      </c>
      <c r="G59" s="60">
        <v>41.52</v>
      </c>
      <c r="H59" s="60">
        <v>33.840000000000003</v>
      </c>
      <c r="I59" s="210" t="s">
        <v>36</v>
      </c>
      <c r="J59" s="60">
        <v>0.38</v>
      </c>
      <c r="K59" s="60">
        <v>150.22</v>
      </c>
      <c r="L59" s="60">
        <v>30.03</v>
      </c>
      <c r="M59" s="60">
        <v>15</v>
      </c>
      <c r="N59" s="60">
        <v>659.8</v>
      </c>
      <c r="O59" s="60">
        <v>0</v>
      </c>
      <c r="P59" s="60">
        <v>1.08</v>
      </c>
      <c r="Q59" s="60">
        <v>32.61</v>
      </c>
      <c r="R59" s="198"/>
      <c r="S59" s="198"/>
      <c r="T59" s="198"/>
      <c r="U59" s="198"/>
    </row>
    <row r="60" spans="1:21" s="12" customFormat="1" x14ac:dyDescent="0.25">
      <c r="A60" s="201" t="s">
        <v>680</v>
      </c>
      <c r="B60" s="60">
        <v>17.440000000000001</v>
      </c>
      <c r="C60" s="60">
        <v>105.55</v>
      </c>
      <c r="D60" s="60">
        <v>71.05</v>
      </c>
      <c r="E60" s="60">
        <v>6.59</v>
      </c>
      <c r="F60" s="60">
        <v>4.6500000000000004</v>
      </c>
      <c r="G60" s="60">
        <v>41.52</v>
      </c>
      <c r="H60" s="60">
        <v>33.840000000000003</v>
      </c>
      <c r="I60" s="210" t="s">
        <v>36</v>
      </c>
      <c r="J60" s="60">
        <v>0.6</v>
      </c>
      <c r="K60" s="60">
        <v>8.43</v>
      </c>
      <c r="L60" s="60">
        <v>33.29</v>
      </c>
      <c r="M60" s="60">
        <v>13</v>
      </c>
      <c r="N60" s="60">
        <v>632.29999999999995</v>
      </c>
      <c r="O60" s="60">
        <v>0</v>
      </c>
      <c r="P60" s="60">
        <v>1.02</v>
      </c>
      <c r="Q60" s="60">
        <v>32.619999999999997</v>
      </c>
      <c r="R60" s="198"/>
      <c r="S60" s="198"/>
      <c r="T60" s="198"/>
      <c r="U60" s="198"/>
    </row>
    <row r="61" spans="1:21" s="12" customFormat="1" x14ac:dyDescent="0.25">
      <c r="A61" s="201" t="s">
        <v>681</v>
      </c>
      <c r="B61" s="60">
        <v>15.06</v>
      </c>
      <c r="C61" s="60">
        <v>106.72</v>
      </c>
      <c r="D61" s="60">
        <v>69.78</v>
      </c>
      <c r="E61" s="60">
        <v>6.14</v>
      </c>
      <c r="F61" s="60">
        <v>4.4000000000000004</v>
      </c>
      <c r="G61" s="60">
        <v>41.52</v>
      </c>
      <c r="H61" s="60">
        <v>33.840000000000003</v>
      </c>
      <c r="I61" s="210" t="s">
        <v>36</v>
      </c>
      <c r="J61" s="60">
        <v>0.22</v>
      </c>
      <c r="K61" s="60">
        <v>207.17</v>
      </c>
      <c r="L61" s="60">
        <v>32.6</v>
      </c>
      <c r="M61" s="60">
        <v>11</v>
      </c>
      <c r="N61" s="60">
        <v>601.4</v>
      </c>
      <c r="O61" s="60">
        <v>0</v>
      </c>
      <c r="P61" s="60">
        <v>1.04</v>
      </c>
      <c r="Q61" s="60">
        <v>32.19</v>
      </c>
      <c r="R61" s="198"/>
      <c r="S61" s="198"/>
      <c r="T61" s="198"/>
      <c r="U61" s="198"/>
    </row>
    <row r="62" spans="1:21" s="12" customFormat="1" x14ac:dyDescent="0.25">
      <c r="A62" s="201" t="s">
        <v>682</v>
      </c>
      <c r="B62" s="60">
        <v>11.23</v>
      </c>
      <c r="C62" s="60">
        <v>103.99</v>
      </c>
      <c r="D62" s="60">
        <v>65.209999999999994</v>
      </c>
      <c r="E62" s="60">
        <v>6.15</v>
      </c>
      <c r="F62" s="60">
        <v>5.46</v>
      </c>
      <c r="G62" s="60">
        <v>36.46</v>
      </c>
      <c r="H62" s="60">
        <v>30.15</v>
      </c>
      <c r="I62" s="210" t="s">
        <v>36</v>
      </c>
      <c r="J62" s="60">
        <v>0.31</v>
      </c>
      <c r="K62" s="60">
        <v>26.87</v>
      </c>
      <c r="L62" s="60">
        <v>32.03</v>
      </c>
      <c r="M62" s="60">
        <v>12</v>
      </c>
      <c r="N62" s="60">
        <v>559.6</v>
      </c>
      <c r="O62" s="60">
        <v>0</v>
      </c>
      <c r="P62" s="60">
        <v>1.05</v>
      </c>
      <c r="Q62" s="60">
        <v>31.49</v>
      </c>
      <c r="R62" s="198"/>
      <c r="S62" s="198"/>
      <c r="T62" s="198"/>
      <c r="U62" s="198"/>
    </row>
    <row r="63" spans="1:21" s="12" customFormat="1" x14ac:dyDescent="0.25">
      <c r="A63" s="201" t="s">
        <v>683</v>
      </c>
      <c r="B63" s="60">
        <v>9.8699999999999992</v>
      </c>
      <c r="C63" s="60">
        <v>105.46</v>
      </c>
      <c r="D63" s="60">
        <v>64.930000000000007</v>
      </c>
      <c r="E63" s="60">
        <v>6.64</v>
      </c>
      <c r="F63" s="60">
        <v>4.66</v>
      </c>
      <c r="G63" s="60">
        <v>32.42</v>
      </c>
      <c r="H63" s="60">
        <v>27.19</v>
      </c>
      <c r="I63" s="210" t="s">
        <v>36</v>
      </c>
      <c r="J63" s="60">
        <v>0.22</v>
      </c>
      <c r="K63" s="60">
        <v>342.33</v>
      </c>
      <c r="L63" s="60">
        <v>33.979999999999997</v>
      </c>
      <c r="M63" s="60">
        <v>11</v>
      </c>
      <c r="N63" s="60">
        <v>529.9</v>
      </c>
      <c r="O63" s="60">
        <v>0</v>
      </c>
      <c r="P63" s="60">
        <v>1.03</v>
      </c>
      <c r="Q63" s="60">
        <v>31.13</v>
      </c>
      <c r="R63" s="198"/>
      <c r="S63" s="198"/>
      <c r="T63" s="198"/>
      <c r="U63" s="198"/>
    </row>
    <row r="64" spans="1:21" s="12" customFormat="1" x14ac:dyDescent="0.25">
      <c r="A64" s="201" t="s">
        <v>684</v>
      </c>
      <c r="B64" s="60">
        <v>8.25</v>
      </c>
      <c r="C64" s="60">
        <v>104.54</v>
      </c>
      <c r="D64" s="60">
        <v>63.12</v>
      </c>
      <c r="E64" s="60">
        <v>6.8</v>
      </c>
      <c r="F64" s="60">
        <v>6.7</v>
      </c>
      <c r="G64" s="60">
        <v>32.42</v>
      </c>
      <c r="H64" s="60">
        <v>27.19</v>
      </c>
      <c r="I64" s="210" t="s">
        <v>36</v>
      </c>
      <c r="J64" s="60">
        <v>0.71</v>
      </c>
      <c r="K64" s="60">
        <v>168.77</v>
      </c>
      <c r="L64" s="60">
        <v>31.31</v>
      </c>
      <c r="M64" s="60">
        <v>12</v>
      </c>
      <c r="N64" s="60">
        <v>501.7</v>
      </c>
      <c r="O64" s="60">
        <v>0</v>
      </c>
      <c r="P64" s="60">
        <v>0.99</v>
      </c>
      <c r="Q64" s="60">
        <v>30.8</v>
      </c>
      <c r="R64" s="198"/>
      <c r="S64" s="198"/>
      <c r="T64" s="198"/>
      <c r="U64" s="198"/>
    </row>
    <row r="65" spans="1:21" s="12" customFormat="1" x14ac:dyDescent="0.25">
      <c r="A65" s="201" t="s">
        <v>685</v>
      </c>
      <c r="B65" s="60">
        <v>6.67</v>
      </c>
      <c r="C65" s="60">
        <v>94.22</v>
      </c>
      <c r="D65" s="60">
        <v>56.16</v>
      </c>
      <c r="E65" s="60">
        <v>7.77</v>
      </c>
      <c r="F65" s="60">
        <v>9.77</v>
      </c>
      <c r="G65" s="60">
        <v>32.42</v>
      </c>
      <c r="H65" s="60">
        <v>27.19</v>
      </c>
      <c r="I65" s="210" t="s">
        <v>36</v>
      </c>
      <c r="J65" s="60">
        <v>0.47</v>
      </c>
      <c r="K65" s="60">
        <v>70.540000000000006</v>
      </c>
      <c r="L65" s="60">
        <v>32.090000000000003</v>
      </c>
      <c r="M65" s="60">
        <v>12</v>
      </c>
      <c r="N65" s="60">
        <v>463.1</v>
      </c>
      <c r="O65" s="60">
        <v>0</v>
      </c>
      <c r="P65" s="60">
        <v>0.94</v>
      </c>
      <c r="Q65" s="60">
        <v>30.05</v>
      </c>
      <c r="R65" s="198"/>
      <c r="S65" s="198"/>
      <c r="T65" s="198"/>
      <c r="U65" s="198"/>
    </row>
    <row r="66" spans="1:21" s="12" customFormat="1" x14ac:dyDescent="0.25">
      <c r="A66" s="201" t="s">
        <v>686</v>
      </c>
      <c r="B66" s="60">
        <v>6.48</v>
      </c>
      <c r="C66" s="60">
        <v>91.31</v>
      </c>
      <c r="D66" s="60">
        <v>54.39</v>
      </c>
      <c r="E66" s="60">
        <v>8.4499999999999993</v>
      </c>
      <c r="F66" s="60">
        <v>10.199999999999999</v>
      </c>
      <c r="G66" s="60">
        <v>37.19</v>
      </c>
      <c r="H66" s="60">
        <v>23.02</v>
      </c>
      <c r="I66" s="210" t="s">
        <v>36</v>
      </c>
      <c r="J66" s="60">
        <v>0.21</v>
      </c>
      <c r="K66" s="60">
        <v>338.74</v>
      </c>
      <c r="L66" s="60">
        <v>31.78</v>
      </c>
      <c r="M66" s="60">
        <v>13</v>
      </c>
      <c r="N66" s="60">
        <v>426.3</v>
      </c>
      <c r="O66" s="60">
        <v>0</v>
      </c>
      <c r="P66" s="60">
        <v>0.92</v>
      </c>
      <c r="Q66" s="60">
        <v>29.21</v>
      </c>
      <c r="R66" s="198"/>
      <c r="S66" s="198"/>
      <c r="T66" s="198"/>
      <c r="U66" s="198"/>
    </row>
    <row r="67" spans="1:21" s="12" customFormat="1" x14ac:dyDescent="0.25">
      <c r="A67" s="201" t="s">
        <v>687</v>
      </c>
      <c r="B67" s="60">
        <v>8.5</v>
      </c>
      <c r="C67" s="60">
        <v>90.71</v>
      </c>
      <c r="D67" s="60">
        <v>55.69</v>
      </c>
      <c r="E67" s="60">
        <v>11.19</v>
      </c>
      <c r="F67" s="60">
        <v>15.39</v>
      </c>
      <c r="G67" s="60">
        <v>41.01</v>
      </c>
      <c r="H67" s="60">
        <v>19.670000000000002</v>
      </c>
      <c r="I67" s="210" t="s">
        <v>36</v>
      </c>
      <c r="J67" s="60">
        <v>0.28999999999999998</v>
      </c>
      <c r="K67" s="60">
        <v>31.1</v>
      </c>
      <c r="L67" s="60">
        <v>32.74</v>
      </c>
      <c r="M67" s="60">
        <v>12</v>
      </c>
      <c r="N67" s="60">
        <v>379.9</v>
      </c>
      <c r="O67" s="60">
        <v>0</v>
      </c>
      <c r="P67" s="60">
        <v>0.88</v>
      </c>
      <c r="Q67" s="60">
        <v>29.23</v>
      </c>
      <c r="R67" s="198"/>
      <c r="S67" s="198"/>
      <c r="T67" s="198"/>
      <c r="U67" s="198"/>
    </row>
    <row r="68" spans="1:21" s="12" customFormat="1" x14ac:dyDescent="0.25">
      <c r="A68" s="201" t="s">
        <v>688</v>
      </c>
      <c r="B68" s="60">
        <v>6.86</v>
      </c>
      <c r="C68" s="60">
        <v>89.78</v>
      </c>
      <c r="D68" s="60">
        <v>53.86</v>
      </c>
      <c r="E68" s="60">
        <v>11.57</v>
      </c>
      <c r="F68" s="60">
        <v>11.94</v>
      </c>
      <c r="G68" s="60">
        <v>41.01</v>
      </c>
      <c r="H68" s="60">
        <v>19.670000000000002</v>
      </c>
      <c r="I68" s="210" t="s">
        <v>36</v>
      </c>
      <c r="J68" s="60">
        <v>0.32</v>
      </c>
      <c r="K68" s="60">
        <v>13.6</v>
      </c>
      <c r="L68" s="60">
        <v>31.56</v>
      </c>
      <c r="M68" s="60">
        <v>12</v>
      </c>
      <c r="N68" s="60">
        <v>266.3</v>
      </c>
      <c r="O68" s="60">
        <v>0</v>
      </c>
      <c r="P68" s="60">
        <v>0.88</v>
      </c>
      <c r="Q68" s="60">
        <v>29.68</v>
      </c>
      <c r="R68" s="198"/>
      <c r="S68" s="198"/>
      <c r="T68" s="198"/>
      <c r="U68" s="198"/>
    </row>
    <row r="69" spans="1:21" s="12" customFormat="1" x14ac:dyDescent="0.25">
      <c r="A69" s="201" t="s">
        <v>689</v>
      </c>
      <c r="B69" s="60">
        <v>10.19</v>
      </c>
      <c r="C69" s="60">
        <v>88.33</v>
      </c>
      <c r="D69" s="60">
        <v>55.73</v>
      </c>
      <c r="E69" s="60">
        <v>17.78</v>
      </c>
      <c r="F69" s="60">
        <v>22.08</v>
      </c>
      <c r="G69" s="60">
        <v>41.01</v>
      </c>
      <c r="H69" s="60">
        <v>19.670000000000002</v>
      </c>
      <c r="I69" s="210" t="s">
        <v>36</v>
      </c>
      <c r="J69" s="60">
        <v>0.6</v>
      </c>
      <c r="K69" s="60">
        <v>11.68</v>
      </c>
      <c r="L69" s="60">
        <v>32.79</v>
      </c>
      <c r="M69" s="60">
        <v>12</v>
      </c>
      <c r="N69" s="60">
        <v>161.5</v>
      </c>
      <c r="O69" s="60">
        <v>0</v>
      </c>
      <c r="P69" s="60">
        <v>0.84</v>
      </c>
      <c r="Q69" s="60">
        <v>30.12</v>
      </c>
      <c r="R69" s="198"/>
      <c r="S69" s="198"/>
      <c r="T69" s="198"/>
      <c r="U69" s="198"/>
    </row>
    <row r="70" spans="1:21" s="12" customFormat="1" x14ac:dyDescent="0.25">
      <c r="A70" s="201" t="s">
        <v>690</v>
      </c>
      <c r="B70" s="60">
        <v>9.7899999999999991</v>
      </c>
      <c r="C70" s="60">
        <v>95.43</v>
      </c>
      <c r="D70" s="60">
        <v>59.33</v>
      </c>
      <c r="E70" s="60">
        <v>14.32</v>
      </c>
      <c r="F70" s="60">
        <v>11.12</v>
      </c>
      <c r="G70" s="60">
        <v>42.85</v>
      </c>
      <c r="H70" s="60">
        <v>20.5</v>
      </c>
      <c r="I70" s="210" t="s">
        <v>36</v>
      </c>
      <c r="J70" s="60">
        <v>0.85</v>
      </c>
      <c r="K70" s="60">
        <v>353.45</v>
      </c>
      <c r="L70" s="60">
        <v>32.65</v>
      </c>
      <c r="M70" s="60">
        <v>13</v>
      </c>
      <c r="N70" s="60">
        <v>136</v>
      </c>
      <c r="O70" s="60">
        <v>0</v>
      </c>
      <c r="P70" s="60">
        <v>0.89</v>
      </c>
      <c r="Q70" s="60">
        <v>30.01</v>
      </c>
      <c r="R70" s="198"/>
      <c r="S70" s="198"/>
      <c r="T70" s="198"/>
      <c r="U70" s="198"/>
    </row>
    <row r="71" spans="1:21" s="12" customFormat="1" x14ac:dyDescent="0.25">
      <c r="A71" s="201" t="s">
        <v>691</v>
      </c>
      <c r="B71" s="60">
        <v>7.66</v>
      </c>
      <c r="C71" s="60">
        <v>93.58</v>
      </c>
      <c r="D71" s="60">
        <v>56.6</v>
      </c>
      <c r="E71" s="60">
        <v>10.82</v>
      </c>
      <c r="F71" s="60">
        <v>11.4</v>
      </c>
      <c r="G71" s="60">
        <v>44.33</v>
      </c>
      <c r="H71" s="60">
        <v>21.15</v>
      </c>
      <c r="I71" s="210" t="s">
        <v>36</v>
      </c>
      <c r="J71" s="60">
        <v>0.28000000000000003</v>
      </c>
      <c r="K71" s="60">
        <v>345.79</v>
      </c>
      <c r="L71" s="60">
        <v>32.61</v>
      </c>
      <c r="M71" s="60">
        <v>13</v>
      </c>
      <c r="N71" s="60">
        <v>112.9</v>
      </c>
      <c r="O71" s="60">
        <v>0</v>
      </c>
      <c r="P71" s="60">
        <v>0.89</v>
      </c>
      <c r="Q71" s="60">
        <v>30.25</v>
      </c>
      <c r="R71" s="198"/>
      <c r="S71" s="198"/>
      <c r="T71" s="198"/>
      <c r="U71" s="198"/>
    </row>
    <row r="72" spans="1:21" s="12" customFormat="1" x14ac:dyDescent="0.25">
      <c r="A72" s="201" t="s">
        <v>692</v>
      </c>
      <c r="B72" s="60">
        <v>7.33</v>
      </c>
      <c r="C72" s="60">
        <v>91.81</v>
      </c>
      <c r="D72" s="60">
        <v>55.35</v>
      </c>
      <c r="E72" s="60">
        <v>5.53</v>
      </c>
      <c r="F72" s="60">
        <v>5.77</v>
      </c>
      <c r="G72" s="60">
        <v>44.33</v>
      </c>
      <c r="H72" s="60">
        <v>21.15</v>
      </c>
      <c r="I72" s="210" t="s">
        <v>36</v>
      </c>
      <c r="J72" s="60">
        <v>0.2</v>
      </c>
      <c r="K72" s="60">
        <v>359.65</v>
      </c>
      <c r="L72" s="60">
        <v>30.91</v>
      </c>
      <c r="M72" s="60">
        <v>13</v>
      </c>
      <c r="N72" s="60">
        <v>101.2</v>
      </c>
      <c r="O72" s="60">
        <v>0</v>
      </c>
      <c r="P72" s="60">
        <v>0.9</v>
      </c>
      <c r="Q72" s="60">
        <v>31.46</v>
      </c>
      <c r="R72" s="198"/>
      <c r="S72" s="198"/>
      <c r="T72" s="198"/>
      <c r="U72" s="198"/>
    </row>
    <row r="73" spans="1:21" s="12" customFormat="1" x14ac:dyDescent="0.25">
      <c r="A73" s="201" t="s">
        <v>693</v>
      </c>
      <c r="B73" s="60">
        <v>6.9</v>
      </c>
      <c r="C73" s="60">
        <v>94.55</v>
      </c>
      <c r="D73" s="60">
        <v>56.53</v>
      </c>
      <c r="E73" s="60">
        <v>9.14</v>
      </c>
      <c r="F73" s="60">
        <v>7.93</v>
      </c>
      <c r="G73" s="60">
        <v>44.33</v>
      </c>
      <c r="H73" s="60">
        <v>21.15</v>
      </c>
      <c r="I73" s="210" t="s">
        <v>36</v>
      </c>
      <c r="J73" s="60">
        <v>0.27</v>
      </c>
      <c r="K73" s="60">
        <v>31</v>
      </c>
      <c r="L73" s="60">
        <v>30.55</v>
      </c>
      <c r="M73" s="60">
        <v>14</v>
      </c>
      <c r="N73" s="60">
        <v>103.9</v>
      </c>
      <c r="O73" s="60">
        <v>0</v>
      </c>
      <c r="P73" s="60">
        <v>0.89</v>
      </c>
      <c r="Q73" s="60">
        <v>32.35</v>
      </c>
      <c r="R73" s="198"/>
      <c r="S73" s="198"/>
      <c r="T73" s="198"/>
      <c r="U73" s="198"/>
    </row>
    <row r="74" spans="1:21" s="12" customFormat="1" x14ac:dyDescent="0.25">
      <c r="A74" s="201" t="s">
        <v>694</v>
      </c>
      <c r="B74" s="60">
        <v>6.04</v>
      </c>
      <c r="C74" s="60">
        <v>88.18</v>
      </c>
      <c r="D74" s="60">
        <v>52.31</v>
      </c>
      <c r="E74" s="60">
        <v>13.75</v>
      </c>
      <c r="F74" s="60">
        <v>10.94</v>
      </c>
      <c r="G74" s="60">
        <v>44.48</v>
      </c>
      <c r="H74" s="60">
        <v>20.97</v>
      </c>
      <c r="I74" s="210" t="s">
        <v>36</v>
      </c>
      <c r="J74" s="60">
        <v>0.19</v>
      </c>
      <c r="K74" s="60">
        <v>32.42</v>
      </c>
      <c r="L74" s="60">
        <v>29.48</v>
      </c>
      <c r="M74" s="60">
        <v>15</v>
      </c>
      <c r="N74" s="60">
        <v>66.2</v>
      </c>
      <c r="O74" s="60">
        <v>0</v>
      </c>
      <c r="P74" s="60">
        <v>0.86</v>
      </c>
      <c r="Q74" s="60">
        <v>32.43</v>
      </c>
      <c r="R74" s="198"/>
      <c r="S74" s="198"/>
      <c r="T74" s="198"/>
      <c r="U74" s="198"/>
    </row>
    <row r="75" spans="1:21" s="12" customFormat="1" x14ac:dyDescent="0.25">
      <c r="A75" s="201" t="s">
        <v>695</v>
      </c>
      <c r="B75" s="60">
        <v>8.4600000000000009</v>
      </c>
      <c r="C75" s="60">
        <v>97.7</v>
      </c>
      <c r="D75" s="60">
        <v>59.51</v>
      </c>
      <c r="E75" s="60">
        <v>9.6999999999999993</v>
      </c>
      <c r="F75" s="60">
        <v>6.58</v>
      </c>
      <c r="G75" s="60">
        <v>44.6</v>
      </c>
      <c r="H75" s="60">
        <v>20.82</v>
      </c>
      <c r="I75" s="210" t="s">
        <v>36</v>
      </c>
      <c r="J75" s="60">
        <v>0.32</v>
      </c>
      <c r="K75" s="60">
        <v>331.36</v>
      </c>
      <c r="L75" s="60">
        <v>29.32</v>
      </c>
      <c r="M75" s="60">
        <v>16</v>
      </c>
      <c r="N75" s="60">
        <v>58.2</v>
      </c>
      <c r="O75" s="60">
        <v>0</v>
      </c>
      <c r="P75" s="60">
        <v>0.91</v>
      </c>
      <c r="Q75" s="60">
        <v>32.25</v>
      </c>
      <c r="R75" s="198"/>
      <c r="S75" s="198"/>
      <c r="T75" s="198"/>
      <c r="U75" s="198"/>
    </row>
    <row r="76" spans="1:21" s="12" customFormat="1" x14ac:dyDescent="0.25">
      <c r="A76" s="201" t="s">
        <v>696</v>
      </c>
      <c r="B76" s="60">
        <v>6.83</v>
      </c>
      <c r="C76" s="60">
        <v>98.3</v>
      </c>
      <c r="D76" s="60">
        <v>58.54</v>
      </c>
      <c r="E76" s="60">
        <v>7.28</v>
      </c>
      <c r="F76" s="60">
        <v>6.97</v>
      </c>
      <c r="G76" s="60">
        <v>44.6</v>
      </c>
      <c r="H76" s="60">
        <v>20.82</v>
      </c>
      <c r="I76" s="210" t="s">
        <v>36</v>
      </c>
      <c r="J76" s="60">
        <v>0.03</v>
      </c>
      <c r="K76" s="60">
        <v>44.31</v>
      </c>
      <c r="L76" s="60">
        <v>28.76</v>
      </c>
      <c r="M76" s="60">
        <v>16</v>
      </c>
      <c r="N76" s="60">
        <v>40.4</v>
      </c>
      <c r="O76" s="60">
        <v>0</v>
      </c>
      <c r="P76" s="60">
        <v>0.91</v>
      </c>
      <c r="Q76" s="60">
        <v>31.93</v>
      </c>
      <c r="R76" s="198"/>
      <c r="S76" s="198"/>
      <c r="T76" s="198"/>
      <c r="U76" s="198"/>
    </row>
    <row r="77" spans="1:21" s="12" customFormat="1" x14ac:dyDescent="0.25">
      <c r="A77" s="201" t="s">
        <v>697</v>
      </c>
      <c r="B77" s="60">
        <v>5.55</v>
      </c>
      <c r="C77" s="60">
        <v>96.21</v>
      </c>
      <c r="D77" s="60">
        <v>56.35</v>
      </c>
      <c r="E77" s="60">
        <v>7.61</v>
      </c>
      <c r="F77" s="60">
        <v>7.36</v>
      </c>
      <c r="G77" s="60">
        <v>44.6</v>
      </c>
      <c r="H77" s="60">
        <v>20.82</v>
      </c>
      <c r="I77" s="210" t="s">
        <v>36</v>
      </c>
      <c r="J77" s="60">
        <v>0.17</v>
      </c>
      <c r="K77" s="60">
        <v>224.62</v>
      </c>
      <c r="L77" s="60">
        <v>28.44</v>
      </c>
      <c r="M77" s="60">
        <v>16</v>
      </c>
      <c r="N77" s="60">
        <v>30.5</v>
      </c>
      <c r="O77" s="60">
        <v>0</v>
      </c>
      <c r="P77" s="60">
        <v>0.89</v>
      </c>
      <c r="Q77" s="60">
        <v>31.58</v>
      </c>
      <c r="R77" s="198"/>
      <c r="S77" s="198"/>
      <c r="T77" s="198"/>
      <c r="U77" s="198"/>
    </row>
    <row r="78" spans="1:21" s="12" customFormat="1" x14ac:dyDescent="0.25">
      <c r="A78" s="201" t="s">
        <v>698</v>
      </c>
      <c r="B78" s="60">
        <v>4.7300000000000004</v>
      </c>
      <c r="C78" s="60">
        <v>94.86</v>
      </c>
      <c r="D78" s="60">
        <v>54.96</v>
      </c>
      <c r="E78" s="60">
        <v>6.78</v>
      </c>
      <c r="F78" s="60">
        <v>7.81</v>
      </c>
      <c r="G78" s="60">
        <v>42.46</v>
      </c>
      <c r="H78" s="60">
        <v>20.93</v>
      </c>
      <c r="I78" s="210" t="s">
        <v>36</v>
      </c>
      <c r="J78" s="60">
        <v>0.09</v>
      </c>
      <c r="K78" s="60">
        <v>269.47000000000003</v>
      </c>
      <c r="L78" s="60">
        <v>27.87</v>
      </c>
      <c r="M78" s="60">
        <v>17</v>
      </c>
      <c r="N78" s="60">
        <v>21.1</v>
      </c>
      <c r="O78" s="60">
        <v>0</v>
      </c>
      <c r="P78" s="60">
        <v>0.87</v>
      </c>
      <c r="Q78" s="60">
        <v>31.21</v>
      </c>
      <c r="R78" s="198"/>
      <c r="S78" s="198"/>
      <c r="T78" s="198"/>
      <c r="U78" s="198"/>
    </row>
    <row r="79" spans="1:21" s="12" customFormat="1" x14ac:dyDescent="0.25">
      <c r="A79" s="201" t="s">
        <v>699</v>
      </c>
      <c r="B79" s="60">
        <v>4.9800000000000004</v>
      </c>
      <c r="C79" s="60">
        <v>92.04</v>
      </c>
      <c r="D79" s="60">
        <v>53.6</v>
      </c>
      <c r="E79" s="60">
        <v>19.61</v>
      </c>
      <c r="F79" s="60">
        <v>20.9</v>
      </c>
      <c r="G79" s="60">
        <v>40.75</v>
      </c>
      <c r="H79" s="60">
        <v>21.01</v>
      </c>
      <c r="I79" s="210" t="s">
        <v>36</v>
      </c>
      <c r="J79" s="60">
        <v>0.06</v>
      </c>
      <c r="K79" s="60">
        <v>112.56</v>
      </c>
      <c r="L79" s="60">
        <v>26.62</v>
      </c>
      <c r="M79" s="60">
        <v>21</v>
      </c>
      <c r="N79" s="60">
        <v>12</v>
      </c>
      <c r="O79" s="60">
        <v>0</v>
      </c>
      <c r="P79" s="60">
        <v>0.91</v>
      </c>
      <c r="Q79" s="60">
        <v>30.49</v>
      </c>
      <c r="R79" s="198"/>
      <c r="S79" s="198"/>
      <c r="T79" s="198"/>
      <c r="U79" s="198"/>
    </row>
    <row r="80" spans="1:21" s="12" customFormat="1" x14ac:dyDescent="0.25">
      <c r="A80" s="201" t="s">
        <v>700</v>
      </c>
      <c r="B80" s="60">
        <v>12.51</v>
      </c>
      <c r="C80" s="60">
        <v>110.89</v>
      </c>
      <c r="D80" s="60">
        <v>70.040000000000006</v>
      </c>
      <c r="E80" s="60">
        <v>10.66</v>
      </c>
      <c r="F80" s="60">
        <v>5.47</v>
      </c>
      <c r="G80" s="60">
        <v>40.75</v>
      </c>
      <c r="H80" s="60">
        <v>21.01</v>
      </c>
      <c r="I80" s="210" t="s">
        <v>36</v>
      </c>
      <c r="J80" s="60">
        <v>0.14000000000000001</v>
      </c>
      <c r="K80" s="60">
        <v>112.39</v>
      </c>
      <c r="L80" s="60">
        <v>25.39</v>
      </c>
      <c r="M80" s="60">
        <v>27</v>
      </c>
      <c r="N80" s="60">
        <v>6.4</v>
      </c>
      <c r="O80" s="60">
        <v>0</v>
      </c>
      <c r="P80" s="60">
        <v>0.93</v>
      </c>
      <c r="Q80" s="60">
        <v>29.55</v>
      </c>
      <c r="R80" s="198"/>
      <c r="S80" s="198"/>
      <c r="T80" s="198"/>
      <c r="U80" s="198"/>
    </row>
    <row r="81" spans="1:26" s="12" customFormat="1" x14ac:dyDescent="0.25">
      <c r="A81" s="201" t="s">
        <v>701</v>
      </c>
      <c r="B81" s="60">
        <v>20.28</v>
      </c>
      <c r="C81" s="60">
        <v>115.63</v>
      </c>
      <c r="D81" s="60">
        <v>78.89</v>
      </c>
      <c r="E81" s="60">
        <v>10.51</v>
      </c>
      <c r="F81" s="60">
        <v>4.1900000000000004</v>
      </c>
      <c r="G81" s="60">
        <v>40.75</v>
      </c>
      <c r="H81" s="60">
        <v>21.01</v>
      </c>
      <c r="I81" s="210" t="s">
        <v>36</v>
      </c>
      <c r="J81" s="60">
        <v>0.11</v>
      </c>
      <c r="K81" s="60">
        <v>92.2</v>
      </c>
      <c r="L81" s="60">
        <v>24.32</v>
      </c>
      <c r="M81" s="60">
        <v>29</v>
      </c>
      <c r="N81" s="60">
        <v>4.8</v>
      </c>
      <c r="O81" s="60">
        <v>0</v>
      </c>
      <c r="P81" s="60">
        <v>1.01</v>
      </c>
      <c r="Q81" s="60">
        <v>28.56</v>
      </c>
      <c r="R81" s="198"/>
      <c r="S81" s="198"/>
      <c r="T81" s="198"/>
      <c r="U81" s="198"/>
    </row>
    <row r="82" spans="1:26" s="12" customFormat="1" x14ac:dyDescent="0.25">
      <c r="A82" s="201" t="s">
        <v>702</v>
      </c>
      <c r="B82" s="60">
        <v>25.13</v>
      </c>
      <c r="C82" s="60">
        <v>116.32</v>
      </c>
      <c r="D82" s="60">
        <v>83.15</v>
      </c>
      <c r="E82" s="60">
        <v>9</v>
      </c>
      <c r="F82" s="60">
        <v>3.98</v>
      </c>
      <c r="G82" s="60">
        <v>57.65</v>
      </c>
      <c r="H82" s="60">
        <v>25.95</v>
      </c>
      <c r="I82" s="210" t="s">
        <v>36</v>
      </c>
      <c r="J82" s="60">
        <v>0.16</v>
      </c>
      <c r="K82" s="60">
        <v>11.18</v>
      </c>
      <c r="L82" s="60">
        <v>23.56</v>
      </c>
      <c r="M82" s="60">
        <v>37</v>
      </c>
      <c r="N82" s="60">
        <v>4.5</v>
      </c>
      <c r="O82" s="60">
        <v>0</v>
      </c>
      <c r="P82" s="60">
        <v>1.19</v>
      </c>
      <c r="Q82" s="60">
        <v>29.68</v>
      </c>
      <c r="R82" s="198"/>
      <c r="S82" s="198"/>
      <c r="T82" s="198"/>
      <c r="U82" s="198"/>
    </row>
    <row r="83" spans="1:26" s="12" customFormat="1" x14ac:dyDescent="0.25">
      <c r="A83" s="201" t="s">
        <v>703</v>
      </c>
      <c r="B83" s="60">
        <v>25.77</v>
      </c>
      <c r="C83" s="60">
        <v>120.22</v>
      </c>
      <c r="D83" s="60">
        <v>85.83</v>
      </c>
      <c r="E83" s="60">
        <v>7.16</v>
      </c>
      <c r="F83" s="60">
        <v>3.63</v>
      </c>
      <c r="G83" s="60">
        <v>71.17</v>
      </c>
      <c r="H83" s="60">
        <v>29.9</v>
      </c>
      <c r="I83" s="210" t="s">
        <v>36</v>
      </c>
      <c r="J83" s="60">
        <v>0.19</v>
      </c>
      <c r="K83" s="60">
        <v>104.52</v>
      </c>
      <c r="L83" s="60">
        <v>23.15</v>
      </c>
      <c r="M83" s="60">
        <v>39</v>
      </c>
      <c r="N83" s="60">
        <v>3.9</v>
      </c>
      <c r="O83" s="60">
        <v>0</v>
      </c>
      <c r="P83" s="60">
        <v>1.35</v>
      </c>
      <c r="Q83" s="60">
        <v>30.91</v>
      </c>
      <c r="R83" s="198"/>
      <c r="S83" s="198"/>
      <c r="T83" s="198"/>
      <c r="U83" s="198"/>
    </row>
    <row r="84" spans="1:26" s="12" customFormat="1" x14ac:dyDescent="0.25">
      <c r="A84" s="201" t="s">
        <v>704</v>
      </c>
      <c r="B84" s="60">
        <v>32.909999999999997</v>
      </c>
      <c r="C84" s="60">
        <v>120.64</v>
      </c>
      <c r="D84" s="60">
        <v>91.78</v>
      </c>
      <c r="E84" s="60">
        <v>7.3</v>
      </c>
      <c r="F84" s="60">
        <v>3.46</v>
      </c>
      <c r="G84" s="60">
        <v>71.17</v>
      </c>
      <c r="H84" s="60">
        <v>29.9</v>
      </c>
      <c r="I84" s="210" t="s">
        <v>36</v>
      </c>
      <c r="J84" s="60">
        <v>0.04</v>
      </c>
      <c r="K84" s="60">
        <v>189.64</v>
      </c>
      <c r="L84" s="60">
        <v>22.89</v>
      </c>
      <c r="M84" s="60">
        <v>39</v>
      </c>
      <c r="N84" s="60">
        <v>4.4000000000000004</v>
      </c>
      <c r="O84" s="60">
        <v>0</v>
      </c>
      <c r="P84" s="60">
        <v>1.36</v>
      </c>
      <c r="Q84" s="60">
        <v>31.29</v>
      </c>
      <c r="R84" s="198"/>
      <c r="S84" s="198"/>
      <c r="T84" s="198"/>
      <c r="U84" s="198"/>
    </row>
    <row r="85" spans="1:26" s="12" customFormat="1" x14ac:dyDescent="0.25">
      <c r="A85" s="201" t="s">
        <v>705</v>
      </c>
      <c r="B85" s="60">
        <v>39.08</v>
      </c>
      <c r="C85" s="60">
        <v>123.75</v>
      </c>
      <c r="D85" s="60">
        <v>98.45</v>
      </c>
      <c r="E85" s="60">
        <v>6.45</v>
      </c>
      <c r="F85" s="60">
        <v>3.39</v>
      </c>
      <c r="G85" s="60">
        <v>71.17</v>
      </c>
      <c r="H85" s="60">
        <v>29.9</v>
      </c>
      <c r="I85" s="210" t="s">
        <v>36</v>
      </c>
      <c r="J85" s="60">
        <v>7.0000000000000007E-2</v>
      </c>
      <c r="K85" s="60">
        <v>294.14999999999998</v>
      </c>
      <c r="L85" s="60">
        <v>22.14</v>
      </c>
      <c r="M85" s="60">
        <v>40</v>
      </c>
      <c r="N85" s="60">
        <v>4.3</v>
      </c>
      <c r="O85" s="60">
        <v>0</v>
      </c>
      <c r="P85" s="60">
        <v>1.41</v>
      </c>
      <c r="Q85" s="60">
        <v>31.43</v>
      </c>
      <c r="R85" s="198"/>
      <c r="S85" s="198"/>
      <c r="T85" s="198"/>
      <c r="U85" s="198"/>
    </row>
    <row r="86" spans="1:26" s="12" customFormat="1" x14ac:dyDescent="0.25">
      <c r="A86" s="201" t="s">
        <v>706</v>
      </c>
      <c r="B86" s="60">
        <v>35.35</v>
      </c>
      <c r="C86" s="60">
        <v>119.08</v>
      </c>
      <c r="D86" s="60">
        <v>92.87</v>
      </c>
      <c r="E86" s="60">
        <v>6.2</v>
      </c>
      <c r="F86" s="60">
        <v>3.57</v>
      </c>
      <c r="G86" s="60">
        <v>143.4</v>
      </c>
      <c r="H86" s="60">
        <v>37.090000000000003</v>
      </c>
      <c r="I86" s="210" t="s">
        <v>36</v>
      </c>
      <c r="J86" s="60">
        <v>0.11</v>
      </c>
      <c r="K86" s="60">
        <v>183.26</v>
      </c>
      <c r="L86" s="60">
        <v>21.79</v>
      </c>
      <c r="M86" s="60">
        <v>41</v>
      </c>
      <c r="N86" s="60">
        <v>3.8</v>
      </c>
      <c r="O86" s="60">
        <v>0</v>
      </c>
      <c r="P86" s="60">
        <v>1.44</v>
      </c>
      <c r="Q86" s="60">
        <v>32.69</v>
      </c>
      <c r="R86" s="198"/>
      <c r="S86" s="198"/>
      <c r="T86" s="198"/>
      <c r="U86" s="198"/>
    </row>
    <row r="87" spans="1:26" s="12" customFormat="1" x14ac:dyDescent="0.25">
      <c r="A87" s="201" t="s">
        <v>707</v>
      </c>
      <c r="B87" s="60">
        <v>39.19</v>
      </c>
      <c r="C87" s="60">
        <v>121.47</v>
      </c>
      <c r="D87" s="60">
        <v>97.28</v>
      </c>
      <c r="E87" s="60">
        <v>6.18</v>
      </c>
      <c r="F87" s="60">
        <v>3.64</v>
      </c>
      <c r="G87" s="60">
        <v>201.19</v>
      </c>
      <c r="H87" s="60">
        <v>42.84</v>
      </c>
      <c r="I87" s="210" t="s">
        <v>36</v>
      </c>
      <c r="J87" s="60">
        <v>0.16</v>
      </c>
      <c r="K87" s="60">
        <v>320.69</v>
      </c>
      <c r="L87" s="60">
        <v>22.36</v>
      </c>
      <c r="M87" s="60">
        <v>39</v>
      </c>
      <c r="N87" s="60">
        <v>3.9</v>
      </c>
      <c r="O87" s="60">
        <v>0</v>
      </c>
      <c r="P87" s="60">
        <v>1.47</v>
      </c>
      <c r="Q87" s="60">
        <v>36.06</v>
      </c>
      <c r="R87" s="198"/>
      <c r="S87" s="198"/>
      <c r="T87" s="198"/>
      <c r="U87" s="198"/>
    </row>
    <row r="88" spans="1:26" s="12" customFormat="1" x14ac:dyDescent="0.25">
      <c r="A88" s="201" t="s">
        <v>708</v>
      </c>
      <c r="B88" s="60">
        <v>52.57</v>
      </c>
      <c r="C88" s="60">
        <v>128.30000000000001</v>
      </c>
      <c r="D88" s="60">
        <v>111.77</v>
      </c>
      <c r="E88" s="60">
        <v>4.74</v>
      </c>
      <c r="F88" s="60">
        <v>3.85</v>
      </c>
      <c r="G88" s="60">
        <v>201.19</v>
      </c>
      <c r="H88" s="60">
        <v>42.84</v>
      </c>
      <c r="I88" s="210" t="s">
        <v>36</v>
      </c>
      <c r="J88" s="60">
        <v>0.11</v>
      </c>
      <c r="K88" s="60">
        <v>340.52</v>
      </c>
      <c r="L88" s="60">
        <v>21.5</v>
      </c>
      <c r="M88" s="60">
        <v>42</v>
      </c>
      <c r="N88" s="60">
        <v>4.5</v>
      </c>
      <c r="O88" s="60">
        <v>0</v>
      </c>
      <c r="P88" s="60">
        <v>1.76</v>
      </c>
      <c r="Q88" s="60">
        <v>37.61</v>
      </c>
      <c r="R88" s="198"/>
      <c r="S88" s="198"/>
      <c r="T88" s="198"/>
      <c r="U88" s="198"/>
    </row>
    <row r="89" spans="1:26" s="12" customFormat="1" x14ac:dyDescent="0.25">
      <c r="A89" s="201" t="s">
        <v>709</v>
      </c>
      <c r="B89" s="60">
        <v>68.28</v>
      </c>
      <c r="C89" s="60">
        <v>136.91999999999999</v>
      </c>
      <c r="D89" s="60">
        <v>129.13</v>
      </c>
      <c r="E89" s="60">
        <v>6.7</v>
      </c>
      <c r="F89" s="60">
        <v>3.75</v>
      </c>
      <c r="G89" s="60">
        <v>201.19</v>
      </c>
      <c r="H89" s="60">
        <v>42.84</v>
      </c>
      <c r="I89" s="210" t="s">
        <v>36</v>
      </c>
      <c r="J89" s="60">
        <v>0.18</v>
      </c>
      <c r="K89" s="60">
        <v>345.36</v>
      </c>
      <c r="L89" s="60">
        <v>21.09</v>
      </c>
      <c r="M89" s="60">
        <v>46</v>
      </c>
      <c r="N89" s="60">
        <v>4.0999999999999996</v>
      </c>
      <c r="O89" s="60">
        <v>0</v>
      </c>
      <c r="P89" s="60">
        <v>2.0699999999999998</v>
      </c>
      <c r="Q89" s="60">
        <v>38.65</v>
      </c>
      <c r="R89" s="198"/>
      <c r="S89" s="198"/>
      <c r="T89" s="198"/>
      <c r="U89" s="198"/>
    </row>
    <row r="90" spans="1:26" s="12" customFormat="1" x14ac:dyDescent="0.25">
      <c r="A90" s="201" t="s">
        <v>710</v>
      </c>
      <c r="B90" s="60">
        <v>81.650000000000006</v>
      </c>
      <c r="C90" s="60">
        <v>144.31</v>
      </c>
      <c r="D90" s="60">
        <v>143.93</v>
      </c>
      <c r="E90" s="60">
        <v>6.84</v>
      </c>
      <c r="F90" s="60">
        <v>3.59</v>
      </c>
      <c r="G90" s="60">
        <v>203.49</v>
      </c>
      <c r="H90" s="60">
        <v>52.42</v>
      </c>
      <c r="I90" s="210" t="s">
        <v>36</v>
      </c>
      <c r="J90" s="60">
        <v>0.09</v>
      </c>
      <c r="K90" s="60">
        <v>319.31</v>
      </c>
      <c r="L90" s="60">
        <v>20.58</v>
      </c>
      <c r="M90" s="60">
        <v>47</v>
      </c>
      <c r="N90" s="60">
        <v>4.5</v>
      </c>
      <c r="O90" s="60">
        <v>0</v>
      </c>
      <c r="P90" s="60">
        <v>2.3199999999999998</v>
      </c>
      <c r="Q90" s="60">
        <v>39.46</v>
      </c>
      <c r="R90" s="198"/>
      <c r="S90" s="198"/>
      <c r="T90" s="198"/>
      <c r="U90" s="198"/>
    </row>
    <row r="91" spans="1:26" s="12" customFormat="1" x14ac:dyDescent="0.25">
      <c r="A91" s="201" t="s">
        <v>711</v>
      </c>
      <c r="B91" s="60">
        <v>90.81</v>
      </c>
      <c r="C91" s="60">
        <v>149.13</v>
      </c>
      <c r="D91" s="60">
        <v>153.94</v>
      </c>
      <c r="E91" s="60">
        <v>6.68</v>
      </c>
      <c r="F91" s="60">
        <v>3.41</v>
      </c>
      <c r="G91" s="60">
        <v>205.25</v>
      </c>
      <c r="H91" s="60">
        <v>60.09</v>
      </c>
      <c r="I91" s="210" t="s">
        <v>36</v>
      </c>
      <c r="J91" s="60">
        <v>0.06</v>
      </c>
      <c r="K91" s="60">
        <v>29.63</v>
      </c>
      <c r="L91" s="60">
        <v>20.45</v>
      </c>
      <c r="M91" s="60">
        <v>44</v>
      </c>
      <c r="N91" s="60">
        <v>4.4000000000000004</v>
      </c>
      <c r="O91" s="60">
        <v>0</v>
      </c>
      <c r="P91" s="60">
        <v>2.48</v>
      </c>
      <c r="Q91" s="60">
        <v>40.04</v>
      </c>
      <c r="R91" s="198"/>
      <c r="S91" s="198"/>
      <c r="T91" s="198"/>
      <c r="U91" s="198"/>
    </row>
    <row r="92" spans="1:26" s="12" customFormat="1" x14ac:dyDescent="0.25">
      <c r="A92" s="201" t="s">
        <v>712</v>
      </c>
      <c r="B92" s="60">
        <v>101.52</v>
      </c>
      <c r="C92" s="60">
        <v>155.08000000000001</v>
      </c>
      <c r="D92" s="60">
        <v>165.81</v>
      </c>
      <c r="E92" s="60">
        <v>6.77</v>
      </c>
      <c r="F92" s="60">
        <v>3.52</v>
      </c>
      <c r="G92" s="60">
        <v>205.25</v>
      </c>
      <c r="H92" s="60">
        <v>60.09</v>
      </c>
      <c r="I92" s="210" t="s">
        <v>36</v>
      </c>
      <c r="J92" s="60">
        <v>7.0000000000000007E-2</v>
      </c>
      <c r="K92" s="60">
        <v>336.21</v>
      </c>
      <c r="L92" s="60">
        <v>20.100000000000001</v>
      </c>
      <c r="M92" s="60">
        <v>48</v>
      </c>
      <c r="N92" s="60">
        <v>4.3</v>
      </c>
      <c r="O92" s="60">
        <v>0</v>
      </c>
      <c r="P92" s="60">
        <v>2.63</v>
      </c>
      <c r="Q92" s="60">
        <v>40.74</v>
      </c>
      <c r="R92" s="198"/>
      <c r="S92" s="198"/>
      <c r="T92" s="198"/>
      <c r="U92" s="198"/>
    </row>
    <row r="93" spans="1:26" s="12" customFormat="1" x14ac:dyDescent="0.25">
      <c r="A93" s="201" t="s">
        <v>713</v>
      </c>
      <c r="B93" s="60">
        <v>117.52</v>
      </c>
      <c r="C93" s="60">
        <v>163.91</v>
      </c>
      <c r="D93" s="60">
        <v>183.51</v>
      </c>
      <c r="E93" s="60">
        <v>7.08</v>
      </c>
      <c r="F93" s="60">
        <v>3.61</v>
      </c>
      <c r="G93" s="60">
        <v>205.25</v>
      </c>
      <c r="H93" s="60">
        <v>60.09</v>
      </c>
      <c r="I93" s="210" t="s">
        <v>36</v>
      </c>
      <c r="J93" s="60">
        <v>0.08</v>
      </c>
      <c r="K93" s="60">
        <v>358.25</v>
      </c>
      <c r="L93" s="60">
        <v>19.68</v>
      </c>
      <c r="M93" s="60">
        <v>51</v>
      </c>
      <c r="N93" s="60">
        <v>4.4000000000000004</v>
      </c>
      <c r="O93" s="60">
        <v>0</v>
      </c>
      <c r="P93" s="60">
        <v>2.86</v>
      </c>
      <c r="Q93" s="60">
        <v>40.909999999999997</v>
      </c>
      <c r="R93" s="198"/>
      <c r="S93" s="198"/>
      <c r="T93" s="198"/>
      <c r="U93" s="198"/>
    </row>
    <row r="94" spans="1:26" s="12" customFormat="1" x14ac:dyDescent="0.25">
      <c r="A94" s="201" t="s">
        <v>714</v>
      </c>
      <c r="B94" s="60">
        <v>126.62</v>
      </c>
      <c r="C94" s="60">
        <v>168.1</v>
      </c>
      <c r="D94" s="60">
        <v>193.12</v>
      </c>
      <c r="E94" s="60">
        <v>7.25</v>
      </c>
      <c r="F94" s="60">
        <v>3.49</v>
      </c>
      <c r="G94" s="60">
        <v>209.47</v>
      </c>
      <c r="H94" s="60">
        <v>63.23</v>
      </c>
      <c r="I94" s="210" t="s">
        <v>36</v>
      </c>
      <c r="J94" s="60">
        <v>0.06</v>
      </c>
      <c r="K94" s="60">
        <v>4.6900000000000004</v>
      </c>
      <c r="L94" s="60">
        <v>19.399999999999999</v>
      </c>
      <c r="M94" s="60">
        <v>50</v>
      </c>
      <c r="N94" s="60">
        <v>4.4000000000000004</v>
      </c>
      <c r="O94" s="60">
        <v>0</v>
      </c>
      <c r="P94" s="60">
        <v>2.96</v>
      </c>
      <c r="Q94" s="60">
        <v>40.229999999999997</v>
      </c>
      <c r="R94" s="198"/>
      <c r="S94" s="198"/>
      <c r="T94" s="198"/>
      <c r="U94" s="198"/>
    </row>
    <row r="95" spans="1:26" s="12" customFormat="1" x14ac:dyDescent="0.25">
      <c r="A95" s="201" t="s">
        <v>715</v>
      </c>
      <c r="B95" s="60">
        <v>130.66</v>
      </c>
      <c r="C95" s="60">
        <v>168.66</v>
      </c>
      <c r="D95" s="60">
        <v>196.67</v>
      </c>
      <c r="E95" s="60">
        <v>7.12</v>
      </c>
      <c r="F95" s="60">
        <v>3.41</v>
      </c>
      <c r="G95" s="60">
        <v>212.69</v>
      </c>
      <c r="H95" s="60">
        <v>65.63</v>
      </c>
      <c r="I95" s="210" t="s">
        <v>36</v>
      </c>
      <c r="J95" s="60">
        <v>0.04</v>
      </c>
      <c r="K95" s="60">
        <v>66.05</v>
      </c>
      <c r="L95" s="60">
        <v>19.440000000000001</v>
      </c>
      <c r="M95" s="60">
        <v>47</v>
      </c>
      <c r="N95" s="60">
        <v>4.0999999999999996</v>
      </c>
      <c r="O95" s="60">
        <v>0</v>
      </c>
      <c r="P95" s="60">
        <v>2.98</v>
      </c>
      <c r="Q95" s="60">
        <v>41.02</v>
      </c>
      <c r="R95" s="198"/>
      <c r="S95" s="198"/>
      <c r="T95" s="198"/>
      <c r="U95" s="198"/>
    </row>
    <row r="96" spans="1:26" s="12" customFormat="1" x14ac:dyDescent="0.25">
      <c r="A96" s="201" t="s">
        <v>716</v>
      </c>
      <c r="B96" s="60">
        <v>145.25</v>
      </c>
      <c r="C96" s="60">
        <v>174.95</v>
      </c>
      <c r="D96" s="60">
        <v>211.84</v>
      </c>
      <c r="E96" s="60">
        <v>7.32</v>
      </c>
      <c r="F96" s="60">
        <v>3.43</v>
      </c>
      <c r="G96" s="60">
        <v>212.69</v>
      </c>
      <c r="H96" s="60">
        <v>65.63</v>
      </c>
      <c r="I96" s="210" t="s">
        <v>36</v>
      </c>
      <c r="J96" s="60">
        <v>0.1</v>
      </c>
      <c r="K96" s="60">
        <v>356.54</v>
      </c>
      <c r="L96" s="60">
        <v>19.21</v>
      </c>
      <c r="M96" s="60">
        <v>50</v>
      </c>
      <c r="N96" s="60">
        <v>4</v>
      </c>
      <c r="O96" s="60">
        <v>0</v>
      </c>
      <c r="P96" s="60">
        <v>3</v>
      </c>
      <c r="Q96" s="60">
        <v>41.55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717</v>
      </c>
      <c r="B97" s="60">
        <v>158.07</v>
      </c>
      <c r="C97" s="60">
        <v>177.31</v>
      </c>
      <c r="D97" s="60">
        <v>223.43</v>
      </c>
      <c r="E97" s="60">
        <v>7.21</v>
      </c>
      <c r="F97" s="60">
        <v>3.43</v>
      </c>
      <c r="G97" s="60">
        <v>212.69</v>
      </c>
      <c r="H97" s="60">
        <v>65.63</v>
      </c>
      <c r="I97" s="210" t="s">
        <v>36</v>
      </c>
      <c r="J97" s="60">
        <v>0.05</v>
      </c>
      <c r="K97" s="60">
        <v>22.64</v>
      </c>
      <c r="L97" s="60">
        <v>18.690000000000001</v>
      </c>
      <c r="M97" s="60">
        <v>55</v>
      </c>
      <c r="N97" s="60">
        <v>4.4000000000000004</v>
      </c>
      <c r="O97" s="60">
        <v>0</v>
      </c>
      <c r="P97" s="60">
        <v>3.08</v>
      </c>
      <c r="Q97" s="60">
        <v>42.83</v>
      </c>
      <c r="R97" s="198"/>
      <c r="S97" s="198"/>
      <c r="T97" s="198"/>
      <c r="U97" s="198"/>
    </row>
    <row r="98" spans="1:33" s="12" customFormat="1" x14ac:dyDescent="0.25">
      <c r="A98" s="201" t="s">
        <v>718</v>
      </c>
      <c r="B98" s="60">
        <v>166.94</v>
      </c>
      <c r="C98" s="60">
        <v>181.82</v>
      </c>
      <c r="D98" s="60">
        <v>233.03</v>
      </c>
      <c r="E98" s="60">
        <v>7.6</v>
      </c>
      <c r="F98" s="60">
        <v>3.43</v>
      </c>
      <c r="G98" s="60">
        <v>196.28</v>
      </c>
      <c r="H98" s="60">
        <v>65.81</v>
      </c>
      <c r="I98" s="210" t="s">
        <v>36</v>
      </c>
      <c r="J98" s="60">
        <v>0.05</v>
      </c>
      <c r="K98" s="60">
        <v>142.11000000000001</v>
      </c>
      <c r="L98" s="60">
        <v>18.579999999999998</v>
      </c>
      <c r="M98" s="60">
        <v>53</v>
      </c>
      <c r="N98" s="60">
        <v>4.5</v>
      </c>
      <c r="O98" s="60">
        <v>0</v>
      </c>
      <c r="P98" s="60">
        <v>3.14</v>
      </c>
      <c r="Q98" s="60">
        <v>44</v>
      </c>
      <c r="R98" s="198"/>
      <c r="S98" s="198"/>
      <c r="T98" s="198"/>
      <c r="U98" s="198"/>
    </row>
    <row r="99" spans="1:33" s="12" customFormat="1" x14ac:dyDescent="0.25">
      <c r="A99" s="201" t="s">
        <v>719</v>
      </c>
      <c r="B99" s="60">
        <v>173.36</v>
      </c>
      <c r="C99" s="60">
        <v>183.23</v>
      </c>
      <c r="D99" s="60">
        <v>238.95</v>
      </c>
      <c r="E99" s="60">
        <v>7.78</v>
      </c>
      <c r="F99" s="60">
        <v>3.38</v>
      </c>
      <c r="G99" s="60">
        <v>183.16</v>
      </c>
      <c r="H99" s="60">
        <v>65.95</v>
      </c>
      <c r="I99" s="210" t="s">
        <v>36</v>
      </c>
      <c r="J99" s="60">
        <v>0.09</v>
      </c>
      <c r="K99" s="60">
        <v>279.14999999999998</v>
      </c>
      <c r="L99" s="60">
        <v>18.52</v>
      </c>
      <c r="M99" s="60">
        <v>52</v>
      </c>
      <c r="N99" s="60">
        <v>4.2</v>
      </c>
      <c r="O99" s="60">
        <v>0</v>
      </c>
      <c r="P99" s="60">
        <v>3.14</v>
      </c>
      <c r="Q99" s="60">
        <v>44.98</v>
      </c>
      <c r="R99" s="198"/>
      <c r="S99" s="198"/>
      <c r="T99" s="198"/>
      <c r="U99" s="198"/>
    </row>
    <row r="100" spans="1:33" s="12" customFormat="1" x14ac:dyDescent="0.25">
      <c r="A100" s="201" t="s">
        <v>720</v>
      </c>
      <c r="B100" s="60">
        <v>178.43</v>
      </c>
      <c r="C100" s="60">
        <v>183.83</v>
      </c>
      <c r="D100" s="60">
        <v>243.35</v>
      </c>
      <c r="E100" s="60">
        <v>7.79</v>
      </c>
      <c r="F100" s="60">
        <v>3.13</v>
      </c>
      <c r="G100" s="60">
        <v>183.16</v>
      </c>
      <c r="H100" s="60">
        <v>65.95</v>
      </c>
      <c r="I100" s="210" t="s">
        <v>36</v>
      </c>
      <c r="J100" s="60">
        <v>0.14000000000000001</v>
      </c>
      <c r="K100" s="60">
        <v>11.6</v>
      </c>
      <c r="L100" s="60">
        <v>18.260000000000002</v>
      </c>
      <c r="M100" s="60">
        <v>56</v>
      </c>
      <c r="N100" s="60">
        <v>4.3</v>
      </c>
      <c r="O100" s="60">
        <v>0</v>
      </c>
      <c r="P100" s="60">
        <v>3.18</v>
      </c>
      <c r="Q100" s="60">
        <v>45.8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721</v>
      </c>
      <c r="B101" s="60">
        <v>184.53</v>
      </c>
      <c r="C101" s="60">
        <v>186.19</v>
      </c>
      <c r="D101" s="60">
        <v>249.55</v>
      </c>
      <c r="E101" s="60">
        <v>8.16</v>
      </c>
      <c r="F101" s="60">
        <v>3.62</v>
      </c>
      <c r="G101" s="60">
        <v>183.16</v>
      </c>
      <c r="H101" s="60">
        <v>65.95</v>
      </c>
      <c r="I101" s="210" t="s">
        <v>36</v>
      </c>
      <c r="J101" s="60">
        <v>0.06</v>
      </c>
      <c r="K101" s="60">
        <v>348.06</v>
      </c>
      <c r="L101" s="60">
        <v>18.09</v>
      </c>
      <c r="M101" s="60">
        <v>55</v>
      </c>
      <c r="N101" s="60">
        <v>4</v>
      </c>
      <c r="O101" s="60">
        <v>0</v>
      </c>
      <c r="P101" s="60">
        <v>3.23</v>
      </c>
      <c r="Q101" s="60">
        <v>47.49</v>
      </c>
      <c r="R101" s="198"/>
      <c r="S101" s="198"/>
      <c r="T101" s="198"/>
      <c r="U101" s="198"/>
    </row>
    <row r="102" spans="1:33" s="12" customFormat="1" x14ac:dyDescent="0.25">
      <c r="A102" s="201" t="s">
        <v>722</v>
      </c>
      <c r="B102" s="60">
        <v>191.06</v>
      </c>
      <c r="C102" s="60">
        <v>188.88</v>
      </c>
      <c r="D102" s="60">
        <v>256.26</v>
      </c>
      <c r="E102" s="60">
        <v>8</v>
      </c>
      <c r="F102" s="60">
        <v>3.43</v>
      </c>
      <c r="G102" s="60">
        <v>187.21</v>
      </c>
      <c r="H102" s="60">
        <v>67.16</v>
      </c>
      <c r="I102" s="210" t="s">
        <v>36</v>
      </c>
      <c r="J102" s="60">
        <v>0.12</v>
      </c>
      <c r="K102" s="60">
        <v>337.64</v>
      </c>
      <c r="L102" s="60">
        <v>18.14</v>
      </c>
      <c r="M102" s="60">
        <v>60</v>
      </c>
      <c r="N102" s="60">
        <v>4</v>
      </c>
      <c r="O102" s="60">
        <v>0</v>
      </c>
      <c r="P102" s="60">
        <v>3.28</v>
      </c>
      <c r="Q102" s="60">
        <v>48.23</v>
      </c>
      <c r="R102" s="198"/>
      <c r="S102" s="198"/>
      <c r="T102" s="198"/>
      <c r="U102" s="198"/>
    </row>
    <row r="103" spans="1:33" s="12" customFormat="1" x14ac:dyDescent="0.25">
      <c r="A103" s="201" t="s">
        <v>723</v>
      </c>
      <c r="B103" s="60">
        <v>192.51</v>
      </c>
      <c r="C103" s="60">
        <v>188.98</v>
      </c>
      <c r="D103" s="60">
        <v>257.48</v>
      </c>
      <c r="E103" s="60">
        <v>7.96</v>
      </c>
      <c r="F103" s="60">
        <v>4.3600000000000003</v>
      </c>
      <c r="G103" s="60">
        <v>190.46</v>
      </c>
      <c r="H103" s="60">
        <v>68.12</v>
      </c>
      <c r="I103" s="210" t="s">
        <v>36</v>
      </c>
      <c r="J103" s="60">
        <v>0.06</v>
      </c>
      <c r="K103" s="60">
        <v>67.48</v>
      </c>
      <c r="L103" s="60">
        <v>18.350000000000001</v>
      </c>
      <c r="M103" s="60">
        <v>54</v>
      </c>
      <c r="N103" s="60">
        <v>4.0999999999999996</v>
      </c>
      <c r="O103" s="60">
        <v>0</v>
      </c>
      <c r="P103" s="60">
        <v>3.28</v>
      </c>
      <c r="Q103" s="60">
        <v>48.51</v>
      </c>
      <c r="R103" s="198"/>
      <c r="S103" s="198"/>
      <c r="T103" s="198"/>
      <c r="U103" s="198"/>
    </row>
    <row r="104" spans="1:33" s="12" customFormat="1" x14ac:dyDescent="0.25">
      <c r="A104" s="201" t="s">
        <v>724</v>
      </c>
      <c r="B104" s="60">
        <v>183.52</v>
      </c>
      <c r="C104" s="60">
        <v>184.76</v>
      </c>
      <c r="D104" s="60">
        <v>247.94</v>
      </c>
      <c r="E104" s="60">
        <v>5.6</v>
      </c>
      <c r="F104" s="60">
        <v>3.88</v>
      </c>
      <c r="G104" s="60">
        <v>190.46</v>
      </c>
      <c r="H104" s="60">
        <v>68.12</v>
      </c>
      <c r="I104" s="210" t="s">
        <v>36</v>
      </c>
      <c r="J104" s="60">
        <v>0.11</v>
      </c>
      <c r="K104" s="60">
        <v>225.9</v>
      </c>
      <c r="L104" s="60">
        <v>18.59</v>
      </c>
      <c r="M104" s="60">
        <v>49</v>
      </c>
      <c r="N104" s="60">
        <v>3.9</v>
      </c>
      <c r="O104" s="60">
        <v>0</v>
      </c>
      <c r="P104" s="60">
        <v>3.19</v>
      </c>
      <c r="Q104" s="60">
        <v>47.78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4.7300000000000004</v>
      </c>
      <c r="C106" s="67">
        <f>MIN(C9:C104)</f>
        <v>88.18</v>
      </c>
      <c r="D106" s="67">
        <f t="shared" ref="D106:Q106" si="0">MIN(D9:D104)</f>
        <v>52.31</v>
      </c>
      <c r="E106" s="67">
        <f t="shared" si="0"/>
        <v>4.33</v>
      </c>
      <c r="F106" s="67">
        <f t="shared" si="0"/>
        <v>2.71</v>
      </c>
      <c r="G106" s="67">
        <f t="shared" si="0"/>
        <v>32.42</v>
      </c>
      <c r="H106" s="67">
        <f t="shared" si="0"/>
        <v>19.670000000000002</v>
      </c>
      <c r="I106" s="67">
        <f t="shared" si="0"/>
        <v>0.89</v>
      </c>
      <c r="J106" s="67">
        <f t="shared" si="0"/>
        <v>0.02</v>
      </c>
      <c r="K106" s="67">
        <f t="shared" si="0"/>
        <v>4.6900000000000004</v>
      </c>
      <c r="L106" s="67">
        <f t="shared" si="0"/>
        <v>13.18</v>
      </c>
      <c r="M106" s="67">
        <f t="shared" si="0"/>
        <v>11</v>
      </c>
      <c r="N106" s="67">
        <f t="shared" si="0"/>
        <v>3.5</v>
      </c>
      <c r="O106" s="67">
        <f t="shared" si="0"/>
        <v>0</v>
      </c>
      <c r="P106" s="67">
        <f t="shared" si="0"/>
        <v>0.84</v>
      </c>
      <c r="Q106" s="67">
        <f t="shared" si="0"/>
        <v>28.56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223.18</v>
      </c>
      <c r="C107" s="66">
        <f t="shared" ref="C107:Q107" si="1">MAX(C9:C104)</f>
        <v>188.98</v>
      </c>
      <c r="D107" s="66">
        <f t="shared" si="1"/>
        <v>280.47000000000003</v>
      </c>
      <c r="E107" s="66">
        <f t="shared" si="1"/>
        <v>19.61</v>
      </c>
      <c r="F107" s="66">
        <f t="shared" si="1"/>
        <v>22.08</v>
      </c>
      <c r="G107" s="66">
        <f t="shared" si="1"/>
        <v>212.69</v>
      </c>
      <c r="H107" s="66">
        <f t="shared" si="1"/>
        <v>68.930000000000007</v>
      </c>
      <c r="I107" s="66">
        <f t="shared" si="1"/>
        <v>1.86</v>
      </c>
      <c r="J107" s="66">
        <f t="shared" si="1"/>
        <v>1.1399999999999999</v>
      </c>
      <c r="K107" s="66">
        <f t="shared" si="1"/>
        <v>359.65</v>
      </c>
      <c r="L107" s="66">
        <f t="shared" si="1"/>
        <v>33.979999999999997</v>
      </c>
      <c r="M107" s="66">
        <f t="shared" si="1"/>
        <v>79</v>
      </c>
      <c r="N107" s="66">
        <f t="shared" si="1"/>
        <v>686.9</v>
      </c>
      <c r="O107" s="66">
        <f t="shared" si="1"/>
        <v>0</v>
      </c>
      <c r="P107" s="66">
        <f t="shared" si="1"/>
        <v>3.54</v>
      </c>
      <c r="Q107" s="66">
        <f t="shared" si="1"/>
        <v>48.51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80.595937499999962</v>
      </c>
      <c r="C108" s="67">
        <f t="shared" ref="C108:Q108" si="2">AVERAGE(C9:C104)</f>
        <v>127.2667708333333</v>
      </c>
      <c r="D108" s="67">
        <f t="shared" si="2"/>
        <v>133.67812500000005</v>
      </c>
      <c r="E108" s="67">
        <f t="shared" si="2"/>
        <v>7.5608333333333304</v>
      </c>
      <c r="F108" s="67">
        <f t="shared" si="2"/>
        <v>4.9156250000000004</v>
      </c>
      <c r="G108" s="67">
        <f t="shared" si="2"/>
        <v>107.54302083333334</v>
      </c>
      <c r="H108" s="67">
        <f t="shared" si="2"/>
        <v>46.159270833333373</v>
      </c>
      <c r="I108" s="67">
        <f t="shared" si="2"/>
        <v>1.3111538461538461</v>
      </c>
      <c r="J108" s="67">
        <f t="shared" si="2"/>
        <v>0.26520833333333332</v>
      </c>
      <c r="K108" s="67">
        <f t="shared" si="2"/>
        <v>201.94312500000004</v>
      </c>
      <c r="L108" s="67">
        <f t="shared" si="2"/>
        <v>22.111770833333328</v>
      </c>
      <c r="M108" s="67">
        <f t="shared" si="2"/>
        <v>41.520833333333336</v>
      </c>
      <c r="N108" s="67">
        <f t="shared" si="2"/>
        <v>164.55833333333325</v>
      </c>
      <c r="O108" s="67">
        <f t="shared" si="2"/>
        <v>0</v>
      </c>
      <c r="P108" s="67">
        <f t="shared" si="2"/>
        <v>1.8317708333333329</v>
      </c>
      <c r="Q108" s="67">
        <f t="shared" si="2"/>
        <v>35.451354166666647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61.193309809387152</v>
      </c>
      <c r="C109" s="67">
        <f t="shared" ref="C109:Q109" si="3">STDEV(C9:C104)</f>
        <v>27.879210647090197</v>
      </c>
      <c r="D109" s="67">
        <f t="shared" si="3"/>
        <v>63.124643737399957</v>
      </c>
      <c r="E109" s="67">
        <f t="shared" si="3"/>
        <v>2.2792550337274684</v>
      </c>
      <c r="F109" s="67">
        <f t="shared" si="3"/>
        <v>3.3065319126652444</v>
      </c>
      <c r="G109" s="67">
        <f t="shared" si="3"/>
        <v>54.706713532393422</v>
      </c>
      <c r="H109" s="67">
        <f t="shared" si="3"/>
        <v>15.252284608494074</v>
      </c>
      <c r="I109" s="67">
        <f t="shared" si="3"/>
        <v>0.3168889638100626</v>
      </c>
      <c r="J109" s="67">
        <f t="shared" si="3"/>
        <v>0.26363443256731039</v>
      </c>
      <c r="K109" s="67">
        <f t="shared" si="3"/>
        <v>115.47848240951741</v>
      </c>
      <c r="L109" s="67">
        <f t="shared" si="3"/>
        <v>6.4831467334915871</v>
      </c>
      <c r="M109" s="67">
        <f t="shared" si="3"/>
        <v>20.656070430118966</v>
      </c>
      <c r="N109" s="67">
        <f t="shared" si="3"/>
        <v>235.654748650231</v>
      </c>
      <c r="O109" s="67">
        <f t="shared" si="3"/>
        <v>0</v>
      </c>
      <c r="P109" s="67">
        <f t="shared" si="3"/>
        <v>0.78431330312327574</v>
      </c>
      <c r="Q109" s="67">
        <f t="shared" si="3"/>
        <v>5.3359889567850152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COUNT(I9:I104)+70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215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5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D9" sqref="D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06-02-2023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340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725</v>
      </c>
      <c r="B9" s="60">
        <v>171.66</v>
      </c>
      <c r="C9" s="60">
        <v>178.92</v>
      </c>
      <c r="D9" s="60">
        <v>235.21</v>
      </c>
      <c r="E9" s="60">
        <v>8.2200000000000006</v>
      </c>
      <c r="F9" s="60">
        <v>3.57</v>
      </c>
      <c r="G9" s="60">
        <v>190.46</v>
      </c>
      <c r="H9" s="60">
        <v>68.12</v>
      </c>
      <c r="I9" s="210" t="s">
        <v>36</v>
      </c>
      <c r="J9" s="60">
        <v>0.05</v>
      </c>
      <c r="K9" s="60">
        <v>331.05</v>
      </c>
      <c r="L9" s="60">
        <v>18.399999999999999</v>
      </c>
      <c r="M9" s="60">
        <v>50</v>
      </c>
      <c r="N9" s="60">
        <v>4.2</v>
      </c>
      <c r="O9" s="60">
        <v>0</v>
      </c>
      <c r="P9" s="60">
        <v>3.1</v>
      </c>
      <c r="Q9" s="60">
        <v>46.42</v>
      </c>
      <c r="R9" s="198"/>
      <c r="S9" s="198"/>
      <c r="T9" s="198"/>
      <c r="U9" s="198"/>
    </row>
    <row r="10" spans="1:21" s="12" customFormat="1" x14ac:dyDescent="0.25">
      <c r="A10" s="201" t="s">
        <v>726</v>
      </c>
      <c r="B10" s="60">
        <v>162.79</v>
      </c>
      <c r="C10" s="60">
        <v>174.87</v>
      </c>
      <c r="D10" s="60">
        <v>225.86</v>
      </c>
      <c r="E10" s="60">
        <v>8.43</v>
      </c>
      <c r="F10" s="60">
        <v>3.36</v>
      </c>
      <c r="G10" s="60">
        <v>145.61000000000001</v>
      </c>
      <c r="H10" s="60">
        <v>63.08</v>
      </c>
      <c r="I10" s="210" t="s">
        <v>36</v>
      </c>
      <c r="J10" s="60">
        <v>0.08</v>
      </c>
      <c r="K10" s="60">
        <v>271.14</v>
      </c>
      <c r="L10" s="60">
        <v>17.829999999999998</v>
      </c>
      <c r="M10" s="60">
        <v>54</v>
      </c>
      <c r="N10" s="60">
        <v>4.3</v>
      </c>
      <c r="O10" s="60">
        <v>0</v>
      </c>
      <c r="P10" s="60">
        <v>3.03</v>
      </c>
      <c r="Q10" s="60">
        <v>45.12</v>
      </c>
      <c r="R10" s="198"/>
      <c r="S10" s="198"/>
      <c r="T10" s="198"/>
      <c r="U10" s="198"/>
    </row>
    <row r="11" spans="1:21" s="12" customFormat="1" x14ac:dyDescent="0.25">
      <c r="A11" s="201" t="s">
        <v>727</v>
      </c>
      <c r="B11" s="60">
        <v>152.5</v>
      </c>
      <c r="C11" s="60">
        <v>170.02</v>
      </c>
      <c r="D11" s="60">
        <v>214.94</v>
      </c>
      <c r="E11" s="60">
        <v>8.3699999999999992</v>
      </c>
      <c r="F11" s="60">
        <v>3.43</v>
      </c>
      <c r="G11" s="60">
        <v>109.73</v>
      </c>
      <c r="H11" s="60">
        <v>59.04</v>
      </c>
      <c r="I11" s="210" t="s">
        <v>36</v>
      </c>
      <c r="J11" s="60">
        <v>0.14000000000000001</v>
      </c>
      <c r="K11" s="60">
        <v>335.58</v>
      </c>
      <c r="L11" s="60">
        <v>17.5</v>
      </c>
      <c r="M11" s="60">
        <v>57</v>
      </c>
      <c r="N11" s="60">
        <v>4.3</v>
      </c>
      <c r="O11" s="60">
        <v>0</v>
      </c>
      <c r="P11" s="60">
        <v>2.95</v>
      </c>
      <c r="Q11" s="60">
        <v>44.09</v>
      </c>
      <c r="R11" s="198"/>
      <c r="S11" s="198"/>
      <c r="T11" s="198"/>
      <c r="U11" s="198"/>
    </row>
    <row r="12" spans="1:21" s="12" customFormat="1" x14ac:dyDescent="0.25">
      <c r="A12" s="201" t="s">
        <v>728</v>
      </c>
      <c r="B12" s="60">
        <v>143.88</v>
      </c>
      <c r="C12" s="60">
        <v>164.87</v>
      </c>
      <c r="D12" s="60">
        <v>205.18</v>
      </c>
      <c r="E12" s="60">
        <v>7.98</v>
      </c>
      <c r="F12" s="60">
        <v>3.59</v>
      </c>
      <c r="G12" s="60">
        <v>109.73</v>
      </c>
      <c r="H12" s="60">
        <v>59.04</v>
      </c>
      <c r="I12" s="210" t="s">
        <v>36</v>
      </c>
      <c r="J12" s="60">
        <v>0.15</v>
      </c>
      <c r="K12" s="60">
        <v>310.10000000000002</v>
      </c>
      <c r="L12" s="60">
        <v>17.68</v>
      </c>
      <c r="M12" s="60">
        <v>54</v>
      </c>
      <c r="N12" s="60">
        <v>3.7</v>
      </c>
      <c r="O12" s="60">
        <v>0</v>
      </c>
      <c r="P12" s="60">
        <v>2.89</v>
      </c>
      <c r="Q12" s="60">
        <v>42.72</v>
      </c>
      <c r="R12" s="198"/>
      <c r="S12" s="198"/>
      <c r="T12" s="198"/>
      <c r="U12" s="198"/>
    </row>
    <row r="13" spans="1:21" s="12" customFormat="1" x14ac:dyDescent="0.25">
      <c r="A13" s="201" t="s">
        <v>729</v>
      </c>
      <c r="B13" s="60">
        <v>138.76</v>
      </c>
      <c r="C13" s="60">
        <v>161.72999999999999</v>
      </c>
      <c r="D13" s="60">
        <v>199.34</v>
      </c>
      <c r="E13" s="60">
        <v>7.76</v>
      </c>
      <c r="F13" s="60">
        <v>3.41</v>
      </c>
      <c r="G13" s="60">
        <v>109.73</v>
      </c>
      <c r="H13" s="60">
        <v>59.04</v>
      </c>
      <c r="I13" s="210" t="s">
        <v>36</v>
      </c>
      <c r="J13" s="60">
        <v>0.08</v>
      </c>
      <c r="K13" s="60">
        <v>330.26</v>
      </c>
      <c r="L13" s="60">
        <v>17.14</v>
      </c>
      <c r="M13" s="60">
        <v>56</v>
      </c>
      <c r="N13" s="60">
        <v>4.5999999999999996</v>
      </c>
      <c r="O13" s="60">
        <v>0</v>
      </c>
      <c r="P13" s="60">
        <v>2.57</v>
      </c>
      <c r="Q13" s="60">
        <v>41.63</v>
      </c>
      <c r="R13" s="198"/>
      <c r="S13" s="198"/>
      <c r="T13" s="198"/>
      <c r="U13" s="198"/>
    </row>
    <row r="14" spans="1:21" s="12" customFormat="1" x14ac:dyDescent="0.25">
      <c r="A14" s="201" t="s">
        <v>730</v>
      </c>
      <c r="B14" s="60">
        <v>133.99</v>
      </c>
      <c r="C14" s="60">
        <v>158.9</v>
      </c>
      <c r="D14" s="60">
        <v>193.96</v>
      </c>
      <c r="E14" s="60">
        <v>8.1199999999999992</v>
      </c>
      <c r="F14" s="60">
        <v>3.48</v>
      </c>
      <c r="G14" s="60">
        <v>109.01</v>
      </c>
      <c r="H14" s="60">
        <v>56.74</v>
      </c>
      <c r="I14" s="210" t="s">
        <v>36</v>
      </c>
      <c r="J14" s="60">
        <v>0.14000000000000001</v>
      </c>
      <c r="K14" s="60">
        <v>258.08999999999997</v>
      </c>
      <c r="L14" s="60">
        <v>17.2</v>
      </c>
      <c r="M14" s="60">
        <v>57</v>
      </c>
      <c r="N14" s="60">
        <v>4.0999999999999996</v>
      </c>
      <c r="O14" s="60">
        <v>0</v>
      </c>
      <c r="P14" s="60">
        <v>2.64</v>
      </c>
      <c r="Q14" s="60">
        <v>40.75</v>
      </c>
      <c r="R14" s="198"/>
      <c r="S14" s="198"/>
      <c r="T14" s="198"/>
      <c r="U14" s="198"/>
    </row>
    <row r="15" spans="1:21" s="12" customFormat="1" x14ac:dyDescent="0.25">
      <c r="A15" s="201" t="s">
        <v>731</v>
      </c>
      <c r="B15" s="60">
        <v>129.84</v>
      </c>
      <c r="C15" s="60">
        <v>155.65</v>
      </c>
      <c r="D15" s="60">
        <v>188.83</v>
      </c>
      <c r="E15" s="60">
        <v>7.85</v>
      </c>
      <c r="F15" s="60">
        <v>3.35</v>
      </c>
      <c r="G15" s="60">
        <v>108.43</v>
      </c>
      <c r="H15" s="60">
        <v>54.9</v>
      </c>
      <c r="I15" s="210" t="s">
        <v>36</v>
      </c>
      <c r="J15" s="60">
        <v>0.09</v>
      </c>
      <c r="K15" s="60">
        <v>310.39999999999998</v>
      </c>
      <c r="L15" s="60">
        <v>16.8</v>
      </c>
      <c r="M15" s="60">
        <v>60</v>
      </c>
      <c r="N15" s="60">
        <v>4.5999999999999996</v>
      </c>
      <c r="O15" s="60">
        <v>0</v>
      </c>
      <c r="P15" s="60">
        <v>2.61</v>
      </c>
      <c r="Q15" s="60">
        <v>40.299999999999997</v>
      </c>
      <c r="R15" s="198"/>
      <c r="S15" s="198"/>
      <c r="T15" s="198"/>
      <c r="U15" s="198"/>
    </row>
    <row r="16" spans="1:21" s="12" customFormat="1" x14ac:dyDescent="0.25">
      <c r="A16" s="201" t="s">
        <v>732</v>
      </c>
      <c r="B16" s="60">
        <v>126.74</v>
      </c>
      <c r="C16" s="60">
        <v>152.88</v>
      </c>
      <c r="D16" s="60">
        <v>184.82</v>
      </c>
      <c r="E16" s="60">
        <v>7.76</v>
      </c>
      <c r="F16" s="60">
        <v>3.44</v>
      </c>
      <c r="G16" s="60">
        <v>108.43</v>
      </c>
      <c r="H16" s="60">
        <v>54.9</v>
      </c>
      <c r="I16" s="210" t="s">
        <v>36</v>
      </c>
      <c r="J16" s="60">
        <v>0.15</v>
      </c>
      <c r="K16" s="60">
        <v>244.6</v>
      </c>
      <c r="L16" s="60">
        <v>16.579999999999998</v>
      </c>
      <c r="M16" s="60">
        <v>62</v>
      </c>
      <c r="N16" s="60">
        <v>3.7</v>
      </c>
      <c r="O16" s="60">
        <v>0</v>
      </c>
      <c r="P16" s="60">
        <v>2.57</v>
      </c>
      <c r="Q16" s="60">
        <v>40.03</v>
      </c>
      <c r="R16" s="198"/>
      <c r="S16" s="198"/>
      <c r="T16" s="198"/>
      <c r="U16" s="198"/>
    </row>
    <row r="17" spans="1:21" s="12" customFormat="1" x14ac:dyDescent="0.25">
      <c r="A17" s="201" t="s">
        <v>733</v>
      </c>
      <c r="B17" s="60">
        <v>124.56</v>
      </c>
      <c r="C17" s="60">
        <v>150.05000000000001</v>
      </c>
      <c r="D17" s="60">
        <v>181.51</v>
      </c>
      <c r="E17" s="60">
        <v>7.75</v>
      </c>
      <c r="F17" s="60">
        <v>3.47</v>
      </c>
      <c r="G17" s="60">
        <v>108.43</v>
      </c>
      <c r="H17" s="60">
        <v>54.9</v>
      </c>
      <c r="I17" s="210" t="s">
        <v>36</v>
      </c>
      <c r="J17" s="60">
        <v>0.33</v>
      </c>
      <c r="K17" s="60">
        <v>228.02</v>
      </c>
      <c r="L17" s="60">
        <v>17.54</v>
      </c>
      <c r="M17" s="60">
        <v>58</v>
      </c>
      <c r="N17" s="60">
        <v>2.6</v>
      </c>
      <c r="O17" s="60">
        <v>0</v>
      </c>
      <c r="P17" s="60">
        <v>2.5299999999999998</v>
      </c>
      <c r="Q17" s="60">
        <v>39.76</v>
      </c>
      <c r="R17" s="198"/>
      <c r="S17" s="198"/>
      <c r="T17" s="198"/>
      <c r="U17" s="198"/>
    </row>
    <row r="18" spans="1:21" s="12" customFormat="1" x14ac:dyDescent="0.25">
      <c r="A18" s="201" t="s">
        <v>734</v>
      </c>
      <c r="B18" s="60">
        <v>118.38</v>
      </c>
      <c r="C18" s="60">
        <v>143.87</v>
      </c>
      <c r="D18" s="60">
        <v>173.14</v>
      </c>
      <c r="E18" s="60">
        <v>7.95</v>
      </c>
      <c r="F18" s="60">
        <v>3.5</v>
      </c>
      <c r="G18" s="60">
        <v>104.58</v>
      </c>
      <c r="H18" s="60">
        <v>54.84</v>
      </c>
      <c r="I18" s="210" t="s">
        <v>36</v>
      </c>
      <c r="J18" s="60">
        <v>0.32</v>
      </c>
      <c r="K18" s="60">
        <v>174.09</v>
      </c>
      <c r="L18" s="60">
        <v>17.59</v>
      </c>
      <c r="M18" s="60">
        <v>56</v>
      </c>
      <c r="N18" s="60">
        <v>3.7</v>
      </c>
      <c r="O18" s="60">
        <v>0</v>
      </c>
      <c r="P18" s="60">
        <v>2.4500000000000002</v>
      </c>
      <c r="Q18" s="60">
        <v>39.130000000000003</v>
      </c>
      <c r="R18" s="198"/>
      <c r="S18" s="198"/>
      <c r="T18" s="198"/>
      <c r="U18" s="198"/>
    </row>
    <row r="19" spans="1:21" s="12" customFormat="1" x14ac:dyDescent="0.25">
      <c r="A19" s="201" t="s">
        <v>735</v>
      </c>
      <c r="B19" s="60">
        <v>111.84</v>
      </c>
      <c r="C19" s="60">
        <v>139.72999999999999</v>
      </c>
      <c r="D19" s="60">
        <v>165.61</v>
      </c>
      <c r="E19" s="60">
        <v>7.64</v>
      </c>
      <c r="F19" s="60">
        <v>3.51</v>
      </c>
      <c r="G19" s="60">
        <v>101.49</v>
      </c>
      <c r="H19" s="60">
        <v>54.8</v>
      </c>
      <c r="I19" s="210" t="s">
        <v>36</v>
      </c>
      <c r="J19" s="60">
        <v>0.17</v>
      </c>
      <c r="K19" s="60">
        <v>323.91000000000003</v>
      </c>
      <c r="L19" s="60">
        <v>16.48</v>
      </c>
      <c r="M19" s="60">
        <v>61</v>
      </c>
      <c r="N19" s="60">
        <v>4.7</v>
      </c>
      <c r="O19" s="60">
        <v>0</v>
      </c>
      <c r="P19" s="60">
        <v>2.36</v>
      </c>
      <c r="Q19" s="60">
        <v>39.049999999999997</v>
      </c>
      <c r="R19" s="198"/>
      <c r="S19" s="198"/>
      <c r="T19" s="198"/>
      <c r="U19" s="198"/>
    </row>
    <row r="20" spans="1:21" s="12" customFormat="1" x14ac:dyDescent="0.25">
      <c r="A20" s="201" t="s">
        <v>736</v>
      </c>
      <c r="B20" s="60">
        <v>104.45</v>
      </c>
      <c r="C20" s="60">
        <v>135</v>
      </c>
      <c r="D20" s="60">
        <v>157.08000000000001</v>
      </c>
      <c r="E20" s="60">
        <v>7.61</v>
      </c>
      <c r="F20" s="60">
        <v>3.54</v>
      </c>
      <c r="G20" s="60">
        <v>101.49</v>
      </c>
      <c r="H20" s="60">
        <v>54.8</v>
      </c>
      <c r="I20" s="210" t="s">
        <v>36</v>
      </c>
      <c r="J20" s="60">
        <v>0.13</v>
      </c>
      <c r="K20" s="60">
        <v>12.98</v>
      </c>
      <c r="L20" s="60">
        <v>15.74</v>
      </c>
      <c r="M20" s="60">
        <v>66</v>
      </c>
      <c r="N20" s="60">
        <v>4.7</v>
      </c>
      <c r="O20" s="60">
        <v>0</v>
      </c>
      <c r="P20" s="60">
        <v>2.2599999999999998</v>
      </c>
      <c r="Q20" s="60">
        <v>39.020000000000003</v>
      </c>
      <c r="R20" s="198"/>
      <c r="S20" s="198"/>
      <c r="T20" s="198"/>
      <c r="U20" s="198"/>
    </row>
    <row r="21" spans="1:21" s="12" customFormat="1" x14ac:dyDescent="0.25">
      <c r="A21" s="201" t="s">
        <v>737</v>
      </c>
      <c r="B21" s="60">
        <v>96.52</v>
      </c>
      <c r="C21" s="60">
        <v>130.16</v>
      </c>
      <c r="D21" s="60">
        <v>148.05000000000001</v>
      </c>
      <c r="E21" s="60">
        <v>7.38</v>
      </c>
      <c r="F21" s="60">
        <v>3.46</v>
      </c>
      <c r="G21" s="60">
        <v>101.49</v>
      </c>
      <c r="H21" s="60">
        <v>54.8</v>
      </c>
      <c r="I21" s="210" t="s">
        <v>36</v>
      </c>
      <c r="J21" s="60">
        <v>0.09</v>
      </c>
      <c r="K21" s="60">
        <v>304.8</v>
      </c>
      <c r="L21" s="60">
        <v>15.71</v>
      </c>
      <c r="M21" s="60">
        <v>65</v>
      </c>
      <c r="N21" s="60">
        <v>4.2</v>
      </c>
      <c r="O21" s="60">
        <v>0</v>
      </c>
      <c r="P21" s="60">
        <v>2.16</v>
      </c>
      <c r="Q21" s="60">
        <v>37.97</v>
      </c>
      <c r="R21" s="198"/>
      <c r="S21" s="198"/>
      <c r="T21" s="198"/>
      <c r="U21" s="198"/>
    </row>
    <row r="22" spans="1:21" s="12" customFormat="1" x14ac:dyDescent="0.25">
      <c r="A22" s="201" t="s">
        <v>738</v>
      </c>
      <c r="B22" s="60">
        <v>89.08</v>
      </c>
      <c r="C22" s="60">
        <v>125.9</v>
      </c>
      <c r="D22" s="60">
        <v>139.72</v>
      </c>
      <c r="E22" s="60">
        <v>7.5</v>
      </c>
      <c r="F22" s="60">
        <v>3.51</v>
      </c>
      <c r="G22" s="60">
        <v>87.91</v>
      </c>
      <c r="H22" s="60">
        <v>49.54</v>
      </c>
      <c r="I22" s="210" t="s">
        <v>36</v>
      </c>
      <c r="J22" s="60">
        <v>0.1</v>
      </c>
      <c r="K22" s="60">
        <v>24.45</v>
      </c>
      <c r="L22" s="60">
        <v>15.82</v>
      </c>
      <c r="M22" s="60">
        <v>66</v>
      </c>
      <c r="N22" s="60">
        <v>4.0999999999999996</v>
      </c>
      <c r="O22" s="60">
        <v>0</v>
      </c>
      <c r="P22" s="60">
        <v>2.0699999999999998</v>
      </c>
      <c r="Q22" s="60">
        <v>36.94</v>
      </c>
      <c r="R22" s="198"/>
      <c r="S22" s="198"/>
      <c r="T22" s="198"/>
      <c r="U22" s="198"/>
    </row>
    <row r="23" spans="1:21" s="12" customFormat="1" x14ac:dyDescent="0.25">
      <c r="A23" s="201" t="s">
        <v>739</v>
      </c>
      <c r="B23" s="60">
        <v>82.32</v>
      </c>
      <c r="C23" s="60">
        <v>121.87</v>
      </c>
      <c r="D23" s="60">
        <v>132.09</v>
      </c>
      <c r="E23" s="60">
        <v>7.71</v>
      </c>
      <c r="F23" s="60">
        <v>3.8</v>
      </c>
      <c r="G23" s="60">
        <v>77.05</v>
      </c>
      <c r="H23" s="60">
        <v>45.33</v>
      </c>
      <c r="I23" s="210" t="s">
        <v>36</v>
      </c>
      <c r="J23" s="60">
        <v>0.08</v>
      </c>
      <c r="K23" s="60">
        <v>289.52</v>
      </c>
      <c r="L23" s="60">
        <v>15.59</v>
      </c>
      <c r="M23" s="60">
        <v>69</v>
      </c>
      <c r="N23" s="60">
        <v>4.4000000000000004</v>
      </c>
      <c r="O23" s="60">
        <v>0</v>
      </c>
      <c r="P23" s="60">
        <v>1.99</v>
      </c>
      <c r="Q23" s="60">
        <v>36.15</v>
      </c>
      <c r="R23" s="198"/>
      <c r="S23" s="198"/>
      <c r="T23" s="198"/>
      <c r="U23" s="198"/>
    </row>
    <row r="24" spans="1:21" s="12" customFormat="1" x14ac:dyDescent="0.25">
      <c r="A24" s="201" t="s">
        <v>740</v>
      </c>
      <c r="B24" s="60">
        <v>76.08</v>
      </c>
      <c r="C24" s="60">
        <v>118.36</v>
      </c>
      <c r="D24" s="60">
        <v>125.14</v>
      </c>
      <c r="E24" s="60">
        <v>4.1500000000000004</v>
      </c>
      <c r="F24" s="60">
        <v>3.51</v>
      </c>
      <c r="G24" s="60">
        <v>77.05</v>
      </c>
      <c r="H24" s="60">
        <v>45.33</v>
      </c>
      <c r="I24" s="210" t="s">
        <v>36</v>
      </c>
      <c r="J24" s="60">
        <v>0.11</v>
      </c>
      <c r="K24" s="60">
        <v>13.58</v>
      </c>
      <c r="L24" s="60">
        <v>15.45</v>
      </c>
      <c r="M24" s="60">
        <v>70</v>
      </c>
      <c r="N24" s="60">
        <v>4.0999999999999996</v>
      </c>
      <c r="O24" s="60">
        <v>0</v>
      </c>
      <c r="P24" s="60">
        <v>1.92</v>
      </c>
      <c r="Q24" s="60">
        <v>35.43</v>
      </c>
      <c r="R24" s="198"/>
      <c r="S24" s="198"/>
      <c r="T24" s="198"/>
      <c r="U24" s="198"/>
    </row>
    <row r="25" spans="1:21" s="12" customFormat="1" x14ac:dyDescent="0.25">
      <c r="A25" s="201" t="s">
        <v>741</v>
      </c>
      <c r="B25" s="60">
        <v>71.78</v>
      </c>
      <c r="C25" s="60">
        <v>115.89</v>
      </c>
      <c r="D25" s="60">
        <v>120.33</v>
      </c>
      <c r="E25" s="60">
        <v>6.47</v>
      </c>
      <c r="F25" s="60">
        <v>3.44</v>
      </c>
      <c r="G25" s="60">
        <v>77.05</v>
      </c>
      <c r="H25" s="60">
        <v>45.33</v>
      </c>
      <c r="I25" s="210" t="s">
        <v>36</v>
      </c>
      <c r="J25" s="60">
        <v>0.05</v>
      </c>
      <c r="K25" s="60">
        <v>38.340000000000003</v>
      </c>
      <c r="L25" s="60">
        <v>15.35</v>
      </c>
      <c r="M25" s="60">
        <v>70</v>
      </c>
      <c r="N25" s="60">
        <v>4.5</v>
      </c>
      <c r="O25" s="60">
        <v>0</v>
      </c>
      <c r="P25" s="60">
        <v>1.86</v>
      </c>
      <c r="Q25" s="60">
        <v>34.64</v>
      </c>
      <c r="R25" s="198"/>
      <c r="S25" s="198"/>
      <c r="T25" s="198"/>
      <c r="U25" s="198"/>
    </row>
    <row r="26" spans="1:21" s="12" customFormat="1" x14ac:dyDescent="0.25">
      <c r="A26" s="201" t="s">
        <v>742</v>
      </c>
      <c r="B26" s="60">
        <v>68.86</v>
      </c>
      <c r="C26" s="60">
        <v>114.32</v>
      </c>
      <c r="D26" s="60">
        <v>117.12</v>
      </c>
      <c r="E26" s="60">
        <v>6.21</v>
      </c>
      <c r="F26" s="60">
        <v>3.29</v>
      </c>
      <c r="G26" s="60">
        <v>83.53</v>
      </c>
      <c r="H26" s="60">
        <v>45.99</v>
      </c>
      <c r="I26" s="210" t="s">
        <v>36</v>
      </c>
      <c r="J26" s="60">
        <v>7.0000000000000007E-2</v>
      </c>
      <c r="K26" s="60">
        <v>12.06</v>
      </c>
      <c r="L26" s="60">
        <v>15.24</v>
      </c>
      <c r="M26" s="60">
        <v>69</v>
      </c>
      <c r="N26" s="60">
        <v>4.2</v>
      </c>
      <c r="O26" s="60">
        <v>0</v>
      </c>
      <c r="P26" s="60">
        <v>1.82</v>
      </c>
      <c r="Q26" s="60">
        <v>33.22</v>
      </c>
      <c r="R26" s="198"/>
      <c r="S26" s="198"/>
      <c r="T26" s="198"/>
      <c r="U26" s="198"/>
    </row>
    <row r="27" spans="1:21" s="12" customFormat="1" x14ac:dyDescent="0.25">
      <c r="A27" s="201" t="s">
        <v>743</v>
      </c>
      <c r="B27" s="60">
        <v>66.569999999999993</v>
      </c>
      <c r="C27" s="60">
        <v>112.91</v>
      </c>
      <c r="D27" s="60">
        <v>114.51</v>
      </c>
      <c r="E27" s="60">
        <v>6.49</v>
      </c>
      <c r="F27" s="60">
        <v>3.32</v>
      </c>
      <c r="G27" s="60">
        <v>88.71</v>
      </c>
      <c r="H27" s="60">
        <v>46.51</v>
      </c>
      <c r="I27" s="210" t="s">
        <v>36</v>
      </c>
      <c r="J27" s="60">
        <v>0.08</v>
      </c>
      <c r="K27" s="60">
        <v>338.63</v>
      </c>
      <c r="L27" s="60">
        <v>15.35</v>
      </c>
      <c r="M27" s="60">
        <v>70</v>
      </c>
      <c r="N27" s="60">
        <v>4.2</v>
      </c>
      <c r="O27" s="60">
        <v>0</v>
      </c>
      <c r="P27" s="60">
        <v>1.8</v>
      </c>
      <c r="Q27" s="60">
        <v>32.380000000000003</v>
      </c>
      <c r="R27" s="198"/>
      <c r="S27" s="198"/>
      <c r="T27" s="198"/>
      <c r="U27" s="198"/>
    </row>
    <row r="28" spans="1:21" s="12" customFormat="1" x14ac:dyDescent="0.25">
      <c r="A28" s="201" t="s">
        <v>744</v>
      </c>
      <c r="B28" s="60">
        <v>65.03</v>
      </c>
      <c r="C28" s="60">
        <v>111.67</v>
      </c>
      <c r="D28" s="60">
        <v>112.59</v>
      </c>
      <c r="E28" s="60">
        <v>6.41</v>
      </c>
      <c r="F28" s="60">
        <v>3.3</v>
      </c>
      <c r="G28" s="60">
        <v>88.71</v>
      </c>
      <c r="H28" s="60">
        <v>46.51</v>
      </c>
      <c r="I28" s="210" t="s">
        <v>36</v>
      </c>
      <c r="J28" s="60">
        <v>0.12</v>
      </c>
      <c r="K28" s="60">
        <v>259.23</v>
      </c>
      <c r="L28" s="60">
        <v>15.39</v>
      </c>
      <c r="M28" s="60">
        <v>68</v>
      </c>
      <c r="N28" s="60">
        <v>4.2</v>
      </c>
      <c r="O28" s="60">
        <v>0</v>
      </c>
      <c r="P28" s="60">
        <v>1.78</v>
      </c>
      <c r="Q28" s="60">
        <v>32.1</v>
      </c>
      <c r="R28" s="198"/>
      <c r="S28" s="198"/>
      <c r="T28" s="198"/>
      <c r="U28" s="198"/>
    </row>
    <row r="29" spans="1:21" s="12" customFormat="1" x14ac:dyDescent="0.25">
      <c r="A29" s="201" t="s">
        <v>745</v>
      </c>
      <c r="B29" s="60">
        <v>64.44</v>
      </c>
      <c r="C29" s="60">
        <v>110.97</v>
      </c>
      <c r="D29" s="60">
        <v>111.72</v>
      </c>
      <c r="E29" s="60">
        <v>6.25</v>
      </c>
      <c r="F29" s="60">
        <v>3.35</v>
      </c>
      <c r="G29" s="60">
        <v>88.71</v>
      </c>
      <c r="H29" s="60">
        <v>46.51</v>
      </c>
      <c r="I29" s="210" t="s">
        <v>36</v>
      </c>
      <c r="J29" s="60">
        <v>0.11</v>
      </c>
      <c r="K29" s="60">
        <v>319.7</v>
      </c>
      <c r="L29" s="60">
        <v>15.41</v>
      </c>
      <c r="M29" s="60">
        <v>65</v>
      </c>
      <c r="N29" s="60">
        <v>4.2</v>
      </c>
      <c r="O29" s="60">
        <v>0</v>
      </c>
      <c r="P29" s="60">
        <v>1.78</v>
      </c>
      <c r="Q29" s="60">
        <v>32.19</v>
      </c>
      <c r="R29" s="198"/>
      <c r="S29" s="198"/>
      <c r="T29" s="198"/>
      <c r="U29" s="198"/>
    </row>
    <row r="30" spans="1:21" s="12" customFormat="1" x14ac:dyDescent="0.25">
      <c r="A30" s="201" t="s">
        <v>746</v>
      </c>
      <c r="B30" s="60">
        <v>64.44</v>
      </c>
      <c r="C30" s="60">
        <v>110.57</v>
      </c>
      <c r="D30" s="60">
        <v>111.51</v>
      </c>
      <c r="E30" s="60">
        <v>6.43</v>
      </c>
      <c r="F30" s="60">
        <v>3.35</v>
      </c>
      <c r="G30" s="60">
        <v>99.05</v>
      </c>
      <c r="H30" s="60">
        <v>46.38</v>
      </c>
      <c r="I30" s="210" t="s">
        <v>36</v>
      </c>
      <c r="J30" s="60">
        <v>0.15</v>
      </c>
      <c r="K30" s="60">
        <v>356.83</v>
      </c>
      <c r="L30" s="60">
        <v>15.14</v>
      </c>
      <c r="M30" s="60">
        <v>68</v>
      </c>
      <c r="N30" s="60">
        <v>4.3</v>
      </c>
      <c r="O30" s="60">
        <v>0</v>
      </c>
      <c r="P30" s="60">
        <v>1.77</v>
      </c>
      <c r="Q30" s="60">
        <v>31.91</v>
      </c>
      <c r="R30" s="198"/>
      <c r="S30" s="198"/>
      <c r="T30" s="198"/>
      <c r="U30" s="198"/>
    </row>
    <row r="31" spans="1:21" s="12" customFormat="1" x14ac:dyDescent="0.25">
      <c r="A31" s="201" t="s">
        <v>747</v>
      </c>
      <c r="B31" s="60">
        <v>68.44</v>
      </c>
      <c r="C31" s="60">
        <v>112.36</v>
      </c>
      <c r="D31" s="60">
        <v>115.7</v>
      </c>
      <c r="E31" s="60">
        <v>6.49</v>
      </c>
      <c r="F31" s="60">
        <v>3.49</v>
      </c>
      <c r="G31" s="60">
        <v>107.33</v>
      </c>
      <c r="H31" s="60">
        <v>46.27</v>
      </c>
      <c r="I31" s="210" t="s">
        <v>36</v>
      </c>
      <c r="J31" s="60">
        <v>0.1</v>
      </c>
      <c r="K31" s="60">
        <v>343.55</v>
      </c>
      <c r="L31" s="60">
        <v>15.04</v>
      </c>
      <c r="M31" s="60">
        <v>70</v>
      </c>
      <c r="N31" s="60">
        <v>4.3</v>
      </c>
      <c r="O31" s="60">
        <v>0</v>
      </c>
      <c r="P31" s="60">
        <v>1.79</v>
      </c>
      <c r="Q31" s="60">
        <v>32.200000000000003</v>
      </c>
      <c r="R31" s="198"/>
      <c r="S31" s="198"/>
      <c r="T31" s="198"/>
      <c r="U31" s="198"/>
    </row>
    <row r="32" spans="1:21" s="12" customFormat="1" x14ac:dyDescent="0.25">
      <c r="A32" s="201" t="s">
        <v>748</v>
      </c>
      <c r="B32" s="60">
        <v>76.38</v>
      </c>
      <c r="C32" s="60">
        <v>116</v>
      </c>
      <c r="D32" s="60">
        <v>124.08</v>
      </c>
      <c r="E32" s="60">
        <v>6.39</v>
      </c>
      <c r="F32" s="60">
        <v>3.5</v>
      </c>
      <c r="G32" s="60">
        <v>107.33</v>
      </c>
      <c r="H32" s="60">
        <v>46.27</v>
      </c>
      <c r="I32" s="210" t="s">
        <v>36</v>
      </c>
      <c r="J32" s="60">
        <v>0.11</v>
      </c>
      <c r="K32" s="60">
        <v>4.9800000000000004</v>
      </c>
      <c r="L32" s="60">
        <v>14.96</v>
      </c>
      <c r="M32" s="60">
        <v>70</v>
      </c>
      <c r="N32" s="60">
        <v>4.4000000000000004</v>
      </c>
      <c r="O32" s="60">
        <v>0</v>
      </c>
      <c r="P32" s="60">
        <v>1.84</v>
      </c>
      <c r="Q32" s="60">
        <v>32.880000000000003</v>
      </c>
      <c r="R32" s="198"/>
      <c r="S32" s="198"/>
      <c r="T32" s="198"/>
      <c r="U32" s="198"/>
    </row>
    <row r="33" spans="1:21" s="12" customFormat="1" x14ac:dyDescent="0.25">
      <c r="A33" s="201" t="s">
        <v>749</v>
      </c>
      <c r="B33" s="60">
        <v>86.17</v>
      </c>
      <c r="C33" s="60">
        <v>120.5</v>
      </c>
      <c r="D33" s="60">
        <v>134.41</v>
      </c>
      <c r="E33" s="60">
        <v>6.59</v>
      </c>
      <c r="F33" s="60">
        <v>3.41</v>
      </c>
      <c r="G33" s="60">
        <v>107.33</v>
      </c>
      <c r="H33" s="60">
        <v>46.27</v>
      </c>
      <c r="I33" s="210" t="s">
        <v>36</v>
      </c>
      <c r="J33" s="60">
        <v>0.02</v>
      </c>
      <c r="K33" s="60">
        <v>201.62</v>
      </c>
      <c r="L33" s="60">
        <v>14.89</v>
      </c>
      <c r="M33" s="60">
        <v>71</v>
      </c>
      <c r="N33" s="60">
        <v>4.3</v>
      </c>
      <c r="O33" s="60">
        <v>0</v>
      </c>
      <c r="P33" s="60">
        <v>1.87</v>
      </c>
      <c r="Q33" s="60">
        <v>34.08</v>
      </c>
      <c r="R33" s="198"/>
      <c r="S33" s="198"/>
      <c r="T33" s="198"/>
      <c r="U33" s="198"/>
    </row>
    <row r="34" spans="1:21" s="12" customFormat="1" x14ac:dyDescent="0.25">
      <c r="A34" s="201" t="s">
        <v>750</v>
      </c>
      <c r="B34" s="60">
        <v>93.01</v>
      </c>
      <c r="C34" s="60">
        <v>123.45</v>
      </c>
      <c r="D34" s="60">
        <v>141.53</v>
      </c>
      <c r="E34" s="60">
        <v>6.88</v>
      </c>
      <c r="F34" s="60">
        <v>3.39</v>
      </c>
      <c r="G34" s="60">
        <v>147.76</v>
      </c>
      <c r="H34" s="60">
        <v>50.77</v>
      </c>
      <c r="I34" s="210" t="s">
        <v>36</v>
      </c>
      <c r="J34" s="60">
        <v>0.12</v>
      </c>
      <c r="K34" s="60">
        <v>290.22000000000003</v>
      </c>
      <c r="L34" s="60">
        <v>15.04</v>
      </c>
      <c r="M34" s="60">
        <v>76</v>
      </c>
      <c r="N34" s="60">
        <v>5</v>
      </c>
      <c r="O34" s="60">
        <v>0</v>
      </c>
      <c r="P34" s="60">
        <v>1.89</v>
      </c>
      <c r="Q34" s="60">
        <v>35.450000000000003</v>
      </c>
      <c r="R34" s="198"/>
      <c r="S34" s="198"/>
      <c r="T34" s="198"/>
      <c r="U34" s="198"/>
    </row>
    <row r="35" spans="1:21" s="12" customFormat="1" x14ac:dyDescent="0.25">
      <c r="A35" s="201" t="s">
        <v>751</v>
      </c>
      <c r="B35" s="60">
        <v>99.19</v>
      </c>
      <c r="C35" s="60">
        <v>126.18</v>
      </c>
      <c r="D35" s="60">
        <v>147.99</v>
      </c>
      <c r="E35" s="60">
        <v>6.97</v>
      </c>
      <c r="F35" s="60">
        <v>3.44</v>
      </c>
      <c r="G35" s="60">
        <v>180.11</v>
      </c>
      <c r="H35" s="60">
        <v>54.36</v>
      </c>
      <c r="I35" s="210" t="s">
        <v>36</v>
      </c>
      <c r="J35" s="60">
        <v>0.08</v>
      </c>
      <c r="K35" s="60">
        <v>297.39</v>
      </c>
      <c r="L35" s="60">
        <v>15.06</v>
      </c>
      <c r="M35" s="60">
        <v>76</v>
      </c>
      <c r="N35" s="60">
        <v>9.9</v>
      </c>
      <c r="O35" s="60">
        <v>0</v>
      </c>
      <c r="P35" s="60">
        <v>1.92</v>
      </c>
      <c r="Q35" s="60">
        <v>36.15</v>
      </c>
      <c r="R35" s="198"/>
      <c r="S35" s="198"/>
      <c r="T35" s="198"/>
      <c r="U35" s="198"/>
    </row>
    <row r="36" spans="1:21" s="12" customFormat="1" x14ac:dyDescent="0.25">
      <c r="A36" s="201" t="s">
        <v>752</v>
      </c>
      <c r="B36" s="60">
        <v>118.78</v>
      </c>
      <c r="C36" s="60">
        <v>135.76</v>
      </c>
      <c r="D36" s="60">
        <v>168.98</v>
      </c>
      <c r="E36" s="60">
        <v>6.72</v>
      </c>
      <c r="F36" s="60">
        <v>3.51</v>
      </c>
      <c r="G36" s="60">
        <v>180.11</v>
      </c>
      <c r="H36" s="60">
        <v>54.36</v>
      </c>
      <c r="I36" s="210" t="s">
        <v>36</v>
      </c>
      <c r="J36" s="60">
        <v>0.01</v>
      </c>
      <c r="K36" s="60">
        <v>217.83</v>
      </c>
      <c r="L36" s="60">
        <v>15.06</v>
      </c>
      <c r="M36" s="60">
        <v>75</v>
      </c>
      <c r="N36" s="60">
        <v>21.2</v>
      </c>
      <c r="O36" s="60">
        <v>0</v>
      </c>
      <c r="P36" s="60">
        <v>2</v>
      </c>
      <c r="Q36" s="60">
        <v>37.11</v>
      </c>
      <c r="R36" s="198"/>
      <c r="S36" s="198"/>
      <c r="T36" s="198"/>
      <c r="U36" s="198"/>
    </row>
    <row r="37" spans="1:21" s="12" customFormat="1" x14ac:dyDescent="0.25">
      <c r="A37" s="201" t="s">
        <v>753</v>
      </c>
      <c r="B37" s="60">
        <v>141.03</v>
      </c>
      <c r="C37" s="60">
        <v>148.38</v>
      </c>
      <c r="D37" s="60">
        <v>193.79</v>
      </c>
      <c r="E37" s="60">
        <v>7.24</v>
      </c>
      <c r="F37" s="60">
        <v>3.51</v>
      </c>
      <c r="G37" s="60">
        <v>180.11</v>
      </c>
      <c r="H37" s="60">
        <v>54.36</v>
      </c>
      <c r="I37" s="210" t="s">
        <v>36</v>
      </c>
      <c r="J37" s="60">
        <v>0.24</v>
      </c>
      <c r="K37" s="60">
        <v>257.79000000000002</v>
      </c>
      <c r="L37" s="60">
        <v>16.07</v>
      </c>
      <c r="M37" s="60">
        <v>73</v>
      </c>
      <c r="N37" s="60">
        <v>33.1</v>
      </c>
      <c r="O37" s="60">
        <v>0</v>
      </c>
      <c r="P37" s="60">
        <v>2.0099999999999998</v>
      </c>
      <c r="Q37" s="60">
        <v>38.9</v>
      </c>
      <c r="R37" s="198"/>
      <c r="S37" s="198"/>
      <c r="T37" s="198"/>
      <c r="U37" s="198"/>
    </row>
    <row r="38" spans="1:21" s="12" customFormat="1" x14ac:dyDescent="0.25">
      <c r="A38" s="201" t="s">
        <v>754</v>
      </c>
      <c r="B38" s="60">
        <v>148.96</v>
      </c>
      <c r="C38" s="60">
        <v>154.01</v>
      </c>
      <c r="D38" s="60">
        <v>203.26</v>
      </c>
      <c r="E38" s="60">
        <v>7.32</v>
      </c>
      <c r="F38" s="60">
        <v>3.48</v>
      </c>
      <c r="G38" s="60">
        <v>196.28</v>
      </c>
      <c r="H38" s="60">
        <v>61.81</v>
      </c>
      <c r="I38" s="210" t="s">
        <v>36</v>
      </c>
      <c r="J38" s="60">
        <v>0.37</v>
      </c>
      <c r="K38" s="60">
        <v>241.41</v>
      </c>
      <c r="L38" s="60">
        <v>17.32</v>
      </c>
      <c r="M38" s="60">
        <v>68</v>
      </c>
      <c r="N38" s="60">
        <v>49</v>
      </c>
      <c r="O38" s="60">
        <v>0</v>
      </c>
      <c r="P38" s="60">
        <v>2.1</v>
      </c>
      <c r="Q38" s="60">
        <v>39.94</v>
      </c>
      <c r="R38" s="198"/>
      <c r="S38" s="198"/>
      <c r="T38" s="198"/>
      <c r="U38" s="198"/>
    </row>
    <row r="39" spans="1:21" s="12" customFormat="1" x14ac:dyDescent="0.25">
      <c r="A39" s="201" t="s">
        <v>755</v>
      </c>
      <c r="B39" s="60">
        <v>146.22999999999999</v>
      </c>
      <c r="C39" s="60">
        <v>152.63</v>
      </c>
      <c r="D39" s="60">
        <v>200.31</v>
      </c>
      <c r="E39" s="60">
        <v>7.81</v>
      </c>
      <c r="F39" s="60">
        <v>3.55</v>
      </c>
      <c r="G39" s="60">
        <v>209.21</v>
      </c>
      <c r="H39" s="60">
        <v>67.77</v>
      </c>
      <c r="I39" s="210" t="s">
        <v>36</v>
      </c>
      <c r="J39" s="60">
        <v>0.35</v>
      </c>
      <c r="K39" s="60">
        <v>232.17</v>
      </c>
      <c r="L39" s="60">
        <v>17.75</v>
      </c>
      <c r="M39" s="60">
        <v>65</v>
      </c>
      <c r="N39" s="60">
        <v>122</v>
      </c>
      <c r="O39" s="60">
        <v>0</v>
      </c>
      <c r="P39" s="60">
        <v>2.09</v>
      </c>
      <c r="Q39" s="60">
        <v>40.03</v>
      </c>
      <c r="R39" s="198"/>
      <c r="S39" s="198"/>
      <c r="T39" s="198"/>
      <c r="U39" s="198"/>
    </row>
    <row r="40" spans="1:21" s="12" customFormat="1" x14ac:dyDescent="0.25">
      <c r="A40" s="201" t="s">
        <v>756</v>
      </c>
      <c r="B40" s="60">
        <v>138.46</v>
      </c>
      <c r="C40" s="60">
        <v>148.76</v>
      </c>
      <c r="D40" s="60">
        <v>191.94</v>
      </c>
      <c r="E40" s="60">
        <v>5.01</v>
      </c>
      <c r="F40" s="60">
        <v>3.47</v>
      </c>
      <c r="G40" s="60">
        <v>209.21</v>
      </c>
      <c r="H40" s="60">
        <v>67.77</v>
      </c>
      <c r="I40" s="210" t="s">
        <v>36</v>
      </c>
      <c r="J40" s="60">
        <v>0.63</v>
      </c>
      <c r="K40" s="60">
        <v>181.54</v>
      </c>
      <c r="L40" s="60">
        <v>19.079999999999998</v>
      </c>
      <c r="M40" s="60">
        <v>51</v>
      </c>
      <c r="N40" s="60">
        <v>185.2</v>
      </c>
      <c r="O40" s="60">
        <v>0</v>
      </c>
      <c r="P40" s="60">
        <v>2.06</v>
      </c>
      <c r="Q40" s="60">
        <v>39.07</v>
      </c>
      <c r="R40" s="198"/>
      <c r="S40" s="198"/>
      <c r="T40" s="198"/>
      <c r="U40" s="198"/>
    </row>
    <row r="41" spans="1:21" s="12" customFormat="1" x14ac:dyDescent="0.25">
      <c r="A41" s="201" t="s">
        <v>757</v>
      </c>
      <c r="B41" s="60">
        <v>130.41999999999999</v>
      </c>
      <c r="C41" s="60">
        <v>145.61000000000001</v>
      </c>
      <c r="D41" s="60">
        <v>183.76</v>
      </c>
      <c r="E41" s="60">
        <v>7.3</v>
      </c>
      <c r="F41" s="60">
        <v>3.62</v>
      </c>
      <c r="G41" s="60">
        <v>209.21</v>
      </c>
      <c r="H41" s="60">
        <v>67.77</v>
      </c>
      <c r="I41" s="210" t="s">
        <v>36</v>
      </c>
      <c r="J41" s="60">
        <v>0.52</v>
      </c>
      <c r="K41" s="60">
        <v>184.93</v>
      </c>
      <c r="L41" s="60">
        <v>20.39</v>
      </c>
      <c r="M41" s="60">
        <v>43</v>
      </c>
      <c r="N41" s="60">
        <v>234.1</v>
      </c>
      <c r="O41" s="60">
        <v>0</v>
      </c>
      <c r="P41" s="60">
        <v>2.0299999999999998</v>
      </c>
      <c r="Q41" s="60">
        <v>37.92</v>
      </c>
      <c r="R41" s="198"/>
      <c r="S41" s="198"/>
      <c r="T41" s="198"/>
      <c r="U41" s="198"/>
    </row>
    <row r="42" spans="1:21" s="12" customFormat="1" x14ac:dyDescent="0.25">
      <c r="A42" s="201" t="s">
        <v>758</v>
      </c>
      <c r="B42" s="60">
        <v>122.67</v>
      </c>
      <c r="C42" s="60">
        <v>143.65</v>
      </c>
      <c r="D42" s="60">
        <v>176.46</v>
      </c>
      <c r="E42" s="60">
        <v>7.43</v>
      </c>
      <c r="F42" s="60">
        <v>3.82</v>
      </c>
      <c r="G42" s="60">
        <v>154.68</v>
      </c>
      <c r="H42" s="60">
        <v>67.09</v>
      </c>
      <c r="I42" s="210" t="s">
        <v>36</v>
      </c>
      <c r="J42" s="60">
        <v>0.36</v>
      </c>
      <c r="K42" s="60">
        <v>203.35</v>
      </c>
      <c r="L42" s="60">
        <v>21.13</v>
      </c>
      <c r="M42" s="60">
        <v>42</v>
      </c>
      <c r="N42" s="60">
        <v>275.2</v>
      </c>
      <c r="O42" s="60">
        <v>0</v>
      </c>
      <c r="P42" s="60">
        <v>2</v>
      </c>
      <c r="Q42" s="60">
        <v>36.82</v>
      </c>
      <c r="R42" s="198"/>
      <c r="S42" s="198"/>
      <c r="T42" s="198"/>
      <c r="U42" s="198"/>
    </row>
    <row r="43" spans="1:21" s="12" customFormat="1" x14ac:dyDescent="0.25">
      <c r="A43" s="201" t="s">
        <v>759</v>
      </c>
      <c r="B43" s="60">
        <v>115.48</v>
      </c>
      <c r="C43" s="60">
        <v>142.09</v>
      </c>
      <c r="D43" s="60">
        <v>169.83</v>
      </c>
      <c r="E43" s="60">
        <v>7.5</v>
      </c>
      <c r="F43" s="60">
        <v>3.53</v>
      </c>
      <c r="G43" s="60">
        <v>111.04</v>
      </c>
      <c r="H43" s="60">
        <v>66.55</v>
      </c>
      <c r="I43" s="210" t="s">
        <v>36</v>
      </c>
      <c r="J43" s="60">
        <v>0.48</v>
      </c>
      <c r="K43" s="60">
        <v>173.24</v>
      </c>
      <c r="L43" s="60">
        <v>22.58</v>
      </c>
      <c r="M43" s="60">
        <v>39</v>
      </c>
      <c r="N43" s="60">
        <v>317.60000000000002</v>
      </c>
      <c r="O43" s="60">
        <v>0</v>
      </c>
      <c r="P43" s="60">
        <v>1.97</v>
      </c>
      <c r="Q43" s="60">
        <v>36.270000000000003</v>
      </c>
      <c r="R43" s="198"/>
      <c r="S43" s="198"/>
      <c r="T43" s="198"/>
      <c r="U43" s="198"/>
    </row>
    <row r="44" spans="1:21" s="12" customFormat="1" x14ac:dyDescent="0.25">
      <c r="A44" s="201" t="s">
        <v>760</v>
      </c>
      <c r="B44" s="60">
        <v>108.81</v>
      </c>
      <c r="C44" s="60">
        <v>140.94999999999999</v>
      </c>
      <c r="D44" s="60">
        <v>163.86</v>
      </c>
      <c r="E44" s="60">
        <v>8.09</v>
      </c>
      <c r="F44" s="60">
        <v>3.87</v>
      </c>
      <c r="G44" s="60">
        <v>111.04</v>
      </c>
      <c r="H44" s="60">
        <v>66.55</v>
      </c>
      <c r="I44" s="210" t="s">
        <v>36</v>
      </c>
      <c r="J44" s="60">
        <v>0.38</v>
      </c>
      <c r="K44" s="60">
        <v>167.23</v>
      </c>
      <c r="L44" s="60">
        <v>24.09</v>
      </c>
      <c r="M44" s="60">
        <v>34</v>
      </c>
      <c r="N44" s="60">
        <v>357</v>
      </c>
      <c r="O44" s="60">
        <v>0</v>
      </c>
      <c r="P44" s="60">
        <v>1.96</v>
      </c>
      <c r="Q44" s="60">
        <v>36.42</v>
      </c>
      <c r="R44" s="198"/>
      <c r="S44" s="198"/>
      <c r="T44" s="198"/>
      <c r="U44" s="198"/>
    </row>
    <row r="45" spans="1:21" s="12" customFormat="1" x14ac:dyDescent="0.25">
      <c r="A45" s="201" t="s">
        <v>761</v>
      </c>
      <c r="B45" s="60">
        <v>103.1</v>
      </c>
      <c r="C45" s="60">
        <v>140.4</v>
      </c>
      <c r="D45" s="60">
        <v>158.97</v>
      </c>
      <c r="E45" s="60">
        <v>7.19</v>
      </c>
      <c r="F45" s="60">
        <v>3.6</v>
      </c>
      <c r="G45" s="60">
        <v>111.04</v>
      </c>
      <c r="H45" s="60">
        <v>66.55</v>
      </c>
      <c r="I45" s="210" t="s">
        <v>36</v>
      </c>
      <c r="J45" s="60">
        <v>0.36</v>
      </c>
      <c r="K45" s="60">
        <v>5.51</v>
      </c>
      <c r="L45" s="60">
        <v>27.14</v>
      </c>
      <c r="M45" s="60">
        <v>32</v>
      </c>
      <c r="N45" s="60">
        <v>384.2</v>
      </c>
      <c r="O45" s="60">
        <v>0</v>
      </c>
      <c r="P45" s="60">
        <v>1.95</v>
      </c>
      <c r="Q45" s="60">
        <v>36.5</v>
      </c>
      <c r="R45" s="198"/>
      <c r="S45" s="198"/>
      <c r="T45" s="198"/>
      <c r="U45" s="198"/>
    </row>
    <row r="46" spans="1:21" s="12" customFormat="1" x14ac:dyDescent="0.25">
      <c r="A46" s="201" t="s">
        <v>762</v>
      </c>
      <c r="B46" s="60">
        <v>98.31</v>
      </c>
      <c r="C46" s="60">
        <v>141.18</v>
      </c>
      <c r="D46" s="60">
        <v>155.56</v>
      </c>
      <c r="E46" s="60">
        <v>7.59</v>
      </c>
      <c r="F46" s="60">
        <v>3.62</v>
      </c>
      <c r="G46" s="60">
        <v>125.53</v>
      </c>
      <c r="H46" s="60">
        <v>66.5</v>
      </c>
      <c r="I46" s="210" t="s">
        <v>36</v>
      </c>
      <c r="J46" s="60">
        <v>0.25</v>
      </c>
      <c r="K46" s="60">
        <v>0.68</v>
      </c>
      <c r="L46" s="60">
        <v>28.79</v>
      </c>
      <c r="M46" s="60">
        <v>28</v>
      </c>
      <c r="N46" s="60">
        <v>407.4</v>
      </c>
      <c r="O46" s="60">
        <v>0</v>
      </c>
      <c r="P46" s="60">
        <v>1.97</v>
      </c>
      <c r="Q46" s="60">
        <v>36.35</v>
      </c>
      <c r="R46" s="198"/>
      <c r="S46" s="198"/>
      <c r="T46" s="198"/>
      <c r="U46" s="198"/>
    </row>
    <row r="47" spans="1:21" s="12" customFormat="1" x14ac:dyDescent="0.25">
      <c r="A47" s="201" t="s">
        <v>763</v>
      </c>
      <c r="B47" s="60">
        <v>91.97</v>
      </c>
      <c r="C47" s="60">
        <v>141.81</v>
      </c>
      <c r="D47" s="60">
        <v>150.83000000000001</v>
      </c>
      <c r="E47" s="60">
        <v>7.4</v>
      </c>
      <c r="F47" s="60">
        <v>3.57</v>
      </c>
      <c r="G47" s="60">
        <v>137.11000000000001</v>
      </c>
      <c r="H47" s="60">
        <v>66.459999999999994</v>
      </c>
      <c r="I47" s="210" t="s">
        <v>36</v>
      </c>
      <c r="J47" s="60">
        <v>0.27</v>
      </c>
      <c r="K47" s="60">
        <v>160.28</v>
      </c>
      <c r="L47" s="60">
        <v>28.62</v>
      </c>
      <c r="M47" s="60">
        <v>27</v>
      </c>
      <c r="N47" s="60">
        <v>410.9</v>
      </c>
      <c r="O47" s="60">
        <v>0</v>
      </c>
      <c r="P47" s="60">
        <v>1.98</v>
      </c>
      <c r="Q47" s="60">
        <v>36.6</v>
      </c>
      <c r="R47" s="198"/>
      <c r="S47" s="198"/>
      <c r="T47" s="198"/>
      <c r="U47" s="198"/>
    </row>
    <row r="48" spans="1:21" s="12" customFormat="1" x14ac:dyDescent="0.25">
      <c r="A48" s="201" t="s">
        <v>764</v>
      </c>
      <c r="B48" s="60">
        <v>84.79</v>
      </c>
      <c r="C48" s="60">
        <v>144.65</v>
      </c>
      <c r="D48" s="60">
        <v>146.63999999999999</v>
      </c>
      <c r="E48" s="60">
        <v>7.96</v>
      </c>
      <c r="F48" s="60">
        <v>3.84</v>
      </c>
      <c r="G48" s="60">
        <v>137.11000000000001</v>
      </c>
      <c r="H48" s="60">
        <v>66.459999999999994</v>
      </c>
      <c r="I48" s="210" t="s">
        <v>36</v>
      </c>
      <c r="J48" s="60">
        <v>0.45</v>
      </c>
      <c r="K48" s="60">
        <v>4.1399999999999997</v>
      </c>
      <c r="L48" s="60">
        <v>29.95</v>
      </c>
      <c r="M48" s="60">
        <v>28</v>
      </c>
      <c r="N48" s="60">
        <v>420.6</v>
      </c>
      <c r="O48" s="60">
        <v>0</v>
      </c>
      <c r="P48" s="60">
        <v>2.02</v>
      </c>
      <c r="Q48" s="60">
        <v>37.61</v>
      </c>
      <c r="R48" s="198"/>
      <c r="S48" s="198"/>
      <c r="T48" s="198"/>
      <c r="U48" s="198"/>
    </row>
    <row r="49" spans="1:21" s="12" customFormat="1" x14ac:dyDescent="0.25">
      <c r="A49" s="201" t="s">
        <v>765</v>
      </c>
      <c r="B49" s="60">
        <v>75.56</v>
      </c>
      <c r="C49" s="60">
        <v>153.38</v>
      </c>
      <c r="D49" s="60">
        <v>144.05000000000001</v>
      </c>
      <c r="E49" s="60">
        <v>7.5</v>
      </c>
      <c r="F49" s="60">
        <v>4.05</v>
      </c>
      <c r="G49" s="60">
        <v>137.11000000000001</v>
      </c>
      <c r="H49" s="60">
        <v>66.459999999999994</v>
      </c>
      <c r="I49" s="210" t="s">
        <v>36</v>
      </c>
      <c r="J49" s="60">
        <v>0.57999999999999996</v>
      </c>
      <c r="K49" s="60">
        <v>2.95</v>
      </c>
      <c r="L49" s="60">
        <v>31.77</v>
      </c>
      <c r="M49" s="60">
        <v>27</v>
      </c>
      <c r="N49" s="60">
        <v>425.5</v>
      </c>
      <c r="O49" s="60">
        <v>0</v>
      </c>
      <c r="P49" s="60">
        <v>2.09</v>
      </c>
      <c r="Q49" s="60">
        <v>37.630000000000003</v>
      </c>
      <c r="R49" s="198"/>
      <c r="S49" s="198"/>
      <c r="T49" s="198"/>
      <c r="U49" s="198"/>
    </row>
    <row r="50" spans="1:21" s="12" customFormat="1" x14ac:dyDescent="0.25">
      <c r="A50" s="201" t="s">
        <v>766</v>
      </c>
      <c r="B50" s="60">
        <v>17.43</v>
      </c>
      <c r="C50" s="60">
        <v>166.61</v>
      </c>
      <c r="D50" s="60">
        <v>104.73</v>
      </c>
      <c r="E50" s="60">
        <v>14.85</v>
      </c>
      <c r="F50" s="60">
        <v>34.32</v>
      </c>
      <c r="G50" s="60">
        <v>144.74</v>
      </c>
      <c r="H50" s="60">
        <v>68.849999999999994</v>
      </c>
      <c r="I50" s="210" t="s">
        <v>36</v>
      </c>
      <c r="J50" s="60">
        <v>0.45</v>
      </c>
      <c r="K50" s="60">
        <v>2.93</v>
      </c>
      <c r="L50" s="60">
        <v>32.06</v>
      </c>
      <c r="M50" s="60">
        <v>27</v>
      </c>
      <c r="N50" s="60">
        <v>424.9</v>
      </c>
      <c r="O50" s="60">
        <v>0</v>
      </c>
      <c r="P50" s="60">
        <v>2.71</v>
      </c>
      <c r="Q50" s="60">
        <v>25.99</v>
      </c>
      <c r="R50" s="198"/>
      <c r="S50" s="198"/>
      <c r="T50" s="198"/>
      <c r="U50" s="198"/>
    </row>
    <row r="51" spans="1:21" s="12" customFormat="1" x14ac:dyDescent="0.25">
      <c r="A51" s="201" t="s">
        <v>767</v>
      </c>
      <c r="B51" s="60">
        <v>3.37</v>
      </c>
      <c r="C51" s="60">
        <v>141.13999999999999</v>
      </c>
      <c r="D51" s="60">
        <v>79.41</v>
      </c>
      <c r="E51" s="60">
        <v>25.45</v>
      </c>
      <c r="F51" s="60">
        <v>53.24</v>
      </c>
      <c r="G51" s="60">
        <v>150.85</v>
      </c>
      <c r="H51" s="60">
        <v>70.75</v>
      </c>
      <c r="I51" s="210" t="s">
        <v>36</v>
      </c>
      <c r="J51" s="60">
        <v>0.38</v>
      </c>
      <c r="K51" s="60">
        <v>359.05</v>
      </c>
      <c r="L51" s="60">
        <v>32.14</v>
      </c>
      <c r="M51" s="60">
        <v>23</v>
      </c>
      <c r="N51" s="60">
        <v>438.1</v>
      </c>
      <c r="O51" s="60">
        <v>0</v>
      </c>
      <c r="P51" s="60">
        <v>2.81</v>
      </c>
      <c r="Q51" s="60">
        <v>15.22</v>
      </c>
      <c r="R51" s="198"/>
      <c r="S51" s="198"/>
      <c r="T51" s="198"/>
      <c r="U51" s="198"/>
    </row>
    <row r="52" spans="1:21" s="12" customFormat="1" x14ac:dyDescent="0.25">
      <c r="A52" s="201" t="s">
        <v>768</v>
      </c>
      <c r="B52" s="60">
        <v>2.61</v>
      </c>
      <c r="C52" s="60">
        <v>120.39</v>
      </c>
      <c r="D52" s="60">
        <v>67.34</v>
      </c>
      <c r="E52" s="60">
        <v>18.350000000000001</v>
      </c>
      <c r="F52" s="60">
        <v>38.86</v>
      </c>
      <c r="G52" s="60">
        <v>150.85</v>
      </c>
      <c r="H52" s="60">
        <v>70.75</v>
      </c>
      <c r="I52" s="60">
        <v>0.43</v>
      </c>
      <c r="J52" s="60">
        <v>0.1</v>
      </c>
      <c r="K52" s="60">
        <v>245.21</v>
      </c>
      <c r="L52" s="60">
        <v>30.62</v>
      </c>
      <c r="M52" s="60">
        <v>24</v>
      </c>
      <c r="N52" s="60">
        <v>475.4</v>
      </c>
      <c r="O52" s="60">
        <v>0</v>
      </c>
      <c r="P52" s="60">
        <v>2.5099999999999998</v>
      </c>
      <c r="Q52" s="60">
        <v>13.36</v>
      </c>
      <c r="R52" s="198"/>
      <c r="S52" s="198"/>
      <c r="T52" s="198"/>
      <c r="U52" s="198"/>
    </row>
    <row r="53" spans="1:21" s="12" customFormat="1" x14ac:dyDescent="0.25">
      <c r="A53" s="201" t="s">
        <v>769</v>
      </c>
      <c r="B53" s="60">
        <v>2.86</v>
      </c>
      <c r="C53" s="60">
        <v>110.57</v>
      </c>
      <c r="D53" s="60">
        <v>62.13</v>
      </c>
      <c r="E53" s="60">
        <v>15.56</v>
      </c>
      <c r="F53" s="60">
        <v>33.24</v>
      </c>
      <c r="G53" s="60">
        <v>150.85</v>
      </c>
      <c r="H53" s="60">
        <v>70.75</v>
      </c>
      <c r="I53" s="60">
        <v>0.83</v>
      </c>
      <c r="J53" s="60">
        <v>0.43</v>
      </c>
      <c r="K53" s="60">
        <v>1.05</v>
      </c>
      <c r="L53" s="60">
        <v>32.71</v>
      </c>
      <c r="M53" s="60">
        <v>21</v>
      </c>
      <c r="N53" s="60">
        <v>456.5</v>
      </c>
      <c r="O53" s="60">
        <v>0</v>
      </c>
      <c r="P53" s="60">
        <v>2.41</v>
      </c>
      <c r="Q53" s="60">
        <v>12.71</v>
      </c>
      <c r="R53" s="198"/>
      <c r="S53" s="198"/>
      <c r="T53" s="198"/>
      <c r="U53" s="198"/>
    </row>
    <row r="54" spans="1:21" s="12" customFormat="1" x14ac:dyDescent="0.25">
      <c r="A54" s="201" t="s">
        <v>770</v>
      </c>
      <c r="B54" s="60">
        <v>2.52</v>
      </c>
      <c r="C54" s="60">
        <v>103.43</v>
      </c>
      <c r="D54" s="60">
        <v>57.91</v>
      </c>
      <c r="E54" s="60">
        <v>15.92</v>
      </c>
      <c r="F54" s="60">
        <v>45.73</v>
      </c>
      <c r="G54" s="60">
        <v>151.5</v>
      </c>
      <c r="H54" s="60">
        <v>71.709999999999994</v>
      </c>
      <c r="I54" s="60">
        <v>0.76</v>
      </c>
      <c r="J54" s="60">
        <v>0.11</v>
      </c>
      <c r="K54" s="60">
        <v>22.68</v>
      </c>
      <c r="L54" s="60">
        <v>31.94</v>
      </c>
      <c r="M54" s="60">
        <v>23</v>
      </c>
      <c r="N54" s="60">
        <v>447.9</v>
      </c>
      <c r="O54" s="60">
        <v>0</v>
      </c>
      <c r="P54" s="60">
        <v>2.33</v>
      </c>
      <c r="Q54" s="60">
        <v>13.24</v>
      </c>
      <c r="R54" s="198"/>
      <c r="S54" s="198"/>
      <c r="T54" s="198"/>
      <c r="U54" s="198"/>
    </row>
    <row r="55" spans="1:21" s="12" customFormat="1" x14ac:dyDescent="0.25">
      <c r="A55" s="201" t="s">
        <v>771</v>
      </c>
      <c r="B55" s="60">
        <v>2.52</v>
      </c>
      <c r="C55" s="60">
        <v>89.63</v>
      </c>
      <c r="D55" s="60">
        <v>50.3</v>
      </c>
      <c r="E55" s="60">
        <v>14.83</v>
      </c>
      <c r="F55" s="60">
        <v>28.46</v>
      </c>
      <c r="G55" s="60">
        <v>152.02000000000001</v>
      </c>
      <c r="H55" s="60">
        <v>72.47</v>
      </c>
      <c r="I55" s="60">
        <v>0.73</v>
      </c>
      <c r="J55" s="60">
        <v>0.32</v>
      </c>
      <c r="K55" s="60">
        <v>12.6</v>
      </c>
      <c r="L55" s="60">
        <v>32.729999999999997</v>
      </c>
      <c r="M55" s="60">
        <v>22</v>
      </c>
      <c r="N55" s="60">
        <v>454.8</v>
      </c>
      <c r="O55" s="60">
        <v>0</v>
      </c>
      <c r="P55" s="60">
        <v>2.2799999999999998</v>
      </c>
      <c r="Q55" s="60">
        <v>13.34</v>
      </c>
      <c r="R55" s="198"/>
      <c r="S55" s="198"/>
      <c r="T55" s="198"/>
      <c r="U55" s="198"/>
    </row>
    <row r="56" spans="1:21" s="12" customFormat="1" x14ac:dyDescent="0.25">
      <c r="A56" s="201" t="s">
        <v>772</v>
      </c>
      <c r="B56" s="60">
        <v>2.85</v>
      </c>
      <c r="C56" s="60">
        <v>90.89</v>
      </c>
      <c r="D56" s="60">
        <v>51.26</v>
      </c>
      <c r="E56" s="60">
        <v>5.17</v>
      </c>
      <c r="F56" s="60">
        <v>18.010000000000002</v>
      </c>
      <c r="G56" s="60">
        <v>152.02000000000001</v>
      </c>
      <c r="H56" s="60">
        <v>72.47</v>
      </c>
      <c r="I56" s="60">
        <v>0.71</v>
      </c>
      <c r="J56" s="60">
        <v>0.27</v>
      </c>
      <c r="K56" s="60">
        <v>52.18</v>
      </c>
      <c r="L56" s="60">
        <v>32.1</v>
      </c>
      <c r="M56" s="60">
        <v>20</v>
      </c>
      <c r="N56" s="60">
        <v>528.6</v>
      </c>
      <c r="O56" s="60">
        <v>0</v>
      </c>
      <c r="P56" s="60">
        <v>2.27</v>
      </c>
      <c r="Q56" s="60">
        <v>13.13</v>
      </c>
      <c r="R56" s="198"/>
      <c r="S56" s="198"/>
      <c r="T56" s="198"/>
      <c r="U56" s="198"/>
    </row>
    <row r="57" spans="1:21" s="12" customFormat="1" x14ac:dyDescent="0.25">
      <c r="A57" s="201" t="s">
        <v>773</v>
      </c>
      <c r="B57" s="60">
        <v>3.52</v>
      </c>
      <c r="C57" s="60">
        <v>82.7</v>
      </c>
      <c r="D57" s="60">
        <v>47.27</v>
      </c>
      <c r="E57" s="60">
        <v>12.72</v>
      </c>
      <c r="F57" s="60">
        <v>22.83</v>
      </c>
      <c r="G57" s="60">
        <v>152.02000000000001</v>
      </c>
      <c r="H57" s="60">
        <v>72.47</v>
      </c>
      <c r="I57" s="60">
        <v>0.71</v>
      </c>
      <c r="J57" s="60">
        <v>0.37</v>
      </c>
      <c r="K57" s="60">
        <v>35.159999999999997</v>
      </c>
      <c r="L57" s="60">
        <v>31.78</v>
      </c>
      <c r="M57" s="60">
        <v>19</v>
      </c>
      <c r="N57" s="60">
        <v>449.4</v>
      </c>
      <c r="O57" s="60">
        <v>0</v>
      </c>
      <c r="P57" s="60">
        <v>2.2000000000000002</v>
      </c>
      <c r="Q57" s="60">
        <v>13.47</v>
      </c>
      <c r="R57" s="198"/>
      <c r="S57" s="198"/>
      <c r="T57" s="198"/>
      <c r="U57" s="198"/>
    </row>
    <row r="58" spans="1:21" s="12" customFormat="1" x14ac:dyDescent="0.25">
      <c r="A58" s="201" t="s">
        <v>774</v>
      </c>
      <c r="B58" s="60">
        <v>4.18</v>
      </c>
      <c r="C58" s="60">
        <v>83.52</v>
      </c>
      <c r="D58" s="60">
        <v>48.25</v>
      </c>
      <c r="E58" s="60">
        <v>17.62</v>
      </c>
      <c r="F58" s="60">
        <v>24.43</v>
      </c>
      <c r="G58" s="60">
        <v>153.41999999999999</v>
      </c>
      <c r="H58" s="60">
        <v>72.290000000000006</v>
      </c>
      <c r="I58" s="60">
        <v>0.73</v>
      </c>
      <c r="J58" s="60">
        <v>0.39</v>
      </c>
      <c r="K58" s="60">
        <v>7.37</v>
      </c>
      <c r="L58" s="60">
        <v>32.72</v>
      </c>
      <c r="M58" s="60">
        <v>19</v>
      </c>
      <c r="N58" s="60">
        <v>416.5</v>
      </c>
      <c r="O58" s="60">
        <v>0</v>
      </c>
      <c r="P58" s="60">
        <v>2.2200000000000002</v>
      </c>
      <c r="Q58" s="60">
        <v>14.83</v>
      </c>
      <c r="R58" s="198"/>
      <c r="S58" s="198"/>
      <c r="T58" s="198"/>
      <c r="U58" s="198"/>
    </row>
    <row r="59" spans="1:21" s="12" customFormat="1" x14ac:dyDescent="0.25">
      <c r="A59" s="201" t="s">
        <v>775</v>
      </c>
      <c r="B59" s="60">
        <v>3.18</v>
      </c>
      <c r="C59" s="60">
        <v>77.5</v>
      </c>
      <c r="D59" s="60">
        <v>44.14</v>
      </c>
      <c r="E59" s="60">
        <v>32.21</v>
      </c>
      <c r="F59" s="60">
        <v>48.42</v>
      </c>
      <c r="G59" s="60">
        <v>154.55000000000001</v>
      </c>
      <c r="H59" s="60">
        <v>72.150000000000006</v>
      </c>
      <c r="I59" s="60">
        <v>0.72</v>
      </c>
      <c r="J59" s="60">
        <v>0.16</v>
      </c>
      <c r="K59" s="60">
        <v>143.87</v>
      </c>
      <c r="L59" s="60">
        <v>32.22</v>
      </c>
      <c r="M59" s="60">
        <v>19</v>
      </c>
      <c r="N59" s="60">
        <v>387.2</v>
      </c>
      <c r="O59" s="60">
        <v>0</v>
      </c>
      <c r="P59" s="60">
        <v>2.15</v>
      </c>
      <c r="Q59" s="60">
        <v>15.46</v>
      </c>
      <c r="R59" s="198"/>
      <c r="S59" s="198"/>
      <c r="T59" s="198"/>
      <c r="U59" s="198"/>
    </row>
    <row r="60" spans="1:21" s="12" customFormat="1" x14ac:dyDescent="0.25">
      <c r="A60" s="201" t="s">
        <v>776</v>
      </c>
      <c r="B60" s="60">
        <v>3.64</v>
      </c>
      <c r="C60" s="60">
        <v>76.64</v>
      </c>
      <c r="D60" s="60">
        <v>44.02</v>
      </c>
      <c r="E60" s="60">
        <v>31.96</v>
      </c>
      <c r="F60" s="60">
        <v>32.82</v>
      </c>
      <c r="G60" s="60">
        <v>154.55000000000001</v>
      </c>
      <c r="H60" s="60">
        <v>72.150000000000006</v>
      </c>
      <c r="I60" s="60">
        <v>0.71</v>
      </c>
      <c r="J60" s="60">
        <v>0.26</v>
      </c>
      <c r="K60" s="60">
        <v>26.4</v>
      </c>
      <c r="L60" s="60">
        <v>30.85</v>
      </c>
      <c r="M60" s="60">
        <v>20</v>
      </c>
      <c r="N60" s="60">
        <v>336.1</v>
      </c>
      <c r="O60" s="60">
        <v>0</v>
      </c>
      <c r="P60" s="60">
        <v>2.1</v>
      </c>
      <c r="Q60" s="60">
        <v>15.5</v>
      </c>
      <c r="R60" s="198"/>
      <c r="S60" s="198"/>
      <c r="T60" s="198"/>
      <c r="U60" s="198"/>
    </row>
    <row r="61" spans="1:21" s="12" customFormat="1" x14ac:dyDescent="0.25">
      <c r="A61" s="201" t="s">
        <v>777</v>
      </c>
      <c r="B61" s="60">
        <v>3.71</v>
      </c>
      <c r="C61" s="60">
        <v>72.06</v>
      </c>
      <c r="D61" s="60">
        <v>41.55</v>
      </c>
      <c r="E61" s="60">
        <v>17.36</v>
      </c>
      <c r="F61" s="60">
        <v>18.16</v>
      </c>
      <c r="G61" s="60">
        <v>154.55000000000001</v>
      </c>
      <c r="H61" s="60">
        <v>72.150000000000006</v>
      </c>
      <c r="I61" s="60">
        <v>0.68</v>
      </c>
      <c r="J61" s="60">
        <v>0.71</v>
      </c>
      <c r="K61" s="60">
        <v>1.88</v>
      </c>
      <c r="L61" s="60">
        <v>32.770000000000003</v>
      </c>
      <c r="M61" s="60">
        <v>16</v>
      </c>
      <c r="N61" s="60">
        <v>344.3</v>
      </c>
      <c r="O61" s="60">
        <v>0</v>
      </c>
      <c r="P61" s="60">
        <v>1.99</v>
      </c>
      <c r="Q61" s="60">
        <v>15.85</v>
      </c>
      <c r="R61" s="198"/>
      <c r="S61" s="198"/>
      <c r="T61" s="198"/>
      <c r="U61" s="198"/>
    </row>
    <row r="62" spans="1:21" s="12" customFormat="1" x14ac:dyDescent="0.25">
      <c r="A62" s="201" t="s">
        <v>778</v>
      </c>
      <c r="B62" s="60">
        <v>3.57</v>
      </c>
      <c r="C62" s="60">
        <v>72.48</v>
      </c>
      <c r="D62" s="60">
        <v>41.67</v>
      </c>
      <c r="E62" s="60">
        <v>19.66</v>
      </c>
      <c r="F62" s="60">
        <v>9.8000000000000007</v>
      </c>
      <c r="G62" s="60">
        <v>150.72</v>
      </c>
      <c r="H62" s="60">
        <v>70.55</v>
      </c>
      <c r="I62" s="60">
        <v>0.69</v>
      </c>
      <c r="J62" s="60">
        <v>0.59</v>
      </c>
      <c r="K62" s="60">
        <v>10.51</v>
      </c>
      <c r="L62" s="60">
        <v>32.659999999999997</v>
      </c>
      <c r="M62" s="60">
        <v>15</v>
      </c>
      <c r="N62" s="60">
        <v>403.5</v>
      </c>
      <c r="O62" s="60">
        <v>0</v>
      </c>
      <c r="P62" s="60">
        <v>2</v>
      </c>
      <c r="Q62" s="60">
        <v>17.48</v>
      </c>
      <c r="R62" s="198"/>
      <c r="S62" s="198"/>
      <c r="T62" s="198"/>
      <c r="U62" s="198"/>
    </row>
    <row r="63" spans="1:21" s="12" customFormat="1" x14ac:dyDescent="0.25">
      <c r="A63" s="201" t="s">
        <v>779</v>
      </c>
      <c r="B63" s="60">
        <v>3.55</v>
      </c>
      <c r="C63" s="60">
        <v>75.12</v>
      </c>
      <c r="D63" s="60">
        <v>43.12</v>
      </c>
      <c r="E63" s="60">
        <v>9.36</v>
      </c>
      <c r="F63" s="60">
        <v>7.51</v>
      </c>
      <c r="G63" s="60">
        <v>147.66</v>
      </c>
      <c r="H63" s="60">
        <v>69.28</v>
      </c>
      <c r="I63" s="60">
        <v>0.7</v>
      </c>
      <c r="J63" s="60">
        <v>0.2</v>
      </c>
      <c r="K63" s="60">
        <v>19.34</v>
      </c>
      <c r="L63" s="60">
        <v>33.270000000000003</v>
      </c>
      <c r="M63" s="60">
        <v>14</v>
      </c>
      <c r="N63" s="60">
        <v>419.7</v>
      </c>
      <c r="O63" s="60">
        <v>0</v>
      </c>
      <c r="P63" s="60">
        <v>1.95</v>
      </c>
      <c r="Q63" s="60">
        <v>19.79</v>
      </c>
      <c r="R63" s="198"/>
      <c r="S63" s="198"/>
      <c r="T63" s="198"/>
      <c r="U63" s="198"/>
    </row>
    <row r="64" spans="1:21" s="12" customFormat="1" x14ac:dyDescent="0.25">
      <c r="A64" s="201" t="s">
        <v>780</v>
      </c>
      <c r="B64" s="60">
        <v>3.58</v>
      </c>
      <c r="C64" s="60">
        <v>72.209999999999994</v>
      </c>
      <c r="D64" s="60">
        <v>41.53</v>
      </c>
      <c r="E64" s="60">
        <v>8.83</v>
      </c>
      <c r="F64" s="60">
        <v>11.36</v>
      </c>
      <c r="G64" s="60">
        <v>147.66</v>
      </c>
      <c r="H64" s="60">
        <v>69.28</v>
      </c>
      <c r="I64" s="60">
        <v>0.7</v>
      </c>
      <c r="J64" s="60">
        <v>0.74</v>
      </c>
      <c r="K64" s="60">
        <v>350.79</v>
      </c>
      <c r="L64" s="60">
        <v>33.65</v>
      </c>
      <c r="M64" s="60">
        <v>14</v>
      </c>
      <c r="N64" s="60">
        <v>420.2</v>
      </c>
      <c r="O64" s="60">
        <v>0</v>
      </c>
      <c r="P64" s="60">
        <v>1.76</v>
      </c>
      <c r="Q64" s="60">
        <v>20.74</v>
      </c>
      <c r="R64" s="198"/>
      <c r="S64" s="198"/>
      <c r="T64" s="198"/>
      <c r="U64" s="198"/>
    </row>
    <row r="65" spans="1:21" s="12" customFormat="1" x14ac:dyDescent="0.25">
      <c r="A65" s="201" t="s">
        <v>781</v>
      </c>
      <c r="B65" s="60">
        <v>3.33</v>
      </c>
      <c r="C65" s="60">
        <v>70.459999999999994</v>
      </c>
      <c r="D65" s="60">
        <v>40.369999999999997</v>
      </c>
      <c r="E65" s="60">
        <v>7</v>
      </c>
      <c r="F65" s="60">
        <v>10.01</v>
      </c>
      <c r="G65" s="60">
        <v>147.66</v>
      </c>
      <c r="H65" s="60">
        <v>69.28</v>
      </c>
      <c r="I65" s="60">
        <v>0.71</v>
      </c>
      <c r="J65" s="60">
        <v>0.56000000000000005</v>
      </c>
      <c r="K65" s="60">
        <v>348.3</v>
      </c>
      <c r="L65" s="60">
        <v>34.58</v>
      </c>
      <c r="M65" s="60">
        <v>14</v>
      </c>
      <c r="N65" s="60">
        <v>379.9</v>
      </c>
      <c r="O65" s="60">
        <v>0</v>
      </c>
      <c r="P65" s="60">
        <v>1.6</v>
      </c>
      <c r="Q65" s="60">
        <v>19.989999999999998</v>
      </c>
      <c r="R65" s="198"/>
      <c r="S65" s="198"/>
      <c r="T65" s="198"/>
      <c r="U65" s="198"/>
    </row>
    <row r="66" spans="1:21" s="12" customFormat="1" x14ac:dyDescent="0.25">
      <c r="A66" s="201" t="s">
        <v>782</v>
      </c>
      <c r="B66" s="60">
        <v>3.49</v>
      </c>
      <c r="C66" s="60">
        <v>67.83</v>
      </c>
      <c r="D66" s="60">
        <v>39.049999999999997</v>
      </c>
      <c r="E66" s="60">
        <v>7.06</v>
      </c>
      <c r="F66" s="60">
        <v>8.25</v>
      </c>
      <c r="G66" s="60">
        <v>104.58</v>
      </c>
      <c r="H66" s="60">
        <v>61.39</v>
      </c>
      <c r="I66" s="60">
        <v>0.66</v>
      </c>
      <c r="J66" s="60">
        <v>0.55000000000000004</v>
      </c>
      <c r="K66" s="60">
        <v>343.66</v>
      </c>
      <c r="L66" s="60">
        <v>34.119999999999997</v>
      </c>
      <c r="M66" s="60">
        <v>14</v>
      </c>
      <c r="N66" s="60">
        <v>399.8</v>
      </c>
      <c r="O66" s="60">
        <v>0</v>
      </c>
      <c r="P66" s="60">
        <v>1.52</v>
      </c>
      <c r="Q66" s="60">
        <v>19.47</v>
      </c>
      <c r="R66" s="198"/>
      <c r="S66" s="198"/>
      <c r="T66" s="198"/>
      <c r="U66" s="198"/>
    </row>
    <row r="67" spans="1:21" s="12" customFormat="1" x14ac:dyDescent="0.25">
      <c r="A67" s="201" t="s">
        <v>783</v>
      </c>
      <c r="B67" s="60">
        <v>3.88</v>
      </c>
      <c r="C67" s="60">
        <v>65.08</v>
      </c>
      <c r="D67" s="60">
        <v>37.840000000000003</v>
      </c>
      <c r="E67" s="60">
        <v>8.14</v>
      </c>
      <c r="F67" s="60">
        <v>11.34</v>
      </c>
      <c r="G67" s="60">
        <v>70.11</v>
      </c>
      <c r="H67" s="60">
        <v>55.09</v>
      </c>
      <c r="I67" s="60">
        <v>0.63</v>
      </c>
      <c r="J67" s="60">
        <v>0.41</v>
      </c>
      <c r="K67" s="60">
        <v>7.5</v>
      </c>
      <c r="L67" s="60">
        <v>33.85</v>
      </c>
      <c r="M67" s="60">
        <v>12</v>
      </c>
      <c r="N67" s="60">
        <v>384.6</v>
      </c>
      <c r="O67" s="60">
        <v>0</v>
      </c>
      <c r="P67" s="60">
        <v>1.39</v>
      </c>
      <c r="Q67" s="60">
        <v>19.87</v>
      </c>
      <c r="R67" s="198"/>
      <c r="S67" s="198"/>
      <c r="T67" s="198"/>
      <c r="U67" s="198"/>
    </row>
    <row r="68" spans="1:21" s="12" customFormat="1" x14ac:dyDescent="0.25">
      <c r="A68" s="201" t="s">
        <v>784</v>
      </c>
      <c r="B68" s="60">
        <v>4.09</v>
      </c>
      <c r="C68" s="60">
        <v>66.53</v>
      </c>
      <c r="D68" s="60">
        <v>38.81</v>
      </c>
      <c r="E68" s="60">
        <v>6.69</v>
      </c>
      <c r="F68" s="60">
        <v>9.06</v>
      </c>
      <c r="G68" s="60">
        <v>70.11</v>
      </c>
      <c r="H68" s="60">
        <v>55.09</v>
      </c>
      <c r="I68" s="60">
        <v>0.62</v>
      </c>
      <c r="J68" s="60">
        <v>0.93</v>
      </c>
      <c r="K68" s="60">
        <v>13.64</v>
      </c>
      <c r="L68" s="60">
        <v>34.01</v>
      </c>
      <c r="M68" s="60">
        <v>13</v>
      </c>
      <c r="N68" s="60">
        <v>303.10000000000002</v>
      </c>
      <c r="O68" s="60">
        <v>0</v>
      </c>
      <c r="P68" s="60">
        <v>1.3</v>
      </c>
      <c r="Q68" s="60">
        <v>19.86</v>
      </c>
      <c r="R68" s="198"/>
      <c r="S68" s="198"/>
      <c r="T68" s="198"/>
      <c r="U68" s="198"/>
    </row>
    <row r="69" spans="1:21" s="12" customFormat="1" x14ac:dyDescent="0.25">
      <c r="A69" s="201" t="s">
        <v>785</v>
      </c>
      <c r="B69" s="60">
        <v>5.25</v>
      </c>
      <c r="C69" s="60">
        <v>65.39</v>
      </c>
      <c r="D69" s="60">
        <v>39.11</v>
      </c>
      <c r="E69" s="60">
        <v>7.45</v>
      </c>
      <c r="F69" s="60">
        <v>12.32</v>
      </c>
      <c r="G69" s="60">
        <v>70.11</v>
      </c>
      <c r="H69" s="60">
        <v>55.09</v>
      </c>
      <c r="I69" s="210" t="s">
        <v>36</v>
      </c>
      <c r="J69" s="60">
        <v>1.1000000000000001</v>
      </c>
      <c r="K69" s="60">
        <v>3.01</v>
      </c>
      <c r="L69" s="60">
        <v>34.17</v>
      </c>
      <c r="M69" s="60">
        <v>13</v>
      </c>
      <c r="N69" s="60">
        <v>183.9</v>
      </c>
      <c r="O69" s="60">
        <v>0</v>
      </c>
      <c r="P69" s="60">
        <v>1.22</v>
      </c>
      <c r="Q69" s="60">
        <v>20.05</v>
      </c>
      <c r="R69" s="198"/>
      <c r="S69" s="198"/>
      <c r="T69" s="198"/>
      <c r="U69" s="198"/>
    </row>
    <row r="70" spans="1:21" s="12" customFormat="1" x14ac:dyDescent="0.25">
      <c r="A70" s="201" t="s">
        <v>786</v>
      </c>
      <c r="B70" s="60">
        <v>5.93</v>
      </c>
      <c r="C70" s="60">
        <v>65.27</v>
      </c>
      <c r="D70" s="60">
        <v>39.590000000000003</v>
      </c>
      <c r="E70" s="60">
        <v>7.79</v>
      </c>
      <c r="F70" s="60">
        <v>14.71</v>
      </c>
      <c r="G70" s="60">
        <v>62.32</v>
      </c>
      <c r="H70" s="60">
        <v>49.73</v>
      </c>
      <c r="I70" s="210" t="s">
        <v>36</v>
      </c>
      <c r="J70" s="60">
        <v>0.86</v>
      </c>
      <c r="K70" s="60">
        <v>10.01</v>
      </c>
      <c r="L70" s="60">
        <v>33.96</v>
      </c>
      <c r="M70" s="60">
        <v>13</v>
      </c>
      <c r="N70" s="60">
        <v>124.1</v>
      </c>
      <c r="O70" s="60">
        <v>0</v>
      </c>
      <c r="P70" s="60">
        <v>1.18</v>
      </c>
      <c r="Q70" s="60">
        <v>19.89</v>
      </c>
      <c r="R70" s="198"/>
      <c r="S70" s="198"/>
      <c r="T70" s="198"/>
      <c r="U70" s="198"/>
    </row>
    <row r="71" spans="1:21" s="12" customFormat="1" x14ac:dyDescent="0.25">
      <c r="A71" s="201" t="s">
        <v>787</v>
      </c>
      <c r="B71" s="60">
        <v>5.54</v>
      </c>
      <c r="C71" s="60">
        <v>66.61</v>
      </c>
      <c r="D71" s="60">
        <v>40.020000000000003</v>
      </c>
      <c r="E71" s="60">
        <v>6.58</v>
      </c>
      <c r="F71" s="60">
        <v>10</v>
      </c>
      <c r="G71" s="60">
        <v>56.09</v>
      </c>
      <c r="H71" s="60">
        <v>45.45</v>
      </c>
      <c r="I71" s="210" t="s">
        <v>36</v>
      </c>
      <c r="J71" s="60">
        <v>0.6</v>
      </c>
      <c r="K71" s="60">
        <v>353.59</v>
      </c>
      <c r="L71" s="60">
        <v>33.479999999999997</v>
      </c>
      <c r="M71" s="60">
        <v>14</v>
      </c>
      <c r="N71" s="60">
        <v>116.4</v>
      </c>
      <c r="O71" s="60">
        <v>0</v>
      </c>
      <c r="P71" s="60">
        <v>1.17</v>
      </c>
      <c r="Q71" s="60">
        <v>19.84</v>
      </c>
      <c r="R71" s="198"/>
      <c r="S71" s="198"/>
      <c r="T71" s="198"/>
      <c r="U71" s="198"/>
    </row>
    <row r="72" spans="1:21" s="12" customFormat="1" x14ac:dyDescent="0.25">
      <c r="A72" s="201" t="s">
        <v>788</v>
      </c>
      <c r="B72" s="60">
        <v>8.61</v>
      </c>
      <c r="C72" s="60">
        <v>65</v>
      </c>
      <c r="D72" s="60">
        <v>41.59</v>
      </c>
      <c r="E72" s="60">
        <v>5.26</v>
      </c>
      <c r="F72" s="60">
        <v>12.13</v>
      </c>
      <c r="G72" s="60">
        <v>56.09</v>
      </c>
      <c r="H72" s="60">
        <v>45.45</v>
      </c>
      <c r="I72" s="210" t="s">
        <v>36</v>
      </c>
      <c r="J72" s="60">
        <v>0.94</v>
      </c>
      <c r="K72" s="60">
        <v>11.02</v>
      </c>
      <c r="L72" s="60">
        <v>32.75</v>
      </c>
      <c r="M72" s="60">
        <v>15</v>
      </c>
      <c r="N72" s="60">
        <v>134.1</v>
      </c>
      <c r="O72" s="60">
        <v>0</v>
      </c>
      <c r="P72" s="60">
        <v>1.1399999999999999</v>
      </c>
      <c r="Q72" s="60">
        <v>20.6</v>
      </c>
      <c r="R72" s="198"/>
      <c r="S72" s="198"/>
      <c r="T72" s="198"/>
      <c r="U72" s="198"/>
    </row>
    <row r="73" spans="1:21" s="12" customFormat="1" x14ac:dyDescent="0.25">
      <c r="A73" s="201" t="s">
        <v>789</v>
      </c>
      <c r="B73" s="60">
        <v>7.42</v>
      </c>
      <c r="C73" s="60">
        <v>60.18</v>
      </c>
      <c r="D73" s="60">
        <v>37.979999999999997</v>
      </c>
      <c r="E73" s="60">
        <v>11.84</v>
      </c>
      <c r="F73" s="60">
        <v>22.11</v>
      </c>
      <c r="G73" s="60">
        <v>56.09</v>
      </c>
      <c r="H73" s="60">
        <v>45.45</v>
      </c>
      <c r="I73" s="210" t="s">
        <v>36</v>
      </c>
      <c r="J73" s="60">
        <v>0.49</v>
      </c>
      <c r="K73" s="60">
        <v>5.29</v>
      </c>
      <c r="L73" s="60">
        <v>31.35</v>
      </c>
      <c r="M73" s="60">
        <v>16</v>
      </c>
      <c r="N73" s="60">
        <v>87.3</v>
      </c>
      <c r="O73" s="60">
        <v>0</v>
      </c>
      <c r="P73" s="60">
        <v>1.05</v>
      </c>
      <c r="Q73" s="60">
        <v>21.45</v>
      </c>
      <c r="R73" s="198"/>
      <c r="S73" s="198"/>
      <c r="T73" s="198"/>
      <c r="U73" s="198"/>
    </row>
    <row r="74" spans="1:21" s="12" customFormat="1" x14ac:dyDescent="0.25">
      <c r="A74" s="201" t="s">
        <v>790</v>
      </c>
      <c r="B74" s="60">
        <v>8.91</v>
      </c>
      <c r="C74" s="60">
        <v>63.4</v>
      </c>
      <c r="D74" s="60">
        <v>40.950000000000003</v>
      </c>
      <c r="E74" s="60">
        <v>10.11</v>
      </c>
      <c r="F74" s="60">
        <v>17.440000000000001</v>
      </c>
      <c r="G74" s="60">
        <v>53.07</v>
      </c>
      <c r="H74" s="60">
        <v>38.86</v>
      </c>
      <c r="I74" s="210" t="s">
        <v>36</v>
      </c>
      <c r="J74" s="60">
        <v>0.42</v>
      </c>
      <c r="K74" s="60">
        <v>340.4</v>
      </c>
      <c r="L74" s="60">
        <v>30.39</v>
      </c>
      <c r="M74" s="60">
        <v>17</v>
      </c>
      <c r="N74" s="60">
        <v>62.2</v>
      </c>
      <c r="O74" s="60">
        <v>0</v>
      </c>
      <c r="P74" s="60">
        <v>1.05</v>
      </c>
      <c r="Q74" s="60">
        <v>22.14</v>
      </c>
      <c r="R74" s="198"/>
      <c r="S74" s="198"/>
      <c r="T74" s="198"/>
      <c r="U74" s="198"/>
    </row>
    <row r="75" spans="1:21" s="12" customFormat="1" x14ac:dyDescent="0.25">
      <c r="A75" s="201" t="s">
        <v>791</v>
      </c>
      <c r="B75" s="60">
        <v>10.51</v>
      </c>
      <c r="C75" s="60">
        <v>64.84</v>
      </c>
      <c r="D75" s="60">
        <v>43.03</v>
      </c>
      <c r="E75" s="60">
        <v>10.71</v>
      </c>
      <c r="F75" s="60">
        <v>17.899999999999999</v>
      </c>
      <c r="G75" s="60">
        <v>50.65</v>
      </c>
      <c r="H75" s="60">
        <v>33.58</v>
      </c>
      <c r="I75" s="210" t="s">
        <v>36</v>
      </c>
      <c r="J75" s="60">
        <v>0.51</v>
      </c>
      <c r="K75" s="60">
        <v>11.81</v>
      </c>
      <c r="L75" s="60">
        <v>29.74</v>
      </c>
      <c r="M75" s="60">
        <v>17</v>
      </c>
      <c r="N75" s="60">
        <v>55.3</v>
      </c>
      <c r="O75" s="60">
        <v>0</v>
      </c>
      <c r="P75" s="60">
        <v>1.03</v>
      </c>
      <c r="Q75" s="60">
        <v>23.01</v>
      </c>
      <c r="R75" s="198"/>
      <c r="S75" s="198"/>
      <c r="T75" s="198"/>
      <c r="U75" s="198"/>
    </row>
    <row r="76" spans="1:21" s="12" customFormat="1" x14ac:dyDescent="0.25">
      <c r="A76" s="201" t="s">
        <v>792</v>
      </c>
      <c r="B76" s="60">
        <v>10.67</v>
      </c>
      <c r="C76" s="60">
        <v>68.28</v>
      </c>
      <c r="D76" s="60">
        <v>45.05</v>
      </c>
      <c r="E76" s="60">
        <v>9.5399999999999991</v>
      </c>
      <c r="F76" s="60">
        <v>13.49</v>
      </c>
      <c r="G76" s="60">
        <v>50.65</v>
      </c>
      <c r="H76" s="60">
        <v>33.58</v>
      </c>
      <c r="I76" s="210" t="s">
        <v>36</v>
      </c>
      <c r="J76" s="60">
        <v>0.35</v>
      </c>
      <c r="K76" s="60">
        <v>21.2</v>
      </c>
      <c r="L76" s="60">
        <v>29.13</v>
      </c>
      <c r="M76" s="60">
        <v>19</v>
      </c>
      <c r="N76" s="60">
        <v>38.200000000000003</v>
      </c>
      <c r="O76" s="60">
        <v>0</v>
      </c>
      <c r="P76" s="60">
        <v>1.1200000000000001</v>
      </c>
      <c r="Q76" s="60">
        <v>24.09</v>
      </c>
      <c r="R76" s="198"/>
      <c r="S76" s="198"/>
      <c r="T76" s="198"/>
      <c r="U76" s="198"/>
    </row>
    <row r="77" spans="1:21" s="12" customFormat="1" x14ac:dyDescent="0.25">
      <c r="A77" s="201" t="s">
        <v>793</v>
      </c>
      <c r="B77" s="60">
        <v>9.3699999999999992</v>
      </c>
      <c r="C77" s="60">
        <v>70.34</v>
      </c>
      <c r="D77" s="60">
        <v>45.14</v>
      </c>
      <c r="E77" s="60">
        <v>6.26</v>
      </c>
      <c r="F77" s="60">
        <v>6.32</v>
      </c>
      <c r="G77" s="60">
        <v>50.65</v>
      </c>
      <c r="H77" s="60">
        <v>33.58</v>
      </c>
      <c r="I77" s="210" t="s">
        <v>36</v>
      </c>
      <c r="J77" s="60">
        <v>0.7</v>
      </c>
      <c r="K77" s="60">
        <v>16.75</v>
      </c>
      <c r="L77" s="60">
        <v>28.74</v>
      </c>
      <c r="M77" s="60">
        <v>21</v>
      </c>
      <c r="N77" s="60">
        <v>30.8</v>
      </c>
      <c r="O77" s="60">
        <v>0</v>
      </c>
      <c r="P77" s="60">
        <v>1.1200000000000001</v>
      </c>
      <c r="Q77" s="60">
        <v>26.15</v>
      </c>
      <c r="R77" s="198"/>
      <c r="S77" s="198"/>
      <c r="T77" s="198"/>
      <c r="U77" s="198"/>
    </row>
    <row r="78" spans="1:21" s="12" customFormat="1" x14ac:dyDescent="0.25">
      <c r="A78" s="201" t="s">
        <v>794</v>
      </c>
      <c r="B78" s="60">
        <v>10.98</v>
      </c>
      <c r="C78" s="60">
        <v>74.83</v>
      </c>
      <c r="D78" s="60">
        <v>48.91</v>
      </c>
      <c r="E78" s="60">
        <v>6.45</v>
      </c>
      <c r="F78" s="60">
        <v>6.98</v>
      </c>
      <c r="G78" s="60">
        <v>46.27</v>
      </c>
      <c r="H78" s="60">
        <v>29.92</v>
      </c>
      <c r="I78" s="210" t="s">
        <v>36</v>
      </c>
      <c r="J78" s="60">
        <v>0.47</v>
      </c>
      <c r="K78" s="60">
        <v>18.78</v>
      </c>
      <c r="L78" s="60">
        <v>28.06</v>
      </c>
      <c r="M78" s="60">
        <v>22</v>
      </c>
      <c r="N78" s="60">
        <v>21.6</v>
      </c>
      <c r="O78" s="60">
        <v>0</v>
      </c>
      <c r="P78" s="60">
        <v>1.17</v>
      </c>
      <c r="Q78" s="60">
        <v>27.24</v>
      </c>
      <c r="R78" s="198"/>
      <c r="S78" s="198"/>
      <c r="T78" s="198"/>
      <c r="U78" s="198"/>
    </row>
    <row r="79" spans="1:21" s="12" customFormat="1" x14ac:dyDescent="0.25">
      <c r="A79" s="201" t="s">
        <v>795</v>
      </c>
      <c r="B79" s="60">
        <v>12.55</v>
      </c>
      <c r="C79" s="60">
        <v>79.16</v>
      </c>
      <c r="D79" s="60">
        <v>52.56</v>
      </c>
      <c r="E79" s="60">
        <v>6.41</v>
      </c>
      <c r="F79" s="60">
        <v>5.17</v>
      </c>
      <c r="G79" s="60">
        <v>42.77</v>
      </c>
      <c r="H79" s="60">
        <v>27.11</v>
      </c>
      <c r="I79" s="210" t="s">
        <v>36</v>
      </c>
      <c r="J79" s="60">
        <v>0.08</v>
      </c>
      <c r="K79" s="60">
        <v>286.58999999999997</v>
      </c>
      <c r="L79" s="60">
        <v>27</v>
      </c>
      <c r="M79" s="60">
        <v>25</v>
      </c>
      <c r="N79" s="60">
        <v>12.7</v>
      </c>
      <c r="O79" s="60">
        <v>0</v>
      </c>
      <c r="P79" s="60">
        <v>1.21</v>
      </c>
      <c r="Q79" s="60">
        <v>28.02</v>
      </c>
      <c r="R79" s="198"/>
      <c r="S79" s="198"/>
      <c r="T79" s="198"/>
      <c r="U79" s="198"/>
    </row>
    <row r="80" spans="1:21" s="12" customFormat="1" x14ac:dyDescent="0.25">
      <c r="A80" s="201" t="s">
        <v>796</v>
      </c>
      <c r="B80" s="60">
        <v>11.9</v>
      </c>
      <c r="C80" s="60">
        <v>80.09</v>
      </c>
      <c r="D80" s="60">
        <v>52.56</v>
      </c>
      <c r="E80" s="60">
        <v>6.02</v>
      </c>
      <c r="F80" s="60">
        <v>4.04</v>
      </c>
      <c r="G80" s="60">
        <v>42.77</v>
      </c>
      <c r="H80" s="60">
        <v>27.11</v>
      </c>
      <c r="I80" s="210" t="s">
        <v>36</v>
      </c>
      <c r="J80" s="60">
        <v>0.12</v>
      </c>
      <c r="K80" s="60">
        <v>248.26</v>
      </c>
      <c r="L80" s="60">
        <v>25.83</v>
      </c>
      <c r="M80" s="60">
        <v>28</v>
      </c>
      <c r="N80" s="60">
        <v>6.7</v>
      </c>
      <c r="O80" s="60">
        <v>0</v>
      </c>
      <c r="P80" s="60">
        <v>1.2</v>
      </c>
      <c r="Q80" s="60">
        <v>28.84</v>
      </c>
      <c r="R80" s="198"/>
      <c r="S80" s="198"/>
      <c r="T80" s="198"/>
      <c r="U80" s="198"/>
    </row>
    <row r="81" spans="1:26" s="12" customFormat="1" x14ac:dyDescent="0.25">
      <c r="A81" s="201" t="s">
        <v>797</v>
      </c>
      <c r="B81" s="60">
        <v>15.35</v>
      </c>
      <c r="C81" s="60">
        <v>83.44</v>
      </c>
      <c r="D81" s="60">
        <v>57.17</v>
      </c>
      <c r="E81" s="60">
        <v>5.23</v>
      </c>
      <c r="F81" s="60">
        <v>3.51</v>
      </c>
      <c r="G81" s="60">
        <v>42.77</v>
      </c>
      <c r="H81" s="60">
        <v>27.11</v>
      </c>
      <c r="I81" s="210" t="s">
        <v>36</v>
      </c>
      <c r="J81" s="60">
        <v>7.0000000000000007E-2</v>
      </c>
      <c r="K81" s="60">
        <v>136.22999999999999</v>
      </c>
      <c r="L81" s="60">
        <v>24.77</v>
      </c>
      <c r="M81" s="60">
        <v>32</v>
      </c>
      <c r="N81" s="60">
        <v>5</v>
      </c>
      <c r="O81" s="60">
        <v>0</v>
      </c>
      <c r="P81" s="60">
        <v>1.2</v>
      </c>
      <c r="Q81" s="60">
        <v>29.31</v>
      </c>
      <c r="R81" s="198"/>
      <c r="S81" s="198"/>
      <c r="T81" s="198"/>
      <c r="U81" s="198"/>
    </row>
    <row r="82" spans="1:26" s="12" customFormat="1" x14ac:dyDescent="0.25">
      <c r="A82" s="201" t="s">
        <v>798</v>
      </c>
      <c r="B82" s="60">
        <v>20.440000000000001</v>
      </c>
      <c r="C82" s="60">
        <v>85.22</v>
      </c>
      <c r="D82" s="60">
        <v>62.24</v>
      </c>
      <c r="E82" s="60">
        <v>5.45</v>
      </c>
      <c r="F82" s="60">
        <v>3.4</v>
      </c>
      <c r="G82" s="60">
        <v>85.05</v>
      </c>
      <c r="H82" s="60">
        <v>31.44</v>
      </c>
      <c r="I82" s="210" t="s">
        <v>36</v>
      </c>
      <c r="J82" s="60">
        <v>0.13</v>
      </c>
      <c r="K82" s="60">
        <v>96.29</v>
      </c>
      <c r="L82" s="60">
        <v>23.93</v>
      </c>
      <c r="M82" s="60">
        <v>35</v>
      </c>
      <c r="N82" s="60">
        <v>4.5999999999999996</v>
      </c>
      <c r="O82" s="60">
        <v>0</v>
      </c>
      <c r="P82" s="60">
        <v>1.21</v>
      </c>
      <c r="Q82" s="60">
        <v>29.93</v>
      </c>
      <c r="R82" s="198"/>
      <c r="S82" s="198"/>
      <c r="T82" s="198"/>
      <c r="U82" s="198"/>
    </row>
    <row r="83" spans="1:26" s="12" customFormat="1" x14ac:dyDescent="0.25">
      <c r="A83" s="201" t="s">
        <v>799</v>
      </c>
      <c r="B83" s="60">
        <v>38.75</v>
      </c>
      <c r="C83" s="60">
        <v>91.53</v>
      </c>
      <c r="D83" s="60">
        <v>80.400000000000006</v>
      </c>
      <c r="E83" s="60">
        <v>6.24</v>
      </c>
      <c r="F83" s="60">
        <v>3.42</v>
      </c>
      <c r="G83" s="60">
        <v>118.88</v>
      </c>
      <c r="H83" s="60">
        <v>34.76</v>
      </c>
      <c r="I83" s="210" t="s">
        <v>36</v>
      </c>
      <c r="J83" s="60">
        <v>0.22</v>
      </c>
      <c r="K83" s="60">
        <v>86.87</v>
      </c>
      <c r="L83" s="60">
        <v>23.58</v>
      </c>
      <c r="M83" s="60">
        <v>40</v>
      </c>
      <c r="N83" s="60">
        <v>4.0999999999999996</v>
      </c>
      <c r="O83" s="60">
        <v>0</v>
      </c>
      <c r="P83" s="60">
        <v>1.43</v>
      </c>
      <c r="Q83" s="60">
        <v>30.22</v>
      </c>
      <c r="R83" s="198"/>
      <c r="S83" s="198"/>
      <c r="T83" s="198"/>
      <c r="U83" s="198"/>
    </row>
    <row r="84" spans="1:26" s="12" customFormat="1" x14ac:dyDescent="0.25">
      <c r="A84" s="201" t="s">
        <v>800</v>
      </c>
      <c r="B84" s="60">
        <v>38.49</v>
      </c>
      <c r="C84" s="60">
        <v>89.95</v>
      </c>
      <c r="D84" s="60">
        <v>79.319999999999993</v>
      </c>
      <c r="E84" s="60">
        <v>6.14</v>
      </c>
      <c r="F84" s="60">
        <v>3.48</v>
      </c>
      <c r="G84" s="60">
        <v>118.88</v>
      </c>
      <c r="H84" s="60">
        <v>34.76</v>
      </c>
      <c r="I84" s="210" t="s">
        <v>36</v>
      </c>
      <c r="J84" s="60">
        <v>0.09</v>
      </c>
      <c r="K84" s="60">
        <v>126.35</v>
      </c>
      <c r="L84" s="60">
        <v>22.99</v>
      </c>
      <c r="M84" s="60">
        <v>43</v>
      </c>
      <c r="N84" s="60">
        <v>4.5</v>
      </c>
      <c r="O84" s="60">
        <v>0</v>
      </c>
      <c r="P84" s="60">
        <v>1.47</v>
      </c>
      <c r="Q84" s="60">
        <v>29.22</v>
      </c>
      <c r="R84" s="198"/>
      <c r="S84" s="198"/>
      <c r="T84" s="198"/>
      <c r="U84" s="198"/>
    </row>
    <row r="85" spans="1:26" s="12" customFormat="1" x14ac:dyDescent="0.25">
      <c r="A85" s="201" t="s">
        <v>801</v>
      </c>
      <c r="B85" s="60">
        <v>61.08</v>
      </c>
      <c r="C85" s="60">
        <v>89.67</v>
      </c>
      <c r="D85" s="60">
        <v>97.28</v>
      </c>
      <c r="E85" s="60">
        <v>6.13</v>
      </c>
      <c r="F85" s="60">
        <v>3.46</v>
      </c>
      <c r="G85" s="60">
        <v>118.88</v>
      </c>
      <c r="H85" s="60">
        <v>34.76</v>
      </c>
      <c r="I85" s="210" t="s">
        <v>36</v>
      </c>
      <c r="J85" s="60">
        <v>7.0000000000000007E-2</v>
      </c>
      <c r="K85" s="60">
        <v>165.47</v>
      </c>
      <c r="L85" s="60">
        <v>22.35</v>
      </c>
      <c r="M85" s="60">
        <v>48</v>
      </c>
      <c r="N85" s="60">
        <v>4.5999999999999996</v>
      </c>
      <c r="O85" s="60">
        <v>0</v>
      </c>
      <c r="P85" s="60">
        <v>1.51</v>
      </c>
      <c r="Q85" s="60">
        <v>28.43</v>
      </c>
      <c r="R85" s="198"/>
      <c r="S85" s="198"/>
      <c r="T85" s="198"/>
      <c r="U85" s="198"/>
    </row>
    <row r="86" spans="1:26" s="12" customFormat="1" x14ac:dyDescent="0.25">
      <c r="A86" s="201" t="s">
        <v>802</v>
      </c>
      <c r="B86" s="60">
        <v>60.98</v>
      </c>
      <c r="C86" s="60">
        <v>89.65</v>
      </c>
      <c r="D86" s="60">
        <v>97.18</v>
      </c>
      <c r="E86" s="60">
        <v>6.22</v>
      </c>
      <c r="F86" s="60">
        <v>3.58</v>
      </c>
      <c r="G86" s="60">
        <v>135.97999999999999</v>
      </c>
      <c r="H86" s="60">
        <v>40.65</v>
      </c>
      <c r="I86" s="210" t="s">
        <v>36</v>
      </c>
      <c r="J86" s="60">
        <v>0.06</v>
      </c>
      <c r="K86" s="60">
        <v>138.16</v>
      </c>
      <c r="L86" s="60">
        <v>22</v>
      </c>
      <c r="M86" s="60">
        <v>48</v>
      </c>
      <c r="N86" s="60">
        <v>4.2</v>
      </c>
      <c r="O86" s="60">
        <v>0</v>
      </c>
      <c r="P86" s="60">
        <v>1.53</v>
      </c>
      <c r="Q86" s="60">
        <v>26.97</v>
      </c>
      <c r="R86" s="198"/>
      <c r="S86" s="198"/>
      <c r="T86" s="198"/>
      <c r="U86" s="198"/>
    </row>
    <row r="87" spans="1:26" s="12" customFormat="1" x14ac:dyDescent="0.25">
      <c r="A87" s="201" t="s">
        <v>803</v>
      </c>
      <c r="B87" s="60">
        <v>62.08</v>
      </c>
      <c r="C87" s="60">
        <v>88.21</v>
      </c>
      <c r="D87" s="60">
        <v>97.28</v>
      </c>
      <c r="E87" s="60">
        <v>6</v>
      </c>
      <c r="F87" s="60">
        <v>3.59</v>
      </c>
      <c r="G87" s="60">
        <v>149.66</v>
      </c>
      <c r="H87" s="60">
        <v>45.15</v>
      </c>
      <c r="I87" s="210" t="s">
        <v>36</v>
      </c>
      <c r="J87" s="60">
        <v>0.05</v>
      </c>
      <c r="K87" s="60">
        <v>254.25</v>
      </c>
      <c r="L87" s="60">
        <v>22.38</v>
      </c>
      <c r="M87" s="60">
        <v>42</v>
      </c>
      <c r="N87" s="60">
        <v>3.3</v>
      </c>
      <c r="O87" s="60">
        <v>0</v>
      </c>
      <c r="P87" s="60">
        <v>1.61</v>
      </c>
      <c r="Q87" s="60">
        <v>29.62</v>
      </c>
      <c r="R87" s="198"/>
      <c r="S87" s="198"/>
      <c r="T87" s="198"/>
      <c r="U87" s="198"/>
    </row>
    <row r="88" spans="1:26" s="12" customFormat="1" x14ac:dyDescent="0.25">
      <c r="A88" s="201" t="s">
        <v>804</v>
      </c>
      <c r="B88" s="60">
        <v>51.93</v>
      </c>
      <c r="C88" s="60">
        <v>87.03</v>
      </c>
      <c r="D88" s="60">
        <v>88.49</v>
      </c>
      <c r="E88" s="60">
        <v>3.96</v>
      </c>
      <c r="F88" s="60">
        <v>3.87</v>
      </c>
      <c r="G88" s="60">
        <v>149.66</v>
      </c>
      <c r="H88" s="60">
        <v>45.15</v>
      </c>
      <c r="I88" s="210" t="s">
        <v>36</v>
      </c>
      <c r="J88" s="60">
        <v>0.1</v>
      </c>
      <c r="K88" s="60">
        <v>351.16</v>
      </c>
      <c r="L88" s="60">
        <v>22.65</v>
      </c>
      <c r="M88" s="60">
        <v>36</v>
      </c>
      <c r="N88" s="60">
        <v>4.0999999999999996</v>
      </c>
      <c r="O88" s="60">
        <v>0</v>
      </c>
      <c r="P88" s="60">
        <v>1.62</v>
      </c>
      <c r="Q88" s="60">
        <v>32.6</v>
      </c>
      <c r="R88" s="198"/>
      <c r="S88" s="198"/>
      <c r="T88" s="198"/>
      <c r="U88" s="198"/>
    </row>
    <row r="89" spans="1:26" s="12" customFormat="1" x14ac:dyDescent="0.25">
      <c r="A89" s="201" t="s">
        <v>805</v>
      </c>
      <c r="B89" s="60">
        <v>64.3</v>
      </c>
      <c r="C89" s="60">
        <v>86.5</v>
      </c>
      <c r="D89" s="60">
        <v>98.11</v>
      </c>
      <c r="E89" s="60">
        <v>6.18</v>
      </c>
      <c r="F89" s="60">
        <v>3.65</v>
      </c>
      <c r="G89" s="60">
        <v>149.66</v>
      </c>
      <c r="H89" s="60">
        <v>45.15</v>
      </c>
      <c r="I89" s="210" t="s">
        <v>36</v>
      </c>
      <c r="J89" s="60">
        <v>0.22</v>
      </c>
      <c r="K89" s="60">
        <v>94.59</v>
      </c>
      <c r="L89" s="60">
        <v>22.29</v>
      </c>
      <c r="M89" s="60">
        <v>41</v>
      </c>
      <c r="N89" s="60">
        <v>3.7</v>
      </c>
      <c r="O89" s="60">
        <v>0</v>
      </c>
      <c r="P89" s="60">
        <v>1.8</v>
      </c>
      <c r="Q89" s="60">
        <v>32.68</v>
      </c>
      <c r="R89" s="198"/>
      <c r="S89" s="198"/>
      <c r="T89" s="198"/>
      <c r="U89" s="198"/>
    </row>
    <row r="90" spans="1:26" s="12" customFormat="1" x14ac:dyDescent="0.25">
      <c r="A90" s="201" t="s">
        <v>806</v>
      </c>
      <c r="B90" s="60">
        <v>61.31</v>
      </c>
      <c r="C90" s="60">
        <v>85.74</v>
      </c>
      <c r="D90" s="60">
        <v>95.3</v>
      </c>
      <c r="E90" s="60">
        <v>6.01</v>
      </c>
      <c r="F90" s="60">
        <v>3.66</v>
      </c>
      <c r="G90" s="60">
        <v>159.62</v>
      </c>
      <c r="H90" s="60">
        <v>47.95</v>
      </c>
      <c r="I90" s="210" t="s">
        <v>36</v>
      </c>
      <c r="J90" s="60">
        <v>0.09</v>
      </c>
      <c r="K90" s="60">
        <v>35.6</v>
      </c>
      <c r="L90" s="60">
        <v>21.77</v>
      </c>
      <c r="M90" s="60">
        <v>46</v>
      </c>
      <c r="N90" s="60">
        <v>4.5999999999999996</v>
      </c>
      <c r="O90" s="60">
        <v>0</v>
      </c>
      <c r="P90" s="60">
        <v>1.73</v>
      </c>
      <c r="Q90" s="60">
        <v>33.76</v>
      </c>
      <c r="R90" s="198"/>
      <c r="S90" s="198"/>
      <c r="T90" s="198"/>
      <c r="U90" s="198"/>
    </row>
    <row r="91" spans="1:26" s="12" customFormat="1" x14ac:dyDescent="0.25">
      <c r="A91" s="201" t="s">
        <v>807</v>
      </c>
      <c r="B91" s="60">
        <v>64.72</v>
      </c>
      <c r="C91" s="60">
        <v>86.16</v>
      </c>
      <c r="D91" s="60">
        <v>98.26</v>
      </c>
      <c r="E91" s="60">
        <v>5.73</v>
      </c>
      <c r="F91" s="60">
        <v>3.58</v>
      </c>
      <c r="G91" s="60">
        <v>167.23</v>
      </c>
      <c r="H91" s="60">
        <v>50.08</v>
      </c>
      <c r="I91" s="210" t="s">
        <v>36</v>
      </c>
      <c r="J91" s="60">
        <v>0.02</v>
      </c>
      <c r="K91" s="60">
        <v>118.06</v>
      </c>
      <c r="L91" s="60">
        <v>21.1</v>
      </c>
      <c r="M91" s="60">
        <v>50</v>
      </c>
      <c r="N91" s="60">
        <v>4.5999999999999996</v>
      </c>
      <c r="O91" s="60">
        <v>0</v>
      </c>
      <c r="P91" s="60">
        <v>1.82</v>
      </c>
      <c r="Q91" s="60">
        <v>35.82</v>
      </c>
      <c r="R91" s="198"/>
      <c r="S91" s="198"/>
      <c r="T91" s="198"/>
      <c r="U91" s="198"/>
    </row>
    <row r="92" spans="1:26" s="12" customFormat="1" x14ac:dyDescent="0.25">
      <c r="A92" s="201" t="s">
        <v>808</v>
      </c>
      <c r="B92" s="60">
        <v>74.14</v>
      </c>
      <c r="C92" s="60">
        <v>86.32</v>
      </c>
      <c r="D92" s="60">
        <v>105.9</v>
      </c>
      <c r="E92" s="60">
        <v>5.83</v>
      </c>
      <c r="F92" s="60">
        <v>3.62</v>
      </c>
      <c r="G92" s="60">
        <v>167.23</v>
      </c>
      <c r="H92" s="60">
        <v>50.08</v>
      </c>
      <c r="I92" s="210" t="s">
        <v>36</v>
      </c>
      <c r="J92" s="60">
        <v>0.1</v>
      </c>
      <c r="K92" s="60">
        <v>355.87</v>
      </c>
      <c r="L92" s="60">
        <v>20.61</v>
      </c>
      <c r="M92" s="60">
        <v>55</v>
      </c>
      <c r="N92" s="60">
        <v>4.5</v>
      </c>
      <c r="O92" s="60">
        <v>0</v>
      </c>
      <c r="P92" s="60">
        <v>2.0299999999999998</v>
      </c>
      <c r="Q92" s="60">
        <v>37.56</v>
      </c>
      <c r="R92" s="198"/>
      <c r="S92" s="198"/>
      <c r="T92" s="198"/>
      <c r="U92" s="198"/>
    </row>
    <row r="93" spans="1:26" s="12" customFormat="1" x14ac:dyDescent="0.25">
      <c r="A93" s="201" t="s">
        <v>809</v>
      </c>
      <c r="B93" s="60">
        <v>88.8</v>
      </c>
      <c r="C93" s="60">
        <v>86.81</v>
      </c>
      <c r="D93" s="60">
        <v>117.93</v>
      </c>
      <c r="E93" s="60">
        <v>6.35</v>
      </c>
      <c r="F93" s="60">
        <v>3.49</v>
      </c>
      <c r="G93" s="60">
        <v>167.23</v>
      </c>
      <c r="H93" s="60">
        <v>50.08</v>
      </c>
      <c r="I93" s="210" t="s">
        <v>36</v>
      </c>
      <c r="J93" s="60">
        <v>0.02</v>
      </c>
      <c r="K93" s="60">
        <v>106.81</v>
      </c>
      <c r="L93" s="60">
        <v>20.149999999999999</v>
      </c>
      <c r="M93" s="60">
        <v>55</v>
      </c>
      <c r="N93" s="60">
        <v>4.5999999999999996</v>
      </c>
      <c r="O93" s="60">
        <v>0</v>
      </c>
      <c r="P93" s="60">
        <v>2.3199999999999998</v>
      </c>
      <c r="Q93" s="60">
        <v>38.89</v>
      </c>
      <c r="R93" s="198"/>
      <c r="S93" s="198"/>
      <c r="T93" s="198"/>
      <c r="U93" s="198"/>
    </row>
    <row r="94" spans="1:26" s="12" customFormat="1" x14ac:dyDescent="0.25">
      <c r="A94" s="201" t="s">
        <v>810</v>
      </c>
      <c r="B94" s="60">
        <v>102.45</v>
      </c>
      <c r="C94" s="60">
        <v>87.59</v>
      </c>
      <c r="D94" s="60">
        <v>129.31</v>
      </c>
      <c r="E94" s="60">
        <v>6.04</v>
      </c>
      <c r="F94" s="60">
        <v>3.39</v>
      </c>
      <c r="G94" s="60">
        <v>167.23</v>
      </c>
      <c r="H94" s="60">
        <v>59.55</v>
      </c>
      <c r="I94" s="210" t="s">
        <v>36</v>
      </c>
      <c r="J94" s="60">
        <v>0.08</v>
      </c>
      <c r="K94" s="60">
        <v>95.93</v>
      </c>
      <c r="L94" s="60">
        <v>19.93</v>
      </c>
      <c r="M94" s="60">
        <v>55</v>
      </c>
      <c r="N94" s="60">
        <v>4.3</v>
      </c>
      <c r="O94" s="60">
        <v>0</v>
      </c>
      <c r="P94" s="60">
        <v>2.54</v>
      </c>
      <c r="Q94" s="60">
        <v>39.840000000000003</v>
      </c>
      <c r="R94" s="198"/>
      <c r="S94" s="198"/>
      <c r="T94" s="198"/>
      <c r="U94" s="198"/>
    </row>
    <row r="95" spans="1:26" s="12" customFormat="1" x14ac:dyDescent="0.25">
      <c r="A95" s="201" t="s">
        <v>811</v>
      </c>
      <c r="B95" s="60">
        <v>121.74</v>
      </c>
      <c r="C95" s="60">
        <v>88.88</v>
      </c>
      <c r="D95" s="60">
        <v>145.49</v>
      </c>
      <c r="E95" s="60">
        <v>6.62</v>
      </c>
      <c r="F95" s="60">
        <v>3.47</v>
      </c>
      <c r="G95" s="60">
        <v>261.32</v>
      </c>
      <c r="H95" s="60">
        <v>67.13</v>
      </c>
      <c r="I95" s="210" t="s">
        <v>36</v>
      </c>
      <c r="J95" s="60">
        <v>0</v>
      </c>
      <c r="K95" s="60">
        <v>316.85000000000002</v>
      </c>
      <c r="L95" s="60">
        <v>19.989999999999998</v>
      </c>
      <c r="M95" s="60">
        <v>53</v>
      </c>
      <c r="N95" s="60">
        <v>4.5</v>
      </c>
      <c r="O95" s="60">
        <v>0</v>
      </c>
      <c r="P95" s="60">
        <v>2.72</v>
      </c>
      <c r="Q95" s="60">
        <v>41.09</v>
      </c>
      <c r="R95" s="198"/>
      <c r="S95" s="198"/>
      <c r="T95" s="198"/>
      <c r="U95" s="198"/>
    </row>
    <row r="96" spans="1:26" s="12" customFormat="1" x14ac:dyDescent="0.25">
      <c r="A96" s="201" t="s">
        <v>812</v>
      </c>
      <c r="B96" s="60">
        <v>145.19</v>
      </c>
      <c r="C96" s="60">
        <v>90.86</v>
      </c>
      <c r="D96" s="60">
        <v>165.38</v>
      </c>
      <c r="E96" s="60">
        <v>6.71</v>
      </c>
      <c r="F96" s="60">
        <v>3.45</v>
      </c>
      <c r="G96" s="60">
        <v>261.32</v>
      </c>
      <c r="H96" s="60">
        <v>67.13</v>
      </c>
      <c r="I96" s="210" t="s">
        <v>36</v>
      </c>
      <c r="J96" s="60">
        <v>7.0000000000000007E-2</v>
      </c>
      <c r="K96" s="60">
        <v>132.21</v>
      </c>
      <c r="L96" s="60">
        <v>19.73</v>
      </c>
      <c r="M96" s="60">
        <v>54</v>
      </c>
      <c r="N96" s="60">
        <v>4.5</v>
      </c>
      <c r="O96" s="60">
        <v>0</v>
      </c>
      <c r="P96" s="60">
        <v>2.83</v>
      </c>
      <c r="Q96" s="60">
        <v>43.1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813</v>
      </c>
      <c r="B97" s="60">
        <v>167.63</v>
      </c>
      <c r="C97" s="60">
        <v>93.4</v>
      </c>
      <c r="D97" s="60">
        <v>184.78</v>
      </c>
      <c r="E97" s="60">
        <v>7.09</v>
      </c>
      <c r="F97" s="60">
        <v>3.43</v>
      </c>
      <c r="G97" s="60">
        <v>261.32</v>
      </c>
      <c r="H97" s="60">
        <v>67.13</v>
      </c>
      <c r="I97" s="210" t="s">
        <v>36</v>
      </c>
      <c r="J97" s="60">
        <v>0.08</v>
      </c>
      <c r="K97" s="60">
        <v>294.95</v>
      </c>
      <c r="L97" s="60">
        <v>19.64</v>
      </c>
      <c r="M97" s="60">
        <v>55</v>
      </c>
      <c r="N97" s="60">
        <v>4.3</v>
      </c>
      <c r="O97" s="60">
        <v>0</v>
      </c>
      <c r="P97" s="60">
        <v>2.93</v>
      </c>
      <c r="Q97" s="60">
        <v>43.62</v>
      </c>
      <c r="R97" s="198"/>
      <c r="S97" s="198"/>
      <c r="T97" s="198"/>
      <c r="U97" s="198"/>
    </row>
    <row r="98" spans="1:33" s="12" customFormat="1" x14ac:dyDescent="0.25">
      <c r="A98" s="201" t="s">
        <v>814</v>
      </c>
      <c r="B98" s="60">
        <v>178.55</v>
      </c>
      <c r="C98" s="60">
        <v>93.37</v>
      </c>
      <c r="D98" s="60">
        <v>193.52</v>
      </c>
      <c r="E98" s="60">
        <v>7.41</v>
      </c>
      <c r="F98" s="60">
        <v>3.56</v>
      </c>
      <c r="G98" s="60">
        <v>230.38</v>
      </c>
      <c r="H98" s="60">
        <v>70.040000000000006</v>
      </c>
      <c r="I98" s="210" t="s">
        <v>36</v>
      </c>
      <c r="J98" s="60">
        <v>0.03</v>
      </c>
      <c r="K98" s="60">
        <v>248.6</v>
      </c>
      <c r="L98" s="60">
        <v>19.350000000000001</v>
      </c>
      <c r="M98" s="60">
        <v>52</v>
      </c>
      <c r="N98" s="60">
        <v>4.5</v>
      </c>
      <c r="O98" s="60">
        <v>0</v>
      </c>
      <c r="P98" s="60">
        <v>2.96</v>
      </c>
      <c r="Q98" s="60">
        <v>43.25</v>
      </c>
      <c r="R98" s="198"/>
      <c r="S98" s="198"/>
      <c r="T98" s="198"/>
      <c r="U98" s="198"/>
    </row>
    <row r="99" spans="1:33" s="12" customFormat="1" x14ac:dyDescent="0.25">
      <c r="A99" s="201" t="s">
        <v>815</v>
      </c>
      <c r="B99" s="60">
        <v>191.96</v>
      </c>
      <c r="C99" s="60">
        <v>90.53</v>
      </c>
      <c r="D99" s="60">
        <v>202.71</v>
      </c>
      <c r="E99" s="60">
        <v>7.45</v>
      </c>
      <c r="F99" s="60">
        <v>3.44</v>
      </c>
      <c r="G99" s="60">
        <v>230.38</v>
      </c>
      <c r="H99" s="60">
        <v>72.37</v>
      </c>
      <c r="I99" s="210" t="s">
        <v>36</v>
      </c>
      <c r="J99" s="60">
        <v>0.09</v>
      </c>
      <c r="K99" s="60">
        <v>16.38</v>
      </c>
      <c r="L99" s="60">
        <v>19.27</v>
      </c>
      <c r="M99" s="60">
        <v>56</v>
      </c>
      <c r="N99" s="60">
        <v>4</v>
      </c>
      <c r="O99" s="60">
        <v>0</v>
      </c>
      <c r="P99" s="60">
        <v>3.03</v>
      </c>
      <c r="Q99" s="60">
        <v>43.12</v>
      </c>
      <c r="R99" s="198"/>
      <c r="S99" s="198"/>
      <c r="T99" s="198"/>
      <c r="U99" s="198"/>
    </row>
    <row r="100" spans="1:33" s="12" customFormat="1" x14ac:dyDescent="0.25">
      <c r="A100" s="201" t="s">
        <v>816</v>
      </c>
      <c r="B100" s="60">
        <v>199.05</v>
      </c>
      <c r="C100" s="60">
        <v>89.72</v>
      </c>
      <c r="D100" s="60">
        <v>207.95</v>
      </c>
      <c r="E100" s="60">
        <v>7.63</v>
      </c>
      <c r="F100" s="60">
        <v>3.46</v>
      </c>
      <c r="G100" s="60">
        <v>230.38</v>
      </c>
      <c r="H100" s="60">
        <v>72.37</v>
      </c>
      <c r="I100" s="210" t="s">
        <v>36</v>
      </c>
      <c r="J100" s="60">
        <v>0.1</v>
      </c>
      <c r="K100" s="60">
        <v>325.76</v>
      </c>
      <c r="L100" s="60">
        <v>19.25</v>
      </c>
      <c r="M100" s="60">
        <v>57</v>
      </c>
      <c r="N100" s="60">
        <v>4.3</v>
      </c>
      <c r="O100" s="60">
        <v>0</v>
      </c>
      <c r="P100" s="60">
        <v>3.07</v>
      </c>
      <c r="Q100" s="60">
        <v>44.86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817</v>
      </c>
      <c r="B101" s="60">
        <v>204.7</v>
      </c>
      <c r="C101" s="60">
        <v>88.93</v>
      </c>
      <c r="D101" s="60">
        <v>212.04</v>
      </c>
      <c r="E101" s="60">
        <v>7.34</v>
      </c>
      <c r="F101" s="60">
        <v>3.48</v>
      </c>
      <c r="G101" s="60">
        <v>230.38</v>
      </c>
      <c r="H101" s="60">
        <v>72.37</v>
      </c>
      <c r="I101" s="210" t="s">
        <v>36</v>
      </c>
      <c r="J101" s="60">
        <v>0.06</v>
      </c>
      <c r="K101" s="60">
        <v>1.6</v>
      </c>
      <c r="L101" s="60">
        <v>18.899999999999999</v>
      </c>
      <c r="M101" s="60">
        <v>57</v>
      </c>
      <c r="N101" s="60">
        <v>4.4000000000000004</v>
      </c>
      <c r="O101" s="60">
        <v>0</v>
      </c>
      <c r="P101" s="60">
        <v>3.12</v>
      </c>
      <c r="Q101" s="60">
        <v>46.16</v>
      </c>
      <c r="R101" s="198"/>
      <c r="S101" s="198"/>
      <c r="T101" s="198"/>
      <c r="U101" s="198"/>
    </row>
    <row r="102" spans="1:33" s="12" customFormat="1" x14ac:dyDescent="0.25">
      <c r="A102" s="201" t="s">
        <v>818</v>
      </c>
      <c r="B102" s="60">
        <v>212.29</v>
      </c>
      <c r="C102" s="60">
        <v>86.64</v>
      </c>
      <c r="D102" s="60">
        <v>216.86</v>
      </c>
      <c r="E102" s="60">
        <v>7.56</v>
      </c>
      <c r="F102" s="60">
        <v>3.48</v>
      </c>
      <c r="G102" s="60">
        <v>239.64</v>
      </c>
      <c r="H102" s="60">
        <v>76.66</v>
      </c>
      <c r="I102" s="210" t="s">
        <v>36</v>
      </c>
      <c r="J102" s="60">
        <v>7.0000000000000007E-2</v>
      </c>
      <c r="K102" s="60">
        <v>337.65</v>
      </c>
      <c r="L102" s="60">
        <v>18.760000000000002</v>
      </c>
      <c r="M102" s="60">
        <v>58</v>
      </c>
      <c r="N102" s="60">
        <v>4.4000000000000004</v>
      </c>
      <c r="O102" s="60">
        <v>0</v>
      </c>
      <c r="P102" s="60">
        <v>3.18</v>
      </c>
      <c r="Q102" s="60">
        <v>46.3</v>
      </c>
      <c r="R102" s="198"/>
      <c r="S102" s="198"/>
      <c r="T102" s="198"/>
      <c r="U102" s="198"/>
    </row>
    <row r="103" spans="1:33" s="12" customFormat="1" x14ac:dyDescent="0.25">
      <c r="A103" s="201" t="s">
        <v>819</v>
      </c>
      <c r="B103" s="60">
        <v>217.75</v>
      </c>
      <c r="C103" s="60">
        <v>86.08</v>
      </c>
      <c r="D103" s="60">
        <v>220.93</v>
      </c>
      <c r="E103" s="60">
        <v>7.49</v>
      </c>
      <c r="F103" s="60">
        <v>3.5</v>
      </c>
      <c r="G103" s="60">
        <v>246.73</v>
      </c>
      <c r="H103" s="60">
        <v>80.09</v>
      </c>
      <c r="I103" s="210" t="s">
        <v>36</v>
      </c>
      <c r="J103" s="60">
        <v>0.1</v>
      </c>
      <c r="K103" s="60">
        <v>351.31</v>
      </c>
      <c r="L103" s="60">
        <v>18.78</v>
      </c>
      <c r="M103" s="60">
        <v>57</v>
      </c>
      <c r="N103" s="60">
        <v>4.2</v>
      </c>
      <c r="O103" s="60">
        <v>0</v>
      </c>
      <c r="P103" s="60">
        <v>3.21</v>
      </c>
      <c r="Q103" s="60">
        <v>47.55</v>
      </c>
      <c r="R103" s="198"/>
      <c r="S103" s="198"/>
      <c r="T103" s="198"/>
      <c r="U103" s="198"/>
    </row>
    <row r="104" spans="1:33" s="12" customFormat="1" x14ac:dyDescent="0.25">
      <c r="A104" s="201" t="s">
        <v>820</v>
      </c>
      <c r="B104" s="60">
        <v>215.35</v>
      </c>
      <c r="C104" s="60">
        <v>85.97</v>
      </c>
      <c r="D104" s="60">
        <v>218.96</v>
      </c>
      <c r="E104" s="60">
        <v>4.6500000000000004</v>
      </c>
      <c r="F104" s="60">
        <v>3.48</v>
      </c>
      <c r="G104" s="60">
        <v>246.73</v>
      </c>
      <c r="H104" s="60">
        <v>80.09</v>
      </c>
      <c r="I104" s="210" t="s">
        <v>36</v>
      </c>
      <c r="J104" s="60">
        <v>0.06</v>
      </c>
      <c r="K104" s="60">
        <v>352.07</v>
      </c>
      <c r="L104" s="60">
        <v>19.41</v>
      </c>
      <c r="M104" s="60">
        <v>54</v>
      </c>
      <c r="N104" s="60">
        <v>3.7</v>
      </c>
      <c r="O104" s="60">
        <v>0</v>
      </c>
      <c r="P104" s="60">
        <v>3.2</v>
      </c>
      <c r="Q104" s="60">
        <v>48.67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2.52</v>
      </c>
      <c r="C106" s="67">
        <f>MIN(C9:C104)</f>
        <v>60.18</v>
      </c>
      <c r="D106" s="67">
        <f t="shared" ref="D106:Q106" si="0">MIN(D9:D104)</f>
        <v>37.840000000000003</v>
      </c>
      <c r="E106" s="67">
        <f t="shared" si="0"/>
        <v>3.96</v>
      </c>
      <c r="F106" s="67">
        <f t="shared" si="0"/>
        <v>3.29</v>
      </c>
      <c r="G106" s="67">
        <f t="shared" si="0"/>
        <v>42.77</v>
      </c>
      <c r="H106" s="67">
        <f t="shared" si="0"/>
        <v>27.11</v>
      </c>
      <c r="I106" s="67">
        <f t="shared" si="0"/>
        <v>0.43</v>
      </c>
      <c r="J106" s="67">
        <f t="shared" si="0"/>
        <v>0</v>
      </c>
      <c r="K106" s="67">
        <f t="shared" si="0"/>
        <v>0.68</v>
      </c>
      <c r="L106" s="67">
        <f t="shared" si="0"/>
        <v>14.89</v>
      </c>
      <c r="M106" s="67">
        <f t="shared" si="0"/>
        <v>12</v>
      </c>
      <c r="N106" s="67">
        <f t="shared" si="0"/>
        <v>2.6</v>
      </c>
      <c r="O106" s="67">
        <f t="shared" si="0"/>
        <v>0</v>
      </c>
      <c r="P106" s="67">
        <f t="shared" si="0"/>
        <v>1.03</v>
      </c>
      <c r="Q106" s="67">
        <f t="shared" si="0"/>
        <v>12.71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217.75</v>
      </c>
      <c r="C107" s="66">
        <f t="shared" ref="C107:Q107" si="1">MAX(C9:C104)</f>
        <v>178.92</v>
      </c>
      <c r="D107" s="66">
        <f t="shared" si="1"/>
        <v>235.21</v>
      </c>
      <c r="E107" s="66">
        <f t="shared" si="1"/>
        <v>32.21</v>
      </c>
      <c r="F107" s="66">
        <f t="shared" si="1"/>
        <v>53.24</v>
      </c>
      <c r="G107" s="66">
        <f t="shared" si="1"/>
        <v>261.32</v>
      </c>
      <c r="H107" s="66">
        <f t="shared" si="1"/>
        <v>80.09</v>
      </c>
      <c r="I107" s="66">
        <f t="shared" si="1"/>
        <v>0.83</v>
      </c>
      <c r="J107" s="66">
        <f t="shared" si="1"/>
        <v>1.1000000000000001</v>
      </c>
      <c r="K107" s="66">
        <f t="shared" si="1"/>
        <v>359.05</v>
      </c>
      <c r="L107" s="66">
        <f t="shared" si="1"/>
        <v>34.58</v>
      </c>
      <c r="M107" s="66">
        <f t="shared" si="1"/>
        <v>76</v>
      </c>
      <c r="N107" s="66">
        <f t="shared" si="1"/>
        <v>528.6</v>
      </c>
      <c r="O107" s="66">
        <f t="shared" si="1"/>
        <v>0</v>
      </c>
      <c r="P107" s="66">
        <f t="shared" si="1"/>
        <v>3.21</v>
      </c>
      <c r="Q107" s="66">
        <f t="shared" si="1"/>
        <v>48.67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75.591875000000044</v>
      </c>
      <c r="C108" s="67">
        <f t="shared" ref="C108:Q108" si="2">AVERAGE(C9:C104)</f>
        <v>107.67958333333333</v>
      </c>
      <c r="D108" s="67">
        <f t="shared" si="2"/>
        <v>118.85614583333337</v>
      </c>
      <c r="E108" s="67">
        <f t="shared" si="2"/>
        <v>8.6504166666666684</v>
      </c>
      <c r="F108" s="67">
        <f t="shared" si="2"/>
        <v>8.7204166666666687</v>
      </c>
      <c r="G108" s="67">
        <f t="shared" si="2"/>
        <v>133.01583333333323</v>
      </c>
      <c r="H108" s="67">
        <f t="shared" si="2"/>
        <v>56.382395833333312</v>
      </c>
      <c r="I108" s="67">
        <f t="shared" si="2"/>
        <v>0.68941176470588228</v>
      </c>
      <c r="J108" s="67">
        <f t="shared" si="2"/>
        <v>0.260625</v>
      </c>
      <c r="K108" s="67">
        <f t="shared" si="2"/>
        <v>168.00020833333335</v>
      </c>
      <c r="L108" s="67">
        <f t="shared" si="2"/>
        <v>23.381458333333331</v>
      </c>
      <c r="M108" s="67">
        <f t="shared" si="2"/>
        <v>42.854166666666664</v>
      </c>
      <c r="N108" s="67">
        <f t="shared" si="2"/>
        <v>131.35208333333335</v>
      </c>
      <c r="O108" s="67">
        <f t="shared" si="2"/>
        <v>0</v>
      </c>
      <c r="P108" s="67">
        <f t="shared" si="2"/>
        <v>2.0383333333333336</v>
      </c>
      <c r="Q108" s="67">
        <f t="shared" si="2"/>
        <v>31.688229166666655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62.52837650240334</v>
      </c>
      <c r="C109" s="67">
        <f t="shared" ref="C109:Q109" si="3">STDEV(C9:C104)</f>
        <v>32.695279875547143</v>
      </c>
      <c r="D109" s="67">
        <f t="shared" si="3"/>
        <v>61.643812825991475</v>
      </c>
      <c r="E109" s="67">
        <f t="shared" si="3"/>
        <v>4.91210232978157</v>
      </c>
      <c r="F109" s="67">
        <f t="shared" si="3"/>
        <v>10.726666614874665</v>
      </c>
      <c r="G109" s="67">
        <f t="shared" si="3"/>
        <v>55.966195128782957</v>
      </c>
      <c r="H109" s="67">
        <f t="shared" si="3"/>
        <v>13.563348270424486</v>
      </c>
      <c r="I109" s="67">
        <f t="shared" si="3"/>
        <v>8.196573889706113E-2</v>
      </c>
      <c r="J109" s="67">
        <f t="shared" si="3"/>
        <v>0.23905433207580759</v>
      </c>
      <c r="K109" s="67">
        <f t="shared" si="3"/>
        <v>133.68995974566769</v>
      </c>
      <c r="L109" s="67">
        <f t="shared" si="3"/>
        <v>6.8069186133501036</v>
      </c>
      <c r="M109" s="67">
        <f t="shared" si="3"/>
        <v>20.38832440221179</v>
      </c>
      <c r="N109" s="67">
        <f t="shared" si="3"/>
        <v>177.86810250955864</v>
      </c>
      <c r="O109" s="67">
        <f t="shared" si="3"/>
        <v>0</v>
      </c>
      <c r="P109" s="67">
        <f t="shared" si="3"/>
        <v>0.58503381218824124</v>
      </c>
      <c r="Q109" s="67">
        <f t="shared" si="3"/>
        <v>9.8811512215287998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>COUNT(C9:C104)</f>
        <v>96</v>
      </c>
      <c r="D110" s="66">
        <f>COUNT(D9:D104)</f>
        <v>96</v>
      </c>
      <c r="E110" s="66">
        <f t="shared" ref="E110:Q110" si="4">COUNT(E9:E104)</f>
        <v>96</v>
      </c>
      <c r="F110" s="66">
        <f t="shared" si="4"/>
        <v>96</v>
      </c>
      <c r="G110" s="66">
        <f>COUNT(G9:G104)</f>
        <v>96</v>
      </c>
      <c r="H110" s="66">
        <f>COUNT(H9:H104)</f>
        <v>96</v>
      </c>
      <c r="I110" s="66">
        <f>COUNT(I9:I104)+79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215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D9" sqref="D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07-02-2023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340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821</v>
      </c>
      <c r="B9" s="60">
        <v>208.83</v>
      </c>
      <c r="C9" s="60">
        <v>83.63</v>
      </c>
      <c r="D9" s="60">
        <v>212.43</v>
      </c>
      <c r="E9" s="60">
        <v>7.44</v>
      </c>
      <c r="F9" s="60">
        <v>3.43</v>
      </c>
      <c r="G9" s="60">
        <v>246.73</v>
      </c>
      <c r="H9" s="60">
        <v>80.09</v>
      </c>
      <c r="I9" s="210" t="s">
        <v>36</v>
      </c>
      <c r="J9" s="60">
        <v>0.12</v>
      </c>
      <c r="K9" s="60">
        <v>305.79000000000002</v>
      </c>
      <c r="L9" s="60">
        <v>19.079999999999998</v>
      </c>
      <c r="M9" s="60">
        <v>53</v>
      </c>
      <c r="N9" s="60">
        <v>4.0999999999999996</v>
      </c>
      <c r="O9" s="60">
        <v>0</v>
      </c>
      <c r="P9" s="60">
        <v>3.11</v>
      </c>
      <c r="Q9" s="60">
        <v>49.17</v>
      </c>
      <c r="R9" s="198"/>
      <c r="S9" s="198"/>
      <c r="T9" s="198"/>
      <c r="U9" s="198"/>
    </row>
    <row r="10" spans="1:21" s="12" customFormat="1" x14ac:dyDescent="0.25">
      <c r="A10" s="201" t="s">
        <v>822</v>
      </c>
      <c r="B10" s="60">
        <v>193.59</v>
      </c>
      <c r="C10" s="60">
        <v>82.01</v>
      </c>
      <c r="D10" s="60">
        <v>199.32</v>
      </c>
      <c r="E10" s="60">
        <v>7.24</v>
      </c>
      <c r="F10" s="60">
        <v>3.41</v>
      </c>
      <c r="G10" s="60">
        <v>184.74</v>
      </c>
      <c r="H10" s="60">
        <v>75.349999999999994</v>
      </c>
      <c r="I10" s="210" t="s">
        <v>36</v>
      </c>
      <c r="J10" s="60">
        <v>0.13</v>
      </c>
      <c r="K10" s="60">
        <v>301.97000000000003</v>
      </c>
      <c r="L10" s="60">
        <v>18.79</v>
      </c>
      <c r="M10" s="60">
        <v>51</v>
      </c>
      <c r="N10" s="60">
        <v>4.4000000000000004</v>
      </c>
      <c r="O10" s="60">
        <v>0</v>
      </c>
      <c r="P10" s="60">
        <v>2.97</v>
      </c>
      <c r="Q10" s="60">
        <v>48.23</v>
      </c>
      <c r="R10" s="198"/>
      <c r="S10" s="198"/>
      <c r="T10" s="198"/>
      <c r="U10" s="198"/>
    </row>
    <row r="11" spans="1:21" s="12" customFormat="1" x14ac:dyDescent="0.25">
      <c r="A11" s="201" t="s">
        <v>823</v>
      </c>
      <c r="B11" s="60">
        <v>178.38</v>
      </c>
      <c r="C11" s="60">
        <v>80.94</v>
      </c>
      <c r="D11" s="60">
        <v>186.53</v>
      </c>
      <c r="E11" s="60">
        <v>7.49</v>
      </c>
      <c r="F11" s="60">
        <v>3.36</v>
      </c>
      <c r="G11" s="60">
        <v>135.13999999999999</v>
      </c>
      <c r="H11" s="60">
        <v>71.55</v>
      </c>
      <c r="I11" s="210" t="s">
        <v>36</v>
      </c>
      <c r="J11" s="60">
        <v>0.08</v>
      </c>
      <c r="K11" s="60">
        <v>335.46</v>
      </c>
      <c r="L11" s="60">
        <v>18.52</v>
      </c>
      <c r="M11" s="60">
        <v>51</v>
      </c>
      <c r="N11" s="60">
        <v>4.5</v>
      </c>
      <c r="O11" s="60">
        <v>0</v>
      </c>
      <c r="P11" s="60">
        <v>2.84</v>
      </c>
      <c r="Q11" s="60">
        <v>46.94</v>
      </c>
      <c r="R11" s="198"/>
      <c r="S11" s="198"/>
      <c r="T11" s="198"/>
      <c r="U11" s="198"/>
    </row>
    <row r="12" spans="1:21" s="12" customFormat="1" x14ac:dyDescent="0.25">
      <c r="A12" s="201" t="s">
        <v>824</v>
      </c>
      <c r="B12" s="60">
        <v>165.67</v>
      </c>
      <c r="C12" s="60">
        <v>80.459999999999994</v>
      </c>
      <c r="D12" s="60">
        <v>176.07</v>
      </c>
      <c r="E12" s="60">
        <v>7.21</v>
      </c>
      <c r="F12" s="60">
        <v>3.38</v>
      </c>
      <c r="G12" s="60">
        <v>135.13999999999999</v>
      </c>
      <c r="H12" s="60">
        <v>71.55</v>
      </c>
      <c r="I12" s="210" t="s">
        <v>36</v>
      </c>
      <c r="J12" s="60">
        <v>0.06</v>
      </c>
      <c r="K12" s="60">
        <v>114.48</v>
      </c>
      <c r="L12" s="60">
        <v>18.350000000000001</v>
      </c>
      <c r="M12" s="60">
        <v>53</v>
      </c>
      <c r="N12" s="60">
        <v>4.5</v>
      </c>
      <c r="O12" s="60">
        <v>0</v>
      </c>
      <c r="P12" s="60">
        <v>2.7</v>
      </c>
      <c r="Q12" s="60">
        <v>45.77</v>
      </c>
      <c r="R12" s="198"/>
      <c r="S12" s="198"/>
      <c r="T12" s="198"/>
      <c r="U12" s="198"/>
    </row>
    <row r="13" spans="1:21" s="12" customFormat="1" x14ac:dyDescent="0.25">
      <c r="A13" s="201" t="s">
        <v>825</v>
      </c>
      <c r="B13" s="60">
        <v>153.88</v>
      </c>
      <c r="C13" s="60">
        <v>80.61</v>
      </c>
      <c r="D13" s="60">
        <v>166.7</v>
      </c>
      <c r="E13" s="60">
        <v>6.87</v>
      </c>
      <c r="F13" s="60">
        <v>3.47</v>
      </c>
      <c r="G13" s="60">
        <v>135.13999999999999</v>
      </c>
      <c r="H13" s="60">
        <v>71.55</v>
      </c>
      <c r="I13" s="210" t="s">
        <v>36</v>
      </c>
      <c r="J13" s="60">
        <v>0.12</v>
      </c>
      <c r="K13" s="60">
        <v>85.57</v>
      </c>
      <c r="L13" s="60">
        <v>18.12</v>
      </c>
      <c r="M13" s="60">
        <v>57</v>
      </c>
      <c r="N13" s="60">
        <v>4.4000000000000004</v>
      </c>
      <c r="O13" s="60">
        <v>0</v>
      </c>
      <c r="P13" s="60">
        <v>2.39</v>
      </c>
      <c r="Q13" s="60">
        <v>44.43</v>
      </c>
      <c r="R13" s="198"/>
      <c r="S13" s="198"/>
      <c r="T13" s="198"/>
      <c r="U13" s="198"/>
    </row>
    <row r="14" spans="1:21" s="12" customFormat="1" x14ac:dyDescent="0.25">
      <c r="A14" s="201" t="s">
        <v>826</v>
      </c>
      <c r="B14" s="60">
        <v>143.22</v>
      </c>
      <c r="C14" s="60">
        <v>80.489999999999995</v>
      </c>
      <c r="D14" s="60">
        <v>158.08000000000001</v>
      </c>
      <c r="E14" s="60">
        <v>6.77</v>
      </c>
      <c r="F14" s="60">
        <v>3.36</v>
      </c>
      <c r="G14" s="60">
        <v>110.56</v>
      </c>
      <c r="H14" s="60">
        <v>65.55</v>
      </c>
      <c r="I14" s="210" t="s">
        <v>36</v>
      </c>
      <c r="J14" s="60">
        <v>0.15</v>
      </c>
      <c r="K14" s="60">
        <v>7.85</v>
      </c>
      <c r="L14" s="60">
        <v>17.670000000000002</v>
      </c>
      <c r="M14" s="60">
        <v>61</v>
      </c>
      <c r="N14" s="60">
        <v>4.5</v>
      </c>
      <c r="O14" s="60">
        <v>0</v>
      </c>
      <c r="P14" s="60">
        <v>2.4300000000000002</v>
      </c>
      <c r="Q14" s="60">
        <v>43.07</v>
      </c>
      <c r="R14" s="198"/>
      <c r="S14" s="198"/>
      <c r="T14" s="198"/>
      <c r="U14" s="198"/>
    </row>
    <row r="15" spans="1:21" s="12" customFormat="1" x14ac:dyDescent="0.25">
      <c r="A15" s="201" t="s">
        <v>827</v>
      </c>
      <c r="B15" s="60">
        <v>134.91</v>
      </c>
      <c r="C15" s="60">
        <v>80.42</v>
      </c>
      <c r="D15" s="60">
        <v>151.38999999999999</v>
      </c>
      <c r="E15" s="60">
        <v>6.56</v>
      </c>
      <c r="F15" s="60">
        <v>3.33</v>
      </c>
      <c r="G15" s="60">
        <v>90.89</v>
      </c>
      <c r="H15" s="60">
        <v>60.75</v>
      </c>
      <c r="I15" s="210" t="s">
        <v>36</v>
      </c>
      <c r="J15" s="60">
        <v>7.0000000000000007E-2</v>
      </c>
      <c r="K15" s="60">
        <v>252.27</v>
      </c>
      <c r="L15" s="60">
        <v>17.88</v>
      </c>
      <c r="M15" s="60">
        <v>60</v>
      </c>
      <c r="N15" s="60">
        <v>3.7</v>
      </c>
      <c r="O15" s="60">
        <v>0</v>
      </c>
      <c r="P15" s="60">
        <v>2.36</v>
      </c>
      <c r="Q15" s="60">
        <v>42.04</v>
      </c>
      <c r="R15" s="198"/>
      <c r="S15" s="198"/>
      <c r="T15" s="198"/>
      <c r="U15" s="198"/>
    </row>
    <row r="16" spans="1:21" s="12" customFormat="1" x14ac:dyDescent="0.25">
      <c r="A16" s="201" t="s">
        <v>828</v>
      </c>
      <c r="B16" s="60">
        <v>121.83</v>
      </c>
      <c r="C16" s="60">
        <v>79.7</v>
      </c>
      <c r="D16" s="60">
        <v>140.49</v>
      </c>
      <c r="E16" s="60">
        <v>6.64</v>
      </c>
      <c r="F16" s="60">
        <v>3.4</v>
      </c>
      <c r="G16" s="60">
        <v>90.89</v>
      </c>
      <c r="H16" s="60">
        <v>60.75</v>
      </c>
      <c r="I16" s="210" t="s">
        <v>36</v>
      </c>
      <c r="J16" s="60">
        <v>0.12</v>
      </c>
      <c r="K16" s="60">
        <v>357.59</v>
      </c>
      <c r="L16" s="60">
        <v>17.920000000000002</v>
      </c>
      <c r="M16" s="60">
        <v>59</v>
      </c>
      <c r="N16" s="60">
        <v>4.0999999999999996</v>
      </c>
      <c r="O16" s="60">
        <v>0</v>
      </c>
      <c r="P16" s="60">
        <v>2.27</v>
      </c>
      <c r="Q16" s="60">
        <v>41.18</v>
      </c>
      <c r="R16" s="198"/>
      <c r="S16" s="198"/>
      <c r="T16" s="198"/>
      <c r="U16" s="198"/>
    </row>
    <row r="17" spans="1:21" s="12" customFormat="1" x14ac:dyDescent="0.25">
      <c r="A17" s="201" t="s">
        <v>829</v>
      </c>
      <c r="B17" s="60">
        <v>116.11</v>
      </c>
      <c r="C17" s="60">
        <v>79.81</v>
      </c>
      <c r="D17" s="60">
        <v>135.97</v>
      </c>
      <c r="E17" s="60">
        <v>6.5</v>
      </c>
      <c r="F17" s="60">
        <v>3.39</v>
      </c>
      <c r="G17" s="60">
        <v>90.89</v>
      </c>
      <c r="H17" s="60">
        <v>60.75</v>
      </c>
      <c r="I17" s="210" t="s">
        <v>36</v>
      </c>
      <c r="J17" s="60">
        <v>0.14000000000000001</v>
      </c>
      <c r="K17" s="60">
        <v>279.63</v>
      </c>
      <c r="L17" s="60">
        <v>17.97</v>
      </c>
      <c r="M17" s="60">
        <v>56</v>
      </c>
      <c r="N17" s="60">
        <v>4.2</v>
      </c>
      <c r="O17" s="60">
        <v>0</v>
      </c>
      <c r="P17" s="60">
        <v>2.2200000000000002</v>
      </c>
      <c r="Q17" s="60">
        <v>39.619999999999997</v>
      </c>
      <c r="R17" s="198"/>
      <c r="S17" s="198"/>
      <c r="T17" s="198"/>
      <c r="U17" s="198"/>
    </row>
    <row r="18" spans="1:21" s="12" customFormat="1" x14ac:dyDescent="0.25">
      <c r="A18" s="201" t="s">
        <v>830</v>
      </c>
      <c r="B18" s="60">
        <v>113</v>
      </c>
      <c r="C18" s="60">
        <v>77.239999999999995</v>
      </c>
      <c r="D18" s="60">
        <v>132.05000000000001</v>
      </c>
      <c r="E18" s="60">
        <v>6.16</v>
      </c>
      <c r="F18" s="60">
        <v>3.42</v>
      </c>
      <c r="G18" s="60">
        <v>108.15</v>
      </c>
      <c r="H18" s="60">
        <v>58.42</v>
      </c>
      <c r="I18" s="210" t="s">
        <v>36</v>
      </c>
      <c r="J18" s="60">
        <v>0.06</v>
      </c>
      <c r="K18" s="60">
        <v>337.41</v>
      </c>
      <c r="L18" s="60">
        <v>17.84</v>
      </c>
      <c r="M18" s="60">
        <v>56</v>
      </c>
      <c r="N18" s="60">
        <v>4.3</v>
      </c>
      <c r="O18" s="60">
        <v>0</v>
      </c>
      <c r="P18" s="60">
        <v>2.17</v>
      </c>
      <c r="Q18" s="60">
        <v>38.4</v>
      </c>
      <c r="R18" s="198"/>
      <c r="S18" s="198"/>
      <c r="T18" s="198"/>
      <c r="U18" s="198"/>
    </row>
    <row r="19" spans="1:21" s="12" customFormat="1" x14ac:dyDescent="0.25">
      <c r="A19" s="201" t="s">
        <v>831</v>
      </c>
      <c r="B19" s="60">
        <v>108.4</v>
      </c>
      <c r="C19" s="60">
        <v>76.5</v>
      </c>
      <c r="D19" s="60">
        <v>127.96</v>
      </c>
      <c r="E19" s="60">
        <v>6.51</v>
      </c>
      <c r="F19" s="60">
        <v>3.43</v>
      </c>
      <c r="G19" s="60">
        <v>121.97</v>
      </c>
      <c r="H19" s="60">
        <v>56.55</v>
      </c>
      <c r="I19" s="210" t="s">
        <v>36</v>
      </c>
      <c r="J19" s="60">
        <v>0.13</v>
      </c>
      <c r="K19" s="60">
        <v>252.88</v>
      </c>
      <c r="L19" s="60">
        <v>17.73</v>
      </c>
      <c r="M19" s="60">
        <v>58</v>
      </c>
      <c r="N19" s="60">
        <v>4.0999999999999996</v>
      </c>
      <c r="O19" s="60">
        <v>0</v>
      </c>
      <c r="P19" s="60">
        <v>2.12</v>
      </c>
      <c r="Q19" s="60">
        <v>37.79</v>
      </c>
      <c r="R19" s="198"/>
      <c r="S19" s="198"/>
      <c r="T19" s="198"/>
      <c r="U19" s="198"/>
    </row>
    <row r="20" spans="1:21" s="12" customFormat="1" x14ac:dyDescent="0.25">
      <c r="A20" s="201" t="s">
        <v>832</v>
      </c>
      <c r="B20" s="60">
        <v>102.58</v>
      </c>
      <c r="C20" s="60">
        <v>75.12</v>
      </c>
      <c r="D20" s="60">
        <v>122.53</v>
      </c>
      <c r="E20" s="60">
        <v>6.45</v>
      </c>
      <c r="F20" s="60">
        <v>3.46</v>
      </c>
      <c r="G20" s="60">
        <v>121.97</v>
      </c>
      <c r="H20" s="60">
        <v>56.55</v>
      </c>
      <c r="I20" s="210" t="s">
        <v>36</v>
      </c>
      <c r="J20" s="60">
        <v>0.13</v>
      </c>
      <c r="K20" s="60">
        <v>291.93</v>
      </c>
      <c r="L20" s="60">
        <v>17.510000000000002</v>
      </c>
      <c r="M20" s="60">
        <v>59</v>
      </c>
      <c r="N20" s="60">
        <v>4.4000000000000004</v>
      </c>
      <c r="O20" s="60">
        <v>0</v>
      </c>
      <c r="P20" s="60">
        <v>2.0699999999999998</v>
      </c>
      <c r="Q20" s="60">
        <v>37.31</v>
      </c>
      <c r="R20" s="198"/>
      <c r="S20" s="198"/>
      <c r="T20" s="198"/>
      <c r="U20" s="198"/>
    </row>
    <row r="21" spans="1:21" s="12" customFormat="1" x14ac:dyDescent="0.25">
      <c r="A21" s="201" t="s">
        <v>833</v>
      </c>
      <c r="B21" s="60">
        <v>98.38</v>
      </c>
      <c r="C21" s="60">
        <v>74.27</v>
      </c>
      <c r="D21" s="60">
        <v>118.69</v>
      </c>
      <c r="E21" s="60">
        <v>6.52</v>
      </c>
      <c r="F21" s="60">
        <v>3.42</v>
      </c>
      <c r="G21" s="60">
        <v>121.97</v>
      </c>
      <c r="H21" s="60">
        <v>56.55</v>
      </c>
      <c r="I21" s="210" t="s">
        <v>36</v>
      </c>
      <c r="J21" s="60">
        <v>0.1</v>
      </c>
      <c r="K21" s="60">
        <v>274.12</v>
      </c>
      <c r="L21" s="60">
        <v>17.149999999999999</v>
      </c>
      <c r="M21" s="60">
        <v>60</v>
      </c>
      <c r="N21" s="60">
        <v>4.4000000000000004</v>
      </c>
      <c r="O21" s="60">
        <v>0</v>
      </c>
      <c r="P21" s="60">
        <v>2.02</v>
      </c>
      <c r="Q21" s="60">
        <v>36.78</v>
      </c>
      <c r="R21" s="198"/>
      <c r="S21" s="198"/>
      <c r="T21" s="198"/>
      <c r="U21" s="198"/>
    </row>
    <row r="22" spans="1:21" s="12" customFormat="1" x14ac:dyDescent="0.25">
      <c r="A22" s="201" t="s">
        <v>834</v>
      </c>
      <c r="B22" s="60">
        <v>91.73</v>
      </c>
      <c r="C22" s="60">
        <v>72.55</v>
      </c>
      <c r="D22" s="60">
        <v>112.41</v>
      </c>
      <c r="E22" s="60">
        <v>6.68</v>
      </c>
      <c r="F22" s="60">
        <v>3.48</v>
      </c>
      <c r="G22" s="60">
        <v>128.49</v>
      </c>
      <c r="H22" s="60">
        <v>57.92</v>
      </c>
      <c r="I22" s="210" t="s">
        <v>36</v>
      </c>
      <c r="J22" s="60">
        <v>0.3</v>
      </c>
      <c r="K22" s="60">
        <v>237.99</v>
      </c>
      <c r="L22" s="60">
        <v>17.260000000000002</v>
      </c>
      <c r="M22" s="60">
        <v>63</v>
      </c>
      <c r="N22" s="60">
        <v>3.6</v>
      </c>
      <c r="O22" s="60">
        <v>0</v>
      </c>
      <c r="P22" s="60">
        <v>1.97</v>
      </c>
      <c r="Q22" s="60">
        <v>36.36</v>
      </c>
      <c r="R22" s="198"/>
      <c r="S22" s="198"/>
      <c r="T22" s="198"/>
      <c r="U22" s="198"/>
    </row>
    <row r="23" spans="1:21" s="12" customFormat="1" x14ac:dyDescent="0.25">
      <c r="A23" s="201" t="s">
        <v>835</v>
      </c>
      <c r="B23" s="60">
        <v>88.44</v>
      </c>
      <c r="C23" s="60">
        <v>71.48</v>
      </c>
      <c r="D23" s="60">
        <v>109.18</v>
      </c>
      <c r="E23" s="60">
        <v>6.56</v>
      </c>
      <c r="F23" s="60">
        <v>3.49</v>
      </c>
      <c r="G23" s="60">
        <v>133.71</v>
      </c>
      <c r="H23" s="60">
        <v>59.02</v>
      </c>
      <c r="I23" s="210" t="s">
        <v>36</v>
      </c>
      <c r="J23" s="60">
        <v>0.11</v>
      </c>
      <c r="K23" s="60">
        <v>271.99</v>
      </c>
      <c r="L23" s="60">
        <v>17.28</v>
      </c>
      <c r="M23" s="60">
        <v>66</v>
      </c>
      <c r="N23" s="60">
        <v>4.2</v>
      </c>
      <c r="O23" s="60">
        <v>0</v>
      </c>
      <c r="P23" s="60">
        <v>1.91</v>
      </c>
      <c r="Q23" s="60">
        <v>36.200000000000003</v>
      </c>
      <c r="R23" s="198"/>
      <c r="S23" s="198"/>
      <c r="T23" s="198"/>
      <c r="U23" s="198"/>
    </row>
    <row r="24" spans="1:21" s="12" customFormat="1" x14ac:dyDescent="0.25">
      <c r="A24" s="201" t="s">
        <v>836</v>
      </c>
      <c r="B24" s="60">
        <v>83.18</v>
      </c>
      <c r="C24" s="60">
        <v>70.08</v>
      </c>
      <c r="D24" s="60">
        <v>104.19</v>
      </c>
      <c r="E24" s="60">
        <v>3.94</v>
      </c>
      <c r="F24" s="60">
        <v>3.49</v>
      </c>
      <c r="G24" s="60">
        <v>133.71</v>
      </c>
      <c r="H24" s="60">
        <v>59.02</v>
      </c>
      <c r="I24" s="210" t="s">
        <v>36</v>
      </c>
      <c r="J24" s="60">
        <v>0.19</v>
      </c>
      <c r="K24" s="60">
        <v>205.7</v>
      </c>
      <c r="L24" s="60">
        <v>16.93</v>
      </c>
      <c r="M24" s="60">
        <v>66</v>
      </c>
      <c r="N24" s="60">
        <v>3.8</v>
      </c>
      <c r="O24" s="60">
        <v>0</v>
      </c>
      <c r="P24" s="60">
        <v>1.84</v>
      </c>
      <c r="Q24" s="60">
        <v>37.03</v>
      </c>
      <c r="R24" s="198"/>
      <c r="S24" s="198"/>
      <c r="T24" s="198"/>
      <c r="U24" s="198"/>
    </row>
    <row r="25" spans="1:21" s="12" customFormat="1" x14ac:dyDescent="0.25">
      <c r="A25" s="201" t="s">
        <v>837</v>
      </c>
      <c r="B25" s="60">
        <v>77.290000000000006</v>
      </c>
      <c r="C25" s="60">
        <v>68.88</v>
      </c>
      <c r="D25" s="60">
        <v>98.81</v>
      </c>
      <c r="E25" s="60">
        <v>6.16</v>
      </c>
      <c r="F25" s="60">
        <v>3.47</v>
      </c>
      <c r="G25" s="60">
        <v>133.71</v>
      </c>
      <c r="H25" s="60">
        <v>59.02</v>
      </c>
      <c r="I25" s="210" t="s">
        <v>36</v>
      </c>
      <c r="J25" s="60">
        <v>0.18</v>
      </c>
      <c r="K25" s="60">
        <v>203.69</v>
      </c>
      <c r="L25" s="60">
        <v>17.059999999999999</v>
      </c>
      <c r="M25" s="60">
        <v>63</v>
      </c>
      <c r="N25" s="60">
        <v>3.9</v>
      </c>
      <c r="O25" s="60">
        <v>0</v>
      </c>
      <c r="P25" s="60">
        <v>1.76</v>
      </c>
      <c r="Q25" s="60">
        <v>36.69</v>
      </c>
      <c r="R25" s="198"/>
      <c r="S25" s="198"/>
      <c r="T25" s="198"/>
      <c r="U25" s="198"/>
    </row>
    <row r="26" spans="1:21" s="12" customFormat="1" x14ac:dyDescent="0.25">
      <c r="A26" s="201" t="s">
        <v>838</v>
      </c>
      <c r="B26" s="60">
        <v>71.540000000000006</v>
      </c>
      <c r="C26" s="60">
        <v>68.209999999999994</v>
      </c>
      <c r="D26" s="60">
        <v>93.83</v>
      </c>
      <c r="E26" s="60">
        <v>6.24</v>
      </c>
      <c r="F26" s="60">
        <v>3.42</v>
      </c>
      <c r="G26" s="60">
        <v>106.71</v>
      </c>
      <c r="H26" s="60">
        <v>54.26</v>
      </c>
      <c r="I26" s="210" t="s">
        <v>36</v>
      </c>
      <c r="J26" s="60">
        <v>0.16</v>
      </c>
      <c r="K26" s="60">
        <v>316.47000000000003</v>
      </c>
      <c r="L26" s="60">
        <v>16.899999999999999</v>
      </c>
      <c r="M26" s="60">
        <v>63</v>
      </c>
      <c r="N26" s="60">
        <v>4.4000000000000004</v>
      </c>
      <c r="O26" s="60">
        <v>0</v>
      </c>
      <c r="P26" s="60">
        <v>1.68</v>
      </c>
      <c r="Q26" s="60">
        <v>36.090000000000003</v>
      </c>
      <c r="R26" s="198"/>
      <c r="S26" s="198"/>
      <c r="T26" s="198"/>
      <c r="U26" s="198"/>
    </row>
    <row r="27" spans="1:21" s="12" customFormat="1" x14ac:dyDescent="0.25">
      <c r="A27" s="201" t="s">
        <v>839</v>
      </c>
      <c r="B27" s="60">
        <v>67.010000000000005</v>
      </c>
      <c r="C27" s="60">
        <v>68.09</v>
      </c>
      <c r="D27" s="60">
        <v>90.13</v>
      </c>
      <c r="E27" s="60">
        <v>6.21</v>
      </c>
      <c r="F27" s="60">
        <v>3.3</v>
      </c>
      <c r="G27" s="60">
        <v>85.12</v>
      </c>
      <c r="H27" s="60">
        <v>50.45</v>
      </c>
      <c r="I27" s="210" t="s">
        <v>36</v>
      </c>
      <c r="J27" s="60">
        <v>0.11</v>
      </c>
      <c r="K27" s="60">
        <v>217.29</v>
      </c>
      <c r="L27" s="60">
        <v>16.39</v>
      </c>
      <c r="M27" s="60">
        <v>66</v>
      </c>
      <c r="N27" s="60">
        <v>4</v>
      </c>
      <c r="O27" s="60">
        <v>0</v>
      </c>
      <c r="P27" s="60">
        <v>1.64</v>
      </c>
      <c r="Q27" s="60">
        <v>35.51</v>
      </c>
      <c r="R27" s="198"/>
      <c r="S27" s="198"/>
      <c r="T27" s="198"/>
      <c r="U27" s="198"/>
    </row>
    <row r="28" spans="1:21" s="12" customFormat="1" x14ac:dyDescent="0.25">
      <c r="A28" s="201" t="s">
        <v>840</v>
      </c>
      <c r="B28" s="60">
        <v>62.49</v>
      </c>
      <c r="C28" s="60">
        <v>67.94</v>
      </c>
      <c r="D28" s="60">
        <v>86.42</v>
      </c>
      <c r="E28" s="60">
        <v>5.79</v>
      </c>
      <c r="F28" s="60">
        <v>3.69</v>
      </c>
      <c r="G28" s="60">
        <v>85.12</v>
      </c>
      <c r="H28" s="60">
        <v>50.45</v>
      </c>
      <c r="I28" s="210" t="s">
        <v>36</v>
      </c>
      <c r="J28" s="60">
        <v>0.1</v>
      </c>
      <c r="K28" s="60">
        <v>1.2</v>
      </c>
      <c r="L28" s="60">
        <v>16.38</v>
      </c>
      <c r="M28" s="60">
        <v>66</v>
      </c>
      <c r="N28" s="60">
        <v>4.5</v>
      </c>
      <c r="O28" s="60">
        <v>0</v>
      </c>
      <c r="P28" s="60">
        <v>1.57</v>
      </c>
      <c r="Q28" s="60">
        <v>34.979999999999997</v>
      </c>
      <c r="R28" s="198"/>
      <c r="S28" s="198"/>
      <c r="T28" s="198"/>
      <c r="U28" s="198"/>
    </row>
    <row r="29" spans="1:21" s="12" customFormat="1" x14ac:dyDescent="0.25">
      <c r="A29" s="201" t="s">
        <v>841</v>
      </c>
      <c r="B29" s="60">
        <v>59.79</v>
      </c>
      <c r="C29" s="60">
        <v>68.290000000000006</v>
      </c>
      <c r="D29" s="60">
        <v>84.44</v>
      </c>
      <c r="E29" s="60">
        <v>6.06</v>
      </c>
      <c r="F29" s="60">
        <v>3.31</v>
      </c>
      <c r="G29" s="60">
        <v>85.12</v>
      </c>
      <c r="H29" s="60">
        <v>50.45</v>
      </c>
      <c r="I29" s="210" t="s">
        <v>36</v>
      </c>
      <c r="J29" s="60">
        <v>0.01</v>
      </c>
      <c r="K29" s="60">
        <v>332.2</v>
      </c>
      <c r="L29" s="60">
        <v>15.84</v>
      </c>
      <c r="M29" s="60">
        <v>69</v>
      </c>
      <c r="N29" s="60">
        <v>4.5999999999999996</v>
      </c>
      <c r="O29" s="60">
        <v>0</v>
      </c>
      <c r="P29" s="60">
        <v>1.53</v>
      </c>
      <c r="Q29" s="60">
        <v>34.57</v>
      </c>
      <c r="R29" s="198"/>
      <c r="S29" s="198"/>
      <c r="T29" s="198"/>
      <c r="U29" s="198"/>
    </row>
    <row r="30" spans="1:21" s="12" customFormat="1" x14ac:dyDescent="0.25">
      <c r="A30" s="201" t="s">
        <v>842</v>
      </c>
      <c r="B30" s="60">
        <v>57.82</v>
      </c>
      <c r="C30" s="60">
        <v>68.08</v>
      </c>
      <c r="D30" s="60">
        <v>82.75</v>
      </c>
      <c r="E30" s="60">
        <v>5.65</v>
      </c>
      <c r="F30" s="60">
        <v>3.3</v>
      </c>
      <c r="G30" s="60">
        <v>78.39</v>
      </c>
      <c r="H30" s="60">
        <v>46.29</v>
      </c>
      <c r="I30" s="210" t="s">
        <v>36</v>
      </c>
      <c r="J30" s="60">
        <v>0.03</v>
      </c>
      <c r="K30" s="60">
        <v>295.92</v>
      </c>
      <c r="L30" s="60">
        <v>15.85</v>
      </c>
      <c r="M30" s="60">
        <v>68</v>
      </c>
      <c r="N30" s="60">
        <v>4.0999999999999996</v>
      </c>
      <c r="O30" s="60">
        <v>0</v>
      </c>
      <c r="P30" s="60">
        <v>1.47</v>
      </c>
      <c r="Q30" s="60">
        <v>33.54</v>
      </c>
      <c r="R30" s="198"/>
      <c r="S30" s="198"/>
      <c r="T30" s="198"/>
      <c r="U30" s="198"/>
    </row>
    <row r="31" spans="1:21" s="12" customFormat="1" x14ac:dyDescent="0.25">
      <c r="A31" s="201" t="s">
        <v>843</v>
      </c>
      <c r="B31" s="60">
        <v>57.64</v>
      </c>
      <c r="C31" s="60">
        <v>68.33</v>
      </c>
      <c r="D31" s="60">
        <v>82.74</v>
      </c>
      <c r="E31" s="60">
        <v>5.83</v>
      </c>
      <c r="F31" s="60">
        <v>3.36</v>
      </c>
      <c r="G31" s="60">
        <v>73.010000000000005</v>
      </c>
      <c r="H31" s="60">
        <v>42.95</v>
      </c>
      <c r="I31" s="210" t="s">
        <v>36</v>
      </c>
      <c r="J31" s="60">
        <v>0.03</v>
      </c>
      <c r="K31" s="60">
        <v>332.13</v>
      </c>
      <c r="L31" s="60">
        <v>15.75</v>
      </c>
      <c r="M31" s="60">
        <v>70</v>
      </c>
      <c r="N31" s="60">
        <v>4.5</v>
      </c>
      <c r="O31" s="60">
        <v>0</v>
      </c>
      <c r="P31" s="60">
        <v>1.45</v>
      </c>
      <c r="Q31" s="60">
        <v>32.42</v>
      </c>
      <c r="R31" s="198"/>
      <c r="S31" s="198"/>
      <c r="T31" s="198"/>
      <c r="U31" s="198"/>
    </row>
    <row r="32" spans="1:21" s="12" customFormat="1" x14ac:dyDescent="0.25">
      <c r="A32" s="201" t="s">
        <v>844</v>
      </c>
      <c r="B32" s="60">
        <v>59.48</v>
      </c>
      <c r="C32" s="60">
        <v>68.42</v>
      </c>
      <c r="D32" s="60">
        <v>84.26</v>
      </c>
      <c r="E32" s="60">
        <v>5.61</v>
      </c>
      <c r="F32" s="60">
        <v>3.34</v>
      </c>
      <c r="G32" s="60">
        <v>73.010000000000005</v>
      </c>
      <c r="H32" s="60">
        <v>42.95</v>
      </c>
      <c r="I32" s="210" t="s">
        <v>36</v>
      </c>
      <c r="J32" s="60">
        <v>0.12</v>
      </c>
      <c r="K32" s="60">
        <v>343.38</v>
      </c>
      <c r="L32" s="60">
        <v>15.4</v>
      </c>
      <c r="M32" s="60">
        <v>72</v>
      </c>
      <c r="N32" s="60">
        <v>4.4000000000000004</v>
      </c>
      <c r="O32" s="60">
        <v>0</v>
      </c>
      <c r="P32" s="60">
        <v>1.43</v>
      </c>
      <c r="Q32" s="60">
        <v>31.92</v>
      </c>
      <c r="R32" s="198"/>
      <c r="S32" s="198"/>
      <c r="T32" s="198"/>
      <c r="U32" s="198"/>
    </row>
    <row r="33" spans="1:21" s="12" customFormat="1" x14ac:dyDescent="0.25">
      <c r="A33" s="201" t="s">
        <v>845</v>
      </c>
      <c r="B33" s="60">
        <v>61.76</v>
      </c>
      <c r="C33" s="60">
        <v>68.180000000000007</v>
      </c>
      <c r="D33" s="60">
        <v>85.96</v>
      </c>
      <c r="E33" s="60">
        <v>5.56</v>
      </c>
      <c r="F33" s="60">
        <v>3.31</v>
      </c>
      <c r="G33" s="60">
        <v>73.010000000000005</v>
      </c>
      <c r="H33" s="60">
        <v>42.95</v>
      </c>
      <c r="I33" s="210" t="s">
        <v>36</v>
      </c>
      <c r="J33" s="60">
        <v>0.14000000000000001</v>
      </c>
      <c r="K33" s="60">
        <v>353.19</v>
      </c>
      <c r="L33" s="60">
        <v>15.22</v>
      </c>
      <c r="M33" s="60">
        <v>73</v>
      </c>
      <c r="N33" s="60">
        <v>4.4000000000000004</v>
      </c>
      <c r="O33" s="60">
        <v>0</v>
      </c>
      <c r="P33" s="60">
        <v>1.42</v>
      </c>
      <c r="Q33" s="60">
        <v>31.83</v>
      </c>
      <c r="R33" s="198"/>
      <c r="S33" s="198"/>
      <c r="T33" s="198"/>
      <c r="U33" s="198"/>
    </row>
    <row r="34" spans="1:21" s="12" customFormat="1" x14ac:dyDescent="0.25">
      <c r="A34" s="201" t="s">
        <v>846</v>
      </c>
      <c r="B34" s="60">
        <v>64.33</v>
      </c>
      <c r="C34" s="60">
        <v>67.989999999999995</v>
      </c>
      <c r="D34" s="60">
        <v>87.92</v>
      </c>
      <c r="E34" s="60">
        <v>5.33</v>
      </c>
      <c r="F34" s="60">
        <v>3.28</v>
      </c>
      <c r="G34" s="60">
        <v>82.44</v>
      </c>
      <c r="H34" s="60">
        <v>42.77</v>
      </c>
      <c r="I34" s="210" t="s">
        <v>36</v>
      </c>
      <c r="J34" s="60">
        <v>0.05</v>
      </c>
      <c r="K34" s="60">
        <v>181.27</v>
      </c>
      <c r="L34" s="60">
        <v>15.54</v>
      </c>
      <c r="M34" s="60">
        <v>73</v>
      </c>
      <c r="N34" s="60">
        <v>4.7</v>
      </c>
      <c r="O34" s="60">
        <v>0</v>
      </c>
      <c r="P34" s="60">
        <v>1.41</v>
      </c>
      <c r="Q34" s="60">
        <v>31.78</v>
      </c>
      <c r="R34" s="198"/>
      <c r="S34" s="198"/>
      <c r="T34" s="198"/>
      <c r="U34" s="198"/>
    </row>
    <row r="35" spans="1:21" s="12" customFormat="1" x14ac:dyDescent="0.25">
      <c r="A35" s="201" t="s">
        <v>847</v>
      </c>
      <c r="B35" s="60">
        <v>64.38</v>
      </c>
      <c r="C35" s="60">
        <v>67.55</v>
      </c>
      <c r="D35" s="60">
        <v>87.71</v>
      </c>
      <c r="E35" s="60">
        <v>5.73</v>
      </c>
      <c r="F35" s="60">
        <v>3.32</v>
      </c>
      <c r="G35" s="60">
        <v>89.99</v>
      </c>
      <c r="H35" s="60">
        <v>42.62</v>
      </c>
      <c r="I35" s="210" t="s">
        <v>36</v>
      </c>
      <c r="J35" s="60">
        <v>0.05</v>
      </c>
      <c r="K35" s="60">
        <v>262.92</v>
      </c>
      <c r="L35" s="60">
        <v>16.27</v>
      </c>
      <c r="M35" s="60">
        <v>70</v>
      </c>
      <c r="N35" s="60">
        <v>9.1999999999999993</v>
      </c>
      <c r="O35" s="60">
        <v>0</v>
      </c>
      <c r="P35" s="60">
        <v>1.38</v>
      </c>
      <c r="Q35" s="60">
        <v>31.83</v>
      </c>
      <c r="R35" s="198"/>
      <c r="S35" s="198"/>
      <c r="T35" s="198"/>
      <c r="U35" s="198"/>
    </row>
    <row r="36" spans="1:21" s="12" customFormat="1" x14ac:dyDescent="0.25">
      <c r="A36" s="201" t="s">
        <v>848</v>
      </c>
      <c r="B36" s="60">
        <v>64.66</v>
      </c>
      <c r="C36" s="60">
        <v>67.209999999999994</v>
      </c>
      <c r="D36" s="60">
        <v>87.76</v>
      </c>
      <c r="E36" s="60">
        <v>5.96</v>
      </c>
      <c r="F36" s="60">
        <v>3.43</v>
      </c>
      <c r="G36" s="60">
        <v>89.99</v>
      </c>
      <c r="H36" s="60">
        <v>42.62</v>
      </c>
      <c r="I36" s="210" t="s">
        <v>36</v>
      </c>
      <c r="J36" s="60">
        <v>0.15</v>
      </c>
      <c r="K36" s="60">
        <v>346.53</v>
      </c>
      <c r="L36" s="60">
        <v>15.88</v>
      </c>
      <c r="M36" s="60">
        <v>74</v>
      </c>
      <c r="N36" s="60">
        <v>20.7</v>
      </c>
      <c r="O36" s="60">
        <v>0</v>
      </c>
      <c r="P36" s="60">
        <v>1.39</v>
      </c>
      <c r="Q36" s="60">
        <v>31.93</v>
      </c>
      <c r="R36" s="198"/>
      <c r="S36" s="198"/>
      <c r="T36" s="198"/>
      <c r="U36" s="198"/>
    </row>
    <row r="37" spans="1:21" s="12" customFormat="1" x14ac:dyDescent="0.25">
      <c r="A37" s="201" t="s">
        <v>849</v>
      </c>
      <c r="B37" s="60">
        <v>66.58</v>
      </c>
      <c r="C37" s="60">
        <v>66.790000000000006</v>
      </c>
      <c r="D37" s="60">
        <v>89.06</v>
      </c>
      <c r="E37" s="60">
        <v>6.4</v>
      </c>
      <c r="F37" s="60">
        <v>3.37</v>
      </c>
      <c r="G37" s="60">
        <v>89.99</v>
      </c>
      <c r="H37" s="60">
        <v>42.62</v>
      </c>
      <c r="I37" s="210" t="s">
        <v>36</v>
      </c>
      <c r="J37" s="60">
        <v>0.05</v>
      </c>
      <c r="K37" s="60">
        <v>326.83</v>
      </c>
      <c r="L37" s="60">
        <v>15.89</v>
      </c>
      <c r="M37" s="60">
        <v>74</v>
      </c>
      <c r="N37" s="60">
        <v>33.200000000000003</v>
      </c>
      <c r="O37" s="60">
        <v>0</v>
      </c>
      <c r="P37" s="60">
        <v>1.41</v>
      </c>
      <c r="Q37" s="60">
        <v>32.14</v>
      </c>
      <c r="R37" s="198"/>
      <c r="S37" s="198"/>
      <c r="T37" s="198"/>
      <c r="U37" s="198"/>
    </row>
    <row r="38" spans="1:21" s="12" customFormat="1" x14ac:dyDescent="0.25">
      <c r="A38" s="201" t="s">
        <v>850</v>
      </c>
      <c r="B38" s="60">
        <v>69.48</v>
      </c>
      <c r="C38" s="60">
        <v>67.23</v>
      </c>
      <c r="D38" s="60">
        <v>91.63</v>
      </c>
      <c r="E38" s="60">
        <v>6.31</v>
      </c>
      <c r="F38" s="60">
        <v>3.36</v>
      </c>
      <c r="G38" s="60">
        <v>90.49</v>
      </c>
      <c r="H38" s="60">
        <v>42.38</v>
      </c>
      <c r="I38" s="210" t="s">
        <v>36</v>
      </c>
      <c r="J38" s="60">
        <v>0.08</v>
      </c>
      <c r="K38" s="60">
        <v>135.81</v>
      </c>
      <c r="L38" s="60">
        <v>16.670000000000002</v>
      </c>
      <c r="M38" s="60">
        <v>68</v>
      </c>
      <c r="N38" s="60">
        <v>50.9</v>
      </c>
      <c r="O38" s="60">
        <v>0</v>
      </c>
      <c r="P38" s="60">
        <v>1.52</v>
      </c>
      <c r="Q38" s="60">
        <v>33.51</v>
      </c>
      <c r="R38" s="198"/>
      <c r="S38" s="198"/>
      <c r="T38" s="198"/>
      <c r="U38" s="198"/>
    </row>
    <row r="39" spans="1:21" s="12" customFormat="1" x14ac:dyDescent="0.25">
      <c r="A39" s="201" t="s">
        <v>851</v>
      </c>
      <c r="B39" s="60">
        <v>70.39</v>
      </c>
      <c r="C39" s="60">
        <v>68.05</v>
      </c>
      <c r="D39" s="60">
        <v>92.82</v>
      </c>
      <c r="E39" s="60">
        <v>6.02</v>
      </c>
      <c r="F39" s="60">
        <v>3.31</v>
      </c>
      <c r="G39" s="60">
        <v>90.88</v>
      </c>
      <c r="H39" s="60">
        <v>42.19</v>
      </c>
      <c r="I39" s="210" t="s">
        <v>36</v>
      </c>
      <c r="J39" s="60">
        <v>0.49</v>
      </c>
      <c r="K39" s="60">
        <v>196.03</v>
      </c>
      <c r="L39" s="60">
        <v>18.13</v>
      </c>
      <c r="M39" s="60">
        <v>60</v>
      </c>
      <c r="N39" s="60">
        <v>127</v>
      </c>
      <c r="O39" s="60">
        <v>0</v>
      </c>
      <c r="P39" s="60">
        <v>1.53</v>
      </c>
      <c r="Q39" s="60">
        <v>34.46</v>
      </c>
      <c r="R39" s="198"/>
      <c r="S39" s="198"/>
      <c r="T39" s="198"/>
      <c r="U39" s="198"/>
    </row>
    <row r="40" spans="1:21" s="12" customFormat="1" x14ac:dyDescent="0.25">
      <c r="A40" s="201" t="s">
        <v>852</v>
      </c>
      <c r="B40" s="60">
        <v>66.23</v>
      </c>
      <c r="C40" s="60">
        <v>68.38</v>
      </c>
      <c r="D40" s="60">
        <v>89.66</v>
      </c>
      <c r="E40" s="60">
        <v>3.93</v>
      </c>
      <c r="F40" s="60">
        <v>3.49</v>
      </c>
      <c r="G40" s="60">
        <v>90.88</v>
      </c>
      <c r="H40" s="60">
        <v>42.19</v>
      </c>
      <c r="I40" s="210" t="s">
        <v>36</v>
      </c>
      <c r="J40" s="60">
        <v>0.39</v>
      </c>
      <c r="K40" s="60">
        <v>218.95</v>
      </c>
      <c r="L40" s="60">
        <v>19.07</v>
      </c>
      <c r="M40" s="60">
        <v>57</v>
      </c>
      <c r="N40" s="60">
        <v>193</v>
      </c>
      <c r="O40" s="60">
        <v>0</v>
      </c>
      <c r="P40" s="60">
        <v>1.49</v>
      </c>
      <c r="Q40" s="60">
        <v>34.520000000000003</v>
      </c>
      <c r="R40" s="198"/>
      <c r="S40" s="198"/>
      <c r="T40" s="198"/>
      <c r="U40" s="198"/>
    </row>
    <row r="41" spans="1:21" s="12" customFormat="1" x14ac:dyDescent="0.25">
      <c r="A41" s="201" t="s">
        <v>853</v>
      </c>
      <c r="B41" s="60">
        <v>60.2</v>
      </c>
      <c r="C41" s="60">
        <v>68.430000000000007</v>
      </c>
      <c r="D41" s="60">
        <v>84.85</v>
      </c>
      <c r="E41" s="60">
        <v>5.5</v>
      </c>
      <c r="F41" s="60">
        <v>3.43</v>
      </c>
      <c r="G41" s="60">
        <v>90.88</v>
      </c>
      <c r="H41" s="60">
        <v>42.19</v>
      </c>
      <c r="I41" s="210" t="s">
        <v>36</v>
      </c>
      <c r="J41" s="60">
        <v>0.31</v>
      </c>
      <c r="K41" s="60">
        <v>188.99</v>
      </c>
      <c r="L41" s="60">
        <v>19.82</v>
      </c>
      <c r="M41" s="60">
        <v>56</v>
      </c>
      <c r="N41" s="60">
        <v>234.9</v>
      </c>
      <c r="O41" s="60">
        <v>0</v>
      </c>
      <c r="P41" s="60">
        <v>1.45</v>
      </c>
      <c r="Q41" s="60">
        <v>33.880000000000003</v>
      </c>
      <c r="R41" s="198"/>
      <c r="S41" s="198"/>
      <c r="T41" s="198"/>
      <c r="U41" s="198"/>
    </row>
    <row r="42" spans="1:21" s="12" customFormat="1" x14ac:dyDescent="0.25">
      <c r="A42" s="201" t="s">
        <v>854</v>
      </c>
      <c r="B42" s="60">
        <v>54.61</v>
      </c>
      <c r="C42" s="60">
        <v>68.94</v>
      </c>
      <c r="D42" s="60">
        <v>80.66</v>
      </c>
      <c r="E42" s="60">
        <v>5.37</v>
      </c>
      <c r="F42" s="60">
        <v>3.4</v>
      </c>
      <c r="G42" s="60">
        <v>94.31</v>
      </c>
      <c r="H42" s="60">
        <v>43.13</v>
      </c>
      <c r="I42" s="210" t="s">
        <v>36</v>
      </c>
      <c r="J42" s="60">
        <v>0.24</v>
      </c>
      <c r="K42" s="60">
        <v>188.78</v>
      </c>
      <c r="L42" s="60">
        <v>20.8</v>
      </c>
      <c r="M42" s="60">
        <v>54</v>
      </c>
      <c r="N42" s="60">
        <v>274.39999999999998</v>
      </c>
      <c r="O42" s="60">
        <v>0</v>
      </c>
      <c r="P42" s="60">
        <v>1.41</v>
      </c>
      <c r="Q42" s="60">
        <v>32.97</v>
      </c>
      <c r="R42" s="198"/>
      <c r="S42" s="198"/>
      <c r="T42" s="198"/>
      <c r="U42" s="198"/>
    </row>
    <row r="43" spans="1:21" s="12" customFormat="1" x14ac:dyDescent="0.25">
      <c r="A43" s="201" t="s">
        <v>855</v>
      </c>
      <c r="B43" s="60">
        <v>49.08</v>
      </c>
      <c r="C43" s="60">
        <v>69.64</v>
      </c>
      <c r="D43" s="60">
        <v>76.599999999999994</v>
      </c>
      <c r="E43" s="60">
        <v>5.74</v>
      </c>
      <c r="F43" s="60">
        <v>3.42</v>
      </c>
      <c r="G43" s="60">
        <v>97.06</v>
      </c>
      <c r="H43" s="60">
        <v>43.88</v>
      </c>
      <c r="I43" s="210" t="s">
        <v>36</v>
      </c>
      <c r="J43" s="60">
        <v>0.45</v>
      </c>
      <c r="K43" s="60">
        <v>177.77</v>
      </c>
      <c r="L43" s="60">
        <v>21.46</v>
      </c>
      <c r="M43" s="60">
        <v>53</v>
      </c>
      <c r="N43" s="60">
        <v>313.60000000000002</v>
      </c>
      <c r="O43" s="60">
        <v>0</v>
      </c>
      <c r="P43" s="60">
        <v>1.37</v>
      </c>
      <c r="Q43" s="60">
        <v>32.32</v>
      </c>
      <c r="R43" s="198"/>
      <c r="S43" s="198"/>
      <c r="T43" s="198"/>
      <c r="U43" s="198"/>
    </row>
    <row r="44" spans="1:21" s="12" customFormat="1" x14ac:dyDescent="0.25">
      <c r="A44" s="201" t="s">
        <v>856</v>
      </c>
      <c r="B44" s="60">
        <v>44.29</v>
      </c>
      <c r="C44" s="60">
        <v>70.739999999999995</v>
      </c>
      <c r="D44" s="60">
        <v>73.37</v>
      </c>
      <c r="E44" s="60">
        <v>5.03</v>
      </c>
      <c r="F44" s="60">
        <v>3.49</v>
      </c>
      <c r="G44" s="60">
        <v>97.06</v>
      </c>
      <c r="H44" s="60">
        <v>43.88</v>
      </c>
      <c r="I44" s="210" t="s">
        <v>36</v>
      </c>
      <c r="J44" s="60">
        <v>0.15</v>
      </c>
      <c r="K44" s="60">
        <v>340.02</v>
      </c>
      <c r="L44" s="60">
        <v>23.24</v>
      </c>
      <c r="M44" s="60">
        <v>48</v>
      </c>
      <c r="N44" s="60">
        <v>346.8</v>
      </c>
      <c r="O44" s="60">
        <v>0</v>
      </c>
      <c r="P44" s="60">
        <v>1.34</v>
      </c>
      <c r="Q44" s="60">
        <v>31.67</v>
      </c>
      <c r="R44" s="198"/>
      <c r="S44" s="198"/>
      <c r="T44" s="198"/>
      <c r="U44" s="198"/>
    </row>
    <row r="45" spans="1:21" s="12" customFormat="1" x14ac:dyDescent="0.25">
      <c r="A45" s="201" t="s">
        <v>857</v>
      </c>
      <c r="B45" s="60">
        <v>41.01</v>
      </c>
      <c r="C45" s="60">
        <v>71.569999999999993</v>
      </c>
      <c r="D45" s="60">
        <v>71.19</v>
      </c>
      <c r="E45" s="60">
        <v>4.92</v>
      </c>
      <c r="F45" s="60">
        <v>3.4</v>
      </c>
      <c r="G45" s="60">
        <v>97.06</v>
      </c>
      <c r="H45" s="60">
        <v>43.88</v>
      </c>
      <c r="I45" s="210" t="s">
        <v>36</v>
      </c>
      <c r="J45" s="60">
        <v>0.18</v>
      </c>
      <c r="K45" s="60">
        <v>348.98</v>
      </c>
      <c r="L45" s="60">
        <v>26.18</v>
      </c>
      <c r="M45" s="60">
        <v>41</v>
      </c>
      <c r="N45" s="60">
        <v>380.9</v>
      </c>
      <c r="O45" s="60">
        <v>0</v>
      </c>
      <c r="P45" s="60">
        <v>1.35</v>
      </c>
      <c r="Q45" s="60">
        <v>30.65</v>
      </c>
      <c r="R45" s="198"/>
      <c r="S45" s="198"/>
      <c r="T45" s="198"/>
      <c r="U45" s="198"/>
    </row>
    <row r="46" spans="1:21" s="12" customFormat="1" x14ac:dyDescent="0.25">
      <c r="A46" s="201" t="s">
        <v>858</v>
      </c>
      <c r="B46" s="60">
        <v>38.71</v>
      </c>
      <c r="C46" s="60">
        <v>72.489999999999995</v>
      </c>
      <c r="D46" s="60">
        <v>69.86</v>
      </c>
      <c r="E46" s="60">
        <v>4.76</v>
      </c>
      <c r="F46" s="60">
        <v>3.46</v>
      </c>
      <c r="G46" s="60">
        <v>78.67</v>
      </c>
      <c r="H46" s="60">
        <v>42.01</v>
      </c>
      <c r="I46" s="210" t="s">
        <v>36</v>
      </c>
      <c r="J46" s="60">
        <v>0.05</v>
      </c>
      <c r="K46" s="60">
        <v>217.2</v>
      </c>
      <c r="L46" s="60">
        <v>25.75</v>
      </c>
      <c r="M46" s="60">
        <v>42</v>
      </c>
      <c r="N46" s="60">
        <v>412.2</v>
      </c>
      <c r="O46" s="60">
        <v>0</v>
      </c>
      <c r="P46" s="60">
        <v>1.35</v>
      </c>
      <c r="Q46" s="60">
        <v>30.03</v>
      </c>
      <c r="R46" s="198"/>
      <c r="S46" s="198"/>
      <c r="T46" s="198"/>
      <c r="U46" s="198"/>
    </row>
    <row r="47" spans="1:21" s="12" customFormat="1" x14ac:dyDescent="0.25">
      <c r="A47" s="201" t="s">
        <v>859</v>
      </c>
      <c r="B47" s="60">
        <v>36.57</v>
      </c>
      <c r="C47" s="60">
        <v>73.45</v>
      </c>
      <c r="D47" s="60">
        <v>68.67</v>
      </c>
      <c r="E47" s="60">
        <v>5.0199999999999996</v>
      </c>
      <c r="F47" s="60">
        <v>3.44</v>
      </c>
      <c r="G47" s="60">
        <v>63.96</v>
      </c>
      <c r="H47" s="60">
        <v>40.51</v>
      </c>
      <c r="I47" s="210" t="s">
        <v>36</v>
      </c>
      <c r="J47" s="60">
        <v>0.06</v>
      </c>
      <c r="K47" s="60">
        <v>2.39</v>
      </c>
      <c r="L47" s="60">
        <v>26.53</v>
      </c>
      <c r="M47" s="60">
        <v>39</v>
      </c>
      <c r="N47" s="60">
        <v>435.4</v>
      </c>
      <c r="O47" s="60">
        <v>0</v>
      </c>
      <c r="P47" s="60">
        <v>1.34</v>
      </c>
      <c r="Q47" s="60">
        <v>29.98</v>
      </c>
      <c r="R47" s="198"/>
      <c r="S47" s="198"/>
      <c r="T47" s="198"/>
      <c r="U47" s="198"/>
    </row>
    <row r="48" spans="1:21" s="12" customFormat="1" x14ac:dyDescent="0.25">
      <c r="A48" s="201" t="s">
        <v>860</v>
      </c>
      <c r="B48" s="60">
        <v>34.72</v>
      </c>
      <c r="C48" s="60">
        <v>74.290000000000006</v>
      </c>
      <c r="D48" s="60">
        <v>67.650000000000006</v>
      </c>
      <c r="E48" s="60">
        <v>5.05</v>
      </c>
      <c r="F48" s="60">
        <v>3.58</v>
      </c>
      <c r="G48" s="60">
        <v>63.96</v>
      </c>
      <c r="H48" s="60">
        <v>40.51</v>
      </c>
      <c r="I48" s="210" t="s">
        <v>36</v>
      </c>
      <c r="J48" s="60">
        <v>0.36</v>
      </c>
      <c r="K48" s="60">
        <v>168.96</v>
      </c>
      <c r="L48" s="60">
        <v>27.42</v>
      </c>
      <c r="M48" s="60">
        <v>35</v>
      </c>
      <c r="N48" s="60">
        <v>460.1</v>
      </c>
      <c r="O48" s="60">
        <v>0</v>
      </c>
      <c r="P48" s="60">
        <v>1.34</v>
      </c>
      <c r="Q48" s="60">
        <v>30.31</v>
      </c>
      <c r="R48" s="198"/>
      <c r="S48" s="198"/>
      <c r="T48" s="198"/>
      <c r="U48" s="198"/>
    </row>
    <row r="49" spans="1:21" s="12" customFormat="1" x14ac:dyDescent="0.25">
      <c r="A49" s="201" t="s">
        <v>861</v>
      </c>
      <c r="B49" s="60">
        <v>32.700000000000003</v>
      </c>
      <c r="C49" s="60">
        <v>74.760000000000005</v>
      </c>
      <c r="D49" s="60">
        <v>66.290000000000006</v>
      </c>
      <c r="E49" s="60">
        <v>5.56</v>
      </c>
      <c r="F49" s="60">
        <v>3.97</v>
      </c>
      <c r="G49" s="60">
        <v>63.96</v>
      </c>
      <c r="H49" s="60">
        <v>40.51</v>
      </c>
      <c r="I49" s="210" t="s">
        <v>36</v>
      </c>
      <c r="J49" s="60">
        <v>0.25</v>
      </c>
      <c r="K49" s="60">
        <v>15.25</v>
      </c>
      <c r="L49" s="60">
        <v>28.93</v>
      </c>
      <c r="M49" s="60">
        <v>31</v>
      </c>
      <c r="N49" s="60">
        <v>473.5</v>
      </c>
      <c r="O49" s="60">
        <v>0</v>
      </c>
      <c r="P49" s="60">
        <v>1.34</v>
      </c>
      <c r="Q49" s="60">
        <v>30.64</v>
      </c>
      <c r="R49" s="198"/>
      <c r="S49" s="198"/>
      <c r="T49" s="198"/>
      <c r="U49" s="198"/>
    </row>
    <row r="50" spans="1:21" s="12" customFormat="1" x14ac:dyDescent="0.25">
      <c r="A50" s="201" t="s">
        <v>862</v>
      </c>
      <c r="B50" s="60">
        <v>31.18</v>
      </c>
      <c r="C50" s="60">
        <v>76.150000000000006</v>
      </c>
      <c r="D50" s="60">
        <v>65.84</v>
      </c>
      <c r="E50" s="60">
        <v>5.89</v>
      </c>
      <c r="F50" s="60">
        <v>4.13</v>
      </c>
      <c r="G50" s="60">
        <v>74.66</v>
      </c>
      <c r="H50" s="60">
        <v>40.86</v>
      </c>
      <c r="I50" s="210" t="s">
        <v>36</v>
      </c>
      <c r="J50" s="60">
        <v>0.5</v>
      </c>
      <c r="K50" s="60">
        <v>359.08</v>
      </c>
      <c r="L50" s="60">
        <v>32.1</v>
      </c>
      <c r="M50" s="60">
        <v>27</v>
      </c>
      <c r="N50" s="60">
        <v>481.5</v>
      </c>
      <c r="O50" s="60">
        <v>0</v>
      </c>
      <c r="P50" s="60">
        <v>1.34</v>
      </c>
      <c r="Q50" s="60">
        <v>30.92</v>
      </c>
      <c r="R50" s="198"/>
      <c r="S50" s="198"/>
      <c r="T50" s="198"/>
      <c r="U50" s="198"/>
    </row>
    <row r="51" spans="1:21" s="12" customFormat="1" x14ac:dyDescent="0.25">
      <c r="A51" s="201" t="s">
        <v>863</v>
      </c>
      <c r="B51" s="60">
        <v>27.81</v>
      </c>
      <c r="C51" s="60">
        <v>74.66</v>
      </c>
      <c r="D51" s="60">
        <v>62.32</v>
      </c>
      <c r="E51" s="60">
        <v>6.54</v>
      </c>
      <c r="F51" s="60">
        <v>5.77</v>
      </c>
      <c r="G51" s="60">
        <v>83.22</v>
      </c>
      <c r="H51" s="60">
        <v>41.14</v>
      </c>
      <c r="I51" s="60">
        <v>0.79</v>
      </c>
      <c r="J51" s="60">
        <v>0.47</v>
      </c>
      <c r="K51" s="60">
        <v>13.75</v>
      </c>
      <c r="L51" s="60">
        <v>32.64</v>
      </c>
      <c r="M51" s="60">
        <v>24</v>
      </c>
      <c r="N51" s="60">
        <v>508.3</v>
      </c>
      <c r="O51" s="60">
        <v>0</v>
      </c>
      <c r="P51" s="60">
        <v>1.34</v>
      </c>
      <c r="Q51" s="60">
        <v>31.09</v>
      </c>
      <c r="R51" s="198"/>
      <c r="S51" s="198"/>
      <c r="T51" s="198"/>
      <c r="U51" s="198"/>
    </row>
    <row r="52" spans="1:21" s="12" customFormat="1" x14ac:dyDescent="0.25">
      <c r="A52" s="201" t="s">
        <v>864</v>
      </c>
      <c r="B52" s="60">
        <v>26.6</v>
      </c>
      <c r="C52" s="60">
        <v>76.83</v>
      </c>
      <c r="D52" s="60">
        <v>62.54</v>
      </c>
      <c r="E52" s="60">
        <v>5.44</v>
      </c>
      <c r="F52" s="60">
        <v>4.83</v>
      </c>
      <c r="G52" s="60">
        <v>83.22</v>
      </c>
      <c r="H52" s="60">
        <v>41.14</v>
      </c>
      <c r="I52" s="60">
        <v>0.76</v>
      </c>
      <c r="J52" s="60">
        <v>0.34</v>
      </c>
      <c r="K52" s="60">
        <v>12.41</v>
      </c>
      <c r="L52" s="60">
        <v>32.85</v>
      </c>
      <c r="M52" s="60">
        <v>23</v>
      </c>
      <c r="N52" s="60">
        <v>522.9</v>
      </c>
      <c r="O52" s="60">
        <v>0</v>
      </c>
      <c r="P52" s="60">
        <v>1.35</v>
      </c>
      <c r="Q52" s="60">
        <v>32.22</v>
      </c>
      <c r="R52" s="198"/>
      <c r="S52" s="198"/>
      <c r="T52" s="198"/>
      <c r="U52" s="198"/>
    </row>
    <row r="53" spans="1:21" s="12" customFormat="1" x14ac:dyDescent="0.25">
      <c r="A53" s="201" t="s">
        <v>865</v>
      </c>
      <c r="B53" s="60">
        <v>24.17</v>
      </c>
      <c r="C53" s="60">
        <v>81.3</v>
      </c>
      <c r="D53" s="60">
        <v>63.06</v>
      </c>
      <c r="E53" s="60">
        <v>5.77</v>
      </c>
      <c r="F53" s="60">
        <v>4.04</v>
      </c>
      <c r="G53" s="60">
        <v>83.22</v>
      </c>
      <c r="H53" s="60">
        <v>41.14</v>
      </c>
      <c r="I53" s="60">
        <v>0.74</v>
      </c>
      <c r="J53" s="60">
        <v>0.28000000000000003</v>
      </c>
      <c r="K53" s="60">
        <v>69.09</v>
      </c>
      <c r="L53" s="60">
        <v>32.159999999999997</v>
      </c>
      <c r="M53" s="60">
        <v>24</v>
      </c>
      <c r="N53" s="60">
        <v>544.20000000000005</v>
      </c>
      <c r="O53" s="60">
        <v>0</v>
      </c>
      <c r="P53" s="60">
        <v>1.34</v>
      </c>
      <c r="Q53" s="60">
        <v>33.44</v>
      </c>
      <c r="R53" s="198"/>
      <c r="S53" s="198"/>
      <c r="T53" s="198"/>
      <c r="U53" s="198"/>
    </row>
    <row r="54" spans="1:21" s="12" customFormat="1" x14ac:dyDescent="0.25">
      <c r="A54" s="201" t="s">
        <v>866</v>
      </c>
      <c r="B54" s="60">
        <v>20.09</v>
      </c>
      <c r="C54" s="60">
        <v>84.24</v>
      </c>
      <c r="D54" s="60">
        <v>61.41</v>
      </c>
      <c r="E54" s="60">
        <v>5.84</v>
      </c>
      <c r="F54" s="60">
        <v>4.7300000000000004</v>
      </c>
      <c r="G54" s="60">
        <v>74.290000000000006</v>
      </c>
      <c r="H54" s="60">
        <v>38.950000000000003</v>
      </c>
      <c r="I54" s="60">
        <v>0.73</v>
      </c>
      <c r="J54" s="60">
        <v>0.43</v>
      </c>
      <c r="K54" s="60">
        <v>71.53</v>
      </c>
      <c r="L54" s="60">
        <v>31.53</v>
      </c>
      <c r="M54" s="60">
        <v>24</v>
      </c>
      <c r="N54" s="60">
        <v>560.70000000000005</v>
      </c>
      <c r="O54" s="60">
        <v>0</v>
      </c>
      <c r="P54" s="60">
        <v>1.31</v>
      </c>
      <c r="Q54" s="60">
        <v>33.82</v>
      </c>
      <c r="R54" s="198"/>
      <c r="S54" s="198"/>
      <c r="T54" s="198"/>
      <c r="U54" s="198"/>
    </row>
    <row r="55" spans="1:21" s="12" customFormat="1" x14ac:dyDescent="0.25">
      <c r="A55" s="201" t="s">
        <v>867</v>
      </c>
      <c r="B55" s="60">
        <v>16.260000000000002</v>
      </c>
      <c r="C55" s="60">
        <v>86.62</v>
      </c>
      <c r="D55" s="60">
        <v>59.65</v>
      </c>
      <c r="E55" s="60">
        <v>5.95</v>
      </c>
      <c r="F55" s="60">
        <v>4.46</v>
      </c>
      <c r="G55" s="60">
        <v>67.14</v>
      </c>
      <c r="H55" s="60">
        <v>37.200000000000003</v>
      </c>
      <c r="I55" s="60">
        <v>0.73</v>
      </c>
      <c r="J55" s="60">
        <v>0.21</v>
      </c>
      <c r="K55" s="60">
        <v>29.6</v>
      </c>
      <c r="L55" s="60">
        <v>31.85</v>
      </c>
      <c r="M55" s="60">
        <v>23</v>
      </c>
      <c r="N55" s="60">
        <v>568.29999999999995</v>
      </c>
      <c r="O55" s="60">
        <v>0</v>
      </c>
      <c r="P55" s="60">
        <v>1.28</v>
      </c>
      <c r="Q55" s="60">
        <v>33.96</v>
      </c>
      <c r="R55" s="198"/>
      <c r="S55" s="198"/>
      <c r="T55" s="198"/>
      <c r="U55" s="198"/>
    </row>
    <row r="56" spans="1:21" s="12" customFormat="1" x14ac:dyDescent="0.25">
      <c r="A56" s="201" t="s">
        <v>868</v>
      </c>
      <c r="B56" s="60">
        <v>12.87</v>
      </c>
      <c r="C56" s="60">
        <v>88.73</v>
      </c>
      <c r="D56" s="60">
        <v>58.1</v>
      </c>
      <c r="E56" s="60">
        <v>4.1900000000000004</v>
      </c>
      <c r="F56" s="60">
        <v>4.3099999999999996</v>
      </c>
      <c r="G56" s="60">
        <v>67.14</v>
      </c>
      <c r="H56" s="60">
        <v>37.200000000000003</v>
      </c>
      <c r="I56" s="60">
        <v>0.72</v>
      </c>
      <c r="J56" s="60">
        <v>0.59</v>
      </c>
      <c r="K56" s="60">
        <v>4.79</v>
      </c>
      <c r="L56" s="60">
        <v>34.53</v>
      </c>
      <c r="M56" s="60">
        <v>18</v>
      </c>
      <c r="N56" s="60">
        <v>575</v>
      </c>
      <c r="O56" s="60">
        <v>0</v>
      </c>
      <c r="P56" s="60">
        <v>1.26</v>
      </c>
      <c r="Q56" s="60">
        <v>33.9</v>
      </c>
      <c r="R56" s="198"/>
      <c r="S56" s="198"/>
      <c r="T56" s="198"/>
      <c r="U56" s="198"/>
    </row>
    <row r="57" spans="1:21" s="12" customFormat="1" x14ac:dyDescent="0.25">
      <c r="A57" s="201" t="s">
        <v>869</v>
      </c>
      <c r="B57" s="60">
        <v>9.83</v>
      </c>
      <c r="C57" s="60">
        <v>89.83</v>
      </c>
      <c r="D57" s="60">
        <v>56.27</v>
      </c>
      <c r="E57" s="60">
        <v>5.77</v>
      </c>
      <c r="F57" s="60">
        <v>5.35</v>
      </c>
      <c r="G57" s="60">
        <v>67.14</v>
      </c>
      <c r="H57" s="60">
        <v>37.200000000000003</v>
      </c>
      <c r="I57" s="60">
        <v>0.71</v>
      </c>
      <c r="J57" s="60">
        <v>0.03</v>
      </c>
      <c r="K57" s="60">
        <v>237.95</v>
      </c>
      <c r="L57" s="60">
        <v>31.99</v>
      </c>
      <c r="M57" s="60">
        <v>20</v>
      </c>
      <c r="N57" s="60">
        <v>579.20000000000005</v>
      </c>
      <c r="O57" s="60">
        <v>0</v>
      </c>
      <c r="P57" s="60">
        <v>1.23</v>
      </c>
      <c r="Q57" s="60">
        <v>33.270000000000003</v>
      </c>
      <c r="R57" s="198"/>
      <c r="S57" s="198"/>
      <c r="T57" s="198"/>
      <c r="U57" s="198"/>
    </row>
    <row r="58" spans="1:21" s="12" customFormat="1" x14ac:dyDescent="0.25">
      <c r="A58" s="201" t="s">
        <v>870</v>
      </c>
      <c r="B58" s="60">
        <v>7.18</v>
      </c>
      <c r="C58" s="60">
        <v>89.57</v>
      </c>
      <c r="D58" s="60">
        <v>54</v>
      </c>
      <c r="E58" s="60">
        <v>6.09</v>
      </c>
      <c r="F58" s="60">
        <v>5.89</v>
      </c>
      <c r="G58" s="60">
        <v>70.180000000000007</v>
      </c>
      <c r="H58" s="60">
        <v>36.93</v>
      </c>
      <c r="I58" s="60">
        <v>0.7</v>
      </c>
      <c r="J58" s="60">
        <v>0.62</v>
      </c>
      <c r="K58" s="60">
        <v>12.91</v>
      </c>
      <c r="L58" s="60">
        <v>33.159999999999997</v>
      </c>
      <c r="M58" s="60">
        <v>18.920000000000002</v>
      </c>
      <c r="N58" s="60">
        <v>567.79999999999995</v>
      </c>
      <c r="O58" s="60">
        <v>0</v>
      </c>
      <c r="P58" s="60">
        <v>1.18</v>
      </c>
      <c r="Q58" s="60">
        <v>32.1</v>
      </c>
      <c r="R58" s="198"/>
      <c r="S58" s="198"/>
      <c r="T58" s="198"/>
      <c r="U58" s="198"/>
    </row>
    <row r="59" spans="1:21" s="12" customFormat="1" x14ac:dyDescent="0.25">
      <c r="A59" s="201" t="s">
        <v>871</v>
      </c>
      <c r="B59" s="60">
        <v>5.56</v>
      </c>
      <c r="C59" s="60">
        <v>80.819999999999993</v>
      </c>
      <c r="D59" s="60">
        <v>47.88</v>
      </c>
      <c r="E59" s="60">
        <v>7.81</v>
      </c>
      <c r="F59" s="60">
        <v>13.18</v>
      </c>
      <c r="G59" s="60">
        <v>72.61</v>
      </c>
      <c r="H59" s="60">
        <v>36.71</v>
      </c>
      <c r="I59" s="60">
        <v>0.68</v>
      </c>
      <c r="J59" s="60">
        <v>0.7</v>
      </c>
      <c r="K59" s="60">
        <v>357.23</v>
      </c>
      <c r="L59" s="60">
        <v>34.42</v>
      </c>
      <c r="M59" s="60">
        <v>17.739999999999998</v>
      </c>
      <c r="N59" s="60">
        <v>553.1</v>
      </c>
      <c r="O59" s="60">
        <v>0</v>
      </c>
      <c r="P59" s="60">
        <v>1.1200000000000001</v>
      </c>
      <c r="Q59" s="60">
        <v>31.1</v>
      </c>
      <c r="R59" s="198"/>
      <c r="S59" s="198"/>
      <c r="T59" s="198"/>
      <c r="U59" s="198"/>
    </row>
    <row r="60" spans="1:21" s="12" customFormat="1" x14ac:dyDescent="0.25">
      <c r="A60" s="201" t="s">
        <v>872</v>
      </c>
      <c r="B60" s="60">
        <v>5.5</v>
      </c>
      <c r="C60" s="60">
        <v>85.81</v>
      </c>
      <c r="D60" s="60">
        <v>50.58</v>
      </c>
      <c r="E60" s="60">
        <v>5.67</v>
      </c>
      <c r="F60" s="60">
        <v>6.53</v>
      </c>
      <c r="G60" s="60">
        <v>72.61</v>
      </c>
      <c r="H60" s="60">
        <v>36.71</v>
      </c>
      <c r="I60" s="60">
        <v>0.66</v>
      </c>
      <c r="J60" s="60">
        <v>0.63</v>
      </c>
      <c r="K60" s="60">
        <v>4.1900000000000004</v>
      </c>
      <c r="L60" s="60">
        <v>34.94</v>
      </c>
      <c r="M60" s="60">
        <v>17.2</v>
      </c>
      <c r="N60" s="60">
        <v>518.4</v>
      </c>
      <c r="O60" s="60">
        <v>0</v>
      </c>
      <c r="P60" s="60">
        <v>1.1200000000000001</v>
      </c>
      <c r="Q60" s="60">
        <v>29.88</v>
      </c>
      <c r="R60" s="198"/>
      <c r="S60" s="198"/>
      <c r="T60" s="198"/>
      <c r="U60" s="198"/>
    </row>
    <row r="61" spans="1:21" s="12" customFormat="1" x14ac:dyDescent="0.25">
      <c r="A61" s="201" t="s">
        <v>873</v>
      </c>
      <c r="B61" s="60">
        <v>5.25</v>
      </c>
      <c r="C61" s="60">
        <v>85.64</v>
      </c>
      <c r="D61" s="60">
        <v>50.28</v>
      </c>
      <c r="E61" s="60">
        <v>5.84</v>
      </c>
      <c r="F61" s="60">
        <v>6.06</v>
      </c>
      <c r="G61" s="60">
        <v>72.61</v>
      </c>
      <c r="H61" s="60">
        <v>36.71</v>
      </c>
      <c r="I61" s="60">
        <v>0.66</v>
      </c>
      <c r="J61" s="60">
        <v>0.43</v>
      </c>
      <c r="K61" s="60">
        <v>355.79</v>
      </c>
      <c r="L61" s="60">
        <v>34.15</v>
      </c>
      <c r="M61" s="60">
        <v>17.420000000000002</v>
      </c>
      <c r="N61" s="60">
        <v>503.2</v>
      </c>
      <c r="O61" s="60">
        <v>0</v>
      </c>
      <c r="P61" s="60">
        <v>1.05</v>
      </c>
      <c r="Q61" s="60">
        <v>29.12</v>
      </c>
      <c r="R61" s="198"/>
      <c r="S61" s="198"/>
      <c r="T61" s="198"/>
      <c r="U61" s="198"/>
    </row>
    <row r="62" spans="1:21" s="12" customFormat="1" x14ac:dyDescent="0.25">
      <c r="A62" s="201" t="s">
        <v>874</v>
      </c>
      <c r="B62" s="60">
        <v>5.12</v>
      </c>
      <c r="C62" s="60">
        <v>81.02</v>
      </c>
      <c r="D62" s="60">
        <v>47.63</v>
      </c>
      <c r="E62" s="60">
        <v>5.8</v>
      </c>
      <c r="F62" s="60">
        <v>8.44</v>
      </c>
      <c r="G62" s="60">
        <v>62.92</v>
      </c>
      <c r="H62" s="60">
        <v>34.869999999999997</v>
      </c>
      <c r="I62" s="60">
        <v>0.66</v>
      </c>
      <c r="J62" s="60">
        <v>0.52</v>
      </c>
      <c r="K62" s="60">
        <v>344.4</v>
      </c>
      <c r="L62" s="60">
        <v>32.659999999999997</v>
      </c>
      <c r="M62" s="60">
        <v>17.36</v>
      </c>
      <c r="N62" s="60">
        <v>496.9</v>
      </c>
      <c r="O62" s="60">
        <v>0</v>
      </c>
      <c r="P62" s="60">
        <v>1.04</v>
      </c>
      <c r="Q62" s="60">
        <v>28.46</v>
      </c>
      <c r="R62" s="198"/>
      <c r="S62" s="198"/>
      <c r="T62" s="198"/>
      <c r="U62" s="198"/>
    </row>
    <row r="63" spans="1:21" s="12" customFormat="1" x14ac:dyDescent="0.25">
      <c r="A63" s="201" t="s">
        <v>875</v>
      </c>
      <c r="B63" s="60">
        <v>4.29</v>
      </c>
      <c r="C63" s="60">
        <v>76.180000000000007</v>
      </c>
      <c r="D63" s="60">
        <v>44.29</v>
      </c>
      <c r="E63" s="60">
        <v>6.59</v>
      </c>
      <c r="F63" s="60">
        <v>7.71</v>
      </c>
      <c r="G63" s="60">
        <v>55.16</v>
      </c>
      <c r="H63" s="60">
        <v>33.4</v>
      </c>
      <c r="I63" s="60">
        <v>0.66</v>
      </c>
      <c r="J63" s="60">
        <v>0.35</v>
      </c>
      <c r="K63" s="60">
        <v>352.18</v>
      </c>
      <c r="L63" s="60">
        <v>33.770000000000003</v>
      </c>
      <c r="M63" s="60">
        <v>16.78</v>
      </c>
      <c r="N63" s="60">
        <v>477.8</v>
      </c>
      <c r="O63" s="60">
        <v>0</v>
      </c>
      <c r="P63" s="60">
        <v>1</v>
      </c>
      <c r="Q63" s="60">
        <v>27.92</v>
      </c>
      <c r="R63" s="198"/>
      <c r="S63" s="198"/>
      <c r="T63" s="198"/>
      <c r="U63" s="198"/>
    </row>
    <row r="64" spans="1:21" s="12" customFormat="1" x14ac:dyDescent="0.25">
      <c r="A64" s="201" t="s">
        <v>876</v>
      </c>
      <c r="B64" s="60">
        <v>4.03</v>
      </c>
      <c r="C64" s="60">
        <v>75.3</v>
      </c>
      <c r="D64" s="60">
        <v>43.6</v>
      </c>
      <c r="E64" s="60">
        <v>6.79</v>
      </c>
      <c r="F64" s="60">
        <v>8.1300000000000008</v>
      </c>
      <c r="G64" s="60">
        <v>55.16</v>
      </c>
      <c r="H64" s="60">
        <v>33.4</v>
      </c>
      <c r="I64" s="60">
        <v>0.65</v>
      </c>
      <c r="J64" s="60">
        <v>0.64</v>
      </c>
      <c r="K64" s="60">
        <v>349.69</v>
      </c>
      <c r="L64" s="60">
        <v>34.200000000000003</v>
      </c>
      <c r="M64" s="60">
        <v>16.84</v>
      </c>
      <c r="N64" s="60">
        <v>451.5</v>
      </c>
      <c r="O64" s="60">
        <v>0</v>
      </c>
      <c r="P64" s="60">
        <v>0.96</v>
      </c>
      <c r="Q64" s="60">
        <v>27.56</v>
      </c>
      <c r="R64" s="198"/>
      <c r="S64" s="198"/>
      <c r="T64" s="198"/>
      <c r="U64" s="198"/>
    </row>
    <row r="65" spans="1:21" s="12" customFormat="1" x14ac:dyDescent="0.25">
      <c r="A65" s="201" t="s">
        <v>877</v>
      </c>
      <c r="B65" s="60">
        <v>3.82</v>
      </c>
      <c r="C65" s="60">
        <v>73.069999999999993</v>
      </c>
      <c r="D65" s="60">
        <v>42.2</v>
      </c>
      <c r="E65" s="60">
        <v>6.16</v>
      </c>
      <c r="F65" s="60">
        <v>7.24</v>
      </c>
      <c r="G65" s="60">
        <v>55.16</v>
      </c>
      <c r="H65" s="60">
        <v>33.4</v>
      </c>
      <c r="I65" s="210" t="s">
        <v>36</v>
      </c>
      <c r="J65" s="60">
        <v>0.47</v>
      </c>
      <c r="K65" s="60">
        <v>356.07</v>
      </c>
      <c r="L65" s="60">
        <v>34.299999999999997</v>
      </c>
      <c r="M65" s="60">
        <v>16.11</v>
      </c>
      <c r="N65" s="60">
        <v>435.6</v>
      </c>
      <c r="O65" s="60">
        <v>0</v>
      </c>
      <c r="P65" s="60">
        <v>0.93</v>
      </c>
      <c r="Q65" s="60">
        <v>27.06</v>
      </c>
      <c r="R65" s="198"/>
      <c r="S65" s="198"/>
      <c r="T65" s="198"/>
      <c r="U65" s="198"/>
    </row>
    <row r="66" spans="1:21" s="12" customFormat="1" x14ac:dyDescent="0.25">
      <c r="A66" s="201" t="s">
        <v>878</v>
      </c>
      <c r="B66" s="60">
        <v>3.81</v>
      </c>
      <c r="C66" s="60">
        <v>71.040000000000006</v>
      </c>
      <c r="D66" s="60">
        <v>41.07</v>
      </c>
      <c r="E66" s="60">
        <v>6.28</v>
      </c>
      <c r="F66" s="60">
        <v>7.39</v>
      </c>
      <c r="G66" s="60">
        <v>44.26</v>
      </c>
      <c r="H66" s="60">
        <v>31.22</v>
      </c>
      <c r="I66" s="210" t="s">
        <v>36</v>
      </c>
      <c r="J66" s="60">
        <v>0.5</v>
      </c>
      <c r="K66" s="60">
        <v>351.81</v>
      </c>
      <c r="L66" s="60">
        <v>33.96</v>
      </c>
      <c r="M66" s="60">
        <v>16.3</v>
      </c>
      <c r="N66" s="60">
        <v>399.6</v>
      </c>
      <c r="O66" s="60">
        <v>0</v>
      </c>
      <c r="P66" s="60">
        <v>0.9</v>
      </c>
      <c r="Q66" s="60">
        <v>27.3</v>
      </c>
      <c r="R66" s="198"/>
      <c r="S66" s="198"/>
      <c r="T66" s="198"/>
      <c r="U66" s="198"/>
    </row>
    <row r="67" spans="1:21" s="12" customFormat="1" x14ac:dyDescent="0.25">
      <c r="A67" s="201" t="s">
        <v>879</v>
      </c>
      <c r="B67" s="60">
        <v>3.79</v>
      </c>
      <c r="C67" s="60">
        <v>70.400000000000006</v>
      </c>
      <c r="D67" s="60">
        <v>40.700000000000003</v>
      </c>
      <c r="E67" s="60">
        <v>6.06</v>
      </c>
      <c r="F67" s="60">
        <v>7.77</v>
      </c>
      <c r="G67" s="60">
        <v>35.54</v>
      </c>
      <c r="H67" s="60">
        <v>29.47</v>
      </c>
      <c r="I67" s="210" t="s">
        <v>36</v>
      </c>
      <c r="J67" s="60">
        <v>0.44</v>
      </c>
      <c r="K67" s="60">
        <v>347.43</v>
      </c>
      <c r="L67" s="60">
        <v>34.21</v>
      </c>
      <c r="M67" s="60">
        <v>16.75</v>
      </c>
      <c r="N67" s="60">
        <v>373.9</v>
      </c>
      <c r="O67" s="60">
        <v>0</v>
      </c>
      <c r="P67" s="60">
        <v>0.89</v>
      </c>
      <c r="Q67" s="60">
        <v>28.64</v>
      </c>
      <c r="R67" s="198"/>
      <c r="S67" s="198"/>
      <c r="T67" s="198"/>
      <c r="U67" s="198"/>
    </row>
    <row r="68" spans="1:21" s="12" customFormat="1" x14ac:dyDescent="0.25">
      <c r="A68" s="201" t="s">
        <v>880</v>
      </c>
      <c r="B68" s="60">
        <v>3.76</v>
      </c>
      <c r="C68" s="60">
        <v>68.540000000000006</v>
      </c>
      <c r="D68" s="60">
        <v>39.65</v>
      </c>
      <c r="E68" s="60">
        <v>6.4</v>
      </c>
      <c r="F68" s="60">
        <v>10</v>
      </c>
      <c r="G68" s="60">
        <v>35.54</v>
      </c>
      <c r="H68" s="60">
        <v>29.47</v>
      </c>
      <c r="I68" s="210" t="s">
        <v>36</v>
      </c>
      <c r="J68" s="60">
        <v>0.52</v>
      </c>
      <c r="K68" s="60">
        <v>354.53</v>
      </c>
      <c r="L68" s="60">
        <v>34.35</v>
      </c>
      <c r="M68" s="60">
        <v>17.13</v>
      </c>
      <c r="N68" s="60">
        <v>279.7</v>
      </c>
      <c r="O68" s="60">
        <v>0</v>
      </c>
      <c r="P68" s="60">
        <v>0.87</v>
      </c>
      <c r="Q68" s="60">
        <v>29.4</v>
      </c>
      <c r="R68" s="198"/>
      <c r="S68" s="198"/>
      <c r="T68" s="198"/>
      <c r="U68" s="198"/>
    </row>
    <row r="69" spans="1:21" s="12" customFormat="1" x14ac:dyDescent="0.25">
      <c r="A69" s="201" t="s">
        <v>881</v>
      </c>
      <c r="B69" s="60">
        <v>3.85</v>
      </c>
      <c r="C69" s="60">
        <v>67.650000000000006</v>
      </c>
      <c r="D69" s="60">
        <v>39.229999999999997</v>
      </c>
      <c r="E69" s="60">
        <v>6.61</v>
      </c>
      <c r="F69" s="60">
        <v>8.9600000000000009</v>
      </c>
      <c r="G69" s="60">
        <v>35.54</v>
      </c>
      <c r="H69" s="60">
        <v>29.47</v>
      </c>
      <c r="I69" s="210" t="s">
        <v>36</v>
      </c>
      <c r="J69" s="60">
        <v>0.2</v>
      </c>
      <c r="K69" s="60">
        <v>355.21</v>
      </c>
      <c r="L69" s="60">
        <v>34.29</v>
      </c>
      <c r="M69" s="60">
        <v>16.71</v>
      </c>
      <c r="N69" s="60">
        <v>170.7</v>
      </c>
      <c r="O69" s="60">
        <v>0</v>
      </c>
      <c r="P69" s="60">
        <v>0.86</v>
      </c>
      <c r="Q69" s="60">
        <v>29.67</v>
      </c>
      <c r="R69" s="198"/>
      <c r="S69" s="198"/>
      <c r="T69" s="198"/>
      <c r="U69" s="198"/>
    </row>
    <row r="70" spans="1:21" s="12" customFormat="1" x14ac:dyDescent="0.25">
      <c r="A70" s="201" t="s">
        <v>882</v>
      </c>
      <c r="B70" s="60">
        <v>3.93</v>
      </c>
      <c r="C70" s="60">
        <v>68.88</v>
      </c>
      <c r="D70" s="60">
        <v>39.979999999999997</v>
      </c>
      <c r="E70" s="60">
        <v>6.61</v>
      </c>
      <c r="F70" s="60">
        <v>9.68</v>
      </c>
      <c r="G70" s="60">
        <v>26.58</v>
      </c>
      <c r="H70" s="60">
        <v>28.1</v>
      </c>
      <c r="I70" s="210" t="s">
        <v>36</v>
      </c>
      <c r="J70" s="60">
        <v>0.19</v>
      </c>
      <c r="K70" s="60">
        <v>16.95</v>
      </c>
      <c r="L70" s="60">
        <v>32.79</v>
      </c>
      <c r="M70" s="60">
        <v>18.28</v>
      </c>
      <c r="N70" s="60">
        <v>130.69999999999999</v>
      </c>
      <c r="O70" s="60">
        <v>0</v>
      </c>
      <c r="P70" s="60">
        <v>0.87</v>
      </c>
      <c r="Q70" s="60">
        <v>29.54</v>
      </c>
      <c r="R70" s="198"/>
      <c r="S70" s="198"/>
      <c r="T70" s="198"/>
      <c r="U70" s="198"/>
    </row>
    <row r="71" spans="1:21" s="12" customFormat="1" x14ac:dyDescent="0.25">
      <c r="A71" s="201" t="s">
        <v>883</v>
      </c>
      <c r="B71" s="60">
        <v>4</v>
      </c>
      <c r="C71" s="60">
        <v>69.78</v>
      </c>
      <c r="D71" s="60">
        <v>40.53</v>
      </c>
      <c r="E71" s="60">
        <v>6.77</v>
      </c>
      <c r="F71" s="60">
        <v>7.24</v>
      </c>
      <c r="G71" s="60">
        <v>19.399999999999999</v>
      </c>
      <c r="H71" s="60">
        <v>27.01</v>
      </c>
      <c r="I71" s="210" t="s">
        <v>36</v>
      </c>
      <c r="J71" s="60">
        <v>0.05</v>
      </c>
      <c r="K71" s="60">
        <v>197.92</v>
      </c>
      <c r="L71" s="60">
        <v>32</v>
      </c>
      <c r="M71" s="60">
        <v>19.07</v>
      </c>
      <c r="N71" s="60">
        <v>133.4</v>
      </c>
      <c r="O71" s="60">
        <v>0</v>
      </c>
      <c r="P71" s="60">
        <v>0.86</v>
      </c>
      <c r="Q71" s="60">
        <v>29.61</v>
      </c>
      <c r="R71" s="198"/>
      <c r="S71" s="198"/>
      <c r="T71" s="198"/>
      <c r="U71" s="198"/>
    </row>
    <row r="72" spans="1:21" s="12" customFormat="1" x14ac:dyDescent="0.25">
      <c r="A72" s="201" t="s">
        <v>884</v>
      </c>
      <c r="B72" s="60">
        <v>3.54</v>
      </c>
      <c r="C72" s="60">
        <v>69.89</v>
      </c>
      <c r="D72" s="60">
        <v>40.22</v>
      </c>
      <c r="E72" s="60">
        <v>4.87</v>
      </c>
      <c r="F72" s="60">
        <v>7.79</v>
      </c>
      <c r="G72" s="60">
        <v>19.399999999999999</v>
      </c>
      <c r="H72" s="60">
        <v>27.01</v>
      </c>
      <c r="I72" s="210" t="s">
        <v>36</v>
      </c>
      <c r="J72" s="60">
        <v>0.11</v>
      </c>
      <c r="K72" s="60">
        <v>178.05</v>
      </c>
      <c r="L72" s="60">
        <v>31.44</v>
      </c>
      <c r="M72" s="60">
        <v>19.440000000000001</v>
      </c>
      <c r="N72" s="60">
        <v>123.6</v>
      </c>
      <c r="O72" s="60">
        <v>0</v>
      </c>
      <c r="P72" s="60">
        <v>0.86</v>
      </c>
      <c r="Q72" s="60">
        <v>29.76</v>
      </c>
      <c r="R72" s="198"/>
      <c r="S72" s="198"/>
      <c r="T72" s="198"/>
      <c r="U72" s="198"/>
    </row>
    <row r="73" spans="1:21" s="12" customFormat="1" x14ac:dyDescent="0.25">
      <c r="A73" s="201" t="s">
        <v>885</v>
      </c>
      <c r="B73" s="60">
        <v>3.12</v>
      </c>
      <c r="C73" s="60">
        <v>62.25</v>
      </c>
      <c r="D73" s="60">
        <v>35.67</v>
      </c>
      <c r="E73" s="60">
        <v>7.6</v>
      </c>
      <c r="F73" s="60">
        <v>12.71</v>
      </c>
      <c r="G73" s="60">
        <v>19.399999999999999</v>
      </c>
      <c r="H73" s="60">
        <v>27.01</v>
      </c>
      <c r="I73" s="60">
        <v>0.15</v>
      </c>
      <c r="J73" s="60">
        <v>0.2</v>
      </c>
      <c r="K73" s="60">
        <v>212.51</v>
      </c>
      <c r="L73" s="60">
        <v>30.62</v>
      </c>
      <c r="M73" s="60">
        <v>20.96</v>
      </c>
      <c r="N73" s="60">
        <v>89.6</v>
      </c>
      <c r="O73" s="60">
        <v>0</v>
      </c>
      <c r="P73" s="60">
        <v>0.82</v>
      </c>
      <c r="Q73" s="60">
        <v>28.42</v>
      </c>
      <c r="R73" s="198"/>
      <c r="S73" s="198"/>
      <c r="T73" s="198"/>
      <c r="U73" s="198"/>
    </row>
    <row r="74" spans="1:21" s="12" customFormat="1" x14ac:dyDescent="0.25">
      <c r="A74" s="201" t="s">
        <v>886</v>
      </c>
      <c r="B74" s="60">
        <v>3.14</v>
      </c>
      <c r="C74" s="60">
        <v>58.06</v>
      </c>
      <c r="D74" s="60">
        <v>33.369999999999997</v>
      </c>
      <c r="E74" s="60">
        <v>9.57</v>
      </c>
      <c r="F74" s="60">
        <v>21.24</v>
      </c>
      <c r="G74" s="60">
        <v>45.79</v>
      </c>
      <c r="H74" s="60">
        <v>26.78</v>
      </c>
      <c r="I74" s="60">
        <v>0.59</v>
      </c>
      <c r="J74" s="60">
        <v>0.2</v>
      </c>
      <c r="K74" s="60">
        <v>185.42</v>
      </c>
      <c r="L74" s="60">
        <v>30.4</v>
      </c>
      <c r="M74" s="60">
        <v>21.62</v>
      </c>
      <c r="N74" s="60">
        <v>72.7</v>
      </c>
      <c r="O74" s="60">
        <v>0</v>
      </c>
      <c r="P74" s="60">
        <v>0.79</v>
      </c>
      <c r="Q74" s="60">
        <v>27.19</v>
      </c>
      <c r="R74" s="198"/>
      <c r="S74" s="198"/>
      <c r="T74" s="198"/>
      <c r="U74" s="198"/>
    </row>
    <row r="75" spans="1:21" s="12" customFormat="1" x14ac:dyDescent="0.25">
      <c r="A75" s="201" t="s">
        <v>887</v>
      </c>
      <c r="B75" s="60">
        <v>4.04</v>
      </c>
      <c r="C75" s="60">
        <v>65.31</v>
      </c>
      <c r="D75" s="60">
        <v>38.1</v>
      </c>
      <c r="E75" s="60">
        <v>7.93</v>
      </c>
      <c r="F75" s="60">
        <v>9.99</v>
      </c>
      <c r="G75" s="60">
        <v>66.900000000000006</v>
      </c>
      <c r="H75" s="60">
        <v>26.59</v>
      </c>
      <c r="I75" s="60">
        <v>0.56000000000000005</v>
      </c>
      <c r="J75" s="60">
        <v>0.06</v>
      </c>
      <c r="K75" s="60">
        <v>4.79</v>
      </c>
      <c r="L75" s="60">
        <v>30.2</v>
      </c>
      <c r="M75" s="60">
        <v>22.21</v>
      </c>
      <c r="N75" s="60">
        <v>57.5</v>
      </c>
      <c r="O75" s="60">
        <v>0</v>
      </c>
      <c r="P75" s="60">
        <v>0.81</v>
      </c>
      <c r="Q75" s="60">
        <v>26.05</v>
      </c>
      <c r="R75" s="198"/>
      <c r="S75" s="198"/>
      <c r="T75" s="198"/>
      <c r="U75" s="198"/>
    </row>
    <row r="76" spans="1:21" s="12" customFormat="1" x14ac:dyDescent="0.25">
      <c r="A76" s="201" t="s">
        <v>888</v>
      </c>
      <c r="B76" s="60">
        <v>3.61</v>
      </c>
      <c r="C76" s="60">
        <v>60.09</v>
      </c>
      <c r="D76" s="60">
        <v>34.86</v>
      </c>
      <c r="E76" s="60">
        <v>7.68</v>
      </c>
      <c r="F76" s="60">
        <v>11.73</v>
      </c>
      <c r="G76" s="60">
        <v>66.900000000000006</v>
      </c>
      <c r="H76" s="60">
        <v>26.59</v>
      </c>
      <c r="I76" s="60">
        <v>0.55000000000000004</v>
      </c>
      <c r="J76" s="60">
        <v>0.09</v>
      </c>
      <c r="K76" s="60">
        <v>254.19</v>
      </c>
      <c r="L76" s="60">
        <v>29.91</v>
      </c>
      <c r="M76" s="60">
        <v>22.5</v>
      </c>
      <c r="N76" s="60">
        <v>42.5</v>
      </c>
      <c r="O76" s="60">
        <v>0</v>
      </c>
      <c r="P76" s="60">
        <v>0.78</v>
      </c>
      <c r="Q76" s="60">
        <v>25.66</v>
      </c>
      <c r="R76" s="198"/>
      <c r="S76" s="198"/>
      <c r="T76" s="198"/>
      <c r="U76" s="198"/>
    </row>
    <row r="77" spans="1:21" s="12" customFormat="1" x14ac:dyDescent="0.25">
      <c r="A77" s="201" t="s">
        <v>889</v>
      </c>
      <c r="B77" s="60">
        <v>4.43</v>
      </c>
      <c r="C77" s="60">
        <v>60.8</v>
      </c>
      <c r="D77" s="60">
        <v>35.909999999999997</v>
      </c>
      <c r="E77" s="60">
        <v>7.24</v>
      </c>
      <c r="F77" s="60">
        <v>11.05</v>
      </c>
      <c r="G77" s="60">
        <v>66.900000000000006</v>
      </c>
      <c r="H77" s="60">
        <v>26.59</v>
      </c>
      <c r="I77" s="210" t="s">
        <v>36</v>
      </c>
      <c r="J77" s="60">
        <v>0.1</v>
      </c>
      <c r="K77" s="60">
        <v>20.84</v>
      </c>
      <c r="L77" s="60">
        <v>29.6</v>
      </c>
      <c r="M77" s="60">
        <v>23.24</v>
      </c>
      <c r="N77" s="60">
        <v>32.700000000000003</v>
      </c>
      <c r="O77" s="60">
        <v>0</v>
      </c>
      <c r="P77" s="60">
        <v>0.78</v>
      </c>
      <c r="Q77" s="60">
        <v>25.7</v>
      </c>
      <c r="R77" s="198"/>
      <c r="S77" s="198"/>
      <c r="T77" s="198"/>
      <c r="U77" s="198"/>
    </row>
    <row r="78" spans="1:21" s="12" customFormat="1" x14ac:dyDescent="0.25">
      <c r="A78" s="201" t="s">
        <v>890</v>
      </c>
      <c r="B78" s="60">
        <v>8.41</v>
      </c>
      <c r="C78" s="60">
        <v>69.790000000000006</v>
      </c>
      <c r="D78" s="60">
        <v>44.07</v>
      </c>
      <c r="E78" s="60">
        <v>7.85</v>
      </c>
      <c r="F78" s="60">
        <v>11.43</v>
      </c>
      <c r="G78" s="60">
        <v>52.98</v>
      </c>
      <c r="H78" s="60">
        <v>26.42</v>
      </c>
      <c r="I78" s="210" t="s">
        <v>36</v>
      </c>
      <c r="J78" s="60">
        <v>0.13</v>
      </c>
      <c r="K78" s="60">
        <v>32.54</v>
      </c>
      <c r="L78" s="60">
        <v>29.22</v>
      </c>
      <c r="M78" s="60">
        <v>24.21</v>
      </c>
      <c r="N78" s="60">
        <v>22.6</v>
      </c>
      <c r="O78" s="60">
        <v>0</v>
      </c>
      <c r="P78" s="60">
        <v>0.81</v>
      </c>
      <c r="Q78" s="60">
        <v>25.36</v>
      </c>
      <c r="R78" s="198"/>
      <c r="S78" s="198"/>
      <c r="T78" s="198"/>
      <c r="U78" s="198"/>
    </row>
    <row r="79" spans="1:21" s="12" customFormat="1" x14ac:dyDescent="0.25">
      <c r="A79" s="201" t="s">
        <v>891</v>
      </c>
      <c r="B79" s="60">
        <v>6.84</v>
      </c>
      <c r="C79" s="60">
        <v>69.989999999999995</v>
      </c>
      <c r="D79" s="60">
        <v>42.92</v>
      </c>
      <c r="E79" s="60">
        <v>8.7100000000000009</v>
      </c>
      <c r="F79" s="60">
        <v>11.78</v>
      </c>
      <c r="G79" s="60">
        <v>41.85</v>
      </c>
      <c r="H79" s="60">
        <v>26.28</v>
      </c>
      <c r="I79" s="210" t="s">
        <v>36</v>
      </c>
      <c r="J79" s="60">
        <v>0.08</v>
      </c>
      <c r="K79" s="60">
        <v>25.12</v>
      </c>
      <c r="L79" s="60">
        <v>28.68</v>
      </c>
      <c r="M79" s="60">
        <v>25.36</v>
      </c>
      <c r="N79" s="60">
        <v>12.6</v>
      </c>
      <c r="O79" s="60">
        <v>0</v>
      </c>
      <c r="P79" s="60">
        <v>0.88</v>
      </c>
      <c r="Q79" s="60">
        <v>25.71</v>
      </c>
      <c r="R79" s="198"/>
      <c r="S79" s="198"/>
      <c r="T79" s="198"/>
      <c r="U79" s="198"/>
    </row>
    <row r="80" spans="1:21" s="12" customFormat="1" x14ac:dyDescent="0.25">
      <c r="A80" s="201" t="s">
        <v>892</v>
      </c>
      <c r="B80" s="60">
        <v>5.4</v>
      </c>
      <c r="C80" s="60">
        <v>65.77</v>
      </c>
      <c r="D80" s="60">
        <v>39.44</v>
      </c>
      <c r="E80" s="60">
        <v>8.1999999999999993</v>
      </c>
      <c r="F80" s="60">
        <v>11.26</v>
      </c>
      <c r="G80" s="60">
        <v>41.85</v>
      </c>
      <c r="H80" s="60">
        <v>26.28</v>
      </c>
      <c r="I80" s="210" t="s">
        <v>36</v>
      </c>
      <c r="J80" s="60">
        <v>0.11</v>
      </c>
      <c r="K80" s="60">
        <v>4.3</v>
      </c>
      <c r="L80" s="60">
        <v>28.19</v>
      </c>
      <c r="M80" s="60">
        <v>26.9</v>
      </c>
      <c r="N80" s="60">
        <v>6.2</v>
      </c>
      <c r="O80" s="60">
        <v>0</v>
      </c>
      <c r="P80" s="60">
        <v>0.85</v>
      </c>
      <c r="Q80" s="60">
        <v>27.14</v>
      </c>
      <c r="R80" s="198"/>
      <c r="S80" s="198"/>
      <c r="T80" s="198"/>
      <c r="U80" s="198"/>
    </row>
    <row r="81" spans="1:26" s="12" customFormat="1" x14ac:dyDescent="0.25">
      <c r="A81" s="201" t="s">
        <v>893</v>
      </c>
      <c r="B81" s="60">
        <v>5.86</v>
      </c>
      <c r="C81" s="60">
        <v>69.930000000000007</v>
      </c>
      <c r="D81" s="60">
        <v>42.11</v>
      </c>
      <c r="E81" s="60">
        <v>6.53</v>
      </c>
      <c r="F81" s="60">
        <v>5.73</v>
      </c>
      <c r="G81" s="60">
        <v>41.85</v>
      </c>
      <c r="H81" s="60">
        <v>26.28</v>
      </c>
      <c r="I81" s="210" t="s">
        <v>36</v>
      </c>
      <c r="J81" s="60">
        <v>0.04</v>
      </c>
      <c r="K81" s="60">
        <v>308.17</v>
      </c>
      <c r="L81" s="60">
        <v>27.6</v>
      </c>
      <c r="M81" s="60">
        <v>28.49</v>
      </c>
      <c r="N81" s="60">
        <v>4.5999999999999996</v>
      </c>
      <c r="O81" s="60">
        <v>0</v>
      </c>
      <c r="P81" s="60">
        <v>0.85</v>
      </c>
      <c r="Q81" s="60">
        <v>29.25</v>
      </c>
      <c r="R81" s="198"/>
      <c r="S81" s="198"/>
      <c r="T81" s="198"/>
      <c r="U81" s="198"/>
    </row>
    <row r="82" spans="1:26" s="12" customFormat="1" x14ac:dyDescent="0.25">
      <c r="A82" s="201" t="s">
        <v>894</v>
      </c>
      <c r="B82" s="60">
        <v>5.84</v>
      </c>
      <c r="C82" s="60">
        <v>71.06</v>
      </c>
      <c r="D82" s="60">
        <v>42.72</v>
      </c>
      <c r="E82" s="60">
        <v>6.65</v>
      </c>
      <c r="F82" s="60">
        <v>5.36</v>
      </c>
      <c r="G82" s="60">
        <v>56.11</v>
      </c>
      <c r="H82" s="60">
        <v>29.72</v>
      </c>
      <c r="I82" s="210" t="s">
        <v>36</v>
      </c>
      <c r="J82" s="60">
        <v>0.06</v>
      </c>
      <c r="K82" s="60">
        <v>0.15</v>
      </c>
      <c r="L82" s="60">
        <v>27.18</v>
      </c>
      <c r="M82" s="60">
        <v>29.53</v>
      </c>
      <c r="N82" s="60">
        <v>4.2</v>
      </c>
      <c r="O82" s="60">
        <v>0</v>
      </c>
      <c r="P82" s="60">
        <v>0.88</v>
      </c>
      <c r="Q82" s="60">
        <v>30.49</v>
      </c>
      <c r="R82" s="198"/>
      <c r="S82" s="198"/>
      <c r="T82" s="198"/>
      <c r="U82" s="198"/>
    </row>
    <row r="83" spans="1:26" s="12" customFormat="1" x14ac:dyDescent="0.25">
      <c r="A83" s="201" t="s">
        <v>895</v>
      </c>
      <c r="B83" s="60">
        <v>9.67</v>
      </c>
      <c r="C83" s="60">
        <v>75.599999999999994</v>
      </c>
      <c r="D83" s="60">
        <v>48.29</v>
      </c>
      <c r="E83" s="60">
        <v>6.3</v>
      </c>
      <c r="F83" s="60">
        <v>4.3899999999999997</v>
      </c>
      <c r="G83" s="60">
        <v>67.52</v>
      </c>
      <c r="H83" s="60">
        <v>32.47</v>
      </c>
      <c r="I83" s="210" t="s">
        <v>36</v>
      </c>
      <c r="J83" s="60">
        <v>0.08</v>
      </c>
      <c r="K83" s="60">
        <v>320.94</v>
      </c>
      <c r="L83" s="60">
        <v>26.82</v>
      </c>
      <c r="M83" s="60">
        <v>30.64</v>
      </c>
      <c r="N83" s="60">
        <v>4.0999999999999996</v>
      </c>
      <c r="O83" s="60">
        <v>0</v>
      </c>
      <c r="P83" s="60">
        <v>0.95</v>
      </c>
      <c r="Q83" s="60">
        <v>31.25</v>
      </c>
      <c r="R83" s="198"/>
      <c r="S83" s="198"/>
      <c r="T83" s="198"/>
      <c r="U83" s="198"/>
    </row>
    <row r="84" spans="1:26" s="12" customFormat="1" x14ac:dyDescent="0.25">
      <c r="A84" s="201" t="s">
        <v>896</v>
      </c>
      <c r="B84" s="60">
        <v>13.19</v>
      </c>
      <c r="C84" s="60">
        <v>78.069999999999993</v>
      </c>
      <c r="D84" s="60">
        <v>52.47</v>
      </c>
      <c r="E84" s="60">
        <v>6.82</v>
      </c>
      <c r="F84" s="60">
        <v>3.77</v>
      </c>
      <c r="G84" s="60">
        <v>67.52</v>
      </c>
      <c r="H84" s="60">
        <v>32.47</v>
      </c>
      <c r="I84" s="210" t="s">
        <v>36</v>
      </c>
      <c r="J84" s="60">
        <v>0.14000000000000001</v>
      </c>
      <c r="K84" s="60">
        <v>322.7</v>
      </c>
      <c r="L84" s="60">
        <v>26.07</v>
      </c>
      <c r="M84" s="60">
        <v>32.44</v>
      </c>
      <c r="N84" s="60">
        <v>4.5</v>
      </c>
      <c r="O84" s="60">
        <v>0</v>
      </c>
      <c r="P84" s="60">
        <v>1.07</v>
      </c>
      <c r="Q84" s="60">
        <v>31.97</v>
      </c>
      <c r="R84" s="198"/>
      <c r="S84" s="198"/>
      <c r="T84" s="198"/>
      <c r="U84" s="198"/>
    </row>
    <row r="85" spans="1:26" s="12" customFormat="1" x14ac:dyDescent="0.25">
      <c r="A85" s="201" t="s">
        <v>897</v>
      </c>
      <c r="B85" s="60">
        <v>17.86</v>
      </c>
      <c r="C85" s="60">
        <v>78.930000000000007</v>
      </c>
      <c r="D85" s="60">
        <v>56.69</v>
      </c>
      <c r="E85" s="60">
        <v>6.63</v>
      </c>
      <c r="F85" s="60">
        <v>3.65</v>
      </c>
      <c r="G85" s="60">
        <v>67.52</v>
      </c>
      <c r="H85" s="60">
        <v>32.47</v>
      </c>
      <c r="I85" s="210" t="s">
        <v>36</v>
      </c>
      <c r="J85" s="60">
        <v>0.17</v>
      </c>
      <c r="K85" s="60">
        <v>344.59</v>
      </c>
      <c r="L85" s="60">
        <v>25.29</v>
      </c>
      <c r="M85" s="60">
        <v>35.78</v>
      </c>
      <c r="N85" s="60">
        <v>4.5</v>
      </c>
      <c r="O85" s="60">
        <v>0</v>
      </c>
      <c r="P85" s="60">
        <v>1.1200000000000001</v>
      </c>
      <c r="Q85" s="60">
        <v>32.369999999999997</v>
      </c>
      <c r="R85" s="198"/>
      <c r="S85" s="198"/>
      <c r="T85" s="198"/>
      <c r="U85" s="198"/>
    </row>
    <row r="86" spans="1:26" s="12" customFormat="1" x14ac:dyDescent="0.25">
      <c r="A86" s="201" t="s">
        <v>898</v>
      </c>
      <c r="B86" s="60">
        <v>17.260000000000002</v>
      </c>
      <c r="C86" s="60">
        <v>81.33</v>
      </c>
      <c r="D86" s="60">
        <v>57.53</v>
      </c>
      <c r="E86" s="60">
        <v>6.29</v>
      </c>
      <c r="F86" s="60">
        <v>3.63</v>
      </c>
      <c r="G86" s="60">
        <v>74.13</v>
      </c>
      <c r="H86" s="60">
        <v>33.69</v>
      </c>
      <c r="I86" s="210" t="s">
        <v>36</v>
      </c>
      <c r="J86" s="60">
        <v>0.12</v>
      </c>
      <c r="K86" s="60">
        <v>303.68</v>
      </c>
      <c r="L86" s="60">
        <v>24.69</v>
      </c>
      <c r="M86" s="60">
        <v>37.46</v>
      </c>
      <c r="N86" s="60">
        <v>4.4000000000000004</v>
      </c>
      <c r="O86" s="60">
        <v>0</v>
      </c>
      <c r="P86" s="60">
        <v>1.22</v>
      </c>
      <c r="Q86" s="60">
        <v>32.49</v>
      </c>
      <c r="R86" s="198"/>
      <c r="S86" s="198"/>
      <c r="T86" s="198"/>
      <c r="U86" s="198"/>
    </row>
    <row r="87" spans="1:26" s="12" customFormat="1" x14ac:dyDescent="0.25">
      <c r="A87" s="201" t="s">
        <v>899</v>
      </c>
      <c r="B87" s="60">
        <v>24.05</v>
      </c>
      <c r="C87" s="60">
        <v>84.41</v>
      </c>
      <c r="D87" s="60">
        <v>64.680000000000007</v>
      </c>
      <c r="E87" s="60">
        <v>6.11</v>
      </c>
      <c r="F87" s="60">
        <v>3.72</v>
      </c>
      <c r="G87" s="60">
        <v>79.41</v>
      </c>
      <c r="H87" s="60">
        <v>34.659999999999997</v>
      </c>
      <c r="I87" s="210" t="s">
        <v>36</v>
      </c>
      <c r="J87" s="60">
        <v>0.09</v>
      </c>
      <c r="K87" s="60">
        <v>320.48</v>
      </c>
      <c r="L87" s="60">
        <v>24.56</v>
      </c>
      <c r="M87" s="60">
        <v>36.93</v>
      </c>
      <c r="N87" s="60">
        <v>4.5</v>
      </c>
      <c r="O87" s="60">
        <v>0</v>
      </c>
      <c r="P87" s="60">
        <v>1.49</v>
      </c>
      <c r="Q87" s="60">
        <v>32.4</v>
      </c>
      <c r="R87" s="198"/>
      <c r="S87" s="198"/>
      <c r="T87" s="198"/>
      <c r="U87" s="198"/>
    </row>
    <row r="88" spans="1:26" s="12" customFormat="1" x14ac:dyDescent="0.25">
      <c r="A88" s="201" t="s">
        <v>900</v>
      </c>
      <c r="B88" s="60">
        <v>29.7</v>
      </c>
      <c r="C88" s="60">
        <v>87.73</v>
      </c>
      <c r="D88" s="60">
        <v>71.05</v>
      </c>
      <c r="E88" s="60">
        <v>6.65</v>
      </c>
      <c r="F88" s="60">
        <v>4.55</v>
      </c>
      <c r="G88" s="60">
        <v>79.41</v>
      </c>
      <c r="H88" s="60">
        <v>34.659999999999997</v>
      </c>
      <c r="I88" s="210" t="s">
        <v>36</v>
      </c>
      <c r="J88" s="60">
        <v>0.06</v>
      </c>
      <c r="K88" s="60">
        <v>264.75</v>
      </c>
      <c r="L88" s="60">
        <v>24.2</v>
      </c>
      <c r="M88" s="60">
        <v>38.270000000000003</v>
      </c>
      <c r="N88" s="60">
        <v>4.4000000000000004</v>
      </c>
      <c r="O88" s="60">
        <v>0</v>
      </c>
      <c r="P88" s="60">
        <v>1.66</v>
      </c>
      <c r="Q88" s="60">
        <v>31.61</v>
      </c>
      <c r="R88" s="198"/>
      <c r="S88" s="198"/>
      <c r="T88" s="198"/>
      <c r="U88" s="198"/>
    </row>
    <row r="89" spans="1:26" s="12" customFormat="1" x14ac:dyDescent="0.25">
      <c r="A89" s="201" t="s">
        <v>901</v>
      </c>
      <c r="B89" s="60">
        <v>25.4</v>
      </c>
      <c r="C89" s="60">
        <v>88.43</v>
      </c>
      <c r="D89" s="60">
        <v>67.98</v>
      </c>
      <c r="E89" s="60">
        <v>8.98</v>
      </c>
      <c r="F89" s="60">
        <v>4.26</v>
      </c>
      <c r="G89" s="60">
        <v>79.41</v>
      </c>
      <c r="H89" s="60">
        <v>34.659999999999997</v>
      </c>
      <c r="I89" s="210" t="s">
        <v>36</v>
      </c>
      <c r="J89" s="60">
        <v>0.05</v>
      </c>
      <c r="K89" s="60">
        <v>214.05</v>
      </c>
      <c r="L89" s="60">
        <v>23.95</v>
      </c>
      <c r="M89" s="60">
        <v>39.520000000000003</v>
      </c>
      <c r="N89" s="60">
        <v>4.3</v>
      </c>
      <c r="O89" s="60">
        <v>0</v>
      </c>
      <c r="P89" s="60">
        <v>1.53</v>
      </c>
      <c r="Q89" s="60">
        <v>31.43</v>
      </c>
      <c r="R89" s="198"/>
      <c r="S89" s="198"/>
      <c r="T89" s="198"/>
      <c r="U89" s="198"/>
    </row>
    <row r="90" spans="1:26" s="12" customFormat="1" x14ac:dyDescent="0.25">
      <c r="A90" s="201" t="s">
        <v>902</v>
      </c>
      <c r="B90" s="60">
        <v>33.42</v>
      </c>
      <c r="C90" s="60">
        <v>87.72</v>
      </c>
      <c r="D90" s="60">
        <v>74.03</v>
      </c>
      <c r="E90" s="60">
        <v>7.95</v>
      </c>
      <c r="F90" s="60">
        <v>3.83</v>
      </c>
      <c r="G90" s="60">
        <v>35.29</v>
      </c>
      <c r="H90" s="60">
        <v>37.97</v>
      </c>
      <c r="I90" s="210" t="s">
        <v>36</v>
      </c>
      <c r="J90" s="60">
        <v>7.0000000000000007E-2</v>
      </c>
      <c r="K90" s="60">
        <v>320.58999999999997</v>
      </c>
      <c r="L90" s="60">
        <v>23.45</v>
      </c>
      <c r="M90" s="60">
        <v>42.09</v>
      </c>
      <c r="N90" s="60">
        <v>4.4000000000000004</v>
      </c>
      <c r="O90" s="60">
        <v>0</v>
      </c>
      <c r="P90" s="60">
        <v>1.63</v>
      </c>
      <c r="Q90" s="60">
        <v>31.06</v>
      </c>
      <c r="R90" s="198"/>
      <c r="S90" s="198"/>
      <c r="T90" s="198"/>
      <c r="U90" s="198"/>
    </row>
    <row r="91" spans="1:26" s="12" customFormat="1" x14ac:dyDescent="0.25">
      <c r="A91" s="201" t="s">
        <v>903</v>
      </c>
      <c r="B91" s="60">
        <v>32.299999999999997</v>
      </c>
      <c r="C91" s="60">
        <v>87.85</v>
      </c>
      <c r="D91" s="60">
        <v>73.2</v>
      </c>
      <c r="E91" s="60">
        <v>6.97</v>
      </c>
      <c r="F91" s="60">
        <v>3.78</v>
      </c>
      <c r="G91" s="215" t="s">
        <v>42</v>
      </c>
      <c r="H91" s="60">
        <v>40.61</v>
      </c>
      <c r="I91" s="210" t="s">
        <v>36</v>
      </c>
      <c r="J91" s="60">
        <v>0.02</v>
      </c>
      <c r="K91" s="60">
        <v>76.510000000000005</v>
      </c>
      <c r="L91" s="60">
        <v>23.01</v>
      </c>
      <c r="M91" s="60">
        <v>44.26</v>
      </c>
      <c r="N91" s="60">
        <v>4.4000000000000004</v>
      </c>
      <c r="O91" s="60">
        <v>0</v>
      </c>
      <c r="P91" s="60">
        <v>1.6</v>
      </c>
      <c r="Q91" s="60">
        <v>31.59</v>
      </c>
      <c r="R91" s="198"/>
      <c r="S91" s="198"/>
      <c r="T91" s="198"/>
      <c r="U91" s="198"/>
    </row>
    <row r="92" spans="1:26" s="12" customFormat="1" x14ac:dyDescent="0.25">
      <c r="A92" s="201" t="s">
        <v>904</v>
      </c>
      <c r="B92" s="60">
        <v>45.6</v>
      </c>
      <c r="C92" s="60">
        <v>86.03</v>
      </c>
      <c r="D92" s="60">
        <v>82.86</v>
      </c>
      <c r="E92" s="60">
        <v>7.11</v>
      </c>
      <c r="F92" s="60">
        <v>3.55</v>
      </c>
      <c r="G92" s="215" t="s">
        <v>42</v>
      </c>
      <c r="H92" s="60">
        <v>40.61</v>
      </c>
      <c r="I92" s="210" t="s">
        <v>36</v>
      </c>
      <c r="J92" s="60">
        <v>0.13</v>
      </c>
      <c r="K92" s="60">
        <v>107.91</v>
      </c>
      <c r="L92" s="60">
        <v>22.71</v>
      </c>
      <c r="M92" s="60">
        <v>46.24</v>
      </c>
      <c r="N92" s="60">
        <v>4.4000000000000004</v>
      </c>
      <c r="O92" s="60">
        <v>0</v>
      </c>
      <c r="P92" s="60">
        <v>1.83</v>
      </c>
      <c r="Q92" s="60">
        <v>31.71</v>
      </c>
      <c r="R92" s="198"/>
      <c r="S92" s="198"/>
      <c r="T92" s="198"/>
      <c r="U92" s="198"/>
    </row>
    <row r="93" spans="1:26" s="12" customFormat="1" x14ac:dyDescent="0.25">
      <c r="A93" s="201" t="s">
        <v>905</v>
      </c>
      <c r="B93" s="60">
        <v>43.17</v>
      </c>
      <c r="C93" s="60">
        <v>86.3</v>
      </c>
      <c r="D93" s="60">
        <v>81.06</v>
      </c>
      <c r="E93" s="60">
        <v>6.31</v>
      </c>
      <c r="F93" s="60">
        <v>3.53</v>
      </c>
      <c r="G93" s="215" t="s">
        <v>42</v>
      </c>
      <c r="H93" s="60">
        <v>40.61</v>
      </c>
      <c r="I93" s="210" t="s">
        <v>36</v>
      </c>
      <c r="J93" s="60">
        <v>0.05</v>
      </c>
      <c r="K93" s="60">
        <v>37.96</v>
      </c>
      <c r="L93" s="60">
        <v>22.51</v>
      </c>
      <c r="M93" s="60">
        <v>47.95</v>
      </c>
      <c r="N93" s="60">
        <v>4.2</v>
      </c>
      <c r="O93" s="60">
        <v>0</v>
      </c>
      <c r="P93" s="60">
        <v>1.71</v>
      </c>
      <c r="Q93" s="60">
        <v>32.93</v>
      </c>
      <c r="R93" s="198"/>
      <c r="S93" s="198"/>
      <c r="T93" s="198"/>
      <c r="U93" s="198"/>
    </row>
    <row r="94" spans="1:26" s="12" customFormat="1" x14ac:dyDescent="0.25">
      <c r="A94" s="201" t="s">
        <v>906</v>
      </c>
      <c r="B94" s="60">
        <v>50.84</v>
      </c>
      <c r="C94" s="60">
        <v>84.52</v>
      </c>
      <c r="D94" s="60">
        <v>86.23</v>
      </c>
      <c r="E94" s="60">
        <v>6.68</v>
      </c>
      <c r="F94" s="60">
        <v>3.57</v>
      </c>
      <c r="G94" s="215" t="s">
        <v>42</v>
      </c>
      <c r="H94" s="60">
        <v>41.99</v>
      </c>
      <c r="I94" s="210" t="s">
        <v>36</v>
      </c>
      <c r="J94" s="60">
        <v>0.15</v>
      </c>
      <c r="K94" s="60">
        <v>12.11</v>
      </c>
      <c r="L94" s="60">
        <v>22.05</v>
      </c>
      <c r="M94" s="60">
        <v>53.85</v>
      </c>
      <c r="N94" s="60">
        <v>4.4000000000000004</v>
      </c>
      <c r="O94" s="60">
        <v>0</v>
      </c>
      <c r="P94" s="60">
        <v>1.97</v>
      </c>
      <c r="Q94" s="60">
        <v>33.82</v>
      </c>
      <c r="R94" s="198"/>
      <c r="S94" s="198"/>
      <c r="T94" s="198"/>
      <c r="U94" s="198"/>
    </row>
    <row r="95" spans="1:26" s="12" customFormat="1" x14ac:dyDescent="0.25">
      <c r="A95" s="201" t="s">
        <v>907</v>
      </c>
      <c r="B95" s="60">
        <v>44.33</v>
      </c>
      <c r="C95" s="60">
        <v>83.03</v>
      </c>
      <c r="D95" s="60">
        <v>80.19</v>
      </c>
      <c r="E95" s="60">
        <v>5.94</v>
      </c>
      <c r="F95" s="60">
        <v>3.36</v>
      </c>
      <c r="G95" s="60">
        <v>251.97</v>
      </c>
      <c r="H95" s="60">
        <v>43.1</v>
      </c>
      <c r="I95" s="210" t="s">
        <v>36</v>
      </c>
      <c r="J95" s="60">
        <v>0.02</v>
      </c>
      <c r="K95" s="60">
        <v>333.33</v>
      </c>
      <c r="L95" s="60">
        <v>22.12</v>
      </c>
      <c r="M95" s="60">
        <v>51.81</v>
      </c>
      <c r="N95" s="60">
        <v>4.0999999999999996</v>
      </c>
      <c r="O95" s="60">
        <v>0</v>
      </c>
      <c r="P95" s="60">
        <v>1.8</v>
      </c>
      <c r="Q95" s="60">
        <v>35.86</v>
      </c>
      <c r="R95" s="198"/>
      <c r="S95" s="198"/>
      <c r="T95" s="198"/>
      <c r="U95" s="198"/>
    </row>
    <row r="96" spans="1:26" s="12" customFormat="1" x14ac:dyDescent="0.25">
      <c r="A96" s="201" t="s">
        <v>908</v>
      </c>
      <c r="B96" s="60">
        <v>45.62</v>
      </c>
      <c r="C96" s="60">
        <v>83.17</v>
      </c>
      <c r="D96" s="60">
        <v>81.3</v>
      </c>
      <c r="E96" s="60">
        <v>6.12</v>
      </c>
      <c r="F96" s="60">
        <v>3.47</v>
      </c>
      <c r="G96" s="60">
        <v>251.97</v>
      </c>
      <c r="H96" s="60">
        <v>43.1</v>
      </c>
      <c r="I96" s="210" t="s">
        <v>36</v>
      </c>
      <c r="J96" s="60">
        <v>0.04</v>
      </c>
      <c r="K96" s="60">
        <v>71.05</v>
      </c>
      <c r="L96" s="60">
        <v>21.85</v>
      </c>
      <c r="M96" s="60">
        <v>50.67</v>
      </c>
      <c r="N96" s="60">
        <v>4.2</v>
      </c>
      <c r="O96" s="60">
        <v>0</v>
      </c>
      <c r="P96" s="60">
        <v>1.91</v>
      </c>
      <c r="Q96" s="60">
        <v>37.67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909</v>
      </c>
      <c r="B97" s="60">
        <v>48.35</v>
      </c>
      <c r="C97" s="60">
        <v>83.96</v>
      </c>
      <c r="D97" s="60">
        <v>83.92</v>
      </c>
      <c r="E97" s="60">
        <v>6.01</v>
      </c>
      <c r="F97" s="60">
        <v>3.55</v>
      </c>
      <c r="G97" s="60">
        <v>251.97</v>
      </c>
      <c r="H97" s="60">
        <v>43.1</v>
      </c>
      <c r="I97" s="210" t="s">
        <v>36</v>
      </c>
      <c r="J97" s="60">
        <v>0.05</v>
      </c>
      <c r="K97" s="60">
        <v>116.07</v>
      </c>
      <c r="L97" s="60">
        <v>21.76</v>
      </c>
      <c r="M97" s="60">
        <v>51.45</v>
      </c>
      <c r="N97" s="60">
        <v>4.3</v>
      </c>
      <c r="O97" s="60">
        <v>0</v>
      </c>
      <c r="P97" s="60">
        <v>1.98</v>
      </c>
      <c r="Q97" s="60">
        <v>37.979999999999997</v>
      </c>
      <c r="R97" s="198"/>
      <c r="S97" s="198"/>
      <c r="T97" s="198"/>
      <c r="U97" s="198"/>
    </row>
    <row r="98" spans="1:33" s="12" customFormat="1" x14ac:dyDescent="0.25">
      <c r="A98" s="201" t="s">
        <v>910</v>
      </c>
      <c r="B98" s="60">
        <v>55.5</v>
      </c>
      <c r="C98" s="60">
        <v>85.01</v>
      </c>
      <c r="D98" s="60">
        <v>90.23</v>
      </c>
      <c r="E98" s="60">
        <v>6.02</v>
      </c>
      <c r="F98" s="60">
        <v>3.5</v>
      </c>
      <c r="G98" s="60">
        <v>129.1</v>
      </c>
      <c r="H98" s="60">
        <v>43.77</v>
      </c>
      <c r="I98" s="210" t="s">
        <v>36</v>
      </c>
      <c r="J98" s="60">
        <v>0.08</v>
      </c>
      <c r="K98" s="60">
        <v>40.380000000000003</v>
      </c>
      <c r="L98" s="60">
        <v>21.39</v>
      </c>
      <c r="M98" s="60">
        <v>52.83</v>
      </c>
      <c r="N98" s="60">
        <v>4.4000000000000004</v>
      </c>
      <c r="O98" s="60">
        <v>0</v>
      </c>
      <c r="P98" s="60">
        <v>2.0299999999999998</v>
      </c>
      <c r="Q98" s="60">
        <v>38.159999999999997</v>
      </c>
      <c r="R98" s="198"/>
      <c r="S98" s="198"/>
      <c r="T98" s="198"/>
      <c r="U98" s="198"/>
    </row>
    <row r="99" spans="1:33" s="12" customFormat="1" x14ac:dyDescent="0.25">
      <c r="A99" s="201" t="s">
        <v>911</v>
      </c>
      <c r="B99" s="60">
        <v>62.89</v>
      </c>
      <c r="C99" s="60">
        <v>85.71</v>
      </c>
      <c r="D99" s="60">
        <v>96.55</v>
      </c>
      <c r="E99" s="60">
        <v>5.77</v>
      </c>
      <c r="F99" s="60">
        <v>3.35</v>
      </c>
      <c r="G99" s="60">
        <v>129.1</v>
      </c>
      <c r="H99" s="60">
        <v>44.31</v>
      </c>
      <c r="I99" s="210" t="s">
        <v>36</v>
      </c>
      <c r="J99" s="60">
        <v>0.08</v>
      </c>
      <c r="K99" s="60">
        <v>327.93</v>
      </c>
      <c r="L99" s="60">
        <v>21.12</v>
      </c>
      <c r="M99" s="60">
        <v>55.96</v>
      </c>
      <c r="N99" s="60">
        <v>4.3</v>
      </c>
      <c r="O99" s="60">
        <v>0</v>
      </c>
      <c r="P99" s="60">
        <v>2.12</v>
      </c>
      <c r="Q99" s="60">
        <v>38.659999999999997</v>
      </c>
      <c r="R99" s="198"/>
      <c r="S99" s="198"/>
      <c r="T99" s="198"/>
      <c r="U99" s="198"/>
    </row>
    <row r="100" spans="1:33" s="12" customFormat="1" x14ac:dyDescent="0.25">
      <c r="A100" s="201" t="s">
        <v>912</v>
      </c>
      <c r="B100" s="60">
        <v>70.319999999999993</v>
      </c>
      <c r="C100" s="60">
        <v>86.46</v>
      </c>
      <c r="D100" s="60">
        <v>102.92</v>
      </c>
      <c r="E100" s="60">
        <v>5.62</v>
      </c>
      <c r="F100" s="60">
        <v>3.3</v>
      </c>
      <c r="G100" s="60">
        <v>129.1</v>
      </c>
      <c r="H100" s="60">
        <v>44.31</v>
      </c>
      <c r="I100" s="210" t="s">
        <v>36</v>
      </c>
      <c r="J100" s="60">
        <v>0.06</v>
      </c>
      <c r="K100" s="60">
        <v>315.3</v>
      </c>
      <c r="L100" s="60">
        <v>20.78</v>
      </c>
      <c r="M100" s="60">
        <v>54.25</v>
      </c>
      <c r="N100" s="60">
        <v>4.4000000000000004</v>
      </c>
      <c r="O100" s="60">
        <v>0</v>
      </c>
      <c r="P100" s="60">
        <v>2.2000000000000002</v>
      </c>
      <c r="Q100" s="60">
        <v>39.07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913</v>
      </c>
      <c r="B101" s="60">
        <v>73.83</v>
      </c>
      <c r="C101" s="60">
        <v>87.26</v>
      </c>
      <c r="D101" s="60">
        <v>106.17</v>
      </c>
      <c r="E101" s="60">
        <v>5.9</v>
      </c>
      <c r="F101" s="60">
        <v>3.29</v>
      </c>
      <c r="G101" s="60">
        <v>129.1</v>
      </c>
      <c r="H101" s="60">
        <v>44.31</v>
      </c>
      <c r="I101" s="210" t="s">
        <v>36</v>
      </c>
      <c r="J101" s="60">
        <v>0.04</v>
      </c>
      <c r="K101" s="60">
        <v>255.43</v>
      </c>
      <c r="L101" s="60">
        <v>20.85</v>
      </c>
      <c r="M101" s="60">
        <v>51.48</v>
      </c>
      <c r="N101" s="60">
        <v>4.3</v>
      </c>
      <c r="O101" s="60">
        <v>0</v>
      </c>
      <c r="P101" s="60">
        <v>2.21</v>
      </c>
      <c r="Q101" s="60">
        <v>39.31</v>
      </c>
      <c r="R101" s="198"/>
      <c r="S101" s="198"/>
      <c r="T101" s="198"/>
      <c r="U101" s="198"/>
    </row>
    <row r="102" spans="1:33" s="12" customFormat="1" x14ac:dyDescent="0.25">
      <c r="A102" s="201" t="s">
        <v>914</v>
      </c>
      <c r="B102" s="60">
        <v>71.86</v>
      </c>
      <c r="C102" s="60">
        <v>86.23</v>
      </c>
      <c r="D102" s="60">
        <v>104.03</v>
      </c>
      <c r="E102" s="60">
        <v>6.27</v>
      </c>
      <c r="F102" s="60">
        <v>3.47</v>
      </c>
      <c r="G102" s="60">
        <v>141.37</v>
      </c>
      <c r="H102" s="60">
        <v>46.26</v>
      </c>
      <c r="I102" s="210" t="s">
        <v>36</v>
      </c>
      <c r="J102" s="60">
        <v>0.09</v>
      </c>
      <c r="K102" s="60">
        <v>349.6</v>
      </c>
      <c r="L102" s="60">
        <v>20.7</v>
      </c>
      <c r="M102" s="60">
        <v>52.79</v>
      </c>
      <c r="N102" s="60">
        <v>4.5999999999999996</v>
      </c>
      <c r="O102" s="60">
        <v>0</v>
      </c>
      <c r="P102" s="60">
        <v>2.2000000000000002</v>
      </c>
      <c r="Q102" s="60">
        <v>38.4</v>
      </c>
      <c r="R102" s="198"/>
      <c r="S102" s="198"/>
      <c r="T102" s="198"/>
      <c r="U102" s="198"/>
    </row>
    <row r="103" spans="1:33" s="12" customFormat="1" x14ac:dyDescent="0.25">
      <c r="A103" s="201" t="s">
        <v>915</v>
      </c>
      <c r="B103" s="60">
        <v>71.39</v>
      </c>
      <c r="C103" s="60">
        <v>86.46</v>
      </c>
      <c r="D103" s="60">
        <v>103.77</v>
      </c>
      <c r="E103" s="60">
        <v>6.16</v>
      </c>
      <c r="F103" s="60">
        <v>3.54</v>
      </c>
      <c r="G103" s="60">
        <v>150.76</v>
      </c>
      <c r="H103" s="60">
        <v>47.74</v>
      </c>
      <c r="I103" s="210" t="s">
        <v>36</v>
      </c>
      <c r="J103" s="60">
        <v>0.05</v>
      </c>
      <c r="K103" s="60">
        <v>168.03</v>
      </c>
      <c r="L103" s="60">
        <v>20.3</v>
      </c>
      <c r="M103" s="60">
        <v>55.15</v>
      </c>
      <c r="N103" s="60">
        <v>4.5</v>
      </c>
      <c r="O103" s="60">
        <v>0</v>
      </c>
      <c r="P103" s="60">
        <v>2.21</v>
      </c>
      <c r="Q103" s="60">
        <v>37.65</v>
      </c>
      <c r="R103" s="198"/>
      <c r="S103" s="198"/>
      <c r="T103" s="198"/>
      <c r="U103" s="198"/>
    </row>
    <row r="104" spans="1:33" s="12" customFormat="1" x14ac:dyDescent="0.25">
      <c r="A104" s="201" t="s">
        <v>916</v>
      </c>
      <c r="B104" s="60">
        <v>69.900000000000006</v>
      </c>
      <c r="C104" s="60">
        <v>85.68</v>
      </c>
      <c r="D104" s="60">
        <v>102.15</v>
      </c>
      <c r="E104" s="60">
        <v>3.97</v>
      </c>
      <c r="F104" s="60">
        <v>3.44</v>
      </c>
      <c r="G104" s="60">
        <v>150.76</v>
      </c>
      <c r="H104" s="60">
        <v>47.74</v>
      </c>
      <c r="I104" s="210" t="s">
        <v>36</v>
      </c>
      <c r="J104" s="60">
        <v>0.01</v>
      </c>
      <c r="K104" s="60">
        <v>276.33999999999997</v>
      </c>
      <c r="L104" s="60">
        <v>19.88</v>
      </c>
      <c r="M104" s="60">
        <v>57.59</v>
      </c>
      <c r="N104" s="60">
        <v>4.5</v>
      </c>
      <c r="O104" s="60">
        <v>0</v>
      </c>
      <c r="P104" s="60">
        <v>2.19</v>
      </c>
      <c r="Q104" s="60">
        <v>37.51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3.12</v>
      </c>
      <c r="C106" s="67">
        <f>MIN(C9:C104)</f>
        <v>58.06</v>
      </c>
      <c r="D106" s="67">
        <f t="shared" ref="D106:Q106" si="0">MIN(D9:D104)</f>
        <v>33.369999999999997</v>
      </c>
      <c r="E106" s="67">
        <f t="shared" si="0"/>
        <v>3.93</v>
      </c>
      <c r="F106" s="67">
        <f t="shared" si="0"/>
        <v>3.28</v>
      </c>
      <c r="G106" s="67">
        <f t="shared" si="0"/>
        <v>19.399999999999999</v>
      </c>
      <c r="H106" s="67">
        <f t="shared" si="0"/>
        <v>26.28</v>
      </c>
      <c r="I106" s="67">
        <f t="shared" si="0"/>
        <v>0.15</v>
      </c>
      <c r="J106" s="67">
        <f t="shared" si="0"/>
        <v>0.01</v>
      </c>
      <c r="K106" s="67">
        <f t="shared" si="0"/>
        <v>0.15</v>
      </c>
      <c r="L106" s="67">
        <f t="shared" si="0"/>
        <v>15.22</v>
      </c>
      <c r="M106" s="67">
        <f t="shared" si="0"/>
        <v>16.11</v>
      </c>
      <c r="N106" s="67">
        <f t="shared" si="0"/>
        <v>3.6</v>
      </c>
      <c r="O106" s="67">
        <f t="shared" si="0"/>
        <v>0</v>
      </c>
      <c r="P106" s="67">
        <f t="shared" si="0"/>
        <v>0.78</v>
      </c>
      <c r="Q106" s="67">
        <f t="shared" si="0"/>
        <v>25.36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208.83</v>
      </c>
      <c r="C107" s="66">
        <f t="shared" ref="C107:Q107" si="1">MAX(C9:C104)</f>
        <v>89.83</v>
      </c>
      <c r="D107" s="66">
        <f t="shared" si="1"/>
        <v>212.43</v>
      </c>
      <c r="E107" s="66">
        <f t="shared" si="1"/>
        <v>9.57</v>
      </c>
      <c r="F107" s="66">
        <f t="shared" si="1"/>
        <v>21.24</v>
      </c>
      <c r="G107" s="66">
        <f t="shared" si="1"/>
        <v>251.97</v>
      </c>
      <c r="H107" s="66">
        <f t="shared" si="1"/>
        <v>80.09</v>
      </c>
      <c r="I107" s="66">
        <f t="shared" si="1"/>
        <v>0.79</v>
      </c>
      <c r="J107" s="66">
        <f t="shared" si="1"/>
        <v>0.7</v>
      </c>
      <c r="K107" s="66">
        <f t="shared" si="1"/>
        <v>359.08</v>
      </c>
      <c r="L107" s="66">
        <f t="shared" si="1"/>
        <v>34.94</v>
      </c>
      <c r="M107" s="66">
        <f t="shared" si="1"/>
        <v>74</v>
      </c>
      <c r="N107" s="66">
        <f t="shared" si="1"/>
        <v>579.20000000000005</v>
      </c>
      <c r="O107" s="66">
        <f t="shared" si="1"/>
        <v>0</v>
      </c>
      <c r="P107" s="66">
        <f t="shared" si="1"/>
        <v>3.11</v>
      </c>
      <c r="Q107" s="66">
        <f t="shared" si="1"/>
        <v>49.17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49.773645833333326</v>
      </c>
      <c r="C108" s="67">
        <f t="shared" ref="C108:Q108" si="2">AVERAGE(C9:C104)</f>
        <v>75.855520833333358</v>
      </c>
      <c r="D108" s="67">
        <f t="shared" si="2"/>
        <v>80.588854166666621</v>
      </c>
      <c r="E108" s="67">
        <f t="shared" si="2"/>
        <v>6.2870833333333316</v>
      </c>
      <c r="F108" s="67">
        <f t="shared" si="2"/>
        <v>5.1331250000000015</v>
      </c>
      <c r="G108" s="67">
        <f t="shared" si="2"/>
        <v>90.799021739130453</v>
      </c>
      <c r="H108" s="67">
        <f t="shared" si="2"/>
        <v>42.619166666666658</v>
      </c>
      <c r="I108" s="67">
        <f t="shared" si="2"/>
        <v>0.65</v>
      </c>
      <c r="J108" s="67">
        <f t="shared" si="2"/>
        <v>0.1889583333333332</v>
      </c>
      <c r="K108" s="67">
        <f t="shared" si="2"/>
        <v>211.51145833333337</v>
      </c>
      <c r="L108" s="67">
        <f t="shared" si="2"/>
        <v>24.211666666666673</v>
      </c>
      <c r="M108" s="67">
        <f t="shared" si="2"/>
        <v>42.952916666666674</v>
      </c>
      <c r="N108" s="67">
        <f t="shared" si="2"/>
        <v>148.6854166666667</v>
      </c>
      <c r="O108" s="67">
        <f t="shared" si="2"/>
        <v>0</v>
      </c>
      <c r="P108" s="67">
        <f t="shared" si="2"/>
        <v>1.5166666666666668</v>
      </c>
      <c r="Q108" s="67">
        <f t="shared" si="2"/>
        <v>33.501041666666673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46.138855417094625</v>
      </c>
      <c r="C109" s="67">
        <f t="shared" ref="C109:Q109" si="3">STDEV(C9:C104)</f>
        <v>7.9799931235680468</v>
      </c>
      <c r="D109" s="67">
        <f t="shared" si="3"/>
        <v>37.971312713673335</v>
      </c>
      <c r="E109" s="67">
        <f t="shared" si="3"/>
        <v>0.98523084836064323</v>
      </c>
      <c r="F109" s="67">
        <f t="shared" si="3"/>
        <v>3.0728698441273665</v>
      </c>
      <c r="G109" s="67">
        <f t="shared" si="3"/>
        <v>47.482235893080208</v>
      </c>
      <c r="H109" s="67">
        <f t="shared" si="3"/>
        <v>12.060513357902295</v>
      </c>
      <c r="I109" s="67">
        <f t="shared" si="3"/>
        <v>0.14071247279470284</v>
      </c>
      <c r="J109" s="67">
        <f t="shared" si="3"/>
        <v>0.17357831035172988</v>
      </c>
      <c r="K109" s="67">
        <f t="shared" si="3"/>
        <v>127.07019959541759</v>
      </c>
      <c r="L109" s="67">
        <f t="shared" si="3"/>
        <v>6.4958436373886848</v>
      </c>
      <c r="M109" s="67">
        <f t="shared" si="3"/>
        <v>18.688358713474738</v>
      </c>
      <c r="N109" s="67">
        <f t="shared" si="3"/>
        <v>207.3713648095669</v>
      </c>
      <c r="O109" s="67">
        <f t="shared" si="3"/>
        <v>0</v>
      </c>
      <c r="P109" s="67">
        <f t="shared" si="3"/>
        <v>0.54122602860088742</v>
      </c>
      <c r="Q109" s="67">
        <f t="shared" si="3"/>
        <v>5.0034159866123193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>COUNT(F9:F104)</f>
        <v>96</v>
      </c>
      <c r="G110" s="66">
        <f>COUNT(G9:G104)+4</f>
        <v>96</v>
      </c>
      <c r="H110" s="66">
        <f>COUNT(H9:H104)</f>
        <v>96</v>
      </c>
      <c r="I110" s="66">
        <f>COUNT(I9:I104)+78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215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D9" sqref="D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08-02-2023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340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917</v>
      </c>
      <c r="B9" s="60">
        <v>69.95</v>
      </c>
      <c r="C9" s="60">
        <v>84.4</v>
      </c>
      <c r="D9" s="60">
        <v>101.49</v>
      </c>
      <c r="E9" s="60">
        <v>5.4</v>
      </c>
      <c r="F9" s="60">
        <v>3.31</v>
      </c>
      <c r="G9" s="60">
        <v>150.76</v>
      </c>
      <c r="H9" s="60">
        <v>47.74</v>
      </c>
      <c r="I9" s="210" t="s">
        <v>36</v>
      </c>
      <c r="J9" s="60">
        <v>0.03</v>
      </c>
      <c r="K9" s="60">
        <v>77.73</v>
      </c>
      <c r="L9" s="60">
        <v>19.71</v>
      </c>
      <c r="M9" s="60">
        <v>57.97</v>
      </c>
      <c r="N9" s="60">
        <v>4.4000000000000004</v>
      </c>
      <c r="O9" s="60">
        <v>0</v>
      </c>
      <c r="P9" s="60">
        <v>2.1800000000000002</v>
      </c>
      <c r="Q9" s="60">
        <v>37.520000000000003</v>
      </c>
      <c r="R9" s="198"/>
      <c r="S9" s="198"/>
      <c r="T9" s="198"/>
      <c r="U9" s="198"/>
    </row>
    <row r="10" spans="1:21" s="12" customFormat="1" x14ac:dyDescent="0.25">
      <c r="A10" s="201" t="s">
        <v>918</v>
      </c>
      <c r="B10" s="60">
        <v>69.58</v>
      </c>
      <c r="C10" s="60">
        <v>83.3</v>
      </c>
      <c r="D10" s="60">
        <v>100.58</v>
      </c>
      <c r="E10" s="60">
        <v>5.73</v>
      </c>
      <c r="F10" s="60">
        <v>3.4</v>
      </c>
      <c r="G10" s="60">
        <v>130.03</v>
      </c>
      <c r="H10" s="60">
        <v>46.65</v>
      </c>
      <c r="I10" s="210" t="s">
        <v>36</v>
      </c>
      <c r="J10" s="60">
        <v>0.53</v>
      </c>
      <c r="K10" s="60">
        <v>358.57</v>
      </c>
      <c r="L10" s="60">
        <v>19.559999999999999</v>
      </c>
      <c r="M10" s="60">
        <v>60.47</v>
      </c>
      <c r="N10" s="60">
        <v>3</v>
      </c>
      <c r="O10" s="60">
        <v>0</v>
      </c>
      <c r="P10" s="60">
        <v>2.17</v>
      </c>
      <c r="Q10" s="60">
        <v>37.479999999999997</v>
      </c>
      <c r="R10" s="198"/>
      <c r="S10" s="198"/>
      <c r="T10" s="198"/>
      <c r="U10" s="198"/>
    </row>
    <row r="11" spans="1:21" s="12" customFormat="1" x14ac:dyDescent="0.25">
      <c r="A11" s="201" t="s">
        <v>919</v>
      </c>
      <c r="B11" s="60">
        <v>67.36</v>
      </c>
      <c r="C11" s="60">
        <v>80.290000000000006</v>
      </c>
      <c r="D11" s="60">
        <v>97.13</v>
      </c>
      <c r="E11" s="60">
        <v>5.77</v>
      </c>
      <c r="F11" s="60">
        <v>3.64</v>
      </c>
      <c r="G11" s="60">
        <v>114.19</v>
      </c>
      <c r="H11" s="60">
        <v>45.82</v>
      </c>
      <c r="I11" s="210" t="s">
        <v>36</v>
      </c>
      <c r="J11" s="60">
        <v>0.79</v>
      </c>
      <c r="K11" s="60">
        <v>357.22</v>
      </c>
      <c r="L11" s="60">
        <v>20.399999999999999</v>
      </c>
      <c r="M11" s="60">
        <v>53.08</v>
      </c>
      <c r="N11" s="60">
        <v>2.5</v>
      </c>
      <c r="O11" s="60">
        <v>0</v>
      </c>
      <c r="P11" s="60">
        <v>2.13</v>
      </c>
      <c r="Q11" s="60">
        <v>37.44</v>
      </c>
      <c r="R11" s="198"/>
      <c r="S11" s="198"/>
      <c r="T11" s="198"/>
      <c r="U11" s="198"/>
    </row>
    <row r="12" spans="1:21" s="12" customFormat="1" x14ac:dyDescent="0.25">
      <c r="A12" s="201" t="s">
        <v>920</v>
      </c>
      <c r="B12" s="60">
        <v>60.38</v>
      </c>
      <c r="C12" s="60">
        <v>81.2</v>
      </c>
      <c r="D12" s="60">
        <v>92.04</v>
      </c>
      <c r="E12" s="60">
        <v>6.57</v>
      </c>
      <c r="F12" s="60">
        <v>4.09</v>
      </c>
      <c r="G12" s="60">
        <v>114.19</v>
      </c>
      <c r="H12" s="60">
        <v>45.82</v>
      </c>
      <c r="I12" s="210" t="s">
        <v>36</v>
      </c>
      <c r="J12" s="60">
        <v>0.6</v>
      </c>
      <c r="K12" s="60">
        <v>6.3</v>
      </c>
      <c r="L12" s="60">
        <v>20.440000000000001</v>
      </c>
      <c r="M12" s="60">
        <v>51.55</v>
      </c>
      <c r="N12" s="60">
        <v>3.9</v>
      </c>
      <c r="O12" s="60">
        <v>0</v>
      </c>
      <c r="P12" s="60">
        <v>2.08</v>
      </c>
      <c r="Q12" s="60">
        <v>37.11</v>
      </c>
      <c r="R12" s="198"/>
      <c r="S12" s="198"/>
      <c r="T12" s="198"/>
      <c r="U12" s="198"/>
    </row>
    <row r="13" spans="1:21" s="12" customFormat="1" x14ac:dyDescent="0.25">
      <c r="A13" s="201" t="s">
        <v>921</v>
      </c>
      <c r="B13" s="60">
        <v>58.91</v>
      </c>
      <c r="C13" s="60">
        <v>79.64</v>
      </c>
      <c r="D13" s="60">
        <v>90.01</v>
      </c>
      <c r="E13" s="60">
        <v>6.8</v>
      </c>
      <c r="F13" s="60">
        <v>4.1399999999999997</v>
      </c>
      <c r="G13" s="60">
        <v>114.19</v>
      </c>
      <c r="H13" s="60">
        <v>45.82</v>
      </c>
      <c r="I13" s="210" t="s">
        <v>36</v>
      </c>
      <c r="J13" s="60">
        <v>0.04</v>
      </c>
      <c r="K13" s="60">
        <v>28.96</v>
      </c>
      <c r="L13" s="60">
        <v>20.22</v>
      </c>
      <c r="M13" s="60">
        <v>51.26</v>
      </c>
      <c r="N13" s="60">
        <v>4.9000000000000004</v>
      </c>
      <c r="O13" s="60">
        <v>0</v>
      </c>
      <c r="P13" s="60">
        <v>1.98</v>
      </c>
      <c r="Q13" s="60">
        <v>37.22</v>
      </c>
      <c r="R13" s="198"/>
      <c r="S13" s="198"/>
      <c r="T13" s="198"/>
      <c r="U13" s="198"/>
    </row>
    <row r="14" spans="1:21" s="12" customFormat="1" x14ac:dyDescent="0.25">
      <c r="A14" s="201" t="s">
        <v>922</v>
      </c>
      <c r="B14" s="60">
        <v>55.73</v>
      </c>
      <c r="C14" s="60">
        <v>79.94</v>
      </c>
      <c r="D14" s="60">
        <v>87.62</v>
      </c>
      <c r="E14" s="60">
        <v>6.22</v>
      </c>
      <c r="F14" s="60">
        <v>3.66</v>
      </c>
      <c r="G14" s="60">
        <v>92.78</v>
      </c>
      <c r="H14" s="60">
        <v>44.48</v>
      </c>
      <c r="I14" s="210" t="s">
        <v>36</v>
      </c>
      <c r="J14" s="60">
        <v>0.13</v>
      </c>
      <c r="K14" s="60">
        <v>240.95</v>
      </c>
      <c r="L14" s="60">
        <v>20.2</v>
      </c>
      <c r="M14" s="60">
        <v>51.1</v>
      </c>
      <c r="N14" s="60">
        <v>4.5</v>
      </c>
      <c r="O14" s="60">
        <v>0</v>
      </c>
      <c r="P14" s="60">
        <v>1.97</v>
      </c>
      <c r="Q14" s="60">
        <v>38.049999999999997</v>
      </c>
      <c r="R14" s="198"/>
      <c r="S14" s="198"/>
      <c r="T14" s="198"/>
      <c r="U14" s="198"/>
    </row>
    <row r="15" spans="1:21" s="12" customFormat="1" x14ac:dyDescent="0.25">
      <c r="A15" s="201" t="s">
        <v>923</v>
      </c>
      <c r="B15" s="60">
        <v>50.67</v>
      </c>
      <c r="C15" s="60">
        <v>79.39</v>
      </c>
      <c r="D15" s="60">
        <v>83.26</v>
      </c>
      <c r="E15" s="60">
        <v>5.67</v>
      </c>
      <c r="F15" s="60">
        <v>3.54</v>
      </c>
      <c r="G15" s="60">
        <v>75.650000000000006</v>
      </c>
      <c r="H15" s="60">
        <v>43.41</v>
      </c>
      <c r="I15" s="210" t="s">
        <v>36</v>
      </c>
      <c r="J15" s="60">
        <v>0.05</v>
      </c>
      <c r="K15" s="60">
        <v>122.81</v>
      </c>
      <c r="L15" s="60">
        <v>20.28</v>
      </c>
      <c r="M15" s="60">
        <v>50.63</v>
      </c>
      <c r="N15" s="60">
        <v>4.4000000000000004</v>
      </c>
      <c r="O15" s="60">
        <v>0</v>
      </c>
      <c r="P15" s="60">
        <v>1.89</v>
      </c>
      <c r="Q15" s="60">
        <v>37.82</v>
      </c>
      <c r="R15" s="198"/>
      <c r="S15" s="198"/>
      <c r="T15" s="198"/>
      <c r="U15" s="198"/>
    </row>
    <row r="16" spans="1:21" s="12" customFormat="1" x14ac:dyDescent="0.25">
      <c r="A16" s="201" t="s">
        <v>924</v>
      </c>
      <c r="B16" s="60">
        <v>45.77</v>
      </c>
      <c r="C16" s="60">
        <v>78.69</v>
      </c>
      <c r="D16" s="60">
        <v>78.94</v>
      </c>
      <c r="E16" s="60">
        <v>6.01</v>
      </c>
      <c r="F16" s="60">
        <v>3.29</v>
      </c>
      <c r="G16" s="60">
        <v>75.650000000000006</v>
      </c>
      <c r="H16" s="60">
        <v>43.41</v>
      </c>
      <c r="I16" s="210" t="s">
        <v>36</v>
      </c>
      <c r="J16" s="60">
        <v>0.15</v>
      </c>
      <c r="K16" s="60">
        <v>346.27</v>
      </c>
      <c r="L16" s="60">
        <v>19.54</v>
      </c>
      <c r="M16" s="60">
        <v>58</v>
      </c>
      <c r="N16" s="60">
        <v>4.8</v>
      </c>
      <c r="O16" s="60">
        <v>0</v>
      </c>
      <c r="P16" s="60">
        <v>1.82</v>
      </c>
      <c r="Q16" s="60">
        <v>37.28</v>
      </c>
      <c r="R16" s="198"/>
      <c r="S16" s="198"/>
      <c r="T16" s="198"/>
      <c r="U16" s="198"/>
    </row>
    <row r="17" spans="1:21" s="12" customFormat="1" x14ac:dyDescent="0.25">
      <c r="A17" s="201" t="s">
        <v>925</v>
      </c>
      <c r="B17" s="60">
        <v>41.52</v>
      </c>
      <c r="C17" s="60">
        <v>78</v>
      </c>
      <c r="D17" s="60">
        <v>75.16</v>
      </c>
      <c r="E17" s="60">
        <v>5.16</v>
      </c>
      <c r="F17" s="60">
        <v>3.56</v>
      </c>
      <c r="G17" s="60">
        <v>75.650000000000006</v>
      </c>
      <c r="H17" s="60">
        <v>43.41</v>
      </c>
      <c r="I17" s="210" t="s">
        <v>36</v>
      </c>
      <c r="J17" s="60">
        <v>0.37</v>
      </c>
      <c r="K17" s="60">
        <v>349.52</v>
      </c>
      <c r="L17" s="60">
        <v>19.329999999999998</v>
      </c>
      <c r="M17" s="60">
        <v>56.07</v>
      </c>
      <c r="N17" s="60">
        <v>3.5</v>
      </c>
      <c r="O17" s="60">
        <v>0</v>
      </c>
      <c r="P17" s="60">
        <v>1.76</v>
      </c>
      <c r="Q17" s="60">
        <v>36.44</v>
      </c>
      <c r="R17" s="198"/>
      <c r="S17" s="198"/>
      <c r="T17" s="198"/>
      <c r="U17" s="198"/>
    </row>
    <row r="18" spans="1:21" s="12" customFormat="1" x14ac:dyDescent="0.25">
      <c r="A18" s="201" t="s">
        <v>926</v>
      </c>
      <c r="B18" s="60">
        <v>37.159999999999997</v>
      </c>
      <c r="C18" s="60">
        <v>77.72</v>
      </c>
      <c r="D18" s="60">
        <v>71.5</v>
      </c>
      <c r="E18" s="60">
        <v>5.26</v>
      </c>
      <c r="F18" s="60">
        <v>3.63</v>
      </c>
      <c r="G18" s="60">
        <v>67.91</v>
      </c>
      <c r="H18" s="60">
        <v>41.23</v>
      </c>
      <c r="I18" s="210" t="s">
        <v>36</v>
      </c>
      <c r="J18" s="60">
        <v>0.62</v>
      </c>
      <c r="K18" s="60">
        <v>357.18</v>
      </c>
      <c r="L18" s="60">
        <v>19.670000000000002</v>
      </c>
      <c r="M18" s="60">
        <v>51.42</v>
      </c>
      <c r="N18" s="60">
        <v>3.4</v>
      </c>
      <c r="O18" s="60">
        <v>0</v>
      </c>
      <c r="P18" s="60">
        <v>1.67</v>
      </c>
      <c r="Q18" s="60">
        <v>35.65</v>
      </c>
      <c r="R18" s="198"/>
      <c r="S18" s="198"/>
      <c r="T18" s="198"/>
      <c r="U18" s="198"/>
    </row>
    <row r="19" spans="1:21" s="12" customFormat="1" x14ac:dyDescent="0.25">
      <c r="A19" s="201" t="s">
        <v>927</v>
      </c>
      <c r="B19" s="60">
        <v>32.51</v>
      </c>
      <c r="C19" s="60">
        <v>77.38</v>
      </c>
      <c r="D19" s="60">
        <v>67.59</v>
      </c>
      <c r="E19" s="60">
        <v>5.3</v>
      </c>
      <c r="F19" s="60">
        <v>3.65</v>
      </c>
      <c r="G19" s="60">
        <v>61.73</v>
      </c>
      <c r="H19" s="60">
        <v>39.49</v>
      </c>
      <c r="I19" s="210" t="s">
        <v>36</v>
      </c>
      <c r="J19" s="60">
        <v>0.35</v>
      </c>
      <c r="K19" s="60">
        <v>334.74</v>
      </c>
      <c r="L19" s="60">
        <v>19.600000000000001</v>
      </c>
      <c r="M19" s="60">
        <v>50.16</v>
      </c>
      <c r="N19" s="60">
        <v>4.2</v>
      </c>
      <c r="O19" s="60">
        <v>0</v>
      </c>
      <c r="P19" s="60">
        <v>1.58</v>
      </c>
      <c r="Q19" s="60">
        <v>34.94</v>
      </c>
      <c r="R19" s="198"/>
      <c r="S19" s="198"/>
      <c r="T19" s="198"/>
      <c r="U19" s="198"/>
    </row>
    <row r="20" spans="1:21" s="12" customFormat="1" x14ac:dyDescent="0.25">
      <c r="A20" s="201" t="s">
        <v>928</v>
      </c>
      <c r="B20" s="60">
        <v>28.3</v>
      </c>
      <c r="C20" s="60">
        <v>75.569999999999993</v>
      </c>
      <c r="D20" s="60">
        <v>63.21</v>
      </c>
      <c r="E20" s="60">
        <v>5.15</v>
      </c>
      <c r="F20" s="60">
        <v>3.74</v>
      </c>
      <c r="G20" s="60">
        <v>61.73</v>
      </c>
      <c r="H20" s="60">
        <v>39.49</v>
      </c>
      <c r="I20" s="210" t="s">
        <v>36</v>
      </c>
      <c r="J20" s="60">
        <v>0.16</v>
      </c>
      <c r="K20" s="60">
        <v>325.66000000000003</v>
      </c>
      <c r="L20" s="60">
        <v>19.48</v>
      </c>
      <c r="M20" s="60">
        <v>50.54</v>
      </c>
      <c r="N20" s="60">
        <v>4.7</v>
      </c>
      <c r="O20" s="60">
        <v>0</v>
      </c>
      <c r="P20" s="60">
        <v>1.51</v>
      </c>
      <c r="Q20" s="60">
        <v>33.799999999999997</v>
      </c>
      <c r="R20" s="198"/>
      <c r="S20" s="198"/>
      <c r="T20" s="198"/>
      <c r="U20" s="198"/>
    </row>
    <row r="21" spans="1:21" s="12" customFormat="1" x14ac:dyDescent="0.25">
      <c r="A21" s="201" t="s">
        <v>929</v>
      </c>
      <c r="B21" s="60">
        <v>25.79</v>
      </c>
      <c r="C21" s="60">
        <v>73.34</v>
      </c>
      <c r="D21" s="60">
        <v>59.97</v>
      </c>
      <c r="E21" s="60">
        <v>5.2</v>
      </c>
      <c r="F21" s="60">
        <v>3.85</v>
      </c>
      <c r="G21" s="60">
        <v>61.73</v>
      </c>
      <c r="H21" s="60">
        <v>39.49</v>
      </c>
      <c r="I21" s="210" t="s">
        <v>36</v>
      </c>
      <c r="J21" s="60">
        <v>0.17</v>
      </c>
      <c r="K21" s="60">
        <v>341.48</v>
      </c>
      <c r="L21" s="60">
        <v>19.39</v>
      </c>
      <c r="M21" s="60">
        <v>49.58</v>
      </c>
      <c r="N21" s="60">
        <v>4.4000000000000004</v>
      </c>
      <c r="O21" s="60">
        <v>0</v>
      </c>
      <c r="P21" s="60">
        <v>1.47</v>
      </c>
      <c r="Q21" s="60">
        <v>32.409999999999997</v>
      </c>
      <c r="R21" s="198"/>
      <c r="S21" s="198"/>
      <c r="T21" s="198"/>
      <c r="U21" s="198"/>
    </row>
    <row r="22" spans="1:21" s="12" customFormat="1" x14ac:dyDescent="0.25">
      <c r="A22" s="201" t="s">
        <v>930</v>
      </c>
      <c r="B22" s="60">
        <v>22.92</v>
      </c>
      <c r="C22" s="60">
        <v>70.489999999999995</v>
      </c>
      <c r="D22" s="60">
        <v>56.09</v>
      </c>
      <c r="E22" s="60">
        <v>5.19</v>
      </c>
      <c r="F22" s="60">
        <v>4.53</v>
      </c>
      <c r="G22" s="60">
        <v>57.49</v>
      </c>
      <c r="H22" s="60">
        <v>36.49</v>
      </c>
      <c r="I22" s="210" t="s">
        <v>36</v>
      </c>
      <c r="J22" s="60">
        <v>0.08</v>
      </c>
      <c r="K22" s="60">
        <v>260.27</v>
      </c>
      <c r="L22" s="60">
        <v>19.12</v>
      </c>
      <c r="M22" s="60">
        <v>50.62</v>
      </c>
      <c r="N22" s="60">
        <v>4.7</v>
      </c>
      <c r="O22" s="60">
        <v>0</v>
      </c>
      <c r="P22" s="60">
        <v>1.44</v>
      </c>
      <c r="Q22" s="60">
        <v>31.8</v>
      </c>
      <c r="R22" s="198"/>
      <c r="S22" s="198"/>
      <c r="T22" s="198"/>
      <c r="U22" s="198"/>
    </row>
    <row r="23" spans="1:21" s="12" customFormat="1" x14ac:dyDescent="0.25">
      <c r="A23" s="201" t="s">
        <v>931</v>
      </c>
      <c r="B23" s="60">
        <v>22.56</v>
      </c>
      <c r="C23" s="60">
        <v>71.5</v>
      </c>
      <c r="D23" s="60">
        <v>56.36</v>
      </c>
      <c r="E23" s="60">
        <v>4.97</v>
      </c>
      <c r="F23" s="60">
        <v>4.01</v>
      </c>
      <c r="G23" s="60">
        <v>54.1</v>
      </c>
      <c r="H23" s="60">
        <v>34.090000000000003</v>
      </c>
      <c r="I23" s="210" t="s">
        <v>36</v>
      </c>
      <c r="J23" s="60">
        <v>7.0000000000000007E-2</v>
      </c>
      <c r="K23" s="60">
        <v>288.86</v>
      </c>
      <c r="L23" s="60">
        <v>19.440000000000001</v>
      </c>
      <c r="M23" s="60">
        <v>49.89</v>
      </c>
      <c r="N23" s="60">
        <v>4.5</v>
      </c>
      <c r="O23" s="60">
        <v>0</v>
      </c>
      <c r="P23" s="60">
        <v>1.4</v>
      </c>
      <c r="Q23" s="60">
        <v>31.71</v>
      </c>
      <c r="R23" s="198"/>
      <c r="S23" s="198"/>
      <c r="T23" s="198"/>
      <c r="U23" s="198"/>
    </row>
    <row r="24" spans="1:21" s="12" customFormat="1" x14ac:dyDescent="0.25">
      <c r="A24" s="201" t="s">
        <v>932</v>
      </c>
      <c r="B24" s="60">
        <v>21.63</v>
      </c>
      <c r="C24" s="60">
        <v>71.13</v>
      </c>
      <c r="D24" s="60">
        <v>55.41</v>
      </c>
      <c r="E24" s="60">
        <v>4.42</v>
      </c>
      <c r="F24" s="60">
        <v>3.64</v>
      </c>
      <c r="G24" s="60">
        <v>54.1</v>
      </c>
      <c r="H24" s="60">
        <v>34.090000000000003</v>
      </c>
      <c r="I24" s="210" t="s">
        <v>36</v>
      </c>
      <c r="J24" s="60">
        <v>0.17</v>
      </c>
      <c r="K24" s="60">
        <v>334.59</v>
      </c>
      <c r="L24" s="60">
        <v>19.18</v>
      </c>
      <c r="M24" s="60">
        <v>51.28</v>
      </c>
      <c r="N24" s="60">
        <v>4.3</v>
      </c>
      <c r="O24" s="60">
        <v>0</v>
      </c>
      <c r="P24" s="60">
        <v>1.37</v>
      </c>
      <c r="Q24" s="60">
        <v>31.65</v>
      </c>
      <c r="R24" s="198"/>
      <c r="S24" s="198"/>
      <c r="T24" s="198"/>
      <c r="U24" s="198"/>
    </row>
    <row r="25" spans="1:21" s="12" customFormat="1" x14ac:dyDescent="0.25">
      <c r="A25" s="201" t="s">
        <v>933</v>
      </c>
      <c r="B25" s="60">
        <v>20.38</v>
      </c>
      <c r="C25" s="60">
        <v>70.11</v>
      </c>
      <c r="D25" s="60">
        <v>53.85</v>
      </c>
      <c r="E25" s="60">
        <v>6.47</v>
      </c>
      <c r="F25" s="60">
        <v>3.72</v>
      </c>
      <c r="G25" s="60">
        <v>54.1</v>
      </c>
      <c r="H25" s="60">
        <v>34.090000000000003</v>
      </c>
      <c r="I25" s="210" t="s">
        <v>36</v>
      </c>
      <c r="J25" s="60">
        <v>0.04</v>
      </c>
      <c r="K25" s="60">
        <v>245.35</v>
      </c>
      <c r="L25" s="60">
        <v>18.71</v>
      </c>
      <c r="M25" s="60">
        <v>53.4</v>
      </c>
      <c r="N25" s="60">
        <v>4.5999999999999996</v>
      </c>
      <c r="O25" s="60">
        <v>0</v>
      </c>
      <c r="P25" s="60">
        <v>1.32</v>
      </c>
      <c r="Q25" s="60">
        <v>21.11</v>
      </c>
      <c r="R25" s="198"/>
      <c r="S25" s="198"/>
      <c r="T25" s="198"/>
      <c r="U25" s="198"/>
    </row>
    <row r="26" spans="1:21" s="12" customFormat="1" x14ac:dyDescent="0.25">
      <c r="A26" s="201" t="s">
        <v>934</v>
      </c>
      <c r="B26" s="60">
        <v>19.48</v>
      </c>
      <c r="C26" s="60">
        <v>68.89</v>
      </c>
      <c r="D26" s="60">
        <v>52.46</v>
      </c>
      <c r="E26" s="60">
        <v>5.68</v>
      </c>
      <c r="F26" s="60">
        <v>3.52</v>
      </c>
      <c r="G26" s="60">
        <v>48.29</v>
      </c>
      <c r="H26" s="60">
        <v>29.87</v>
      </c>
      <c r="I26" s="210" t="s">
        <v>36</v>
      </c>
      <c r="J26" s="60">
        <v>0.19</v>
      </c>
      <c r="K26" s="60">
        <v>240.03</v>
      </c>
      <c r="L26" s="60">
        <v>18.489999999999998</v>
      </c>
      <c r="M26" s="60">
        <v>56.74</v>
      </c>
      <c r="N26" s="60">
        <v>4.2</v>
      </c>
      <c r="O26" s="60">
        <v>0</v>
      </c>
      <c r="P26" s="60">
        <v>1.28</v>
      </c>
      <c r="Q26" s="60">
        <v>20.8</v>
      </c>
      <c r="R26" s="198"/>
      <c r="S26" s="198"/>
      <c r="T26" s="198"/>
      <c r="U26" s="198"/>
    </row>
    <row r="27" spans="1:21" s="12" customFormat="1" x14ac:dyDescent="0.25">
      <c r="A27" s="201" t="s">
        <v>935</v>
      </c>
      <c r="B27" s="60">
        <v>19.18</v>
      </c>
      <c r="C27" s="60">
        <v>67.709999999999994</v>
      </c>
      <c r="D27" s="60">
        <v>51.56</v>
      </c>
      <c r="E27" s="60">
        <v>5.31</v>
      </c>
      <c r="F27" s="60">
        <v>3.4</v>
      </c>
      <c r="G27" s="60">
        <v>43.64</v>
      </c>
      <c r="H27" s="60">
        <v>26.5</v>
      </c>
      <c r="I27" s="210" t="s">
        <v>36</v>
      </c>
      <c r="J27" s="60">
        <v>0.04</v>
      </c>
      <c r="K27" s="60">
        <v>4.9400000000000004</v>
      </c>
      <c r="L27" s="60">
        <v>17.95</v>
      </c>
      <c r="M27" s="60">
        <v>61.03</v>
      </c>
      <c r="N27" s="60">
        <v>4.5999999999999996</v>
      </c>
      <c r="O27" s="60">
        <v>0</v>
      </c>
      <c r="P27" s="60">
        <v>1.24</v>
      </c>
      <c r="Q27" s="60">
        <v>20.74</v>
      </c>
      <c r="R27" s="198"/>
      <c r="S27" s="198"/>
      <c r="T27" s="198"/>
      <c r="U27" s="198"/>
    </row>
    <row r="28" spans="1:21" s="12" customFormat="1" x14ac:dyDescent="0.25">
      <c r="A28" s="201" t="s">
        <v>936</v>
      </c>
      <c r="B28" s="60">
        <v>19.59</v>
      </c>
      <c r="C28" s="60">
        <v>66.599999999999994</v>
      </c>
      <c r="D28" s="60">
        <v>51.28</v>
      </c>
      <c r="E28" s="60">
        <v>5.93</v>
      </c>
      <c r="F28" s="60">
        <v>3.31</v>
      </c>
      <c r="G28" s="60">
        <v>43.64</v>
      </c>
      <c r="H28" s="60">
        <v>26.5</v>
      </c>
      <c r="I28" s="210" t="s">
        <v>36</v>
      </c>
      <c r="J28" s="60">
        <v>0.05</v>
      </c>
      <c r="K28" s="60">
        <v>185.85</v>
      </c>
      <c r="L28" s="60">
        <v>17.829999999999998</v>
      </c>
      <c r="M28" s="60">
        <v>62.11</v>
      </c>
      <c r="N28" s="60">
        <v>4.3</v>
      </c>
      <c r="O28" s="60">
        <v>0</v>
      </c>
      <c r="P28" s="60">
        <v>1.21</v>
      </c>
      <c r="Q28" s="60">
        <v>22.12</v>
      </c>
      <c r="R28" s="198"/>
      <c r="S28" s="198"/>
      <c r="T28" s="198"/>
      <c r="U28" s="198"/>
    </row>
    <row r="29" spans="1:21" s="12" customFormat="1" x14ac:dyDescent="0.25">
      <c r="A29" s="201" t="s">
        <v>937</v>
      </c>
      <c r="B29" s="60">
        <v>20.71</v>
      </c>
      <c r="C29" s="60">
        <v>65.44</v>
      </c>
      <c r="D29" s="60">
        <v>51.53</v>
      </c>
      <c r="E29" s="60">
        <v>5.83</v>
      </c>
      <c r="F29" s="60">
        <v>3.33</v>
      </c>
      <c r="G29" s="60">
        <v>43.64</v>
      </c>
      <c r="H29" s="60">
        <v>26.5</v>
      </c>
      <c r="I29" s="210" t="s">
        <v>36</v>
      </c>
      <c r="J29" s="60">
        <v>0.06</v>
      </c>
      <c r="K29" s="60">
        <v>272.7</v>
      </c>
      <c r="L29" s="60">
        <v>17.809999999999999</v>
      </c>
      <c r="M29" s="60">
        <v>59.35</v>
      </c>
      <c r="N29" s="60">
        <v>4.5</v>
      </c>
      <c r="O29" s="60">
        <v>0</v>
      </c>
      <c r="P29" s="60">
        <v>1.19</v>
      </c>
      <c r="Q29" s="60">
        <v>22.73</v>
      </c>
      <c r="R29" s="198"/>
      <c r="S29" s="198"/>
      <c r="T29" s="198"/>
      <c r="U29" s="198"/>
    </row>
    <row r="30" spans="1:21" s="12" customFormat="1" x14ac:dyDescent="0.25">
      <c r="A30" s="201" t="s">
        <v>938</v>
      </c>
      <c r="B30" s="60">
        <v>21.79</v>
      </c>
      <c r="C30" s="60">
        <v>64.94</v>
      </c>
      <c r="D30" s="60">
        <v>52.12</v>
      </c>
      <c r="E30" s="60">
        <v>5.68</v>
      </c>
      <c r="F30" s="60">
        <v>3.43</v>
      </c>
      <c r="G30" s="60">
        <v>48.03</v>
      </c>
      <c r="H30" s="60">
        <v>28.02</v>
      </c>
      <c r="I30" s="210" t="s">
        <v>36</v>
      </c>
      <c r="J30" s="60">
        <v>0.23</v>
      </c>
      <c r="K30" s="60">
        <v>13.67</v>
      </c>
      <c r="L30" s="60">
        <v>18.09</v>
      </c>
      <c r="M30" s="60">
        <v>54.91</v>
      </c>
      <c r="N30" s="60">
        <v>3.9</v>
      </c>
      <c r="O30" s="60">
        <v>0</v>
      </c>
      <c r="P30" s="60">
        <v>1.1499999999999999</v>
      </c>
      <c r="Q30" s="60">
        <v>22.57</v>
      </c>
      <c r="R30" s="198"/>
      <c r="S30" s="198"/>
      <c r="T30" s="198"/>
      <c r="U30" s="198"/>
    </row>
    <row r="31" spans="1:21" s="12" customFormat="1" x14ac:dyDescent="0.25">
      <c r="A31" s="201" t="s">
        <v>939</v>
      </c>
      <c r="B31" s="60">
        <v>22.16</v>
      </c>
      <c r="C31" s="60">
        <v>65.02</v>
      </c>
      <c r="D31" s="60">
        <v>52.46</v>
      </c>
      <c r="E31" s="60">
        <v>5.73</v>
      </c>
      <c r="F31" s="60">
        <v>3.51</v>
      </c>
      <c r="G31" s="60">
        <v>51.54</v>
      </c>
      <c r="H31" s="60">
        <v>29.25</v>
      </c>
      <c r="I31" s="210" t="s">
        <v>36</v>
      </c>
      <c r="J31" s="60">
        <v>0.27</v>
      </c>
      <c r="K31" s="60">
        <v>352.42</v>
      </c>
      <c r="L31" s="60">
        <v>18.07</v>
      </c>
      <c r="M31" s="60">
        <v>54.48</v>
      </c>
      <c r="N31" s="60">
        <v>3.8</v>
      </c>
      <c r="O31" s="60">
        <v>0</v>
      </c>
      <c r="P31" s="60">
        <v>1.1100000000000001</v>
      </c>
      <c r="Q31" s="60">
        <v>22.44</v>
      </c>
      <c r="R31" s="198"/>
      <c r="S31" s="198"/>
      <c r="T31" s="198"/>
      <c r="U31" s="198"/>
    </row>
    <row r="32" spans="1:21" s="12" customFormat="1" x14ac:dyDescent="0.25">
      <c r="A32" s="201" t="s">
        <v>940</v>
      </c>
      <c r="B32" s="60">
        <v>22.38</v>
      </c>
      <c r="C32" s="60">
        <v>64.98</v>
      </c>
      <c r="D32" s="60">
        <v>52.62</v>
      </c>
      <c r="E32" s="60">
        <v>5.98</v>
      </c>
      <c r="F32" s="60">
        <v>3.48</v>
      </c>
      <c r="G32" s="60">
        <v>51.54</v>
      </c>
      <c r="H32" s="60">
        <v>29.25</v>
      </c>
      <c r="I32" s="210" t="s">
        <v>36</v>
      </c>
      <c r="J32" s="60">
        <v>0.28000000000000003</v>
      </c>
      <c r="K32" s="60">
        <v>349.33</v>
      </c>
      <c r="L32" s="60">
        <v>18.03</v>
      </c>
      <c r="M32" s="60">
        <v>54.74</v>
      </c>
      <c r="N32" s="60">
        <v>4</v>
      </c>
      <c r="O32" s="60">
        <v>0</v>
      </c>
      <c r="P32" s="60">
        <v>1.08</v>
      </c>
      <c r="Q32" s="60">
        <v>22.1</v>
      </c>
      <c r="R32" s="198"/>
      <c r="S32" s="198"/>
      <c r="T32" s="198"/>
      <c r="U32" s="198"/>
    </row>
    <row r="33" spans="1:21" s="12" customFormat="1" x14ac:dyDescent="0.25">
      <c r="A33" s="201" t="s">
        <v>941</v>
      </c>
      <c r="B33" s="60">
        <v>23.49</v>
      </c>
      <c r="C33" s="60">
        <v>65.28</v>
      </c>
      <c r="D33" s="60">
        <v>53.67</v>
      </c>
      <c r="E33" s="60">
        <v>5.86</v>
      </c>
      <c r="F33" s="60">
        <v>3.51</v>
      </c>
      <c r="G33" s="60">
        <v>51.54</v>
      </c>
      <c r="H33" s="60">
        <v>29.25</v>
      </c>
      <c r="I33" s="210" t="s">
        <v>36</v>
      </c>
      <c r="J33" s="60">
        <v>0.1</v>
      </c>
      <c r="K33" s="60">
        <v>280.66000000000003</v>
      </c>
      <c r="L33" s="60">
        <v>18.03</v>
      </c>
      <c r="M33" s="60">
        <v>54.04</v>
      </c>
      <c r="N33" s="60">
        <v>4.5999999999999996</v>
      </c>
      <c r="O33" s="60">
        <v>0</v>
      </c>
      <c r="P33" s="60">
        <v>1.04</v>
      </c>
      <c r="Q33" s="60">
        <v>21.82</v>
      </c>
      <c r="R33" s="198"/>
      <c r="S33" s="198"/>
      <c r="T33" s="198"/>
      <c r="U33" s="198"/>
    </row>
    <row r="34" spans="1:21" s="12" customFormat="1" x14ac:dyDescent="0.25">
      <c r="A34" s="201" t="s">
        <v>942</v>
      </c>
      <c r="B34" s="60">
        <v>24.79</v>
      </c>
      <c r="C34" s="60">
        <v>65.41</v>
      </c>
      <c r="D34" s="60">
        <v>54.79</v>
      </c>
      <c r="E34" s="60">
        <v>5.87</v>
      </c>
      <c r="F34" s="60">
        <v>3.48</v>
      </c>
      <c r="G34" s="60">
        <v>65.45</v>
      </c>
      <c r="H34" s="60">
        <v>27.98</v>
      </c>
      <c r="I34" s="210" t="s">
        <v>36</v>
      </c>
      <c r="J34" s="60">
        <v>7.0000000000000007E-2</v>
      </c>
      <c r="K34" s="60">
        <v>284.56</v>
      </c>
      <c r="L34" s="60">
        <v>17.940000000000001</v>
      </c>
      <c r="M34" s="60">
        <v>54.67</v>
      </c>
      <c r="N34" s="60">
        <v>5.4</v>
      </c>
      <c r="O34" s="60">
        <v>0</v>
      </c>
      <c r="P34" s="60">
        <v>1.03</v>
      </c>
      <c r="Q34" s="60">
        <v>21.25</v>
      </c>
      <c r="R34" s="198"/>
      <c r="S34" s="198"/>
      <c r="T34" s="198"/>
      <c r="U34" s="198"/>
    </row>
    <row r="35" spans="1:21" s="12" customFormat="1" x14ac:dyDescent="0.25">
      <c r="A35" s="201" t="s">
        <v>943</v>
      </c>
      <c r="B35" s="60">
        <v>26.93</v>
      </c>
      <c r="C35" s="60">
        <v>64.64</v>
      </c>
      <c r="D35" s="60">
        <v>56.08</v>
      </c>
      <c r="E35" s="60">
        <v>6.29</v>
      </c>
      <c r="F35" s="60">
        <v>3.56</v>
      </c>
      <c r="G35" s="60">
        <v>76.58</v>
      </c>
      <c r="H35" s="60">
        <v>26.97</v>
      </c>
      <c r="I35" s="210" t="s">
        <v>36</v>
      </c>
      <c r="J35" s="60">
        <v>0.37</v>
      </c>
      <c r="K35" s="60">
        <v>7.02</v>
      </c>
      <c r="L35" s="60">
        <v>18.260000000000002</v>
      </c>
      <c r="M35" s="60">
        <v>53.06</v>
      </c>
      <c r="N35" s="60">
        <v>9.1999999999999993</v>
      </c>
      <c r="O35" s="60">
        <v>0</v>
      </c>
      <c r="P35" s="60">
        <v>1.03</v>
      </c>
      <c r="Q35" s="60">
        <v>20.399999999999999</v>
      </c>
      <c r="R35" s="198"/>
      <c r="S35" s="198"/>
      <c r="T35" s="198"/>
      <c r="U35" s="198"/>
    </row>
    <row r="36" spans="1:21" s="12" customFormat="1" x14ac:dyDescent="0.25">
      <c r="A36" s="201" t="s">
        <v>944</v>
      </c>
      <c r="B36" s="60">
        <v>27.1</v>
      </c>
      <c r="C36" s="60">
        <v>65.11</v>
      </c>
      <c r="D36" s="60">
        <v>56.48</v>
      </c>
      <c r="E36" s="60">
        <v>6.22</v>
      </c>
      <c r="F36" s="60">
        <v>3.55</v>
      </c>
      <c r="G36" s="60">
        <v>76.58</v>
      </c>
      <c r="H36" s="60">
        <v>26.97</v>
      </c>
      <c r="I36" s="210" t="s">
        <v>36</v>
      </c>
      <c r="J36" s="60">
        <v>0.52</v>
      </c>
      <c r="K36" s="60">
        <v>11.75</v>
      </c>
      <c r="L36" s="60">
        <v>18.52</v>
      </c>
      <c r="M36" s="60">
        <v>51.91</v>
      </c>
      <c r="N36" s="60">
        <v>20.100000000000001</v>
      </c>
      <c r="O36" s="60">
        <v>0</v>
      </c>
      <c r="P36" s="60">
        <v>1.04</v>
      </c>
      <c r="Q36" s="60">
        <v>19.940000000000001</v>
      </c>
      <c r="R36" s="198"/>
      <c r="S36" s="198"/>
      <c r="T36" s="198"/>
      <c r="U36" s="198"/>
    </row>
    <row r="37" spans="1:21" s="12" customFormat="1" x14ac:dyDescent="0.25">
      <c r="A37" s="201" t="s">
        <v>945</v>
      </c>
      <c r="B37" s="60">
        <v>27.21</v>
      </c>
      <c r="C37" s="60">
        <v>65.11</v>
      </c>
      <c r="D37" s="60">
        <v>56.56</v>
      </c>
      <c r="E37" s="60">
        <v>6.63</v>
      </c>
      <c r="F37" s="60">
        <v>3.35</v>
      </c>
      <c r="G37" s="60">
        <v>76.58</v>
      </c>
      <c r="H37" s="60">
        <v>26.97</v>
      </c>
      <c r="I37" s="210" t="s">
        <v>36</v>
      </c>
      <c r="J37" s="60">
        <v>0.31</v>
      </c>
      <c r="K37" s="60">
        <v>13.25</v>
      </c>
      <c r="L37" s="60">
        <v>18.739999999999998</v>
      </c>
      <c r="M37" s="60">
        <v>51.64</v>
      </c>
      <c r="N37" s="60">
        <v>33.799999999999997</v>
      </c>
      <c r="O37" s="60">
        <v>0</v>
      </c>
      <c r="P37" s="60">
        <v>0.95</v>
      </c>
      <c r="Q37" s="60">
        <v>19.66</v>
      </c>
      <c r="R37" s="198"/>
      <c r="S37" s="198"/>
      <c r="T37" s="198"/>
      <c r="U37" s="198"/>
    </row>
    <row r="38" spans="1:21" s="12" customFormat="1" x14ac:dyDescent="0.25">
      <c r="A38" s="201" t="s">
        <v>946</v>
      </c>
      <c r="B38" s="60">
        <v>28.56</v>
      </c>
      <c r="C38" s="60">
        <v>64.819999999999993</v>
      </c>
      <c r="D38" s="60">
        <v>57.49</v>
      </c>
      <c r="E38" s="60">
        <v>6.83</v>
      </c>
      <c r="F38" s="60">
        <v>3.37</v>
      </c>
      <c r="G38" s="60">
        <v>86.15</v>
      </c>
      <c r="H38" s="60">
        <v>31.94</v>
      </c>
      <c r="I38" s="210" t="s">
        <v>36</v>
      </c>
      <c r="J38" s="60">
        <v>0.19</v>
      </c>
      <c r="K38" s="60">
        <v>80.87</v>
      </c>
      <c r="L38" s="60">
        <v>19.28</v>
      </c>
      <c r="M38" s="60">
        <v>50.93</v>
      </c>
      <c r="N38" s="60">
        <v>53.3</v>
      </c>
      <c r="O38" s="60">
        <v>0</v>
      </c>
      <c r="P38" s="60">
        <v>1.03</v>
      </c>
      <c r="Q38" s="60">
        <v>19.670000000000002</v>
      </c>
      <c r="R38" s="198"/>
      <c r="S38" s="198"/>
      <c r="T38" s="198"/>
      <c r="U38" s="198"/>
    </row>
    <row r="39" spans="1:21" s="12" customFormat="1" x14ac:dyDescent="0.25">
      <c r="A39" s="201" t="s">
        <v>947</v>
      </c>
      <c r="B39" s="60">
        <v>29.73</v>
      </c>
      <c r="C39" s="60">
        <v>64.599999999999994</v>
      </c>
      <c r="D39" s="60">
        <v>58.3</v>
      </c>
      <c r="E39" s="60">
        <v>7.33</v>
      </c>
      <c r="F39" s="60">
        <v>3.34</v>
      </c>
      <c r="G39" s="60">
        <v>93.8</v>
      </c>
      <c r="H39" s="60">
        <v>35.92</v>
      </c>
      <c r="I39" s="210" t="s">
        <v>36</v>
      </c>
      <c r="J39" s="60">
        <v>0.11</v>
      </c>
      <c r="K39" s="60">
        <v>123.02</v>
      </c>
      <c r="L39" s="60">
        <v>20.28</v>
      </c>
      <c r="M39" s="60">
        <v>48.39</v>
      </c>
      <c r="N39" s="60">
        <v>125.3</v>
      </c>
      <c r="O39" s="60">
        <v>0</v>
      </c>
      <c r="P39" s="60">
        <v>1.05</v>
      </c>
      <c r="Q39" s="60">
        <v>19.809999999999999</v>
      </c>
      <c r="R39" s="198"/>
      <c r="S39" s="198"/>
      <c r="T39" s="198"/>
      <c r="U39" s="198"/>
    </row>
    <row r="40" spans="1:21" s="12" customFormat="1" x14ac:dyDescent="0.25">
      <c r="A40" s="201" t="s">
        <v>948</v>
      </c>
      <c r="B40" s="60">
        <v>31.14</v>
      </c>
      <c r="C40" s="60">
        <v>64.010000000000005</v>
      </c>
      <c r="D40" s="60">
        <v>59.1</v>
      </c>
      <c r="E40" s="60">
        <v>5.53</v>
      </c>
      <c r="F40" s="60">
        <v>3.45</v>
      </c>
      <c r="G40" s="60">
        <v>93.8</v>
      </c>
      <c r="H40" s="60">
        <v>35.92</v>
      </c>
      <c r="I40" s="210" t="s">
        <v>36</v>
      </c>
      <c r="J40" s="60">
        <v>0.43</v>
      </c>
      <c r="K40" s="60">
        <v>112.84</v>
      </c>
      <c r="L40" s="60">
        <v>21.89</v>
      </c>
      <c r="M40" s="60">
        <v>44.37</v>
      </c>
      <c r="N40" s="60">
        <v>180</v>
      </c>
      <c r="O40" s="60">
        <v>0</v>
      </c>
      <c r="P40" s="60">
        <v>1.08</v>
      </c>
      <c r="Q40" s="60">
        <v>20.170000000000002</v>
      </c>
      <c r="R40" s="198"/>
      <c r="S40" s="198"/>
      <c r="T40" s="198"/>
      <c r="U40" s="198"/>
    </row>
    <row r="41" spans="1:21" s="12" customFormat="1" x14ac:dyDescent="0.25">
      <c r="A41" s="201" t="s">
        <v>949</v>
      </c>
      <c r="B41" s="60">
        <v>33.869999999999997</v>
      </c>
      <c r="C41" s="60">
        <v>62.98</v>
      </c>
      <c r="D41" s="60">
        <v>60.73</v>
      </c>
      <c r="E41" s="60">
        <v>11.97</v>
      </c>
      <c r="F41" s="60">
        <v>3.58</v>
      </c>
      <c r="G41" s="60">
        <v>93.8</v>
      </c>
      <c r="H41" s="60">
        <v>35.92</v>
      </c>
      <c r="I41" s="210" t="s">
        <v>36</v>
      </c>
      <c r="J41" s="60">
        <v>0.53</v>
      </c>
      <c r="K41" s="60">
        <v>18.559999999999999</v>
      </c>
      <c r="L41" s="60">
        <v>23.96</v>
      </c>
      <c r="M41" s="60">
        <v>38.479999999999997</v>
      </c>
      <c r="N41" s="60">
        <v>226.5</v>
      </c>
      <c r="O41" s="60">
        <v>0</v>
      </c>
      <c r="P41" s="60">
        <v>1.1499999999999999</v>
      </c>
      <c r="Q41" s="60">
        <v>20.59</v>
      </c>
      <c r="R41" s="198"/>
      <c r="S41" s="198"/>
      <c r="T41" s="198"/>
      <c r="U41" s="198"/>
    </row>
    <row r="42" spans="1:21" s="12" customFormat="1" x14ac:dyDescent="0.25">
      <c r="A42" s="201" t="s">
        <v>950</v>
      </c>
      <c r="B42" s="60">
        <v>34.74</v>
      </c>
      <c r="C42" s="60">
        <v>63.13</v>
      </c>
      <c r="D42" s="60">
        <v>61.51</v>
      </c>
      <c r="E42" s="60">
        <v>11.31</v>
      </c>
      <c r="F42" s="60">
        <v>3.66</v>
      </c>
      <c r="G42" s="60">
        <v>114.61</v>
      </c>
      <c r="H42" s="60">
        <v>43.12</v>
      </c>
      <c r="I42" s="210" t="s">
        <v>36</v>
      </c>
      <c r="J42" s="60">
        <v>0.54</v>
      </c>
      <c r="K42" s="60">
        <v>15.68</v>
      </c>
      <c r="L42" s="60">
        <v>26.19</v>
      </c>
      <c r="M42" s="60">
        <v>33.49</v>
      </c>
      <c r="N42" s="60">
        <v>269.89999999999998</v>
      </c>
      <c r="O42" s="60">
        <v>0</v>
      </c>
      <c r="P42" s="60">
        <v>1.19</v>
      </c>
      <c r="Q42" s="60">
        <v>21.46</v>
      </c>
      <c r="R42" s="198"/>
      <c r="S42" s="198"/>
      <c r="T42" s="198"/>
      <c r="U42" s="198"/>
    </row>
    <row r="43" spans="1:21" s="12" customFormat="1" x14ac:dyDescent="0.25">
      <c r="A43" s="201" t="s">
        <v>951</v>
      </c>
      <c r="B43" s="60">
        <v>35.380000000000003</v>
      </c>
      <c r="C43" s="60">
        <v>64.33</v>
      </c>
      <c r="D43" s="60">
        <v>62.69</v>
      </c>
      <c r="E43" s="60">
        <v>10.38</v>
      </c>
      <c r="F43" s="60">
        <v>3.44</v>
      </c>
      <c r="G43" s="60">
        <v>131.26</v>
      </c>
      <c r="H43" s="60">
        <v>48.87</v>
      </c>
      <c r="I43" s="210" t="s">
        <v>36</v>
      </c>
      <c r="J43" s="60">
        <v>0.28999999999999998</v>
      </c>
      <c r="K43" s="60">
        <v>38.96</v>
      </c>
      <c r="L43" s="60">
        <v>27.24</v>
      </c>
      <c r="M43" s="60">
        <v>31.91</v>
      </c>
      <c r="N43" s="60">
        <v>314.60000000000002</v>
      </c>
      <c r="O43" s="60">
        <v>0</v>
      </c>
      <c r="P43" s="60">
        <v>1.24</v>
      </c>
      <c r="Q43" s="60">
        <v>22.45</v>
      </c>
      <c r="R43" s="198"/>
      <c r="S43" s="198"/>
      <c r="T43" s="198"/>
      <c r="U43" s="198"/>
    </row>
    <row r="44" spans="1:21" s="12" customFormat="1" x14ac:dyDescent="0.25">
      <c r="A44" s="201" t="s">
        <v>952</v>
      </c>
      <c r="B44" s="60">
        <v>34.950000000000003</v>
      </c>
      <c r="C44" s="60">
        <v>65.47</v>
      </c>
      <c r="D44" s="60">
        <v>62.97</v>
      </c>
      <c r="E44" s="60">
        <v>10.41</v>
      </c>
      <c r="F44" s="60">
        <v>3.33</v>
      </c>
      <c r="G44" s="60">
        <v>131.26</v>
      </c>
      <c r="H44" s="60">
        <v>48.87</v>
      </c>
      <c r="I44" s="210" t="s">
        <v>36</v>
      </c>
      <c r="J44" s="60">
        <v>0.74</v>
      </c>
      <c r="K44" s="60">
        <v>16.98</v>
      </c>
      <c r="L44" s="60">
        <v>28.21</v>
      </c>
      <c r="M44" s="60">
        <v>30.05</v>
      </c>
      <c r="N44" s="60">
        <v>358.6</v>
      </c>
      <c r="O44" s="60">
        <v>0</v>
      </c>
      <c r="P44" s="60">
        <v>1.26</v>
      </c>
      <c r="Q44" s="60">
        <v>22.73</v>
      </c>
      <c r="R44" s="198"/>
      <c r="S44" s="198"/>
      <c r="T44" s="198"/>
      <c r="U44" s="198"/>
    </row>
    <row r="45" spans="1:21" s="12" customFormat="1" x14ac:dyDescent="0.25">
      <c r="A45" s="201" t="s">
        <v>953</v>
      </c>
      <c r="B45" s="60">
        <v>34.159999999999997</v>
      </c>
      <c r="C45" s="60">
        <v>66.459999999999994</v>
      </c>
      <c r="D45" s="60">
        <v>62.88</v>
      </c>
      <c r="E45" s="60">
        <v>9.76</v>
      </c>
      <c r="F45" s="60">
        <v>3.71</v>
      </c>
      <c r="G45" s="60">
        <v>131.26</v>
      </c>
      <c r="H45" s="60">
        <v>48.87</v>
      </c>
      <c r="I45" s="210" t="s">
        <v>36</v>
      </c>
      <c r="J45" s="60">
        <v>0.51</v>
      </c>
      <c r="K45" s="60">
        <v>64.06</v>
      </c>
      <c r="L45" s="60">
        <v>28.96</v>
      </c>
      <c r="M45" s="60">
        <v>28.68</v>
      </c>
      <c r="N45" s="60">
        <v>397.5</v>
      </c>
      <c r="O45" s="60">
        <v>0</v>
      </c>
      <c r="P45" s="60">
        <v>1.27</v>
      </c>
      <c r="Q45" s="60">
        <v>22.61</v>
      </c>
      <c r="R45" s="198"/>
      <c r="S45" s="198"/>
      <c r="T45" s="198"/>
      <c r="U45" s="198"/>
    </row>
    <row r="46" spans="1:21" s="12" customFormat="1" x14ac:dyDescent="0.25">
      <c r="A46" s="201" t="s">
        <v>954</v>
      </c>
      <c r="B46" s="60">
        <v>33</v>
      </c>
      <c r="C46" s="60">
        <v>67.83</v>
      </c>
      <c r="D46" s="60">
        <v>62.71</v>
      </c>
      <c r="E46" s="60">
        <v>8.99</v>
      </c>
      <c r="F46" s="60">
        <v>3.63</v>
      </c>
      <c r="G46" s="60">
        <v>108.31</v>
      </c>
      <c r="H46" s="60">
        <v>47.48</v>
      </c>
      <c r="I46" s="210" t="s">
        <v>36</v>
      </c>
      <c r="J46" s="60">
        <v>1.58</v>
      </c>
      <c r="K46" s="60">
        <v>114.62</v>
      </c>
      <c r="L46" s="60">
        <v>25.96</v>
      </c>
      <c r="M46" s="60">
        <v>33.950000000000003</v>
      </c>
      <c r="N46" s="60">
        <v>435.4</v>
      </c>
      <c r="O46" s="60">
        <v>0</v>
      </c>
      <c r="P46" s="60">
        <v>1.23</v>
      </c>
      <c r="Q46" s="60">
        <v>22.24</v>
      </c>
      <c r="R46" s="198"/>
      <c r="S46" s="198"/>
      <c r="T46" s="198"/>
      <c r="U46" s="198"/>
    </row>
    <row r="47" spans="1:21" s="12" customFormat="1" x14ac:dyDescent="0.25">
      <c r="A47" s="201" t="s">
        <v>955</v>
      </c>
      <c r="B47" s="60">
        <v>30.12</v>
      </c>
      <c r="C47" s="60">
        <v>68.5</v>
      </c>
      <c r="D47" s="60">
        <v>60.77</v>
      </c>
      <c r="E47" s="60">
        <v>8.6199999999999992</v>
      </c>
      <c r="F47" s="60">
        <v>3.63</v>
      </c>
      <c r="G47" s="60">
        <v>89.94</v>
      </c>
      <c r="H47" s="60">
        <v>46.37</v>
      </c>
      <c r="I47" s="210" t="s">
        <v>36</v>
      </c>
      <c r="J47" s="60">
        <v>1.18</v>
      </c>
      <c r="K47" s="60">
        <v>106.78</v>
      </c>
      <c r="L47" s="60">
        <v>26.03</v>
      </c>
      <c r="M47" s="60">
        <v>33.61</v>
      </c>
      <c r="N47" s="60">
        <v>451.2</v>
      </c>
      <c r="O47" s="60">
        <v>0</v>
      </c>
      <c r="P47" s="60">
        <v>1.18</v>
      </c>
      <c r="Q47" s="60">
        <v>22.05</v>
      </c>
      <c r="R47" s="198"/>
      <c r="S47" s="198"/>
      <c r="T47" s="198"/>
      <c r="U47" s="198"/>
    </row>
    <row r="48" spans="1:21" s="12" customFormat="1" x14ac:dyDescent="0.25">
      <c r="A48" s="201" t="s">
        <v>956</v>
      </c>
      <c r="B48" s="60">
        <v>27.11</v>
      </c>
      <c r="C48" s="60">
        <v>69.010000000000005</v>
      </c>
      <c r="D48" s="60">
        <v>58.63</v>
      </c>
      <c r="E48" s="60">
        <v>8.56</v>
      </c>
      <c r="F48" s="60">
        <v>3.78</v>
      </c>
      <c r="G48" s="60">
        <v>89.94</v>
      </c>
      <c r="H48" s="60">
        <v>46.37</v>
      </c>
      <c r="I48" s="210" t="s">
        <v>36</v>
      </c>
      <c r="J48" s="60">
        <v>1.18</v>
      </c>
      <c r="K48" s="60">
        <v>107.89</v>
      </c>
      <c r="L48" s="60">
        <v>26.56</v>
      </c>
      <c r="M48" s="60">
        <v>33.020000000000003</v>
      </c>
      <c r="N48" s="60">
        <v>471.7</v>
      </c>
      <c r="O48" s="60">
        <v>0</v>
      </c>
      <c r="P48" s="60">
        <v>1.1399999999999999</v>
      </c>
      <c r="Q48" s="60">
        <v>21.91</v>
      </c>
      <c r="R48" s="198"/>
      <c r="S48" s="198"/>
      <c r="T48" s="198"/>
      <c r="U48" s="198"/>
    </row>
    <row r="49" spans="1:21" s="12" customFormat="1" x14ac:dyDescent="0.25">
      <c r="A49" s="201" t="s">
        <v>957</v>
      </c>
      <c r="B49" s="60">
        <v>24.3</v>
      </c>
      <c r="C49" s="60">
        <v>68.3</v>
      </c>
      <c r="D49" s="60">
        <v>55.99</v>
      </c>
      <c r="E49" s="60">
        <v>7.97</v>
      </c>
      <c r="F49" s="60">
        <v>3.96</v>
      </c>
      <c r="G49" s="60">
        <v>89.94</v>
      </c>
      <c r="H49" s="60">
        <v>46.37</v>
      </c>
      <c r="I49" s="210" t="s">
        <v>36</v>
      </c>
      <c r="J49" s="60">
        <v>1.29</v>
      </c>
      <c r="K49" s="60">
        <v>107.12</v>
      </c>
      <c r="L49" s="60">
        <v>27.55</v>
      </c>
      <c r="M49" s="60">
        <v>30.41</v>
      </c>
      <c r="N49" s="60">
        <v>493</v>
      </c>
      <c r="O49" s="60">
        <v>0</v>
      </c>
      <c r="P49" s="60">
        <v>1.0900000000000001</v>
      </c>
      <c r="Q49" s="60">
        <v>20.85</v>
      </c>
      <c r="R49" s="198"/>
      <c r="S49" s="198"/>
      <c r="T49" s="198"/>
      <c r="U49" s="198"/>
    </row>
    <row r="50" spans="1:21" s="12" customFormat="1" x14ac:dyDescent="0.25">
      <c r="A50" s="201" t="s">
        <v>958</v>
      </c>
      <c r="B50" s="60">
        <v>21.86</v>
      </c>
      <c r="C50" s="60">
        <v>66.650000000000006</v>
      </c>
      <c r="D50" s="60">
        <v>53.12</v>
      </c>
      <c r="E50" s="60">
        <v>7.52</v>
      </c>
      <c r="F50" s="60">
        <v>4.53</v>
      </c>
      <c r="G50" s="60">
        <v>70.75</v>
      </c>
      <c r="H50" s="60">
        <v>40.56</v>
      </c>
      <c r="I50" s="210" t="s">
        <v>36</v>
      </c>
      <c r="J50" s="60">
        <v>1.3</v>
      </c>
      <c r="K50" s="60">
        <v>111.28</v>
      </c>
      <c r="L50" s="60">
        <v>27.48</v>
      </c>
      <c r="M50" s="60">
        <v>31.08</v>
      </c>
      <c r="N50" s="60">
        <v>501.5</v>
      </c>
      <c r="O50" s="60">
        <v>0</v>
      </c>
      <c r="P50" s="60">
        <v>1.05</v>
      </c>
      <c r="Q50" s="60">
        <v>19.350000000000001</v>
      </c>
      <c r="R50" s="198"/>
      <c r="S50" s="198"/>
      <c r="T50" s="198"/>
      <c r="U50" s="198"/>
    </row>
    <row r="51" spans="1:21" s="12" customFormat="1" x14ac:dyDescent="0.25">
      <c r="A51" s="201" t="s">
        <v>959</v>
      </c>
      <c r="B51" s="60">
        <v>16.53</v>
      </c>
      <c r="C51" s="60">
        <v>61.91</v>
      </c>
      <c r="D51" s="60">
        <v>46.23</v>
      </c>
      <c r="E51" s="60">
        <v>11.1</v>
      </c>
      <c r="F51" s="60">
        <v>9.9</v>
      </c>
      <c r="G51" s="60">
        <v>55.4</v>
      </c>
      <c r="H51" s="60">
        <v>35.92</v>
      </c>
      <c r="I51" s="210" t="s">
        <v>36</v>
      </c>
      <c r="J51" s="60">
        <v>0.79</v>
      </c>
      <c r="K51" s="60">
        <v>20.13</v>
      </c>
      <c r="L51" s="60">
        <v>31.08</v>
      </c>
      <c r="M51" s="60">
        <v>24.67</v>
      </c>
      <c r="N51" s="60">
        <v>508.6</v>
      </c>
      <c r="O51" s="60">
        <v>0</v>
      </c>
      <c r="P51" s="60">
        <v>0.94</v>
      </c>
      <c r="Q51" s="215" t="s">
        <v>42</v>
      </c>
      <c r="R51" s="198"/>
      <c r="S51" s="198"/>
      <c r="T51" s="198"/>
      <c r="U51" s="198"/>
    </row>
    <row r="52" spans="1:21" s="12" customFormat="1" x14ac:dyDescent="0.25">
      <c r="A52" s="201" t="s">
        <v>960</v>
      </c>
      <c r="B52" s="60">
        <v>6.3</v>
      </c>
      <c r="C52" s="60">
        <v>54.28</v>
      </c>
      <c r="D52" s="60">
        <v>33.82</v>
      </c>
      <c r="E52" s="60">
        <v>10.69</v>
      </c>
      <c r="F52" s="60">
        <v>322.89999999999998</v>
      </c>
      <c r="G52" s="60">
        <v>55.4</v>
      </c>
      <c r="H52" s="60">
        <v>35.92</v>
      </c>
      <c r="I52" s="60">
        <v>0.57999999999999996</v>
      </c>
      <c r="J52" s="60">
        <v>0.64</v>
      </c>
      <c r="K52" s="60">
        <v>123.65</v>
      </c>
      <c r="L52" s="60">
        <v>30.03</v>
      </c>
      <c r="M52" s="60">
        <v>26.67</v>
      </c>
      <c r="N52" s="60">
        <v>535.5</v>
      </c>
      <c r="O52" s="60">
        <v>0</v>
      </c>
      <c r="P52" s="60">
        <v>0.7</v>
      </c>
      <c r="Q52" s="215" t="s">
        <v>42</v>
      </c>
      <c r="R52" s="198"/>
      <c r="S52" s="198"/>
      <c r="T52" s="198"/>
      <c r="U52" s="198"/>
    </row>
    <row r="53" spans="1:21" s="12" customFormat="1" x14ac:dyDescent="0.25">
      <c r="A53" s="201" t="s">
        <v>961</v>
      </c>
      <c r="B53" s="60">
        <v>11.64</v>
      </c>
      <c r="C53" s="60">
        <v>51.9</v>
      </c>
      <c r="D53" s="60">
        <v>36.79</v>
      </c>
      <c r="E53" s="60">
        <v>112.37</v>
      </c>
      <c r="F53" s="60">
        <v>20.81</v>
      </c>
      <c r="G53" s="60">
        <v>55.4</v>
      </c>
      <c r="H53" s="60">
        <v>35.92</v>
      </c>
      <c r="I53" s="60">
        <v>0.57999999999999996</v>
      </c>
      <c r="J53" s="60">
        <v>0.91</v>
      </c>
      <c r="K53" s="60">
        <v>16.32</v>
      </c>
      <c r="L53" s="60">
        <v>32.33</v>
      </c>
      <c r="M53" s="60">
        <v>22.76</v>
      </c>
      <c r="N53" s="60">
        <v>533.4</v>
      </c>
      <c r="O53" s="60">
        <v>0</v>
      </c>
      <c r="P53" s="60">
        <v>0.68</v>
      </c>
      <c r="Q53" s="215" t="s">
        <v>42</v>
      </c>
      <c r="R53" s="198"/>
      <c r="S53" s="198"/>
      <c r="T53" s="198"/>
      <c r="U53" s="198"/>
    </row>
    <row r="54" spans="1:21" s="12" customFormat="1" x14ac:dyDescent="0.25">
      <c r="A54" s="201" t="s">
        <v>962</v>
      </c>
      <c r="B54" s="60">
        <v>9.35</v>
      </c>
      <c r="C54" s="60">
        <v>49.81</v>
      </c>
      <c r="D54" s="60">
        <v>33.799999999999997</v>
      </c>
      <c r="E54" s="60">
        <v>25.45</v>
      </c>
      <c r="F54" s="60">
        <v>17.54</v>
      </c>
      <c r="G54" s="60">
        <v>55.4</v>
      </c>
      <c r="H54" s="60">
        <v>35.92</v>
      </c>
      <c r="I54" s="60">
        <v>0.51</v>
      </c>
      <c r="J54" s="60">
        <v>0.88</v>
      </c>
      <c r="K54" s="60">
        <v>5.22</v>
      </c>
      <c r="L54" s="60">
        <v>34.19</v>
      </c>
      <c r="M54" s="60">
        <v>20.69</v>
      </c>
      <c r="N54" s="60">
        <v>547.4</v>
      </c>
      <c r="O54" s="60">
        <v>0</v>
      </c>
      <c r="P54" s="60">
        <v>0.69</v>
      </c>
      <c r="Q54" s="215" t="s">
        <v>42</v>
      </c>
      <c r="R54" s="198"/>
      <c r="S54" s="198"/>
      <c r="T54" s="198"/>
      <c r="U54" s="198"/>
    </row>
    <row r="55" spans="1:21" s="12" customFormat="1" x14ac:dyDescent="0.25">
      <c r="A55" s="201" t="s">
        <v>963</v>
      </c>
      <c r="B55" s="60">
        <v>8.11</v>
      </c>
      <c r="C55" s="60">
        <v>51.6</v>
      </c>
      <c r="D55" s="60">
        <v>33.79</v>
      </c>
      <c r="E55" s="60">
        <v>21.93</v>
      </c>
      <c r="F55" s="60">
        <v>18.87</v>
      </c>
      <c r="G55" s="60">
        <v>30.78</v>
      </c>
      <c r="H55" s="60">
        <v>19.95</v>
      </c>
      <c r="I55" s="60">
        <v>0.5</v>
      </c>
      <c r="J55" s="60">
        <v>0.59</v>
      </c>
      <c r="K55" s="60">
        <v>9.51</v>
      </c>
      <c r="L55" s="60">
        <v>34.22</v>
      </c>
      <c r="M55" s="60">
        <v>20.92</v>
      </c>
      <c r="N55" s="60">
        <v>555.1</v>
      </c>
      <c r="O55" s="60">
        <v>0</v>
      </c>
      <c r="P55" s="60">
        <v>0.74</v>
      </c>
      <c r="Q55" s="215" t="s">
        <v>42</v>
      </c>
      <c r="R55" s="198"/>
      <c r="S55" s="198"/>
      <c r="T55" s="198"/>
      <c r="U55" s="198"/>
    </row>
    <row r="56" spans="1:21" s="12" customFormat="1" x14ac:dyDescent="0.25">
      <c r="A56" s="201" t="s">
        <v>964</v>
      </c>
      <c r="B56" s="60">
        <v>7.94</v>
      </c>
      <c r="C56" s="60">
        <v>57.96</v>
      </c>
      <c r="D56" s="60">
        <v>37.17</v>
      </c>
      <c r="E56" s="60">
        <v>4.3</v>
      </c>
      <c r="F56" s="60">
        <v>9.92</v>
      </c>
      <c r="G56" s="214" t="s">
        <v>40</v>
      </c>
      <c r="H56" s="214" t="s">
        <v>40</v>
      </c>
      <c r="I56" s="60">
        <v>0.5</v>
      </c>
      <c r="J56" s="60">
        <v>1</v>
      </c>
      <c r="K56" s="60">
        <v>9.93</v>
      </c>
      <c r="L56" s="60">
        <v>34.659999999999997</v>
      </c>
      <c r="M56" s="60">
        <v>19.34</v>
      </c>
      <c r="N56" s="60">
        <v>564.20000000000005</v>
      </c>
      <c r="O56" s="60">
        <v>0</v>
      </c>
      <c r="P56" s="60">
        <v>0.81</v>
      </c>
      <c r="Q56" s="215" t="s">
        <v>42</v>
      </c>
      <c r="R56" s="198"/>
      <c r="S56" s="198"/>
      <c r="T56" s="198"/>
      <c r="U56" s="198"/>
    </row>
    <row r="57" spans="1:21" s="12" customFormat="1" x14ac:dyDescent="0.25">
      <c r="A57" s="201" t="s">
        <v>965</v>
      </c>
      <c r="B57" s="60">
        <v>6.31</v>
      </c>
      <c r="C57" s="60">
        <v>58.52</v>
      </c>
      <c r="D57" s="60">
        <v>36.159999999999997</v>
      </c>
      <c r="E57" s="60">
        <v>6.88</v>
      </c>
      <c r="F57" s="60">
        <v>11.96</v>
      </c>
      <c r="G57" s="214" t="s">
        <v>40</v>
      </c>
      <c r="H57" s="214" t="s">
        <v>40</v>
      </c>
      <c r="I57" s="60">
        <v>0.51</v>
      </c>
      <c r="J57" s="60">
        <v>0.84</v>
      </c>
      <c r="K57" s="60">
        <v>359.71</v>
      </c>
      <c r="L57" s="60">
        <v>34.869999999999997</v>
      </c>
      <c r="M57" s="60">
        <v>18.45</v>
      </c>
      <c r="N57" s="60">
        <v>598.70000000000005</v>
      </c>
      <c r="O57" s="60">
        <v>0</v>
      </c>
      <c r="P57" s="60">
        <v>0.74</v>
      </c>
      <c r="Q57" s="215" t="s">
        <v>42</v>
      </c>
      <c r="R57" s="198"/>
      <c r="S57" s="198"/>
      <c r="T57" s="198"/>
      <c r="U57" s="198"/>
    </row>
    <row r="58" spans="1:21" s="12" customFormat="1" x14ac:dyDescent="0.25">
      <c r="A58" s="201" t="s">
        <v>966</v>
      </c>
      <c r="B58" s="60">
        <v>5.5</v>
      </c>
      <c r="C58" s="60">
        <v>55.74</v>
      </c>
      <c r="D58" s="60">
        <v>33.979999999999997</v>
      </c>
      <c r="E58" s="60">
        <v>6.66</v>
      </c>
      <c r="F58" s="60">
        <v>10.15</v>
      </c>
      <c r="G58" s="214" t="s">
        <v>40</v>
      </c>
      <c r="H58" s="214" t="s">
        <v>40</v>
      </c>
      <c r="I58" s="60">
        <v>0.56000000000000005</v>
      </c>
      <c r="J58" s="60">
        <v>0.76</v>
      </c>
      <c r="K58" s="60">
        <v>0.98</v>
      </c>
      <c r="L58" s="60">
        <v>34.97</v>
      </c>
      <c r="M58" s="60">
        <v>18.2</v>
      </c>
      <c r="N58" s="60">
        <v>609.5</v>
      </c>
      <c r="O58" s="60">
        <v>0</v>
      </c>
      <c r="P58" s="60">
        <v>0.7</v>
      </c>
      <c r="Q58" s="215" t="s">
        <v>42</v>
      </c>
      <c r="R58" s="198"/>
      <c r="S58" s="198"/>
      <c r="T58" s="198"/>
      <c r="U58" s="198"/>
    </row>
    <row r="59" spans="1:21" s="12" customFormat="1" x14ac:dyDescent="0.25">
      <c r="A59" s="201" t="s">
        <v>967</v>
      </c>
      <c r="B59" s="60">
        <v>5.05</v>
      </c>
      <c r="C59" s="60">
        <v>52.25</v>
      </c>
      <c r="D59" s="60">
        <v>31.69</v>
      </c>
      <c r="E59" s="60">
        <v>5.62</v>
      </c>
      <c r="F59" s="60">
        <v>11.95</v>
      </c>
      <c r="G59" s="60">
        <v>25.77</v>
      </c>
      <c r="H59" s="60">
        <v>9.76</v>
      </c>
      <c r="I59" s="60">
        <v>0.54</v>
      </c>
      <c r="J59" s="60">
        <v>1.1599999999999999</v>
      </c>
      <c r="K59" s="60">
        <v>13.8</v>
      </c>
      <c r="L59" s="60">
        <v>33.94</v>
      </c>
      <c r="M59" s="60">
        <v>19.46</v>
      </c>
      <c r="N59" s="60">
        <v>601.70000000000005</v>
      </c>
      <c r="O59" s="60">
        <v>0</v>
      </c>
      <c r="P59" s="60">
        <v>0.67</v>
      </c>
      <c r="Q59" s="215" t="s">
        <v>42</v>
      </c>
      <c r="R59" s="198"/>
      <c r="S59" s="198"/>
      <c r="T59" s="198"/>
      <c r="U59" s="198"/>
    </row>
    <row r="60" spans="1:21" s="12" customFormat="1" x14ac:dyDescent="0.25">
      <c r="A60" s="201" t="s">
        <v>968</v>
      </c>
      <c r="B60" s="60">
        <v>6.5</v>
      </c>
      <c r="C60" s="60">
        <v>48.91</v>
      </c>
      <c r="D60" s="60">
        <v>31.02</v>
      </c>
      <c r="E60" s="60">
        <v>6.38</v>
      </c>
      <c r="F60" s="60">
        <v>12.12</v>
      </c>
      <c r="G60" s="60">
        <v>56.57</v>
      </c>
      <c r="H60" s="60">
        <v>21.43</v>
      </c>
      <c r="I60" s="60">
        <v>0.53</v>
      </c>
      <c r="J60" s="60">
        <v>0.8</v>
      </c>
      <c r="K60" s="60">
        <v>10.4</v>
      </c>
      <c r="L60" s="60">
        <v>34.69</v>
      </c>
      <c r="M60" s="60">
        <v>19.21</v>
      </c>
      <c r="N60" s="60">
        <v>570.6</v>
      </c>
      <c r="O60" s="60">
        <v>0</v>
      </c>
      <c r="P60" s="60">
        <v>0.66</v>
      </c>
      <c r="Q60" s="215" t="s">
        <v>42</v>
      </c>
      <c r="R60" s="198"/>
      <c r="S60" s="198"/>
      <c r="T60" s="198"/>
      <c r="U60" s="198"/>
    </row>
    <row r="61" spans="1:21" s="12" customFormat="1" x14ac:dyDescent="0.25">
      <c r="A61" s="201" t="s">
        <v>969</v>
      </c>
      <c r="B61" s="60">
        <v>4.95</v>
      </c>
      <c r="C61" s="60">
        <v>52.73</v>
      </c>
      <c r="D61" s="60">
        <v>31.88</v>
      </c>
      <c r="E61" s="60">
        <v>4.29</v>
      </c>
      <c r="F61" s="60">
        <v>9.08</v>
      </c>
      <c r="G61" s="60">
        <v>56.57</v>
      </c>
      <c r="H61" s="60">
        <v>21.43</v>
      </c>
      <c r="I61" s="60">
        <v>0.52</v>
      </c>
      <c r="J61" s="60">
        <v>1.03</v>
      </c>
      <c r="K61" s="60">
        <v>354.85</v>
      </c>
      <c r="L61" s="60">
        <v>34.979999999999997</v>
      </c>
      <c r="M61" s="60">
        <v>19.25</v>
      </c>
      <c r="N61" s="60">
        <v>554</v>
      </c>
      <c r="O61" s="60">
        <v>0</v>
      </c>
      <c r="P61" s="60">
        <v>0.61</v>
      </c>
      <c r="Q61" s="215" t="s">
        <v>42</v>
      </c>
      <c r="R61" s="198"/>
      <c r="S61" s="198"/>
      <c r="T61" s="198"/>
      <c r="U61" s="198"/>
    </row>
    <row r="62" spans="1:21" s="12" customFormat="1" x14ac:dyDescent="0.25">
      <c r="A62" s="201" t="s">
        <v>970</v>
      </c>
      <c r="B62" s="60">
        <v>4.43</v>
      </c>
      <c r="C62" s="60">
        <v>53.63</v>
      </c>
      <c r="D62" s="60">
        <v>31.96</v>
      </c>
      <c r="E62" s="60">
        <v>3.84</v>
      </c>
      <c r="F62" s="60">
        <v>7.2</v>
      </c>
      <c r="G62" s="60">
        <v>76.150000000000006</v>
      </c>
      <c r="H62" s="60">
        <v>21.43</v>
      </c>
      <c r="I62" s="60">
        <v>0.52</v>
      </c>
      <c r="J62" s="60">
        <v>0.38</v>
      </c>
      <c r="K62" s="60">
        <v>336.81</v>
      </c>
      <c r="L62" s="60">
        <v>34.1</v>
      </c>
      <c r="M62" s="60">
        <v>20.010000000000002</v>
      </c>
      <c r="N62" s="60">
        <v>523.29999999999995</v>
      </c>
      <c r="O62" s="60">
        <v>0</v>
      </c>
      <c r="P62" s="60">
        <v>0.64</v>
      </c>
      <c r="Q62" s="215" t="s">
        <v>42</v>
      </c>
      <c r="R62" s="198"/>
      <c r="S62" s="198"/>
      <c r="T62" s="198"/>
      <c r="U62" s="198"/>
    </row>
    <row r="63" spans="1:21" s="12" customFormat="1" x14ac:dyDescent="0.25">
      <c r="A63" s="201" t="s">
        <v>971</v>
      </c>
      <c r="B63" s="212" t="s">
        <v>32</v>
      </c>
      <c r="C63" s="212" t="s">
        <v>32</v>
      </c>
      <c r="D63" s="212" t="s">
        <v>32</v>
      </c>
      <c r="E63" s="212" t="s">
        <v>32</v>
      </c>
      <c r="F63" s="212" t="s">
        <v>32</v>
      </c>
      <c r="G63" s="212" t="s">
        <v>32</v>
      </c>
      <c r="H63" s="212" t="s">
        <v>32</v>
      </c>
      <c r="I63" s="212" t="s">
        <v>32</v>
      </c>
      <c r="J63" s="212" t="s">
        <v>32</v>
      </c>
      <c r="K63" s="212" t="s">
        <v>32</v>
      </c>
      <c r="L63" s="212" t="s">
        <v>32</v>
      </c>
      <c r="M63" s="212" t="s">
        <v>32</v>
      </c>
      <c r="N63" s="212" t="s">
        <v>32</v>
      </c>
      <c r="O63" s="212" t="s">
        <v>32</v>
      </c>
      <c r="P63" s="212" t="s">
        <v>32</v>
      </c>
      <c r="Q63" s="212" t="s">
        <v>32</v>
      </c>
      <c r="R63" s="198"/>
      <c r="S63" s="198"/>
      <c r="T63" s="198"/>
      <c r="U63" s="198"/>
    </row>
    <row r="64" spans="1:21" s="12" customFormat="1" x14ac:dyDescent="0.25">
      <c r="A64" s="201" t="s">
        <v>972</v>
      </c>
      <c r="B64" s="212" t="s">
        <v>32</v>
      </c>
      <c r="C64" s="212" t="s">
        <v>32</v>
      </c>
      <c r="D64" s="212" t="s">
        <v>32</v>
      </c>
      <c r="E64" s="212" t="s">
        <v>32</v>
      </c>
      <c r="F64" s="212" t="s">
        <v>32</v>
      </c>
      <c r="G64" s="212" t="s">
        <v>32</v>
      </c>
      <c r="H64" s="212" t="s">
        <v>32</v>
      </c>
      <c r="I64" s="212" t="s">
        <v>32</v>
      </c>
      <c r="J64" s="212" t="s">
        <v>32</v>
      </c>
      <c r="K64" s="212" t="s">
        <v>32</v>
      </c>
      <c r="L64" s="212" t="s">
        <v>32</v>
      </c>
      <c r="M64" s="212" t="s">
        <v>32</v>
      </c>
      <c r="N64" s="212" t="s">
        <v>32</v>
      </c>
      <c r="O64" s="212" t="s">
        <v>32</v>
      </c>
      <c r="P64" s="212" t="s">
        <v>32</v>
      </c>
      <c r="Q64" s="212" t="s">
        <v>32</v>
      </c>
      <c r="R64" s="198"/>
      <c r="S64" s="198"/>
      <c r="T64" s="198"/>
      <c r="U64" s="198"/>
    </row>
    <row r="65" spans="1:21" s="12" customFormat="1" x14ac:dyDescent="0.25">
      <c r="A65" s="201" t="s">
        <v>973</v>
      </c>
      <c r="B65" s="212" t="s">
        <v>32</v>
      </c>
      <c r="C65" s="212" t="s">
        <v>32</v>
      </c>
      <c r="D65" s="212" t="s">
        <v>32</v>
      </c>
      <c r="E65" s="212" t="s">
        <v>32</v>
      </c>
      <c r="F65" s="212" t="s">
        <v>32</v>
      </c>
      <c r="G65" s="212" t="s">
        <v>32</v>
      </c>
      <c r="H65" s="212" t="s">
        <v>32</v>
      </c>
      <c r="I65" s="212" t="s">
        <v>32</v>
      </c>
      <c r="J65" s="212" t="s">
        <v>32</v>
      </c>
      <c r="K65" s="212" t="s">
        <v>32</v>
      </c>
      <c r="L65" s="212" t="s">
        <v>32</v>
      </c>
      <c r="M65" s="212" t="s">
        <v>32</v>
      </c>
      <c r="N65" s="212" t="s">
        <v>32</v>
      </c>
      <c r="O65" s="212" t="s">
        <v>32</v>
      </c>
      <c r="P65" s="212" t="s">
        <v>32</v>
      </c>
      <c r="Q65" s="212" t="s">
        <v>32</v>
      </c>
      <c r="R65" s="198"/>
      <c r="S65" s="198"/>
      <c r="T65" s="198"/>
      <c r="U65" s="198"/>
    </row>
    <row r="66" spans="1:21" s="12" customFormat="1" x14ac:dyDescent="0.25">
      <c r="A66" s="201" t="s">
        <v>974</v>
      </c>
      <c r="B66" s="212" t="s">
        <v>32</v>
      </c>
      <c r="C66" s="212" t="s">
        <v>32</v>
      </c>
      <c r="D66" s="212" t="s">
        <v>32</v>
      </c>
      <c r="E66" s="212" t="s">
        <v>32</v>
      </c>
      <c r="F66" s="212" t="s">
        <v>32</v>
      </c>
      <c r="G66" s="212" t="s">
        <v>32</v>
      </c>
      <c r="H66" s="212" t="s">
        <v>32</v>
      </c>
      <c r="I66" s="212" t="s">
        <v>32</v>
      </c>
      <c r="J66" s="212" t="s">
        <v>32</v>
      </c>
      <c r="K66" s="212" t="s">
        <v>32</v>
      </c>
      <c r="L66" s="212" t="s">
        <v>32</v>
      </c>
      <c r="M66" s="212" t="s">
        <v>32</v>
      </c>
      <c r="N66" s="212" t="s">
        <v>32</v>
      </c>
      <c r="O66" s="212" t="s">
        <v>32</v>
      </c>
      <c r="P66" s="212" t="s">
        <v>32</v>
      </c>
      <c r="Q66" s="212" t="s">
        <v>32</v>
      </c>
      <c r="R66" s="198"/>
      <c r="S66" s="198"/>
      <c r="T66" s="198"/>
      <c r="U66" s="198"/>
    </row>
    <row r="67" spans="1:21" s="12" customFormat="1" x14ac:dyDescent="0.25">
      <c r="A67" s="201" t="s">
        <v>975</v>
      </c>
      <c r="B67" s="212" t="s">
        <v>32</v>
      </c>
      <c r="C67" s="212" t="s">
        <v>32</v>
      </c>
      <c r="D67" s="212" t="s">
        <v>32</v>
      </c>
      <c r="E67" s="212" t="s">
        <v>32</v>
      </c>
      <c r="F67" s="212" t="s">
        <v>32</v>
      </c>
      <c r="G67" s="212" t="s">
        <v>32</v>
      </c>
      <c r="H67" s="212" t="s">
        <v>32</v>
      </c>
      <c r="I67" s="212" t="s">
        <v>32</v>
      </c>
      <c r="J67" s="212" t="s">
        <v>32</v>
      </c>
      <c r="K67" s="212" t="s">
        <v>32</v>
      </c>
      <c r="L67" s="212" t="s">
        <v>32</v>
      </c>
      <c r="M67" s="212" t="s">
        <v>32</v>
      </c>
      <c r="N67" s="212" t="s">
        <v>32</v>
      </c>
      <c r="O67" s="212" t="s">
        <v>32</v>
      </c>
      <c r="P67" s="212" t="s">
        <v>32</v>
      </c>
      <c r="Q67" s="212" t="s">
        <v>32</v>
      </c>
      <c r="R67" s="198"/>
      <c r="S67" s="198"/>
      <c r="T67" s="198"/>
      <c r="U67" s="198"/>
    </row>
    <row r="68" spans="1:21" s="12" customFormat="1" x14ac:dyDescent="0.25">
      <c r="A68" s="201" t="s">
        <v>976</v>
      </c>
      <c r="B68" s="212" t="s">
        <v>32</v>
      </c>
      <c r="C68" s="212" t="s">
        <v>32</v>
      </c>
      <c r="D68" s="212" t="s">
        <v>32</v>
      </c>
      <c r="E68" s="212" t="s">
        <v>32</v>
      </c>
      <c r="F68" s="212" t="s">
        <v>32</v>
      </c>
      <c r="G68" s="212" t="s">
        <v>32</v>
      </c>
      <c r="H68" s="212" t="s">
        <v>32</v>
      </c>
      <c r="I68" s="212" t="s">
        <v>32</v>
      </c>
      <c r="J68" s="212" t="s">
        <v>32</v>
      </c>
      <c r="K68" s="212" t="s">
        <v>32</v>
      </c>
      <c r="L68" s="212" t="s">
        <v>32</v>
      </c>
      <c r="M68" s="212" t="s">
        <v>32</v>
      </c>
      <c r="N68" s="212" t="s">
        <v>32</v>
      </c>
      <c r="O68" s="212" t="s">
        <v>32</v>
      </c>
      <c r="P68" s="212" t="s">
        <v>32</v>
      </c>
      <c r="Q68" s="212" t="s">
        <v>32</v>
      </c>
      <c r="R68" s="198"/>
      <c r="S68" s="198"/>
      <c r="T68" s="198"/>
      <c r="U68" s="198"/>
    </row>
    <row r="69" spans="1:21" s="12" customFormat="1" x14ac:dyDescent="0.25">
      <c r="A69" s="201" t="s">
        <v>977</v>
      </c>
      <c r="B69" s="212" t="s">
        <v>32</v>
      </c>
      <c r="C69" s="212" t="s">
        <v>32</v>
      </c>
      <c r="D69" s="212" t="s">
        <v>32</v>
      </c>
      <c r="E69" s="212" t="s">
        <v>32</v>
      </c>
      <c r="F69" s="212" t="s">
        <v>32</v>
      </c>
      <c r="G69" s="212" t="s">
        <v>32</v>
      </c>
      <c r="H69" s="212" t="s">
        <v>32</v>
      </c>
      <c r="I69" s="212" t="s">
        <v>32</v>
      </c>
      <c r="J69" s="212" t="s">
        <v>32</v>
      </c>
      <c r="K69" s="212" t="s">
        <v>32</v>
      </c>
      <c r="L69" s="212" t="s">
        <v>32</v>
      </c>
      <c r="M69" s="212" t="s">
        <v>32</v>
      </c>
      <c r="N69" s="212" t="s">
        <v>32</v>
      </c>
      <c r="O69" s="212" t="s">
        <v>32</v>
      </c>
      <c r="P69" s="212" t="s">
        <v>32</v>
      </c>
      <c r="Q69" s="212" t="s">
        <v>32</v>
      </c>
      <c r="R69" s="198"/>
      <c r="S69" s="198"/>
      <c r="T69" s="198"/>
      <c r="U69" s="198"/>
    </row>
    <row r="70" spans="1:21" s="12" customFormat="1" x14ac:dyDescent="0.25">
      <c r="A70" s="201" t="s">
        <v>978</v>
      </c>
      <c r="B70" s="212" t="s">
        <v>32</v>
      </c>
      <c r="C70" s="212" t="s">
        <v>32</v>
      </c>
      <c r="D70" s="212" t="s">
        <v>32</v>
      </c>
      <c r="E70" s="212" t="s">
        <v>32</v>
      </c>
      <c r="F70" s="212" t="s">
        <v>32</v>
      </c>
      <c r="G70" s="212" t="s">
        <v>32</v>
      </c>
      <c r="H70" s="212" t="s">
        <v>32</v>
      </c>
      <c r="I70" s="212" t="s">
        <v>32</v>
      </c>
      <c r="J70" s="212" t="s">
        <v>32</v>
      </c>
      <c r="K70" s="212" t="s">
        <v>32</v>
      </c>
      <c r="L70" s="212" t="s">
        <v>32</v>
      </c>
      <c r="M70" s="212" t="s">
        <v>32</v>
      </c>
      <c r="N70" s="212" t="s">
        <v>32</v>
      </c>
      <c r="O70" s="212" t="s">
        <v>32</v>
      </c>
      <c r="P70" s="212" t="s">
        <v>32</v>
      </c>
      <c r="Q70" s="212" t="s">
        <v>32</v>
      </c>
      <c r="R70" s="198"/>
      <c r="S70" s="198"/>
      <c r="T70" s="198"/>
      <c r="U70" s="198"/>
    </row>
    <row r="71" spans="1:21" s="12" customFormat="1" x14ac:dyDescent="0.25">
      <c r="A71" s="201" t="s">
        <v>979</v>
      </c>
      <c r="B71" s="213" t="s">
        <v>49</v>
      </c>
      <c r="C71" s="213" t="s">
        <v>49</v>
      </c>
      <c r="D71" s="213" t="s">
        <v>49</v>
      </c>
      <c r="E71" s="213" t="s">
        <v>49</v>
      </c>
      <c r="F71" s="60">
        <v>19.25</v>
      </c>
      <c r="G71" s="60">
        <v>56.57</v>
      </c>
      <c r="H71" s="60">
        <v>21.43</v>
      </c>
      <c r="I71" s="215" t="s">
        <v>42</v>
      </c>
      <c r="J71" s="60">
        <v>0.41</v>
      </c>
      <c r="K71" s="60">
        <v>352.42</v>
      </c>
      <c r="L71" s="60">
        <v>32.78</v>
      </c>
      <c r="M71" s="60">
        <v>20.420000000000002</v>
      </c>
      <c r="N71" s="60">
        <v>118.2</v>
      </c>
      <c r="O71" s="60">
        <v>0</v>
      </c>
      <c r="P71" s="213" t="s">
        <v>49</v>
      </c>
      <c r="Q71" s="213" t="s">
        <v>49</v>
      </c>
      <c r="R71" s="198"/>
      <c r="S71" s="198"/>
      <c r="T71" s="198"/>
      <c r="U71" s="198"/>
    </row>
    <row r="72" spans="1:21" s="12" customFormat="1" x14ac:dyDescent="0.25">
      <c r="A72" s="201" t="s">
        <v>980</v>
      </c>
      <c r="B72" s="213" t="s">
        <v>49</v>
      </c>
      <c r="C72" s="213" t="s">
        <v>49</v>
      </c>
      <c r="D72" s="213" t="s">
        <v>49</v>
      </c>
      <c r="E72" s="60">
        <v>32.96</v>
      </c>
      <c r="F72" s="60">
        <v>14.34</v>
      </c>
      <c r="G72" s="60">
        <v>50.34</v>
      </c>
      <c r="H72" s="60">
        <v>18.440000000000001</v>
      </c>
      <c r="I72" s="215" t="s">
        <v>42</v>
      </c>
      <c r="J72" s="60">
        <v>0.67</v>
      </c>
      <c r="K72" s="60">
        <v>347.18</v>
      </c>
      <c r="L72" s="60">
        <v>31.96</v>
      </c>
      <c r="M72" s="60">
        <v>20.95</v>
      </c>
      <c r="N72" s="60">
        <v>169.5</v>
      </c>
      <c r="O72" s="60">
        <v>0</v>
      </c>
      <c r="P72" s="60">
        <v>0.38</v>
      </c>
      <c r="Q72" s="215" t="s">
        <v>42</v>
      </c>
      <c r="R72" s="198"/>
      <c r="S72" s="198"/>
      <c r="T72" s="198"/>
      <c r="U72" s="198"/>
    </row>
    <row r="73" spans="1:21" s="12" customFormat="1" x14ac:dyDescent="0.25">
      <c r="A73" s="201" t="s">
        <v>981</v>
      </c>
      <c r="B73" s="60">
        <v>3.18</v>
      </c>
      <c r="C73" s="60">
        <v>35.159999999999997</v>
      </c>
      <c r="D73" s="60">
        <v>20.77</v>
      </c>
      <c r="E73" s="60">
        <v>0.1</v>
      </c>
      <c r="F73" s="60">
        <v>8.61</v>
      </c>
      <c r="G73" s="60">
        <v>50.2</v>
      </c>
      <c r="H73" s="60">
        <v>18.329999999999998</v>
      </c>
      <c r="I73" s="215" t="s">
        <v>42</v>
      </c>
      <c r="J73" s="60">
        <v>0.22</v>
      </c>
      <c r="K73" s="60">
        <v>4.55</v>
      </c>
      <c r="L73" s="60">
        <v>30.75</v>
      </c>
      <c r="M73" s="60">
        <v>21.53</v>
      </c>
      <c r="N73" s="60">
        <v>131.4</v>
      </c>
      <c r="O73" s="60">
        <v>0</v>
      </c>
      <c r="P73" s="60">
        <v>0.34</v>
      </c>
      <c r="Q73" s="215" t="s">
        <v>42</v>
      </c>
      <c r="R73" s="198"/>
      <c r="S73" s="198"/>
      <c r="T73" s="198"/>
      <c r="U73" s="198"/>
    </row>
    <row r="74" spans="1:21" s="12" customFormat="1" x14ac:dyDescent="0.25">
      <c r="A74" s="201" t="s">
        <v>982</v>
      </c>
      <c r="B74" s="60">
        <v>3.36</v>
      </c>
      <c r="C74" s="60">
        <v>35.85</v>
      </c>
      <c r="D74" s="60">
        <v>21.29</v>
      </c>
      <c r="E74" s="215" t="s">
        <v>42</v>
      </c>
      <c r="F74" s="60">
        <v>7.3</v>
      </c>
      <c r="G74" s="60">
        <v>50.2</v>
      </c>
      <c r="H74" s="60">
        <v>18.329999999999998</v>
      </c>
      <c r="I74" s="215" t="s">
        <v>42</v>
      </c>
      <c r="J74" s="60">
        <v>0.35</v>
      </c>
      <c r="K74" s="60">
        <v>348.99</v>
      </c>
      <c r="L74" s="60">
        <v>30.35</v>
      </c>
      <c r="M74" s="60">
        <v>22.53</v>
      </c>
      <c r="N74" s="60">
        <v>61.8</v>
      </c>
      <c r="O74" s="60">
        <v>0</v>
      </c>
      <c r="P74" s="60">
        <v>0.31</v>
      </c>
      <c r="Q74" s="215" t="s">
        <v>42</v>
      </c>
      <c r="R74" s="198"/>
      <c r="S74" s="198"/>
      <c r="T74" s="198"/>
      <c r="U74" s="198"/>
    </row>
    <row r="75" spans="1:21" s="12" customFormat="1" x14ac:dyDescent="0.25">
      <c r="A75" s="201" t="s">
        <v>983</v>
      </c>
      <c r="B75" s="60">
        <v>3.95</v>
      </c>
      <c r="C75" s="60">
        <v>36.450000000000003</v>
      </c>
      <c r="D75" s="60">
        <v>22.09</v>
      </c>
      <c r="E75" s="215" t="s">
        <v>42</v>
      </c>
      <c r="F75" s="60">
        <v>6.44</v>
      </c>
      <c r="G75" s="60">
        <v>48.85</v>
      </c>
      <c r="H75" s="60">
        <v>17.579999999999998</v>
      </c>
      <c r="I75" s="60">
        <v>0.26</v>
      </c>
      <c r="J75" s="60">
        <v>0.55000000000000004</v>
      </c>
      <c r="K75" s="60">
        <v>359.47</v>
      </c>
      <c r="L75" s="60">
        <v>30.05</v>
      </c>
      <c r="M75" s="60">
        <v>24.08</v>
      </c>
      <c r="N75" s="60">
        <v>53.1</v>
      </c>
      <c r="O75" s="60">
        <v>0</v>
      </c>
      <c r="P75" s="60">
        <v>0.28999999999999998</v>
      </c>
      <c r="Q75" s="215" t="s">
        <v>42</v>
      </c>
      <c r="R75" s="198"/>
      <c r="S75" s="198"/>
      <c r="T75" s="198"/>
      <c r="U75" s="198"/>
    </row>
    <row r="76" spans="1:21" s="12" customFormat="1" x14ac:dyDescent="0.25">
      <c r="A76" s="201" t="s">
        <v>984</v>
      </c>
      <c r="B76" s="60">
        <v>5.99</v>
      </c>
      <c r="C76" s="60">
        <v>37.46</v>
      </c>
      <c r="D76" s="60">
        <v>24.29</v>
      </c>
      <c r="E76" s="60">
        <v>3.74</v>
      </c>
      <c r="F76" s="60">
        <v>5.89</v>
      </c>
      <c r="G76" s="60">
        <v>47.23</v>
      </c>
      <c r="H76" s="60">
        <v>16.68</v>
      </c>
      <c r="I76" s="60">
        <v>0.53</v>
      </c>
      <c r="J76" s="60">
        <v>0.66</v>
      </c>
      <c r="K76" s="60">
        <v>2.97</v>
      </c>
      <c r="L76" s="60">
        <v>29.8</v>
      </c>
      <c r="M76" s="60">
        <v>24.34</v>
      </c>
      <c r="N76" s="60">
        <v>38.1</v>
      </c>
      <c r="O76" s="60">
        <v>0</v>
      </c>
      <c r="P76" s="60">
        <v>0.28999999999999998</v>
      </c>
      <c r="Q76" s="215" t="s">
        <v>42</v>
      </c>
      <c r="R76" s="198"/>
      <c r="S76" s="198"/>
      <c r="T76" s="198"/>
      <c r="U76" s="198"/>
    </row>
    <row r="77" spans="1:21" s="12" customFormat="1" x14ac:dyDescent="0.25">
      <c r="A77" s="201" t="s">
        <v>985</v>
      </c>
      <c r="B77" s="60">
        <v>6.28</v>
      </c>
      <c r="C77" s="60">
        <v>41.03</v>
      </c>
      <c r="D77" s="60">
        <v>26.49</v>
      </c>
      <c r="E77" s="60">
        <v>4.75</v>
      </c>
      <c r="F77" s="60">
        <v>7.13</v>
      </c>
      <c r="G77" s="60">
        <v>47.23</v>
      </c>
      <c r="H77" s="60">
        <v>16.68</v>
      </c>
      <c r="I77" s="60">
        <v>0.54</v>
      </c>
      <c r="J77" s="60">
        <v>0.41</v>
      </c>
      <c r="K77" s="60">
        <v>10.37</v>
      </c>
      <c r="L77" s="60">
        <v>29.28</v>
      </c>
      <c r="M77" s="60">
        <v>24.62</v>
      </c>
      <c r="N77" s="60">
        <v>30.4</v>
      </c>
      <c r="O77" s="60">
        <v>0</v>
      </c>
      <c r="P77" s="60">
        <v>0.3</v>
      </c>
      <c r="Q77" s="60">
        <v>3</v>
      </c>
      <c r="R77" s="198"/>
      <c r="S77" s="198"/>
      <c r="T77" s="198"/>
      <c r="U77" s="198"/>
    </row>
    <row r="78" spans="1:21" s="12" customFormat="1" x14ac:dyDescent="0.25">
      <c r="A78" s="201" t="s">
        <v>986</v>
      </c>
      <c r="B78" s="60">
        <v>7.49</v>
      </c>
      <c r="C78" s="60">
        <v>43.57</v>
      </c>
      <c r="D78" s="60">
        <v>28.86</v>
      </c>
      <c r="E78" s="60">
        <v>4.12</v>
      </c>
      <c r="F78" s="60">
        <v>7.42</v>
      </c>
      <c r="G78" s="60">
        <v>47.23</v>
      </c>
      <c r="H78" s="60">
        <v>16.68</v>
      </c>
      <c r="I78" s="215" t="s">
        <v>42</v>
      </c>
      <c r="J78" s="60">
        <v>0.21</v>
      </c>
      <c r="K78" s="60">
        <v>354.33</v>
      </c>
      <c r="L78" s="60">
        <v>28.73</v>
      </c>
      <c r="M78" s="60">
        <v>25.45</v>
      </c>
      <c r="N78" s="60">
        <v>21.7</v>
      </c>
      <c r="O78" s="60">
        <v>0</v>
      </c>
      <c r="P78" s="60">
        <v>0.33</v>
      </c>
      <c r="Q78" s="60">
        <v>15.57</v>
      </c>
      <c r="R78" s="198"/>
      <c r="S78" s="198"/>
      <c r="T78" s="198"/>
      <c r="U78" s="198"/>
    </row>
    <row r="79" spans="1:21" s="12" customFormat="1" x14ac:dyDescent="0.25">
      <c r="A79" s="201" t="s">
        <v>987</v>
      </c>
      <c r="B79" s="60">
        <v>12.2</v>
      </c>
      <c r="C79" s="60">
        <v>50.17</v>
      </c>
      <c r="D79" s="60">
        <v>36.28</v>
      </c>
      <c r="E79" s="60">
        <v>4.6100000000000003</v>
      </c>
      <c r="F79" s="60">
        <v>10.89</v>
      </c>
      <c r="G79" s="60">
        <v>45.33</v>
      </c>
      <c r="H79" s="60">
        <v>16.23</v>
      </c>
      <c r="I79" s="215" t="s">
        <v>42</v>
      </c>
      <c r="J79" s="60">
        <v>0.2</v>
      </c>
      <c r="K79" s="60">
        <v>339.19</v>
      </c>
      <c r="L79" s="60">
        <v>27.98</v>
      </c>
      <c r="M79" s="60">
        <v>28</v>
      </c>
      <c r="N79" s="60">
        <v>12.9</v>
      </c>
      <c r="O79" s="60">
        <v>0</v>
      </c>
      <c r="P79" s="60">
        <v>0.45</v>
      </c>
      <c r="Q79" s="60">
        <v>12.9</v>
      </c>
      <c r="R79" s="198"/>
      <c r="S79" s="198"/>
      <c r="T79" s="198"/>
      <c r="U79" s="198"/>
    </row>
    <row r="80" spans="1:21" s="12" customFormat="1" x14ac:dyDescent="0.25">
      <c r="A80" s="201" t="s">
        <v>988</v>
      </c>
      <c r="B80" s="60">
        <v>16.170000000000002</v>
      </c>
      <c r="C80" s="60">
        <v>55.31</v>
      </c>
      <c r="D80" s="60">
        <v>42.3</v>
      </c>
      <c r="E80" s="60">
        <v>4.22</v>
      </c>
      <c r="F80" s="60">
        <v>8.94</v>
      </c>
      <c r="G80" s="60">
        <v>43.06</v>
      </c>
      <c r="H80" s="60">
        <v>15.7</v>
      </c>
      <c r="I80" s="60">
        <v>0.38</v>
      </c>
      <c r="J80" s="60">
        <v>7.0000000000000007E-2</v>
      </c>
      <c r="K80" s="60">
        <v>341.12</v>
      </c>
      <c r="L80" s="60">
        <v>27.33</v>
      </c>
      <c r="M80" s="60">
        <v>29.13</v>
      </c>
      <c r="N80" s="60">
        <v>6.9</v>
      </c>
      <c r="O80" s="60">
        <v>0</v>
      </c>
      <c r="P80" s="60">
        <v>0.6</v>
      </c>
      <c r="Q80" s="60">
        <v>12.6</v>
      </c>
      <c r="R80" s="198"/>
      <c r="S80" s="198"/>
      <c r="T80" s="198"/>
      <c r="U80" s="198"/>
    </row>
    <row r="81" spans="1:26" s="12" customFormat="1" x14ac:dyDescent="0.25">
      <c r="A81" s="201" t="s">
        <v>989</v>
      </c>
      <c r="B81" s="60">
        <v>21.38</v>
      </c>
      <c r="C81" s="60">
        <v>64.36</v>
      </c>
      <c r="D81" s="60">
        <v>51.47</v>
      </c>
      <c r="E81" s="60">
        <v>4.8099999999999996</v>
      </c>
      <c r="F81" s="60">
        <v>5.64</v>
      </c>
      <c r="G81" s="60">
        <v>43.06</v>
      </c>
      <c r="H81" s="60">
        <v>15.7</v>
      </c>
      <c r="I81" s="60">
        <v>0.55000000000000004</v>
      </c>
      <c r="J81" s="60">
        <v>0.28999999999999998</v>
      </c>
      <c r="K81" s="60">
        <v>98.67</v>
      </c>
      <c r="L81" s="60">
        <v>26.95</v>
      </c>
      <c r="M81" s="60">
        <v>30.78</v>
      </c>
      <c r="N81" s="60">
        <v>4.3</v>
      </c>
      <c r="O81" s="60">
        <v>0</v>
      </c>
      <c r="P81" s="60">
        <v>0.75</v>
      </c>
      <c r="Q81" s="60">
        <v>13.66</v>
      </c>
      <c r="R81" s="198"/>
      <c r="S81" s="198"/>
      <c r="T81" s="198"/>
      <c r="U81" s="198"/>
    </row>
    <row r="82" spans="1:26" s="12" customFormat="1" x14ac:dyDescent="0.25">
      <c r="A82" s="201" t="s">
        <v>990</v>
      </c>
      <c r="B82" s="60">
        <v>25.86</v>
      </c>
      <c r="C82" s="60">
        <v>62.57</v>
      </c>
      <c r="D82" s="60">
        <v>54.08</v>
      </c>
      <c r="E82" s="60">
        <v>4.0999999999999996</v>
      </c>
      <c r="F82" s="60">
        <v>4.9400000000000004</v>
      </c>
      <c r="G82" s="60">
        <v>43.06</v>
      </c>
      <c r="H82" s="60">
        <v>15.7</v>
      </c>
      <c r="I82" s="60">
        <v>0.56999999999999995</v>
      </c>
      <c r="J82" s="60">
        <v>0.14000000000000001</v>
      </c>
      <c r="K82" s="60">
        <v>71.489999999999995</v>
      </c>
      <c r="L82" s="60">
        <v>26.03</v>
      </c>
      <c r="M82" s="60">
        <v>34.81</v>
      </c>
      <c r="N82" s="60">
        <v>4.5999999999999996</v>
      </c>
      <c r="O82" s="60">
        <v>0</v>
      </c>
      <c r="P82" s="60">
        <v>0.79</v>
      </c>
      <c r="Q82" s="60">
        <v>15.24</v>
      </c>
      <c r="R82" s="198"/>
      <c r="S82" s="198"/>
      <c r="T82" s="198"/>
      <c r="U82" s="198"/>
    </row>
    <row r="83" spans="1:26" s="12" customFormat="1" x14ac:dyDescent="0.25">
      <c r="A83" s="201" t="s">
        <v>991</v>
      </c>
      <c r="B83" s="60">
        <v>30.05</v>
      </c>
      <c r="C83" s="60">
        <v>62.43</v>
      </c>
      <c r="D83" s="60">
        <v>57.36</v>
      </c>
      <c r="E83" s="60">
        <v>4.25</v>
      </c>
      <c r="F83" s="60">
        <v>4.9400000000000004</v>
      </c>
      <c r="G83" s="60">
        <v>53.96</v>
      </c>
      <c r="H83" s="60">
        <v>18.8</v>
      </c>
      <c r="I83" s="60">
        <v>0.62</v>
      </c>
      <c r="J83" s="60">
        <v>0.13</v>
      </c>
      <c r="K83" s="60">
        <v>120.59</v>
      </c>
      <c r="L83" s="60">
        <v>24.92</v>
      </c>
      <c r="M83" s="60">
        <v>40.909999999999997</v>
      </c>
      <c r="N83" s="60">
        <v>4.5999999999999996</v>
      </c>
      <c r="O83" s="60">
        <v>0</v>
      </c>
      <c r="P83" s="60">
        <v>0.9</v>
      </c>
      <c r="Q83" s="60">
        <v>17.02</v>
      </c>
      <c r="R83" s="198"/>
      <c r="S83" s="198"/>
      <c r="T83" s="198"/>
      <c r="U83" s="198"/>
    </row>
    <row r="84" spans="1:26" s="12" customFormat="1" x14ac:dyDescent="0.25">
      <c r="A84" s="201" t="s">
        <v>992</v>
      </c>
      <c r="B84" s="60">
        <v>35.549999999999997</v>
      </c>
      <c r="C84" s="60">
        <v>63.56</v>
      </c>
      <c r="D84" s="60">
        <v>62.4</v>
      </c>
      <c r="E84" s="60">
        <v>4.0199999999999996</v>
      </c>
      <c r="F84" s="60">
        <v>4.83</v>
      </c>
      <c r="G84" s="60">
        <v>66.97</v>
      </c>
      <c r="H84" s="60">
        <v>22.51</v>
      </c>
      <c r="I84" s="60">
        <v>0.67</v>
      </c>
      <c r="J84" s="60">
        <v>0.06</v>
      </c>
      <c r="K84" s="60">
        <v>228.56</v>
      </c>
      <c r="L84" s="60">
        <v>24.32</v>
      </c>
      <c r="M84" s="60">
        <v>42.06</v>
      </c>
      <c r="N84" s="60">
        <v>4.5999999999999996</v>
      </c>
      <c r="O84" s="60">
        <v>0</v>
      </c>
      <c r="P84" s="60">
        <v>0.86</v>
      </c>
      <c r="Q84" s="60">
        <v>18.899999999999999</v>
      </c>
      <c r="R84" s="198"/>
      <c r="S84" s="198"/>
      <c r="T84" s="198"/>
      <c r="U84" s="198"/>
    </row>
    <row r="85" spans="1:26" s="12" customFormat="1" x14ac:dyDescent="0.25">
      <c r="A85" s="201" t="s">
        <v>993</v>
      </c>
      <c r="B85" s="60">
        <v>42.9</v>
      </c>
      <c r="C85" s="60">
        <v>59.91</v>
      </c>
      <c r="D85" s="60">
        <v>66.28</v>
      </c>
      <c r="E85" s="60">
        <v>4.32</v>
      </c>
      <c r="F85" s="60">
        <v>4.82</v>
      </c>
      <c r="G85" s="60">
        <v>66.97</v>
      </c>
      <c r="H85" s="60">
        <v>22.51</v>
      </c>
      <c r="I85" s="60">
        <v>0.74</v>
      </c>
      <c r="J85" s="60">
        <v>0.19</v>
      </c>
      <c r="K85" s="60">
        <v>356.09</v>
      </c>
      <c r="L85" s="60">
        <v>23.81</v>
      </c>
      <c r="M85" s="60">
        <v>51.55</v>
      </c>
      <c r="N85" s="60">
        <v>4.4000000000000004</v>
      </c>
      <c r="O85" s="60">
        <v>0</v>
      </c>
      <c r="P85" s="60">
        <v>1.36</v>
      </c>
      <c r="Q85" s="60">
        <v>19.649999999999999</v>
      </c>
      <c r="R85" s="198"/>
      <c r="S85" s="198"/>
      <c r="T85" s="198"/>
      <c r="U85" s="198"/>
    </row>
    <row r="86" spans="1:26" s="12" customFormat="1" x14ac:dyDescent="0.25">
      <c r="A86" s="201" t="s">
        <v>994</v>
      </c>
      <c r="B86" s="60">
        <v>32.06</v>
      </c>
      <c r="C86" s="60">
        <v>59.21</v>
      </c>
      <c r="D86" s="60">
        <v>57.2</v>
      </c>
      <c r="E86" s="60">
        <v>3.01</v>
      </c>
      <c r="F86" s="60">
        <v>4.6100000000000003</v>
      </c>
      <c r="G86" s="60">
        <v>66.97</v>
      </c>
      <c r="H86" s="60">
        <v>22.51</v>
      </c>
      <c r="I86" s="60">
        <v>0.79</v>
      </c>
      <c r="J86" s="60">
        <v>0.12</v>
      </c>
      <c r="K86" s="60">
        <v>242.61</v>
      </c>
      <c r="L86" s="60">
        <v>23.53</v>
      </c>
      <c r="M86" s="60">
        <v>50.69</v>
      </c>
      <c r="N86" s="60">
        <v>4</v>
      </c>
      <c r="O86" s="60">
        <v>0</v>
      </c>
      <c r="P86" s="60">
        <v>1.22</v>
      </c>
      <c r="Q86" s="60">
        <v>21.89</v>
      </c>
      <c r="R86" s="198"/>
      <c r="S86" s="198"/>
      <c r="T86" s="198"/>
      <c r="U86" s="198"/>
    </row>
    <row r="87" spans="1:26" s="12" customFormat="1" x14ac:dyDescent="0.25">
      <c r="A87" s="201" t="s">
        <v>995</v>
      </c>
      <c r="B87" s="60">
        <v>38.54</v>
      </c>
      <c r="C87" s="60">
        <v>61.58</v>
      </c>
      <c r="D87" s="60">
        <v>63.7</v>
      </c>
      <c r="E87" s="60">
        <v>2.7</v>
      </c>
      <c r="F87" s="60">
        <v>4.57</v>
      </c>
      <c r="G87" s="60">
        <v>118.29</v>
      </c>
      <c r="H87" s="60">
        <v>29.72</v>
      </c>
      <c r="I87" s="60">
        <v>0.77</v>
      </c>
      <c r="J87" s="60">
        <v>0.09</v>
      </c>
      <c r="K87" s="60">
        <v>252.94</v>
      </c>
      <c r="L87" s="60">
        <v>24.5</v>
      </c>
      <c r="M87" s="60">
        <v>38.270000000000003</v>
      </c>
      <c r="N87" s="60">
        <v>3</v>
      </c>
      <c r="O87" s="60">
        <v>0</v>
      </c>
      <c r="P87" s="60">
        <v>1.38</v>
      </c>
      <c r="Q87" s="60">
        <v>23.41</v>
      </c>
      <c r="R87" s="198"/>
      <c r="S87" s="198"/>
      <c r="T87" s="198"/>
      <c r="U87" s="198"/>
    </row>
    <row r="88" spans="1:26" s="12" customFormat="1" x14ac:dyDescent="0.25">
      <c r="A88" s="201" t="s">
        <v>996</v>
      </c>
      <c r="B88" s="60">
        <v>40.04</v>
      </c>
      <c r="C88" s="60">
        <v>61.5</v>
      </c>
      <c r="D88" s="60">
        <v>64.86</v>
      </c>
      <c r="E88" s="60">
        <v>4.41</v>
      </c>
      <c r="F88" s="60">
        <v>4.7300000000000004</v>
      </c>
      <c r="G88" s="60">
        <v>179.61</v>
      </c>
      <c r="H88" s="60">
        <v>38.33</v>
      </c>
      <c r="I88" s="60">
        <v>0.74</v>
      </c>
      <c r="J88" s="60">
        <v>0.03</v>
      </c>
      <c r="K88" s="60">
        <v>230.54</v>
      </c>
      <c r="L88" s="60">
        <v>24.16</v>
      </c>
      <c r="M88" s="60">
        <v>38.83</v>
      </c>
      <c r="N88" s="60">
        <v>4.2</v>
      </c>
      <c r="O88" s="60">
        <v>0</v>
      </c>
      <c r="P88" s="60">
        <v>1.47</v>
      </c>
      <c r="Q88" s="60">
        <v>23.78</v>
      </c>
      <c r="R88" s="198"/>
      <c r="S88" s="198"/>
      <c r="T88" s="198"/>
      <c r="U88" s="198"/>
    </row>
    <row r="89" spans="1:26" s="12" customFormat="1" x14ac:dyDescent="0.25">
      <c r="A89" s="201" t="s">
        <v>997</v>
      </c>
      <c r="B89" s="60">
        <v>40.619999999999997</v>
      </c>
      <c r="C89" s="60">
        <v>62.14</v>
      </c>
      <c r="D89" s="60">
        <v>65.680000000000007</v>
      </c>
      <c r="E89" s="60">
        <v>5.94</v>
      </c>
      <c r="F89" s="60">
        <v>4.6500000000000004</v>
      </c>
      <c r="G89" s="60">
        <v>179.61</v>
      </c>
      <c r="H89" s="60">
        <v>38.33</v>
      </c>
      <c r="I89" s="60">
        <v>0.81</v>
      </c>
      <c r="J89" s="60">
        <v>0.04</v>
      </c>
      <c r="K89" s="60">
        <v>310.72000000000003</v>
      </c>
      <c r="L89" s="60">
        <v>24.75</v>
      </c>
      <c r="M89" s="60">
        <v>32.200000000000003</v>
      </c>
      <c r="N89" s="60">
        <v>3.2</v>
      </c>
      <c r="O89" s="60">
        <v>0</v>
      </c>
      <c r="P89" s="60">
        <v>1.51</v>
      </c>
      <c r="Q89" s="60">
        <v>24.17</v>
      </c>
      <c r="R89" s="198"/>
      <c r="S89" s="198"/>
      <c r="T89" s="198"/>
      <c r="U89" s="198"/>
    </row>
    <row r="90" spans="1:26" s="12" customFormat="1" x14ac:dyDescent="0.25">
      <c r="A90" s="201" t="s">
        <v>998</v>
      </c>
      <c r="B90" s="60">
        <v>39.61</v>
      </c>
      <c r="C90" s="60">
        <v>62.31</v>
      </c>
      <c r="D90" s="60">
        <v>64.959999999999994</v>
      </c>
      <c r="E90" s="60">
        <v>5.98</v>
      </c>
      <c r="F90" s="60">
        <v>4.5</v>
      </c>
      <c r="G90" s="60">
        <v>179.61</v>
      </c>
      <c r="H90" s="60">
        <v>38.33</v>
      </c>
      <c r="I90" s="60">
        <v>0.89</v>
      </c>
      <c r="J90" s="60">
        <v>0.4</v>
      </c>
      <c r="K90" s="60">
        <v>341.58</v>
      </c>
      <c r="L90" s="60">
        <v>24.69</v>
      </c>
      <c r="M90" s="60">
        <v>31.47</v>
      </c>
      <c r="N90" s="60">
        <v>3</v>
      </c>
      <c r="O90" s="60">
        <v>0</v>
      </c>
      <c r="P90" s="60">
        <v>1.49</v>
      </c>
      <c r="Q90" s="60">
        <v>23.96</v>
      </c>
      <c r="R90" s="198"/>
      <c r="S90" s="198"/>
      <c r="T90" s="198"/>
      <c r="U90" s="198"/>
    </row>
    <row r="91" spans="1:26" s="12" customFormat="1" x14ac:dyDescent="0.25">
      <c r="A91" s="201" t="s">
        <v>999</v>
      </c>
      <c r="B91" s="60">
        <v>37.4</v>
      </c>
      <c r="C91" s="60">
        <v>62.29</v>
      </c>
      <c r="D91" s="60">
        <v>63.18</v>
      </c>
      <c r="E91" s="60">
        <v>5.39</v>
      </c>
      <c r="F91" s="60">
        <v>4.54</v>
      </c>
      <c r="G91" s="60">
        <v>134.59</v>
      </c>
      <c r="H91" s="60">
        <v>38.35</v>
      </c>
      <c r="I91" s="60">
        <v>0.9</v>
      </c>
      <c r="J91" s="60">
        <v>0.32</v>
      </c>
      <c r="K91" s="60">
        <v>338.74</v>
      </c>
      <c r="L91" s="60">
        <v>23.78</v>
      </c>
      <c r="M91" s="60">
        <v>34.35</v>
      </c>
      <c r="N91" s="60">
        <v>4.0999999999999996</v>
      </c>
      <c r="O91" s="60">
        <v>0</v>
      </c>
      <c r="P91" s="60">
        <v>1.45</v>
      </c>
      <c r="Q91" s="60">
        <v>23.46</v>
      </c>
      <c r="R91" s="198"/>
      <c r="S91" s="198"/>
      <c r="T91" s="198"/>
      <c r="U91" s="198"/>
    </row>
    <row r="92" spans="1:26" s="12" customFormat="1" x14ac:dyDescent="0.25">
      <c r="A92" s="201" t="s">
        <v>1000</v>
      </c>
      <c r="B92" s="60">
        <v>35.78</v>
      </c>
      <c r="C92" s="60">
        <v>62.17</v>
      </c>
      <c r="D92" s="60">
        <v>61.82</v>
      </c>
      <c r="E92" s="60">
        <v>5.26</v>
      </c>
      <c r="F92" s="60">
        <v>4.71</v>
      </c>
      <c r="G92" s="60">
        <v>80.78</v>
      </c>
      <c r="H92" s="60">
        <v>38.380000000000003</v>
      </c>
      <c r="I92" s="60">
        <v>0.89</v>
      </c>
      <c r="J92" s="60">
        <v>0.39</v>
      </c>
      <c r="K92" s="60">
        <v>335.23</v>
      </c>
      <c r="L92" s="60">
        <v>23.43</v>
      </c>
      <c r="M92" s="60">
        <v>34.56</v>
      </c>
      <c r="N92" s="60">
        <v>3.9</v>
      </c>
      <c r="O92" s="60">
        <v>0</v>
      </c>
      <c r="P92" s="60">
        <v>1.42</v>
      </c>
      <c r="Q92" s="60">
        <v>23.15</v>
      </c>
      <c r="R92" s="198"/>
      <c r="S92" s="198"/>
      <c r="T92" s="198"/>
      <c r="U92" s="198"/>
    </row>
    <row r="93" spans="1:26" s="12" customFormat="1" x14ac:dyDescent="0.25">
      <c r="A93" s="201" t="s">
        <v>1001</v>
      </c>
      <c r="B93" s="60">
        <v>34.090000000000003</v>
      </c>
      <c r="C93" s="60">
        <v>61.65</v>
      </c>
      <c r="D93" s="60">
        <v>60.17</v>
      </c>
      <c r="E93" s="60">
        <v>5.15</v>
      </c>
      <c r="F93" s="60">
        <v>4.59</v>
      </c>
      <c r="G93" s="60">
        <v>80.78</v>
      </c>
      <c r="H93" s="60">
        <v>38.380000000000003</v>
      </c>
      <c r="I93" s="60">
        <v>0.84</v>
      </c>
      <c r="J93" s="60">
        <v>0.23</v>
      </c>
      <c r="K93" s="60">
        <v>336.01</v>
      </c>
      <c r="L93" s="60">
        <v>22.87</v>
      </c>
      <c r="M93" s="60">
        <v>36.119999999999997</v>
      </c>
      <c r="N93" s="60">
        <v>4.4000000000000004</v>
      </c>
      <c r="O93" s="60">
        <v>0</v>
      </c>
      <c r="P93" s="60">
        <v>1.4</v>
      </c>
      <c r="Q93" s="60">
        <v>22.35</v>
      </c>
      <c r="R93" s="198"/>
      <c r="S93" s="198"/>
      <c r="T93" s="198"/>
      <c r="U93" s="198"/>
    </row>
    <row r="94" spans="1:26" s="12" customFormat="1" x14ac:dyDescent="0.25">
      <c r="A94" s="201" t="s">
        <v>1002</v>
      </c>
      <c r="B94" s="60">
        <v>34.020000000000003</v>
      </c>
      <c r="C94" s="60">
        <v>61.26</v>
      </c>
      <c r="D94" s="60">
        <v>59.9</v>
      </c>
      <c r="E94" s="60">
        <v>5.33</v>
      </c>
      <c r="F94" s="60">
        <v>4.6399999999999997</v>
      </c>
      <c r="G94" s="60">
        <v>80.78</v>
      </c>
      <c r="H94" s="60">
        <v>38.380000000000003</v>
      </c>
      <c r="I94" s="60">
        <v>0.81</v>
      </c>
      <c r="J94" s="60">
        <v>0.14000000000000001</v>
      </c>
      <c r="K94" s="60">
        <v>304.99</v>
      </c>
      <c r="L94" s="60">
        <v>22.38</v>
      </c>
      <c r="M94" s="60">
        <v>37.44</v>
      </c>
      <c r="N94" s="60">
        <v>4.5999999999999996</v>
      </c>
      <c r="O94" s="60">
        <v>0</v>
      </c>
      <c r="P94" s="60">
        <v>1.4</v>
      </c>
      <c r="Q94" s="60">
        <v>22</v>
      </c>
      <c r="R94" s="198"/>
      <c r="S94" s="198"/>
      <c r="T94" s="198"/>
      <c r="U94" s="198"/>
    </row>
    <row r="95" spans="1:26" s="12" customFormat="1" x14ac:dyDescent="0.25">
      <c r="A95" s="201" t="s">
        <v>1003</v>
      </c>
      <c r="B95" s="60">
        <v>35.340000000000003</v>
      </c>
      <c r="C95" s="60">
        <v>61.12</v>
      </c>
      <c r="D95" s="60">
        <v>60.88</v>
      </c>
      <c r="E95" s="60">
        <v>5.43</v>
      </c>
      <c r="F95" s="60">
        <v>4.5999999999999996</v>
      </c>
      <c r="G95" s="60">
        <v>72.45</v>
      </c>
      <c r="H95" s="60">
        <v>33.03</v>
      </c>
      <c r="I95" s="60">
        <v>0.83</v>
      </c>
      <c r="J95" s="60">
        <v>0.03</v>
      </c>
      <c r="K95" s="60">
        <v>315.54000000000002</v>
      </c>
      <c r="L95" s="60">
        <v>21.82</v>
      </c>
      <c r="M95" s="60">
        <v>37.81</v>
      </c>
      <c r="N95" s="60">
        <v>4.5999999999999996</v>
      </c>
      <c r="O95" s="60">
        <v>0</v>
      </c>
      <c r="P95" s="60">
        <v>1.42</v>
      </c>
      <c r="Q95" s="60">
        <v>22.07</v>
      </c>
      <c r="R95" s="198"/>
      <c r="S95" s="198"/>
      <c r="T95" s="198"/>
      <c r="U95" s="198"/>
    </row>
    <row r="96" spans="1:26" s="12" customFormat="1" x14ac:dyDescent="0.25">
      <c r="A96" s="201" t="s">
        <v>1004</v>
      </c>
      <c r="B96" s="60">
        <v>38.72</v>
      </c>
      <c r="C96" s="60">
        <v>60.95</v>
      </c>
      <c r="D96" s="60">
        <v>63.5</v>
      </c>
      <c r="E96" s="60">
        <v>5.36</v>
      </c>
      <c r="F96" s="60">
        <v>4.8600000000000003</v>
      </c>
      <c r="G96" s="60">
        <v>62.5</v>
      </c>
      <c r="H96" s="60">
        <v>26.65</v>
      </c>
      <c r="I96" s="60">
        <v>0.83</v>
      </c>
      <c r="J96" s="60">
        <v>0.02</v>
      </c>
      <c r="K96" s="60">
        <v>40.28</v>
      </c>
      <c r="L96" s="60">
        <v>21.37</v>
      </c>
      <c r="M96" s="60">
        <v>38.53</v>
      </c>
      <c r="N96" s="60">
        <v>4.4000000000000004</v>
      </c>
      <c r="O96" s="60">
        <v>0</v>
      </c>
      <c r="P96" s="60">
        <v>1.44</v>
      </c>
      <c r="Q96" s="60">
        <v>22.27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1005</v>
      </c>
      <c r="B97" s="60">
        <v>40.46</v>
      </c>
      <c r="C97" s="60">
        <v>60.56</v>
      </c>
      <c r="D97" s="60">
        <v>64.680000000000007</v>
      </c>
      <c r="E97" s="60">
        <v>5.79</v>
      </c>
      <c r="F97" s="60">
        <v>4.8600000000000003</v>
      </c>
      <c r="G97" s="60">
        <v>62.5</v>
      </c>
      <c r="H97" s="60">
        <v>26.65</v>
      </c>
      <c r="I97" s="60">
        <v>0.81</v>
      </c>
      <c r="J97" s="60">
        <v>0.09</v>
      </c>
      <c r="K97" s="60">
        <v>77.34</v>
      </c>
      <c r="L97" s="60">
        <v>21.3</v>
      </c>
      <c r="M97" s="60">
        <v>38.950000000000003</v>
      </c>
      <c r="N97" s="60">
        <v>4.2</v>
      </c>
      <c r="O97" s="60">
        <v>0</v>
      </c>
      <c r="P97" s="60">
        <v>1.45</v>
      </c>
      <c r="Q97" s="60">
        <v>22.7</v>
      </c>
      <c r="R97" s="198"/>
      <c r="S97" s="198"/>
      <c r="T97" s="198"/>
      <c r="U97" s="198"/>
    </row>
    <row r="98" spans="1:33" s="12" customFormat="1" x14ac:dyDescent="0.25">
      <c r="A98" s="201" t="s">
        <v>1006</v>
      </c>
      <c r="B98" s="60">
        <v>40.58</v>
      </c>
      <c r="C98" s="60">
        <v>59.81</v>
      </c>
      <c r="D98" s="60">
        <v>64.36</v>
      </c>
      <c r="E98" s="60">
        <v>5.97</v>
      </c>
      <c r="F98" s="60">
        <v>4.58</v>
      </c>
      <c r="G98" s="60">
        <v>62.5</v>
      </c>
      <c r="H98" s="60">
        <v>26.65</v>
      </c>
      <c r="I98" s="60">
        <v>0.79</v>
      </c>
      <c r="J98" s="60">
        <v>0.39</v>
      </c>
      <c r="K98" s="60">
        <v>351.96</v>
      </c>
      <c r="L98" s="60">
        <v>21.15</v>
      </c>
      <c r="M98" s="60">
        <v>40.229999999999997</v>
      </c>
      <c r="N98" s="60">
        <v>3.2</v>
      </c>
      <c r="O98" s="60">
        <v>0</v>
      </c>
      <c r="P98" s="60">
        <v>1.47</v>
      </c>
      <c r="Q98" s="60">
        <v>23.04</v>
      </c>
      <c r="R98" s="198"/>
      <c r="S98" s="198"/>
      <c r="T98" s="198"/>
      <c r="U98" s="198"/>
    </row>
    <row r="99" spans="1:33" s="12" customFormat="1" x14ac:dyDescent="0.25">
      <c r="A99" s="201" t="s">
        <v>1007</v>
      </c>
      <c r="B99" s="60">
        <v>40.15</v>
      </c>
      <c r="C99" s="60">
        <v>59.09</v>
      </c>
      <c r="D99" s="60">
        <v>63.62</v>
      </c>
      <c r="E99" s="60">
        <v>5.55</v>
      </c>
      <c r="F99" s="60">
        <v>4.71</v>
      </c>
      <c r="G99" s="60">
        <v>72.86</v>
      </c>
      <c r="H99" s="60">
        <v>27.77</v>
      </c>
      <c r="I99" s="60">
        <v>0.8</v>
      </c>
      <c r="J99" s="60">
        <v>0.68</v>
      </c>
      <c r="K99" s="60">
        <v>357.5</v>
      </c>
      <c r="L99" s="60">
        <v>21.01</v>
      </c>
      <c r="M99" s="60">
        <v>37.340000000000003</v>
      </c>
      <c r="N99" s="60">
        <v>2.5</v>
      </c>
      <c r="O99" s="60">
        <v>0</v>
      </c>
      <c r="P99" s="60">
        <v>1.45</v>
      </c>
      <c r="Q99" s="60">
        <v>23.25</v>
      </c>
      <c r="R99" s="198"/>
      <c r="S99" s="198"/>
      <c r="T99" s="198"/>
      <c r="U99" s="198"/>
    </row>
    <row r="100" spans="1:33" s="12" customFormat="1" x14ac:dyDescent="0.25">
      <c r="A100" s="201" t="s">
        <v>1008</v>
      </c>
      <c r="B100" s="60">
        <v>39.17</v>
      </c>
      <c r="C100" s="60">
        <v>58.48</v>
      </c>
      <c r="D100" s="60">
        <v>62.49</v>
      </c>
      <c r="E100" s="60">
        <v>5.59</v>
      </c>
      <c r="F100" s="60">
        <v>4.82</v>
      </c>
      <c r="G100" s="60">
        <v>85.82</v>
      </c>
      <c r="H100" s="60">
        <v>29.1</v>
      </c>
      <c r="I100" s="60">
        <v>0.84</v>
      </c>
      <c r="J100" s="60">
        <v>1.3</v>
      </c>
      <c r="K100" s="60">
        <v>357.25</v>
      </c>
      <c r="L100" s="60">
        <v>21.34</v>
      </c>
      <c r="M100" s="60">
        <v>33.43</v>
      </c>
      <c r="N100" s="60">
        <v>2.2999999999999998</v>
      </c>
      <c r="O100" s="60">
        <v>0</v>
      </c>
      <c r="P100" s="60">
        <v>1.41</v>
      </c>
      <c r="Q100" s="60">
        <v>23.37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1009</v>
      </c>
      <c r="B101" s="60">
        <v>35.78</v>
      </c>
      <c r="C101" s="60">
        <v>57.65</v>
      </c>
      <c r="D101" s="60">
        <v>59.32</v>
      </c>
      <c r="E101" s="60">
        <v>5.3</v>
      </c>
      <c r="F101" s="60">
        <v>4.8099999999999996</v>
      </c>
      <c r="G101" s="60">
        <v>85.82</v>
      </c>
      <c r="H101" s="60">
        <v>29.1</v>
      </c>
      <c r="I101" s="60">
        <v>0.86</v>
      </c>
      <c r="J101" s="60">
        <v>1.24</v>
      </c>
      <c r="K101" s="60">
        <v>356.64</v>
      </c>
      <c r="L101" s="60">
        <v>21.67</v>
      </c>
      <c r="M101" s="60">
        <v>32.22</v>
      </c>
      <c r="N101" s="60">
        <v>3.6</v>
      </c>
      <c r="O101" s="60">
        <v>0</v>
      </c>
      <c r="P101" s="60">
        <v>1.31</v>
      </c>
      <c r="Q101" s="60">
        <v>23.66</v>
      </c>
      <c r="R101" s="198"/>
      <c r="S101" s="198"/>
      <c r="T101" s="198"/>
      <c r="U101" s="198"/>
    </row>
    <row r="102" spans="1:33" s="12" customFormat="1" x14ac:dyDescent="0.25">
      <c r="A102" s="201" t="s">
        <v>1010</v>
      </c>
      <c r="B102" s="60">
        <v>31.9</v>
      </c>
      <c r="C102" s="60">
        <v>57.22</v>
      </c>
      <c r="D102" s="60">
        <v>55.97</v>
      </c>
      <c r="E102" s="60">
        <v>5.84</v>
      </c>
      <c r="F102" s="60">
        <v>4.74</v>
      </c>
      <c r="G102" s="60">
        <v>85.82</v>
      </c>
      <c r="H102" s="60">
        <v>29.1</v>
      </c>
      <c r="I102" s="60">
        <v>0.81</v>
      </c>
      <c r="J102" s="60">
        <v>1.0900000000000001</v>
      </c>
      <c r="K102" s="60">
        <v>9.4600000000000009</v>
      </c>
      <c r="L102" s="60">
        <v>21.33</v>
      </c>
      <c r="M102" s="60">
        <v>33.869999999999997</v>
      </c>
      <c r="N102" s="60">
        <v>4.2</v>
      </c>
      <c r="O102" s="60">
        <v>0</v>
      </c>
      <c r="P102" s="60">
        <v>1.27</v>
      </c>
      <c r="Q102" s="60">
        <v>23</v>
      </c>
      <c r="R102" s="198"/>
      <c r="S102" s="198"/>
      <c r="T102" s="198"/>
      <c r="U102" s="198"/>
    </row>
    <row r="103" spans="1:33" s="12" customFormat="1" x14ac:dyDescent="0.25">
      <c r="A103" s="201" t="s">
        <v>1011</v>
      </c>
      <c r="B103" s="60">
        <v>28.89</v>
      </c>
      <c r="C103" s="60">
        <v>56.79</v>
      </c>
      <c r="D103" s="60">
        <v>53.32</v>
      </c>
      <c r="E103" s="60">
        <v>6.03</v>
      </c>
      <c r="F103" s="60">
        <v>4.67</v>
      </c>
      <c r="G103" s="60">
        <v>70.03</v>
      </c>
      <c r="H103" s="60">
        <v>28.37</v>
      </c>
      <c r="I103" s="60">
        <v>0.79</v>
      </c>
      <c r="J103" s="60">
        <v>1.04</v>
      </c>
      <c r="K103" s="60">
        <v>357.98</v>
      </c>
      <c r="L103" s="60">
        <v>20.96</v>
      </c>
      <c r="M103" s="60">
        <v>35.159999999999997</v>
      </c>
      <c r="N103" s="60">
        <v>4</v>
      </c>
      <c r="O103" s="60">
        <v>0</v>
      </c>
      <c r="P103" s="60">
        <v>1.22</v>
      </c>
      <c r="Q103" s="60">
        <v>21.55</v>
      </c>
      <c r="R103" s="198"/>
      <c r="S103" s="198"/>
      <c r="T103" s="198"/>
      <c r="U103" s="198"/>
    </row>
    <row r="104" spans="1:33" s="12" customFormat="1" x14ac:dyDescent="0.25">
      <c r="A104" s="201" t="s">
        <v>1012</v>
      </c>
      <c r="B104" s="60">
        <v>26.31</v>
      </c>
      <c r="C104" s="60">
        <v>56.63</v>
      </c>
      <c r="D104" s="60">
        <v>51.16</v>
      </c>
      <c r="E104" s="60">
        <v>4.75</v>
      </c>
      <c r="F104" s="60">
        <v>4.6100000000000003</v>
      </c>
      <c r="G104" s="60">
        <v>51.17</v>
      </c>
      <c r="H104" s="60">
        <v>27.48</v>
      </c>
      <c r="I104" s="60">
        <v>0.78</v>
      </c>
      <c r="J104" s="60">
        <v>0.79</v>
      </c>
      <c r="K104" s="60">
        <v>357.72</v>
      </c>
      <c r="L104" s="60">
        <v>20.52</v>
      </c>
      <c r="M104" s="60">
        <v>36.64</v>
      </c>
      <c r="N104" s="60">
        <v>4.2</v>
      </c>
      <c r="O104" s="60">
        <v>0</v>
      </c>
      <c r="P104" s="60">
        <v>1.19</v>
      </c>
      <c r="Q104" s="60">
        <v>19.73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3.18</v>
      </c>
      <c r="C106" s="67">
        <f>MIN(C9:C104)</f>
        <v>35.159999999999997</v>
      </c>
      <c r="D106" s="67">
        <f t="shared" ref="D106:Q106" si="0">MIN(D9:D104)</f>
        <v>20.77</v>
      </c>
      <c r="E106" s="67">
        <f t="shared" si="0"/>
        <v>0.1</v>
      </c>
      <c r="F106" s="67">
        <f t="shared" si="0"/>
        <v>3.29</v>
      </c>
      <c r="G106" s="67">
        <f t="shared" si="0"/>
        <v>25.77</v>
      </c>
      <c r="H106" s="67">
        <f t="shared" si="0"/>
        <v>9.76</v>
      </c>
      <c r="I106" s="67">
        <f t="shared" si="0"/>
        <v>0.26</v>
      </c>
      <c r="J106" s="67">
        <f t="shared" si="0"/>
        <v>0.02</v>
      </c>
      <c r="K106" s="67">
        <f t="shared" si="0"/>
        <v>0.98</v>
      </c>
      <c r="L106" s="67">
        <f t="shared" si="0"/>
        <v>17.809999999999999</v>
      </c>
      <c r="M106" s="67">
        <f t="shared" si="0"/>
        <v>18.2</v>
      </c>
      <c r="N106" s="67">
        <f t="shared" si="0"/>
        <v>2.2999999999999998</v>
      </c>
      <c r="O106" s="67">
        <f t="shared" si="0"/>
        <v>0</v>
      </c>
      <c r="P106" s="67">
        <f t="shared" si="0"/>
        <v>0.28999999999999998</v>
      </c>
      <c r="Q106" s="67">
        <f t="shared" si="0"/>
        <v>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69.95</v>
      </c>
      <c r="C107" s="66">
        <f t="shared" ref="C107:Q107" si="1">MAX(C9:C104)</f>
        <v>84.4</v>
      </c>
      <c r="D107" s="66">
        <f t="shared" si="1"/>
        <v>101.49</v>
      </c>
      <c r="E107" s="66">
        <f t="shared" si="1"/>
        <v>112.37</v>
      </c>
      <c r="F107" s="66">
        <f t="shared" si="1"/>
        <v>322.89999999999998</v>
      </c>
      <c r="G107" s="66">
        <f t="shared" si="1"/>
        <v>179.61</v>
      </c>
      <c r="H107" s="66">
        <f t="shared" si="1"/>
        <v>48.87</v>
      </c>
      <c r="I107" s="66">
        <f t="shared" si="1"/>
        <v>0.9</v>
      </c>
      <c r="J107" s="66">
        <f t="shared" si="1"/>
        <v>1.58</v>
      </c>
      <c r="K107" s="66">
        <f t="shared" si="1"/>
        <v>359.71</v>
      </c>
      <c r="L107" s="66">
        <f t="shared" si="1"/>
        <v>34.979999999999997</v>
      </c>
      <c r="M107" s="66">
        <f t="shared" si="1"/>
        <v>62.11</v>
      </c>
      <c r="N107" s="66">
        <f t="shared" si="1"/>
        <v>609.5</v>
      </c>
      <c r="O107" s="66">
        <f t="shared" si="1"/>
        <v>0</v>
      </c>
      <c r="P107" s="66">
        <f t="shared" si="1"/>
        <v>2.1800000000000002</v>
      </c>
      <c r="Q107" s="66">
        <f t="shared" si="1"/>
        <v>38.049999999999997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27.921860465116271</v>
      </c>
      <c r="C108" s="67">
        <f t="shared" ref="C108:Q108" si="2">AVERAGE(C9:C104)</f>
        <v>62.753372093023273</v>
      </c>
      <c r="D108" s="67">
        <f t="shared" si="2"/>
        <v>55.834069767441846</v>
      </c>
      <c r="E108" s="67">
        <f t="shared" si="2"/>
        <v>7.9502352941176486</v>
      </c>
      <c r="F108" s="67">
        <f t="shared" si="2"/>
        <v>9.3729545454545509</v>
      </c>
      <c r="G108" s="67">
        <f t="shared" si="2"/>
        <v>75.976941176470589</v>
      </c>
      <c r="H108" s="67">
        <f t="shared" si="2"/>
        <v>31.873176470588248</v>
      </c>
      <c r="I108" s="67">
        <f t="shared" si="2"/>
        <v>0.67410256410256386</v>
      </c>
      <c r="J108" s="67">
        <f t="shared" si="2"/>
        <v>0.44863636363636378</v>
      </c>
      <c r="K108" s="67">
        <f t="shared" si="2"/>
        <v>196.40488636363636</v>
      </c>
      <c r="L108" s="67">
        <f t="shared" si="2"/>
        <v>24.287272727272725</v>
      </c>
      <c r="M108" s="67">
        <f t="shared" si="2"/>
        <v>38.897386363636365</v>
      </c>
      <c r="N108" s="67">
        <f t="shared" si="2"/>
        <v>135.1329545454546</v>
      </c>
      <c r="O108" s="67">
        <f t="shared" si="2"/>
        <v>0</v>
      </c>
      <c r="P108" s="67">
        <f t="shared" si="2"/>
        <v>1.1603448275862072</v>
      </c>
      <c r="Q108" s="67">
        <f t="shared" si="2"/>
        <v>24.046285714285716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15.493497498410186</v>
      </c>
      <c r="C109" s="67">
        <f t="shared" ref="C109:Q109" si="3">STDEV(C9:C104)</f>
        <v>10.461232140956126</v>
      </c>
      <c r="D109" s="67">
        <f t="shared" si="3"/>
        <v>17.152072101054802</v>
      </c>
      <c r="E109" s="67">
        <f t="shared" si="3"/>
        <v>12.277130304570614</v>
      </c>
      <c r="F109" s="67">
        <f t="shared" si="3"/>
        <v>34.018013928359977</v>
      </c>
      <c r="G109" s="67">
        <f t="shared" si="3"/>
        <v>33.116255108888346</v>
      </c>
      <c r="H109" s="67">
        <f t="shared" si="3"/>
        <v>10.123285182447109</v>
      </c>
      <c r="I109" s="67">
        <f t="shared" si="3"/>
        <v>0.16213571230231469</v>
      </c>
      <c r="J109" s="67">
        <f t="shared" si="3"/>
        <v>0.38797197972700481</v>
      </c>
      <c r="K109" s="67">
        <f t="shared" si="3"/>
        <v>143.11725679697182</v>
      </c>
      <c r="L109" s="67">
        <f t="shared" si="3"/>
        <v>5.3479079005972929</v>
      </c>
      <c r="M109" s="67">
        <f t="shared" si="3"/>
        <v>12.978325033554734</v>
      </c>
      <c r="N109" s="67">
        <f t="shared" si="3"/>
        <v>211.46543790948624</v>
      </c>
      <c r="O109" s="67">
        <f t="shared" si="3"/>
        <v>0</v>
      </c>
      <c r="P109" s="67">
        <f t="shared" si="3"/>
        <v>0.45081953352126453</v>
      </c>
      <c r="Q109" s="67">
        <f t="shared" si="3"/>
        <v>7.1462699648094468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COUNT(B9:B104)+10</f>
        <v>96</v>
      </c>
      <c r="C110" s="66">
        <f>COUNT(C9:C104)+10</f>
        <v>96</v>
      </c>
      <c r="D110" s="66">
        <f>COUNT(D9:D104)+10</f>
        <v>96</v>
      </c>
      <c r="E110" s="66">
        <f>COUNT(E9:E104)+11</f>
        <v>96</v>
      </c>
      <c r="F110" s="66">
        <f>COUNT(F9:F104)+8</f>
        <v>96</v>
      </c>
      <c r="G110" s="66">
        <f>COUNT(G9:G104)+11</f>
        <v>96</v>
      </c>
      <c r="H110" s="66">
        <f>COUNT(H9:H104)+11</f>
        <v>96</v>
      </c>
      <c r="I110" s="66">
        <f>COUNT(I9:I104)+57</f>
        <v>96</v>
      </c>
      <c r="J110" s="66">
        <f t="shared" ref="J110:O110" si="4">COUNT(J9:J104)+8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>COUNT(P9:P104)+9</f>
        <v>96</v>
      </c>
      <c r="Q110" s="66">
        <f>COUNT(Q9:Q104)+26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215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D9" sqref="D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09-02-2023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340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1013</v>
      </c>
      <c r="B9" s="60">
        <v>24.35</v>
      </c>
      <c r="C9" s="60">
        <v>56.43</v>
      </c>
      <c r="D9" s="60">
        <v>49.48</v>
      </c>
      <c r="E9" s="60">
        <v>6.23</v>
      </c>
      <c r="F9" s="60">
        <v>4.7300000000000004</v>
      </c>
      <c r="G9" s="60">
        <v>51.17</v>
      </c>
      <c r="H9" s="60">
        <v>27.48</v>
      </c>
      <c r="I9" s="60">
        <v>0.72</v>
      </c>
      <c r="J9" s="60">
        <v>0.13</v>
      </c>
      <c r="K9" s="60">
        <v>346.59</v>
      </c>
      <c r="L9" s="60">
        <v>20.010000000000002</v>
      </c>
      <c r="M9" s="60">
        <v>39.47</v>
      </c>
      <c r="N9" s="60">
        <v>4.9000000000000004</v>
      </c>
      <c r="O9" s="60">
        <v>0</v>
      </c>
      <c r="P9" s="60">
        <v>1.1499999999999999</v>
      </c>
      <c r="Q9" s="60">
        <v>18.600000000000001</v>
      </c>
      <c r="R9" s="198"/>
      <c r="S9" s="198"/>
      <c r="T9" s="198"/>
      <c r="U9" s="198"/>
    </row>
    <row r="10" spans="1:21" s="12" customFormat="1" x14ac:dyDescent="0.25">
      <c r="A10" s="201" t="s">
        <v>1014</v>
      </c>
      <c r="B10" s="60">
        <v>23.26</v>
      </c>
      <c r="C10" s="60">
        <v>56.26</v>
      </c>
      <c r="D10" s="60">
        <v>48.51</v>
      </c>
      <c r="E10" s="60">
        <v>6.5</v>
      </c>
      <c r="F10" s="60">
        <v>4.62</v>
      </c>
      <c r="G10" s="60">
        <v>51.17</v>
      </c>
      <c r="H10" s="60">
        <v>27.48</v>
      </c>
      <c r="I10" s="60">
        <v>0.7</v>
      </c>
      <c r="J10" s="60">
        <v>0.12</v>
      </c>
      <c r="K10" s="60">
        <v>2.44</v>
      </c>
      <c r="L10" s="60">
        <v>19.420000000000002</v>
      </c>
      <c r="M10" s="60">
        <v>42.96</v>
      </c>
      <c r="N10" s="60">
        <v>4.5999999999999996</v>
      </c>
      <c r="O10" s="60">
        <v>0</v>
      </c>
      <c r="P10" s="60">
        <v>1.1200000000000001</v>
      </c>
      <c r="Q10" s="60">
        <v>18.010000000000002</v>
      </c>
      <c r="R10" s="198"/>
      <c r="S10" s="198"/>
      <c r="T10" s="198"/>
      <c r="U10" s="198"/>
    </row>
    <row r="11" spans="1:21" s="12" customFormat="1" x14ac:dyDescent="0.25">
      <c r="A11" s="201" t="s">
        <v>1015</v>
      </c>
      <c r="B11" s="60">
        <v>22.77</v>
      </c>
      <c r="C11" s="60">
        <v>54.88</v>
      </c>
      <c r="D11" s="60">
        <v>47.36</v>
      </c>
      <c r="E11" s="60">
        <v>6.71</v>
      </c>
      <c r="F11" s="60">
        <v>4.67</v>
      </c>
      <c r="G11" s="60">
        <v>56.83</v>
      </c>
      <c r="H11" s="60">
        <v>26.27</v>
      </c>
      <c r="I11" s="60">
        <v>0.68</v>
      </c>
      <c r="J11" s="60">
        <v>0.41</v>
      </c>
      <c r="K11" s="60">
        <v>3.46</v>
      </c>
      <c r="L11" s="60">
        <v>19.16</v>
      </c>
      <c r="M11" s="60">
        <v>45.07</v>
      </c>
      <c r="N11" s="60">
        <v>3.7</v>
      </c>
      <c r="O11" s="60">
        <v>0</v>
      </c>
      <c r="P11" s="60">
        <v>1.1000000000000001</v>
      </c>
      <c r="Q11" s="60">
        <v>16.97</v>
      </c>
      <c r="R11" s="198"/>
      <c r="S11" s="198"/>
      <c r="T11" s="198"/>
      <c r="U11" s="198"/>
    </row>
    <row r="12" spans="1:21" s="12" customFormat="1" x14ac:dyDescent="0.25">
      <c r="A12" s="201" t="s">
        <v>1016</v>
      </c>
      <c r="B12" s="60">
        <v>22.15</v>
      </c>
      <c r="C12" s="60">
        <v>54.67</v>
      </c>
      <c r="D12" s="60">
        <v>46.74</v>
      </c>
      <c r="E12" s="60">
        <v>6.54</v>
      </c>
      <c r="F12" s="60">
        <v>4.58</v>
      </c>
      <c r="G12" s="60">
        <v>63.92</v>
      </c>
      <c r="H12" s="60">
        <v>24.83</v>
      </c>
      <c r="I12" s="60">
        <v>0.69</v>
      </c>
      <c r="J12" s="60">
        <v>0.13</v>
      </c>
      <c r="K12" s="60">
        <v>319.23</v>
      </c>
      <c r="L12" s="60">
        <v>18.86</v>
      </c>
      <c r="M12" s="60">
        <v>47.39</v>
      </c>
      <c r="N12" s="60">
        <v>4.4000000000000004</v>
      </c>
      <c r="O12" s="60">
        <v>0</v>
      </c>
      <c r="P12" s="60">
        <v>1.0900000000000001</v>
      </c>
      <c r="Q12" s="60">
        <v>16.41</v>
      </c>
      <c r="R12" s="198"/>
      <c r="S12" s="198"/>
      <c r="T12" s="198"/>
      <c r="U12" s="198"/>
    </row>
    <row r="13" spans="1:21" s="12" customFormat="1" x14ac:dyDescent="0.25">
      <c r="A13" s="201" t="s">
        <v>1017</v>
      </c>
      <c r="B13" s="60">
        <v>21.66</v>
      </c>
      <c r="C13" s="60">
        <v>54.44</v>
      </c>
      <c r="D13" s="60">
        <v>46.23</v>
      </c>
      <c r="E13" s="60">
        <v>6.59</v>
      </c>
      <c r="F13" s="60">
        <v>4.51</v>
      </c>
      <c r="G13" s="60">
        <v>63.92</v>
      </c>
      <c r="H13" s="60">
        <v>24.83</v>
      </c>
      <c r="I13" s="60">
        <v>0.7</v>
      </c>
      <c r="J13" s="60">
        <v>0.08</v>
      </c>
      <c r="K13" s="60">
        <v>323.77999999999997</v>
      </c>
      <c r="L13" s="60">
        <v>18.75</v>
      </c>
      <c r="M13" s="60">
        <v>47.11</v>
      </c>
      <c r="N13" s="60">
        <v>4.5999999999999996</v>
      </c>
      <c r="O13" s="60">
        <v>0</v>
      </c>
      <c r="P13" s="60">
        <v>1.05</v>
      </c>
      <c r="Q13" s="60">
        <v>16.62</v>
      </c>
      <c r="R13" s="198"/>
      <c r="S13" s="198"/>
      <c r="T13" s="198"/>
      <c r="U13" s="198"/>
    </row>
    <row r="14" spans="1:21" s="12" customFormat="1" x14ac:dyDescent="0.25">
      <c r="A14" s="201" t="s">
        <v>1018</v>
      </c>
      <c r="B14" s="60">
        <v>21.77</v>
      </c>
      <c r="C14" s="60">
        <v>54.02</v>
      </c>
      <c r="D14" s="60">
        <v>46.08</v>
      </c>
      <c r="E14" s="60">
        <v>6.31</v>
      </c>
      <c r="F14" s="60">
        <v>4.5199999999999996</v>
      </c>
      <c r="G14" s="60">
        <v>63.92</v>
      </c>
      <c r="H14" s="60">
        <v>24.83</v>
      </c>
      <c r="I14" s="60">
        <v>0.69</v>
      </c>
      <c r="J14" s="60">
        <v>7.0000000000000007E-2</v>
      </c>
      <c r="K14" s="60">
        <v>5.16</v>
      </c>
      <c r="L14" s="60">
        <v>18.309999999999999</v>
      </c>
      <c r="M14" s="60">
        <v>47.44</v>
      </c>
      <c r="N14" s="60">
        <v>4.4000000000000004</v>
      </c>
      <c r="O14" s="60">
        <v>0</v>
      </c>
      <c r="P14" s="60">
        <v>1.07</v>
      </c>
      <c r="Q14" s="60">
        <v>16.989999999999998</v>
      </c>
      <c r="R14" s="198"/>
      <c r="S14" s="198"/>
      <c r="T14" s="198"/>
      <c r="U14" s="198"/>
    </row>
    <row r="15" spans="1:21" s="12" customFormat="1" x14ac:dyDescent="0.25">
      <c r="A15" s="201" t="s">
        <v>1019</v>
      </c>
      <c r="B15" s="60">
        <v>21.91</v>
      </c>
      <c r="C15" s="60">
        <v>53.59</v>
      </c>
      <c r="D15" s="60">
        <v>45.96</v>
      </c>
      <c r="E15" s="60">
        <v>6.29</v>
      </c>
      <c r="F15" s="60">
        <v>4.51</v>
      </c>
      <c r="G15" s="60">
        <v>85.32</v>
      </c>
      <c r="H15" s="60">
        <v>31.54</v>
      </c>
      <c r="I15" s="60">
        <v>0.66</v>
      </c>
      <c r="J15" s="60">
        <v>7.0000000000000007E-2</v>
      </c>
      <c r="K15" s="60">
        <v>334.29</v>
      </c>
      <c r="L15" s="60">
        <v>18.45</v>
      </c>
      <c r="M15" s="60">
        <v>47.46</v>
      </c>
      <c r="N15" s="60">
        <v>4.3</v>
      </c>
      <c r="O15" s="60">
        <v>0</v>
      </c>
      <c r="P15" s="60">
        <v>1.08</v>
      </c>
      <c r="Q15" s="60">
        <v>17.22</v>
      </c>
      <c r="R15" s="198"/>
      <c r="S15" s="198"/>
      <c r="T15" s="198"/>
      <c r="U15" s="198"/>
    </row>
    <row r="16" spans="1:21" s="12" customFormat="1" x14ac:dyDescent="0.25">
      <c r="A16" s="201" t="s">
        <v>1020</v>
      </c>
      <c r="B16" s="60">
        <v>22.04</v>
      </c>
      <c r="C16" s="60">
        <v>53.2</v>
      </c>
      <c r="D16" s="60">
        <v>45.84</v>
      </c>
      <c r="E16" s="60">
        <v>6.6</v>
      </c>
      <c r="F16" s="60">
        <v>4.54</v>
      </c>
      <c r="G16" s="60">
        <v>110.91</v>
      </c>
      <c r="H16" s="60">
        <v>39.549999999999997</v>
      </c>
      <c r="I16" s="60">
        <v>0.67</v>
      </c>
      <c r="J16" s="60">
        <v>0.09</v>
      </c>
      <c r="K16" s="60">
        <v>63.57</v>
      </c>
      <c r="L16" s="60">
        <v>18.62</v>
      </c>
      <c r="M16" s="60">
        <v>47.73</v>
      </c>
      <c r="N16" s="60">
        <v>4.0999999999999996</v>
      </c>
      <c r="O16" s="60">
        <v>0</v>
      </c>
      <c r="P16" s="60">
        <v>1.0900000000000001</v>
      </c>
      <c r="Q16" s="60">
        <v>17.48</v>
      </c>
      <c r="R16" s="198"/>
      <c r="S16" s="198"/>
      <c r="T16" s="198"/>
      <c r="U16" s="198"/>
    </row>
    <row r="17" spans="1:21" s="12" customFormat="1" x14ac:dyDescent="0.25">
      <c r="A17" s="201" t="s">
        <v>1021</v>
      </c>
      <c r="B17" s="60">
        <v>21.84</v>
      </c>
      <c r="C17" s="60">
        <v>52.93</v>
      </c>
      <c r="D17" s="60">
        <v>45.54</v>
      </c>
      <c r="E17" s="60">
        <v>7.14</v>
      </c>
      <c r="F17" s="60">
        <v>4.51</v>
      </c>
      <c r="G17" s="60">
        <v>110.91</v>
      </c>
      <c r="H17" s="60">
        <v>39.549999999999997</v>
      </c>
      <c r="I17" s="60">
        <v>0.67</v>
      </c>
      <c r="J17" s="60">
        <v>0.06</v>
      </c>
      <c r="K17" s="60">
        <v>7.89</v>
      </c>
      <c r="L17" s="60">
        <v>18.48</v>
      </c>
      <c r="M17" s="60">
        <v>49.24</v>
      </c>
      <c r="N17" s="60">
        <v>4.2</v>
      </c>
      <c r="O17" s="60">
        <v>0</v>
      </c>
      <c r="P17" s="60">
        <v>1.0900000000000001</v>
      </c>
      <c r="Q17" s="60">
        <v>17.690000000000001</v>
      </c>
      <c r="R17" s="198"/>
      <c r="S17" s="198"/>
      <c r="T17" s="198"/>
      <c r="U17" s="198"/>
    </row>
    <row r="18" spans="1:21" s="12" customFormat="1" x14ac:dyDescent="0.25">
      <c r="A18" s="201" t="s">
        <v>1022</v>
      </c>
      <c r="B18" s="60">
        <v>21.51</v>
      </c>
      <c r="C18" s="60">
        <v>52.61</v>
      </c>
      <c r="D18" s="60">
        <v>45.1</v>
      </c>
      <c r="E18" s="60">
        <v>7.13</v>
      </c>
      <c r="F18" s="60">
        <v>4.5199999999999996</v>
      </c>
      <c r="G18" s="60">
        <v>110.91</v>
      </c>
      <c r="H18" s="60">
        <v>39.549999999999997</v>
      </c>
      <c r="I18" s="60">
        <v>0.68</v>
      </c>
      <c r="J18" s="60">
        <v>0.01</v>
      </c>
      <c r="K18" s="60">
        <v>73.45</v>
      </c>
      <c r="L18" s="60">
        <v>18.079999999999998</v>
      </c>
      <c r="M18" s="60">
        <v>51.83</v>
      </c>
      <c r="N18" s="60">
        <v>4.4000000000000004</v>
      </c>
      <c r="O18" s="60">
        <v>0</v>
      </c>
      <c r="P18" s="60">
        <v>1.1000000000000001</v>
      </c>
      <c r="Q18" s="60">
        <v>17.75</v>
      </c>
      <c r="R18" s="198"/>
      <c r="S18" s="198"/>
      <c r="T18" s="198"/>
      <c r="U18" s="198"/>
    </row>
    <row r="19" spans="1:21" s="12" customFormat="1" x14ac:dyDescent="0.25">
      <c r="A19" s="201" t="s">
        <v>1023</v>
      </c>
      <c r="B19" s="60">
        <v>21.33</v>
      </c>
      <c r="C19" s="60">
        <v>52.28</v>
      </c>
      <c r="D19" s="60">
        <v>44.77</v>
      </c>
      <c r="E19" s="60">
        <v>7.05</v>
      </c>
      <c r="F19" s="60">
        <v>4.55</v>
      </c>
      <c r="G19" s="60">
        <v>123.67</v>
      </c>
      <c r="H19" s="60">
        <v>44.38</v>
      </c>
      <c r="I19" s="60">
        <v>0.68</v>
      </c>
      <c r="J19" s="60">
        <v>0.06</v>
      </c>
      <c r="K19" s="60">
        <v>341.58</v>
      </c>
      <c r="L19" s="60">
        <v>17.57</v>
      </c>
      <c r="M19" s="60">
        <v>55.6</v>
      </c>
      <c r="N19" s="60">
        <v>4.4000000000000004</v>
      </c>
      <c r="O19" s="60">
        <v>0</v>
      </c>
      <c r="P19" s="60">
        <v>1.1100000000000001</v>
      </c>
      <c r="Q19" s="60">
        <v>18.39</v>
      </c>
      <c r="R19" s="198"/>
      <c r="S19" s="198"/>
      <c r="T19" s="198"/>
      <c r="U19" s="198"/>
    </row>
    <row r="20" spans="1:21" s="12" customFormat="1" x14ac:dyDescent="0.25">
      <c r="A20" s="201" t="s">
        <v>1024</v>
      </c>
      <c r="B20" s="60">
        <v>22.1</v>
      </c>
      <c r="C20" s="60">
        <v>51.98</v>
      </c>
      <c r="D20" s="60">
        <v>45.22</v>
      </c>
      <c r="E20" s="60">
        <v>6.56</v>
      </c>
      <c r="F20" s="60">
        <v>4.5199999999999996</v>
      </c>
      <c r="G20" s="60">
        <v>138.91</v>
      </c>
      <c r="H20" s="60">
        <v>50.15</v>
      </c>
      <c r="I20" s="60">
        <v>0.7</v>
      </c>
      <c r="J20" s="60">
        <v>0.01</v>
      </c>
      <c r="K20" s="60">
        <v>40.26</v>
      </c>
      <c r="L20" s="60">
        <v>17.47</v>
      </c>
      <c r="M20" s="60">
        <v>55.43</v>
      </c>
      <c r="N20" s="60">
        <v>4.2</v>
      </c>
      <c r="O20" s="60">
        <v>0</v>
      </c>
      <c r="P20" s="60">
        <v>1.1299999999999999</v>
      </c>
      <c r="Q20" s="60">
        <v>18.54</v>
      </c>
      <c r="R20" s="198"/>
      <c r="S20" s="198"/>
      <c r="T20" s="198"/>
      <c r="U20" s="198"/>
    </row>
    <row r="21" spans="1:21" s="12" customFormat="1" x14ac:dyDescent="0.25">
      <c r="A21" s="201" t="s">
        <v>1025</v>
      </c>
      <c r="B21" s="60">
        <v>21.89</v>
      </c>
      <c r="C21" s="60">
        <v>51.81</v>
      </c>
      <c r="D21" s="60">
        <v>44.96</v>
      </c>
      <c r="E21" s="60">
        <v>7.11</v>
      </c>
      <c r="F21" s="60">
        <v>4.5</v>
      </c>
      <c r="G21" s="60">
        <v>138.91</v>
      </c>
      <c r="H21" s="60">
        <v>50.15</v>
      </c>
      <c r="I21" s="60">
        <v>0.7</v>
      </c>
      <c r="J21" s="60">
        <v>0.06</v>
      </c>
      <c r="K21" s="60">
        <v>278.32</v>
      </c>
      <c r="L21" s="60">
        <v>17.38</v>
      </c>
      <c r="M21" s="60">
        <v>55.35</v>
      </c>
      <c r="N21" s="60">
        <v>4.3</v>
      </c>
      <c r="O21" s="60">
        <v>0</v>
      </c>
      <c r="P21" s="60">
        <v>1.1599999999999999</v>
      </c>
      <c r="Q21" s="60">
        <v>18.22</v>
      </c>
      <c r="R21" s="198"/>
      <c r="S21" s="198"/>
      <c r="T21" s="198"/>
      <c r="U21" s="198"/>
    </row>
    <row r="22" spans="1:21" s="12" customFormat="1" x14ac:dyDescent="0.25">
      <c r="A22" s="201" t="s">
        <v>1026</v>
      </c>
      <c r="B22" s="60">
        <v>21.19</v>
      </c>
      <c r="C22" s="60">
        <v>51.54</v>
      </c>
      <c r="D22" s="60">
        <v>44.25</v>
      </c>
      <c r="E22" s="60">
        <v>6.82</v>
      </c>
      <c r="F22" s="60">
        <v>4.5</v>
      </c>
      <c r="G22" s="60">
        <v>138.91</v>
      </c>
      <c r="H22" s="60">
        <v>50.15</v>
      </c>
      <c r="I22" s="60">
        <v>0.67</v>
      </c>
      <c r="J22" s="60">
        <v>0.06</v>
      </c>
      <c r="K22" s="60">
        <v>170.23</v>
      </c>
      <c r="L22" s="60">
        <v>17.05</v>
      </c>
      <c r="M22" s="60">
        <v>56.88</v>
      </c>
      <c r="N22" s="60">
        <v>4.3</v>
      </c>
      <c r="O22" s="60">
        <v>0</v>
      </c>
      <c r="P22" s="60">
        <v>1.19</v>
      </c>
      <c r="Q22" s="60">
        <v>17.670000000000002</v>
      </c>
      <c r="R22" s="198"/>
      <c r="S22" s="198"/>
      <c r="T22" s="198"/>
      <c r="U22" s="198"/>
    </row>
    <row r="23" spans="1:21" s="12" customFormat="1" x14ac:dyDescent="0.25">
      <c r="A23" s="201" t="s">
        <v>1027</v>
      </c>
      <c r="B23" s="60">
        <v>20.350000000000001</v>
      </c>
      <c r="C23" s="60">
        <v>51.43</v>
      </c>
      <c r="D23" s="60">
        <v>43.51</v>
      </c>
      <c r="E23" s="60">
        <v>6.52</v>
      </c>
      <c r="F23" s="60">
        <v>4.5</v>
      </c>
      <c r="G23" s="60">
        <v>132.69999999999999</v>
      </c>
      <c r="H23" s="60">
        <v>51.88</v>
      </c>
      <c r="I23" s="60">
        <v>0.68</v>
      </c>
      <c r="J23" s="60">
        <v>0.05</v>
      </c>
      <c r="K23" s="60">
        <v>65.11</v>
      </c>
      <c r="L23" s="60">
        <v>16.89</v>
      </c>
      <c r="M23" s="60">
        <v>57.95</v>
      </c>
      <c r="N23" s="60">
        <v>4.0999999999999996</v>
      </c>
      <c r="O23" s="60">
        <v>0</v>
      </c>
      <c r="P23" s="60">
        <v>1.22</v>
      </c>
      <c r="Q23" s="60">
        <v>17.079999999999998</v>
      </c>
      <c r="R23" s="198"/>
      <c r="S23" s="198"/>
      <c r="T23" s="198"/>
      <c r="U23" s="198"/>
    </row>
    <row r="24" spans="1:21" s="12" customFormat="1" x14ac:dyDescent="0.25">
      <c r="A24" s="201" t="s">
        <v>1028</v>
      </c>
      <c r="B24" s="60">
        <v>19.690000000000001</v>
      </c>
      <c r="C24" s="60">
        <v>51.19</v>
      </c>
      <c r="D24" s="60">
        <v>42.85</v>
      </c>
      <c r="E24" s="60">
        <v>4.47</v>
      </c>
      <c r="F24" s="60">
        <v>4.57</v>
      </c>
      <c r="G24" s="60">
        <v>125.28</v>
      </c>
      <c r="H24" s="60">
        <v>53.95</v>
      </c>
      <c r="I24" s="60">
        <v>0.68</v>
      </c>
      <c r="J24" s="60">
        <v>7.0000000000000007E-2</v>
      </c>
      <c r="K24" s="60">
        <v>86.94</v>
      </c>
      <c r="L24" s="60">
        <v>17.059999999999999</v>
      </c>
      <c r="M24" s="60">
        <v>56.34</v>
      </c>
      <c r="N24" s="60">
        <v>4</v>
      </c>
      <c r="O24" s="60">
        <v>0</v>
      </c>
      <c r="P24" s="60">
        <v>1.26</v>
      </c>
      <c r="Q24" s="60">
        <v>16.62</v>
      </c>
      <c r="R24" s="198"/>
      <c r="S24" s="198"/>
      <c r="T24" s="198"/>
      <c r="U24" s="198"/>
    </row>
    <row r="25" spans="1:21" s="12" customFormat="1" x14ac:dyDescent="0.25">
      <c r="A25" s="201" t="s">
        <v>1029</v>
      </c>
      <c r="B25" s="60">
        <v>18.96</v>
      </c>
      <c r="C25" s="60">
        <v>51.26</v>
      </c>
      <c r="D25" s="60">
        <v>42.31</v>
      </c>
      <c r="E25" s="60">
        <v>6.71</v>
      </c>
      <c r="F25" s="60">
        <v>4.57</v>
      </c>
      <c r="G25" s="60">
        <v>125.28</v>
      </c>
      <c r="H25" s="60">
        <v>53.95</v>
      </c>
      <c r="I25" s="60">
        <v>0.68</v>
      </c>
      <c r="J25" s="60">
        <v>0.22</v>
      </c>
      <c r="K25" s="60">
        <v>119.32</v>
      </c>
      <c r="L25" s="60">
        <v>17.239999999999998</v>
      </c>
      <c r="M25" s="60">
        <v>55.11</v>
      </c>
      <c r="N25" s="60">
        <v>3.3</v>
      </c>
      <c r="O25" s="60">
        <v>0</v>
      </c>
      <c r="P25" s="60">
        <v>1.31</v>
      </c>
      <c r="Q25" s="60">
        <v>16.22</v>
      </c>
      <c r="R25" s="198"/>
      <c r="S25" s="198"/>
      <c r="T25" s="198"/>
      <c r="U25" s="198"/>
    </row>
    <row r="26" spans="1:21" s="12" customFormat="1" x14ac:dyDescent="0.25">
      <c r="A26" s="201" t="s">
        <v>1030</v>
      </c>
      <c r="B26" s="60">
        <v>18.260000000000002</v>
      </c>
      <c r="C26" s="60">
        <v>51.6</v>
      </c>
      <c r="D26" s="60">
        <v>41.93</v>
      </c>
      <c r="E26" s="60">
        <v>6.85</v>
      </c>
      <c r="F26" s="60">
        <v>4.6100000000000003</v>
      </c>
      <c r="G26" s="60">
        <v>125.28</v>
      </c>
      <c r="H26" s="60">
        <v>53.95</v>
      </c>
      <c r="I26" s="60">
        <v>0.68</v>
      </c>
      <c r="J26" s="60">
        <v>0.21</v>
      </c>
      <c r="K26" s="60">
        <v>82.42</v>
      </c>
      <c r="L26" s="60">
        <v>17.920000000000002</v>
      </c>
      <c r="M26" s="60">
        <v>51.55</v>
      </c>
      <c r="N26" s="60">
        <v>3.6</v>
      </c>
      <c r="O26" s="60">
        <v>0</v>
      </c>
      <c r="P26" s="60">
        <v>1.33</v>
      </c>
      <c r="Q26" s="60">
        <v>15.42</v>
      </c>
      <c r="R26" s="198"/>
      <c r="S26" s="198"/>
      <c r="T26" s="198"/>
      <c r="U26" s="198"/>
    </row>
    <row r="27" spans="1:21" s="12" customFormat="1" x14ac:dyDescent="0.25">
      <c r="A27" s="201" t="s">
        <v>1031</v>
      </c>
      <c r="B27" s="60">
        <v>17.84</v>
      </c>
      <c r="C27" s="60">
        <v>51.9</v>
      </c>
      <c r="D27" s="60">
        <v>41.76</v>
      </c>
      <c r="E27" s="60">
        <v>7.06</v>
      </c>
      <c r="F27" s="60">
        <v>4.5</v>
      </c>
      <c r="G27" s="60">
        <v>121.25</v>
      </c>
      <c r="H27" s="60">
        <v>54.18</v>
      </c>
      <c r="I27" s="60">
        <v>0.66</v>
      </c>
      <c r="J27" s="60">
        <v>0.09</v>
      </c>
      <c r="K27" s="60">
        <v>112.47</v>
      </c>
      <c r="L27" s="60">
        <v>17.59</v>
      </c>
      <c r="M27" s="60">
        <v>53.61</v>
      </c>
      <c r="N27" s="60">
        <v>4.3</v>
      </c>
      <c r="O27" s="60">
        <v>0</v>
      </c>
      <c r="P27" s="60">
        <v>1.35</v>
      </c>
      <c r="Q27" s="60">
        <v>15.24</v>
      </c>
      <c r="R27" s="198"/>
      <c r="S27" s="198"/>
      <c r="T27" s="198"/>
      <c r="U27" s="198"/>
    </row>
    <row r="28" spans="1:21" s="12" customFormat="1" x14ac:dyDescent="0.25">
      <c r="A28" s="201" t="s">
        <v>1032</v>
      </c>
      <c r="B28" s="60">
        <v>17.55</v>
      </c>
      <c r="C28" s="60">
        <v>52.14</v>
      </c>
      <c r="D28" s="60">
        <v>41.66</v>
      </c>
      <c r="E28" s="60">
        <v>6.57</v>
      </c>
      <c r="F28" s="60">
        <v>4.54</v>
      </c>
      <c r="G28" s="60">
        <v>116.43</v>
      </c>
      <c r="H28" s="60">
        <v>54.45</v>
      </c>
      <c r="I28" s="60">
        <v>0.67</v>
      </c>
      <c r="J28" s="60">
        <v>7.0000000000000007E-2</v>
      </c>
      <c r="K28" s="60">
        <v>260.99</v>
      </c>
      <c r="L28" s="60">
        <v>17.18</v>
      </c>
      <c r="M28" s="60">
        <v>56.27</v>
      </c>
      <c r="N28" s="60">
        <v>4.5</v>
      </c>
      <c r="O28" s="60">
        <v>0</v>
      </c>
      <c r="P28" s="60">
        <v>1.37</v>
      </c>
      <c r="Q28" s="60">
        <v>15.27</v>
      </c>
      <c r="R28" s="198"/>
      <c r="S28" s="198"/>
      <c r="T28" s="198"/>
      <c r="U28" s="198"/>
    </row>
    <row r="29" spans="1:21" s="12" customFormat="1" x14ac:dyDescent="0.25">
      <c r="A29" s="201" t="s">
        <v>1033</v>
      </c>
      <c r="B29" s="60">
        <v>17.78</v>
      </c>
      <c r="C29" s="60">
        <v>52.22</v>
      </c>
      <c r="D29" s="60">
        <v>41.89</v>
      </c>
      <c r="E29" s="60">
        <v>7.01</v>
      </c>
      <c r="F29" s="60">
        <v>4.5</v>
      </c>
      <c r="G29" s="60">
        <v>116.43</v>
      </c>
      <c r="H29" s="60">
        <v>54.45</v>
      </c>
      <c r="I29" s="60">
        <v>0.67</v>
      </c>
      <c r="J29" s="60">
        <v>0.11</v>
      </c>
      <c r="K29" s="60">
        <v>271.10000000000002</v>
      </c>
      <c r="L29" s="60">
        <v>16.739999999999998</v>
      </c>
      <c r="M29" s="60">
        <v>58.34</v>
      </c>
      <c r="N29" s="60">
        <v>4.5</v>
      </c>
      <c r="O29" s="60">
        <v>0</v>
      </c>
      <c r="P29" s="60">
        <v>1.4</v>
      </c>
      <c r="Q29" s="60">
        <v>15.4</v>
      </c>
      <c r="R29" s="198"/>
      <c r="S29" s="198"/>
      <c r="T29" s="198"/>
      <c r="U29" s="198"/>
    </row>
    <row r="30" spans="1:21" s="12" customFormat="1" x14ac:dyDescent="0.25">
      <c r="A30" s="201" t="s">
        <v>1034</v>
      </c>
      <c r="B30" s="60">
        <v>18.7</v>
      </c>
      <c r="C30" s="60">
        <v>52.06</v>
      </c>
      <c r="D30" s="60">
        <v>42.54</v>
      </c>
      <c r="E30" s="60">
        <v>6.19</v>
      </c>
      <c r="F30" s="60">
        <v>4.5199999999999996</v>
      </c>
      <c r="G30" s="60">
        <v>116.43</v>
      </c>
      <c r="H30" s="60">
        <v>54.45</v>
      </c>
      <c r="I30" s="60">
        <v>0.67</v>
      </c>
      <c r="J30" s="60">
        <v>0.04</v>
      </c>
      <c r="K30" s="60">
        <v>288.06</v>
      </c>
      <c r="L30" s="60">
        <v>16.25</v>
      </c>
      <c r="M30" s="60">
        <v>60.55</v>
      </c>
      <c r="N30" s="60">
        <v>4.4000000000000004</v>
      </c>
      <c r="O30" s="60">
        <v>0</v>
      </c>
      <c r="P30" s="60">
        <v>1.42</v>
      </c>
      <c r="Q30" s="60">
        <v>15.51</v>
      </c>
      <c r="R30" s="198"/>
      <c r="S30" s="198"/>
      <c r="T30" s="198"/>
      <c r="U30" s="198"/>
    </row>
    <row r="31" spans="1:21" s="12" customFormat="1" x14ac:dyDescent="0.25">
      <c r="A31" s="201" t="s">
        <v>1035</v>
      </c>
      <c r="B31" s="60">
        <v>20.010000000000002</v>
      </c>
      <c r="C31" s="60">
        <v>51.95</v>
      </c>
      <c r="D31" s="60">
        <v>43.53</v>
      </c>
      <c r="E31" s="60">
        <v>6.32</v>
      </c>
      <c r="F31" s="60">
        <v>4.55</v>
      </c>
      <c r="G31" s="60">
        <v>114.4</v>
      </c>
      <c r="H31" s="60">
        <v>57.14</v>
      </c>
      <c r="I31" s="60">
        <v>0.68</v>
      </c>
      <c r="J31" s="60">
        <v>0.08</v>
      </c>
      <c r="K31" s="60">
        <v>59.25</v>
      </c>
      <c r="L31" s="60">
        <v>16.149999999999999</v>
      </c>
      <c r="M31" s="60">
        <v>58.78</v>
      </c>
      <c r="N31" s="60">
        <v>4.4000000000000004</v>
      </c>
      <c r="O31" s="60">
        <v>0</v>
      </c>
      <c r="P31" s="60">
        <v>1.44</v>
      </c>
      <c r="Q31" s="60">
        <v>15.69</v>
      </c>
      <c r="R31" s="198"/>
      <c r="S31" s="198"/>
      <c r="T31" s="198"/>
      <c r="U31" s="198"/>
    </row>
    <row r="32" spans="1:21" s="12" customFormat="1" x14ac:dyDescent="0.25">
      <c r="A32" s="201" t="s">
        <v>1036</v>
      </c>
      <c r="B32" s="60">
        <v>20.56</v>
      </c>
      <c r="C32" s="60">
        <v>51.76</v>
      </c>
      <c r="D32" s="60">
        <v>43.86</v>
      </c>
      <c r="E32" s="60">
        <v>6.62</v>
      </c>
      <c r="F32" s="60">
        <v>4.59</v>
      </c>
      <c r="G32" s="60">
        <v>111.96</v>
      </c>
      <c r="H32" s="60">
        <v>60.36</v>
      </c>
      <c r="I32" s="60">
        <v>0.66</v>
      </c>
      <c r="J32" s="60">
        <v>0.22</v>
      </c>
      <c r="K32" s="60">
        <v>39.630000000000003</v>
      </c>
      <c r="L32" s="60">
        <v>16.29</v>
      </c>
      <c r="M32" s="60">
        <v>58.2</v>
      </c>
      <c r="N32" s="60">
        <v>3.7</v>
      </c>
      <c r="O32" s="60">
        <v>0</v>
      </c>
      <c r="P32" s="60">
        <v>1.43</v>
      </c>
      <c r="Q32" s="60">
        <v>15.77</v>
      </c>
      <c r="R32" s="198"/>
      <c r="S32" s="198"/>
      <c r="T32" s="198"/>
      <c r="U32" s="198"/>
    </row>
    <row r="33" spans="1:21" s="12" customFormat="1" x14ac:dyDescent="0.25">
      <c r="A33" s="201" t="s">
        <v>1037</v>
      </c>
      <c r="B33" s="60">
        <v>22.73</v>
      </c>
      <c r="C33" s="60">
        <v>51.9</v>
      </c>
      <c r="D33" s="60">
        <v>45.68</v>
      </c>
      <c r="E33" s="60">
        <v>6.32</v>
      </c>
      <c r="F33" s="60">
        <v>4.5</v>
      </c>
      <c r="G33" s="60">
        <v>111.96</v>
      </c>
      <c r="H33" s="60">
        <v>60.36</v>
      </c>
      <c r="I33" s="60">
        <v>0.66</v>
      </c>
      <c r="J33" s="60">
        <v>0.06</v>
      </c>
      <c r="K33" s="60">
        <v>170.56</v>
      </c>
      <c r="L33" s="60">
        <v>16.440000000000001</v>
      </c>
      <c r="M33" s="60">
        <v>58.01</v>
      </c>
      <c r="N33" s="60">
        <v>4.2</v>
      </c>
      <c r="O33" s="60">
        <v>0</v>
      </c>
      <c r="P33" s="60">
        <v>1.43</v>
      </c>
      <c r="Q33" s="60">
        <v>16.829999999999998</v>
      </c>
      <c r="R33" s="198"/>
      <c r="S33" s="198"/>
      <c r="T33" s="198"/>
      <c r="U33" s="198"/>
    </row>
    <row r="34" spans="1:21" s="12" customFormat="1" x14ac:dyDescent="0.25">
      <c r="A34" s="201" t="s">
        <v>1038</v>
      </c>
      <c r="B34" s="60">
        <v>24.46</v>
      </c>
      <c r="C34" s="60">
        <v>52.03</v>
      </c>
      <c r="D34" s="60">
        <v>47.14</v>
      </c>
      <c r="E34" s="60">
        <v>5.97</v>
      </c>
      <c r="F34" s="60">
        <v>4.57</v>
      </c>
      <c r="G34" s="60">
        <v>111.96</v>
      </c>
      <c r="H34" s="60">
        <v>60.36</v>
      </c>
      <c r="I34" s="60">
        <v>0.66</v>
      </c>
      <c r="J34" s="60">
        <v>0.05</v>
      </c>
      <c r="K34" s="60">
        <v>355.88</v>
      </c>
      <c r="L34" s="60">
        <v>16.25</v>
      </c>
      <c r="M34" s="60">
        <v>58.89</v>
      </c>
      <c r="N34" s="60">
        <v>6.1</v>
      </c>
      <c r="O34" s="60">
        <v>0</v>
      </c>
      <c r="P34" s="60">
        <v>1.43</v>
      </c>
      <c r="Q34" s="60">
        <v>17.5</v>
      </c>
      <c r="R34" s="198"/>
      <c r="S34" s="198"/>
      <c r="T34" s="198"/>
      <c r="U34" s="198"/>
    </row>
    <row r="35" spans="1:21" s="12" customFormat="1" x14ac:dyDescent="0.25">
      <c r="A35" s="201" t="s">
        <v>1039</v>
      </c>
      <c r="B35" s="60">
        <v>26.21</v>
      </c>
      <c r="C35" s="60">
        <v>52.17</v>
      </c>
      <c r="D35" s="60">
        <v>48.62</v>
      </c>
      <c r="E35" s="60">
        <v>6.06</v>
      </c>
      <c r="F35" s="60">
        <v>4.6399999999999997</v>
      </c>
      <c r="G35" s="60">
        <v>103.04</v>
      </c>
      <c r="H35" s="60">
        <v>56.24</v>
      </c>
      <c r="I35" s="60">
        <v>0.66</v>
      </c>
      <c r="J35" s="60">
        <v>0.16</v>
      </c>
      <c r="K35" s="60">
        <v>293.73</v>
      </c>
      <c r="L35" s="60">
        <v>16.11</v>
      </c>
      <c r="M35" s="60">
        <v>60.4</v>
      </c>
      <c r="N35" s="60">
        <v>12.5</v>
      </c>
      <c r="O35" s="60">
        <v>0</v>
      </c>
      <c r="P35" s="60">
        <v>1.43</v>
      </c>
      <c r="Q35" s="60">
        <v>17.54</v>
      </c>
      <c r="R35" s="198"/>
      <c r="S35" s="198"/>
      <c r="T35" s="198"/>
      <c r="U35" s="198"/>
    </row>
    <row r="36" spans="1:21" s="12" customFormat="1" x14ac:dyDescent="0.25">
      <c r="A36" s="201" t="s">
        <v>1040</v>
      </c>
      <c r="B36" s="60">
        <v>29.21</v>
      </c>
      <c r="C36" s="60">
        <v>52.68</v>
      </c>
      <c r="D36" s="60">
        <v>51.31</v>
      </c>
      <c r="E36" s="60">
        <v>6.61</v>
      </c>
      <c r="F36" s="60">
        <v>4.53</v>
      </c>
      <c r="G36" s="60">
        <v>92.37</v>
      </c>
      <c r="H36" s="60">
        <v>51.32</v>
      </c>
      <c r="I36" s="60">
        <v>0.66</v>
      </c>
      <c r="J36" s="60">
        <v>0.12</v>
      </c>
      <c r="K36" s="60">
        <v>293.8</v>
      </c>
      <c r="L36" s="60">
        <v>16.05</v>
      </c>
      <c r="M36" s="60">
        <v>62.68</v>
      </c>
      <c r="N36" s="60">
        <v>23.9</v>
      </c>
      <c r="O36" s="60">
        <v>0</v>
      </c>
      <c r="P36" s="60">
        <v>1.44</v>
      </c>
      <c r="Q36" s="60">
        <v>17.97</v>
      </c>
      <c r="R36" s="198"/>
      <c r="S36" s="198"/>
      <c r="T36" s="198"/>
      <c r="U36" s="198"/>
    </row>
    <row r="37" spans="1:21" s="12" customFormat="1" x14ac:dyDescent="0.25">
      <c r="A37" s="201" t="s">
        <v>1041</v>
      </c>
      <c r="B37" s="60">
        <v>33.24</v>
      </c>
      <c r="C37" s="60">
        <v>52.84</v>
      </c>
      <c r="D37" s="60">
        <v>54.63</v>
      </c>
      <c r="E37" s="60">
        <v>6.52</v>
      </c>
      <c r="F37" s="60">
        <v>4.51</v>
      </c>
      <c r="G37" s="60">
        <v>92.37</v>
      </c>
      <c r="H37" s="60">
        <v>51.32</v>
      </c>
      <c r="I37" s="60">
        <v>0.66</v>
      </c>
      <c r="J37" s="60">
        <v>0.17</v>
      </c>
      <c r="K37" s="60">
        <v>304.39</v>
      </c>
      <c r="L37" s="60">
        <v>16.420000000000002</v>
      </c>
      <c r="M37" s="60">
        <v>62.33</v>
      </c>
      <c r="N37" s="60">
        <v>34.700000000000003</v>
      </c>
      <c r="O37" s="60">
        <v>0</v>
      </c>
      <c r="P37" s="60">
        <v>1.33</v>
      </c>
      <c r="Q37" s="60">
        <v>18.75</v>
      </c>
      <c r="R37" s="198"/>
      <c r="S37" s="198"/>
      <c r="T37" s="198"/>
      <c r="U37" s="198"/>
    </row>
    <row r="38" spans="1:21" s="12" customFormat="1" x14ac:dyDescent="0.25">
      <c r="A38" s="201" t="s">
        <v>1042</v>
      </c>
      <c r="B38" s="60">
        <v>40.840000000000003</v>
      </c>
      <c r="C38" s="60">
        <v>53.56</v>
      </c>
      <c r="D38" s="60">
        <v>61.12</v>
      </c>
      <c r="E38" s="60">
        <v>6.3</v>
      </c>
      <c r="F38" s="60">
        <v>4.58</v>
      </c>
      <c r="G38" s="60">
        <v>92.37</v>
      </c>
      <c r="H38" s="60">
        <v>51.32</v>
      </c>
      <c r="I38" s="60">
        <v>0.66</v>
      </c>
      <c r="J38" s="60">
        <v>0.12</v>
      </c>
      <c r="K38" s="60">
        <v>308.3</v>
      </c>
      <c r="L38" s="60">
        <v>17.190000000000001</v>
      </c>
      <c r="M38" s="60">
        <v>60.37</v>
      </c>
      <c r="N38" s="60">
        <v>61.8</v>
      </c>
      <c r="O38" s="60">
        <v>0</v>
      </c>
      <c r="P38" s="60">
        <v>1.42</v>
      </c>
      <c r="Q38" s="60">
        <v>20.55</v>
      </c>
      <c r="R38" s="198"/>
      <c r="S38" s="198"/>
      <c r="T38" s="198"/>
      <c r="U38" s="198"/>
    </row>
    <row r="39" spans="1:21" s="12" customFormat="1" x14ac:dyDescent="0.25">
      <c r="A39" s="201" t="s">
        <v>1043</v>
      </c>
      <c r="B39" s="60">
        <v>50.08</v>
      </c>
      <c r="C39" s="60">
        <v>55.39</v>
      </c>
      <c r="D39" s="60">
        <v>69.540000000000006</v>
      </c>
      <c r="E39" s="60">
        <v>6.26</v>
      </c>
      <c r="F39" s="60">
        <v>4.5199999999999996</v>
      </c>
      <c r="G39" s="60">
        <v>105.46</v>
      </c>
      <c r="H39" s="60">
        <v>51.89</v>
      </c>
      <c r="I39" s="60">
        <v>0.66</v>
      </c>
      <c r="J39" s="60">
        <v>0.43</v>
      </c>
      <c r="K39" s="60">
        <v>101.33</v>
      </c>
      <c r="L39" s="60">
        <v>19.16</v>
      </c>
      <c r="M39" s="60">
        <v>49.68</v>
      </c>
      <c r="N39" s="60">
        <v>161.9</v>
      </c>
      <c r="O39" s="60">
        <v>0</v>
      </c>
      <c r="P39" s="60">
        <v>1.45</v>
      </c>
      <c r="Q39" s="60">
        <v>21.35</v>
      </c>
      <c r="R39" s="198"/>
      <c r="S39" s="198"/>
      <c r="T39" s="198"/>
      <c r="U39" s="198"/>
    </row>
    <row r="40" spans="1:21" s="12" customFormat="1" x14ac:dyDescent="0.25">
      <c r="A40" s="201" t="s">
        <v>1044</v>
      </c>
      <c r="B40" s="60">
        <v>53.88</v>
      </c>
      <c r="C40" s="60">
        <v>56.54</v>
      </c>
      <c r="D40" s="60">
        <v>73.22</v>
      </c>
      <c r="E40" s="60">
        <v>4.9000000000000004</v>
      </c>
      <c r="F40" s="60">
        <v>4.51</v>
      </c>
      <c r="G40" s="60">
        <v>121.1</v>
      </c>
      <c r="H40" s="60">
        <v>52.57</v>
      </c>
      <c r="I40" s="60">
        <v>0.67</v>
      </c>
      <c r="J40" s="60">
        <v>0.8</v>
      </c>
      <c r="K40" s="60">
        <v>113.89</v>
      </c>
      <c r="L40" s="60">
        <v>21.1</v>
      </c>
      <c r="M40" s="60">
        <v>42.04</v>
      </c>
      <c r="N40" s="60">
        <v>231.5</v>
      </c>
      <c r="O40" s="60">
        <v>0</v>
      </c>
      <c r="P40" s="60">
        <v>1.44</v>
      </c>
      <c r="Q40" s="60">
        <v>21</v>
      </c>
      <c r="R40" s="198"/>
      <c r="S40" s="198"/>
      <c r="T40" s="198"/>
      <c r="U40" s="198"/>
    </row>
    <row r="41" spans="1:21" s="12" customFormat="1" x14ac:dyDescent="0.25">
      <c r="A41" s="201" t="s">
        <v>1045</v>
      </c>
      <c r="B41" s="60">
        <v>52.66</v>
      </c>
      <c r="C41" s="60">
        <v>56.86</v>
      </c>
      <c r="D41" s="60">
        <v>72.42</v>
      </c>
      <c r="E41" s="60">
        <v>6.28</v>
      </c>
      <c r="F41" s="60">
        <v>4.5599999999999996</v>
      </c>
      <c r="G41" s="60">
        <v>121.1</v>
      </c>
      <c r="H41" s="60">
        <v>52.57</v>
      </c>
      <c r="I41" s="60">
        <v>0.67</v>
      </c>
      <c r="J41" s="60">
        <v>1.17</v>
      </c>
      <c r="K41" s="60">
        <v>109.57</v>
      </c>
      <c r="L41" s="60">
        <v>21.64</v>
      </c>
      <c r="M41" s="60">
        <v>38.85</v>
      </c>
      <c r="N41" s="60">
        <v>278</v>
      </c>
      <c r="O41" s="60">
        <v>0</v>
      </c>
      <c r="P41" s="60">
        <v>1.4</v>
      </c>
      <c r="Q41" s="60">
        <v>21.04</v>
      </c>
      <c r="R41" s="198"/>
      <c r="S41" s="198"/>
      <c r="T41" s="198"/>
      <c r="U41" s="198"/>
    </row>
    <row r="42" spans="1:21" s="12" customFormat="1" x14ac:dyDescent="0.25">
      <c r="A42" s="201" t="s">
        <v>1046</v>
      </c>
      <c r="B42" s="60">
        <v>50.32</v>
      </c>
      <c r="C42" s="60">
        <v>56.95</v>
      </c>
      <c r="D42" s="60">
        <v>70.59</v>
      </c>
      <c r="E42" s="60">
        <v>6.46</v>
      </c>
      <c r="F42" s="60">
        <v>4.57</v>
      </c>
      <c r="G42" s="60">
        <v>121.1</v>
      </c>
      <c r="H42" s="60">
        <v>52.57</v>
      </c>
      <c r="I42" s="60">
        <v>0.68</v>
      </c>
      <c r="J42" s="60">
        <v>1.01</v>
      </c>
      <c r="K42" s="60">
        <v>107.08</v>
      </c>
      <c r="L42" s="60">
        <v>22.18</v>
      </c>
      <c r="M42" s="60">
        <v>37.57</v>
      </c>
      <c r="N42" s="60">
        <v>317.60000000000002</v>
      </c>
      <c r="O42" s="60">
        <v>0</v>
      </c>
      <c r="P42" s="60">
        <v>1.37</v>
      </c>
      <c r="Q42" s="60">
        <v>20.97</v>
      </c>
      <c r="R42" s="198"/>
      <c r="S42" s="198"/>
      <c r="T42" s="198"/>
      <c r="U42" s="198"/>
    </row>
    <row r="43" spans="1:21" s="12" customFormat="1" x14ac:dyDescent="0.25">
      <c r="A43" s="201" t="s">
        <v>1047</v>
      </c>
      <c r="B43" s="60">
        <v>47.38</v>
      </c>
      <c r="C43" s="60">
        <v>57.17</v>
      </c>
      <c r="D43" s="60">
        <v>68.36</v>
      </c>
      <c r="E43" s="60">
        <v>6.25</v>
      </c>
      <c r="F43" s="60">
        <v>4.59</v>
      </c>
      <c r="G43" s="60">
        <v>95.9</v>
      </c>
      <c r="H43" s="60">
        <v>48.2</v>
      </c>
      <c r="I43" s="60">
        <v>0.68</v>
      </c>
      <c r="J43" s="60">
        <v>1.21</v>
      </c>
      <c r="K43" s="60">
        <v>111.63</v>
      </c>
      <c r="L43" s="60">
        <v>22.67</v>
      </c>
      <c r="M43" s="60">
        <v>36.54</v>
      </c>
      <c r="N43" s="60">
        <v>358.7</v>
      </c>
      <c r="O43" s="60">
        <v>0</v>
      </c>
      <c r="P43" s="60">
        <v>1.32</v>
      </c>
      <c r="Q43" s="60">
        <v>20.89</v>
      </c>
      <c r="R43" s="198"/>
      <c r="S43" s="198"/>
      <c r="T43" s="198"/>
      <c r="U43" s="198"/>
    </row>
    <row r="44" spans="1:21" s="12" customFormat="1" x14ac:dyDescent="0.25">
      <c r="A44" s="201" t="s">
        <v>1048</v>
      </c>
      <c r="B44" s="60">
        <v>44.53</v>
      </c>
      <c r="C44" s="60">
        <v>57.17</v>
      </c>
      <c r="D44" s="60">
        <v>66.069999999999993</v>
      </c>
      <c r="E44" s="60">
        <v>6.77</v>
      </c>
      <c r="F44" s="60">
        <v>4.62</v>
      </c>
      <c r="G44" s="60">
        <v>65.790000000000006</v>
      </c>
      <c r="H44" s="60">
        <v>42.98</v>
      </c>
      <c r="I44" s="60">
        <v>0.68</v>
      </c>
      <c r="J44" s="60">
        <v>0.92</v>
      </c>
      <c r="K44" s="60">
        <v>113.19</v>
      </c>
      <c r="L44" s="60">
        <v>23.51</v>
      </c>
      <c r="M44" s="60">
        <v>34.159999999999997</v>
      </c>
      <c r="N44" s="60">
        <v>399.1</v>
      </c>
      <c r="O44" s="60">
        <v>0</v>
      </c>
      <c r="P44" s="60">
        <v>1.28</v>
      </c>
      <c r="Q44" s="60">
        <v>20.98</v>
      </c>
      <c r="R44" s="198"/>
      <c r="S44" s="198"/>
      <c r="T44" s="198"/>
      <c r="U44" s="198"/>
    </row>
    <row r="45" spans="1:21" s="12" customFormat="1" x14ac:dyDescent="0.25">
      <c r="A45" s="201" t="s">
        <v>1049</v>
      </c>
      <c r="B45" s="60">
        <v>41.4</v>
      </c>
      <c r="C45" s="60">
        <v>57.36</v>
      </c>
      <c r="D45" s="60">
        <v>63.66</v>
      </c>
      <c r="E45" s="60">
        <v>6.88</v>
      </c>
      <c r="F45" s="60">
        <v>4.74</v>
      </c>
      <c r="G45" s="60">
        <v>65.790000000000006</v>
      </c>
      <c r="H45" s="60">
        <v>42.98</v>
      </c>
      <c r="I45" s="60">
        <v>0.68</v>
      </c>
      <c r="J45" s="60">
        <v>1.26</v>
      </c>
      <c r="K45" s="60">
        <v>116.06</v>
      </c>
      <c r="L45" s="60">
        <v>24.04</v>
      </c>
      <c r="M45" s="60">
        <v>33.4</v>
      </c>
      <c r="N45" s="60">
        <v>430.5</v>
      </c>
      <c r="O45" s="60">
        <v>0</v>
      </c>
      <c r="P45" s="60">
        <v>1.25</v>
      </c>
      <c r="Q45" s="60">
        <v>21.09</v>
      </c>
      <c r="R45" s="198"/>
      <c r="S45" s="198"/>
      <c r="T45" s="198"/>
      <c r="U45" s="198"/>
    </row>
    <row r="46" spans="1:21" s="12" customFormat="1" x14ac:dyDescent="0.25">
      <c r="A46" s="201" t="s">
        <v>1050</v>
      </c>
      <c r="B46" s="60">
        <v>37.92</v>
      </c>
      <c r="C46" s="60">
        <v>57.55</v>
      </c>
      <c r="D46" s="60">
        <v>60.98</v>
      </c>
      <c r="E46" s="60">
        <v>7.14</v>
      </c>
      <c r="F46" s="60">
        <v>4.72</v>
      </c>
      <c r="G46" s="60">
        <v>65.790000000000006</v>
      </c>
      <c r="H46" s="60">
        <v>42.98</v>
      </c>
      <c r="I46" s="60">
        <v>0.68</v>
      </c>
      <c r="J46" s="60">
        <v>1.41</v>
      </c>
      <c r="K46" s="60">
        <v>116.14</v>
      </c>
      <c r="L46" s="60">
        <v>24.17</v>
      </c>
      <c r="M46" s="60">
        <v>33.75</v>
      </c>
      <c r="N46" s="60">
        <v>459.1</v>
      </c>
      <c r="O46" s="60">
        <v>0</v>
      </c>
      <c r="P46" s="60">
        <v>1.21</v>
      </c>
      <c r="Q46" s="60">
        <v>21.06</v>
      </c>
      <c r="R46" s="198"/>
      <c r="S46" s="198"/>
      <c r="T46" s="198"/>
      <c r="U46" s="198"/>
    </row>
    <row r="47" spans="1:21" s="12" customFormat="1" x14ac:dyDescent="0.25">
      <c r="A47" s="201" t="s">
        <v>1051</v>
      </c>
      <c r="B47" s="60">
        <v>34.44</v>
      </c>
      <c r="C47" s="60">
        <v>56.71</v>
      </c>
      <c r="D47" s="60">
        <v>57.73</v>
      </c>
      <c r="E47" s="60">
        <v>6.79</v>
      </c>
      <c r="F47" s="60">
        <v>4.75</v>
      </c>
      <c r="G47" s="60">
        <v>63.32</v>
      </c>
      <c r="H47" s="60">
        <v>38.9</v>
      </c>
      <c r="I47" s="60">
        <v>0.68</v>
      </c>
      <c r="J47" s="60">
        <v>1.19</v>
      </c>
      <c r="K47" s="60">
        <v>113.76</v>
      </c>
      <c r="L47" s="60">
        <v>24.64</v>
      </c>
      <c r="M47" s="60">
        <v>33.090000000000003</v>
      </c>
      <c r="N47" s="60">
        <v>475.6</v>
      </c>
      <c r="O47" s="60">
        <v>0</v>
      </c>
      <c r="P47" s="60">
        <v>1.1599999999999999</v>
      </c>
      <c r="Q47" s="60">
        <v>20.79</v>
      </c>
      <c r="R47" s="198"/>
      <c r="S47" s="198"/>
      <c r="T47" s="198"/>
      <c r="U47" s="198"/>
    </row>
    <row r="48" spans="1:21" s="12" customFormat="1" x14ac:dyDescent="0.25">
      <c r="A48" s="201" t="s">
        <v>1052</v>
      </c>
      <c r="B48" s="60">
        <v>31.03</v>
      </c>
      <c r="C48" s="60">
        <v>58.32</v>
      </c>
      <c r="D48" s="60">
        <v>55.88</v>
      </c>
      <c r="E48" s="60">
        <v>6.89</v>
      </c>
      <c r="F48" s="60">
        <v>4.8499999999999996</v>
      </c>
      <c r="G48" s="60">
        <v>60.38</v>
      </c>
      <c r="H48" s="60">
        <v>34.020000000000003</v>
      </c>
      <c r="I48" s="60">
        <v>0.68</v>
      </c>
      <c r="J48" s="60">
        <v>1.04</v>
      </c>
      <c r="K48" s="60">
        <v>106.69</v>
      </c>
      <c r="L48" s="60">
        <v>25.68</v>
      </c>
      <c r="M48" s="60">
        <v>31.34</v>
      </c>
      <c r="N48" s="60">
        <v>494.4</v>
      </c>
      <c r="O48" s="60">
        <v>0</v>
      </c>
      <c r="P48" s="60">
        <v>1.1200000000000001</v>
      </c>
      <c r="Q48" s="60">
        <v>20.29</v>
      </c>
      <c r="R48" s="198"/>
      <c r="S48" s="198"/>
      <c r="T48" s="198"/>
      <c r="U48" s="198"/>
    </row>
    <row r="49" spans="1:21" s="12" customFormat="1" x14ac:dyDescent="0.25">
      <c r="A49" s="201" t="s">
        <v>1053</v>
      </c>
      <c r="B49" s="60">
        <v>26.59</v>
      </c>
      <c r="C49" s="60">
        <v>59.14</v>
      </c>
      <c r="D49" s="60">
        <v>52.78</v>
      </c>
      <c r="E49" s="60">
        <v>7.28</v>
      </c>
      <c r="F49" s="60">
        <v>4.87</v>
      </c>
      <c r="G49" s="60">
        <v>60.38</v>
      </c>
      <c r="H49" s="60">
        <v>34.020000000000003</v>
      </c>
      <c r="I49" s="60">
        <v>0.69</v>
      </c>
      <c r="J49" s="60">
        <v>0.98</v>
      </c>
      <c r="K49" s="60">
        <v>115.45</v>
      </c>
      <c r="L49" s="60">
        <v>26.08</v>
      </c>
      <c r="M49" s="60">
        <v>29.52</v>
      </c>
      <c r="N49" s="60">
        <v>510</v>
      </c>
      <c r="O49" s="60">
        <v>0</v>
      </c>
      <c r="P49" s="60">
        <v>1.06</v>
      </c>
      <c r="Q49" s="60">
        <v>19.27</v>
      </c>
      <c r="R49" s="198"/>
      <c r="S49" s="198"/>
      <c r="T49" s="198"/>
      <c r="U49" s="198"/>
    </row>
    <row r="50" spans="1:21" s="12" customFormat="1" x14ac:dyDescent="0.25">
      <c r="A50" s="201" t="s">
        <v>1054</v>
      </c>
      <c r="B50" s="60">
        <v>23.84</v>
      </c>
      <c r="C50" s="60">
        <v>61.19</v>
      </c>
      <c r="D50" s="60">
        <v>51.7</v>
      </c>
      <c r="E50" s="60">
        <v>7.51</v>
      </c>
      <c r="F50" s="60">
        <v>4.78</v>
      </c>
      <c r="G50" s="60">
        <v>60.38</v>
      </c>
      <c r="H50" s="60">
        <v>34.020000000000003</v>
      </c>
      <c r="I50" s="60">
        <v>0.66</v>
      </c>
      <c r="J50" s="60">
        <v>1.04</v>
      </c>
      <c r="K50" s="60">
        <v>112.63</v>
      </c>
      <c r="L50" s="60">
        <v>26.94</v>
      </c>
      <c r="M50" s="60">
        <v>27.71</v>
      </c>
      <c r="N50" s="60">
        <v>523.1</v>
      </c>
      <c r="O50" s="60">
        <v>0</v>
      </c>
      <c r="P50" s="60">
        <v>1.02</v>
      </c>
      <c r="Q50" s="60">
        <v>18.190000000000001</v>
      </c>
      <c r="R50" s="198"/>
      <c r="S50" s="198"/>
      <c r="T50" s="198"/>
      <c r="U50" s="198"/>
    </row>
    <row r="51" spans="1:21" s="12" customFormat="1" x14ac:dyDescent="0.25">
      <c r="A51" s="201" t="s">
        <v>1055</v>
      </c>
      <c r="B51" s="60">
        <v>20.58</v>
      </c>
      <c r="C51" s="60">
        <v>62.09</v>
      </c>
      <c r="D51" s="60">
        <v>49.57</v>
      </c>
      <c r="E51" s="60">
        <v>4.4400000000000004</v>
      </c>
      <c r="F51" s="60">
        <v>4.88</v>
      </c>
      <c r="G51" s="60">
        <v>56.33</v>
      </c>
      <c r="H51" s="60">
        <v>32.479999999999997</v>
      </c>
      <c r="I51" s="60">
        <v>0.65</v>
      </c>
      <c r="J51" s="60">
        <v>1.4</v>
      </c>
      <c r="K51" s="60">
        <v>114.38</v>
      </c>
      <c r="L51" s="60">
        <v>26.79</v>
      </c>
      <c r="M51" s="60">
        <v>27.47</v>
      </c>
      <c r="N51" s="60">
        <v>542.29999999999995</v>
      </c>
      <c r="O51" s="60">
        <v>0</v>
      </c>
      <c r="P51" s="60">
        <v>0.97</v>
      </c>
      <c r="Q51" s="60">
        <v>17.010000000000002</v>
      </c>
      <c r="R51" s="198"/>
      <c r="S51" s="198"/>
      <c r="T51" s="198"/>
      <c r="U51" s="198"/>
    </row>
    <row r="52" spans="1:21" s="12" customFormat="1" x14ac:dyDescent="0.25">
      <c r="A52" s="201" t="s">
        <v>1056</v>
      </c>
      <c r="B52" s="60">
        <v>17.34</v>
      </c>
      <c r="C52" s="60">
        <v>62.72</v>
      </c>
      <c r="D52" s="60">
        <v>47.33</v>
      </c>
      <c r="E52" s="60">
        <v>7.56</v>
      </c>
      <c r="F52" s="60">
        <v>5.2</v>
      </c>
      <c r="G52" s="60">
        <v>51.49</v>
      </c>
      <c r="H52" s="60">
        <v>30.64</v>
      </c>
      <c r="I52" s="60">
        <v>0.64</v>
      </c>
      <c r="J52" s="60">
        <v>0.72</v>
      </c>
      <c r="K52" s="60">
        <v>100.7</v>
      </c>
      <c r="L52" s="60">
        <v>28.14</v>
      </c>
      <c r="M52" s="60">
        <v>24.91</v>
      </c>
      <c r="N52" s="60">
        <v>558.9</v>
      </c>
      <c r="O52" s="60">
        <v>0</v>
      </c>
      <c r="P52" s="60">
        <v>0.92</v>
      </c>
      <c r="Q52" s="60">
        <v>15.86</v>
      </c>
      <c r="R52" s="198"/>
      <c r="S52" s="198"/>
      <c r="T52" s="198"/>
      <c r="U52" s="198"/>
    </row>
    <row r="53" spans="1:21" s="12" customFormat="1" x14ac:dyDescent="0.25">
      <c r="A53" s="201" t="s">
        <v>1057</v>
      </c>
      <c r="B53" s="60">
        <v>14.72</v>
      </c>
      <c r="C53" s="60">
        <v>63.72</v>
      </c>
      <c r="D53" s="60">
        <v>45.78</v>
      </c>
      <c r="E53" s="60">
        <v>7</v>
      </c>
      <c r="F53" s="60">
        <v>5.26</v>
      </c>
      <c r="G53" s="60">
        <v>51.49</v>
      </c>
      <c r="H53" s="60">
        <v>30.64</v>
      </c>
      <c r="I53" s="60">
        <v>0.63</v>
      </c>
      <c r="J53" s="60">
        <v>0.79</v>
      </c>
      <c r="K53" s="60">
        <v>67.87</v>
      </c>
      <c r="L53" s="60">
        <v>29.42</v>
      </c>
      <c r="M53" s="60">
        <v>22.24</v>
      </c>
      <c r="N53" s="60">
        <v>589.79999999999995</v>
      </c>
      <c r="O53" s="60">
        <v>0</v>
      </c>
      <c r="P53" s="60">
        <v>0.88</v>
      </c>
      <c r="Q53" s="60">
        <v>15</v>
      </c>
      <c r="R53" s="198"/>
      <c r="S53" s="198"/>
      <c r="T53" s="198"/>
      <c r="U53" s="198"/>
    </row>
    <row r="54" spans="1:21" s="12" customFormat="1" x14ac:dyDescent="0.25">
      <c r="A54" s="201" t="s">
        <v>1058</v>
      </c>
      <c r="B54" s="60">
        <v>12.27</v>
      </c>
      <c r="C54" s="60">
        <v>62.8</v>
      </c>
      <c r="D54" s="60">
        <v>43.31</v>
      </c>
      <c r="E54" s="60">
        <v>8.08</v>
      </c>
      <c r="F54" s="60">
        <v>7.48</v>
      </c>
      <c r="G54" s="60">
        <v>51.49</v>
      </c>
      <c r="H54" s="60">
        <v>30.64</v>
      </c>
      <c r="I54" s="60">
        <v>0.62</v>
      </c>
      <c r="J54" s="60">
        <v>0.81</v>
      </c>
      <c r="K54" s="60">
        <v>91.08</v>
      </c>
      <c r="L54" s="60">
        <v>28.3</v>
      </c>
      <c r="M54" s="60">
        <v>24.04</v>
      </c>
      <c r="N54" s="60">
        <v>607.6</v>
      </c>
      <c r="O54" s="60">
        <v>0</v>
      </c>
      <c r="P54" s="60">
        <v>0.84</v>
      </c>
      <c r="Q54" s="60">
        <v>13.55</v>
      </c>
      <c r="R54" s="198"/>
      <c r="S54" s="198"/>
      <c r="T54" s="198"/>
      <c r="U54" s="198"/>
    </row>
    <row r="55" spans="1:21" s="12" customFormat="1" x14ac:dyDescent="0.25">
      <c r="A55" s="201" t="s">
        <v>1059</v>
      </c>
      <c r="B55" s="60">
        <v>11.43</v>
      </c>
      <c r="C55" s="60">
        <v>62.16</v>
      </c>
      <c r="D55" s="60">
        <v>42.28</v>
      </c>
      <c r="E55" s="60">
        <v>9.61</v>
      </c>
      <c r="F55" s="60">
        <v>7.5</v>
      </c>
      <c r="G55" s="60">
        <v>46.78</v>
      </c>
      <c r="H55" s="60">
        <v>28.15</v>
      </c>
      <c r="I55" s="60">
        <v>0.61</v>
      </c>
      <c r="J55" s="60">
        <v>0.22</v>
      </c>
      <c r="K55" s="60">
        <v>58.68</v>
      </c>
      <c r="L55" s="60">
        <v>30.44</v>
      </c>
      <c r="M55" s="60">
        <v>21.12</v>
      </c>
      <c r="N55" s="60">
        <v>613.9</v>
      </c>
      <c r="O55" s="60">
        <v>0</v>
      </c>
      <c r="P55" s="60">
        <v>0.84</v>
      </c>
      <c r="Q55" s="60">
        <v>12.3</v>
      </c>
      <c r="R55" s="198"/>
      <c r="S55" s="198"/>
      <c r="T55" s="198"/>
      <c r="U55" s="198"/>
    </row>
    <row r="56" spans="1:21" s="12" customFormat="1" x14ac:dyDescent="0.25">
      <c r="A56" s="201" t="s">
        <v>1060</v>
      </c>
      <c r="B56" s="60">
        <v>11.16</v>
      </c>
      <c r="C56" s="60">
        <v>64.099999999999994</v>
      </c>
      <c r="D56" s="60">
        <v>43.14</v>
      </c>
      <c r="E56" s="60">
        <v>9.51</v>
      </c>
      <c r="F56" s="60">
        <v>6.89</v>
      </c>
      <c r="G56" s="60">
        <v>41.15</v>
      </c>
      <c r="H56" s="60">
        <v>25.16</v>
      </c>
      <c r="I56" s="60">
        <v>0.6</v>
      </c>
      <c r="J56" s="60">
        <v>1</v>
      </c>
      <c r="K56" s="60">
        <v>18.760000000000002</v>
      </c>
      <c r="L56" s="60">
        <v>31.81</v>
      </c>
      <c r="M56" s="60">
        <v>19.190000000000001</v>
      </c>
      <c r="N56" s="60">
        <v>623.6</v>
      </c>
      <c r="O56" s="60">
        <v>0</v>
      </c>
      <c r="P56" s="60">
        <v>0.82</v>
      </c>
      <c r="Q56" s="60">
        <v>12.75</v>
      </c>
      <c r="R56" s="198"/>
      <c r="S56" s="198"/>
      <c r="T56" s="198"/>
      <c r="U56" s="198"/>
    </row>
    <row r="57" spans="1:21" s="12" customFormat="1" x14ac:dyDescent="0.25">
      <c r="A57" s="201" t="s">
        <v>1061</v>
      </c>
      <c r="B57" s="60">
        <v>10.7</v>
      </c>
      <c r="C57" s="60">
        <v>65.099999999999994</v>
      </c>
      <c r="D57" s="60">
        <v>43.32</v>
      </c>
      <c r="E57" s="60">
        <v>9.2799999999999994</v>
      </c>
      <c r="F57" s="60">
        <v>7.63</v>
      </c>
      <c r="G57" s="60">
        <v>41.15</v>
      </c>
      <c r="H57" s="60">
        <v>25.16</v>
      </c>
      <c r="I57" s="60">
        <v>0.61</v>
      </c>
      <c r="J57" s="60">
        <v>0.28000000000000003</v>
      </c>
      <c r="K57" s="60">
        <v>152.13</v>
      </c>
      <c r="L57" s="60">
        <v>30.74</v>
      </c>
      <c r="M57" s="60">
        <v>18.649999999999999</v>
      </c>
      <c r="N57" s="60">
        <v>635.4</v>
      </c>
      <c r="O57" s="60">
        <v>0</v>
      </c>
      <c r="P57" s="60">
        <v>0.8</v>
      </c>
      <c r="Q57" s="60">
        <v>13.17</v>
      </c>
      <c r="R57" s="198"/>
      <c r="S57" s="198"/>
      <c r="T57" s="198"/>
      <c r="U57" s="198"/>
    </row>
    <row r="58" spans="1:21" s="12" customFormat="1" x14ac:dyDescent="0.25">
      <c r="A58" s="201" t="s">
        <v>1062</v>
      </c>
      <c r="B58" s="60">
        <v>8.6300000000000008</v>
      </c>
      <c r="C58" s="60">
        <v>61.49</v>
      </c>
      <c r="D58" s="60">
        <v>39.659999999999997</v>
      </c>
      <c r="E58" s="60">
        <v>8.91</v>
      </c>
      <c r="F58" s="60">
        <v>7.3</v>
      </c>
      <c r="G58" s="60">
        <v>41.15</v>
      </c>
      <c r="H58" s="60">
        <v>25.16</v>
      </c>
      <c r="I58" s="60">
        <v>0.61</v>
      </c>
      <c r="J58" s="60">
        <v>0.45</v>
      </c>
      <c r="K58" s="60">
        <v>81.96</v>
      </c>
      <c r="L58" s="60">
        <v>29.63</v>
      </c>
      <c r="M58" s="60">
        <v>20.260000000000002</v>
      </c>
      <c r="N58" s="60">
        <v>631.9</v>
      </c>
      <c r="O58" s="60">
        <v>0</v>
      </c>
      <c r="P58" s="60">
        <v>0.76</v>
      </c>
      <c r="Q58" s="60">
        <v>12.83</v>
      </c>
      <c r="R58" s="198"/>
      <c r="S58" s="198"/>
      <c r="T58" s="198"/>
      <c r="U58" s="198"/>
    </row>
    <row r="59" spans="1:21" s="12" customFormat="1" x14ac:dyDescent="0.25">
      <c r="A59" s="201" t="s">
        <v>1063</v>
      </c>
      <c r="B59" s="60">
        <v>8.34</v>
      </c>
      <c r="C59" s="60">
        <v>64.22</v>
      </c>
      <c r="D59" s="60">
        <v>40.94</v>
      </c>
      <c r="E59" s="60">
        <v>8.4</v>
      </c>
      <c r="F59" s="60">
        <v>6.54</v>
      </c>
      <c r="G59" s="60">
        <v>43.98</v>
      </c>
      <c r="H59" s="60">
        <v>23.07</v>
      </c>
      <c r="I59" s="60">
        <v>0.61</v>
      </c>
      <c r="J59" s="60">
        <v>0.72</v>
      </c>
      <c r="K59" s="60">
        <v>1.54</v>
      </c>
      <c r="L59" s="60">
        <v>33.119999999999997</v>
      </c>
      <c r="M59" s="60">
        <v>16.71</v>
      </c>
      <c r="N59" s="60">
        <v>611.29999999999995</v>
      </c>
      <c r="O59" s="60">
        <v>0</v>
      </c>
      <c r="P59" s="60">
        <v>0.76</v>
      </c>
      <c r="Q59" s="60">
        <v>12.82</v>
      </c>
      <c r="R59" s="198"/>
      <c r="S59" s="198"/>
      <c r="T59" s="198"/>
      <c r="U59" s="198"/>
    </row>
    <row r="60" spans="1:21" s="12" customFormat="1" x14ac:dyDescent="0.25">
      <c r="A60" s="201" t="s">
        <v>1064</v>
      </c>
      <c r="B60" s="60">
        <v>7.1</v>
      </c>
      <c r="C60" s="60">
        <v>61.29</v>
      </c>
      <c r="D60" s="60">
        <v>38.33</v>
      </c>
      <c r="E60" s="60">
        <v>8.18</v>
      </c>
      <c r="F60" s="60">
        <v>7.57</v>
      </c>
      <c r="G60" s="60">
        <v>47.36</v>
      </c>
      <c r="H60" s="60">
        <v>20.57</v>
      </c>
      <c r="I60" s="60">
        <v>0.61</v>
      </c>
      <c r="J60" s="60">
        <v>1.01</v>
      </c>
      <c r="K60" s="60">
        <v>98.72</v>
      </c>
      <c r="L60" s="60">
        <v>31.73</v>
      </c>
      <c r="M60" s="60">
        <v>17.100000000000001</v>
      </c>
      <c r="N60" s="60">
        <v>601.1</v>
      </c>
      <c r="O60" s="60">
        <v>0</v>
      </c>
      <c r="P60" s="60">
        <v>0.75</v>
      </c>
      <c r="Q60" s="60">
        <v>13.26</v>
      </c>
      <c r="R60" s="198"/>
      <c r="S60" s="198"/>
      <c r="T60" s="198"/>
      <c r="U60" s="198"/>
    </row>
    <row r="61" spans="1:21" s="12" customFormat="1" x14ac:dyDescent="0.25">
      <c r="A61" s="201" t="s">
        <v>1065</v>
      </c>
      <c r="B61" s="60">
        <v>6.72</v>
      </c>
      <c r="C61" s="60">
        <v>61.44</v>
      </c>
      <c r="D61" s="60">
        <v>38.11</v>
      </c>
      <c r="E61" s="60">
        <v>7.42</v>
      </c>
      <c r="F61" s="60">
        <v>6.63</v>
      </c>
      <c r="G61" s="60">
        <v>47.36</v>
      </c>
      <c r="H61" s="60">
        <v>20.57</v>
      </c>
      <c r="I61" s="60">
        <v>0.62</v>
      </c>
      <c r="J61" s="60">
        <v>0.76</v>
      </c>
      <c r="K61" s="60">
        <v>113.87</v>
      </c>
      <c r="L61" s="60">
        <v>29.61</v>
      </c>
      <c r="M61" s="60">
        <v>19.489999999999998</v>
      </c>
      <c r="N61" s="60">
        <v>567.20000000000005</v>
      </c>
      <c r="O61" s="60">
        <v>0</v>
      </c>
      <c r="P61" s="60">
        <v>0.7</v>
      </c>
      <c r="Q61" s="60">
        <v>13.46</v>
      </c>
      <c r="R61" s="198"/>
      <c r="S61" s="198"/>
      <c r="T61" s="198"/>
      <c r="U61" s="198"/>
    </row>
    <row r="62" spans="1:21" s="12" customFormat="1" x14ac:dyDescent="0.25">
      <c r="A62" s="201" t="s">
        <v>1066</v>
      </c>
      <c r="B62" s="60">
        <v>6.13</v>
      </c>
      <c r="C62" s="60">
        <v>61.17</v>
      </c>
      <c r="D62" s="60">
        <v>37.479999999999997</v>
      </c>
      <c r="E62" s="60">
        <v>6.19</v>
      </c>
      <c r="F62" s="60">
        <v>6.4</v>
      </c>
      <c r="G62" s="60">
        <v>47.36</v>
      </c>
      <c r="H62" s="60">
        <v>20.57</v>
      </c>
      <c r="I62" s="60">
        <v>0.62</v>
      </c>
      <c r="J62" s="60">
        <v>0.43</v>
      </c>
      <c r="K62" s="60">
        <v>91.86</v>
      </c>
      <c r="L62" s="60">
        <v>30.83</v>
      </c>
      <c r="M62" s="60">
        <v>18.350000000000001</v>
      </c>
      <c r="N62" s="60">
        <v>534.9</v>
      </c>
      <c r="O62" s="60">
        <v>0</v>
      </c>
      <c r="P62" s="60">
        <v>0.71</v>
      </c>
      <c r="Q62" s="60">
        <v>14.09</v>
      </c>
      <c r="R62" s="198"/>
      <c r="S62" s="198"/>
      <c r="T62" s="198"/>
      <c r="U62" s="198"/>
    </row>
    <row r="63" spans="1:21" s="12" customFormat="1" x14ac:dyDescent="0.25">
      <c r="A63" s="201" t="s">
        <v>1067</v>
      </c>
      <c r="B63" s="60">
        <v>5.3</v>
      </c>
      <c r="C63" s="60">
        <v>61.15</v>
      </c>
      <c r="D63" s="60">
        <v>36.81</v>
      </c>
      <c r="E63" s="60">
        <v>7.66</v>
      </c>
      <c r="F63" s="60">
        <v>6.62</v>
      </c>
      <c r="G63" s="60">
        <v>45.85</v>
      </c>
      <c r="H63" s="60">
        <v>21.48</v>
      </c>
      <c r="I63" s="60">
        <v>0.62</v>
      </c>
      <c r="J63" s="60">
        <v>0.17</v>
      </c>
      <c r="K63" s="60">
        <v>156.62</v>
      </c>
      <c r="L63" s="60">
        <v>32.200000000000003</v>
      </c>
      <c r="M63" s="60">
        <v>16.440000000000001</v>
      </c>
      <c r="N63" s="60">
        <v>509.8</v>
      </c>
      <c r="O63" s="60">
        <v>0</v>
      </c>
      <c r="P63" s="60">
        <v>0.7</v>
      </c>
      <c r="Q63" s="60">
        <v>13.91</v>
      </c>
      <c r="R63" s="198"/>
      <c r="S63" s="198"/>
      <c r="T63" s="198"/>
      <c r="U63" s="198"/>
    </row>
    <row r="64" spans="1:21" s="12" customFormat="1" x14ac:dyDescent="0.25">
      <c r="A64" s="201" t="s">
        <v>1068</v>
      </c>
      <c r="B64" s="60">
        <v>4.21</v>
      </c>
      <c r="C64" s="60">
        <v>59.58</v>
      </c>
      <c r="D64" s="60">
        <v>35.07</v>
      </c>
      <c r="E64" s="60">
        <v>7.29</v>
      </c>
      <c r="F64" s="60">
        <v>8.18</v>
      </c>
      <c r="G64" s="60">
        <v>44.06</v>
      </c>
      <c r="H64" s="60">
        <v>22.56</v>
      </c>
      <c r="I64" s="10" t="s">
        <v>43</v>
      </c>
      <c r="J64" s="60">
        <v>0.89</v>
      </c>
      <c r="K64" s="60">
        <v>132.13999999999999</v>
      </c>
      <c r="L64" s="60">
        <v>30.13</v>
      </c>
      <c r="M64" s="60">
        <v>18.27</v>
      </c>
      <c r="N64" s="60">
        <v>485.1</v>
      </c>
      <c r="O64" s="60">
        <v>0</v>
      </c>
      <c r="P64" s="60">
        <v>0.66</v>
      </c>
      <c r="Q64" s="60">
        <v>13.18</v>
      </c>
      <c r="R64" s="198"/>
      <c r="S64" s="198"/>
      <c r="T64" s="198"/>
      <c r="U64" s="198"/>
    </row>
    <row r="65" spans="1:21" s="12" customFormat="1" x14ac:dyDescent="0.25">
      <c r="A65" s="201" t="s">
        <v>1069</v>
      </c>
      <c r="B65" s="60">
        <v>3.75</v>
      </c>
      <c r="C65" s="60">
        <v>58.72</v>
      </c>
      <c r="D65" s="60">
        <v>34.229999999999997</v>
      </c>
      <c r="E65" s="60">
        <v>7.12</v>
      </c>
      <c r="F65" s="60">
        <v>8.08</v>
      </c>
      <c r="G65" s="60">
        <v>44.06</v>
      </c>
      <c r="H65" s="60">
        <v>22.56</v>
      </c>
      <c r="I65" s="10" t="s">
        <v>43</v>
      </c>
      <c r="J65" s="60">
        <v>0.09</v>
      </c>
      <c r="K65" s="60">
        <v>354.81</v>
      </c>
      <c r="L65" s="60">
        <v>31.96</v>
      </c>
      <c r="M65" s="60">
        <v>17.16</v>
      </c>
      <c r="N65" s="60">
        <v>464.2</v>
      </c>
      <c r="O65" s="60">
        <v>0</v>
      </c>
      <c r="P65" s="60">
        <v>0.66</v>
      </c>
      <c r="Q65" s="60">
        <v>12.53</v>
      </c>
      <c r="R65" s="198"/>
      <c r="S65" s="198"/>
      <c r="T65" s="198"/>
      <c r="U65" s="198"/>
    </row>
    <row r="66" spans="1:21" s="12" customFormat="1" x14ac:dyDescent="0.25">
      <c r="A66" s="201" t="s">
        <v>1070</v>
      </c>
      <c r="B66" s="60">
        <v>3.47</v>
      </c>
      <c r="C66" s="60">
        <v>58.9</v>
      </c>
      <c r="D66" s="60">
        <v>34.1</v>
      </c>
      <c r="E66" s="60">
        <v>7.24</v>
      </c>
      <c r="F66" s="60">
        <v>7.53</v>
      </c>
      <c r="G66" s="60">
        <v>44.06</v>
      </c>
      <c r="H66" s="60">
        <v>22.56</v>
      </c>
      <c r="I66" s="10" t="s">
        <v>43</v>
      </c>
      <c r="J66" s="60">
        <v>0.19</v>
      </c>
      <c r="K66" s="60">
        <v>330.74</v>
      </c>
      <c r="L66" s="60">
        <v>31.65</v>
      </c>
      <c r="M66" s="60">
        <v>17.010000000000002</v>
      </c>
      <c r="N66" s="60">
        <v>449.3</v>
      </c>
      <c r="O66" s="60">
        <v>0</v>
      </c>
      <c r="P66" s="60">
        <v>0.65</v>
      </c>
      <c r="Q66" s="60">
        <v>11.91</v>
      </c>
      <c r="R66" s="198"/>
      <c r="S66" s="198"/>
      <c r="T66" s="198"/>
      <c r="U66" s="198"/>
    </row>
    <row r="67" spans="1:21" s="12" customFormat="1" x14ac:dyDescent="0.25">
      <c r="A67" s="201" t="s">
        <v>1071</v>
      </c>
      <c r="B67" s="60">
        <v>3.39</v>
      </c>
      <c r="C67" s="60">
        <v>58.94</v>
      </c>
      <c r="D67" s="60">
        <v>34.06</v>
      </c>
      <c r="E67" s="60">
        <v>7.67</v>
      </c>
      <c r="F67" s="60">
        <v>7.63</v>
      </c>
      <c r="G67" s="60">
        <v>44.3</v>
      </c>
      <c r="H67" s="60">
        <v>21.48</v>
      </c>
      <c r="I67" s="10" t="s">
        <v>43</v>
      </c>
      <c r="J67" s="60">
        <v>0.53</v>
      </c>
      <c r="K67" s="60">
        <v>355.33</v>
      </c>
      <c r="L67" s="60">
        <v>33.47</v>
      </c>
      <c r="M67" s="60">
        <v>16.2</v>
      </c>
      <c r="N67" s="60">
        <v>426.2</v>
      </c>
      <c r="O67" s="60">
        <v>0</v>
      </c>
      <c r="P67" s="60">
        <v>0.64</v>
      </c>
      <c r="Q67" s="60">
        <v>11.53</v>
      </c>
      <c r="R67" s="198"/>
      <c r="S67" s="198"/>
      <c r="T67" s="198"/>
      <c r="U67" s="198"/>
    </row>
    <row r="68" spans="1:21" s="12" customFormat="1" x14ac:dyDescent="0.25">
      <c r="A68" s="201" t="s">
        <v>1072</v>
      </c>
      <c r="B68" s="60">
        <v>3.45</v>
      </c>
      <c r="C68" s="60">
        <v>56.72</v>
      </c>
      <c r="D68" s="60">
        <v>32.880000000000003</v>
      </c>
      <c r="E68" s="60">
        <v>8.36</v>
      </c>
      <c r="F68" s="60">
        <v>12.35</v>
      </c>
      <c r="G68" s="60">
        <v>44.6</v>
      </c>
      <c r="H68" s="60">
        <v>20.190000000000001</v>
      </c>
      <c r="I68" s="10" t="s">
        <v>43</v>
      </c>
      <c r="J68" s="60">
        <v>0.4</v>
      </c>
      <c r="K68" s="60">
        <v>9.83</v>
      </c>
      <c r="L68" s="60">
        <v>34.25</v>
      </c>
      <c r="M68" s="60">
        <v>14.11</v>
      </c>
      <c r="N68" s="60">
        <v>402.4</v>
      </c>
      <c r="O68" s="60">
        <v>0</v>
      </c>
      <c r="P68" s="60">
        <v>0.64</v>
      </c>
      <c r="Q68" s="60">
        <v>11.32</v>
      </c>
      <c r="R68" s="198"/>
      <c r="S68" s="198"/>
      <c r="T68" s="198"/>
      <c r="U68" s="198"/>
    </row>
    <row r="69" spans="1:21" s="12" customFormat="1" x14ac:dyDescent="0.25">
      <c r="A69" s="201" t="s">
        <v>1073</v>
      </c>
      <c r="B69" s="60">
        <v>3.84</v>
      </c>
      <c r="C69" s="60">
        <v>54.72</v>
      </c>
      <c r="D69" s="60">
        <v>32.090000000000003</v>
      </c>
      <c r="E69" s="60">
        <v>10.95</v>
      </c>
      <c r="F69" s="60">
        <v>12.29</v>
      </c>
      <c r="G69" s="60">
        <v>44.6</v>
      </c>
      <c r="H69" s="60">
        <v>20.190000000000001</v>
      </c>
      <c r="I69" s="10" t="s">
        <v>43</v>
      </c>
      <c r="J69" s="60">
        <v>0.14000000000000001</v>
      </c>
      <c r="K69" s="60">
        <v>341.61</v>
      </c>
      <c r="L69" s="60">
        <v>33.24</v>
      </c>
      <c r="M69" s="60">
        <v>14.47</v>
      </c>
      <c r="N69" s="60">
        <v>353.2</v>
      </c>
      <c r="O69" s="60">
        <v>0</v>
      </c>
      <c r="P69" s="60">
        <v>0.63</v>
      </c>
      <c r="Q69" s="60">
        <v>10.9</v>
      </c>
      <c r="R69" s="198"/>
      <c r="S69" s="198"/>
      <c r="T69" s="198"/>
      <c r="U69" s="198"/>
    </row>
    <row r="70" spans="1:21" s="12" customFormat="1" x14ac:dyDescent="0.25">
      <c r="A70" s="201" t="s">
        <v>1074</v>
      </c>
      <c r="B70" s="60">
        <v>6.03</v>
      </c>
      <c r="C70" s="60">
        <v>59.07</v>
      </c>
      <c r="D70" s="60">
        <v>36.25</v>
      </c>
      <c r="E70" s="60">
        <v>15.73</v>
      </c>
      <c r="F70" s="60">
        <v>14.44</v>
      </c>
      <c r="G70" s="60">
        <v>44.6</v>
      </c>
      <c r="H70" s="60">
        <v>20.190000000000001</v>
      </c>
      <c r="I70" s="10" t="s">
        <v>43</v>
      </c>
      <c r="J70" s="60">
        <v>0.37</v>
      </c>
      <c r="K70" s="60">
        <v>9.86</v>
      </c>
      <c r="L70" s="60">
        <v>33.049999999999997</v>
      </c>
      <c r="M70" s="60">
        <v>14.73</v>
      </c>
      <c r="N70" s="60">
        <v>123.7</v>
      </c>
      <c r="O70" s="60">
        <v>0</v>
      </c>
      <c r="P70" s="60">
        <v>0.65</v>
      </c>
      <c r="Q70" s="60">
        <v>11.36</v>
      </c>
      <c r="R70" s="198"/>
      <c r="S70" s="198"/>
      <c r="T70" s="198"/>
      <c r="U70" s="198"/>
    </row>
    <row r="71" spans="1:21" s="12" customFormat="1" x14ac:dyDescent="0.25">
      <c r="A71" s="201" t="s">
        <v>1075</v>
      </c>
      <c r="B71" s="60">
        <v>5.16</v>
      </c>
      <c r="C71" s="60">
        <v>60.36</v>
      </c>
      <c r="D71" s="60">
        <v>36.26</v>
      </c>
      <c r="E71" s="60">
        <v>8.68</v>
      </c>
      <c r="F71" s="60">
        <v>11.03</v>
      </c>
      <c r="G71" s="60">
        <v>45.67</v>
      </c>
      <c r="H71" s="60">
        <v>21.35</v>
      </c>
      <c r="I71" s="10" t="s">
        <v>43</v>
      </c>
      <c r="J71" s="60">
        <v>0.22</v>
      </c>
      <c r="K71" s="60">
        <v>10.16</v>
      </c>
      <c r="L71" s="60">
        <v>32.69</v>
      </c>
      <c r="M71" s="60">
        <v>15.08</v>
      </c>
      <c r="N71" s="60">
        <v>144.1</v>
      </c>
      <c r="O71" s="60">
        <v>0</v>
      </c>
      <c r="P71" s="60">
        <v>0.64</v>
      </c>
      <c r="Q71" s="60">
        <v>12.1</v>
      </c>
      <c r="R71" s="198"/>
      <c r="S71" s="198"/>
      <c r="T71" s="198"/>
      <c r="U71" s="198"/>
    </row>
    <row r="72" spans="1:21" s="12" customFormat="1" x14ac:dyDescent="0.25">
      <c r="A72" s="201" t="s">
        <v>1076</v>
      </c>
      <c r="B72" s="60">
        <v>5.49</v>
      </c>
      <c r="C72" s="60">
        <v>56.12</v>
      </c>
      <c r="D72" s="60">
        <v>34.19</v>
      </c>
      <c r="E72" s="60">
        <v>14.94</v>
      </c>
      <c r="F72" s="60">
        <v>19.03</v>
      </c>
      <c r="G72" s="60">
        <v>46.95</v>
      </c>
      <c r="H72" s="60">
        <v>22.74</v>
      </c>
      <c r="I72" s="10" t="s">
        <v>43</v>
      </c>
      <c r="J72" s="60">
        <v>0.55000000000000004</v>
      </c>
      <c r="K72" s="60">
        <v>14.98</v>
      </c>
      <c r="L72" s="60">
        <v>32.14</v>
      </c>
      <c r="M72" s="60">
        <v>15.67</v>
      </c>
      <c r="N72" s="60">
        <v>163.6</v>
      </c>
      <c r="O72" s="60">
        <v>0</v>
      </c>
      <c r="P72" s="60">
        <v>0.64</v>
      </c>
      <c r="Q72" s="60">
        <v>12.82</v>
      </c>
      <c r="R72" s="198"/>
      <c r="S72" s="198"/>
      <c r="T72" s="198"/>
      <c r="U72" s="198"/>
    </row>
    <row r="73" spans="1:21" s="12" customFormat="1" x14ac:dyDescent="0.25">
      <c r="A73" s="201" t="s">
        <v>1077</v>
      </c>
      <c r="B73" s="60">
        <v>4.76</v>
      </c>
      <c r="C73" s="60">
        <v>55.61</v>
      </c>
      <c r="D73" s="60">
        <v>33.31</v>
      </c>
      <c r="E73" s="60">
        <v>12.58</v>
      </c>
      <c r="F73" s="60">
        <v>16.11</v>
      </c>
      <c r="G73" s="60">
        <v>46.95</v>
      </c>
      <c r="H73" s="60">
        <v>22.74</v>
      </c>
      <c r="I73" s="10" t="s">
        <v>43</v>
      </c>
      <c r="J73" s="60">
        <v>0.1</v>
      </c>
      <c r="K73" s="60">
        <v>327.64</v>
      </c>
      <c r="L73" s="60">
        <v>31.26</v>
      </c>
      <c r="M73" s="60">
        <v>16.079999999999998</v>
      </c>
      <c r="N73" s="60">
        <v>116.1</v>
      </c>
      <c r="O73" s="60">
        <v>0</v>
      </c>
      <c r="P73" s="60">
        <v>0.63</v>
      </c>
      <c r="Q73" s="60">
        <v>13.83</v>
      </c>
      <c r="R73" s="198"/>
      <c r="S73" s="198"/>
      <c r="T73" s="198"/>
      <c r="U73" s="198"/>
    </row>
    <row r="74" spans="1:21" s="12" customFormat="1" x14ac:dyDescent="0.25">
      <c r="A74" s="201" t="s">
        <v>1078</v>
      </c>
      <c r="B74" s="60">
        <v>4.76</v>
      </c>
      <c r="C74" s="60">
        <v>53.67</v>
      </c>
      <c r="D74" s="60">
        <v>32.25</v>
      </c>
      <c r="E74" s="60">
        <v>13.51</v>
      </c>
      <c r="F74" s="60">
        <v>18.47</v>
      </c>
      <c r="G74" s="60">
        <v>46.95</v>
      </c>
      <c r="H74" s="60">
        <v>22.74</v>
      </c>
      <c r="I74" s="10" t="s">
        <v>43</v>
      </c>
      <c r="J74" s="60">
        <v>0.2</v>
      </c>
      <c r="K74" s="60">
        <v>152.6</v>
      </c>
      <c r="L74" s="60">
        <v>29.78</v>
      </c>
      <c r="M74" s="60">
        <v>16.78</v>
      </c>
      <c r="N74" s="60">
        <v>72.400000000000006</v>
      </c>
      <c r="O74" s="60">
        <v>0</v>
      </c>
      <c r="P74" s="60">
        <v>0.62</v>
      </c>
      <c r="Q74" s="60">
        <v>14.45</v>
      </c>
      <c r="R74" s="198"/>
      <c r="S74" s="198"/>
      <c r="T74" s="198"/>
      <c r="U74" s="198"/>
    </row>
    <row r="75" spans="1:21" s="12" customFormat="1" x14ac:dyDescent="0.25">
      <c r="A75" s="201" t="s">
        <v>1079</v>
      </c>
      <c r="B75" s="60">
        <v>4.59</v>
      </c>
      <c r="C75" s="60">
        <v>54.07</v>
      </c>
      <c r="D75" s="60">
        <v>32.33</v>
      </c>
      <c r="E75" s="60">
        <v>16.690000000000001</v>
      </c>
      <c r="F75" s="60">
        <v>21.41</v>
      </c>
      <c r="G75" s="60">
        <v>45.96</v>
      </c>
      <c r="H75" s="60">
        <v>21.99</v>
      </c>
      <c r="I75" s="10" t="s">
        <v>43</v>
      </c>
      <c r="J75" s="60">
        <v>0.31</v>
      </c>
      <c r="K75" s="60">
        <v>208.56</v>
      </c>
      <c r="L75" s="60">
        <v>29.58</v>
      </c>
      <c r="M75" s="60">
        <v>17.09</v>
      </c>
      <c r="N75" s="60">
        <v>59.8</v>
      </c>
      <c r="O75" s="60">
        <v>0</v>
      </c>
      <c r="P75" s="60">
        <v>0.6</v>
      </c>
      <c r="Q75" s="60">
        <v>14.83</v>
      </c>
      <c r="R75" s="198"/>
      <c r="S75" s="198"/>
      <c r="T75" s="198"/>
      <c r="U75" s="198"/>
    </row>
    <row r="76" spans="1:21" s="12" customFormat="1" x14ac:dyDescent="0.25">
      <c r="A76" s="201" t="s">
        <v>1080</v>
      </c>
      <c r="B76" s="60">
        <v>3.85</v>
      </c>
      <c r="C76" s="60">
        <v>57.07</v>
      </c>
      <c r="D76" s="60">
        <v>33.39</v>
      </c>
      <c r="E76" s="60">
        <v>9.3699999999999992</v>
      </c>
      <c r="F76" s="60">
        <v>8.5500000000000007</v>
      </c>
      <c r="G76" s="60">
        <v>44.78</v>
      </c>
      <c r="H76" s="60">
        <v>21.1</v>
      </c>
      <c r="I76" s="10" t="s">
        <v>43</v>
      </c>
      <c r="J76" s="60">
        <v>0.51</v>
      </c>
      <c r="K76" s="60">
        <v>182.84</v>
      </c>
      <c r="L76" s="60">
        <v>29.3</v>
      </c>
      <c r="M76" s="60">
        <v>17.93</v>
      </c>
      <c r="N76" s="60">
        <v>41.9</v>
      </c>
      <c r="O76" s="60">
        <v>0</v>
      </c>
      <c r="P76" s="60">
        <v>0.63</v>
      </c>
      <c r="Q76" s="60">
        <v>15.81</v>
      </c>
      <c r="R76" s="198"/>
      <c r="S76" s="198"/>
      <c r="T76" s="198"/>
      <c r="U76" s="198"/>
    </row>
    <row r="77" spans="1:21" s="12" customFormat="1" x14ac:dyDescent="0.25">
      <c r="A77" s="201" t="s">
        <v>1081</v>
      </c>
      <c r="B77" s="60">
        <v>3.52</v>
      </c>
      <c r="C77" s="60">
        <v>57.79</v>
      </c>
      <c r="D77" s="60">
        <v>33.53</v>
      </c>
      <c r="E77" s="60">
        <v>7.74</v>
      </c>
      <c r="F77" s="60">
        <v>8.1199999999999992</v>
      </c>
      <c r="G77" s="60">
        <v>44.78</v>
      </c>
      <c r="H77" s="60">
        <v>21.1</v>
      </c>
      <c r="I77" s="10" t="s">
        <v>43</v>
      </c>
      <c r="J77" s="60">
        <v>0.39</v>
      </c>
      <c r="K77" s="60">
        <v>230.4</v>
      </c>
      <c r="L77" s="60">
        <v>29.06</v>
      </c>
      <c r="M77" s="60">
        <v>18.02</v>
      </c>
      <c r="N77" s="60">
        <v>31.4</v>
      </c>
      <c r="O77" s="60">
        <v>0</v>
      </c>
      <c r="P77" s="60">
        <v>0.61</v>
      </c>
      <c r="Q77" s="60">
        <v>16.079999999999998</v>
      </c>
      <c r="R77" s="198"/>
      <c r="S77" s="198"/>
      <c r="T77" s="198"/>
      <c r="U77" s="198"/>
    </row>
    <row r="78" spans="1:21" s="12" customFormat="1" x14ac:dyDescent="0.25">
      <c r="A78" s="201" t="s">
        <v>1082</v>
      </c>
      <c r="B78" s="60">
        <v>3.26</v>
      </c>
      <c r="C78" s="60">
        <v>57.66</v>
      </c>
      <c r="D78" s="60">
        <v>33.24</v>
      </c>
      <c r="E78" s="60">
        <v>7.99</v>
      </c>
      <c r="F78" s="60">
        <v>9.0500000000000007</v>
      </c>
      <c r="G78" s="60">
        <v>44.78</v>
      </c>
      <c r="H78" s="60">
        <v>21.1</v>
      </c>
      <c r="I78" s="10" t="s">
        <v>43</v>
      </c>
      <c r="J78" s="60">
        <v>0.2</v>
      </c>
      <c r="K78" s="60">
        <v>247.81</v>
      </c>
      <c r="L78" s="60">
        <v>28.6</v>
      </c>
      <c r="M78" s="60">
        <v>19.57</v>
      </c>
      <c r="N78" s="60">
        <v>21</v>
      </c>
      <c r="O78" s="60">
        <v>0</v>
      </c>
      <c r="P78" s="60">
        <v>0.6</v>
      </c>
      <c r="Q78" s="60">
        <v>15.42</v>
      </c>
      <c r="R78" s="198"/>
      <c r="S78" s="198"/>
      <c r="T78" s="198"/>
      <c r="U78" s="198"/>
    </row>
    <row r="79" spans="1:21" s="12" customFormat="1" x14ac:dyDescent="0.25">
      <c r="A79" s="201" t="s">
        <v>1083</v>
      </c>
      <c r="B79" s="60">
        <v>3.1</v>
      </c>
      <c r="C79" s="60">
        <v>56.73</v>
      </c>
      <c r="D79" s="60">
        <v>32.6</v>
      </c>
      <c r="E79" s="60">
        <v>8.2899999999999991</v>
      </c>
      <c r="F79" s="60">
        <v>10.37</v>
      </c>
      <c r="G79" s="60">
        <v>47.6</v>
      </c>
      <c r="H79" s="60">
        <v>21.39</v>
      </c>
      <c r="I79" s="10" t="s">
        <v>43</v>
      </c>
      <c r="J79" s="60">
        <v>0.21</v>
      </c>
      <c r="K79" s="60">
        <v>228.18</v>
      </c>
      <c r="L79" s="60">
        <v>27.86</v>
      </c>
      <c r="M79" s="60">
        <v>21.14</v>
      </c>
      <c r="N79" s="60">
        <v>11.9</v>
      </c>
      <c r="O79" s="60">
        <v>0</v>
      </c>
      <c r="P79" s="60">
        <v>0.61</v>
      </c>
      <c r="Q79" s="60">
        <v>14.77</v>
      </c>
      <c r="R79" s="198"/>
      <c r="S79" s="198"/>
      <c r="T79" s="198"/>
      <c r="U79" s="198"/>
    </row>
    <row r="80" spans="1:21" s="12" customFormat="1" x14ac:dyDescent="0.25">
      <c r="A80" s="201" t="s">
        <v>1084</v>
      </c>
      <c r="B80" s="60">
        <v>3.13</v>
      </c>
      <c r="C80" s="60">
        <v>58.4</v>
      </c>
      <c r="D80" s="60">
        <v>33.56</v>
      </c>
      <c r="E80" s="60">
        <v>7.02</v>
      </c>
      <c r="F80" s="60">
        <v>8.07</v>
      </c>
      <c r="G80" s="60">
        <v>50.98</v>
      </c>
      <c r="H80" s="60">
        <v>21.73</v>
      </c>
      <c r="I80" s="10" t="s">
        <v>43</v>
      </c>
      <c r="J80" s="60">
        <v>7.0000000000000007E-2</v>
      </c>
      <c r="K80" s="60">
        <v>229.14</v>
      </c>
      <c r="L80" s="60">
        <v>26.84</v>
      </c>
      <c r="M80" s="60">
        <v>24.68</v>
      </c>
      <c r="N80" s="60">
        <v>7</v>
      </c>
      <c r="O80" s="60">
        <v>0</v>
      </c>
      <c r="P80" s="60">
        <v>0.62</v>
      </c>
      <c r="Q80" s="60">
        <v>14.5</v>
      </c>
      <c r="R80" s="198"/>
      <c r="S80" s="198"/>
      <c r="T80" s="198"/>
      <c r="U80" s="198"/>
    </row>
    <row r="81" spans="1:26" s="12" customFormat="1" x14ac:dyDescent="0.25">
      <c r="A81" s="201" t="s">
        <v>1085</v>
      </c>
      <c r="B81" s="60">
        <v>5.46</v>
      </c>
      <c r="C81" s="60">
        <v>65.62</v>
      </c>
      <c r="D81" s="60">
        <v>39.4</v>
      </c>
      <c r="E81" s="60">
        <v>6.87</v>
      </c>
      <c r="F81" s="60">
        <v>5.99</v>
      </c>
      <c r="G81" s="60">
        <v>50.98</v>
      </c>
      <c r="H81" s="60">
        <v>21.73</v>
      </c>
      <c r="I81" s="60">
        <v>0.56999999999999995</v>
      </c>
      <c r="J81" s="60">
        <v>0.08</v>
      </c>
      <c r="K81" s="60">
        <v>142.55000000000001</v>
      </c>
      <c r="L81" s="60">
        <v>25.43</v>
      </c>
      <c r="M81" s="60">
        <v>29.08</v>
      </c>
      <c r="N81" s="60">
        <v>5</v>
      </c>
      <c r="O81" s="60">
        <v>0</v>
      </c>
      <c r="P81" s="60">
        <v>0.65</v>
      </c>
      <c r="Q81" s="60">
        <v>14.69</v>
      </c>
      <c r="R81" s="198"/>
      <c r="S81" s="198"/>
      <c r="T81" s="198"/>
      <c r="U81" s="198"/>
    </row>
    <row r="82" spans="1:26" s="12" customFormat="1" x14ac:dyDescent="0.25">
      <c r="A82" s="201" t="s">
        <v>1086</v>
      </c>
      <c r="B82" s="60">
        <v>10.130000000000001</v>
      </c>
      <c r="C82" s="60">
        <v>67.150000000000006</v>
      </c>
      <c r="D82" s="60">
        <v>43.99</v>
      </c>
      <c r="E82" s="60">
        <v>7.05</v>
      </c>
      <c r="F82" s="60">
        <v>4.92</v>
      </c>
      <c r="G82" s="60">
        <v>50.98</v>
      </c>
      <c r="H82" s="60">
        <v>21.73</v>
      </c>
      <c r="I82" s="60">
        <v>0.61</v>
      </c>
      <c r="J82" s="60">
        <v>0.05</v>
      </c>
      <c r="K82" s="60">
        <v>307.49</v>
      </c>
      <c r="L82" s="60">
        <v>24.52</v>
      </c>
      <c r="M82" s="60">
        <v>34.03</v>
      </c>
      <c r="N82" s="60">
        <v>4.5</v>
      </c>
      <c r="O82" s="60">
        <v>0</v>
      </c>
      <c r="P82" s="60">
        <v>0.71</v>
      </c>
      <c r="Q82" s="60">
        <v>16.14</v>
      </c>
      <c r="R82" s="198"/>
      <c r="S82" s="198"/>
      <c r="T82" s="198"/>
      <c r="U82" s="198"/>
    </row>
    <row r="83" spans="1:26" s="12" customFormat="1" x14ac:dyDescent="0.25">
      <c r="A83" s="201" t="s">
        <v>1087</v>
      </c>
      <c r="B83" s="60">
        <v>38.94</v>
      </c>
      <c r="C83" s="60">
        <v>82.11</v>
      </c>
      <c r="D83" s="60">
        <v>75.349999999999994</v>
      </c>
      <c r="E83" s="60">
        <v>8.82</v>
      </c>
      <c r="F83" s="60">
        <v>4.6900000000000004</v>
      </c>
      <c r="G83" s="60">
        <v>85.96</v>
      </c>
      <c r="H83" s="60">
        <v>24.64</v>
      </c>
      <c r="I83" s="60">
        <v>0.62</v>
      </c>
      <c r="J83" s="60">
        <v>0.11</v>
      </c>
      <c r="K83" s="60">
        <v>111.77</v>
      </c>
      <c r="L83" s="60">
        <v>23.94</v>
      </c>
      <c r="M83" s="60">
        <v>36.74</v>
      </c>
      <c r="N83" s="60">
        <v>4.4000000000000004</v>
      </c>
      <c r="O83" s="60">
        <v>0</v>
      </c>
      <c r="P83" s="60">
        <v>1.1299999999999999</v>
      </c>
      <c r="Q83" s="60">
        <v>18.27</v>
      </c>
      <c r="R83" s="198"/>
      <c r="S83" s="198"/>
      <c r="T83" s="198"/>
      <c r="U83" s="198"/>
    </row>
    <row r="84" spans="1:26" s="12" customFormat="1" x14ac:dyDescent="0.25">
      <c r="A84" s="201" t="s">
        <v>1088</v>
      </c>
      <c r="B84" s="60">
        <v>26.99</v>
      </c>
      <c r="C84" s="60">
        <v>76.63</v>
      </c>
      <c r="D84" s="60">
        <v>62.74</v>
      </c>
      <c r="E84" s="60">
        <v>8.11</v>
      </c>
      <c r="F84" s="60">
        <v>4.6500000000000004</v>
      </c>
      <c r="G84" s="60">
        <v>127.78</v>
      </c>
      <c r="H84" s="60">
        <v>28.11</v>
      </c>
      <c r="I84" s="60">
        <v>0.68</v>
      </c>
      <c r="J84" s="60">
        <v>0.26</v>
      </c>
      <c r="K84" s="60">
        <v>94.8</v>
      </c>
      <c r="L84" s="60">
        <v>23.73</v>
      </c>
      <c r="M84" s="60">
        <v>39.700000000000003</v>
      </c>
      <c r="N84" s="60">
        <v>3.7</v>
      </c>
      <c r="O84" s="60">
        <v>0</v>
      </c>
      <c r="P84" s="60">
        <v>0.93</v>
      </c>
      <c r="Q84" s="60">
        <v>19.97</v>
      </c>
      <c r="R84" s="198"/>
      <c r="S84" s="198"/>
      <c r="T84" s="198"/>
      <c r="U84" s="198"/>
    </row>
    <row r="85" spans="1:26" s="12" customFormat="1" x14ac:dyDescent="0.25">
      <c r="A85" s="201" t="s">
        <v>1089</v>
      </c>
      <c r="B85" s="60">
        <v>34.700000000000003</v>
      </c>
      <c r="C85" s="60">
        <v>76.010000000000005</v>
      </c>
      <c r="D85" s="60">
        <v>68.58</v>
      </c>
      <c r="E85" s="60">
        <v>7.67</v>
      </c>
      <c r="F85" s="60">
        <v>4.53</v>
      </c>
      <c r="G85" s="60">
        <v>127.78</v>
      </c>
      <c r="H85" s="60">
        <v>28.11</v>
      </c>
      <c r="I85" s="60">
        <v>0.71</v>
      </c>
      <c r="J85" s="60">
        <v>7.0000000000000007E-2</v>
      </c>
      <c r="K85" s="60">
        <v>20.46</v>
      </c>
      <c r="L85" s="60">
        <v>23.18</v>
      </c>
      <c r="M85" s="60">
        <v>45.45</v>
      </c>
      <c r="N85" s="60">
        <v>4.5</v>
      </c>
      <c r="O85" s="60">
        <v>0</v>
      </c>
      <c r="P85" s="60">
        <v>1.0900000000000001</v>
      </c>
      <c r="Q85" s="60">
        <v>20.88</v>
      </c>
      <c r="R85" s="198"/>
      <c r="S85" s="198"/>
      <c r="T85" s="198"/>
      <c r="U85" s="198"/>
    </row>
    <row r="86" spans="1:26" s="12" customFormat="1" x14ac:dyDescent="0.25">
      <c r="A86" s="201" t="s">
        <v>1090</v>
      </c>
      <c r="B86" s="60">
        <v>53.16</v>
      </c>
      <c r="C86" s="60">
        <v>75.59</v>
      </c>
      <c r="D86" s="60">
        <v>83.16</v>
      </c>
      <c r="E86" s="60">
        <v>8.0299999999999994</v>
      </c>
      <c r="F86" s="60">
        <v>4.5</v>
      </c>
      <c r="G86" s="60">
        <v>127.78</v>
      </c>
      <c r="H86" s="60">
        <v>28.11</v>
      </c>
      <c r="I86" s="60">
        <v>0.7</v>
      </c>
      <c r="J86" s="60">
        <v>0.14000000000000001</v>
      </c>
      <c r="K86" s="60">
        <v>18.940000000000001</v>
      </c>
      <c r="L86" s="60">
        <v>22.5</v>
      </c>
      <c r="M86" s="60">
        <v>51.68</v>
      </c>
      <c r="N86" s="60">
        <v>4.2</v>
      </c>
      <c r="O86" s="60">
        <v>0</v>
      </c>
      <c r="P86" s="60">
        <v>1.44</v>
      </c>
      <c r="Q86" s="60">
        <v>20.53</v>
      </c>
      <c r="R86" s="198"/>
      <c r="S86" s="198"/>
      <c r="T86" s="198"/>
      <c r="U86" s="198"/>
    </row>
    <row r="87" spans="1:26" s="12" customFormat="1" x14ac:dyDescent="0.25">
      <c r="A87" s="201" t="s">
        <v>1091</v>
      </c>
      <c r="B87" s="60">
        <v>56.87</v>
      </c>
      <c r="C87" s="60">
        <v>78.03</v>
      </c>
      <c r="D87" s="60">
        <v>87.48</v>
      </c>
      <c r="E87" s="60">
        <v>8.75</v>
      </c>
      <c r="F87" s="60">
        <v>4.54</v>
      </c>
      <c r="G87" s="60">
        <v>153.27000000000001</v>
      </c>
      <c r="H87" s="60">
        <v>37.01</v>
      </c>
      <c r="I87" s="60">
        <v>0.79</v>
      </c>
      <c r="J87" s="60">
        <v>0.12</v>
      </c>
      <c r="K87" s="60">
        <v>96.4</v>
      </c>
      <c r="L87" s="60">
        <v>22.26</v>
      </c>
      <c r="M87" s="60">
        <v>49.1</v>
      </c>
      <c r="N87" s="60">
        <v>4</v>
      </c>
      <c r="O87" s="60">
        <v>0</v>
      </c>
      <c r="P87" s="60">
        <v>1.49</v>
      </c>
      <c r="Q87" s="60">
        <v>21.19</v>
      </c>
      <c r="R87" s="198"/>
      <c r="S87" s="198"/>
      <c r="T87" s="198"/>
      <c r="U87" s="198"/>
    </row>
    <row r="88" spans="1:26" s="12" customFormat="1" x14ac:dyDescent="0.25">
      <c r="A88" s="201" t="s">
        <v>1092</v>
      </c>
      <c r="B88" s="60">
        <v>66.239999999999995</v>
      </c>
      <c r="C88" s="60">
        <v>79.31</v>
      </c>
      <c r="D88" s="60">
        <v>95.7</v>
      </c>
      <c r="E88" s="60">
        <v>6.14</v>
      </c>
      <c r="F88" s="60">
        <v>4.5999999999999996</v>
      </c>
      <c r="G88" s="60">
        <v>183.73</v>
      </c>
      <c r="H88" s="60">
        <v>47.65</v>
      </c>
      <c r="I88" s="60">
        <v>0.89</v>
      </c>
      <c r="J88" s="60">
        <v>0.06</v>
      </c>
      <c r="K88" s="60">
        <v>19.079999999999998</v>
      </c>
      <c r="L88" s="60">
        <v>22.09</v>
      </c>
      <c r="M88" s="60">
        <v>48.53</v>
      </c>
      <c r="N88" s="60">
        <v>4.3</v>
      </c>
      <c r="O88" s="60">
        <v>0</v>
      </c>
      <c r="P88" s="60">
        <v>1.7</v>
      </c>
      <c r="Q88" s="60">
        <v>22.42</v>
      </c>
      <c r="R88" s="198"/>
      <c r="S88" s="198"/>
      <c r="T88" s="198"/>
      <c r="U88" s="198"/>
    </row>
    <row r="89" spans="1:26" s="12" customFormat="1" x14ac:dyDescent="0.25">
      <c r="A89" s="201" t="s">
        <v>1093</v>
      </c>
      <c r="B89" s="60">
        <v>67.38</v>
      </c>
      <c r="C89" s="60">
        <v>76.319999999999993</v>
      </c>
      <c r="D89" s="60">
        <v>94.96</v>
      </c>
      <c r="E89" s="60">
        <v>8.39</v>
      </c>
      <c r="F89" s="60">
        <v>4.55</v>
      </c>
      <c r="G89" s="60">
        <v>183.73</v>
      </c>
      <c r="H89" s="60">
        <v>47.65</v>
      </c>
      <c r="I89" s="60">
        <v>0.89</v>
      </c>
      <c r="J89" s="60">
        <v>0.1</v>
      </c>
      <c r="K89" s="60">
        <v>284.74</v>
      </c>
      <c r="L89" s="60">
        <v>22.13</v>
      </c>
      <c r="M89" s="60">
        <v>47.04</v>
      </c>
      <c r="N89" s="60">
        <v>4</v>
      </c>
      <c r="O89" s="60">
        <v>0</v>
      </c>
      <c r="P89" s="60">
        <v>1.76</v>
      </c>
      <c r="Q89" s="60">
        <v>23.23</v>
      </c>
      <c r="R89" s="198"/>
      <c r="S89" s="198"/>
      <c r="T89" s="198"/>
      <c r="U89" s="198"/>
    </row>
    <row r="90" spans="1:26" s="12" customFormat="1" x14ac:dyDescent="0.25">
      <c r="A90" s="201" t="s">
        <v>1094</v>
      </c>
      <c r="B90" s="60">
        <v>73.819999999999993</v>
      </c>
      <c r="C90" s="60">
        <v>74.12</v>
      </c>
      <c r="D90" s="60">
        <v>98.91</v>
      </c>
      <c r="E90" s="60">
        <v>8.35</v>
      </c>
      <c r="F90" s="60">
        <v>4.5</v>
      </c>
      <c r="G90" s="60">
        <v>183.73</v>
      </c>
      <c r="H90" s="60">
        <v>47.65</v>
      </c>
      <c r="I90" s="60">
        <v>0.99</v>
      </c>
      <c r="J90" s="60">
        <v>0.08</v>
      </c>
      <c r="K90" s="60">
        <v>15.05</v>
      </c>
      <c r="L90" s="60">
        <v>21.82</v>
      </c>
      <c r="M90" s="60">
        <v>52.63</v>
      </c>
      <c r="N90" s="60">
        <v>4.0999999999999996</v>
      </c>
      <c r="O90" s="60">
        <v>0</v>
      </c>
      <c r="P90" s="60">
        <v>1.96</v>
      </c>
      <c r="Q90" s="60">
        <v>24.62</v>
      </c>
      <c r="R90" s="198"/>
      <c r="S90" s="198"/>
      <c r="T90" s="198"/>
      <c r="U90" s="198"/>
    </row>
    <row r="91" spans="1:26" s="12" customFormat="1" x14ac:dyDescent="0.25">
      <c r="A91" s="201" t="s">
        <v>1095</v>
      </c>
      <c r="B91" s="60">
        <v>77.41</v>
      </c>
      <c r="C91" s="60">
        <v>74.66</v>
      </c>
      <c r="D91" s="60">
        <v>102.09</v>
      </c>
      <c r="E91" s="60">
        <v>7.98</v>
      </c>
      <c r="F91" s="60">
        <v>4.5999999999999996</v>
      </c>
      <c r="G91" s="60">
        <v>213.4</v>
      </c>
      <c r="H91" s="60">
        <v>56.58</v>
      </c>
      <c r="I91" s="60">
        <v>1.1100000000000001</v>
      </c>
      <c r="J91" s="60">
        <v>0.06</v>
      </c>
      <c r="K91" s="60">
        <v>344.65</v>
      </c>
      <c r="L91" s="60">
        <v>22.13</v>
      </c>
      <c r="M91" s="60">
        <v>50.25</v>
      </c>
      <c r="N91" s="60">
        <v>4</v>
      </c>
      <c r="O91" s="60">
        <v>0</v>
      </c>
      <c r="P91" s="60">
        <v>2.09</v>
      </c>
      <c r="Q91" s="60">
        <v>26.47</v>
      </c>
      <c r="R91" s="198"/>
      <c r="S91" s="198"/>
      <c r="T91" s="198"/>
      <c r="U91" s="198"/>
    </row>
    <row r="92" spans="1:26" s="12" customFormat="1" x14ac:dyDescent="0.25">
      <c r="A92" s="201" t="s">
        <v>1096</v>
      </c>
      <c r="B92" s="60">
        <v>86.9</v>
      </c>
      <c r="C92" s="60">
        <v>75.180000000000007</v>
      </c>
      <c r="D92" s="60">
        <v>109.98</v>
      </c>
      <c r="E92" s="60">
        <v>7.86</v>
      </c>
      <c r="F92" s="60">
        <v>4.53</v>
      </c>
      <c r="G92" s="60">
        <v>248.86</v>
      </c>
      <c r="H92" s="60">
        <v>67.260000000000005</v>
      </c>
      <c r="I92" s="60">
        <v>1.1200000000000001</v>
      </c>
      <c r="J92" s="60">
        <v>0.1</v>
      </c>
      <c r="K92" s="60">
        <v>261.93</v>
      </c>
      <c r="L92" s="60">
        <v>21.77</v>
      </c>
      <c r="M92" s="60">
        <v>51.51</v>
      </c>
      <c r="N92" s="60">
        <v>4.0999999999999996</v>
      </c>
      <c r="O92" s="60">
        <v>0</v>
      </c>
      <c r="P92" s="60">
        <v>2.39</v>
      </c>
      <c r="Q92" s="60">
        <v>27.27</v>
      </c>
      <c r="R92" s="198"/>
      <c r="S92" s="198"/>
      <c r="T92" s="198"/>
      <c r="U92" s="198"/>
    </row>
    <row r="93" spans="1:26" s="12" customFormat="1" x14ac:dyDescent="0.25">
      <c r="A93" s="201" t="s">
        <v>1097</v>
      </c>
      <c r="B93" s="60">
        <v>101.98</v>
      </c>
      <c r="C93" s="60">
        <v>76.23</v>
      </c>
      <c r="D93" s="60">
        <v>122.66</v>
      </c>
      <c r="E93" s="60">
        <v>8.32</v>
      </c>
      <c r="F93" s="60">
        <v>4.58</v>
      </c>
      <c r="G93" s="60">
        <v>248.86</v>
      </c>
      <c r="H93" s="60">
        <v>67.260000000000005</v>
      </c>
      <c r="I93" s="60">
        <v>1.17</v>
      </c>
      <c r="J93" s="60">
        <v>0.09</v>
      </c>
      <c r="K93" s="60">
        <v>218.9</v>
      </c>
      <c r="L93" s="60">
        <v>21.58</v>
      </c>
      <c r="M93" s="60">
        <v>50.37</v>
      </c>
      <c r="N93" s="60">
        <v>4.3</v>
      </c>
      <c r="O93" s="60">
        <v>0</v>
      </c>
      <c r="P93" s="60">
        <v>2.69</v>
      </c>
      <c r="Q93" s="60">
        <v>28.12</v>
      </c>
      <c r="R93" s="198"/>
      <c r="S93" s="198"/>
      <c r="T93" s="198"/>
      <c r="U93" s="198"/>
    </row>
    <row r="94" spans="1:26" s="12" customFormat="1" x14ac:dyDescent="0.25">
      <c r="A94" s="201" t="s">
        <v>1098</v>
      </c>
      <c r="B94" s="60">
        <v>117.56</v>
      </c>
      <c r="C94" s="60">
        <v>76.89</v>
      </c>
      <c r="D94" s="60">
        <v>135.52000000000001</v>
      </c>
      <c r="E94" s="60">
        <v>8.24</v>
      </c>
      <c r="F94" s="60">
        <v>4.54</v>
      </c>
      <c r="G94" s="60">
        <v>248.86</v>
      </c>
      <c r="H94" s="60">
        <v>67.260000000000005</v>
      </c>
      <c r="I94" s="60">
        <v>1.28</v>
      </c>
      <c r="J94" s="60">
        <v>0.1</v>
      </c>
      <c r="K94" s="60">
        <v>71.33</v>
      </c>
      <c r="L94" s="60">
        <v>21</v>
      </c>
      <c r="M94" s="60">
        <v>53.62</v>
      </c>
      <c r="N94" s="60">
        <v>4.5</v>
      </c>
      <c r="O94" s="60">
        <v>0</v>
      </c>
      <c r="P94" s="60">
        <v>2.96</v>
      </c>
      <c r="Q94" s="60">
        <v>28.78</v>
      </c>
      <c r="R94" s="198"/>
      <c r="S94" s="198"/>
      <c r="T94" s="198"/>
      <c r="U94" s="198"/>
    </row>
    <row r="95" spans="1:26" s="12" customFormat="1" x14ac:dyDescent="0.25">
      <c r="A95" s="201" t="s">
        <v>1099</v>
      </c>
      <c r="B95" s="60">
        <v>133.19</v>
      </c>
      <c r="C95" s="60">
        <v>77.540000000000006</v>
      </c>
      <c r="D95" s="60">
        <v>148.41</v>
      </c>
      <c r="E95" s="60">
        <v>8.31</v>
      </c>
      <c r="F95" s="60">
        <v>4.5</v>
      </c>
      <c r="G95" s="60">
        <v>248.86</v>
      </c>
      <c r="H95" s="60">
        <v>72.099999999999994</v>
      </c>
      <c r="I95" s="60">
        <v>1.39</v>
      </c>
      <c r="J95" s="60">
        <v>0.03</v>
      </c>
      <c r="K95" s="60">
        <v>120.08</v>
      </c>
      <c r="L95" s="60">
        <v>20.84</v>
      </c>
      <c r="M95" s="60">
        <v>54.38</v>
      </c>
      <c r="N95" s="60">
        <v>4.0999999999999996</v>
      </c>
      <c r="O95" s="60">
        <v>0</v>
      </c>
      <c r="P95" s="60">
        <v>3.19</v>
      </c>
      <c r="Q95" s="60">
        <v>29.43</v>
      </c>
      <c r="R95" s="198"/>
      <c r="S95" s="198"/>
      <c r="T95" s="198"/>
      <c r="U95" s="198"/>
    </row>
    <row r="96" spans="1:26" s="12" customFormat="1" x14ac:dyDescent="0.25">
      <c r="A96" s="201" t="s">
        <v>1100</v>
      </c>
      <c r="B96" s="60">
        <v>150.99</v>
      </c>
      <c r="C96" s="60">
        <v>78.69</v>
      </c>
      <c r="D96" s="60">
        <v>163.33000000000001</v>
      </c>
      <c r="E96" s="60">
        <v>9.33</v>
      </c>
      <c r="F96" s="60">
        <v>4.51</v>
      </c>
      <c r="G96" s="60">
        <v>262.42</v>
      </c>
      <c r="H96" s="60">
        <v>77.89</v>
      </c>
      <c r="I96" s="60">
        <v>1.49</v>
      </c>
      <c r="J96" s="60">
        <v>7.0000000000000007E-2</v>
      </c>
      <c r="K96" s="60">
        <v>306.69</v>
      </c>
      <c r="L96" s="60">
        <v>20.67</v>
      </c>
      <c r="M96" s="60">
        <v>54.21</v>
      </c>
      <c r="N96" s="60">
        <v>4.4000000000000004</v>
      </c>
      <c r="O96" s="60">
        <v>0</v>
      </c>
      <c r="P96" s="60">
        <v>3.39</v>
      </c>
      <c r="Q96" s="60">
        <v>30.14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1101</v>
      </c>
      <c r="B97" s="60">
        <v>166.73</v>
      </c>
      <c r="C97" s="60">
        <v>80.39</v>
      </c>
      <c r="D97" s="60">
        <v>176.88</v>
      </c>
      <c r="E97" s="60">
        <v>9.0399999999999991</v>
      </c>
      <c r="F97" s="60">
        <v>4.51</v>
      </c>
      <c r="G97" s="60">
        <v>262.42</v>
      </c>
      <c r="H97" s="60">
        <v>77.89</v>
      </c>
      <c r="I97" s="60">
        <v>1.59</v>
      </c>
      <c r="J97" s="60">
        <v>0.04</v>
      </c>
      <c r="K97" s="60">
        <v>247.27</v>
      </c>
      <c r="L97" s="60">
        <v>20.21</v>
      </c>
      <c r="M97" s="60">
        <v>53.35</v>
      </c>
      <c r="N97" s="60">
        <v>4.5</v>
      </c>
      <c r="O97" s="60">
        <v>0</v>
      </c>
      <c r="P97" s="60">
        <v>3.55</v>
      </c>
      <c r="Q97" s="60">
        <v>30.7</v>
      </c>
      <c r="R97" s="198"/>
      <c r="S97" s="198"/>
      <c r="T97" s="198"/>
      <c r="U97" s="198"/>
    </row>
    <row r="98" spans="1:33" s="12" customFormat="1" x14ac:dyDescent="0.25">
      <c r="A98" s="201" t="s">
        <v>1102</v>
      </c>
      <c r="B98" s="60">
        <v>174.42</v>
      </c>
      <c r="C98" s="60">
        <v>79.989999999999995</v>
      </c>
      <c r="D98" s="60">
        <v>182.82</v>
      </c>
      <c r="E98" s="60">
        <v>9.27</v>
      </c>
      <c r="F98" s="60">
        <v>4.5</v>
      </c>
      <c r="G98" s="60">
        <v>262.42</v>
      </c>
      <c r="H98" s="60">
        <v>77.89</v>
      </c>
      <c r="I98" s="60">
        <v>1.67</v>
      </c>
      <c r="J98" s="60">
        <v>7.0000000000000007E-2</v>
      </c>
      <c r="K98" s="60">
        <v>151.78</v>
      </c>
      <c r="L98" s="60">
        <v>20.260000000000002</v>
      </c>
      <c r="M98" s="60">
        <v>53.75</v>
      </c>
      <c r="N98" s="60">
        <v>3.7</v>
      </c>
      <c r="O98" s="60">
        <v>0</v>
      </c>
      <c r="P98" s="60">
        <v>3.61</v>
      </c>
      <c r="Q98" s="60">
        <v>30.76</v>
      </c>
      <c r="R98" s="198"/>
      <c r="S98" s="198"/>
      <c r="T98" s="198"/>
      <c r="U98" s="198"/>
    </row>
    <row r="99" spans="1:33" s="12" customFormat="1" x14ac:dyDescent="0.25">
      <c r="A99" s="201" t="s">
        <v>1103</v>
      </c>
      <c r="B99" s="60">
        <v>178.45</v>
      </c>
      <c r="C99" s="60">
        <v>79.239999999999995</v>
      </c>
      <c r="D99" s="60">
        <v>185.65</v>
      </c>
      <c r="E99" s="60">
        <v>9.08</v>
      </c>
      <c r="F99" s="60">
        <v>4.5</v>
      </c>
      <c r="G99" s="60">
        <v>196.12</v>
      </c>
      <c r="H99" s="60">
        <v>79.209999999999994</v>
      </c>
      <c r="I99" s="60">
        <v>1.72</v>
      </c>
      <c r="J99" s="60">
        <v>0.04</v>
      </c>
      <c r="K99" s="60">
        <v>35.11</v>
      </c>
      <c r="L99" s="60">
        <v>20.04</v>
      </c>
      <c r="M99" s="60">
        <v>54.75</v>
      </c>
      <c r="N99" s="60">
        <v>4.4000000000000004</v>
      </c>
      <c r="O99" s="60">
        <v>0</v>
      </c>
      <c r="P99" s="60">
        <v>3.65</v>
      </c>
      <c r="Q99" s="60">
        <v>31</v>
      </c>
      <c r="R99" s="198"/>
      <c r="S99" s="198"/>
      <c r="T99" s="198"/>
      <c r="U99" s="198"/>
    </row>
    <row r="100" spans="1:33" s="12" customFormat="1" x14ac:dyDescent="0.25">
      <c r="A100" s="201" t="s">
        <v>1104</v>
      </c>
      <c r="B100" s="60">
        <v>184.23</v>
      </c>
      <c r="C100" s="60">
        <v>79.66</v>
      </c>
      <c r="D100" s="60">
        <v>190.51</v>
      </c>
      <c r="E100" s="60">
        <v>9.56</v>
      </c>
      <c r="F100" s="60">
        <v>4.53</v>
      </c>
      <c r="G100" s="60">
        <v>196.12</v>
      </c>
      <c r="H100" s="60">
        <v>80.790000000000006</v>
      </c>
      <c r="I100" s="60">
        <v>1.74</v>
      </c>
      <c r="J100" s="60">
        <v>0.11</v>
      </c>
      <c r="K100" s="60">
        <v>299.14999999999998</v>
      </c>
      <c r="L100" s="60">
        <v>19.760000000000002</v>
      </c>
      <c r="M100" s="60">
        <v>54.36</v>
      </c>
      <c r="N100" s="60">
        <v>4.2</v>
      </c>
      <c r="O100" s="60">
        <v>0</v>
      </c>
      <c r="P100" s="60">
        <v>3.69</v>
      </c>
      <c r="Q100" s="60">
        <v>31.25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1105</v>
      </c>
      <c r="B101" s="60">
        <v>183.67</v>
      </c>
      <c r="C101" s="60">
        <v>78.98</v>
      </c>
      <c r="D101" s="60">
        <v>189.69</v>
      </c>
      <c r="E101" s="60">
        <v>9.67</v>
      </c>
      <c r="F101" s="60">
        <v>4.51</v>
      </c>
      <c r="G101" s="60">
        <v>196.12</v>
      </c>
      <c r="H101" s="60">
        <v>80.790000000000006</v>
      </c>
      <c r="I101" s="60">
        <v>1.76</v>
      </c>
      <c r="J101" s="60">
        <v>0.02</v>
      </c>
      <c r="K101" s="60">
        <v>89.21</v>
      </c>
      <c r="L101" s="60">
        <v>19.600000000000001</v>
      </c>
      <c r="M101" s="60">
        <v>52.49</v>
      </c>
      <c r="N101" s="60">
        <v>4.2</v>
      </c>
      <c r="O101" s="60">
        <v>0</v>
      </c>
      <c r="P101" s="60">
        <v>3.69</v>
      </c>
      <c r="Q101" s="60">
        <v>31.69</v>
      </c>
      <c r="R101" s="198"/>
      <c r="S101" s="198"/>
      <c r="T101" s="198"/>
      <c r="U101" s="198"/>
    </row>
    <row r="102" spans="1:33" s="12" customFormat="1" x14ac:dyDescent="0.25">
      <c r="A102" s="201" t="s">
        <v>1106</v>
      </c>
      <c r="B102" s="60">
        <v>187.52</v>
      </c>
      <c r="C102" s="60">
        <v>77.34</v>
      </c>
      <c r="D102" s="60">
        <v>191.87</v>
      </c>
      <c r="E102" s="60">
        <v>9.51</v>
      </c>
      <c r="F102" s="60">
        <v>4.55</v>
      </c>
      <c r="G102" s="60">
        <v>196.12</v>
      </c>
      <c r="H102" s="60">
        <v>80.790000000000006</v>
      </c>
      <c r="I102" s="60">
        <v>1.77</v>
      </c>
      <c r="J102" s="60">
        <v>0.05</v>
      </c>
      <c r="K102" s="60">
        <v>267.89</v>
      </c>
      <c r="L102" s="60">
        <v>19.38</v>
      </c>
      <c r="M102" s="60">
        <v>57.65</v>
      </c>
      <c r="N102" s="60">
        <v>4.4000000000000004</v>
      </c>
      <c r="O102" s="60">
        <v>0</v>
      </c>
      <c r="P102" s="60">
        <v>3.71</v>
      </c>
      <c r="Q102" s="60">
        <v>31.77</v>
      </c>
      <c r="R102" s="198"/>
      <c r="S102" s="198"/>
      <c r="T102" s="198"/>
      <c r="U102" s="198"/>
    </row>
    <row r="103" spans="1:33" s="12" customFormat="1" x14ac:dyDescent="0.25">
      <c r="A103" s="201" t="s">
        <v>1107</v>
      </c>
      <c r="B103" s="60">
        <v>189.15</v>
      </c>
      <c r="C103" s="60">
        <v>76.58</v>
      </c>
      <c r="D103" s="60">
        <v>192.75</v>
      </c>
      <c r="E103" s="60">
        <v>9.67</v>
      </c>
      <c r="F103" s="60">
        <v>4.58</v>
      </c>
      <c r="G103" s="60">
        <v>189.52</v>
      </c>
      <c r="H103" s="60">
        <v>79.459999999999994</v>
      </c>
      <c r="I103" s="60">
        <v>1.78</v>
      </c>
      <c r="J103" s="60">
        <v>0.06</v>
      </c>
      <c r="K103" s="60">
        <v>197.69</v>
      </c>
      <c r="L103" s="60">
        <v>19.14</v>
      </c>
      <c r="M103" s="60">
        <v>59.26</v>
      </c>
      <c r="N103" s="60">
        <v>4.2</v>
      </c>
      <c r="O103" s="60">
        <v>0</v>
      </c>
      <c r="P103" s="60">
        <v>3.71</v>
      </c>
      <c r="Q103" s="60">
        <v>32.01</v>
      </c>
      <c r="R103" s="198"/>
      <c r="S103" s="198"/>
      <c r="T103" s="198"/>
      <c r="U103" s="198"/>
    </row>
    <row r="104" spans="1:33" s="12" customFormat="1" x14ac:dyDescent="0.25">
      <c r="A104" s="201" t="s">
        <v>1108</v>
      </c>
      <c r="B104" s="60">
        <v>189.58</v>
      </c>
      <c r="C104" s="60">
        <v>75.28</v>
      </c>
      <c r="D104" s="60">
        <v>192.38</v>
      </c>
      <c r="E104" s="60">
        <v>5.66</v>
      </c>
      <c r="F104" s="60">
        <v>4.5199999999999996</v>
      </c>
      <c r="G104" s="60">
        <v>181.62</v>
      </c>
      <c r="H104" s="60">
        <v>77.87</v>
      </c>
      <c r="I104" s="60">
        <v>1.79</v>
      </c>
      <c r="J104" s="60">
        <v>0.1</v>
      </c>
      <c r="K104" s="60">
        <v>334.84</v>
      </c>
      <c r="L104" s="60">
        <v>18.829999999999998</v>
      </c>
      <c r="M104" s="60">
        <v>62.04</v>
      </c>
      <c r="N104" s="60">
        <v>4.2</v>
      </c>
      <c r="O104" s="60">
        <v>0</v>
      </c>
      <c r="P104" s="60">
        <v>3.69</v>
      </c>
      <c r="Q104" s="60">
        <v>32.18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3.1</v>
      </c>
      <c r="C106" s="67">
        <f>MIN(C9:C104)</f>
        <v>51.19</v>
      </c>
      <c r="D106" s="67">
        <f t="shared" ref="D106:Q106" si="0">MIN(D9:D104)</f>
        <v>32.090000000000003</v>
      </c>
      <c r="E106" s="67">
        <f t="shared" si="0"/>
        <v>4.4400000000000004</v>
      </c>
      <c r="F106" s="67">
        <f t="shared" si="0"/>
        <v>4.5</v>
      </c>
      <c r="G106" s="67">
        <f t="shared" si="0"/>
        <v>41.15</v>
      </c>
      <c r="H106" s="67">
        <f t="shared" si="0"/>
        <v>20.190000000000001</v>
      </c>
      <c r="I106" s="67">
        <f t="shared" si="0"/>
        <v>0.56999999999999995</v>
      </c>
      <c r="J106" s="67">
        <f t="shared" si="0"/>
        <v>0.01</v>
      </c>
      <c r="K106" s="67">
        <f t="shared" si="0"/>
        <v>1.54</v>
      </c>
      <c r="L106" s="67">
        <f t="shared" si="0"/>
        <v>16.05</v>
      </c>
      <c r="M106" s="67">
        <f t="shared" si="0"/>
        <v>14.11</v>
      </c>
      <c r="N106" s="67">
        <f t="shared" si="0"/>
        <v>3.3</v>
      </c>
      <c r="O106" s="67">
        <f t="shared" si="0"/>
        <v>0</v>
      </c>
      <c r="P106" s="67">
        <f t="shared" si="0"/>
        <v>0.6</v>
      </c>
      <c r="Q106" s="67">
        <f t="shared" si="0"/>
        <v>10.9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189.58</v>
      </c>
      <c r="C107" s="66">
        <f t="shared" ref="C107:Q107" si="1">MAX(C9:C104)</f>
        <v>82.11</v>
      </c>
      <c r="D107" s="66">
        <f t="shared" si="1"/>
        <v>192.75</v>
      </c>
      <c r="E107" s="66">
        <f t="shared" si="1"/>
        <v>16.690000000000001</v>
      </c>
      <c r="F107" s="66">
        <f t="shared" si="1"/>
        <v>21.41</v>
      </c>
      <c r="G107" s="66">
        <f t="shared" si="1"/>
        <v>262.42</v>
      </c>
      <c r="H107" s="66">
        <f t="shared" si="1"/>
        <v>80.790000000000006</v>
      </c>
      <c r="I107" s="66">
        <f t="shared" si="1"/>
        <v>1.79</v>
      </c>
      <c r="J107" s="66">
        <f t="shared" si="1"/>
        <v>1.41</v>
      </c>
      <c r="K107" s="66">
        <f t="shared" si="1"/>
        <v>355.88</v>
      </c>
      <c r="L107" s="66">
        <f t="shared" si="1"/>
        <v>34.25</v>
      </c>
      <c r="M107" s="66">
        <f t="shared" si="1"/>
        <v>62.68</v>
      </c>
      <c r="N107" s="66">
        <f t="shared" si="1"/>
        <v>635.4</v>
      </c>
      <c r="O107" s="66">
        <f t="shared" si="1"/>
        <v>0</v>
      </c>
      <c r="P107" s="66">
        <f t="shared" si="1"/>
        <v>3.71</v>
      </c>
      <c r="Q107" s="66">
        <f t="shared" si="1"/>
        <v>32.18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40.998750000000001</v>
      </c>
      <c r="C108" s="67">
        <f t="shared" ref="C108:Q108" si="2">AVERAGE(C9:C104)</f>
        <v>61.445833333333304</v>
      </c>
      <c r="D108" s="67">
        <f t="shared" si="2"/>
        <v>65.599166666666648</v>
      </c>
      <c r="E108" s="67">
        <f t="shared" si="2"/>
        <v>7.7935416666666653</v>
      </c>
      <c r="F108" s="67">
        <f t="shared" si="2"/>
        <v>6.1477083333333313</v>
      </c>
      <c r="G108" s="67">
        <f t="shared" si="2"/>
        <v>103.55666666666663</v>
      </c>
      <c r="H108" s="67">
        <f t="shared" si="2"/>
        <v>41.516145833333333</v>
      </c>
      <c r="I108" s="67">
        <f t="shared" si="2"/>
        <v>0.82645569620253168</v>
      </c>
      <c r="J108" s="67">
        <f t="shared" si="2"/>
        <v>0.33125000000000004</v>
      </c>
      <c r="K108" s="67">
        <f t="shared" si="2"/>
        <v>159.71062499999996</v>
      </c>
      <c r="L108" s="67">
        <f t="shared" si="2"/>
        <v>23.350208333333331</v>
      </c>
      <c r="M108" s="67">
        <f t="shared" si="2"/>
        <v>39.603333333333318</v>
      </c>
      <c r="N108" s="67">
        <f t="shared" si="2"/>
        <v>166.53333333333339</v>
      </c>
      <c r="O108" s="67">
        <f t="shared" si="2"/>
        <v>0</v>
      </c>
      <c r="P108" s="67">
        <f t="shared" si="2"/>
        <v>1.3819791666666665</v>
      </c>
      <c r="Q108" s="67">
        <f t="shared" si="2"/>
        <v>18.663541666666667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50.789941591245267</v>
      </c>
      <c r="C109" s="67">
        <f t="shared" ref="C109:Q109" si="3">STDEV(C9:C104)</f>
        <v>9.5773140577829121</v>
      </c>
      <c r="D109" s="67">
        <f t="shared" si="3"/>
        <v>44.711815574071984</v>
      </c>
      <c r="E109" s="67">
        <f t="shared" si="3"/>
        <v>2.0515113705531354</v>
      </c>
      <c r="F109" s="67">
        <f t="shared" si="3"/>
        <v>3.3162558085466425</v>
      </c>
      <c r="G109" s="67">
        <f t="shared" si="3"/>
        <v>63.358084843907136</v>
      </c>
      <c r="H109" s="67">
        <f t="shared" si="3"/>
        <v>18.760206674307174</v>
      </c>
      <c r="I109" s="67">
        <f t="shared" si="3"/>
        <v>0.34957130513098894</v>
      </c>
      <c r="J109" s="67">
        <f t="shared" si="3"/>
        <v>0.37979842298943667</v>
      </c>
      <c r="K109" s="67">
        <f t="shared" si="3"/>
        <v>112.19080035286225</v>
      </c>
      <c r="L109" s="67">
        <f t="shared" si="3"/>
        <v>5.574858597058161</v>
      </c>
      <c r="M109" s="67">
        <f t="shared" si="3"/>
        <v>16.299105992058355</v>
      </c>
      <c r="N109" s="67">
        <f t="shared" si="3"/>
        <v>229.30460580985724</v>
      </c>
      <c r="O109" s="67">
        <f t="shared" si="3"/>
        <v>0</v>
      </c>
      <c r="P109" s="67">
        <f t="shared" si="3"/>
        <v>0.87151606536711734</v>
      </c>
      <c r="Q109" s="67">
        <f t="shared" si="3"/>
        <v>5.6229031608360698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79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215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D9" sqref="D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10-02-2023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340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1109</v>
      </c>
      <c r="B9" s="60">
        <v>190.69</v>
      </c>
      <c r="C9" s="60">
        <v>73.86</v>
      </c>
      <c r="D9" s="60">
        <v>192.49</v>
      </c>
      <c r="E9" s="60">
        <v>8.16</v>
      </c>
      <c r="F9" s="60">
        <v>4.54</v>
      </c>
      <c r="G9" s="60">
        <v>181.62</v>
      </c>
      <c r="H9" s="60">
        <v>77.87</v>
      </c>
      <c r="I9" s="60">
        <v>1.8</v>
      </c>
      <c r="J9" s="60">
        <v>0.14000000000000001</v>
      </c>
      <c r="K9" s="60">
        <v>334.21</v>
      </c>
      <c r="L9" s="60">
        <v>18.73</v>
      </c>
      <c r="M9" s="60">
        <v>59.97</v>
      </c>
      <c r="N9" s="60">
        <v>4.0999999999999996</v>
      </c>
      <c r="O9" s="60">
        <v>0</v>
      </c>
      <c r="P9" s="60">
        <v>3.68</v>
      </c>
      <c r="Q9" s="60">
        <v>32.83</v>
      </c>
      <c r="R9" s="198"/>
      <c r="S9" s="198"/>
      <c r="T9" s="198"/>
      <c r="U9" s="198"/>
    </row>
    <row r="10" spans="1:21" s="12" customFormat="1" x14ac:dyDescent="0.25">
      <c r="A10" s="201" t="s">
        <v>1110</v>
      </c>
      <c r="B10" s="60">
        <v>189.24</v>
      </c>
      <c r="C10" s="60">
        <v>73.22</v>
      </c>
      <c r="D10" s="60">
        <v>190.98</v>
      </c>
      <c r="E10" s="60">
        <v>8.36</v>
      </c>
      <c r="F10" s="60">
        <v>4.54</v>
      </c>
      <c r="G10" s="60">
        <v>181.62</v>
      </c>
      <c r="H10" s="60">
        <v>77.87</v>
      </c>
      <c r="I10" s="60">
        <v>1.81</v>
      </c>
      <c r="J10" s="60">
        <v>0.05</v>
      </c>
      <c r="K10" s="60">
        <v>86.55</v>
      </c>
      <c r="L10" s="60">
        <v>18.78</v>
      </c>
      <c r="M10" s="60">
        <v>62.21</v>
      </c>
      <c r="N10" s="60">
        <v>3.8</v>
      </c>
      <c r="O10" s="60">
        <v>0</v>
      </c>
      <c r="P10" s="60">
        <v>3.63</v>
      </c>
      <c r="Q10" s="60">
        <v>32.799999999999997</v>
      </c>
      <c r="R10" s="198"/>
      <c r="S10" s="198"/>
      <c r="T10" s="198"/>
      <c r="U10" s="198"/>
    </row>
    <row r="11" spans="1:21" s="12" customFormat="1" x14ac:dyDescent="0.25">
      <c r="A11" s="201" t="s">
        <v>1111</v>
      </c>
      <c r="B11" s="60">
        <v>189.06</v>
      </c>
      <c r="C11" s="60">
        <v>72.53</v>
      </c>
      <c r="D11" s="60">
        <v>190.45</v>
      </c>
      <c r="E11" s="60">
        <v>8.1199999999999992</v>
      </c>
      <c r="F11" s="60">
        <v>4.5</v>
      </c>
      <c r="G11" s="60">
        <v>181.29</v>
      </c>
      <c r="H11" s="60">
        <v>75.650000000000006</v>
      </c>
      <c r="I11" s="60">
        <v>1.81</v>
      </c>
      <c r="J11" s="60">
        <v>0.1</v>
      </c>
      <c r="K11" s="60">
        <v>310.26</v>
      </c>
      <c r="L11" s="60">
        <v>18.489999999999998</v>
      </c>
      <c r="M11" s="60">
        <v>63.92</v>
      </c>
      <c r="N11" s="60">
        <v>4.4000000000000004</v>
      </c>
      <c r="O11" s="60">
        <v>0</v>
      </c>
      <c r="P11" s="60">
        <v>3.63</v>
      </c>
      <c r="Q11" s="60">
        <v>32.450000000000003</v>
      </c>
      <c r="R11" s="198"/>
      <c r="S11" s="198"/>
      <c r="T11" s="198"/>
      <c r="U11" s="198"/>
    </row>
    <row r="12" spans="1:21" s="12" customFormat="1" x14ac:dyDescent="0.25">
      <c r="A12" s="201" t="s">
        <v>1112</v>
      </c>
      <c r="B12" s="60">
        <v>188.19</v>
      </c>
      <c r="C12" s="60">
        <v>71.94</v>
      </c>
      <c r="D12" s="60">
        <v>189.42</v>
      </c>
      <c r="E12" s="60">
        <v>7.92</v>
      </c>
      <c r="F12" s="60">
        <v>4.5</v>
      </c>
      <c r="G12" s="60">
        <v>180.9</v>
      </c>
      <c r="H12" s="60">
        <v>72.989999999999995</v>
      </c>
      <c r="I12" s="60">
        <v>1.8</v>
      </c>
      <c r="J12" s="60">
        <v>0.12</v>
      </c>
      <c r="K12" s="60">
        <v>351.3</v>
      </c>
      <c r="L12" s="60">
        <v>18.23</v>
      </c>
      <c r="M12" s="60">
        <v>65.31</v>
      </c>
      <c r="N12" s="60">
        <v>4.4000000000000004</v>
      </c>
      <c r="O12" s="60">
        <v>0</v>
      </c>
      <c r="P12" s="60">
        <v>3.6</v>
      </c>
      <c r="Q12" s="60">
        <v>32.26</v>
      </c>
      <c r="R12" s="198"/>
      <c r="S12" s="198"/>
      <c r="T12" s="198"/>
      <c r="U12" s="198"/>
    </row>
    <row r="13" spans="1:21" s="12" customFormat="1" x14ac:dyDescent="0.25">
      <c r="A13" s="201" t="s">
        <v>1113</v>
      </c>
      <c r="B13" s="60">
        <v>186.06</v>
      </c>
      <c r="C13" s="60">
        <v>71.22</v>
      </c>
      <c r="D13" s="60">
        <v>187.32</v>
      </c>
      <c r="E13" s="60">
        <v>8.39</v>
      </c>
      <c r="F13" s="60">
        <v>4.5</v>
      </c>
      <c r="G13" s="60">
        <v>180.9</v>
      </c>
      <c r="H13" s="60">
        <v>72.989999999999995</v>
      </c>
      <c r="I13" s="60">
        <v>1.79</v>
      </c>
      <c r="J13" s="60">
        <v>0.09</v>
      </c>
      <c r="K13" s="60">
        <v>292.26</v>
      </c>
      <c r="L13" s="60">
        <v>18.079999999999998</v>
      </c>
      <c r="M13" s="60">
        <v>64.5</v>
      </c>
      <c r="N13" s="60">
        <v>4.3</v>
      </c>
      <c r="O13" s="60">
        <v>0</v>
      </c>
      <c r="P13" s="60">
        <v>3.23</v>
      </c>
      <c r="Q13" s="60">
        <v>31.98</v>
      </c>
      <c r="R13" s="198"/>
      <c r="S13" s="198"/>
      <c r="T13" s="198"/>
      <c r="U13" s="198"/>
    </row>
    <row r="14" spans="1:21" s="12" customFormat="1" x14ac:dyDescent="0.25">
      <c r="A14" s="201" t="s">
        <v>1114</v>
      </c>
      <c r="B14" s="60">
        <v>181.17</v>
      </c>
      <c r="C14" s="60">
        <v>70.599999999999994</v>
      </c>
      <c r="D14" s="60">
        <v>183.06</v>
      </c>
      <c r="E14" s="60">
        <v>7.87</v>
      </c>
      <c r="F14" s="60">
        <v>4.5</v>
      </c>
      <c r="G14" s="60">
        <v>180.9</v>
      </c>
      <c r="H14" s="60">
        <v>72.989999999999995</v>
      </c>
      <c r="I14" s="60">
        <v>1.78</v>
      </c>
      <c r="J14" s="60">
        <v>0.17</v>
      </c>
      <c r="K14" s="60">
        <v>255.51</v>
      </c>
      <c r="L14" s="60">
        <v>18.260000000000002</v>
      </c>
      <c r="M14" s="60">
        <v>59.15</v>
      </c>
      <c r="N14" s="60">
        <v>3.8</v>
      </c>
      <c r="O14" s="60">
        <v>0</v>
      </c>
      <c r="P14" s="60">
        <v>3.31</v>
      </c>
      <c r="Q14" s="60">
        <v>31.6</v>
      </c>
      <c r="R14" s="198"/>
      <c r="S14" s="198"/>
      <c r="T14" s="198"/>
      <c r="U14" s="198"/>
    </row>
    <row r="15" spans="1:21" s="12" customFormat="1" x14ac:dyDescent="0.25">
      <c r="A15" s="201" t="s">
        <v>1115</v>
      </c>
      <c r="B15" s="60">
        <v>171.36</v>
      </c>
      <c r="C15" s="60">
        <v>70.03</v>
      </c>
      <c r="D15" s="60">
        <v>174.88</v>
      </c>
      <c r="E15" s="60">
        <v>7.79</v>
      </c>
      <c r="F15" s="60">
        <v>4.5</v>
      </c>
      <c r="G15" s="60">
        <v>168.24</v>
      </c>
      <c r="H15" s="60">
        <v>70.680000000000007</v>
      </c>
      <c r="I15" s="60">
        <v>1.76</v>
      </c>
      <c r="J15" s="60">
        <v>0.09</v>
      </c>
      <c r="K15" s="60">
        <v>274.43</v>
      </c>
      <c r="L15" s="60">
        <v>18.170000000000002</v>
      </c>
      <c r="M15" s="60">
        <v>58.93</v>
      </c>
      <c r="N15" s="60">
        <v>4.2</v>
      </c>
      <c r="O15" s="60">
        <v>0</v>
      </c>
      <c r="P15" s="60">
        <v>3.16</v>
      </c>
      <c r="Q15" s="60">
        <v>30.69</v>
      </c>
      <c r="R15" s="198"/>
      <c r="S15" s="198"/>
      <c r="T15" s="198"/>
      <c r="U15" s="198"/>
    </row>
    <row r="16" spans="1:21" s="12" customFormat="1" x14ac:dyDescent="0.25">
      <c r="A16" s="201" t="s">
        <v>1116</v>
      </c>
      <c r="B16" s="60">
        <v>159.06</v>
      </c>
      <c r="C16" s="60">
        <v>69.91</v>
      </c>
      <c r="D16" s="60">
        <v>164.95</v>
      </c>
      <c r="E16" s="60">
        <v>7.45</v>
      </c>
      <c r="F16" s="60">
        <v>4.51</v>
      </c>
      <c r="G16" s="60">
        <v>153.11000000000001</v>
      </c>
      <c r="H16" s="60">
        <v>67.92</v>
      </c>
      <c r="I16" s="60">
        <v>1.72</v>
      </c>
      <c r="J16" s="60">
        <v>0.17</v>
      </c>
      <c r="K16" s="60">
        <v>253.89</v>
      </c>
      <c r="L16" s="60">
        <v>18.239999999999998</v>
      </c>
      <c r="M16" s="60">
        <v>59.72</v>
      </c>
      <c r="N16" s="60">
        <v>3.9</v>
      </c>
      <c r="O16" s="60">
        <v>0</v>
      </c>
      <c r="P16" s="60">
        <v>3.03</v>
      </c>
      <c r="Q16" s="60">
        <v>29.5</v>
      </c>
      <c r="R16" s="198"/>
      <c r="S16" s="198"/>
      <c r="T16" s="198"/>
      <c r="U16" s="198"/>
    </row>
    <row r="17" spans="1:21" s="12" customFormat="1" x14ac:dyDescent="0.25">
      <c r="A17" s="201" t="s">
        <v>1117</v>
      </c>
      <c r="B17" s="60">
        <v>152.93</v>
      </c>
      <c r="C17" s="60">
        <v>67.86</v>
      </c>
      <c r="D17" s="60">
        <v>158.9</v>
      </c>
      <c r="E17" s="60">
        <v>8.0299999999999994</v>
      </c>
      <c r="F17" s="60">
        <v>4.55</v>
      </c>
      <c r="G17" s="60">
        <v>153.11000000000001</v>
      </c>
      <c r="H17" s="60">
        <v>67.92</v>
      </c>
      <c r="I17" s="60">
        <v>1.67</v>
      </c>
      <c r="J17" s="60">
        <v>0.09</v>
      </c>
      <c r="K17" s="60">
        <v>285.29000000000002</v>
      </c>
      <c r="L17" s="60">
        <v>17.91</v>
      </c>
      <c r="M17" s="60">
        <v>62.04</v>
      </c>
      <c r="N17" s="60">
        <v>4.2</v>
      </c>
      <c r="O17" s="60">
        <v>0</v>
      </c>
      <c r="P17" s="60">
        <v>2.89</v>
      </c>
      <c r="Q17" s="60">
        <v>28.76</v>
      </c>
      <c r="R17" s="198"/>
      <c r="S17" s="198"/>
      <c r="T17" s="198"/>
      <c r="U17" s="198"/>
    </row>
    <row r="18" spans="1:21" s="12" customFormat="1" x14ac:dyDescent="0.25">
      <c r="A18" s="201" t="s">
        <v>1118</v>
      </c>
      <c r="B18" s="60">
        <v>144.41999999999999</v>
      </c>
      <c r="C18" s="60">
        <v>66.33</v>
      </c>
      <c r="D18" s="60">
        <v>151.22999999999999</v>
      </c>
      <c r="E18" s="60">
        <v>7.69</v>
      </c>
      <c r="F18" s="60">
        <v>4.5</v>
      </c>
      <c r="G18" s="60">
        <v>153.11000000000001</v>
      </c>
      <c r="H18" s="60">
        <v>67.92</v>
      </c>
      <c r="I18" s="60">
        <v>1.62</v>
      </c>
      <c r="J18" s="60">
        <v>0.12</v>
      </c>
      <c r="K18" s="60">
        <v>0.22</v>
      </c>
      <c r="L18" s="60">
        <v>17.100000000000001</v>
      </c>
      <c r="M18" s="60">
        <v>69.02</v>
      </c>
      <c r="N18" s="60">
        <v>4.5</v>
      </c>
      <c r="O18" s="60">
        <v>0</v>
      </c>
      <c r="P18" s="60">
        <v>2.77</v>
      </c>
      <c r="Q18" s="60">
        <v>28.1</v>
      </c>
      <c r="R18" s="198"/>
      <c r="S18" s="198"/>
      <c r="T18" s="198"/>
      <c r="U18" s="198"/>
    </row>
    <row r="19" spans="1:21" s="12" customFormat="1" x14ac:dyDescent="0.25">
      <c r="A19" s="201" t="s">
        <v>1119</v>
      </c>
      <c r="B19" s="60">
        <v>136.97</v>
      </c>
      <c r="C19" s="60">
        <v>64.650000000000006</v>
      </c>
      <c r="D19" s="60">
        <v>144.33000000000001</v>
      </c>
      <c r="E19" s="60">
        <v>7.59</v>
      </c>
      <c r="F19" s="60">
        <v>4.5</v>
      </c>
      <c r="G19" s="60">
        <v>128.55000000000001</v>
      </c>
      <c r="H19" s="60">
        <v>63.29</v>
      </c>
      <c r="I19" s="60">
        <v>1.57</v>
      </c>
      <c r="J19" s="60">
        <v>0.03</v>
      </c>
      <c r="K19" s="60">
        <v>216.17</v>
      </c>
      <c r="L19" s="60">
        <v>16.75</v>
      </c>
      <c r="M19" s="60">
        <v>68.14</v>
      </c>
      <c r="N19" s="60">
        <v>4.4000000000000004</v>
      </c>
      <c r="O19" s="60">
        <v>0</v>
      </c>
      <c r="P19" s="60">
        <v>2.67</v>
      </c>
      <c r="Q19" s="60">
        <v>27.61</v>
      </c>
      <c r="R19" s="198"/>
      <c r="S19" s="198"/>
      <c r="T19" s="198"/>
      <c r="U19" s="198"/>
    </row>
    <row r="20" spans="1:21" s="12" customFormat="1" x14ac:dyDescent="0.25">
      <c r="A20" s="201" t="s">
        <v>1120</v>
      </c>
      <c r="B20" s="60">
        <v>129.86000000000001</v>
      </c>
      <c r="C20" s="60">
        <v>63.29</v>
      </c>
      <c r="D20" s="60">
        <v>137.88</v>
      </c>
      <c r="E20" s="60">
        <v>7.3</v>
      </c>
      <c r="F20" s="60">
        <v>4.5</v>
      </c>
      <c r="G20" s="60">
        <v>99.21</v>
      </c>
      <c r="H20" s="60">
        <v>57.76</v>
      </c>
      <c r="I20" s="60">
        <v>1.53</v>
      </c>
      <c r="J20" s="60">
        <v>0.02</v>
      </c>
      <c r="K20" s="60">
        <v>27.02</v>
      </c>
      <c r="L20" s="60">
        <v>16.57</v>
      </c>
      <c r="M20" s="60">
        <v>69.22</v>
      </c>
      <c r="N20" s="60">
        <v>4.4000000000000004</v>
      </c>
      <c r="O20" s="60">
        <v>0</v>
      </c>
      <c r="P20" s="60">
        <v>2.56</v>
      </c>
      <c r="Q20" s="60">
        <v>27.18</v>
      </c>
      <c r="R20" s="198"/>
      <c r="S20" s="198"/>
      <c r="T20" s="198"/>
      <c r="U20" s="198"/>
    </row>
    <row r="21" spans="1:21" s="12" customFormat="1" x14ac:dyDescent="0.25">
      <c r="A21" s="201" t="s">
        <v>1121</v>
      </c>
      <c r="B21" s="60">
        <v>122.26</v>
      </c>
      <c r="C21" s="60">
        <v>62</v>
      </c>
      <c r="D21" s="60">
        <v>131.07</v>
      </c>
      <c r="E21" s="60">
        <v>7.95</v>
      </c>
      <c r="F21" s="60">
        <v>4.5</v>
      </c>
      <c r="G21" s="60">
        <v>99.21</v>
      </c>
      <c r="H21" s="60">
        <v>57.76</v>
      </c>
      <c r="I21" s="60">
        <v>1.49</v>
      </c>
      <c r="J21" s="60">
        <v>0.12</v>
      </c>
      <c r="K21" s="60">
        <v>170.95</v>
      </c>
      <c r="L21" s="60">
        <v>16.739999999999998</v>
      </c>
      <c r="M21" s="60">
        <v>72.06</v>
      </c>
      <c r="N21" s="60">
        <v>3.4</v>
      </c>
      <c r="O21" s="60">
        <v>0</v>
      </c>
      <c r="P21" s="60">
        <v>2.4500000000000002</v>
      </c>
      <c r="Q21" s="60">
        <v>26.77</v>
      </c>
      <c r="R21" s="198"/>
      <c r="S21" s="198"/>
      <c r="T21" s="198"/>
      <c r="U21" s="198"/>
    </row>
    <row r="22" spans="1:21" s="12" customFormat="1" x14ac:dyDescent="0.25">
      <c r="A22" s="201" t="s">
        <v>1122</v>
      </c>
      <c r="B22" s="60">
        <v>114.76</v>
      </c>
      <c r="C22" s="60">
        <v>60.72</v>
      </c>
      <c r="D22" s="60">
        <v>124.35</v>
      </c>
      <c r="E22" s="60">
        <v>6.59</v>
      </c>
      <c r="F22" s="60">
        <v>4.5</v>
      </c>
      <c r="G22" s="60">
        <v>99.21</v>
      </c>
      <c r="H22" s="60">
        <v>57.76</v>
      </c>
      <c r="I22" s="60">
        <v>1.44</v>
      </c>
      <c r="J22" s="60">
        <v>0.16</v>
      </c>
      <c r="K22" s="60">
        <v>248.89</v>
      </c>
      <c r="L22" s="60">
        <v>17.29</v>
      </c>
      <c r="M22" s="60">
        <v>73.98</v>
      </c>
      <c r="N22" s="60">
        <v>3.7</v>
      </c>
      <c r="O22" s="60">
        <v>0</v>
      </c>
      <c r="P22" s="60">
        <v>2.36</v>
      </c>
      <c r="Q22" s="60">
        <v>26.2</v>
      </c>
      <c r="R22" s="198"/>
      <c r="S22" s="198"/>
      <c r="T22" s="198"/>
      <c r="U22" s="198"/>
    </row>
    <row r="23" spans="1:21" s="12" customFormat="1" x14ac:dyDescent="0.25">
      <c r="A23" s="201" t="s">
        <v>1123</v>
      </c>
      <c r="B23" s="60">
        <v>108.25</v>
      </c>
      <c r="C23" s="60">
        <v>60.29</v>
      </c>
      <c r="D23" s="60">
        <v>118.89</v>
      </c>
      <c r="E23" s="60">
        <v>6.94</v>
      </c>
      <c r="F23" s="60">
        <v>4.5</v>
      </c>
      <c r="G23" s="60">
        <v>90.31</v>
      </c>
      <c r="H23" s="60">
        <v>55.02</v>
      </c>
      <c r="I23" s="60">
        <v>1.41</v>
      </c>
      <c r="J23" s="60">
        <v>0.13</v>
      </c>
      <c r="K23" s="60">
        <v>336.56</v>
      </c>
      <c r="L23" s="60">
        <v>16.72</v>
      </c>
      <c r="M23" s="60">
        <v>76.17</v>
      </c>
      <c r="N23" s="60">
        <v>4.2</v>
      </c>
      <c r="O23" s="60">
        <v>0</v>
      </c>
      <c r="P23" s="60">
        <v>2.25</v>
      </c>
      <c r="Q23" s="60">
        <v>26.23</v>
      </c>
      <c r="R23" s="198"/>
      <c r="S23" s="198"/>
      <c r="T23" s="198"/>
      <c r="U23" s="198"/>
    </row>
    <row r="24" spans="1:21" s="12" customFormat="1" x14ac:dyDescent="0.25">
      <c r="A24" s="201" t="s">
        <v>1124</v>
      </c>
      <c r="B24" s="60">
        <v>101.3</v>
      </c>
      <c r="C24" s="60">
        <v>59.16</v>
      </c>
      <c r="D24" s="60">
        <v>112.69</v>
      </c>
      <c r="E24" s="60">
        <v>4.4800000000000004</v>
      </c>
      <c r="F24" s="60">
        <v>4.5</v>
      </c>
      <c r="G24" s="60">
        <v>79.67</v>
      </c>
      <c r="H24" s="60">
        <v>51.74</v>
      </c>
      <c r="I24" s="60">
        <v>1.37</v>
      </c>
      <c r="J24" s="60">
        <v>0.13</v>
      </c>
      <c r="K24" s="60">
        <v>304.23</v>
      </c>
      <c r="L24" s="60">
        <v>16.649999999999999</v>
      </c>
      <c r="M24" s="60">
        <v>78.959999999999994</v>
      </c>
      <c r="N24" s="60">
        <v>4</v>
      </c>
      <c r="O24" s="60">
        <v>0</v>
      </c>
      <c r="P24" s="60">
        <v>2.14</v>
      </c>
      <c r="Q24" s="60">
        <v>26.13</v>
      </c>
      <c r="R24" s="198"/>
      <c r="S24" s="198"/>
      <c r="T24" s="198"/>
      <c r="U24" s="198"/>
    </row>
    <row r="25" spans="1:21" s="12" customFormat="1" x14ac:dyDescent="0.25">
      <c r="A25" s="201" t="s">
        <v>1125</v>
      </c>
      <c r="B25" s="60">
        <v>94.11</v>
      </c>
      <c r="C25" s="60">
        <v>58.38</v>
      </c>
      <c r="D25" s="60">
        <v>106.5</v>
      </c>
      <c r="E25" s="60">
        <v>6.15</v>
      </c>
      <c r="F25" s="60">
        <v>4.51</v>
      </c>
      <c r="G25" s="60">
        <v>79.67</v>
      </c>
      <c r="H25" s="60">
        <v>51.74</v>
      </c>
      <c r="I25" s="60">
        <v>1.32</v>
      </c>
      <c r="J25" s="60">
        <v>0.12</v>
      </c>
      <c r="K25" s="60">
        <v>286.32</v>
      </c>
      <c r="L25" s="60">
        <v>16.37</v>
      </c>
      <c r="M25" s="60">
        <v>75.819999999999993</v>
      </c>
      <c r="N25" s="60">
        <v>4.2</v>
      </c>
      <c r="O25" s="60">
        <v>0</v>
      </c>
      <c r="P25" s="60">
        <v>2.04</v>
      </c>
      <c r="Q25" s="60">
        <v>25.8</v>
      </c>
      <c r="R25" s="198"/>
      <c r="S25" s="198"/>
      <c r="T25" s="198"/>
      <c r="U25" s="198"/>
    </row>
    <row r="26" spans="1:21" s="12" customFormat="1" x14ac:dyDescent="0.25">
      <c r="A26" s="201" t="s">
        <v>1126</v>
      </c>
      <c r="B26" s="60">
        <v>87.06</v>
      </c>
      <c r="C26" s="60">
        <v>57.96</v>
      </c>
      <c r="D26" s="60">
        <v>100.62</v>
      </c>
      <c r="E26" s="60">
        <v>5.86</v>
      </c>
      <c r="F26" s="60">
        <v>4.5</v>
      </c>
      <c r="G26" s="60">
        <v>79.67</v>
      </c>
      <c r="H26" s="60">
        <v>51.74</v>
      </c>
      <c r="I26" s="60">
        <v>1.27</v>
      </c>
      <c r="J26" s="60">
        <v>0.14000000000000001</v>
      </c>
      <c r="K26" s="60">
        <v>322.2</v>
      </c>
      <c r="L26" s="60">
        <v>16.05</v>
      </c>
      <c r="M26" s="60">
        <v>73.25</v>
      </c>
      <c r="N26" s="60">
        <v>4.2</v>
      </c>
      <c r="O26" s="60">
        <v>0</v>
      </c>
      <c r="P26" s="60">
        <v>1.94</v>
      </c>
      <c r="Q26" s="60">
        <v>25.27</v>
      </c>
      <c r="R26" s="198"/>
      <c r="S26" s="198"/>
      <c r="T26" s="198"/>
      <c r="U26" s="198"/>
    </row>
    <row r="27" spans="1:21" s="12" customFormat="1" x14ac:dyDescent="0.25">
      <c r="A27" s="201" t="s">
        <v>1127</v>
      </c>
      <c r="B27" s="60">
        <v>82.24</v>
      </c>
      <c r="C27" s="60">
        <v>57.98</v>
      </c>
      <c r="D27" s="60">
        <v>96.76</v>
      </c>
      <c r="E27" s="60">
        <v>6.18</v>
      </c>
      <c r="F27" s="60">
        <v>4.5</v>
      </c>
      <c r="G27" s="60">
        <v>75.92</v>
      </c>
      <c r="H27" s="60">
        <v>45.44</v>
      </c>
      <c r="I27" s="60">
        <v>1.22</v>
      </c>
      <c r="J27" s="60">
        <v>0.17</v>
      </c>
      <c r="K27" s="60">
        <v>260.11</v>
      </c>
      <c r="L27" s="60">
        <v>16.03</v>
      </c>
      <c r="M27" s="60">
        <v>72.69</v>
      </c>
      <c r="N27" s="60">
        <v>3.8</v>
      </c>
      <c r="O27" s="60">
        <v>0</v>
      </c>
      <c r="P27" s="60">
        <v>1.85</v>
      </c>
      <c r="Q27" s="60">
        <v>24.7</v>
      </c>
      <c r="R27" s="198"/>
      <c r="S27" s="198"/>
      <c r="T27" s="198"/>
      <c r="U27" s="198"/>
    </row>
    <row r="28" spans="1:21" s="12" customFormat="1" x14ac:dyDescent="0.25">
      <c r="A28" s="201" t="s">
        <v>1128</v>
      </c>
      <c r="B28" s="60">
        <v>76.75</v>
      </c>
      <c r="C28" s="60">
        <v>57.75</v>
      </c>
      <c r="D28" s="60">
        <v>92.23</v>
      </c>
      <c r="E28" s="60">
        <v>5.4</v>
      </c>
      <c r="F28" s="60">
        <v>4.5</v>
      </c>
      <c r="G28" s="60">
        <v>71.430000000000007</v>
      </c>
      <c r="H28" s="60">
        <v>37.92</v>
      </c>
      <c r="I28" s="60">
        <v>1.1100000000000001</v>
      </c>
      <c r="J28" s="60">
        <v>0.11</v>
      </c>
      <c r="K28" s="60">
        <v>297.57</v>
      </c>
      <c r="L28" s="60">
        <v>16.3</v>
      </c>
      <c r="M28" s="60">
        <v>73.62</v>
      </c>
      <c r="N28" s="60">
        <v>4</v>
      </c>
      <c r="O28" s="60">
        <v>0</v>
      </c>
      <c r="P28" s="60">
        <v>1.77</v>
      </c>
      <c r="Q28" s="60">
        <v>24.24</v>
      </c>
      <c r="R28" s="198"/>
      <c r="S28" s="198"/>
      <c r="T28" s="198"/>
      <c r="U28" s="198"/>
    </row>
    <row r="29" spans="1:21" s="12" customFormat="1" x14ac:dyDescent="0.25">
      <c r="A29" s="201" t="s">
        <v>1129</v>
      </c>
      <c r="B29" s="60">
        <v>70.72</v>
      </c>
      <c r="C29" s="60">
        <v>58.2</v>
      </c>
      <c r="D29" s="60">
        <v>87.64</v>
      </c>
      <c r="E29" s="60">
        <v>5.95</v>
      </c>
      <c r="F29" s="60">
        <v>4.5199999999999996</v>
      </c>
      <c r="G29" s="60">
        <v>71.430000000000007</v>
      </c>
      <c r="H29" s="60">
        <v>37.92</v>
      </c>
      <c r="I29" s="60">
        <v>1.02</v>
      </c>
      <c r="J29" s="60">
        <v>0.16</v>
      </c>
      <c r="K29" s="60">
        <v>255.08</v>
      </c>
      <c r="L29" s="60">
        <v>16.149999999999999</v>
      </c>
      <c r="M29" s="60">
        <v>76.73</v>
      </c>
      <c r="N29" s="60">
        <v>3.8</v>
      </c>
      <c r="O29" s="60">
        <v>0</v>
      </c>
      <c r="P29" s="60">
        <v>1.69</v>
      </c>
      <c r="Q29" s="60">
        <v>23.79</v>
      </c>
      <c r="R29" s="198"/>
      <c r="S29" s="198"/>
      <c r="T29" s="198"/>
      <c r="U29" s="198"/>
    </row>
    <row r="30" spans="1:21" s="12" customFormat="1" x14ac:dyDescent="0.25">
      <c r="A30" s="201" t="s">
        <v>1130</v>
      </c>
      <c r="B30" s="60">
        <v>65.510000000000005</v>
      </c>
      <c r="C30" s="60">
        <v>58.25</v>
      </c>
      <c r="D30" s="60">
        <v>83.49</v>
      </c>
      <c r="E30" s="60">
        <v>5.96</v>
      </c>
      <c r="F30" s="60">
        <v>4.5</v>
      </c>
      <c r="G30" s="60">
        <v>71.430000000000007</v>
      </c>
      <c r="H30" s="60">
        <v>37.92</v>
      </c>
      <c r="I30" s="60">
        <v>0.98</v>
      </c>
      <c r="J30" s="60">
        <v>0.15</v>
      </c>
      <c r="K30" s="60">
        <v>250.3</v>
      </c>
      <c r="L30" s="60">
        <v>16.03</v>
      </c>
      <c r="M30" s="60">
        <v>80.650000000000006</v>
      </c>
      <c r="N30" s="60">
        <v>3.9</v>
      </c>
      <c r="O30" s="60">
        <v>0</v>
      </c>
      <c r="P30" s="60">
        <v>1.63</v>
      </c>
      <c r="Q30" s="60">
        <v>22.81</v>
      </c>
      <c r="R30" s="198"/>
      <c r="S30" s="198"/>
      <c r="T30" s="198"/>
      <c r="U30" s="198"/>
    </row>
    <row r="31" spans="1:21" s="12" customFormat="1" x14ac:dyDescent="0.25">
      <c r="A31" s="201" t="s">
        <v>1131</v>
      </c>
      <c r="B31" s="60">
        <v>61.38</v>
      </c>
      <c r="C31" s="60">
        <v>57.73</v>
      </c>
      <c r="D31" s="60">
        <v>79.89</v>
      </c>
      <c r="E31" s="60">
        <v>6.04</v>
      </c>
      <c r="F31" s="60">
        <v>4.5</v>
      </c>
      <c r="G31" s="60">
        <v>64.08</v>
      </c>
      <c r="H31" s="60">
        <v>37.409999999999997</v>
      </c>
      <c r="I31" s="60">
        <v>0.94</v>
      </c>
      <c r="J31" s="60">
        <v>0.1</v>
      </c>
      <c r="K31" s="60">
        <v>274.99</v>
      </c>
      <c r="L31" s="60">
        <v>15.76</v>
      </c>
      <c r="M31" s="60">
        <v>82.74</v>
      </c>
      <c r="N31" s="60">
        <v>4.2</v>
      </c>
      <c r="O31" s="60">
        <v>0</v>
      </c>
      <c r="P31" s="60">
        <v>1.57</v>
      </c>
      <c r="Q31" s="60">
        <v>22.21</v>
      </c>
      <c r="R31" s="198"/>
      <c r="S31" s="198"/>
      <c r="T31" s="198"/>
      <c r="U31" s="198"/>
    </row>
    <row r="32" spans="1:21" s="12" customFormat="1" x14ac:dyDescent="0.25">
      <c r="A32" s="201" t="s">
        <v>1132</v>
      </c>
      <c r="B32" s="60">
        <v>58.55</v>
      </c>
      <c r="C32" s="60">
        <v>57.39</v>
      </c>
      <c r="D32" s="60">
        <v>77.430000000000007</v>
      </c>
      <c r="E32" s="60">
        <v>5.87</v>
      </c>
      <c r="F32" s="60">
        <v>4.51</v>
      </c>
      <c r="G32" s="60">
        <v>55.3</v>
      </c>
      <c r="H32" s="60">
        <v>36.799999999999997</v>
      </c>
      <c r="I32" s="60">
        <v>0.91</v>
      </c>
      <c r="J32" s="60">
        <v>0.05</v>
      </c>
      <c r="K32" s="60">
        <v>279.02999999999997</v>
      </c>
      <c r="L32" s="60">
        <v>15.47</v>
      </c>
      <c r="M32" s="60">
        <v>83.68</v>
      </c>
      <c r="N32" s="60">
        <v>4.4000000000000004</v>
      </c>
      <c r="O32" s="60">
        <v>0</v>
      </c>
      <c r="P32" s="60">
        <v>1.52</v>
      </c>
      <c r="Q32" s="60">
        <v>21.82</v>
      </c>
      <c r="R32" s="198"/>
      <c r="S32" s="198"/>
      <c r="T32" s="198"/>
      <c r="U32" s="198"/>
    </row>
    <row r="33" spans="1:21" s="12" customFormat="1" x14ac:dyDescent="0.25">
      <c r="A33" s="201" t="s">
        <v>1133</v>
      </c>
      <c r="B33" s="60">
        <v>57.17</v>
      </c>
      <c r="C33" s="60">
        <v>56.96</v>
      </c>
      <c r="D33" s="60">
        <v>76.09</v>
      </c>
      <c r="E33" s="60">
        <v>6.02</v>
      </c>
      <c r="F33" s="60">
        <v>4.5</v>
      </c>
      <c r="G33" s="60">
        <v>55.3</v>
      </c>
      <c r="H33" s="60">
        <v>36.799999999999997</v>
      </c>
      <c r="I33" s="60">
        <v>0.89</v>
      </c>
      <c r="J33" s="60">
        <v>0.25</v>
      </c>
      <c r="K33" s="60">
        <v>258.02999999999997</v>
      </c>
      <c r="L33" s="60">
        <v>15.55</v>
      </c>
      <c r="M33" s="60">
        <v>80.88</v>
      </c>
      <c r="N33" s="60">
        <v>3.9</v>
      </c>
      <c r="O33" s="60">
        <v>0</v>
      </c>
      <c r="P33" s="60">
        <v>1.5</v>
      </c>
      <c r="Q33" s="60">
        <v>21.8</v>
      </c>
      <c r="R33" s="198"/>
      <c r="S33" s="198"/>
      <c r="T33" s="198"/>
      <c r="U33" s="198"/>
    </row>
    <row r="34" spans="1:21" s="12" customFormat="1" x14ac:dyDescent="0.25">
      <c r="A34" s="201" t="s">
        <v>1134</v>
      </c>
      <c r="B34" s="60">
        <v>56.34</v>
      </c>
      <c r="C34" s="60">
        <v>56.86</v>
      </c>
      <c r="D34" s="60">
        <v>75.37</v>
      </c>
      <c r="E34" s="60">
        <v>5.9</v>
      </c>
      <c r="F34" s="60">
        <v>4.5</v>
      </c>
      <c r="G34" s="60">
        <v>55.3</v>
      </c>
      <c r="H34" s="60">
        <v>36.799999999999997</v>
      </c>
      <c r="I34" s="60">
        <v>0.87</v>
      </c>
      <c r="J34" s="60">
        <v>0.14000000000000001</v>
      </c>
      <c r="K34" s="60">
        <v>225.15</v>
      </c>
      <c r="L34" s="60">
        <v>15.52</v>
      </c>
      <c r="M34" s="60">
        <v>78.040000000000006</v>
      </c>
      <c r="N34" s="60">
        <v>5.2</v>
      </c>
      <c r="O34" s="60">
        <v>0</v>
      </c>
      <c r="P34" s="60">
        <v>1.49</v>
      </c>
      <c r="Q34" s="60">
        <v>21.7</v>
      </c>
      <c r="R34" s="198"/>
      <c r="S34" s="198"/>
      <c r="T34" s="198"/>
      <c r="U34" s="198"/>
    </row>
    <row r="35" spans="1:21" s="12" customFormat="1" x14ac:dyDescent="0.25">
      <c r="A35" s="201" t="s">
        <v>1135</v>
      </c>
      <c r="B35" s="60">
        <v>56.38</v>
      </c>
      <c r="C35" s="60">
        <v>56.98</v>
      </c>
      <c r="D35" s="60">
        <v>75.47</v>
      </c>
      <c r="E35" s="60">
        <v>5.62</v>
      </c>
      <c r="F35" s="60">
        <v>4.5199999999999996</v>
      </c>
      <c r="G35" s="60">
        <v>67.48</v>
      </c>
      <c r="H35" s="60">
        <v>36.24</v>
      </c>
      <c r="I35" s="60">
        <v>0.85</v>
      </c>
      <c r="J35" s="60">
        <v>0.18</v>
      </c>
      <c r="K35" s="60">
        <v>237.06</v>
      </c>
      <c r="L35" s="60">
        <v>15.88</v>
      </c>
      <c r="M35" s="60">
        <v>73.33</v>
      </c>
      <c r="N35" s="60">
        <v>11.2</v>
      </c>
      <c r="O35" s="60">
        <v>0</v>
      </c>
      <c r="P35" s="60">
        <v>1.46</v>
      </c>
      <c r="Q35" s="60">
        <v>21.6</v>
      </c>
      <c r="R35" s="198"/>
      <c r="S35" s="198"/>
      <c r="T35" s="198"/>
      <c r="U35" s="198"/>
    </row>
    <row r="36" spans="1:21" s="12" customFormat="1" x14ac:dyDescent="0.25">
      <c r="A36" s="201" t="s">
        <v>1136</v>
      </c>
      <c r="B36" s="60">
        <v>55.21</v>
      </c>
      <c r="C36" s="60">
        <v>57.41</v>
      </c>
      <c r="D36" s="60">
        <v>74.77</v>
      </c>
      <c r="E36" s="60">
        <v>5.75</v>
      </c>
      <c r="F36" s="60">
        <v>4.51</v>
      </c>
      <c r="G36" s="60">
        <v>82.03</v>
      </c>
      <c r="H36" s="60">
        <v>35.56</v>
      </c>
      <c r="I36" s="60">
        <v>0.84</v>
      </c>
      <c r="J36" s="60">
        <v>0.15</v>
      </c>
      <c r="K36" s="60">
        <v>262.31</v>
      </c>
      <c r="L36" s="60">
        <v>16.34</v>
      </c>
      <c r="M36" s="60">
        <v>70.75</v>
      </c>
      <c r="N36" s="60">
        <v>23</v>
      </c>
      <c r="O36" s="60">
        <v>0</v>
      </c>
      <c r="P36" s="60">
        <v>1.42</v>
      </c>
      <c r="Q36" s="60">
        <v>21.54</v>
      </c>
      <c r="R36" s="198"/>
      <c r="S36" s="198"/>
      <c r="T36" s="198"/>
      <c r="U36" s="198"/>
    </row>
    <row r="37" spans="1:21" s="12" customFormat="1" x14ac:dyDescent="0.25">
      <c r="A37" s="201" t="s">
        <v>1137</v>
      </c>
      <c r="B37" s="60">
        <v>53.71</v>
      </c>
      <c r="C37" s="60">
        <v>58.29</v>
      </c>
      <c r="D37" s="60">
        <v>74.05</v>
      </c>
      <c r="E37" s="60">
        <v>5.52</v>
      </c>
      <c r="F37" s="60">
        <v>4.5199999999999996</v>
      </c>
      <c r="G37" s="60">
        <v>82.03</v>
      </c>
      <c r="H37" s="60">
        <v>35.56</v>
      </c>
      <c r="I37" s="60">
        <v>0.83</v>
      </c>
      <c r="J37" s="60">
        <v>0.33</v>
      </c>
      <c r="K37" s="60">
        <v>194.59</v>
      </c>
      <c r="L37" s="60">
        <v>16.579999999999998</v>
      </c>
      <c r="M37" s="60">
        <v>70.45</v>
      </c>
      <c r="N37" s="60">
        <v>35.799999999999997</v>
      </c>
      <c r="O37" s="60">
        <v>0</v>
      </c>
      <c r="P37" s="60">
        <v>1.43</v>
      </c>
      <c r="Q37" s="60">
        <v>21.79</v>
      </c>
      <c r="R37" s="198"/>
      <c r="S37" s="198"/>
      <c r="T37" s="198"/>
      <c r="U37" s="198"/>
    </row>
    <row r="38" spans="1:21" s="12" customFormat="1" x14ac:dyDescent="0.25">
      <c r="A38" s="201" t="s">
        <v>1138</v>
      </c>
      <c r="B38" s="60">
        <v>51.22</v>
      </c>
      <c r="C38" s="60">
        <v>59.22</v>
      </c>
      <c r="D38" s="60">
        <v>72.569999999999993</v>
      </c>
      <c r="E38" s="60">
        <v>5.5</v>
      </c>
      <c r="F38" s="60">
        <v>4.53</v>
      </c>
      <c r="G38" s="60">
        <v>82.03</v>
      </c>
      <c r="H38" s="60">
        <v>35.56</v>
      </c>
      <c r="I38" s="60">
        <v>0.82</v>
      </c>
      <c r="J38" s="60">
        <v>0.18</v>
      </c>
      <c r="K38" s="60">
        <v>219.09</v>
      </c>
      <c r="L38" s="60">
        <v>17.28</v>
      </c>
      <c r="M38" s="60">
        <v>65.260000000000005</v>
      </c>
      <c r="N38" s="60">
        <v>69.099999999999994</v>
      </c>
      <c r="O38" s="60">
        <v>0</v>
      </c>
      <c r="P38" s="60">
        <v>1.47</v>
      </c>
      <c r="Q38" s="60">
        <v>22.34</v>
      </c>
      <c r="R38" s="198"/>
      <c r="S38" s="198"/>
      <c r="T38" s="198"/>
      <c r="U38" s="198"/>
    </row>
    <row r="39" spans="1:21" s="12" customFormat="1" x14ac:dyDescent="0.25">
      <c r="A39" s="201" t="s">
        <v>1139</v>
      </c>
      <c r="B39" s="60">
        <v>48.1</v>
      </c>
      <c r="C39" s="60">
        <v>60.37</v>
      </c>
      <c r="D39" s="60">
        <v>70.7</v>
      </c>
      <c r="E39" s="60">
        <v>6.25</v>
      </c>
      <c r="F39" s="60">
        <v>4.5</v>
      </c>
      <c r="G39" s="60">
        <v>73.209999999999994</v>
      </c>
      <c r="H39" s="60">
        <v>36.5</v>
      </c>
      <c r="I39" s="60">
        <v>0.8</v>
      </c>
      <c r="J39" s="60">
        <v>0.06</v>
      </c>
      <c r="K39" s="60">
        <v>223</v>
      </c>
      <c r="L39" s="60">
        <v>18.75</v>
      </c>
      <c r="M39" s="60">
        <v>60.82</v>
      </c>
      <c r="N39" s="60">
        <v>168.4</v>
      </c>
      <c r="O39" s="60">
        <v>0</v>
      </c>
      <c r="P39" s="60">
        <v>1.42</v>
      </c>
      <c r="Q39" s="60">
        <v>22.09</v>
      </c>
      <c r="R39" s="198"/>
      <c r="S39" s="198"/>
      <c r="T39" s="198"/>
      <c r="U39" s="198"/>
    </row>
    <row r="40" spans="1:21" s="12" customFormat="1" x14ac:dyDescent="0.25">
      <c r="A40" s="201" t="s">
        <v>1140</v>
      </c>
      <c r="B40" s="60">
        <v>46.88</v>
      </c>
      <c r="C40" s="60">
        <v>61.26</v>
      </c>
      <c r="D40" s="60">
        <v>70.209999999999994</v>
      </c>
      <c r="E40" s="60">
        <v>3.84</v>
      </c>
      <c r="F40" s="60">
        <v>4.5</v>
      </c>
      <c r="G40" s="60">
        <v>62.66</v>
      </c>
      <c r="H40" s="60">
        <v>37.61</v>
      </c>
      <c r="I40" s="60">
        <v>0.78</v>
      </c>
      <c r="J40" s="60">
        <v>0.55000000000000004</v>
      </c>
      <c r="K40" s="60">
        <v>172.02</v>
      </c>
      <c r="L40" s="60">
        <v>20.92</v>
      </c>
      <c r="M40" s="60">
        <v>54.44</v>
      </c>
      <c r="N40" s="60">
        <v>233.7</v>
      </c>
      <c r="O40" s="60">
        <v>0</v>
      </c>
      <c r="P40" s="60">
        <v>1.42</v>
      </c>
      <c r="Q40" s="60">
        <v>21.8</v>
      </c>
      <c r="R40" s="198"/>
      <c r="S40" s="198"/>
      <c r="T40" s="198"/>
      <c r="U40" s="198"/>
    </row>
    <row r="41" spans="1:21" s="12" customFormat="1" x14ac:dyDescent="0.25">
      <c r="A41" s="201" t="s">
        <v>1141</v>
      </c>
      <c r="B41" s="60">
        <v>45.13</v>
      </c>
      <c r="C41" s="60">
        <v>61.98</v>
      </c>
      <c r="D41" s="60">
        <v>69.209999999999994</v>
      </c>
      <c r="E41" s="60">
        <v>5.84</v>
      </c>
      <c r="F41" s="60">
        <v>4.5</v>
      </c>
      <c r="G41" s="60">
        <v>62.66</v>
      </c>
      <c r="H41" s="60">
        <v>37.61</v>
      </c>
      <c r="I41" s="60">
        <v>0.76</v>
      </c>
      <c r="J41" s="60">
        <v>0.69</v>
      </c>
      <c r="K41" s="60">
        <v>190.27</v>
      </c>
      <c r="L41" s="60">
        <v>20.76</v>
      </c>
      <c r="M41" s="60">
        <v>55.58</v>
      </c>
      <c r="N41" s="60">
        <v>281.89999999999998</v>
      </c>
      <c r="O41" s="60">
        <v>0</v>
      </c>
      <c r="P41" s="60">
        <v>1.4</v>
      </c>
      <c r="Q41" s="60">
        <v>21.99</v>
      </c>
      <c r="R41" s="198"/>
      <c r="S41" s="198"/>
      <c r="T41" s="198"/>
      <c r="U41" s="198"/>
    </row>
    <row r="42" spans="1:21" s="12" customFormat="1" x14ac:dyDescent="0.25">
      <c r="A42" s="201" t="s">
        <v>1142</v>
      </c>
      <c r="B42" s="60">
        <v>41.2</v>
      </c>
      <c r="C42" s="60">
        <v>62.76</v>
      </c>
      <c r="D42" s="60">
        <v>66.489999999999995</v>
      </c>
      <c r="E42" s="60">
        <v>5.58</v>
      </c>
      <c r="F42" s="60">
        <v>4.5</v>
      </c>
      <c r="G42" s="60">
        <v>62.66</v>
      </c>
      <c r="H42" s="60">
        <v>37.61</v>
      </c>
      <c r="I42" s="60">
        <v>0.76</v>
      </c>
      <c r="J42" s="60">
        <v>0.47</v>
      </c>
      <c r="K42" s="60">
        <v>187.06</v>
      </c>
      <c r="L42" s="60">
        <v>21.57</v>
      </c>
      <c r="M42" s="60">
        <v>53.66</v>
      </c>
      <c r="N42" s="60">
        <v>322.5</v>
      </c>
      <c r="O42" s="60">
        <v>0</v>
      </c>
      <c r="P42" s="60">
        <v>1.36</v>
      </c>
      <c r="Q42" s="60">
        <v>21.68</v>
      </c>
      <c r="R42" s="198"/>
      <c r="S42" s="198"/>
      <c r="T42" s="198"/>
      <c r="U42" s="198"/>
    </row>
    <row r="43" spans="1:21" s="12" customFormat="1" x14ac:dyDescent="0.25">
      <c r="A43" s="201" t="s">
        <v>1143</v>
      </c>
      <c r="B43" s="60">
        <v>36.9</v>
      </c>
      <c r="C43" s="60">
        <v>63.39</v>
      </c>
      <c r="D43" s="60">
        <v>63.38</v>
      </c>
      <c r="E43" s="60">
        <v>5.65</v>
      </c>
      <c r="F43" s="60">
        <v>4.5</v>
      </c>
      <c r="G43" s="60">
        <v>63</v>
      </c>
      <c r="H43" s="60">
        <v>35.340000000000003</v>
      </c>
      <c r="I43" s="60">
        <v>0.74</v>
      </c>
      <c r="J43" s="60">
        <v>1.1200000000000001</v>
      </c>
      <c r="K43" s="60">
        <v>166.91</v>
      </c>
      <c r="L43" s="60">
        <v>22.47</v>
      </c>
      <c r="M43" s="60">
        <v>51.01</v>
      </c>
      <c r="N43" s="60">
        <v>366.2</v>
      </c>
      <c r="O43" s="60">
        <v>0</v>
      </c>
      <c r="P43" s="60">
        <v>1.33</v>
      </c>
      <c r="Q43" s="60">
        <v>21.24</v>
      </c>
      <c r="R43" s="198"/>
      <c r="S43" s="198"/>
      <c r="T43" s="198"/>
      <c r="U43" s="198"/>
    </row>
    <row r="44" spans="1:21" s="12" customFormat="1" x14ac:dyDescent="0.25">
      <c r="A44" s="201" t="s">
        <v>1144</v>
      </c>
      <c r="B44" s="60">
        <v>32.869999999999997</v>
      </c>
      <c r="C44" s="60">
        <v>64.72</v>
      </c>
      <c r="D44" s="60">
        <v>60.88</v>
      </c>
      <c r="E44" s="60">
        <v>5.66</v>
      </c>
      <c r="F44" s="60">
        <v>4.5</v>
      </c>
      <c r="G44" s="60">
        <v>63.41</v>
      </c>
      <c r="H44" s="60">
        <v>32.630000000000003</v>
      </c>
      <c r="I44" s="60">
        <v>0.73</v>
      </c>
      <c r="J44" s="60">
        <v>0.22</v>
      </c>
      <c r="K44" s="60">
        <v>159.56</v>
      </c>
      <c r="L44" s="60">
        <v>23.95</v>
      </c>
      <c r="M44" s="60">
        <v>45.37</v>
      </c>
      <c r="N44" s="60">
        <v>393.9</v>
      </c>
      <c r="O44" s="60">
        <v>0</v>
      </c>
      <c r="P44" s="60">
        <v>1.3</v>
      </c>
      <c r="Q44" s="60">
        <v>20.61</v>
      </c>
      <c r="R44" s="198"/>
      <c r="S44" s="198"/>
      <c r="T44" s="198"/>
      <c r="U44" s="198"/>
    </row>
    <row r="45" spans="1:21" s="12" customFormat="1" x14ac:dyDescent="0.25">
      <c r="A45" s="201" t="s">
        <v>1145</v>
      </c>
      <c r="B45" s="60">
        <v>29.45</v>
      </c>
      <c r="C45" s="60">
        <v>65.95</v>
      </c>
      <c r="D45" s="60">
        <v>58.83</v>
      </c>
      <c r="E45" s="60">
        <v>5.71</v>
      </c>
      <c r="F45" s="60">
        <v>4.5</v>
      </c>
      <c r="G45" s="60">
        <v>63.41</v>
      </c>
      <c r="H45" s="60">
        <v>32.630000000000003</v>
      </c>
      <c r="I45" s="60">
        <v>0.72</v>
      </c>
      <c r="J45" s="60">
        <v>0.17</v>
      </c>
      <c r="K45" s="60">
        <v>153.96</v>
      </c>
      <c r="L45" s="60">
        <v>24.67</v>
      </c>
      <c r="M45" s="60">
        <v>42.01</v>
      </c>
      <c r="N45" s="60">
        <v>424.4</v>
      </c>
      <c r="O45" s="60">
        <v>0</v>
      </c>
      <c r="P45" s="60">
        <v>1.28</v>
      </c>
      <c r="Q45" s="60">
        <v>20.2</v>
      </c>
      <c r="R45" s="198"/>
      <c r="S45" s="198"/>
      <c r="T45" s="198"/>
      <c r="U45" s="198"/>
    </row>
    <row r="46" spans="1:21" s="12" customFormat="1" x14ac:dyDescent="0.25">
      <c r="A46" s="201" t="s">
        <v>1146</v>
      </c>
      <c r="B46" s="60">
        <v>26.41</v>
      </c>
      <c r="C46" s="60">
        <v>67.09</v>
      </c>
      <c r="D46" s="60">
        <v>57.01</v>
      </c>
      <c r="E46" s="60">
        <v>5.49</v>
      </c>
      <c r="F46" s="60">
        <v>4.51</v>
      </c>
      <c r="G46" s="60">
        <v>63.41</v>
      </c>
      <c r="H46" s="60">
        <v>32.630000000000003</v>
      </c>
      <c r="I46" s="60">
        <v>0.71</v>
      </c>
      <c r="J46" s="60">
        <v>0.12</v>
      </c>
      <c r="K46" s="60">
        <v>157.52000000000001</v>
      </c>
      <c r="L46" s="60">
        <v>26.66</v>
      </c>
      <c r="M46" s="60">
        <v>37.049999999999997</v>
      </c>
      <c r="N46" s="60">
        <v>454.4</v>
      </c>
      <c r="O46" s="60">
        <v>0</v>
      </c>
      <c r="P46" s="60">
        <v>1.27</v>
      </c>
      <c r="Q46" s="60">
        <v>19.899999999999999</v>
      </c>
      <c r="R46" s="198"/>
      <c r="S46" s="198"/>
      <c r="T46" s="198"/>
      <c r="U46" s="198"/>
    </row>
    <row r="47" spans="1:21" s="12" customFormat="1" x14ac:dyDescent="0.25">
      <c r="A47" s="201" t="s">
        <v>1147</v>
      </c>
      <c r="B47" s="60">
        <v>24.2</v>
      </c>
      <c r="C47" s="60">
        <v>68.040000000000006</v>
      </c>
      <c r="D47" s="60">
        <v>55.77</v>
      </c>
      <c r="E47" s="60">
        <v>5.73</v>
      </c>
      <c r="F47" s="60">
        <v>4.53</v>
      </c>
      <c r="G47" s="60">
        <v>63.7</v>
      </c>
      <c r="H47" s="60">
        <v>33.22</v>
      </c>
      <c r="I47" s="60">
        <v>0.7</v>
      </c>
      <c r="J47" s="60">
        <v>0.35</v>
      </c>
      <c r="K47" s="60">
        <v>3.53</v>
      </c>
      <c r="L47" s="60">
        <v>29.41</v>
      </c>
      <c r="M47" s="60">
        <v>32</v>
      </c>
      <c r="N47" s="60">
        <v>465.6</v>
      </c>
      <c r="O47" s="60">
        <v>0</v>
      </c>
      <c r="P47" s="60">
        <v>1.26</v>
      </c>
      <c r="Q47" s="60">
        <v>19.96</v>
      </c>
      <c r="R47" s="198"/>
      <c r="S47" s="198"/>
      <c r="T47" s="198"/>
      <c r="U47" s="198"/>
    </row>
    <row r="48" spans="1:21" s="12" customFormat="1" x14ac:dyDescent="0.25">
      <c r="A48" s="201" t="s">
        <v>1148</v>
      </c>
      <c r="B48" s="60">
        <v>22.96</v>
      </c>
      <c r="C48" s="60">
        <v>69.12</v>
      </c>
      <c r="D48" s="60">
        <v>55.37</v>
      </c>
      <c r="E48" s="60">
        <v>5.77</v>
      </c>
      <c r="F48" s="60">
        <v>4.63</v>
      </c>
      <c r="G48" s="60">
        <v>64.040000000000006</v>
      </c>
      <c r="H48" s="60">
        <v>33.92</v>
      </c>
      <c r="I48" s="60">
        <v>0.7</v>
      </c>
      <c r="J48" s="60">
        <v>0.26</v>
      </c>
      <c r="K48" s="60">
        <v>4.74</v>
      </c>
      <c r="L48" s="60">
        <v>30.81</v>
      </c>
      <c r="M48" s="60">
        <v>27.13</v>
      </c>
      <c r="N48" s="60">
        <v>488.7</v>
      </c>
      <c r="O48" s="60">
        <v>0</v>
      </c>
      <c r="P48" s="60">
        <v>1.26</v>
      </c>
      <c r="Q48" s="60">
        <v>20.41</v>
      </c>
      <c r="R48" s="198"/>
      <c r="S48" s="198"/>
      <c r="T48" s="198"/>
      <c r="U48" s="198"/>
    </row>
    <row r="49" spans="1:21" s="12" customFormat="1" x14ac:dyDescent="0.25">
      <c r="A49" s="201" t="s">
        <v>1149</v>
      </c>
      <c r="B49" s="60">
        <v>20.8</v>
      </c>
      <c r="C49" s="60">
        <v>68.87</v>
      </c>
      <c r="D49" s="60">
        <v>52.97</v>
      </c>
      <c r="E49" s="60">
        <v>6.67</v>
      </c>
      <c r="F49" s="60">
        <v>11.24</v>
      </c>
      <c r="G49" s="60">
        <v>64.040000000000006</v>
      </c>
      <c r="H49" s="60">
        <v>33.92</v>
      </c>
      <c r="I49" s="60">
        <v>0.7</v>
      </c>
      <c r="J49" s="60">
        <v>0.49</v>
      </c>
      <c r="K49" s="60">
        <v>2.46</v>
      </c>
      <c r="L49" s="60">
        <v>31.95</v>
      </c>
      <c r="M49" s="60">
        <v>25.88</v>
      </c>
      <c r="N49" s="60">
        <v>507</v>
      </c>
      <c r="O49" s="60">
        <v>0</v>
      </c>
      <c r="P49" s="60">
        <v>1.21</v>
      </c>
      <c r="Q49" s="60">
        <v>7.82</v>
      </c>
      <c r="R49" s="198"/>
      <c r="S49" s="198"/>
      <c r="T49" s="198"/>
      <c r="U49" s="198"/>
    </row>
    <row r="50" spans="1:21" s="12" customFormat="1" x14ac:dyDescent="0.25">
      <c r="A50" s="201" t="s">
        <v>1150</v>
      </c>
      <c r="B50" s="60">
        <v>54.99</v>
      </c>
      <c r="C50" s="60">
        <v>15.5</v>
      </c>
      <c r="D50" s="60">
        <v>52.65</v>
      </c>
      <c r="E50" s="60">
        <v>6.55</v>
      </c>
      <c r="F50" s="60">
        <v>20.16</v>
      </c>
      <c r="G50" s="60">
        <v>64.040000000000006</v>
      </c>
      <c r="H50" s="60">
        <v>33.92</v>
      </c>
      <c r="I50" s="60">
        <v>0.68</v>
      </c>
      <c r="J50" s="60">
        <v>0.67</v>
      </c>
      <c r="K50" s="60">
        <v>19.84</v>
      </c>
      <c r="L50" s="60">
        <v>32.590000000000003</v>
      </c>
      <c r="M50" s="60">
        <v>23.99</v>
      </c>
      <c r="N50" s="60">
        <v>523.5</v>
      </c>
      <c r="O50" s="60">
        <v>0</v>
      </c>
      <c r="P50" s="60">
        <v>1.1299999999999999</v>
      </c>
      <c r="Q50" s="6" t="s">
        <v>42</v>
      </c>
      <c r="R50" s="198"/>
      <c r="S50" s="198"/>
      <c r="T50" s="198"/>
      <c r="U50" s="198"/>
    </row>
    <row r="51" spans="1:21" s="12" customFormat="1" x14ac:dyDescent="0.25">
      <c r="A51" s="201" t="s">
        <v>1151</v>
      </c>
      <c r="B51" s="60">
        <v>82.65</v>
      </c>
      <c r="C51" s="60">
        <v>22.47</v>
      </c>
      <c r="D51" s="60">
        <v>78.680000000000007</v>
      </c>
      <c r="E51" s="60">
        <v>5.76</v>
      </c>
      <c r="F51" s="60">
        <v>14.43</v>
      </c>
      <c r="G51" s="60">
        <v>60.58</v>
      </c>
      <c r="H51" s="60">
        <v>31.28</v>
      </c>
      <c r="I51" s="60">
        <v>0.6</v>
      </c>
      <c r="J51" s="60">
        <v>0.18</v>
      </c>
      <c r="K51" s="60">
        <v>106.91</v>
      </c>
      <c r="L51" s="60">
        <v>30.92</v>
      </c>
      <c r="M51" s="60">
        <v>25.44</v>
      </c>
      <c r="N51" s="60">
        <v>535.4</v>
      </c>
      <c r="O51" s="60">
        <v>0</v>
      </c>
      <c r="P51" s="60">
        <v>1.1200000000000001</v>
      </c>
      <c r="Q51" s="60">
        <v>14.3</v>
      </c>
      <c r="R51" s="198"/>
      <c r="S51" s="198"/>
      <c r="T51" s="198"/>
      <c r="U51" s="198"/>
    </row>
    <row r="52" spans="1:21" s="12" customFormat="1" x14ac:dyDescent="0.25">
      <c r="A52" s="201" t="s">
        <v>1152</v>
      </c>
      <c r="B52" s="60">
        <v>94.04</v>
      </c>
      <c r="C52" s="60">
        <v>25.7</v>
      </c>
      <c r="D52" s="60">
        <v>89.59</v>
      </c>
      <c r="E52" s="60">
        <v>4.55</v>
      </c>
      <c r="F52" s="60">
        <v>8.43</v>
      </c>
      <c r="G52" s="60">
        <v>56.44</v>
      </c>
      <c r="H52" s="60">
        <v>28.14</v>
      </c>
      <c r="I52" s="60">
        <v>0.54</v>
      </c>
      <c r="J52" s="60">
        <v>0.41</v>
      </c>
      <c r="K52" s="60">
        <v>1.92</v>
      </c>
      <c r="L52" s="60">
        <v>32.51</v>
      </c>
      <c r="M52" s="60">
        <v>23.69</v>
      </c>
      <c r="N52" s="60">
        <v>549.70000000000005</v>
      </c>
      <c r="O52" s="60">
        <v>0</v>
      </c>
      <c r="P52" s="60">
        <v>1.1200000000000001</v>
      </c>
      <c r="Q52" s="60">
        <v>15.28</v>
      </c>
      <c r="R52" s="198"/>
      <c r="S52" s="198"/>
      <c r="T52" s="198"/>
      <c r="U52" s="198"/>
    </row>
    <row r="53" spans="1:21" s="12" customFormat="1" x14ac:dyDescent="0.25">
      <c r="A53" s="201" t="s">
        <v>1153</v>
      </c>
      <c r="B53" s="60">
        <v>98.96</v>
      </c>
      <c r="C53" s="60">
        <v>27</v>
      </c>
      <c r="D53" s="60">
        <v>94.25</v>
      </c>
      <c r="E53" s="60">
        <v>4.5</v>
      </c>
      <c r="F53" s="60">
        <v>8.82</v>
      </c>
      <c r="G53" s="60">
        <v>56.44</v>
      </c>
      <c r="H53" s="60">
        <v>28.14</v>
      </c>
      <c r="I53" s="60">
        <v>0.56000000000000005</v>
      </c>
      <c r="J53" s="60">
        <v>0.14000000000000001</v>
      </c>
      <c r="K53" s="60">
        <v>62.29</v>
      </c>
      <c r="L53" s="60">
        <v>33.020000000000003</v>
      </c>
      <c r="M53" s="60">
        <v>22.66</v>
      </c>
      <c r="N53" s="60">
        <v>573.4</v>
      </c>
      <c r="O53" s="60">
        <v>0</v>
      </c>
      <c r="P53" s="60">
        <v>1.1200000000000001</v>
      </c>
      <c r="Q53" s="60">
        <v>16.47</v>
      </c>
      <c r="R53" s="198"/>
      <c r="S53" s="198"/>
      <c r="T53" s="198"/>
      <c r="U53" s="198"/>
    </row>
    <row r="54" spans="1:21" s="12" customFormat="1" x14ac:dyDescent="0.25">
      <c r="A54" s="201" t="s">
        <v>1154</v>
      </c>
      <c r="B54" s="60">
        <v>100.82</v>
      </c>
      <c r="C54" s="60">
        <v>27.6</v>
      </c>
      <c r="D54" s="60">
        <v>96.08</v>
      </c>
      <c r="E54" s="60">
        <v>4.1500000000000004</v>
      </c>
      <c r="F54" s="60">
        <v>8.92</v>
      </c>
      <c r="G54" s="60">
        <v>56.44</v>
      </c>
      <c r="H54" s="60">
        <v>28.14</v>
      </c>
      <c r="I54" s="60">
        <v>0.56999999999999995</v>
      </c>
      <c r="J54" s="60">
        <v>0.28000000000000003</v>
      </c>
      <c r="K54" s="60">
        <v>23.19</v>
      </c>
      <c r="L54" s="60">
        <v>33.42</v>
      </c>
      <c r="M54" s="60">
        <v>21.29</v>
      </c>
      <c r="N54" s="60">
        <v>572.1</v>
      </c>
      <c r="O54" s="60">
        <v>0</v>
      </c>
      <c r="P54" s="60">
        <v>1.1000000000000001</v>
      </c>
      <c r="Q54" s="60">
        <v>17</v>
      </c>
      <c r="R54" s="198"/>
      <c r="S54" s="198"/>
      <c r="T54" s="198"/>
      <c r="U54" s="198"/>
    </row>
    <row r="55" spans="1:21" s="12" customFormat="1" x14ac:dyDescent="0.25">
      <c r="A55" s="201" t="s">
        <v>1155</v>
      </c>
      <c r="B55" s="60">
        <v>101.39</v>
      </c>
      <c r="C55" s="60">
        <v>27.8</v>
      </c>
      <c r="D55" s="60">
        <v>96.65</v>
      </c>
      <c r="E55" s="60">
        <v>4.38</v>
      </c>
      <c r="F55" s="60">
        <v>17.29</v>
      </c>
      <c r="G55" s="60">
        <v>50.71</v>
      </c>
      <c r="H55" s="60">
        <v>28.98</v>
      </c>
      <c r="I55" s="60">
        <v>0.56999999999999995</v>
      </c>
      <c r="J55" s="60">
        <v>0.51</v>
      </c>
      <c r="K55" s="60">
        <v>16.059999999999999</v>
      </c>
      <c r="L55" s="60">
        <v>33.83</v>
      </c>
      <c r="M55" s="60">
        <v>19.29</v>
      </c>
      <c r="N55" s="60">
        <v>588.1</v>
      </c>
      <c r="O55" s="60">
        <v>0</v>
      </c>
      <c r="P55" s="60">
        <v>1.03</v>
      </c>
      <c r="Q55" s="60">
        <v>17.329999999999998</v>
      </c>
      <c r="R55" s="198"/>
      <c r="S55" s="198"/>
      <c r="T55" s="198"/>
      <c r="U55" s="198"/>
    </row>
    <row r="56" spans="1:21" s="12" customFormat="1" x14ac:dyDescent="0.25">
      <c r="A56" s="201" t="s">
        <v>1156</v>
      </c>
      <c r="B56" s="60">
        <v>101.78</v>
      </c>
      <c r="C56" s="60">
        <v>27.73</v>
      </c>
      <c r="D56" s="60">
        <v>96.92</v>
      </c>
      <c r="E56" s="60">
        <v>3.87</v>
      </c>
      <c r="F56" s="60">
        <v>17.11</v>
      </c>
      <c r="G56" s="60">
        <v>43.87</v>
      </c>
      <c r="H56" s="60">
        <v>29.99</v>
      </c>
      <c r="I56" s="60">
        <v>0.56999999999999995</v>
      </c>
      <c r="J56" s="60">
        <v>0.17</v>
      </c>
      <c r="K56" s="60">
        <v>91.43</v>
      </c>
      <c r="L56" s="60">
        <v>33.01</v>
      </c>
      <c r="M56" s="60">
        <v>19.96</v>
      </c>
      <c r="N56" s="60">
        <v>603.6</v>
      </c>
      <c r="O56" s="60">
        <v>0</v>
      </c>
      <c r="P56" s="60">
        <v>0.97</v>
      </c>
      <c r="Q56" s="60">
        <v>17.43</v>
      </c>
      <c r="R56" s="198"/>
      <c r="S56" s="198"/>
      <c r="T56" s="198"/>
      <c r="U56" s="198"/>
    </row>
    <row r="57" spans="1:21" s="12" customFormat="1" x14ac:dyDescent="0.25">
      <c r="A57" s="201" t="s">
        <v>1157</v>
      </c>
      <c r="B57" s="60">
        <v>101.96</v>
      </c>
      <c r="C57" s="60">
        <v>27.83</v>
      </c>
      <c r="D57" s="60">
        <v>97.12</v>
      </c>
      <c r="E57" s="60">
        <v>5.79</v>
      </c>
      <c r="F57" s="60">
        <v>13.35</v>
      </c>
      <c r="G57" s="60">
        <v>43.87</v>
      </c>
      <c r="H57" s="60">
        <v>29.99</v>
      </c>
      <c r="I57" s="60">
        <v>0.56000000000000005</v>
      </c>
      <c r="J57" s="60">
        <v>0.39</v>
      </c>
      <c r="K57" s="60">
        <v>4.7699999999999996</v>
      </c>
      <c r="L57" s="60">
        <v>34.159999999999997</v>
      </c>
      <c r="M57" s="60">
        <v>19.079999999999998</v>
      </c>
      <c r="N57" s="60">
        <v>599.1</v>
      </c>
      <c r="O57" s="60">
        <v>0</v>
      </c>
      <c r="P57" s="60">
        <v>0.95</v>
      </c>
      <c r="Q57" s="60">
        <v>17.45</v>
      </c>
      <c r="R57" s="198"/>
      <c r="S57" s="198"/>
      <c r="T57" s="198"/>
      <c r="U57" s="198"/>
    </row>
    <row r="58" spans="1:21" s="12" customFormat="1" x14ac:dyDescent="0.25">
      <c r="A58" s="201" t="s">
        <v>1158</v>
      </c>
      <c r="B58" s="60">
        <v>91.94</v>
      </c>
      <c r="C58" s="60">
        <v>37.549999999999997</v>
      </c>
      <c r="D58" s="60">
        <v>104.78</v>
      </c>
      <c r="E58" s="60">
        <v>5.47</v>
      </c>
      <c r="F58" s="60">
        <v>13.47</v>
      </c>
      <c r="G58" s="60">
        <v>43.87</v>
      </c>
      <c r="H58" s="60">
        <v>29.99</v>
      </c>
      <c r="I58" s="60">
        <v>0.55000000000000004</v>
      </c>
      <c r="J58" s="60">
        <v>0.06</v>
      </c>
      <c r="K58" s="60">
        <v>338.05</v>
      </c>
      <c r="L58" s="60">
        <v>33.06</v>
      </c>
      <c r="M58" s="60">
        <v>17.61</v>
      </c>
      <c r="N58" s="60">
        <v>617</v>
      </c>
      <c r="O58" s="60">
        <v>0</v>
      </c>
      <c r="P58" s="60">
        <v>0.92</v>
      </c>
      <c r="Q58" s="60">
        <v>17.170000000000002</v>
      </c>
      <c r="R58" s="198"/>
      <c r="S58" s="198"/>
      <c r="T58" s="198"/>
      <c r="U58" s="198"/>
    </row>
    <row r="59" spans="1:21" s="12" customFormat="1" x14ac:dyDescent="0.25">
      <c r="A59" s="201" t="s">
        <v>1159</v>
      </c>
      <c r="B59" s="60">
        <v>0.47</v>
      </c>
      <c r="C59" s="60">
        <v>70.58</v>
      </c>
      <c r="D59" s="60">
        <v>39.32</v>
      </c>
      <c r="E59" s="60">
        <v>5.33</v>
      </c>
      <c r="F59" s="60">
        <v>16.149999999999999</v>
      </c>
      <c r="G59" s="60">
        <v>42.9</v>
      </c>
      <c r="H59" s="60">
        <v>27.56</v>
      </c>
      <c r="I59" s="60">
        <v>0</v>
      </c>
      <c r="J59" s="60">
        <v>0.54</v>
      </c>
      <c r="K59" s="60">
        <v>348.07</v>
      </c>
      <c r="L59" s="60">
        <v>35.4</v>
      </c>
      <c r="M59" s="60">
        <v>16.03</v>
      </c>
      <c r="N59" s="60">
        <v>603.9</v>
      </c>
      <c r="O59" s="60">
        <v>0</v>
      </c>
      <c r="P59" s="60">
        <v>0.94</v>
      </c>
      <c r="Q59" s="60">
        <v>15.37</v>
      </c>
      <c r="R59" s="198"/>
      <c r="S59" s="198"/>
      <c r="T59" s="198"/>
      <c r="U59" s="198"/>
    </row>
    <row r="60" spans="1:21" s="12" customFormat="1" x14ac:dyDescent="0.25">
      <c r="A60" s="201" t="s">
        <v>1160</v>
      </c>
      <c r="B60" s="60">
        <v>0.82</v>
      </c>
      <c r="C60" s="60">
        <v>69.17</v>
      </c>
      <c r="D60" s="60">
        <v>38.83</v>
      </c>
      <c r="E60" s="60">
        <v>5.2</v>
      </c>
      <c r="F60" s="60">
        <v>20.23</v>
      </c>
      <c r="G60" s="60">
        <v>41.75</v>
      </c>
      <c r="H60" s="60">
        <v>24.66</v>
      </c>
      <c r="I60" s="60">
        <v>0.19</v>
      </c>
      <c r="J60" s="60">
        <v>0.6</v>
      </c>
      <c r="K60" s="60">
        <v>352.36</v>
      </c>
      <c r="L60" s="60">
        <v>36.29</v>
      </c>
      <c r="M60" s="60">
        <v>14.96</v>
      </c>
      <c r="N60" s="60">
        <v>584.20000000000005</v>
      </c>
      <c r="O60" s="60">
        <v>0</v>
      </c>
      <c r="P60" s="60">
        <v>0.84</v>
      </c>
      <c r="Q60" s="60">
        <v>11.77</v>
      </c>
      <c r="R60" s="198"/>
      <c r="S60" s="198"/>
      <c r="T60" s="198"/>
      <c r="U60" s="198"/>
    </row>
    <row r="61" spans="1:21" s="12" customFormat="1" x14ac:dyDescent="0.25">
      <c r="A61" s="201" t="s">
        <v>1161</v>
      </c>
      <c r="B61" s="60">
        <v>1.7</v>
      </c>
      <c r="C61" s="60">
        <v>57.68</v>
      </c>
      <c r="D61" s="60">
        <v>33.200000000000003</v>
      </c>
      <c r="E61" s="60">
        <v>6.23</v>
      </c>
      <c r="F61" s="60">
        <v>23.91</v>
      </c>
      <c r="G61" s="60">
        <v>41.75</v>
      </c>
      <c r="H61" s="60">
        <v>24.66</v>
      </c>
      <c r="I61" s="60">
        <v>0.56999999999999995</v>
      </c>
      <c r="J61" s="60">
        <v>0.97</v>
      </c>
      <c r="K61" s="60">
        <v>3.82</v>
      </c>
      <c r="L61" s="60">
        <v>36.89</v>
      </c>
      <c r="M61" s="60">
        <v>14.64</v>
      </c>
      <c r="N61" s="60">
        <v>559.9</v>
      </c>
      <c r="O61" s="60">
        <v>0</v>
      </c>
      <c r="P61" s="60">
        <v>0.57999999999999996</v>
      </c>
      <c r="Q61" s="60">
        <v>2.4300000000000002</v>
      </c>
      <c r="R61" s="198"/>
      <c r="S61" s="198"/>
      <c r="T61" s="198"/>
      <c r="U61" s="198"/>
    </row>
    <row r="62" spans="1:21" s="12" customFormat="1" x14ac:dyDescent="0.25">
      <c r="A62" s="201" t="s">
        <v>1162</v>
      </c>
      <c r="B62" s="60">
        <v>2.4900000000000002</v>
      </c>
      <c r="C62" s="60">
        <v>61.66</v>
      </c>
      <c r="D62" s="60">
        <v>36.03</v>
      </c>
      <c r="E62" s="60">
        <v>5.95</v>
      </c>
      <c r="F62" s="60">
        <v>14.3</v>
      </c>
      <c r="G62" s="60">
        <v>41.75</v>
      </c>
      <c r="H62" s="60">
        <v>24.66</v>
      </c>
      <c r="I62" s="60">
        <v>0.54</v>
      </c>
      <c r="J62" s="60">
        <v>0.6</v>
      </c>
      <c r="K62" s="60">
        <v>6.46</v>
      </c>
      <c r="L62" s="60">
        <v>36.520000000000003</v>
      </c>
      <c r="M62" s="60">
        <v>13.47</v>
      </c>
      <c r="N62" s="60">
        <v>532.6</v>
      </c>
      <c r="O62" s="60">
        <v>0</v>
      </c>
      <c r="P62" s="60">
        <v>0.63</v>
      </c>
      <c r="Q62" s="60">
        <v>2.68</v>
      </c>
      <c r="R62" s="198"/>
      <c r="S62" s="198"/>
      <c r="T62" s="198"/>
      <c r="U62" s="198"/>
    </row>
    <row r="63" spans="1:21" s="12" customFormat="1" x14ac:dyDescent="0.25">
      <c r="A63" s="201" t="s">
        <v>1163</v>
      </c>
      <c r="B63" s="60">
        <v>1.92</v>
      </c>
      <c r="C63" s="60">
        <v>62.25</v>
      </c>
      <c r="D63" s="60">
        <v>35.89</v>
      </c>
      <c r="E63" s="60">
        <v>5.78</v>
      </c>
      <c r="F63" s="60">
        <v>12.39</v>
      </c>
      <c r="G63" s="60">
        <v>40.25</v>
      </c>
      <c r="H63" s="60">
        <v>22.52</v>
      </c>
      <c r="I63" s="60">
        <v>0.52</v>
      </c>
      <c r="J63" s="60">
        <v>0.17</v>
      </c>
      <c r="K63" s="60">
        <v>350.13</v>
      </c>
      <c r="L63" s="60">
        <v>34.53</v>
      </c>
      <c r="M63" s="60">
        <v>13.93</v>
      </c>
      <c r="N63" s="60">
        <v>510</v>
      </c>
      <c r="O63" s="60">
        <v>0</v>
      </c>
      <c r="P63" s="60">
        <v>0.63</v>
      </c>
      <c r="Q63" s="60">
        <v>3.76</v>
      </c>
      <c r="R63" s="198"/>
      <c r="S63" s="198"/>
      <c r="T63" s="198"/>
      <c r="U63" s="198"/>
    </row>
    <row r="64" spans="1:21" s="12" customFormat="1" x14ac:dyDescent="0.25">
      <c r="A64" s="201" t="s">
        <v>1164</v>
      </c>
      <c r="B64" s="60">
        <v>1.21</v>
      </c>
      <c r="C64" s="60">
        <v>60.08</v>
      </c>
      <c r="D64" s="60">
        <v>34.130000000000003</v>
      </c>
      <c r="E64" s="60">
        <v>5.76</v>
      </c>
      <c r="F64" s="60">
        <v>9.64</v>
      </c>
      <c r="G64" s="60">
        <v>38.46</v>
      </c>
      <c r="H64" s="60">
        <v>19.97</v>
      </c>
      <c r="I64" s="60">
        <v>0.51</v>
      </c>
      <c r="J64" s="60">
        <v>0.42</v>
      </c>
      <c r="K64" s="60">
        <v>346.21</v>
      </c>
      <c r="L64" s="60">
        <v>34.99</v>
      </c>
      <c r="M64" s="60">
        <v>14.18</v>
      </c>
      <c r="N64" s="60">
        <v>474.9</v>
      </c>
      <c r="O64" s="60">
        <v>0</v>
      </c>
      <c r="P64" s="60">
        <v>0.61</v>
      </c>
      <c r="Q64" s="60">
        <v>6.11</v>
      </c>
      <c r="R64" s="198"/>
      <c r="S64" s="198"/>
      <c r="T64" s="198"/>
      <c r="U64" s="198"/>
    </row>
    <row r="65" spans="1:21" s="12" customFormat="1" x14ac:dyDescent="0.25">
      <c r="A65" s="201" t="s">
        <v>1165</v>
      </c>
      <c r="B65" s="60">
        <v>1.45</v>
      </c>
      <c r="C65" s="60">
        <v>59.42</v>
      </c>
      <c r="D65" s="60">
        <v>33.96</v>
      </c>
      <c r="E65" s="60">
        <v>5.56</v>
      </c>
      <c r="F65" s="60">
        <v>7.77</v>
      </c>
      <c r="G65" s="60">
        <v>38.46</v>
      </c>
      <c r="H65" s="60">
        <v>19.97</v>
      </c>
      <c r="I65" s="60">
        <v>0.51</v>
      </c>
      <c r="J65" s="60">
        <v>0.69</v>
      </c>
      <c r="K65" s="60">
        <v>355.45</v>
      </c>
      <c r="L65" s="60">
        <v>35.64</v>
      </c>
      <c r="M65" s="60">
        <v>13.63</v>
      </c>
      <c r="N65" s="60">
        <v>472.6</v>
      </c>
      <c r="O65" s="60">
        <v>0</v>
      </c>
      <c r="P65" s="60">
        <v>0.61</v>
      </c>
      <c r="Q65" s="60">
        <v>8.6300000000000008</v>
      </c>
      <c r="R65" s="198"/>
      <c r="S65" s="198"/>
      <c r="T65" s="198"/>
      <c r="U65" s="198"/>
    </row>
    <row r="66" spans="1:21" s="12" customFormat="1" x14ac:dyDescent="0.25">
      <c r="A66" s="201" t="s">
        <v>1166</v>
      </c>
      <c r="B66" s="60">
        <v>2.21</v>
      </c>
      <c r="C66" s="60">
        <v>58.59</v>
      </c>
      <c r="D66" s="60">
        <v>34.11</v>
      </c>
      <c r="E66" s="60">
        <v>5.79</v>
      </c>
      <c r="F66" s="60">
        <v>7.4</v>
      </c>
      <c r="G66" s="60">
        <v>38.46</v>
      </c>
      <c r="H66" s="60">
        <v>19.97</v>
      </c>
      <c r="I66" s="60">
        <v>0.51</v>
      </c>
      <c r="J66" s="60">
        <v>0.73</v>
      </c>
      <c r="K66" s="60">
        <v>348.49</v>
      </c>
      <c r="L66" s="60">
        <v>35.840000000000003</v>
      </c>
      <c r="M66" s="60">
        <v>12.91</v>
      </c>
      <c r="N66" s="60">
        <v>471</v>
      </c>
      <c r="O66" s="60">
        <v>0</v>
      </c>
      <c r="P66" s="60">
        <v>0.61</v>
      </c>
      <c r="Q66" s="60">
        <v>11.75</v>
      </c>
      <c r="R66" s="198"/>
      <c r="S66" s="198"/>
      <c r="T66" s="198"/>
      <c r="U66" s="198"/>
    </row>
    <row r="67" spans="1:21" s="12" customFormat="1" x14ac:dyDescent="0.25">
      <c r="A67" s="201" t="s">
        <v>1167</v>
      </c>
      <c r="B67" s="60">
        <v>2.87</v>
      </c>
      <c r="C67" s="60">
        <v>59.49</v>
      </c>
      <c r="D67" s="60">
        <v>35.130000000000003</v>
      </c>
      <c r="E67" s="60">
        <v>5.42</v>
      </c>
      <c r="F67" s="60">
        <v>7.09</v>
      </c>
      <c r="G67" s="60">
        <v>39.590000000000003</v>
      </c>
      <c r="H67" s="60">
        <v>21.06</v>
      </c>
      <c r="I67" s="60">
        <v>0.53</v>
      </c>
      <c r="J67" s="60">
        <v>0.49</v>
      </c>
      <c r="K67" s="60">
        <v>347.31</v>
      </c>
      <c r="L67" s="60">
        <v>36.14</v>
      </c>
      <c r="M67" s="60">
        <v>12.02</v>
      </c>
      <c r="N67" s="60">
        <v>450.8</v>
      </c>
      <c r="O67" s="60">
        <v>0</v>
      </c>
      <c r="P67" s="60">
        <v>0.59</v>
      </c>
      <c r="Q67" s="60">
        <v>14.56</v>
      </c>
      <c r="R67" s="198"/>
      <c r="S67" s="198"/>
      <c r="T67" s="198"/>
      <c r="U67" s="198"/>
    </row>
    <row r="68" spans="1:21" s="12" customFormat="1" x14ac:dyDescent="0.25">
      <c r="A68" s="201" t="s">
        <v>1168</v>
      </c>
      <c r="B68" s="60">
        <v>3.33</v>
      </c>
      <c r="C68" s="60">
        <v>62.2</v>
      </c>
      <c r="D68" s="60">
        <v>37</v>
      </c>
      <c r="E68" s="60">
        <v>6.29</v>
      </c>
      <c r="F68" s="60">
        <v>10.24</v>
      </c>
      <c r="G68" s="60">
        <v>40.94</v>
      </c>
      <c r="H68" s="60">
        <v>22.35</v>
      </c>
      <c r="I68" s="60">
        <v>0.54</v>
      </c>
      <c r="J68" s="60">
        <v>1.08</v>
      </c>
      <c r="K68" s="60">
        <v>351.19</v>
      </c>
      <c r="L68" s="60">
        <v>36.96</v>
      </c>
      <c r="M68" s="60">
        <v>11.83</v>
      </c>
      <c r="N68" s="60">
        <v>434.8</v>
      </c>
      <c r="O68" s="60">
        <v>0</v>
      </c>
      <c r="P68" s="60">
        <v>0.59</v>
      </c>
      <c r="Q68" s="60">
        <v>14.84</v>
      </c>
      <c r="R68" s="198"/>
      <c r="S68" s="198"/>
      <c r="T68" s="198"/>
      <c r="U68" s="198"/>
    </row>
    <row r="69" spans="1:21" s="12" customFormat="1" x14ac:dyDescent="0.25">
      <c r="A69" s="201" t="s">
        <v>1169</v>
      </c>
      <c r="B69" s="60">
        <v>2.92</v>
      </c>
      <c r="C69" s="60">
        <v>62.52</v>
      </c>
      <c r="D69" s="60">
        <v>36.85</v>
      </c>
      <c r="E69" s="60">
        <v>5.23</v>
      </c>
      <c r="F69" s="60">
        <v>10.119999999999999</v>
      </c>
      <c r="G69" s="60">
        <v>40.94</v>
      </c>
      <c r="H69" s="60">
        <v>22.35</v>
      </c>
      <c r="I69" s="60">
        <v>0.51</v>
      </c>
      <c r="J69" s="60">
        <v>0.74</v>
      </c>
      <c r="K69" s="60">
        <v>355.75</v>
      </c>
      <c r="L69" s="60">
        <v>36.1</v>
      </c>
      <c r="M69" s="60">
        <v>11.21</v>
      </c>
      <c r="N69" s="60">
        <v>407.1</v>
      </c>
      <c r="O69" s="60">
        <v>0</v>
      </c>
      <c r="P69" s="60">
        <v>0.56000000000000005</v>
      </c>
      <c r="Q69" s="60">
        <v>13.46</v>
      </c>
      <c r="R69" s="198"/>
      <c r="S69" s="198"/>
      <c r="T69" s="198"/>
      <c r="U69" s="198"/>
    </row>
    <row r="70" spans="1:21" s="12" customFormat="1" x14ac:dyDescent="0.25">
      <c r="A70" s="201" t="s">
        <v>1170</v>
      </c>
      <c r="B70" s="60">
        <v>2.93</v>
      </c>
      <c r="C70" s="60">
        <v>62.47</v>
      </c>
      <c r="D70" s="60">
        <v>36.82</v>
      </c>
      <c r="E70" s="60">
        <v>4.6100000000000003</v>
      </c>
      <c r="F70" s="60">
        <v>9.18</v>
      </c>
      <c r="G70" s="60">
        <v>40.94</v>
      </c>
      <c r="H70" s="60">
        <v>22.35</v>
      </c>
      <c r="I70" s="60">
        <v>0.52</v>
      </c>
      <c r="J70" s="60">
        <v>0.76</v>
      </c>
      <c r="K70" s="60">
        <v>350.85</v>
      </c>
      <c r="L70" s="60">
        <v>36.4</v>
      </c>
      <c r="M70" s="60">
        <v>11.88</v>
      </c>
      <c r="N70" s="60">
        <v>126.3</v>
      </c>
      <c r="O70" s="60">
        <v>0</v>
      </c>
      <c r="P70" s="60">
        <v>0.55000000000000004</v>
      </c>
      <c r="Q70" s="60">
        <v>13.21</v>
      </c>
      <c r="R70" s="198"/>
      <c r="S70" s="198"/>
      <c r="T70" s="198"/>
      <c r="U70" s="198"/>
    </row>
    <row r="71" spans="1:21" s="12" customFormat="1" x14ac:dyDescent="0.25">
      <c r="A71" s="201" t="s">
        <v>1171</v>
      </c>
      <c r="B71" s="60">
        <v>3.75</v>
      </c>
      <c r="C71" s="60">
        <v>61.17</v>
      </c>
      <c r="D71" s="60">
        <v>36.770000000000003</v>
      </c>
      <c r="E71" s="60">
        <v>4.97</v>
      </c>
      <c r="F71" s="60">
        <v>12.53</v>
      </c>
      <c r="G71" s="60">
        <v>37.659999999999997</v>
      </c>
      <c r="H71" s="60">
        <v>19.71</v>
      </c>
      <c r="I71" s="60">
        <v>0.5</v>
      </c>
      <c r="J71" s="60">
        <v>0.82</v>
      </c>
      <c r="K71" s="60">
        <v>1.87</v>
      </c>
      <c r="L71" s="60">
        <v>35.950000000000003</v>
      </c>
      <c r="M71" s="60">
        <v>12.59</v>
      </c>
      <c r="N71" s="60">
        <v>115.8</v>
      </c>
      <c r="O71" s="60">
        <v>0</v>
      </c>
      <c r="P71" s="60">
        <v>0.56000000000000005</v>
      </c>
      <c r="Q71" s="60">
        <v>14.64</v>
      </c>
      <c r="R71" s="198"/>
      <c r="S71" s="198"/>
      <c r="T71" s="198"/>
      <c r="U71" s="198"/>
    </row>
    <row r="72" spans="1:21" s="12" customFormat="1" x14ac:dyDescent="0.25">
      <c r="A72" s="201" t="s">
        <v>1172</v>
      </c>
      <c r="B72" s="60">
        <v>3.33</v>
      </c>
      <c r="C72" s="60">
        <v>61.41</v>
      </c>
      <c r="D72" s="60">
        <v>36.56</v>
      </c>
      <c r="E72" s="60">
        <v>3.38</v>
      </c>
      <c r="F72" s="60">
        <v>8.35</v>
      </c>
      <c r="G72" s="60">
        <v>33.75</v>
      </c>
      <c r="H72" s="60">
        <v>16.54</v>
      </c>
      <c r="I72" s="60">
        <v>0.51</v>
      </c>
      <c r="J72" s="60">
        <v>0.9</v>
      </c>
      <c r="K72" s="60">
        <v>351.43</v>
      </c>
      <c r="L72" s="60">
        <v>34.840000000000003</v>
      </c>
      <c r="M72" s="60">
        <v>14.23</v>
      </c>
      <c r="N72" s="60">
        <v>169.3</v>
      </c>
      <c r="O72" s="60">
        <v>0</v>
      </c>
      <c r="P72" s="60">
        <v>0.56000000000000005</v>
      </c>
      <c r="Q72" s="60">
        <v>15.48</v>
      </c>
      <c r="R72" s="198"/>
      <c r="S72" s="198"/>
      <c r="T72" s="198"/>
      <c r="U72" s="198"/>
    </row>
    <row r="73" spans="1:21" s="12" customFormat="1" x14ac:dyDescent="0.25">
      <c r="A73" s="201" t="s">
        <v>1173</v>
      </c>
      <c r="B73" s="60">
        <v>4.0999999999999996</v>
      </c>
      <c r="C73" s="60">
        <v>61.69</v>
      </c>
      <c r="D73" s="60">
        <v>37.33</v>
      </c>
      <c r="E73" s="60">
        <v>5.39</v>
      </c>
      <c r="F73" s="60">
        <v>12.06</v>
      </c>
      <c r="G73" s="60">
        <v>33.75</v>
      </c>
      <c r="H73" s="60">
        <v>16.54</v>
      </c>
      <c r="I73" s="60">
        <v>0.51</v>
      </c>
      <c r="J73" s="60">
        <v>1.22</v>
      </c>
      <c r="K73" s="60">
        <v>0.92</v>
      </c>
      <c r="L73" s="60">
        <v>33.659999999999997</v>
      </c>
      <c r="M73" s="60">
        <v>15.52</v>
      </c>
      <c r="N73" s="60">
        <v>114.4</v>
      </c>
      <c r="O73" s="60">
        <v>0</v>
      </c>
      <c r="P73" s="60">
        <v>0.56999999999999995</v>
      </c>
      <c r="Q73" s="60">
        <v>15.86</v>
      </c>
      <c r="R73" s="198"/>
      <c r="S73" s="198"/>
      <c r="T73" s="198"/>
      <c r="U73" s="198"/>
    </row>
    <row r="74" spans="1:21" s="12" customFormat="1" x14ac:dyDescent="0.25">
      <c r="A74" s="201" t="s">
        <v>1174</v>
      </c>
      <c r="B74" s="60">
        <v>4.1100000000000003</v>
      </c>
      <c r="C74" s="60">
        <v>62.73</v>
      </c>
      <c r="D74" s="60">
        <v>37.909999999999997</v>
      </c>
      <c r="E74" s="60">
        <v>4.5599999999999996</v>
      </c>
      <c r="F74" s="60">
        <v>10.89</v>
      </c>
      <c r="G74" s="60">
        <v>33.75</v>
      </c>
      <c r="H74" s="60">
        <v>16.54</v>
      </c>
      <c r="I74" s="60">
        <v>0.52</v>
      </c>
      <c r="J74" s="60">
        <v>1</v>
      </c>
      <c r="K74" s="60">
        <v>357.45</v>
      </c>
      <c r="L74" s="60">
        <v>32.56</v>
      </c>
      <c r="M74" s="60">
        <v>16.25</v>
      </c>
      <c r="N74" s="60">
        <v>62.7</v>
      </c>
      <c r="O74" s="60">
        <v>0</v>
      </c>
      <c r="P74" s="60">
        <v>0.57999999999999996</v>
      </c>
      <c r="Q74" s="60">
        <v>15.93</v>
      </c>
      <c r="R74" s="198"/>
      <c r="S74" s="198"/>
      <c r="T74" s="198"/>
      <c r="U74" s="198"/>
    </row>
    <row r="75" spans="1:21" s="12" customFormat="1" x14ac:dyDescent="0.25">
      <c r="A75" s="201" t="s">
        <v>1175</v>
      </c>
      <c r="B75" s="60">
        <v>4.21</v>
      </c>
      <c r="C75" s="60">
        <v>65.22</v>
      </c>
      <c r="D75" s="60">
        <v>39.369999999999997</v>
      </c>
      <c r="E75" s="60">
        <v>4.5</v>
      </c>
      <c r="F75" s="60">
        <v>8.6300000000000008</v>
      </c>
      <c r="G75" s="60">
        <v>32.92</v>
      </c>
      <c r="H75" s="60">
        <v>13.45</v>
      </c>
      <c r="I75" s="60">
        <v>0.52</v>
      </c>
      <c r="J75" s="60">
        <v>1</v>
      </c>
      <c r="K75" s="60">
        <v>344.87</v>
      </c>
      <c r="L75" s="60">
        <v>31.93</v>
      </c>
      <c r="M75" s="60">
        <v>15.89</v>
      </c>
      <c r="N75" s="60">
        <v>51.8</v>
      </c>
      <c r="O75" s="60">
        <v>0</v>
      </c>
      <c r="P75" s="60">
        <v>0.57999999999999996</v>
      </c>
      <c r="Q75" s="60">
        <v>15.39</v>
      </c>
      <c r="R75" s="198"/>
      <c r="S75" s="198"/>
      <c r="T75" s="198"/>
      <c r="U75" s="198"/>
    </row>
    <row r="76" spans="1:21" s="12" customFormat="1" x14ac:dyDescent="0.25">
      <c r="A76" s="201" t="s">
        <v>1176</v>
      </c>
      <c r="B76" s="60">
        <v>8.1199999999999992</v>
      </c>
      <c r="C76" s="60">
        <v>63.47</v>
      </c>
      <c r="D76" s="60">
        <v>41.54</v>
      </c>
      <c r="E76" s="60">
        <v>6.1</v>
      </c>
      <c r="F76" s="60">
        <v>15.92</v>
      </c>
      <c r="G76" s="60">
        <v>31.92</v>
      </c>
      <c r="H76" s="60">
        <v>9.76</v>
      </c>
      <c r="I76" s="60">
        <v>0.53</v>
      </c>
      <c r="J76" s="60">
        <v>0.31</v>
      </c>
      <c r="K76" s="60">
        <v>1.61</v>
      </c>
      <c r="L76" s="60">
        <v>31.38</v>
      </c>
      <c r="M76" s="60">
        <v>15.65</v>
      </c>
      <c r="N76" s="60">
        <v>34.9</v>
      </c>
      <c r="O76" s="60">
        <v>0</v>
      </c>
      <c r="P76" s="60">
        <v>0.65</v>
      </c>
      <c r="Q76" s="60">
        <v>16.239999999999998</v>
      </c>
      <c r="R76" s="198"/>
      <c r="S76" s="198"/>
      <c r="T76" s="198"/>
      <c r="U76" s="198"/>
    </row>
    <row r="77" spans="1:21" s="12" customFormat="1" x14ac:dyDescent="0.25">
      <c r="A77" s="201" t="s">
        <v>1177</v>
      </c>
      <c r="B77" s="60">
        <v>23.37</v>
      </c>
      <c r="C77" s="60">
        <v>85.92</v>
      </c>
      <c r="D77" s="60">
        <v>66.16</v>
      </c>
      <c r="E77" s="60">
        <v>9.02</v>
      </c>
      <c r="F77" s="60">
        <v>16.71</v>
      </c>
      <c r="G77" s="60">
        <v>31.92</v>
      </c>
      <c r="H77" s="60">
        <v>9.76</v>
      </c>
      <c r="I77" s="60">
        <v>0.53</v>
      </c>
      <c r="J77" s="60">
        <v>0.33</v>
      </c>
      <c r="K77" s="60">
        <v>354.72</v>
      </c>
      <c r="L77" s="60">
        <v>30.77</v>
      </c>
      <c r="M77" s="60">
        <v>17.39</v>
      </c>
      <c r="N77" s="60">
        <v>29.1</v>
      </c>
      <c r="O77" s="60">
        <v>0</v>
      </c>
      <c r="P77" s="60">
        <v>0.85</v>
      </c>
      <c r="Q77" s="60">
        <v>16.11</v>
      </c>
      <c r="R77" s="198"/>
      <c r="S77" s="198"/>
      <c r="T77" s="198"/>
      <c r="U77" s="198"/>
    </row>
    <row r="78" spans="1:21" s="12" customFormat="1" x14ac:dyDescent="0.25">
      <c r="A78" s="201" t="s">
        <v>1178</v>
      </c>
      <c r="B78" s="60">
        <v>18.04</v>
      </c>
      <c r="C78" s="60">
        <v>90.92</v>
      </c>
      <c r="D78" s="60">
        <v>64.64</v>
      </c>
      <c r="E78" s="60">
        <v>6.74</v>
      </c>
      <c r="F78" s="60">
        <v>13.74</v>
      </c>
      <c r="G78" s="60">
        <v>31.92</v>
      </c>
      <c r="H78" s="60">
        <v>9.76</v>
      </c>
      <c r="I78" s="60">
        <v>0.53</v>
      </c>
      <c r="J78" s="60">
        <v>0.35</v>
      </c>
      <c r="K78" s="60">
        <v>5.24</v>
      </c>
      <c r="L78" s="60">
        <v>30.09</v>
      </c>
      <c r="M78" s="60">
        <v>17.059999999999999</v>
      </c>
      <c r="N78" s="60">
        <v>21</v>
      </c>
      <c r="O78" s="60">
        <v>0</v>
      </c>
      <c r="P78" s="60">
        <v>1</v>
      </c>
      <c r="Q78" s="60">
        <v>13.79</v>
      </c>
      <c r="R78" s="198"/>
      <c r="S78" s="198"/>
      <c r="T78" s="198"/>
      <c r="U78" s="198"/>
    </row>
    <row r="79" spans="1:21" s="12" customFormat="1" x14ac:dyDescent="0.25">
      <c r="A79" s="201" t="s">
        <v>1179</v>
      </c>
      <c r="B79" s="60">
        <v>11.66</v>
      </c>
      <c r="C79" s="60">
        <v>88.19</v>
      </c>
      <c r="D79" s="60">
        <v>58.02</v>
      </c>
      <c r="E79" s="60">
        <v>6.27</v>
      </c>
      <c r="F79" s="60">
        <v>11.63</v>
      </c>
      <c r="G79" s="60">
        <v>35.979999999999997</v>
      </c>
      <c r="H79" s="60">
        <v>12.11</v>
      </c>
      <c r="I79" s="60">
        <v>0.54</v>
      </c>
      <c r="J79" s="60">
        <v>0.06</v>
      </c>
      <c r="K79" s="60">
        <v>218.39</v>
      </c>
      <c r="L79" s="60">
        <v>29.27</v>
      </c>
      <c r="M79" s="60">
        <v>18.18</v>
      </c>
      <c r="N79" s="60">
        <v>13.5</v>
      </c>
      <c r="O79" s="60">
        <v>0</v>
      </c>
      <c r="P79" s="60">
        <v>0.88</v>
      </c>
      <c r="Q79" s="60">
        <v>14.28</v>
      </c>
      <c r="R79" s="198"/>
      <c r="S79" s="198"/>
      <c r="T79" s="198"/>
      <c r="U79" s="198"/>
    </row>
    <row r="80" spans="1:21" s="12" customFormat="1" x14ac:dyDescent="0.25">
      <c r="A80" s="201" t="s">
        <v>1180</v>
      </c>
      <c r="B80" s="60">
        <v>21.59</v>
      </c>
      <c r="C80" s="60">
        <v>100.96</v>
      </c>
      <c r="D80" s="60">
        <v>73.03</v>
      </c>
      <c r="E80" s="60">
        <v>5.17</v>
      </c>
      <c r="F80" s="60">
        <v>6.14</v>
      </c>
      <c r="G80" s="60">
        <v>40.840000000000003</v>
      </c>
      <c r="H80" s="60">
        <v>14.91</v>
      </c>
      <c r="I80" s="60">
        <v>0.54</v>
      </c>
      <c r="J80" s="60">
        <v>0.18</v>
      </c>
      <c r="K80" s="60">
        <v>105.5</v>
      </c>
      <c r="L80" s="60">
        <v>27.97</v>
      </c>
      <c r="M80" s="60">
        <v>23.47</v>
      </c>
      <c r="N80" s="60">
        <v>7.4</v>
      </c>
      <c r="O80" s="60">
        <v>0</v>
      </c>
      <c r="P80" s="60">
        <v>0.98</v>
      </c>
      <c r="Q80" s="60">
        <v>15.39</v>
      </c>
      <c r="R80" s="198"/>
      <c r="S80" s="198"/>
      <c r="T80" s="198"/>
      <c r="U80" s="198"/>
    </row>
    <row r="81" spans="1:26" s="12" customFormat="1" x14ac:dyDescent="0.25">
      <c r="A81" s="201" t="s">
        <v>1181</v>
      </c>
      <c r="B81" s="60">
        <v>40.380000000000003</v>
      </c>
      <c r="C81" s="60">
        <v>107.43</v>
      </c>
      <c r="D81" s="60">
        <v>91.67</v>
      </c>
      <c r="E81" s="60">
        <v>4.03</v>
      </c>
      <c r="F81" s="60">
        <v>4.97</v>
      </c>
      <c r="G81" s="60">
        <v>40.840000000000003</v>
      </c>
      <c r="H81" s="60">
        <v>14.91</v>
      </c>
      <c r="I81" s="60">
        <v>0.57999999999999996</v>
      </c>
      <c r="J81" s="60">
        <v>7.0000000000000007E-2</v>
      </c>
      <c r="K81" s="60">
        <v>136.49</v>
      </c>
      <c r="L81" s="60">
        <v>26.63</v>
      </c>
      <c r="M81" s="60">
        <v>26.32</v>
      </c>
      <c r="N81" s="60">
        <v>5.2</v>
      </c>
      <c r="O81" s="60">
        <v>0</v>
      </c>
      <c r="P81" s="60">
        <v>0.93</v>
      </c>
      <c r="Q81" s="60">
        <v>16.079999999999998</v>
      </c>
      <c r="R81" s="198"/>
      <c r="S81" s="198"/>
      <c r="T81" s="198"/>
      <c r="U81" s="198"/>
    </row>
    <row r="82" spans="1:26" s="12" customFormat="1" x14ac:dyDescent="0.25">
      <c r="A82" s="201" t="s">
        <v>1182</v>
      </c>
      <c r="B82" s="60">
        <v>38.39</v>
      </c>
      <c r="C82" s="60">
        <v>108.59</v>
      </c>
      <c r="D82" s="60">
        <v>90.72</v>
      </c>
      <c r="E82" s="60">
        <v>4.0999999999999996</v>
      </c>
      <c r="F82" s="60">
        <v>4.7</v>
      </c>
      <c r="G82" s="60">
        <v>40.840000000000003</v>
      </c>
      <c r="H82" s="60">
        <v>14.91</v>
      </c>
      <c r="I82" s="60">
        <v>0.62</v>
      </c>
      <c r="J82" s="60">
        <v>0.23</v>
      </c>
      <c r="K82" s="60">
        <v>95.09</v>
      </c>
      <c r="L82" s="60">
        <v>25.93</v>
      </c>
      <c r="M82" s="60">
        <v>29.64</v>
      </c>
      <c r="N82" s="60">
        <v>4.3</v>
      </c>
      <c r="O82" s="60">
        <v>0</v>
      </c>
      <c r="P82" s="60">
        <v>0.96</v>
      </c>
      <c r="Q82" s="60">
        <v>19.18</v>
      </c>
      <c r="R82" s="198"/>
      <c r="S82" s="198"/>
      <c r="T82" s="198"/>
      <c r="U82" s="198"/>
    </row>
    <row r="83" spans="1:26" s="12" customFormat="1" x14ac:dyDescent="0.25">
      <c r="A83" s="201" t="s">
        <v>1183</v>
      </c>
      <c r="B83" s="60">
        <v>38.89</v>
      </c>
      <c r="C83" s="60">
        <v>108.52</v>
      </c>
      <c r="D83" s="60">
        <v>91.08</v>
      </c>
      <c r="E83" s="60">
        <v>3.9</v>
      </c>
      <c r="F83" s="60">
        <v>4.66</v>
      </c>
      <c r="G83" s="60">
        <v>73.150000000000006</v>
      </c>
      <c r="H83" s="60">
        <v>19.100000000000001</v>
      </c>
      <c r="I83" s="60">
        <v>0.63</v>
      </c>
      <c r="J83" s="60">
        <v>0.16</v>
      </c>
      <c r="K83" s="60">
        <v>89.07</v>
      </c>
      <c r="L83" s="60">
        <v>25.35</v>
      </c>
      <c r="M83" s="60">
        <v>33.93</v>
      </c>
      <c r="N83" s="60">
        <v>4.4000000000000004</v>
      </c>
      <c r="O83" s="60">
        <v>0</v>
      </c>
      <c r="P83" s="60">
        <v>0.97</v>
      </c>
      <c r="Q83" s="60">
        <v>21.27</v>
      </c>
      <c r="R83" s="198"/>
      <c r="S83" s="198"/>
      <c r="T83" s="198"/>
      <c r="U83" s="198"/>
    </row>
    <row r="84" spans="1:26" s="12" customFormat="1" x14ac:dyDescent="0.25">
      <c r="A84" s="201" t="s">
        <v>1184</v>
      </c>
      <c r="B84" s="60">
        <v>49.73</v>
      </c>
      <c r="C84" s="60">
        <v>114.18</v>
      </c>
      <c r="D84" s="60">
        <v>102.89</v>
      </c>
      <c r="E84" s="60">
        <v>4.0199999999999996</v>
      </c>
      <c r="F84" s="60">
        <v>4.55</v>
      </c>
      <c r="G84" s="60">
        <v>111.76</v>
      </c>
      <c r="H84" s="60">
        <v>24.1</v>
      </c>
      <c r="I84" s="60">
        <v>0.6</v>
      </c>
      <c r="J84" s="60">
        <v>7.0000000000000007E-2</v>
      </c>
      <c r="K84" s="60">
        <v>66.8</v>
      </c>
      <c r="L84" s="60">
        <v>24.75</v>
      </c>
      <c r="M84" s="60">
        <v>34.840000000000003</v>
      </c>
      <c r="N84" s="60">
        <v>4.5</v>
      </c>
      <c r="O84" s="60">
        <v>0</v>
      </c>
      <c r="P84" s="60">
        <v>1.07</v>
      </c>
      <c r="Q84" s="60">
        <v>22.5</v>
      </c>
      <c r="R84" s="198"/>
      <c r="S84" s="198"/>
      <c r="T84" s="198"/>
      <c r="U84" s="198"/>
    </row>
    <row r="85" spans="1:26" s="12" customFormat="1" x14ac:dyDescent="0.25">
      <c r="A85" s="201" t="s">
        <v>1185</v>
      </c>
      <c r="B85" s="60">
        <v>57.84</v>
      </c>
      <c r="C85" s="60">
        <v>118.36</v>
      </c>
      <c r="D85" s="60">
        <v>111.71</v>
      </c>
      <c r="E85" s="60">
        <v>4.3899999999999997</v>
      </c>
      <c r="F85" s="60">
        <v>4.5</v>
      </c>
      <c r="G85" s="60">
        <v>111.76</v>
      </c>
      <c r="H85" s="60">
        <v>24.1</v>
      </c>
      <c r="I85" s="60">
        <v>0.66</v>
      </c>
      <c r="J85" s="60">
        <v>0.18</v>
      </c>
      <c r="K85" s="60">
        <v>260.86</v>
      </c>
      <c r="L85" s="60">
        <v>24.67</v>
      </c>
      <c r="M85" s="60">
        <v>37.28</v>
      </c>
      <c r="N85" s="60">
        <v>3.7</v>
      </c>
      <c r="O85" s="60">
        <v>0</v>
      </c>
      <c r="P85" s="60">
        <v>1.1299999999999999</v>
      </c>
      <c r="Q85" s="60">
        <v>24.16</v>
      </c>
      <c r="R85" s="198"/>
      <c r="S85" s="198"/>
      <c r="T85" s="198"/>
      <c r="U85" s="198"/>
    </row>
    <row r="86" spans="1:26" s="12" customFormat="1" x14ac:dyDescent="0.25">
      <c r="A86" s="201" t="s">
        <v>1186</v>
      </c>
      <c r="B86" s="60">
        <v>69.69</v>
      </c>
      <c r="C86" s="60">
        <v>123.38</v>
      </c>
      <c r="D86" s="60">
        <v>123.98</v>
      </c>
      <c r="E86" s="60">
        <v>4.68</v>
      </c>
      <c r="F86" s="60">
        <v>4.5</v>
      </c>
      <c r="G86" s="60">
        <v>111.76</v>
      </c>
      <c r="H86" s="60">
        <v>24.1</v>
      </c>
      <c r="I86" s="60">
        <v>0.72</v>
      </c>
      <c r="J86" s="60">
        <v>0.18</v>
      </c>
      <c r="K86" s="60">
        <v>83.71</v>
      </c>
      <c r="L86" s="60">
        <v>24.32</v>
      </c>
      <c r="M86" s="60">
        <v>41.69</v>
      </c>
      <c r="N86" s="60">
        <v>4.2</v>
      </c>
      <c r="O86" s="60">
        <v>0</v>
      </c>
      <c r="P86" s="60">
        <v>1.35</v>
      </c>
      <c r="Q86" s="60">
        <v>25.61</v>
      </c>
      <c r="R86" s="198"/>
      <c r="S86" s="198"/>
      <c r="T86" s="198"/>
      <c r="U86" s="198"/>
    </row>
    <row r="87" spans="1:26" s="12" customFormat="1" x14ac:dyDescent="0.25">
      <c r="A87" s="201" t="s">
        <v>1187</v>
      </c>
      <c r="B87" s="60">
        <v>101.53</v>
      </c>
      <c r="C87" s="60">
        <v>145.41</v>
      </c>
      <c r="D87" s="60">
        <v>161.66999999999999</v>
      </c>
      <c r="E87" s="60">
        <v>5.08</v>
      </c>
      <c r="F87" s="60">
        <v>4.5</v>
      </c>
      <c r="G87" s="60">
        <v>141.5</v>
      </c>
      <c r="H87" s="60">
        <v>31.48</v>
      </c>
      <c r="I87" s="60">
        <v>0.76</v>
      </c>
      <c r="J87" s="60">
        <v>0.04</v>
      </c>
      <c r="K87" s="60">
        <v>324.2</v>
      </c>
      <c r="L87" s="60">
        <v>23.92</v>
      </c>
      <c r="M87" s="60">
        <v>40.700000000000003</v>
      </c>
      <c r="N87" s="60">
        <v>4.4000000000000004</v>
      </c>
      <c r="O87" s="60">
        <v>0</v>
      </c>
      <c r="P87" s="60">
        <v>1.9</v>
      </c>
      <c r="Q87" s="60">
        <v>25.67</v>
      </c>
      <c r="R87" s="198"/>
      <c r="S87" s="198"/>
      <c r="T87" s="198"/>
      <c r="U87" s="198"/>
    </row>
    <row r="88" spans="1:26" s="12" customFormat="1" x14ac:dyDescent="0.25">
      <c r="A88" s="201" t="s">
        <v>1188</v>
      </c>
      <c r="B88" s="60">
        <v>108.56</v>
      </c>
      <c r="C88" s="60">
        <v>147.62</v>
      </c>
      <c r="D88" s="60">
        <v>168.53</v>
      </c>
      <c r="E88" s="60">
        <v>4.1100000000000003</v>
      </c>
      <c r="F88" s="60">
        <v>4.5199999999999996</v>
      </c>
      <c r="G88" s="60">
        <v>177.05</v>
      </c>
      <c r="H88" s="60">
        <v>40.28</v>
      </c>
      <c r="I88" s="60">
        <v>0.83</v>
      </c>
      <c r="J88" s="60">
        <v>0.03</v>
      </c>
      <c r="K88" s="60">
        <v>203.37</v>
      </c>
      <c r="L88" s="60">
        <v>23.33</v>
      </c>
      <c r="M88" s="60">
        <v>47.39</v>
      </c>
      <c r="N88" s="60">
        <v>4.4000000000000004</v>
      </c>
      <c r="O88" s="60">
        <v>0</v>
      </c>
      <c r="P88" s="60">
        <v>2.08</v>
      </c>
      <c r="Q88" s="60">
        <v>25.72</v>
      </c>
      <c r="R88" s="198"/>
      <c r="S88" s="198"/>
      <c r="T88" s="198"/>
      <c r="U88" s="198"/>
    </row>
    <row r="89" spans="1:26" s="12" customFormat="1" x14ac:dyDescent="0.25">
      <c r="A89" s="201" t="s">
        <v>1189</v>
      </c>
      <c r="B89" s="60">
        <v>112.98</v>
      </c>
      <c r="C89" s="60">
        <v>148.86000000000001</v>
      </c>
      <c r="D89" s="60">
        <v>172.75</v>
      </c>
      <c r="E89" s="60">
        <v>6.47</v>
      </c>
      <c r="F89" s="60">
        <v>4.63</v>
      </c>
      <c r="G89" s="60">
        <v>177.05</v>
      </c>
      <c r="H89" s="60">
        <v>40.28</v>
      </c>
      <c r="I89" s="60">
        <v>1.03</v>
      </c>
      <c r="J89" s="60">
        <v>7.0000000000000007E-2</v>
      </c>
      <c r="K89" s="60">
        <v>133.58000000000001</v>
      </c>
      <c r="L89" s="60">
        <v>22.94</v>
      </c>
      <c r="M89" s="60">
        <v>48.86</v>
      </c>
      <c r="N89" s="60">
        <v>4.4000000000000004</v>
      </c>
      <c r="O89" s="60">
        <v>0</v>
      </c>
      <c r="P89" s="60">
        <v>2.12</v>
      </c>
      <c r="Q89" s="60">
        <v>26.83</v>
      </c>
      <c r="R89" s="198"/>
      <c r="S89" s="198"/>
      <c r="T89" s="198"/>
      <c r="U89" s="198"/>
    </row>
    <row r="90" spans="1:26" s="12" customFormat="1" x14ac:dyDescent="0.25">
      <c r="A90" s="201" t="s">
        <v>1190</v>
      </c>
      <c r="B90" s="60">
        <v>104.8</v>
      </c>
      <c r="C90" s="60">
        <v>142.71</v>
      </c>
      <c r="D90" s="60">
        <v>162.80000000000001</v>
      </c>
      <c r="E90" s="60">
        <v>6.16</v>
      </c>
      <c r="F90" s="60">
        <v>4.62</v>
      </c>
      <c r="G90" s="60">
        <v>177.05</v>
      </c>
      <c r="H90" s="60">
        <v>40.28</v>
      </c>
      <c r="I90" s="60">
        <v>1.1100000000000001</v>
      </c>
      <c r="J90" s="60">
        <v>0.13</v>
      </c>
      <c r="K90" s="60">
        <v>250.72</v>
      </c>
      <c r="L90" s="60">
        <v>23.14</v>
      </c>
      <c r="M90" s="60">
        <v>46.35</v>
      </c>
      <c r="N90" s="60">
        <v>3.6</v>
      </c>
      <c r="O90" s="60">
        <v>0</v>
      </c>
      <c r="P90" s="60">
        <v>2.09</v>
      </c>
      <c r="Q90" s="60">
        <v>28.54</v>
      </c>
      <c r="R90" s="198"/>
      <c r="S90" s="198"/>
      <c r="T90" s="198"/>
      <c r="U90" s="198"/>
    </row>
    <row r="91" spans="1:26" s="12" customFormat="1" x14ac:dyDescent="0.25">
      <c r="A91" s="201" t="s">
        <v>1191</v>
      </c>
      <c r="B91" s="60">
        <v>106.72</v>
      </c>
      <c r="C91" s="60">
        <v>141.46</v>
      </c>
      <c r="D91" s="60">
        <v>163.65</v>
      </c>
      <c r="E91" s="60">
        <v>7.3</v>
      </c>
      <c r="F91" s="60">
        <v>4.5199999999999996</v>
      </c>
      <c r="G91" s="60">
        <v>208.51</v>
      </c>
      <c r="H91" s="60">
        <v>48.73</v>
      </c>
      <c r="I91" s="60">
        <v>1.1599999999999999</v>
      </c>
      <c r="J91" s="60">
        <v>0.12</v>
      </c>
      <c r="K91" s="60">
        <v>331.03</v>
      </c>
      <c r="L91" s="60">
        <v>23.17</v>
      </c>
      <c r="M91" s="60">
        <v>43.29</v>
      </c>
      <c r="N91" s="60">
        <v>4.0999999999999996</v>
      </c>
      <c r="O91" s="60">
        <v>0</v>
      </c>
      <c r="P91" s="60">
        <v>2.17</v>
      </c>
      <c r="Q91" s="60">
        <v>29.8</v>
      </c>
      <c r="R91" s="198"/>
      <c r="S91" s="198"/>
      <c r="T91" s="198"/>
      <c r="U91" s="198"/>
    </row>
    <row r="92" spans="1:26" s="12" customFormat="1" x14ac:dyDescent="0.25">
      <c r="A92" s="201" t="s">
        <v>1192</v>
      </c>
      <c r="B92" s="60">
        <v>96.31</v>
      </c>
      <c r="C92" s="60">
        <v>134.38</v>
      </c>
      <c r="D92" s="60">
        <v>151.38999999999999</v>
      </c>
      <c r="E92" s="60">
        <v>6.89</v>
      </c>
      <c r="F92" s="60">
        <v>4.5999999999999996</v>
      </c>
      <c r="G92" s="60">
        <v>246.12</v>
      </c>
      <c r="H92" s="60">
        <v>58.82</v>
      </c>
      <c r="I92" s="60">
        <v>1.1599999999999999</v>
      </c>
      <c r="J92" s="60">
        <v>0.33</v>
      </c>
      <c r="K92" s="60">
        <v>170.09</v>
      </c>
      <c r="L92" s="60">
        <v>23.91</v>
      </c>
      <c r="M92" s="60">
        <v>36.29</v>
      </c>
      <c r="N92" s="60">
        <v>2.4</v>
      </c>
      <c r="O92" s="60">
        <v>0</v>
      </c>
      <c r="P92" s="60">
        <v>2.0499999999999998</v>
      </c>
      <c r="Q92" s="60">
        <v>30.99</v>
      </c>
      <c r="R92" s="198"/>
      <c r="S92" s="198"/>
      <c r="T92" s="198"/>
      <c r="U92" s="198"/>
    </row>
    <row r="93" spans="1:26" s="12" customFormat="1" x14ac:dyDescent="0.25">
      <c r="A93" s="201" t="s">
        <v>1193</v>
      </c>
      <c r="B93" s="60">
        <v>95.04</v>
      </c>
      <c r="C93" s="60">
        <v>133.69999999999999</v>
      </c>
      <c r="D93" s="60">
        <v>150</v>
      </c>
      <c r="E93" s="60">
        <v>6.55</v>
      </c>
      <c r="F93" s="60">
        <v>4.5199999999999996</v>
      </c>
      <c r="G93" s="60">
        <v>246.12</v>
      </c>
      <c r="H93" s="60">
        <v>58.82</v>
      </c>
      <c r="I93" s="60">
        <v>1.19</v>
      </c>
      <c r="J93" s="60">
        <v>0.11</v>
      </c>
      <c r="K93" s="60">
        <v>78.72</v>
      </c>
      <c r="L93" s="60">
        <v>23.37</v>
      </c>
      <c r="M93" s="60">
        <v>40.96</v>
      </c>
      <c r="N93" s="60">
        <v>4.5</v>
      </c>
      <c r="O93" s="60">
        <v>0</v>
      </c>
      <c r="P93" s="60">
        <v>2.0299999999999998</v>
      </c>
      <c r="Q93" s="60">
        <v>31.76</v>
      </c>
      <c r="R93" s="198"/>
      <c r="S93" s="198"/>
      <c r="T93" s="198"/>
      <c r="U93" s="198"/>
    </row>
    <row r="94" spans="1:26" s="12" customFormat="1" x14ac:dyDescent="0.25">
      <c r="A94" s="201" t="s">
        <v>1194</v>
      </c>
      <c r="B94" s="60">
        <v>94.42</v>
      </c>
      <c r="C94" s="60">
        <v>133.16</v>
      </c>
      <c r="D94" s="60">
        <v>149.19999999999999</v>
      </c>
      <c r="E94" s="60">
        <v>6.19</v>
      </c>
      <c r="F94" s="60">
        <v>4.5999999999999996</v>
      </c>
      <c r="G94" s="60">
        <v>246.12</v>
      </c>
      <c r="H94" s="60">
        <v>58.82</v>
      </c>
      <c r="I94" s="60">
        <v>1.1599999999999999</v>
      </c>
      <c r="J94" s="60">
        <v>0.16</v>
      </c>
      <c r="K94" s="60">
        <v>264.02</v>
      </c>
      <c r="L94" s="60">
        <v>22.67</v>
      </c>
      <c r="M94" s="60">
        <v>44.4</v>
      </c>
      <c r="N94" s="60">
        <v>4.3</v>
      </c>
      <c r="O94" s="60">
        <v>0</v>
      </c>
      <c r="P94" s="60">
        <v>2.06</v>
      </c>
      <c r="Q94" s="60">
        <v>32.200000000000003</v>
      </c>
      <c r="R94" s="198"/>
      <c r="S94" s="198"/>
      <c r="T94" s="198"/>
      <c r="U94" s="198"/>
    </row>
    <row r="95" spans="1:26" s="12" customFormat="1" x14ac:dyDescent="0.25">
      <c r="A95" s="201" t="s">
        <v>1195</v>
      </c>
      <c r="B95" s="60">
        <v>99.36</v>
      </c>
      <c r="C95" s="60">
        <v>134.35</v>
      </c>
      <c r="D95" s="60">
        <v>153.83000000000001</v>
      </c>
      <c r="E95" s="60">
        <v>5.69</v>
      </c>
      <c r="F95" s="60">
        <v>4.6100000000000003</v>
      </c>
      <c r="G95" s="60">
        <v>185.66</v>
      </c>
      <c r="H95" s="60">
        <v>56.54</v>
      </c>
      <c r="I95" s="60">
        <v>1.1399999999999999</v>
      </c>
      <c r="J95" s="60">
        <v>0.17</v>
      </c>
      <c r="K95" s="60">
        <v>303.08999999999997</v>
      </c>
      <c r="L95" s="60">
        <v>22.57</v>
      </c>
      <c r="M95" s="60">
        <v>43.23</v>
      </c>
      <c r="N95" s="60">
        <v>4</v>
      </c>
      <c r="O95" s="60">
        <v>0</v>
      </c>
      <c r="P95" s="60">
        <v>2.09</v>
      </c>
      <c r="Q95" s="60">
        <v>33</v>
      </c>
      <c r="R95" s="198"/>
      <c r="S95" s="198"/>
      <c r="T95" s="198"/>
      <c r="U95" s="198"/>
    </row>
    <row r="96" spans="1:26" s="12" customFormat="1" x14ac:dyDescent="0.25">
      <c r="A96" s="201" t="s">
        <v>1196</v>
      </c>
      <c r="B96" s="60">
        <v>102.54</v>
      </c>
      <c r="C96" s="60">
        <v>135.63999999999999</v>
      </c>
      <c r="D96" s="60">
        <v>157.09</v>
      </c>
      <c r="E96" s="60">
        <v>5.87</v>
      </c>
      <c r="F96" s="60">
        <v>4.55</v>
      </c>
      <c r="G96" s="60">
        <v>113.41</v>
      </c>
      <c r="H96" s="60">
        <v>53.8</v>
      </c>
      <c r="I96" s="60">
        <v>1.18</v>
      </c>
      <c r="J96" s="60">
        <v>0.14000000000000001</v>
      </c>
      <c r="K96" s="60">
        <v>339.73</v>
      </c>
      <c r="L96" s="60">
        <v>22.06</v>
      </c>
      <c r="M96" s="60">
        <v>47.21</v>
      </c>
      <c r="N96" s="60">
        <v>4.5</v>
      </c>
      <c r="O96" s="60">
        <v>0</v>
      </c>
      <c r="P96" s="60">
        <v>2.19</v>
      </c>
      <c r="Q96" s="60">
        <v>33.700000000000003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1197</v>
      </c>
      <c r="B97" s="60">
        <v>106.35</v>
      </c>
      <c r="C97" s="60">
        <v>137.91999999999999</v>
      </c>
      <c r="D97" s="60">
        <v>161.4</v>
      </c>
      <c r="E97" s="60">
        <v>6.7</v>
      </c>
      <c r="F97" s="60">
        <v>4.57</v>
      </c>
      <c r="G97" s="60">
        <v>113.41</v>
      </c>
      <c r="H97" s="60">
        <v>53.8</v>
      </c>
      <c r="I97" s="60">
        <v>1.19</v>
      </c>
      <c r="J97" s="60">
        <v>0.12</v>
      </c>
      <c r="K97" s="60">
        <v>342.57</v>
      </c>
      <c r="L97" s="60">
        <v>21.72</v>
      </c>
      <c r="M97" s="60">
        <v>48.46</v>
      </c>
      <c r="N97" s="60">
        <v>4.5</v>
      </c>
      <c r="O97" s="60">
        <v>0</v>
      </c>
      <c r="P97" s="60">
        <v>2.31</v>
      </c>
      <c r="Q97" s="60">
        <v>34.479999999999997</v>
      </c>
      <c r="R97" s="198"/>
      <c r="S97" s="198"/>
      <c r="T97" s="198"/>
      <c r="U97" s="198"/>
    </row>
    <row r="98" spans="1:33" s="12" customFormat="1" x14ac:dyDescent="0.25">
      <c r="A98" s="201" t="s">
        <v>1198</v>
      </c>
      <c r="B98" s="60">
        <v>108.4</v>
      </c>
      <c r="C98" s="60">
        <v>139.36000000000001</v>
      </c>
      <c r="D98" s="60">
        <v>163.84</v>
      </c>
      <c r="E98" s="60">
        <v>6.2</v>
      </c>
      <c r="F98" s="60">
        <v>4.53</v>
      </c>
      <c r="G98" s="60">
        <v>113.41</v>
      </c>
      <c r="H98" s="60">
        <v>53.8</v>
      </c>
      <c r="I98" s="60">
        <v>1.2</v>
      </c>
      <c r="J98" s="60">
        <v>0.01</v>
      </c>
      <c r="K98" s="60">
        <v>15.41</v>
      </c>
      <c r="L98" s="60">
        <v>21.45</v>
      </c>
      <c r="M98" s="60">
        <v>46.21</v>
      </c>
      <c r="N98" s="60">
        <v>4.5</v>
      </c>
      <c r="O98" s="60">
        <v>0</v>
      </c>
      <c r="P98" s="60">
        <v>2.38</v>
      </c>
      <c r="Q98" s="60">
        <v>35.03</v>
      </c>
      <c r="R98" s="198"/>
      <c r="S98" s="198"/>
      <c r="T98" s="198"/>
      <c r="U98" s="198"/>
    </row>
    <row r="99" spans="1:33" s="12" customFormat="1" x14ac:dyDescent="0.25">
      <c r="A99" s="201" t="s">
        <v>1199</v>
      </c>
      <c r="B99" s="60">
        <v>108.31</v>
      </c>
      <c r="C99" s="60">
        <v>139.82</v>
      </c>
      <c r="D99" s="60">
        <v>164.02</v>
      </c>
      <c r="E99" s="60">
        <v>5.61</v>
      </c>
      <c r="F99" s="60">
        <v>4.51</v>
      </c>
      <c r="G99" s="60">
        <v>135.72999999999999</v>
      </c>
      <c r="H99" s="60">
        <v>53.76</v>
      </c>
      <c r="I99" s="60">
        <v>1.22</v>
      </c>
      <c r="J99" s="60">
        <v>7.0000000000000007E-2</v>
      </c>
      <c r="K99" s="60">
        <v>126.74</v>
      </c>
      <c r="L99" s="60">
        <v>21.33</v>
      </c>
      <c r="M99" s="60">
        <v>42.29</v>
      </c>
      <c r="N99" s="60">
        <v>4.2</v>
      </c>
      <c r="O99" s="60">
        <v>0</v>
      </c>
      <c r="P99" s="60">
        <v>2.38</v>
      </c>
      <c r="Q99" s="60">
        <v>35.22</v>
      </c>
      <c r="R99" s="198"/>
      <c r="S99" s="198"/>
      <c r="T99" s="198"/>
      <c r="U99" s="198"/>
    </row>
    <row r="100" spans="1:33" s="12" customFormat="1" x14ac:dyDescent="0.25">
      <c r="A100" s="201" t="s">
        <v>1200</v>
      </c>
      <c r="B100" s="60">
        <v>106.36</v>
      </c>
      <c r="C100" s="60">
        <v>139.29</v>
      </c>
      <c r="D100" s="60">
        <v>162.16</v>
      </c>
      <c r="E100" s="60">
        <v>5.73</v>
      </c>
      <c r="F100" s="60">
        <v>4.51</v>
      </c>
      <c r="G100" s="60">
        <v>162.41</v>
      </c>
      <c r="H100" s="60">
        <v>53.71</v>
      </c>
      <c r="I100" s="60">
        <v>1.22</v>
      </c>
      <c r="J100" s="60">
        <v>0.13</v>
      </c>
      <c r="K100" s="60">
        <v>336.09</v>
      </c>
      <c r="L100" s="60">
        <v>21.15</v>
      </c>
      <c r="M100" s="60">
        <v>47.04</v>
      </c>
      <c r="N100" s="60">
        <v>4.4000000000000004</v>
      </c>
      <c r="O100" s="60">
        <v>0</v>
      </c>
      <c r="P100" s="60">
        <v>2.3199999999999998</v>
      </c>
      <c r="Q100" s="60">
        <v>35.33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1201</v>
      </c>
      <c r="B101" s="60">
        <v>105.04</v>
      </c>
      <c r="C101" s="60">
        <v>138.44</v>
      </c>
      <c r="D101" s="60">
        <v>160.63</v>
      </c>
      <c r="E101" s="60">
        <v>6.05</v>
      </c>
      <c r="F101" s="60">
        <v>4.5</v>
      </c>
      <c r="G101" s="60">
        <v>162.41</v>
      </c>
      <c r="H101" s="60">
        <v>53.71</v>
      </c>
      <c r="I101" s="60">
        <v>1.23</v>
      </c>
      <c r="J101" s="60">
        <v>0.19</v>
      </c>
      <c r="K101" s="60">
        <v>349.24</v>
      </c>
      <c r="L101" s="60">
        <v>20.81</v>
      </c>
      <c r="M101" s="60">
        <v>48.82</v>
      </c>
      <c r="N101" s="60">
        <v>4.2</v>
      </c>
      <c r="O101" s="60">
        <v>0</v>
      </c>
      <c r="P101" s="60">
        <v>2.33</v>
      </c>
      <c r="Q101" s="60">
        <v>35.32</v>
      </c>
      <c r="R101" s="198"/>
      <c r="S101" s="198"/>
      <c r="T101" s="198"/>
      <c r="U101" s="198"/>
    </row>
    <row r="102" spans="1:33" s="12" customFormat="1" x14ac:dyDescent="0.25">
      <c r="A102" s="201" t="s">
        <v>1202</v>
      </c>
      <c r="B102" s="60">
        <v>103.73</v>
      </c>
      <c r="C102" s="60">
        <v>137.85</v>
      </c>
      <c r="D102" s="60">
        <v>159.26</v>
      </c>
      <c r="E102" s="60">
        <v>6.28</v>
      </c>
      <c r="F102" s="60">
        <v>4.5</v>
      </c>
      <c r="G102" s="60">
        <v>162.41</v>
      </c>
      <c r="H102" s="60">
        <v>53.71</v>
      </c>
      <c r="I102" s="60">
        <v>1.2</v>
      </c>
      <c r="J102" s="60">
        <v>0.16</v>
      </c>
      <c r="K102" s="60">
        <v>351.57</v>
      </c>
      <c r="L102" s="60">
        <v>20.399999999999999</v>
      </c>
      <c r="M102" s="60">
        <v>47.01</v>
      </c>
      <c r="N102" s="60">
        <v>4.5</v>
      </c>
      <c r="O102" s="60">
        <v>0</v>
      </c>
      <c r="P102" s="60">
        <v>2.33</v>
      </c>
      <c r="Q102" s="60">
        <v>34.81</v>
      </c>
      <c r="R102" s="198"/>
      <c r="S102" s="198"/>
      <c r="T102" s="198"/>
      <c r="U102" s="198"/>
    </row>
    <row r="103" spans="1:33" s="12" customFormat="1" x14ac:dyDescent="0.25">
      <c r="A103" s="201" t="s">
        <v>1203</v>
      </c>
      <c r="B103" s="60">
        <v>102.12</v>
      </c>
      <c r="C103" s="60">
        <v>136.93</v>
      </c>
      <c r="D103" s="60">
        <v>157.46</v>
      </c>
      <c r="E103" s="60">
        <v>6.3</v>
      </c>
      <c r="F103" s="60">
        <v>4.5</v>
      </c>
      <c r="G103" s="60">
        <v>143.32</v>
      </c>
      <c r="H103" s="60">
        <v>52.63</v>
      </c>
      <c r="I103" s="60">
        <v>1.19</v>
      </c>
      <c r="J103" s="60">
        <v>0.13</v>
      </c>
      <c r="K103" s="60">
        <v>342.17</v>
      </c>
      <c r="L103" s="60">
        <v>20.260000000000002</v>
      </c>
      <c r="M103" s="60">
        <v>44.76</v>
      </c>
      <c r="N103" s="60">
        <v>4.2</v>
      </c>
      <c r="O103" s="60">
        <v>0</v>
      </c>
      <c r="P103" s="60">
        <v>2.31</v>
      </c>
      <c r="Q103" s="60">
        <v>34.6</v>
      </c>
      <c r="R103" s="198"/>
      <c r="S103" s="198"/>
      <c r="T103" s="198"/>
      <c r="U103" s="198"/>
    </row>
    <row r="104" spans="1:33" s="12" customFormat="1" x14ac:dyDescent="0.25">
      <c r="A104" s="201" t="s">
        <v>1204</v>
      </c>
      <c r="B104" s="60">
        <v>101.61</v>
      </c>
      <c r="C104" s="60">
        <v>134.68</v>
      </c>
      <c r="D104" s="60">
        <v>155.81</v>
      </c>
      <c r="E104" s="60">
        <v>5.08</v>
      </c>
      <c r="F104" s="60">
        <v>4.58</v>
      </c>
      <c r="G104" s="60">
        <v>120.51</v>
      </c>
      <c r="H104" s="60">
        <v>51.34</v>
      </c>
      <c r="I104" s="60">
        <v>1.19</v>
      </c>
      <c r="J104" s="60">
        <v>7.0000000000000007E-2</v>
      </c>
      <c r="K104" s="60">
        <v>315.47000000000003</v>
      </c>
      <c r="L104" s="60">
        <v>20.22</v>
      </c>
      <c r="M104" s="60">
        <v>41.92</v>
      </c>
      <c r="N104" s="60">
        <v>4.4000000000000004</v>
      </c>
      <c r="O104" s="60">
        <v>0</v>
      </c>
      <c r="P104" s="60">
        <v>2.2799999999999998</v>
      </c>
      <c r="Q104" s="60">
        <v>34.630000000000003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0.47</v>
      </c>
      <c r="C106" s="67">
        <f>MIN(C9:C104)</f>
        <v>15.5</v>
      </c>
      <c r="D106" s="67">
        <f t="shared" ref="D106:Q106" si="0">MIN(D9:D104)</f>
        <v>33.200000000000003</v>
      </c>
      <c r="E106" s="67">
        <f t="shared" si="0"/>
        <v>3.38</v>
      </c>
      <c r="F106" s="67">
        <f t="shared" si="0"/>
        <v>4.5</v>
      </c>
      <c r="G106" s="67">
        <f t="shared" si="0"/>
        <v>31.92</v>
      </c>
      <c r="H106" s="67">
        <f t="shared" si="0"/>
        <v>9.76</v>
      </c>
      <c r="I106" s="67">
        <f t="shared" si="0"/>
        <v>0</v>
      </c>
      <c r="J106" s="67">
        <f t="shared" si="0"/>
        <v>0.01</v>
      </c>
      <c r="K106" s="67">
        <f t="shared" si="0"/>
        <v>0.22</v>
      </c>
      <c r="L106" s="67">
        <f t="shared" si="0"/>
        <v>15.47</v>
      </c>
      <c r="M106" s="67">
        <f t="shared" si="0"/>
        <v>11.21</v>
      </c>
      <c r="N106" s="67">
        <f t="shared" si="0"/>
        <v>2.4</v>
      </c>
      <c r="O106" s="67">
        <f t="shared" si="0"/>
        <v>0</v>
      </c>
      <c r="P106" s="67">
        <f t="shared" si="0"/>
        <v>0.55000000000000004</v>
      </c>
      <c r="Q106" s="67">
        <f t="shared" si="0"/>
        <v>2.4300000000000002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190.69</v>
      </c>
      <c r="C107" s="66">
        <f t="shared" ref="C107:Q107" si="1">MAX(C9:C104)</f>
        <v>148.86000000000001</v>
      </c>
      <c r="D107" s="66">
        <f t="shared" si="1"/>
        <v>192.49</v>
      </c>
      <c r="E107" s="66">
        <f t="shared" si="1"/>
        <v>9.02</v>
      </c>
      <c r="F107" s="66">
        <f t="shared" si="1"/>
        <v>23.91</v>
      </c>
      <c r="G107" s="66">
        <f t="shared" si="1"/>
        <v>246.12</v>
      </c>
      <c r="H107" s="66">
        <f t="shared" si="1"/>
        <v>77.87</v>
      </c>
      <c r="I107" s="66">
        <f t="shared" si="1"/>
        <v>1.81</v>
      </c>
      <c r="J107" s="66">
        <f t="shared" si="1"/>
        <v>1.22</v>
      </c>
      <c r="K107" s="66">
        <f t="shared" si="1"/>
        <v>357.45</v>
      </c>
      <c r="L107" s="66">
        <f t="shared" si="1"/>
        <v>36.96</v>
      </c>
      <c r="M107" s="66">
        <f t="shared" si="1"/>
        <v>83.68</v>
      </c>
      <c r="N107" s="66">
        <f t="shared" si="1"/>
        <v>617</v>
      </c>
      <c r="O107" s="66">
        <f t="shared" si="1"/>
        <v>0</v>
      </c>
      <c r="P107" s="66">
        <f t="shared" si="1"/>
        <v>3.68</v>
      </c>
      <c r="Q107" s="66">
        <f t="shared" si="1"/>
        <v>35.33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71.677708333333314</v>
      </c>
      <c r="C108" s="67">
        <f t="shared" ref="C108:Q108" si="2">AVERAGE(C9:C104)</f>
        <v>78.224270833333321</v>
      </c>
      <c r="D108" s="67">
        <f t="shared" si="2"/>
        <v>100.2442708333333</v>
      </c>
      <c r="E108" s="67">
        <f t="shared" si="2"/>
        <v>5.8978125000000032</v>
      </c>
      <c r="F108" s="67">
        <f t="shared" si="2"/>
        <v>7.1710416666666665</v>
      </c>
      <c r="G108" s="67">
        <f t="shared" si="2"/>
        <v>92.077395833333298</v>
      </c>
      <c r="H108" s="67">
        <f t="shared" si="2"/>
        <v>38.754374999999996</v>
      </c>
      <c r="I108" s="67">
        <f t="shared" si="2"/>
        <v>0.92072916666666649</v>
      </c>
      <c r="J108" s="67">
        <f t="shared" si="2"/>
        <v>0.29479166666666662</v>
      </c>
      <c r="K108" s="67">
        <f t="shared" si="2"/>
        <v>208.57270833333337</v>
      </c>
      <c r="L108" s="67">
        <f t="shared" si="2"/>
        <v>24.756770833333331</v>
      </c>
      <c r="M108" s="67">
        <f t="shared" si="2"/>
        <v>43.072499999999998</v>
      </c>
      <c r="N108" s="67">
        <f t="shared" si="2"/>
        <v>165.2583333333333</v>
      </c>
      <c r="O108" s="67">
        <f t="shared" si="2"/>
        <v>0</v>
      </c>
      <c r="P108" s="67">
        <f t="shared" si="2"/>
        <v>1.6134375000000001</v>
      </c>
      <c r="Q108" s="67">
        <f t="shared" si="2"/>
        <v>22.323578947368425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53.147531575678279</v>
      </c>
      <c r="C109" s="67">
        <f t="shared" ref="C109:Q109" si="3">STDEV(C9:C104)</f>
        <v>34.711567061770268</v>
      </c>
      <c r="D109" s="67">
        <f t="shared" si="3"/>
        <v>49.890220257656352</v>
      </c>
      <c r="E109" s="67">
        <f t="shared" si="3"/>
        <v>1.1713835302751883</v>
      </c>
      <c r="F109" s="67">
        <f t="shared" si="3"/>
        <v>4.4831716872313736</v>
      </c>
      <c r="G109" s="67">
        <f t="shared" si="3"/>
        <v>56.933272784805276</v>
      </c>
      <c r="H109" s="67">
        <f t="shared" si="3"/>
        <v>17.841645180956785</v>
      </c>
      <c r="I109" s="67">
        <f t="shared" si="3"/>
        <v>0.42145423624115341</v>
      </c>
      <c r="J109" s="67">
        <f t="shared" si="3"/>
        <v>0.28654743032273289</v>
      </c>
      <c r="K109" s="67">
        <f t="shared" si="3"/>
        <v>124.76099553676444</v>
      </c>
      <c r="L109" s="67">
        <f t="shared" si="3"/>
        <v>7.1848573944448617</v>
      </c>
      <c r="M109" s="67">
        <f t="shared" si="3"/>
        <v>22.665496755153971</v>
      </c>
      <c r="N109" s="67">
        <f t="shared" si="3"/>
        <v>226.69154125637991</v>
      </c>
      <c r="O109" s="67">
        <f t="shared" si="3"/>
        <v>0</v>
      </c>
      <c r="P109" s="67">
        <f t="shared" si="3"/>
        <v>0.83045051581086204</v>
      </c>
      <c r="Q109" s="67">
        <f t="shared" si="3"/>
        <v>8.0299173197022586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COUNT(Q9:Q104)+1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215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D9" sqref="D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11-02-2023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340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1205</v>
      </c>
      <c r="B9" s="60">
        <v>96.08</v>
      </c>
      <c r="C9" s="60">
        <v>131.4</v>
      </c>
      <c r="D9" s="60">
        <v>149.56</v>
      </c>
      <c r="E9" s="60">
        <v>6.38</v>
      </c>
      <c r="F9" s="60">
        <v>4.6100000000000003</v>
      </c>
      <c r="G9" s="60">
        <v>120.51</v>
      </c>
      <c r="H9" s="60">
        <v>51.34</v>
      </c>
      <c r="I9" s="60">
        <v>1.1599999999999999</v>
      </c>
      <c r="J9" s="60">
        <v>0.1</v>
      </c>
      <c r="K9" s="60">
        <v>317.10000000000002</v>
      </c>
      <c r="L9" s="60">
        <v>19.95</v>
      </c>
      <c r="M9" s="60">
        <v>44.71</v>
      </c>
      <c r="N9" s="60">
        <v>4.5</v>
      </c>
      <c r="O9" s="60">
        <v>0</v>
      </c>
      <c r="P9" s="60">
        <v>2.2200000000000002</v>
      </c>
      <c r="Q9" s="60">
        <v>34.76</v>
      </c>
      <c r="R9" s="198"/>
      <c r="S9" s="198"/>
      <c r="T9" s="198"/>
      <c r="U9" s="198"/>
    </row>
    <row r="10" spans="1:21" s="12" customFormat="1" x14ac:dyDescent="0.25">
      <c r="A10" s="201" t="s">
        <v>1206</v>
      </c>
      <c r="B10" s="60">
        <v>91.58</v>
      </c>
      <c r="C10" s="60">
        <v>127.23</v>
      </c>
      <c r="D10" s="60">
        <v>143.66</v>
      </c>
      <c r="E10" s="60">
        <v>6.91</v>
      </c>
      <c r="F10" s="60">
        <v>4.5599999999999996</v>
      </c>
      <c r="G10" s="60">
        <v>120.51</v>
      </c>
      <c r="H10" s="60">
        <v>51.34</v>
      </c>
      <c r="I10" s="60">
        <v>1.17</v>
      </c>
      <c r="J10" s="60">
        <v>0.04</v>
      </c>
      <c r="K10" s="60">
        <v>285.13</v>
      </c>
      <c r="L10" s="60">
        <v>19.64</v>
      </c>
      <c r="M10" s="60">
        <v>47.59</v>
      </c>
      <c r="N10" s="60">
        <v>4.5</v>
      </c>
      <c r="O10" s="60">
        <v>0</v>
      </c>
      <c r="P10" s="60">
        <v>2.15</v>
      </c>
      <c r="Q10" s="60">
        <v>34.630000000000003</v>
      </c>
      <c r="R10" s="198"/>
      <c r="S10" s="198"/>
      <c r="T10" s="198"/>
      <c r="U10" s="198"/>
    </row>
    <row r="11" spans="1:21" s="12" customFormat="1" x14ac:dyDescent="0.25">
      <c r="A11" s="201" t="s">
        <v>1207</v>
      </c>
      <c r="B11" s="60">
        <v>87.45</v>
      </c>
      <c r="C11" s="60">
        <v>124.51</v>
      </c>
      <c r="D11" s="60">
        <v>138.84</v>
      </c>
      <c r="E11" s="60">
        <v>6.61</v>
      </c>
      <c r="F11" s="60">
        <v>4.53</v>
      </c>
      <c r="G11" s="60">
        <v>98.34</v>
      </c>
      <c r="H11" s="60">
        <v>47.19</v>
      </c>
      <c r="I11" s="60">
        <v>1.1599999999999999</v>
      </c>
      <c r="J11" s="60">
        <v>0.11</v>
      </c>
      <c r="K11" s="60">
        <v>347.15</v>
      </c>
      <c r="L11" s="60">
        <v>19.399999999999999</v>
      </c>
      <c r="M11" s="60">
        <v>50.91</v>
      </c>
      <c r="N11" s="60">
        <v>4</v>
      </c>
      <c r="O11" s="60">
        <v>0</v>
      </c>
      <c r="P11" s="60">
        <v>2.09</v>
      </c>
      <c r="Q11" s="60">
        <v>34.479999999999997</v>
      </c>
      <c r="R11" s="198"/>
      <c r="S11" s="198"/>
      <c r="T11" s="198"/>
      <c r="U11" s="198"/>
    </row>
    <row r="12" spans="1:21" s="12" customFormat="1" x14ac:dyDescent="0.25">
      <c r="A12" s="201" t="s">
        <v>1208</v>
      </c>
      <c r="B12" s="60">
        <v>86</v>
      </c>
      <c r="C12" s="60">
        <v>123.26</v>
      </c>
      <c r="D12" s="60">
        <v>136.99</v>
      </c>
      <c r="E12" s="60">
        <v>6.62</v>
      </c>
      <c r="F12" s="60">
        <v>4.53</v>
      </c>
      <c r="G12" s="60">
        <v>71.84</v>
      </c>
      <c r="H12" s="60">
        <v>42.22</v>
      </c>
      <c r="I12" s="60">
        <v>1.1399999999999999</v>
      </c>
      <c r="J12" s="60">
        <v>0.13</v>
      </c>
      <c r="K12" s="60">
        <v>324.68</v>
      </c>
      <c r="L12" s="60">
        <v>19.23</v>
      </c>
      <c r="M12" s="60">
        <v>55.54</v>
      </c>
      <c r="N12" s="60">
        <v>4.2</v>
      </c>
      <c r="O12" s="60">
        <v>0</v>
      </c>
      <c r="P12" s="60">
        <v>2.06</v>
      </c>
      <c r="Q12" s="60">
        <v>34.31</v>
      </c>
      <c r="R12" s="198"/>
      <c r="S12" s="198"/>
      <c r="T12" s="198"/>
      <c r="U12" s="198"/>
    </row>
    <row r="13" spans="1:21" s="12" customFormat="1" x14ac:dyDescent="0.25">
      <c r="A13" s="201" t="s">
        <v>1209</v>
      </c>
      <c r="B13" s="60">
        <v>82.03</v>
      </c>
      <c r="C13" s="60">
        <v>120.5</v>
      </c>
      <c r="D13" s="60">
        <v>132.29</v>
      </c>
      <c r="E13" s="60">
        <v>6.73</v>
      </c>
      <c r="F13" s="60">
        <v>4.5199999999999996</v>
      </c>
      <c r="G13" s="60">
        <v>71.84</v>
      </c>
      <c r="H13" s="60">
        <v>42.22</v>
      </c>
      <c r="I13" s="60">
        <v>1.1299999999999999</v>
      </c>
      <c r="J13" s="60">
        <v>0.13</v>
      </c>
      <c r="K13" s="60">
        <v>266.33999999999997</v>
      </c>
      <c r="L13" s="60">
        <v>19.829999999999998</v>
      </c>
      <c r="M13" s="60">
        <v>58.5</v>
      </c>
      <c r="N13" s="60">
        <v>3.1</v>
      </c>
      <c r="O13" s="60">
        <v>0</v>
      </c>
      <c r="P13" s="60">
        <v>1.85</v>
      </c>
      <c r="Q13" s="60">
        <v>34.72</v>
      </c>
      <c r="R13" s="198"/>
      <c r="S13" s="198"/>
      <c r="T13" s="198"/>
      <c r="U13" s="198"/>
    </row>
    <row r="14" spans="1:21" s="12" customFormat="1" x14ac:dyDescent="0.25">
      <c r="A14" s="201" t="s">
        <v>1210</v>
      </c>
      <c r="B14" s="60">
        <v>78.16</v>
      </c>
      <c r="C14" s="60">
        <v>117.5</v>
      </c>
      <c r="D14" s="60">
        <v>127.53</v>
      </c>
      <c r="E14" s="60">
        <v>6.7</v>
      </c>
      <c r="F14" s="60">
        <v>4.5</v>
      </c>
      <c r="G14" s="60">
        <v>71.84</v>
      </c>
      <c r="H14" s="60">
        <v>42.22</v>
      </c>
      <c r="I14" s="60">
        <v>1.1200000000000001</v>
      </c>
      <c r="J14" s="60">
        <v>0.08</v>
      </c>
      <c r="K14" s="60">
        <v>298.11</v>
      </c>
      <c r="L14" s="60">
        <v>20.79</v>
      </c>
      <c r="M14" s="60">
        <v>57.58</v>
      </c>
      <c r="N14" s="60">
        <v>3.5</v>
      </c>
      <c r="O14" s="60">
        <v>0</v>
      </c>
      <c r="P14" s="60">
        <v>1.89</v>
      </c>
      <c r="Q14" s="60">
        <v>34.94</v>
      </c>
      <c r="R14" s="198"/>
      <c r="S14" s="198"/>
      <c r="T14" s="198"/>
      <c r="U14" s="198"/>
    </row>
    <row r="15" spans="1:21" s="12" customFormat="1" x14ac:dyDescent="0.25">
      <c r="A15" s="201" t="s">
        <v>1211</v>
      </c>
      <c r="B15" s="60">
        <v>72.599999999999994</v>
      </c>
      <c r="C15" s="60">
        <v>113.3</v>
      </c>
      <c r="D15" s="60">
        <v>120.75</v>
      </c>
      <c r="E15" s="60">
        <v>6.65</v>
      </c>
      <c r="F15" s="60">
        <v>4.5</v>
      </c>
      <c r="G15" s="60">
        <v>74.33</v>
      </c>
      <c r="H15" s="60">
        <v>40.92</v>
      </c>
      <c r="I15" s="60">
        <v>1.1000000000000001</v>
      </c>
      <c r="J15" s="60">
        <v>0.16</v>
      </c>
      <c r="K15" s="60">
        <v>318.08999999999997</v>
      </c>
      <c r="L15" s="60">
        <v>20.2</v>
      </c>
      <c r="M15" s="60">
        <v>60.29</v>
      </c>
      <c r="N15" s="60">
        <v>4</v>
      </c>
      <c r="O15" s="60">
        <v>0</v>
      </c>
      <c r="P15" s="60">
        <v>1.81</v>
      </c>
      <c r="Q15" s="60">
        <v>34.42</v>
      </c>
      <c r="R15" s="198"/>
      <c r="S15" s="198"/>
      <c r="T15" s="198"/>
      <c r="U15" s="198"/>
    </row>
    <row r="16" spans="1:21" s="12" customFormat="1" x14ac:dyDescent="0.25">
      <c r="A16" s="201" t="s">
        <v>1212</v>
      </c>
      <c r="B16" s="60">
        <v>67.19</v>
      </c>
      <c r="C16" s="60">
        <v>109.47</v>
      </c>
      <c r="D16" s="60">
        <v>114.29</v>
      </c>
      <c r="E16" s="60">
        <v>6.47</v>
      </c>
      <c r="F16" s="60">
        <v>4.5199999999999996</v>
      </c>
      <c r="G16" s="60">
        <v>77.31</v>
      </c>
      <c r="H16" s="60">
        <v>39.35</v>
      </c>
      <c r="I16" s="60">
        <v>1.06</v>
      </c>
      <c r="J16" s="60">
        <v>0.11</v>
      </c>
      <c r="K16" s="60">
        <v>300.56</v>
      </c>
      <c r="L16" s="60">
        <v>19.809999999999999</v>
      </c>
      <c r="M16" s="60">
        <v>59.33</v>
      </c>
      <c r="N16" s="60">
        <v>4.3</v>
      </c>
      <c r="O16" s="60">
        <v>0</v>
      </c>
      <c r="P16" s="60">
        <v>1.75</v>
      </c>
      <c r="Q16" s="60">
        <v>34.17</v>
      </c>
      <c r="R16" s="198"/>
      <c r="S16" s="198"/>
      <c r="T16" s="198"/>
      <c r="U16" s="198"/>
    </row>
    <row r="17" spans="1:21" s="12" customFormat="1" x14ac:dyDescent="0.25">
      <c r="A17" s="201" t="s">
        <v>1213</v>
      </c>
      <c r="B17" s="60">
        <v>61.76</v>
      </c>
      <c r="C17" s="60">
        <v>105.93</v>
      </c>
      <c r="D17" s="60">
        <v>107.98</v>
      </c>
      <c r="E17" s="60">
        <v>6.13</v>
      </c>
      <c r="F17" s="60">
        <v>4.5</v>
      </c>
      <c r="G17" s="60">
        <v>77.31</v>
      </c>
      <c r="H17" s="60">
        <v>39.35</v>
      </c>
      <c r="I17" s="60">
        <v>0.93</v>
      </c>
      <c r="J17" s="60">
        <v>0.11</v>
      </c>
      <c r="K17" s="60">
        <v>282.58</v>
      </c>
      <c r="L17" s="60">
        <v>19.309999999999999</v>
      </c>
      <c r="M17" s="60">
        <v>60.65</v>
      </c>
      <c r="N17" s="60">
        <v>4.3</v>
      </c>
      <c r="O17" s="60">
        <v>0</v>
      </c>
      <c r="P17" s="60">
        <v>1.68</v>
      </c>
      <c r="Q17" s="60">
        <v>34.049999999999997</v>
      </c>
      <c r="R17" s="198"/>
      <c r="S17" s="198"/>
      <c r="T17" s="198"/>
      <c r="U17" s="198"/>
    </row>
    <row r="18" spans="1:21" s="12" customFormat="1" x14ac:dyDescent="0.25">
      <c r="A18" s="201" t="s">
        <v>1214</v>
      </c>
      <c r="B18" s="60">
        <v>56.73</v>
      </c>
      <c r="C18" s="60">
        <v>102.79</v>
      </c>
      <c r="D18" s="60">
        <v>102.23</v>
      </c>
      <c r="E18" s="60">
        <v>6</v>
      </c>
      <c r="F18" s="60">
        <v>4.5</v>
      </c>
      <c r="G18" s="60">
        <v>77.31</v>
      </c>
      <c r="H18" s="60">
        <v>39.35</v>
      </c>
      <c r="I18" s="60">
        <v>0.97</v>
      </c>
      <c r="J18" s="60">
        <v>0.16</v>
      </c>
      <c r="K18" s="60">
        <v>263.75</v>
      </c>
      <c r="L18" s="60">
        <v>18.93</v>
      </c>
      <c r="M18" s="60">
        <v>61.44</v>
      </c>
      <c r="N18" s="60">
        <v>4.2</v>
      </c>
      <c r="O18" s="60">
        <v>0</v>
      </c>
      <c r="P18" s="60">
        <v>1.61</v>
      </c>
      <c r="Q18" s="60">
        <v>33.74</v>
      </c>
      <c r="R18" s="198"/>
      <c r="S18" s="198"/>
      <c r="T18" s="198"/>
      <c r="U18" s="198"/>
    </row>
    <row r="19" spans="1:21" s="12" customFormat="1" x14ac:dyDescent="0.25">
      <c r="A19" s="201" t="s">
        <v>1215</v>
      </c>
      <c r="B19" s="60">
        <v>52.37</v>
      </c>
      <c r="C19" s="60">
        <v>100.54</v>
      </c>
      <c r="D19" s="60">
        <v>97.48</v>
      </c>
      <c r="E19" s="60">
        <v>6.16</v>
      </c>
      <c r="F19" s="60">
        <v>4.5</v>
      </c>
      <c r="G19" s="60">
        <v>62.24</v>
      </c>
      <c r="H19" s="60">
        <v>35.81</v>
      </c>
      <c r="I19" s="60">
        <v>0.94</v>
      </c>
      <c r="J19" s="60">
        <v>0.11</v>
      </c>
      <c r="K19" s="60">
        <v>342.28</v>
      </c>
      <c r="L19" s="60">
        <v>18.600000000000001</v>
      </c>
      <c r="M19" s="60">
        <v>59.52</v>
      </c>
      <c r="N19" s="60">
        <v>4.4000000000000004</v>
      </c>
      <c r="O19" s="60">
        <v>0</v>
      </c>
      <c r="P19" s="60">
        <v>1.55</v>
      </c>
      <c r="Q19" s="60">
        <v>33.380000000000003</v>
      </c>
      <c r="R19" s="198"/>
      <c r="S19" s="198"/>
      <c r="T19" s="198"/>
      <c r="U19" s="198"/>
    </row>
    <row r="20" spans="1:21" s="12" customFormat="1" x14ac:dyDescent="0.25">
      <c r="A20" s="201" t="s">
        <v>1216</v>
      </c>
      <c r="B20" s="60">
        <v>45.52</v>
      </c>
      <c r="C20" s="60">
        <v>96.14</v>
      </c>
      <c r="D20" s="60">
        <v>89.57</v>
      </c>
      <c r="E20" s="60">
        <v>5.92</v>
      </c>
      <c r="F20" s="60">
        <v>4.57</v>
      </c>
      <c r="G20" s="60">
        <v>44.22</v>
      </c>
      <c r="H20" s="60">
        <v>31.57</v>
      </c>
      <c r="I20" s="60">
        <v>0.85</v>
      </c>
      <c r="J20" s="60">
        <v>0.17</v>
      </c>
      <c r="K20" s="60">
        <v>328.23</v>
      </c>
      <c r="L20" s="60">
        <v>18.829999999999998</v>
      </c>
      <c r="M20" s="60">
        <v>49.36</v>
      </c>
      <c r="N20" s="60">
        <v>3.9</v>
      </c>
      <c r="O20" s="60">
        <v>0</v>
      </c>
      <c r="P20" s="60">
        <v>1.47</v>
      </c>
      <c r="Q20" s="60">
        <v>32.49</v>
      </c>
      <c r="R20" s="198"/>
      <c r="S20" s="198"/>
      <c r="T20" s="198"/>
      <c r="U20" s="198"/>
    </row>
    <row r="21" spans="1:21" s="12" customFormat="1" x14ac:dyDescent="0.25">
      <c r="A21" s="201" t="s">
        <v>1217</v>
      </c>
      <c r="B21" s="60">
        <v>44.23</v>
      </c>
      <c r="C21" s="60">
        <v>95.78</v>
      </c>
      <c r="D21" s="60">
        <v>88.33</v>
      </c>
      <c r="E21" s="60">
        <v>5.94</v>
      </c>
      <c r="F21" s="60">
        <v>4.5</v>
      </c>
      <c r="G21" s="60">
        <v>44.22</v>
      </c>
      <c r="H21" s="60">
        <v>31.57</v>
      </c>
      <c r="I21" s="60">
        <v>0.81</v>
      </c>
      <c r="J21" s="60">
        <v>0.05</v>
      </c>
      <c r="K21" s="60">
        <v>61.32</v>
      </c>
      <c r="L21" s="60">
        <v>18.78</v>
      </c>
      <c r="M21" s="60">
        <v>49.38</v>
      </c>
      <c r="N21" s="60">
        <v>4.5999999999999996</v>
      </c>
      <c r="O21" s="60">
        <v>0</v>
      </c>
      <c r="P21" s="60">
        <v>1.41</v>
      </c>
      <c r="Q21" s="60">
        <v>32.08</v>
      </c>
      <c r="R21" s="198"/>
      <c r="S21" s="198"/>
      <c r="T21" s="198"/>
      <c r="U21" s="198"/>
    </row>
    <row r="22" spans="1:21" s="12" customFormat="1" x14ac:dyDescent="0.25">
      <c r="A22" s="201" t="s">
        <v>1218</v>
      </c>
      <c r="B22" s="60">
        <v>42.05</v>
      </c>
      <c r="C22" s="60">
        <v>94.87</v>
      </c>
      <c r="D22" s="60">
        <v>86.08</v>
      </c>
      <c r="E22" s="60">
        <v>6.32</v>
      </c>
      <c r="F22" s="60">
        <v>4.51</v>
      </c>
      <c r="G22" s="60">
        <v>44.22</v>
      </c>
      <c r="H22" s="60">
        <v>31.57</v>
      </c>
      <c r="I22" s="60">
        <v>0.79</v>
      </c>
      <c r="J22" s="6" t="s">
        <v>42</v>
      </c>
      <c r="K22" s="60">
        <v>317.87</v>
      </c>
      <c r="L22" s="60">
        <v>18.260000000000002</v>
      </c>
      <c r="M22" s="60">
        <v>53.65</v>
      </c>
      <c r="N22" s="60">
        <v>4.4000000000000004</v>
      </c>
      <c r="O22" s="60">
        <v>0</v>
      </c>
      <c r="P22" s="60">
        <v>1.36</v>
      </c>
      <c r="Q22" s="60">
        <v>31.89</v>
      </c>
      <c r="R22" s="198"/>
      <c r="S22" s="198"/>
      <c r="T22" s="198"/>
      <c r="U22" s="198"/>
    </row>
    <row r="23" spans="1:21" s="12" customFormat="1" x14ac:dyDescent="0.25">
      <c r="A23" s="201" t="s">
        <v>1219</v>
      </c>
      <c r="B23" s="60">
        <v>39.51</v>
      </c>
      <c r="C23" s="60">
        <v>93.5</v>
      </c>
      <c r="D23" s="60">
        <v>83.28</v>
      </c>
      <c r="E23" s="60">
        <v>6.29</v>
      </c>
      <c r="F23" s="60">
        <v>4.5</v>
      </c>
      <c r="G23" s="60">
        <v>52.4</v>
      </c>
      <c r="H23" s="60">
        <v>30.14</v>
      </c>
      <c r="I23" s="60">
        <v>0.78</v>
      </c>
      <c r="J23" s="60">
        <v>0.01</v>
      </c>
      <c r="K23" s="60">
        <v>129.07</v>
      </c>
      <c r="L23" s="60">
        <v>17.8</v>
      </c>
      <c r="M23" s="60">
        <v>56.09</v>
      </c>
      <c r="N23" s="60">
        <v>4.5</v>
      </c>
      <c r="O23" s="60">
        <v>0</v>
      </c>
      <c r="P23" s="60">
        <v>1.3</v>
      </c>
      <c r="Q23" s="60">
        <v>31.65</v>
      </c>
      <c r="R23" s="198"/>
      <c r="S23" s="198"/>
      <c r="T23" s="198"/>
      <c r="U23" s="198"/>
    </row>
    <row r="24" spans="1:21" s="12" customFormat="1" x14ac:dyDescent="0.25">
      <c r="A24" s="201" t="s">
        <v>1220</v>
      </c>
      <c r="B24" s="60">
        <v>37.83</v>
      </c>
      <c r="C24" s="60">
        <v>92.35</v>
      </c>
      <c r="D24" s="60">
        <v>81.3</v>
      </c>
      <c r="E24" s="60">
        <v>3.82</v>
      </c>
      <c r="F24" s="60">
        <v>4.5</v>
      </c>
      <c r="G24" s="60">
        <v>62.18</v>
      </c>
      <c r="H24" s="60">
        <v>28.44</v>
      </c>
      <c r="I24" s="60">
        <v>0.78</v>
      </c>
      <c r="J24" s="60">
        <v>0.09</v>
      </c>
      <c r="K24" s="60">
        <v>341.35</v>
      </c>
      <c r="L24" s="60">
        <v>17.7</v>
      </c>
      <c r="M24" s="60">
        <v>56.19</v>
      </c>
      <c r="N24" s="60">
        <v>4.3</v>
      </c>
      <c r="O24" s="60">
        <v>0</v>
      </c>
      <c r="P24" s="60">
        <v>1.26</v>
      </c>
      <c r="Q24" s="60">
        <v>31.28</v>
      </c>
      <c r="R24" s="198"/>
      <c r="S24" s="198"/>
      <c r="T24" s="198"/>
      <c r="U24" s="198"/>
    </row>
    <row r="25" spans="1:21" s="12" customFormat="1" x14ac:dyDescent="0.25">
      <c r="A25" s="201" t="s">
        <v>1221</v>
      </c>
      <c r="B25" s="60">
        <v>36.19</v>
      </c>
      <c r="C25" s="60">
        <v>91.3</v>
      </c>
      <c r="D25" s="60">
        <v>79.41</v>
      </c>
      <c r="E25" s="60">
        <v>5.77</v>
      </c>
      <c r="F25" s="60">
        <v>4.55</v>
      </c>
      <c r="G25" s="60">
        <v>62.18</v>
      </c>
      <c r="H25" s="60">
        <v>28.44</v>
      </c>
      <c r="I25" s="60">
        <v>0.77</v>
      </c>
      <c r="J25" s="60">
        <v>0.02</v>
      </c>
      <c r="K25" s="60">
        <v>288.64999999999998</v>
      </c>
      <c r="L25" s="60">
        <v>17.829999999999998</v>
      </c>
      <c r="M25" s="60">
        <v>55.22</v>
      </c>
      <c r="N25" s="60">
        <v>4.0999999999999996</v>
      </c>
      <c r="O25" s="60">
        <v>0</v>
      </c>
      <c r="P25" s="60">
        <v>1.23</v>
      </c>
      <c r="Q25" s="60">
        <v>31.14</v>
      </c>
      <c r="R25" s="198"/>
      <c r="S25" s="198"/>
      <c r="T25" s="198"/>
      <c r="U25" s="198"/>
    </row>
    <row r="26" spans="1:21" s="12" customFormat="1" x14ac:dyDescent="0.25">
      <c r="A26" s="201" t="s">
        <v>1222</v>
      </c>
      <c r="B26" s="60">
        <v>33.94</v>
      </c>
      <c r="C26" s="60">
        <v>89.34</v>
      </c>
      <c r="D26" s="60">
        <v>76.52</v>
      </c>
      <c r="E26" s="60">
        <v>5.84</v>
      </c>
      <c r="F26" s="60">
        <v>4.51</v>
      </c>
      <c r="G26" s="60">
        <v>62.18</v>
      </c>
      <c r="H26" s="60">
        <v>28.44</v>
      </c>
      <c r="I26" s="60">
        <v>0.77</v>
      </c>
      <c r="J26" s="60">
        <v>0.09</v>
      </c>
      <c r="K26" s="60">
        <v>280.93</v>
      </c>
      <c r="L26" s="60">
        <v>18.46</v>
      </c>
      <c r="M26" s="60">
        <v>55.46</v>
      </c>
      <c r="N26" s="60">
        <v>3.7</v>
      </c>
      <c r="O26" s="60">
        <v>0</v>
      </c>
      <c r="P26" s="60">
        <v>1.18</v>
      </c>
      <c r="Q26" s="60">
        <v>30.96</v>
      </c>
      <c r="R26" s="198"/>
      <c r="S26" s="198"/>
      <c r="T26" s="198"/>
      <c r="U26" s="198"/>
    </row>
    <row r="27" spans="1:21" s="12" customFormat="1" x14ac:dyDescent="0.25">
      <c r="A27" s="201" t="s">
        <v>1223</v>
      </c>
      <c r="B27" s="60">
        <v>32.340000000000003</v>
      </c>
      <c r="C27" s="60">
        <v>88.41</v>
      </c>
      <c r="D27" s="60">
        <v>74.73</v>
      </c>
      <c r="E27" s="60">
        <v>5.86</v>
      </c>
      <c r="F27" s="60">
        <v>4.51</v>
      </c>
      <c r="G27" s="60">
        <v>59.39</v>
      </c>
      <c r="H27" s="60">
        <v>28.6</v>
      </c>
      <c r="I27" s="60">
        <v>0.76</v>
      </c>
      <c r="J27" s="60">
        <v>0.23</v>
      </c>
      <c r="K27" s="60">
        <v>207.83</v>
      </c>
      <c r="L27" s="60">
        <v>19.010000000000002</v>
      </c>
      <c r="M27" s="60">
        <v>55.08</v>
      </c>
      <c r="N27" s="60">
        <v>3.1</v>
      </c>
      <c r="O27" s="60">
        <v>0</v>
      </c>
      <c r="P27" s="60">
        <v>1.1399999999999999</v>
      </c>
      <c r="Q27" s="60">
        <v>31.05</v>
      </c>
      <c r="R27" s="198"/>
      <c r="S27" s="198"/>
      <c r="T27" s="198"/>
      <c r="U27" s="198"/>
    </row>
    <row r="28" spans="1:21" s="12" customFormat="1" x14ac:dyDescent="0.25">
      <c r="A28" s="201" t="s">
        <v>1224</v>
      </c>
      <c r="B28" s="60">
        <v>30.71</v>
      </c>
      <c r="C28" s="60">
        <v>87.53</v>
      </c>
      <c r="D28" s="60">
        <v>72.930000000000007</v>
      </c>
      <c r="E28" s="60">
        <v>5.95</v>
      </c>
      <c r="F28" s="60">
        <v>4.5</v>
      </c>
      <c r="G28" s="60">
        <v>56.04</v>
      </c>
      <c r="H28" s="60">
        <v>28.79</v>
      </c>
      <c r="I28" s="60">
        <v>0.75</v>
      </c>
      <c r="J28" s="60">
        <v>0.16</v>
      </c>
      <c r="K28" s="60">
        <v>254.07</v>
      </c>
      <c r="L28" s="60">
        <v>18.93</v>
      </c>
      <c r="M28" s="60">
        <v>55.57</v>
      </c>
      <c r="N28" s="60">
        <v>4</v>
      </c>
      <c r="O28" s="60">
        <v>0</v>
      </c>
      <c r="P28" s="60">
        <v>1.1000000000000001</v>
      </c>
      <c r="Q28" s="60">
        <v>31.62</v>
      </c>
      <c r="R28" s="198"/>
      <c r="S28" s="198"/>
      <c r="T28" s="198"/>
      <c r="U28" s="198"/>
    </row>
    <row r="29" spans="1:21" s="12" customFormat="1" x14ac:dyDescent="0.25">
      <c r="A29" s="201" t="s">
        <v>1225</v>
      </c>
      <c r="B29" s="60">
        <v>29.15</v>
      </c>
      <c r="C29" s="60">
        <v>86.84</v>
      </c>
      <c r="D29" s="60">
        <v>71.3</v>
      </c>
      <c r="E29" s="60">
        <v>5.63</v>
      </c>
      <c r="F29" s="60">
        <v>4.5</v>
      </c>
      <c r="G29" s="60">
        <v>56.04</v>
      </c>
      <c r="H29" s="60">
        <v>28.79</v>
      </c>
      <c r="I29" s="60">
        <v>0.74</v>
      </c>
      <c r="J29" s="60">
        <v>0.09</v>
      </c>
      <c r="K29" s="60">
        <v>255.15</v>
      </c>
      <c r="L29" s="60">
        <v>18.559999999999999</v>
      </c>
      <c r="M29" s="60">
        <v>56.07</v>
      </c>
      <c r="N29" s="60">
        <v>4.0999999999999996</v>
      </c>
      <c r="O29" s="60">
        <v>0</v>
      </c>
      <c r="P29" s="60">
        <v>1.07</v>
      </c>
      <c r="Q29" s="60">
        <v>31.59</v>
      </c>
      <c r="R29" s="198"/>
      <c r="S29" s="198"/>
      <c r="T29" s="198"/>
      <c r="U29" s="198"/>
    </row>
    <row r="30" spans="1:21" s="12" customFormat="1" x14ac:dyDescent="0.25">
      <c r="A30" s="201" t="s">
        <v>1226</v>
      </c>
      <c r="B30" s="60">
        <v>27.81</v>
      </c>
      <c r="C30" s="60">
        <v>86.16</v>
      </c>
      <c r="D30" s="60">
        <v>69.849999999999994</v>
      </c>
      <c r="E30" s="60">
        <v>5.41</v>
      </c>
      <c r="F30" s="60">
        <v>4.5</v>
      </c>
      <c r="G30" s="60">
        <v>56.04</v>
      </c>
      <c r="H30" s="60">
        <v>28.79</v>
      </c>
      <c r="I30" s="60">
        <v>0.73</v>
      </c>
      <c r="J30" s="60">
        <v>0.31</v>
      </c>
      <c r="K30" s="60">
        <v>196.02</v>
      </c>
      <c r="L30" s="60">
        <v>18.22</v>
      </c>
      <c r="M30" s="60">
        <v>58.7</v>
      </c>
      <c r="N30" s="60">
        <v>3.7</v>
      </c>
      <c r="O30" s="60">
        <v>0</v>
      </c>
      <c r="P30" s="60">
        <v>1.04</v>
      </c>
      <c r="Q30" s="60">
        <v>31.56</v>
      </c>
      <c r="R30" s="198"/>
      <c r="S30" s="198"/>
      <c r="T30" s="198"/>
      <c r="U30" s="198"/>
    </row>
    <row r="31" spans="1:21" s="12" customFormat="1" x14ac:dyDescent="0.25">
      <c r="A31" s="201" t="s">
        <v>1227</v>
      </c>
      <c r="B31" s="60">
        <v>26.19</v>
      </c>
      <c r="C31" s="60">
        <v>85.2</v>
      </c>
      <c r="D31" s="60">
        <v>68.02</v>
      </c>
      <c r="E31" s="60">
        <v>5.58</v>
      </c>
      <c r="F31" s="60">
        <v>4.5599999999999996</v>
      </c>
      <c r="G31" s="60">
        <v>58.06</v>
      </c>
      <c r="H31" s="60">
        <v>27</v>
      </c>
      <c r="I31" s="60">
        <v>0.71</v>
      </c>
      <c r="J31" s="60">
        <v>0.19</v>
      </c>
      <c r="K31" s="60">
        <v>223.84</v>
      </c>
      <c r="L31" s="60">
        <v>18.22</v>
      </c>
      <c r="M31" s="60">
        <v>59.69</v>
      </c>
      <c r="N31" s="60">
        <v>4.0999999999999996</v>
      </c>
      <c r="O31" s="60">
        <v>0</v>
      </c>
      <c r="P31" s="60">
        <v>1.01</v>
      </c>
      <c r="Q31" s="60">
        <v>31.34</v>
      </c>
      <c r="R31" s="198"/>
      <c r="S31" s="198"/>
      <c r="T31" s="198"/>
      <c r="U31" s="198"/>
    </row>
    <row r="32" spans="1:21" s="12" customFormat="1" x14ac:dyDescent="0.25">
      <c r="A32" s="201" t="s">
        <v>1228</v>
      </c>
      <c r="B32" s="60">
        <v>24.49</v>
      </c>
      <c r="C32" s="60">
        <v>84.05</v>
      </c>
      <c r="D32" s="60">
        <v>66.02</v>
      </c>
      <c r="E32" s="60">
        <v>5.71</v>
      </c>
      <c r="F32" s="60">
        <v>4.59</v>
      </c>
      <c r="G32" s="60">
        <v>60.47</v>
      </c>
      <c r="H32" s="60">
        <v>24.86</v>
      </c>
      <c r="I32" s="60">
        <v>0.7</v>
      </c>
      <c r="J32" s="60">
        <v>0.15</v>
      </c>
      <c r="K32" s="60">
        <v>195.93</v>
      </c>
      <c r="L32" s="60">
        <v>17.82</v>
      </c>
      <c r="M32" s="60">
        <v>60.67</v>
      </c>
      <c r="N32" s="60">
        <v>4.2</v>
      </c>
      <c r="O32" s="60">
        <v>0</v>
      </c>
      <c r="P32" s="60">
        <v>0.99</v>
      </c>
      <c r="Q32" s="60">
        <v>31.34</v>
      </c>
      <c r="R32" s="198"/>
      <c r="S32" s="198"/>
      <c r="T32" s="198"/>
      <c r="U32" s="198"/>
    </row>
    <row r="33" spans="1:21" s="12" customFormat="1" x14ac:dyDescent="0.25">
      <c r="A33" s="201" t="s">
        <v>1229</v>
      </c>
      <c r="B33" s="60">
        <v>23.16</v>
      </c>
      <c r="C33" s="60">
        <v>83.32</v>
      </c>
      <c r="D33" s="60">
        <v>64.55</v>
      </c>
      <c r="E33" s="60">
        <v>5.86</v>
      </c>
      <c r="F33" s="60">
        <v>4.5</v>
      </c>
      <c r="G33" s="60">
        <v>60.47</v>
      </c>
      <c r="H33" s="60">
        <v>24.86</v>
      </c>
      <c r="I33" s="60">
        <v>0.69</v>
      </c>
      <c r="J33" s="60">
        <v>0.12</v>
      </c>
      <c r="K33" s="60">
        <v>333.59</v>
      </c>
      <c r="L33" s="60">
        <v>17.63</v>
      </c>
      <c r="M33" s="60">
        <v>61.03</v>
      </c>
      <c r="N33" s="60">
        <v>4.4000000000000004</v>
      </c>
      <c r="O33" s="60">
        <v>0</v>
      </c>
      <c r="P33" s="60">
        <v>0.98</v>
      </c>
      <c r="Q33" s="60">
        <v>31.39</v>
      </c>
      <c r="R33" s="198"/>
      <c r="S33" s="198"/>
      <c r="T33" s="198"/>
      <c r="U33" s="198"/>
    </row>
    <row r="34" spans="1:21" s="12" customFormat="1" x14ac:dyDescent="0.25">
      <c r="A34" s="201" t="s">
        <v>1230</v>
      </c>
      <c r="B34" s="60">
        <v>23.06</v>
      </c>
      <c r="C34" s="60">
        <v>83.45</v>
      </c>
      <c r="D34" s="60">
        <v>64.55</v>
      </c>
      <c r="E34" s="60">
        <v>5.26</v>
      </c>
      <c r="F34" s="60">
        <v>4.5</v>
      </c>
      <c r="G34" s="60">
        <v>60.47</v>
      </c>
      <c r="H34" s="60">
        <v>24.86</v>
      </c>
      <c r="I34" s="60">
        <v>0.68</v>
      </c>
      <c r="J34" s="60">
        <v>0.19</v>
      </c>
      <c r="K34" s="60">
        <v>327.89</v>
      </c>
      <c r="L34" s="60">
        <v>17.14</v>
      </c>
      <c r="M34" s="60">
        <v>63.42</v>
      </c>
      <c r="N34" s="60">
        <v>5.9</v>
      </c>
      <c r="O34" s="60">
        <v>0</v>
      </c>
      <c r="P34" s="60">
        <v>0.98</v>
      </c>
      <c r="Q34" s="60">
        <v>30.84</v>
      </c>
      <c r="R34" s="198"/>
      <c r="S34" s="198"/>
      <c r="T34" s="198"/>
      <c r="U34" s="198"/>
    </row>
    <row r="35" spans="1:21" s="12" customFormat="1" x14ac:dyDescent="0.25">
      <c r="A35" s="201" t="s">
        <v>1231</v>
      </c>
      <c r="B35" s="60">
        <v>24.26</v>
      </c>
      <c r="C35" s="60">
        <v>84.42</v>
      </c>
      <c r="D35" s="60">
        <v>66.05</v>
      </c>
      <c r="E35" s="60">
        <v>5.0199999999999996</v>
      </c>
      <c r="F35" s="60">
        <v>4.5</v>
      </c>
      <c r="G35" s="60">
        <v>50.65</v>
      </c>
      <c r="H35" s="60">
        <v>25.34</v>
      </c>
      <c r="I35" s="60">
        <v>0.67</v>
      </c>
      <c r="J35" s="60">
        <v>0.09</v>
      </c>
      <c r="K35" s="60">
        <v>291.98</v>
      </c>
      <c r="L35" s="60">
        <v>17.510000000000002</v>
      </c>
      <c r="M35" s="60">
        <v>62.61</v>
      </c>
      <c r="N35" s="60">
        <v>11.2</v>
      </c>
      <c r="O35" s="60">
        <v>0</v>
      </c>
      <c r="P35" s="60">
        <v>0.98</v>
      </c>
      <c r="Q35" s="60">
        <v>30.22</v>
      </c>
      <c r="R35" s="198"/>
      <c r="S35" s="198"/>
      <c r="T35" s="198"/>
      <c r="U35" s="198"/>
    </row>
    <row r="36" spans="1:21" s="12" customFormat="1" x14ac:dyDescent="0.25">
      <c r="A36" s="201" t="s">
        <v>1232</v>
      </c>
      <c r="B36" s="60">
        <v>24.51</v>
      </c>
      <c r="C36" s="60">
        <v>84.6</v>
      </c>
      <c r="D36" s="60">
        <v>66.34</v>
      </c>
      <c r="E36" s="60">
        <v>5.47</v>
      </c>
      <c r="F36" s="60">
        <v>4.51</v>
      </c>
      <c r="G36" s="60">
        <v>38.909999999999997</v>
      </c>
      <c r="H36" s="60">
        <v>25.92</v>
      </c>
      <c r="I36" s="60">
        <v>0.67</v>
      </c>
      <c r="J36" s="60">
        <v>0.09</v>
      </c>
      <c r="K36" s="60">
        <v>208.83</v>
      </c>
      <c r="L36" s="60">
        <v>18.170000000000002</v>
      </c>
      <c r="M36" s="60">
        <v>58.93</v>
      </c>
      <c r="N36" s="60">
        <v>21.1</v>
      </c>
      <c r="O36" s="60">
        <v>0</v>
      </c>
      <c r="P36" s="60">
        <v>0.97</v>
      </c>
      <c r="Q36" s="60">
        <v>30.01</v>
      </c>
      <c r="R36" s="198"/>
      <c r="S36" s="198"/>
      <c r="T36" s="198"/>
      <c r="U36" s="198"/>
    </row>
    <row r="37" spans="1:21" s="12" customFormat="1" x14ac:dyDescent="0.25">
      <c r="A37" s="201" t="s">
        <v>1233</v>
      </c>
      <c r="B37" s="60">
        <v>23.96</v>
      </c>
      <c r="C37" s="60">
        <v>84.26</v>
      </c>
      <c r="D37" s="60">
        <v>65.709999999999994</v>
      </c>
      <c r="E37" s="60">
        <v>5.58</v>
      </c>
      <c r="F37" s="60">
        <v>4.5199999999999996</v>
      </c>
      <c r="G37" s="60">
        <v>38.909999999999997</v>
      </c>
      <c r="H37" s="60">
        <v>25.92</v>
      </c>
      <c r="I37" s="60">
        <v>0.67</v>
      </c>
      <c r="J37" s="60">
        <v>0.06</v>
      </c>
      <c r="K37" s="60">
        <v>309.63</v>
      </c>
      <c r="L37" s="60">
        <v>18.399999999999999</v>
      </c>
      <c r="M37" s="60">
        <v>57.16</v>
      </c>
      <c r="N37" s="60">
        <v>31.7</v>
      </c>
      <c r="O37" s="60">
        <v>0</v>
      </c>
      <c r="P37" s="60">
        <v>0.93</v>
      </c>
      <c r="Q37" s="60">
        <v>29.92</v>
      </c>
      <c r="R37" s="198"/>
      <c r="S37" s="198"/>
      <c r="T37" s="198"/>
      <c r="U37" s="198"/>
    </row>
    <row r="38" spans="1:21" s="12" customFormat="1" x14ac:dyDescent="0.25">
      <c r="A38" s="201" t="s">
        <v>1234</v>
      </c>
      <c r="B38" s="60">
        <v>23.62</v>
      </c>
      <c r="C38" s="60">
        <v>84.12</v>
      </c>
      <c r="D38" s="60">
        <v>65.37</v>
      </c>
      <c r="E38" s="60">
        <v>5.73</v>
      </c>
      <c r="F38" s="60">
        <v>4.5599999999999996</v>
      </c>
      <c r="G38" s="60">
        <v>38.909999999999997</v>
      </c>
      <c r="H38" s="60">
        <v>25.92</v>
      </c>
      <c r="I38" s="60">
        <v>0.66</v>
      </c>
      <c r="J38" s="60">
        <v>0.04</v>
      </c>
      <c r="K38" s="60">
        <v>270.51</v>
      </c>
      <c r="L38" s="60">
        <v>18.920000000000002</v>
      </c>
      <c r="M38" s="60">
        <v>55.25</v>
      </c>
      <c r="N38" s="60">
        <v>67.900000000000006</v>
      </c>
      <c r="O38" s="60">
        <v>0</v>
      </c>
      <c r="P38" s="60">
        <v>0.95</v>
      </c>
      <c r="Q38" s="60">
        <v>29.69</v>
      </c>
      <c r="R38" s="198"/>
      <c r="S38" s="198"/>
      <c r="T38" s="198"/>
      <c r="U38" s="198"/>
    </row>
    <row r="39" spans="1:21" s="12" customFormat="1" x14ac:dyDescent="0.25">
      <c r="A39" s="201" t="s">
        <v>1235</v>
      </c>
      <c r="B39" s="60">
        <v>23.12</v>
      </c>
      <c r="C39" s="60">
        <v>83.96</v>
      </c>
      <c r="D39" s="60">
        <v>64.88</v>
      </c>
      <c r="E39" s="60">
        <v>6</v>
      </c>
      <c r="F39" s="60">
        <v>4.5</v>
      </c>
      <c r="G39" s="60">
        <v>46.83</v>
      </c>
      <c r="H39" s="60">
        <v>26.05</v>
      </c>
      <c r="I39" s="60">
        <v>0.66</v>
      </c>
      <c r="J39" s="60">
        <v>0.17</v>
      </c>
      <c r="K39" s="60">
        <v>213.4</v>
      </c>
      <c r="L39" s="60">
        <v>20.51</v>
      </c>
      <c r="M39" s="60">
        <v>50.93</v>
      </c>
      <c r="N39" s="60">
        <v>182.1</v>
      </c>
      <c r="O39" s="60">
        <v>0</v>
      </c>
      <c r="P39" s="60">
        <v>0.94</v>
      </c>
      <c r="Q39" s="60">
        <v>29.6</v>
      </c>
      <c r="R39" s="198"/>
      <c r="S39" s="198"/>
      <c r="T39" s="198"/>
      <c r="U39" s="198"/>
    </row>
    <row r="40" spans="1:21" s="12" customFormat="1" x14ac:dyDescent="0.25">
      <c r="A40" s="201" t="s">
        <v>1236</v>
      </c>
      <c r="B40" s="60">
        <v>22.52</v>
      </c>
      <c r="C40" s="60">
        <v>83.95</v>
      </c>
      <c r="D40" s="60">
        <v>64.39</v>
      </c>
      <c r="E40" s="60">
        <v>4.2699999999999996</v>
      </c>
      <c r="F40" s="60">
        <v>4.58</v>
      </c>
      <c r="G40" s="60">
        <v>56.29</v>
      </c>
      <c r="H40" s="60">
        <v>26.21</v>
      </c>
      <c r="I40" s="60">
        <v>0.66</v>
      </c>
      <c r="J40" s="60">
        <v>0.45</v>
      </c>
      <c r="K40" s="60">
        <v>190.02</v>
      </c>
      <c r="L40" s="60">
        <v>22.03</v>
      </c>
      <c r="M40" s="60">
        <v>46.9</v>
      </c>
      <c r="N40" s="60">
        <v>240.6</v>
      </c>
      <c r="O40" s="60">
        <v>0</v>
      </c>
      <c r="P40" s="60">
        <v>0.93</v>
      </c>
      <c r="Q40" s="60">
        <v>29.44</v>
      </c>
      <c r="R40" s="198"/>
      <c r="S40" s="198"/>
      <c r="T40" s="198"/>
      <c r="U40" s="198"/>
    </row>
    <row r="41" spans="1:21" s="12" customFormat="1" x14ac:dyDescent="0.25">
      <c r="A41" s="201" t="s">
        <v>1237</v>
      </c>
      <c r="B41" s="60">
        <v>21.52</v>
      </c>
      <c r="C41" s="60">
        <v>83.32</v>
      </c>
      <c r="D41" s="60">
        <v>63.24</v>
      </c>
      <c r="E41" s="60">
        <v>6.17</v>
      </c>
      <c r="F41" s="60">
        <v>4.63</v>
      </c>
      <c r="G41" s="60">
        <v>56.29</v>
      </c>
      <c r="H41" s="60">
        <v>26.21</v>
      </c>
      <c r="I41" s="60">
        <v>0.66</v>
      </c>
      <c r="J41" s="60">
        <v>0.76</v>
      </c>
      <c r="K41" s="60">
        <v>173.07</v>
      </c>
      <c r="L41" s="60">
        <v>22.78</v>
      </c>
      <c r="M41" s="60">
        <v>44.74</v>
      </c>
      <c r="N41" s="60">
        <v>285.5</v>
      </c>
      <c r="O41" s="60">
        <v>0</v>
      </c>
      <c r="P41" s="60">
        <v>0.92</v>
      </c>
      <c r="Q41" s="60">
        <v>29.71</v>
      </c>
      <c r="R41" s="198"/>
      <c r="S41" s="198"/>
      <c r="T41" s="198"/>
      <c r="U41" s="198"/>
    </row>
    <row r="42" spans="1:21" s="12" customFormat="1" x14ac:dyDescent="0.25">
      <c r="A42" s="201" t="s">
        <v>1238</v>
      </c>
      <c r="B42" s="60">
        <v>20.14</v>
      </c>
      <c r="C42" s="60">
        <v>83.16</v>
      </c>
      <c r="D42" s="60">
        <v>62.04</v>
      </c>
      <c r="E42" s="60">
        <v>6.31</v>
      </c>
      <c r="F42" s="60">
        <v>4.51</v>
      </c>
      <c r="G42" s="60">
        <v>56.29</v>
      </c>
      <c r="H42" s="60">
        <v>26.21</v>
      </c>
      <c r="I42" s="60">
        <v>0.66</v>
      </c>
      <c r="J42" s="60">
        <v>0.87</v>
      </c>
      <c r="K42" s="60">
        <v>174.68</v>
      </c>
      <c r="L42" s="60">
        <v>23.68</v>
      </c>
      <c r="M42" s="60">
        <v>43.06</v>
      </c>
      <c r="N42" s="60">
        <v>324.2</v>
      </c>
      <c r="O42" s="60">
        <v>0</v>
      </c>
      <c r="P42" s="60">
        <v>0.9</v>
      </c>
      <c r="Q42" s="60">
        <v>30.49</v>
      </c>
      <c r="R42" s="198"/>
      <c r="S42" s="198"/>
      <c r="T42" s="198"/>
      <c r="U42" s="198"/>
    </row>
    <row r="43" spans="1:21" s="12" customFormat="1" x14ac:dyDescent="0.25">
      <c r="A43" s="201" t="s">
        <v>1239</v>
      </c>
      <c r="B43" s="60">
        <v>18.18</v>
      </c>
      <c r="C43" s="60">
        <v>82.74</v>
      </c>
      <c r="D43" s="60">
        <v>60.24</v>
      </c>
      <c r="E43" s="60">
        <v>6.38</v>
      </c>
      <c r="F43" s="60">
        <v>4.57</v>
      </c>
      <c r="G43" s="60">
        <v>46.06</v>
      </c>
      <c r="H43" s="60">
        <v>25.24</v>
      </c>
      <c r="I43" s="60">
        <v>0.66</v>
      </c>
      <c r="J43" s="60">
        <v>0.7</v>
      </c>
      <c r="K43" s="60">
        <v>185.74</v>
      </c>
      <c r="L43" s="60">
        <v>24.27</v>
      </c>
      <c r="M43" s="60">
        <v>42.26</v>
      </c>
      <c r="N43" s="60">
        <v>361.9</v>
      </c>
      <c r="O43" s="60">
        <v>0</v>
      </c>
      <c r="P43" s="60">
        <v>0.88</v>
      </c>
      <c r="Q43" s="60">
        <v>30.55</v>
      </c>
      <c r="R43" s="198"/>
      <c r="S43" s="198"/>
      <c r="T43" s="198"/>
      <c r="U43" s="198"/>
    </row>
    <row r="44" spans="1:21" s="12" customFormat="1" x14ac:dyDescent="0.25">
      <c r="A44" s="201" t="s">
        <v>1240</v>
      </c>
      <c r="B44" s="60">
        <v>15.96</v>
      </c>
      <c r="C44" s="60">
        <v>82.52</v>
      </c>
      <c r="D44" s="60">
        <v>58.34</v>
      </c>
      <c r="E44" s="60">
        <v>6.43</v>
      </c>
      <c r="F44" s="60">
        <v>4.7</v>
      </c>
      <c r="G44" s="60">
        <v>33.840000000000003</v>
      </c>
      <c r="H44" s="60">
        <v>24.07</v>
      </c>
      <c r="I44" s="60">
        <v>0.66</v>
      </c>
      <c r="J44" s="60">
        <v>0.06</v>
      </c>
      <c r="K44" s="60">
        <v>158.63</v>
      </c>
      <c r="L44" s="60">
        <v>26.32</v>
      </c>
      <c r="M44" s="60">
        <v>37.65</v>
      </c>
      <c r="N44" s="60">
        <v>395.7</v>
      </c>
      <c r="O44" s="60">
        <v>0</v>
      </c>
      <c r="P44" s="60">
        <v>0.85</v>
      </c>
      <c r="Q44" s="60">
        <v>30.47</v>
      </c>
      <c r="R44" s="198"/>
      <c r="S44" s="198"/>
      <c r="T44" s="198"/>
      <c r="U44" s="198"/>
    </row>
    <row r="45" spans="1:21" s="12" customFormat="1" x14ac:dyDescent="0.25">
      <c r="A45" s="201" t="s">
        <v>1241</v>
      </c>
      <c r="B45" s="60">
        <v>13.47</v>
      </c>
      <c r="C45" s="60">
        <v>82.26</v>
      </c>
      <c r="D45" s="60">
        <v>56.2</v>
      </c>
      <c r="E45" s="60">
        <v>5.99</v>
      </c>
      <c r="F45" s="60">
        <v>4.74</v>
      </c>
      <c r="G45" s="60">
        <v>33.840000000000003</v>
      </c>
      <c r="H45" s="60">
        <v>24.07</v>
      </c>
      <c r="I45" s="60">
        <v>0.64</v>
      </c>
      <c r="J45" s="60">
        <v>0.5</v>
      </c>
      <c r="K45" s="60">
        <v>199.43</v>
      </c>
      <c r="L45" s="60">
        <v>25.9</v>
      </c>
      <c r="M45" s="60">
        <v>38.68</v>
      </c>
      <c r="N45" s="60">
        <v>434.9</v>
      </c>
      <c r="O45" s="60">
        <v>0</v>
      </c>
      <c r="P45" s="60">
        <v>0.84</v>
      </c>
      <c r="Q45" s="60">
        <v>30.47</v>
      </c>
      <c r="R45" s="198"/>
      <c r="S45" s="198"/>
      <c r="T45" s="198"/>
      <c r="U45" s="198"/>
    </row>
    <row r="46" spans="1:21" s="12" customFormat="1" x14ac:dyDescent="0.25">
      <c r="A46" s="201" t="s">
        <v>1242</v>
      </c>
      <c r="B46" s="60">
        <v>11.04</v>
      </c>
      <c r="C46" s="60">
        <v>82.21</v>
      </c>
      <c r="D46" s="60">
        <v>54.22</v>
      </c>
      <c r="E46" s="60">
        <v>5.85</v>
      </c>
      <c r="F46" s="60">
        <v>4.83</v>
      </c>
      <c r="G46" s="60">
        <v>33.840000000000003</v>
      </c>
      <c r="H46" s="60">
        <v>24.07</v>
      </c>
      <c r="I46" s="60">
        <v>0.63</v>
      </c>
      <c r="J46" s="60">
        <v>0.16</v>
      </c>
      <c r="K46" s="60">
        <v>22.38</v>
      </c>
      <c r="L46" s="60">
        <v>28.19</v>
      </c>
      <c r="M46" s="60">
        <v>35.380000000000003</v>
      </c>
      <c r="N46" s="60">
        <v>449.2</v>
      </c>
      <c r="O46" s="60">
        <v>0</v>
      </c>
      <c r="P46" s="60">
        <v>0.82</v>
      </c>
      <c r="Q46" s="60">
        <v>30.35</v>
      </c>
      <c r="R46" s="198"/>
      <c r="S46" s="198"/>
      <c r="T46" s="198"/>
      <c r="U46" s="198"/>
    </row>
    <row r="47" spans="1:21" s="12" customFormat="1" x14ac:dyDescent="0.25">
      <c r="A47" s="201" t="s">
        <v>1243</v>
      </c>
      <c r="B47" s="60">
        <v>9.73</v>
      </c>
      <c r="C47" s="60">
        <v>83.53</v>
      </c>
      <c r="D47" s="60">
        <v>53.9</v>
      </c>
      <c r="E47" s="60">
        <v>5.83</v>
      </c>
      <c r="F47" s="60">
        <v>4.78</v>
      </c>
      <c r="G47" s="60">
        <v>35.159999999999997</v>
      </c>
      <c r="H47" s="60">
        <v>23.78</v>
      </c>
      <c r="I47" s="60">
        <v>0.63</v>
      </c>
      <c r="J47" s="60">
        <v>0.4</v>
      </c>
      <c r="K47" s="60">
        <v>349.24</v>
      </c>
      <c r="L47" s="60">
        <v>31.08</v>
      </c>
      <c r="M47" s="60">
        <v>30.41</v>
      </c>
      <c r="N47" s="60">
        <v>471.3</v>
      </c>
      <c r="O47" s="60">
        <v>0</v>
      </c>
      <c r="P47" s="60">
        <v>0.84</v>
      </c>
      <c r="Q47" s="60">
        <v>30.34</v>
      </c>
      <c r="R47" s="198"/>
      <c r="S47" s="198"/>
      <c r="T47" s="198"/>
      <c r="U47" s="198"/>
    </row>
    <row r="48" spans="1:21" s="12" customFormat="1" x14ac:dyDescent="0.25">
      <c r="A48" s="201" t="s">
        <v>1244</v>
      </c>
      <c r="B48" s="60">
        <v>8.94</v>
      </c>
      <c r="C48" s="60">
        <v>85.07</v>
      </c>
      <c r="D48" s="60">
        <v>54.11</v>
      </c>
      <c r="E48" s="60">
        <v>5.75</v>
      </c>
      <c r="F48" s="60">
        <v>4.79</v>
      </c>
      <c r="G48" s="60">
        <v>36.729999999999997</v>
      </c>
      <c r="H48" s="60">
        <v>23.43</v>
      </c>
      <c r="I48" s="60">
        <v>0.62</v>
      </c>
      <c r="J48" s="60">
        <v>0.18</v>
      </c>
      <c r="K48" s="60">
        <v>330.02</v>
      </c>
      <c r="L48" s="60">
        <v>31.99</v>
      </c>
      <c r="M48" s="60">
        <v>28.49</v>
      </c>
      <c r="N48" s="60">
        <v>486.1</v>
      </c>
      <c r="O48" s="60">
        <v>0</v>
      </c>
      <c r="P48" s="60">
        <v>0.85</v>
      </c>
      <c r="Q48" s="60">
        <v>30.11</v>
      </c>
      <c r="R48" s="198"/>
      <c r="S48" s="198"/>
      <c r="T48" s="198"/>
      <c r="U48" s="198"/>
    </row>
    <row r="49" spans="1:21" s="12" customFormat="1" x14ac:dyDescent="0.25">
      <c r="A49" s="201" t="s">
        <v>1245</v>
      </c>
      <c r="B49" s="60">
        <v>7.87</v>
      </c>
      <c r="C49" s="60">
        <v>85.02</v>
      </c>
      <c r="D49" s="60">
        <v>53.23</v>
      </c>
      <c r="E49" s="60">
        <v>6.53</v>
      </c>
      <c r="F49" s="60">
        <v>4.8099999999999996</v>
      </c>
      <c r="G49" s="60">
        <v>36.729999999999997</v>
      </c>
      <c r="H49" s="60">
        <v>23.43</v>
      </c>
      <c r="I49" s="60">
        <v>0.61</v>
      </c>
      <c r="J49" s="60">
        <v>0.25</v>
      </c>
      <c r="K49" s="60">
        <v>341.44</v>
      </c>
      <c r="L49" s="60">
        <v>32.5</v>
      </c>
      <c r="M49" s="60">
        <v>26.71</v>
      </c>
      <c r="N49" s="60">
        <v>503.1</v>
      </c>
      <c r="O49" s="60">
        <v>0</v>
      </c>
      <c r="P49" s="60">
        <v>0.85</v>
      </c>
      <c r="Q49" s="60">
        <v>29.36</v>
      </c>
      <c r="R49" s="198"/>
      <c r="S49" s="198"/>
      <c r="T49" s="198"/>
      <c r="U49" s="198"/>
    </row>
    <row r="50" spans="1:21" s="12" customFormat="1" x14ac:dyDescent="0.25">
      <c r="A50" s="201" t="s">
        <v>1246</v>
      </c>
      <c r="B50" s="60">
        <v>7.13</v>
      </c>
      <c r="C50" s="60">
        <v>85.63</v>
      </c>
      <c r="D50" s="60">
        <v>52.97</v>
      </c>
      <c r="E50" s="60">
        <v>6.69</v>
      </c>
      <c r="F50" s="60">
        <v>5.0199999999999996</v>
      </c>
      <c r="G50" s="60">
        <v>36.729999999999997</v>
      </c>
      <c r="H50" s="60">
        <v>23.43</v>
      </c>
      <c r="I50" s="60">
        <v>0.61</v>
      </c>
      <c r="J50" s="60">
        <v>0.33</v>
      </c>
      <c r="K50" s="60">
        <v>8.35</v>
      </c>
      <c r="L50" s="60">
        <v>33.96</v>
      </c>
      <c r="M50" s="60">
        <v>23.06</v>
      </c>
      <c r="N50" s="60">
        <v>513.20000000000005</v>
      </c>
      <c r="O50" s="60">
        <v>0</v>
      </c>
      <c r="P50" s="60">
        <v>0.85</v>
      </c>
      <c r="Q50" s="60">
        <v>28.86</v>
      </c>
      <c r="R50" s="198"/>
      <c r="S50" s="198"/>
      <c r="T50" s="198"/>
      <c r="U50" s="198"/>
    </row>
    <row r="51" spans="1:21" s="12" customFormat="1" x14ac:dyDescent="0.25">
      <c r="A51" s="201" t="s">
        <v>1247</v>
      </c>
      <c r="B51" s="60">
        <v>6.52</v>
      </c>
      <c r="C51" s="60">
        <v>87.25</v>
      </c>
      <c r="D51" s="60">
        <v>53.38</v>
      </c>
      <c r="E51" s="60">
        <v>7.35</v>
      </c>
      <c r="F51" s="60">
        <v>5.04</v>
      </c>
      <c r="G51" s="60">
        <v>47.23</v>
      </c>
      <c r="H51" s="60">
        <v>23.85</v>
      </c>
      <c r="I51" s="60">
        <v>0.62</v>
      </c>
      <c r="J51" s="60">
        <v>0.35</v>
      </c>
      <c r="K51" s="60">
        <v>349.03</v>
      </c>
      <c r="L51" s="60">
        <v>35.11</v>
      </c>
      <c r="M51" s="60">
        <v>21.83</v>
      </c>
      <c r="N51" s="60">
        <v>520.79999999999995</v>
      </c>
      <c r="O51" s="60">
        <v>0</v>
      </c>
      <c r="P51" s="60">
        <v>0.87</v>
      </c>
      <c r="Q51" s="60">
        <v>28.67</v>
      </c>
      <c r="R51" s="198"/>
      <c r="S51" s="198"/>
      <c r="T51" s="198"/>
      <c r="U51" s="198"/>
    </row>
    <row r="52" spans="1:21" s="12" customFormat="1" x14ac:dyDescent="0.25">
      <c r="A52" s="201" t="s">
        <v>1248</v>
      </c>
      <c r="B52" s="60">
        <v>6.18</v>
      </c>
      <c r="C52" s="60">
        <v>88.69</v>
      </c>
      <c r="D52" s="60">
        <v>53.91</v>
      </c>
      <c r="E52" s="60">
        <v>7.46</v>
      </c>
      <c r="F52" s="60">
        <v>5.33</v>
      </c>
      <c r="G52" s="60">
        <v>59.77</v>
      </c>
      <c r="H52" s="60">
        <v>24.35</v>
      </c>
      <c r="I52" s="60">
        <v>0.61</v>
      </c>
      <c r="J52" s="60">
        <v>0.49</v>
      </c>
      <c r="K52" s="60">
        <v>347.69</v>
      </c>
      <c r="L52" s="60">
        <v>36.549999999999997</v>
      </c>
      <c r="M52" s="60">
        <v>19.91</v>
      </c>
      <c r="N52" s="60">
        <v>530.70000000000005</v>
      </c>
      <c r="O52" s="60">
        <v>0</v>
      </c>
      <c r="P52" s="60">
        <v>0.92</v>
      </c>
      <c r="Q52" s="60">
        <v>28.97</v>
      </c>
      <c r="R52" s="198"/>
      <c r="S52" s="198"/>
      <c r="T52" s="198"/>
      <c r="U52" s="198"/>
    </row>
    <row r="53" spans="1:21" s="12" customFormat="1" x14ac:dyDescent="0.25">
      <c r="A53" s="201" t="s">
        <v>1249</v>
      </c>
      <c r="B53" s="60">
        <v>5.9</v>
      </c>
      <c r="C53" s="60">
        <v>90.41</v>
      </c>
      <c r="D53" s="60">
        <v>54.63</v>
      </c>
      <c r="E53" s="60">
        <v>8.4700000000000006</v>
      </c>
      <c r="F53" s="60">
        <v>5.53</v>
      </c>
      <c r="G53" s="60">
        <v>59.77</v>
      </c>
      <c r="H53" s="60">
        <v>24.35</v>
      </c>
      <c r="I53" s="60">
        <v>0.61</v>
      </c>
      <c r="J53" s="60">
        <v>0.27</v>
      </c>
      <c r="K53" s="60">
        <v>354.22</v>
      </c>
      <c r="L53" s="60">
        <v>36.07</v>
      </c>
      <c r="M53" s="60">
        <v>18.04</v>
      </c>
      <c r="N53" s="60">
        <v>547</v>
      </c>
      <c r="O53" s="60">
        <v>0</v>
      </c>
      <c r="P53" s="60">
        <v>1.01</v>
      </c>
      <c r="Q53" s="60">
        <v>29.07</v>
      </c>
      <c r="R53" s="198"/>
      <c r="S53" s="198"/>
      <c r="T53" s="198"/>
      <c r="U53" s="198"/>
    </row>
    <row r="54" spans="1:21" s="12" customFormat="1" x14ac:dyDescent="0.25">
      <c r="A54" s="201" t="s">
        <v>1250</v>
      </c>
      <c r="B54" s="60">
        <v>5.08</v>
      </c>
      <c r="C54" s="60">
        <v>91.31</v>
      </c>
      <c r="D54" s="60">
        <v>54.46</v>
      </c>
      <c r="E54" s="60">
        <v>9.56</v>
      </c>
      <c r="F54" s="60">
        <v>6.46</v>
      </c>
      <c r="G54" s="60">
        <v>59.77</v>
      </c>
      <c r="H54" s="60">
        <v>24.35</v>
      </c>
      <c r="I54" s="60">
        <v>0.62</v>
      </c>
      <c r="J54" s="60">
        <v>0.16</v>
      </c>
      <c r="K54" s="60">
        <v>35.57</v>
      </c>
      <c r="L54" s="60">
        <v>34.200000000000003</v>
      </c>
      <c r="M54" s="60">
        <v>18.78</v>
      </c>
      <c r="N54" s="60">
        <v>570.4</v>
      </c>
      <c r="O54" s="60">
        <v>0</v>
      </c>
      <c r="P54" s="60">
        <v>1.0900000000000001</v>
      </c>
      <c r="Q54" s="60">
        <v>28.78</v>
      </c>
      <c r="R54" s="198"/>
      <c r="S54" s="198"/>
      <c r="T54" s="198"/>
      <c r="U54" s="198"/>
    </row>
    <row r="55" spans="1:21" s="12" customFormat="1" x14ac:dyDescent="0.25">
      <c r="A55" s="201" t="s">
        <v>1251</v>
      </c>
      <c r="B55" s="60">
        <v>3.49</v>
      </c>
      <c r="C55" s="60">
        <v>91.71</v>
      </c>
      <c r="D55" s="60">
        <v>53.41</v>
      </c>
      <c r="E55" s="60">
        <v>10.79</v>
      </c>
      <c r="F55" s="60">
        <v>7.4</v>
      </c>
      <c r="G55" s="60">
        <v>63.36</v>
      </c>
      <c r="H55" s="60">
        <v>26.17</v>
      </c>
      <c r="I55" s="60">
        <v>0.62</v>
      </c>
      <c r="J55" s="60">
        <v>0.22</v>
      </c>
      <c r="K55" s="60">
        <v>20</v>
      </c>
      <c r="L55" s="60">
        <v>34</v>
      </c>
      <c r="M55" s="60">
        <v>18.62</v>
      </c>
      <c r="N55" s="60">
        <v>592.20000000000005</v>
      </c>
      <c r="O55" s="60">
        <v>0</v>
      </c>
      <c r="P55" s="60">
        <v>1.1399999999999999</v>
      </c>
      <c r="Q55" s="60">
        <v>27.65</v>
      </c>
      <c r="R55" s="198"/>
      <c r="S55" s="198"/>
      <c r="T55" s="198"/>
      <c r="U55" s="198"/>
    </row>
    <row r="56" spans="1:21" s="12" customFormat="1" x14ac:dyDescent="0.25">
      <c r="A56" s="201" t="s">
        <v>1252</v>
      </c>
      <c r="B56" s="60">
        <v>2.31</v>
      </c>
      <c r="C56" s="60">
        <v>90.91</v>
      </c>
      <c r="D56" s="60">
        <v>52.03</v>
      </c>
      <c r="E56" s="60">
        <v>5.62</v>
      </c>
      <c r="F56" s="60">
        <v>7.55</v>
      </c>
      <c r="G56" s="60">
        <v>67.66</v>
      </c>
      <c r="H56" s="60">
        <v>28.34</v>
      </c>
      <c r="I56" s="60">
        <v>0.61</v>
      </c>
      <c r="J56" s="60">
        <v>0.17</v>
      </c>
      <c r="K56" s="60">
        <v>346.88</v>
      </c>
      <c r="L56" s="60">
        <v>34.299999999999997</v>
      </c>
      <c r="M56" s="60">
        <v>17.96</v>
      </c>
      <c r="N56" s="60">
        <v>607.79999999999995</v>
      </c>
      <c r="O56" s="60">
        <v>0</v>
      </c>
      <c r="P56" s="60">
        <v>1.1499999999999999</v>
      </c>
      <c r="Q56" s="60">
        <v>27.2</v>
      </c>
      <c r="R56" s="198"/>
      <c r="S56" s="198"/>
      <c r="T56" s="198"/>
      <c r="U56" s="198"/>
    </row>
    <row r="57" spans="1:21" s="12" customFormat="1" x14ac:dyDescent="0.25">
      <c r="A57" s="201" t="s">
        <v>1253</v>
      </c>
      <c r="B57" s="60">
        <v>1.54</v>
      </c>
      <c r="C57" s="60">
        <v>88.87</v>
      </c>
      <c r="D57" s="60">
        <v>50.28</v>
      </c>
      <c r="E57" s="60">
        <v>8.17</v>
      </c>
      <c r="F57" s="60">
        <v>8.17</v>
      </c>
      <c r="G57" s="60">
        <v>67.66</v>
      </c>
      <c r="H57" s="60">
        <v>28.34</v>
      </c>
      <c r="I57" s="60">
        <v>0.59</v>
      </c>
      <c r="J57" s="60">
        <v>0.21</v>
      </c>
      <c r="K57" s="60">
        <v>29.07</v>
      </c>
      <c r="L57" s="60">
        <v>34.19</v>
      </c>
      <c r="M57" s="60">
        <v>17.91</v>
      </c>
      <c r="N57" s="60">
        <v>592.9</v>
      </c>
      <c r="O57" s="60">
        <v>0</v>
      </c>
      <c r="P57" s="60">
        <v>1.1499999999999999</v>
      </c>
      <c r="Q57" s="60">
        <v>27.3</v>
      </c>
      <c r="R57" s="198"/>
      <c r="S57" s="198"/>
      <c r="T57" s="198"/>
      <c r="U57" s="198"/>
    </row>
    <row r="58" spans="1:21" s="12" customFormat="1" x14ac:dyDescent="0.25">
      <c r="A58" s="201" t="s">
        <v>1254</v>
      </c>
      <c r="B58" s="60">
        <v>1.17</v>
      </c>
      <c r="C58" s="60">
        <v>86.63</v>
      </c>
      <c r="D58" s="60">
        <v>48.74</v>
      </c>
      <c r="E58" s="60">
        <v>7.97</v>
      </c>
      <c r="F58" s="60">
        <v>8.48</v>
      </c>
      <c r="G58" s="60">
        <v>67.66</v>
      </c>
      <c r="H58" s="60">
        <v>28.34</v>
      </c>
      <c r="I58" s="60">
        <v>0.59</v>
      </c>
      <c r="J58" s="60">
        <v>0.22</v>
      </c>
      <c r="K58" s="60">
        <v>10.98</v>
      </c>
      <c r="L58" s="60">
        <v>35.4</v>
      </c>
      <c r="M58" s="60">
        <v>16.760000000000002</v>
      </c>
      <c r="N58" s="60">
        <v>574.4</v>
      </c>
      <c r="O58" s="60">
        <v>0</v>
      </c>
      <c r="P58" s="60">
        <v>1.1599999999999999</v>
      </c>
      <c r="Q58" s="60">
        <v>26.43</v>
      </c>
      <c r="R58" s="198"/>
      <c r="S58" s="198"/>
      <c r="T58" s="198"/>
      <c r="U58" s="198"/>
    </row>
    <row r="59" spans="1:21" s="12" customFormat="1" x14ac:dyDescent="0.25">
      <c r="A59" s="201" t="s">
        <v>1255</v>
      </c>
      <c r="B59" s="60">
        <v>1.07</v>
      </c>
      <c r="C59" s="60">
        <v>84.78</v>
      </c>
      <c r="D59" s="60">
        <v>47.65</v>
      </c>
      <c r="E59" s="60">
        <v>7.61</v>
      </c>
      <c r="F59" s="60">
        <v>8.35</v>
      </c>
      <c r="G59" s="60">
        <v>64.709999999999994</v>
      </c>
      <c r="H59" s="60">
        <v>28.16</v>
      </c>
      <c r="I59" s="60">
        <v>0.57999999999999996</v>
      </c>
      <c r="J59" s="60">
        <v>0.32</v>
      </c>
      <c r="K59" s="60">
        <v>8.07</v>
      </c>
      <c r="L59" s="60">
        <v>35.17</v>
      </c>
      <c r="M59" s="60">
        <v>16.309999999999999</v>
      </c>
      <c r="N59" s="60">
        <v>564.1</v>
      </c>
      <c r="O59" s="60">
        <v>0</v>
      </c>
      <c r="P59" s="60">
        <v>1.1399999999999999</v>
      </c>
      <c r="Q59" s="60">
        <v>25.38</v>
      </c>
      <c r="R59" s="198"/>
      <c r="S59" s="198"/>
      <c r="T59" s="198"/>
      <c r="U59" s="198"/>
    </row>
    <row r="60" spans="1:21" s="12" customFormat="1" x14ac:dyDescent="0.25">
      <c r="A60" s="201" t="s">
        <v>1256</v>
      </c>
      <c r="B60" s="60">
        <v>0.97</v>
      </c>
      <c r="C60" s="60">
        <v>82.07</v>
      </c>
      <c r="D60" s="60">
        <v>46.07</v>
      </c>
      <c r="E60" s="60">
        <v>7.76</v>
      </c>
      <c r="F60" s="60">
        <v>8.93</v>
      </c>
      <c r="G60" s="60">
        <v>61.19</v>
      </c>
      <c r="H60" s="60">
        <v>27.94</v>
      </c>
      <c r="I60" s="60">
        <v>0.56999999999999995</v>
      </c>
      <c r="J60" s="60">
        <v>0.43</v>
      </c>
      <c r="K60" s="60">
        <v>4.79</v>
      </c>
      <c r="L60" s="60">
        <v>35.79</v>
      </c>
      <c r="M60" s="60">
        <v>13.6</v>
      </c>
      <c r="N60" s="60">
        <v>575.5</v>
      </c>
      <c r="O60" s="60">
        <v>0</v>
      </c>
      <c r="P60" s="60">
        <v>1.07</v>
      </c>
      <c r="Q60" s="60">
        <v>24.38</v>
      </c>
      <c r="R60" s="198"/>
      <c r="S60" s="198"/>
      <c r="T60" s="198"/>
      <c r="U60" s="198"/>
    </row>
    <row r="61" spans="1:21" s="12" customFormat="1" x14ac:dyDescent="0.25">
      <c r="A61" s="201" t="s">
        <v>1257</v>
      </c>
      <c r="B61" s="60">
        <v>1.1200000000000001</v>
      </c>
      <c r="C61" s="60">
        <v>79.12</v>
      </c>
      <c r="D61" s="60">
        <v>44.56</v>
      </c>
      <c r="E61" s="60">
        <v>6.59</v>
      </c>
      <c r="F61" s="60">
        <v>8.5500000000000007</v>
      </c>
      <c r="G61" s="60">
        <v>61.19</v>
      </c>
      <c r="H61" s="60">
        <v>27.94</v>
      </c>
      <c r="I61" s="60">
        <v>0.56000000000000005</v>
      </c>
      <c r="J61" s="60">
        <v>0.95</v>
      </c>
      <c r="K61" s="60">
        <v>340.09</v>
      </c>
      <c r="L61" s="60">
        <v>37.229999999999997</v>
      </c>
      <c r="M61" s="60">
        <v>12.42</v>
      </c>
      <c r="N61" s="60">
        <v>559.1</v>
      </c>
      <c r="O61" s="60">
        <v>0</v>
      </c>
      <c r="P61" s="60">
        <v>0.95</v>
      </c>
      <c r="Q61" s="60">
        <v>23.69</v>
      </c>
      <c r="R61" s="198"/>
      <c r="S61" s="198"/>
      <c r="T61" s="198"/>
      <c r="U61" s="198"/>
    </row>
    <row r="62" spans="1:21" s="12" customFormat="1" x14ac:dyDescent="0.25">
      <c r="A62" s="201" t="s">
        <v>1258</v>
      </c>
      <c r="B62" s="60">
        <v>1.21</v>
      </c>
      <c r="C62" s="60">
        <v>76.41</v>
      </c>
      <c r="D62" s="60">
        <v>43.14</v>
      </c>
      <c r="E62" s="60">
        <v>5.97</v>
      </c>
      <c r="F62" s="60">
        <v>8.4499999999999993</v>
      </c>
      <c r="G62" s="60">
        <v>61.19</v>
      </c>
      <c r="H62" s="60">
        <v>27.94</v>
      </c>
      <c r="I62" s="60">
        <v>0.57999999999999996</v>
      </c>
      <c r="J62" s="60">
        <v>0.43</v>
      </c>
      <c r="K62" s="60">
        <v>6.43</v>
      </c>
      <c r="L62" s="60">
        <v>37.36</v>
      </c>
      <c r="M62" s="60">
        <v>12.45</v>
      </c>
      <c r="N62" s="60">
        <v>506.1</v>
      </c>
      <c r="O62" s="60">
        <v>0</v>
      </c>
      <c r="P62" s="60">
        <v>0.93</v>
      </c>
      <c r="Q62" s="60">
        <v>22.99</v>
      </c>
      <c r="R62" s="198"/>
      <c r="S62" s="198"/>
      <c r="T62" s="198"/>
      <c r="U62" s="198"/>
    </row>
    <row r="63" spans="1:21" s="12" customFormat="1" x14ac:dyDescent="0.25">
      <c r="A63" s="201" t="s">
        <v>1259</v>
      </c>
      <c r="B63" s="60">
        <v>1.34</v>
      </c>
      <c r="C63" s="60">
        <v>74.760000000000005</v>
      </c>
      <c r="D63" s="60">
        <v>42.33</v>
      </c>
      <c r="E63" s="60">
        <v>7.96</v>
      </c>
      <c r="F63" s="60">
        <v>8.34</v>
      </c>
      <c r="G63" s="60">
        <v>49.43</v>
      </c>
      <c r="H63" s="60">
        <v>28.03</v>
      </c>
      <c r="I63" s="60">
        <v>0.55000000000000004</v>
      </c>
      <c r="J63" s="60">
        <v>1.23</v>
      </c>
      <c r="K63" s="60">
        <v>340.72</v>
      </c>
      <c r="L63" s="60">
        <v>36.979999999999997</v>
      </c>
      <c r="M63" s="60">
        <v>12.68</v>
      </c>
      <c r="N63" s="60">
        <v>500.9</v>
      </c>
      <c r="O63" s="60">
        <v>0</v>
      </c>
      <c r="P63" s="60">
        <v>0.86</v>
      </c>
      <c r="Q63" s="60">
        <v>21.89</v>
      </c>
      <c r="R63" s="198"/>
      <c r="S63" s="198"/>
      <c r="T63" s="198"/>
      <c r="U63" s="198"/>
    </row>
    <row r="64" spans="1:21" s="12" customFormat="1" x14ac:dyDescent="0.25">
      <c r="A64" s="201" t="s">
        <v>1260</v>
      </c>
      <c r="B64" s="60">
        <v>1.27</v>
      </c>
      <c r="C64" s="60">
        <v>72.14</v>
      </c>
      <c r="D64" s="60">
        <v>40.83</v>
      </c>
      <c r="E64" s="60">
        <v>6.82</v>
      </c>
      <c r="F64" s="60">
        <v>8.77</v>
      </c>
      <c r="G64" s="60">
        <v>35.369999999999997</v>
      </c>
      <c r="H64" s="60">
        <v>28.14</v>
      </c>
      <c r="I64" s="60">
        <v>0.54</v>
      </c>
      <c r="J64" s="60">
        <v>0.54</v>
      </c>
      <c r="K64" s="60">
        <v>356.84</v>
      </c>
      <c r="L64" s="60">
        <v>36.72</v>
      </c>
      <c r="M64" s="60">
        <v>12.77</v>
      </c>
      <c r="N64" s="60">
        <v>485.9</v>
      </c>
      <c r="O64" s="60">
        <v>0</v>
      </c>
      <c r="P64" s="60">
        <v>0.79</v>
      </c>
      <c r="Q64" s="60">
        <v>21.09</v>
      </c>
      <c r="R64" s="198"/>
      <c r="S64" s="198"/>
      <c r="T64" s="198"/>
      <c r="U64" s="198"/>
    </row>
    <row r="65" spans="1:21" s="12" customFormat="1" x14ac:dyDescent="0.25">
      <c r="A65" s="201" t="s">
        <v>1261</v>
      </c>
      <c r="B65" s="60">
        <v>1.33</v>
      </c>
      <c r="C65" s="60">
        <v>70.87</v>
      </c>
      <c r="D65" s="60">
        <v>40.18</v>
      </c>
      <c r="E65" s="60">
        <v>6.63</v>
      </c>
      <c r="F65" s="60">
        <v>9.1300000000000008</v>
      </c>
      <c r="G65" s="60">
        <v>35.369999999999997</v>
      </c>
      <c r="H65" s="60">
        <v>28.14</v>
      </c>
      <c r="I65" s="60">
        <v>0.54</v>
      </c>
      <c r="J65" s="60">
        <v>0.56000000000000005</v>
      </c>
      <c r="K65" s="60">
        <v>354.82</v>
      </c>
      <c r="L65" s="60">
        <v>36.54</v>
      </c>
      <c r="M65" s="60">
        <v>12.75</v>
      </c>
      <c r="N65" s="60">
        <v>468</v>
      </c>
      <c r="O65" s="60">
        <v>0</v>
      </c>
      <c r="P65" s="60">
        <v>0.75</v>
      </c>
      <c r="Q65" s="60">
        <v>20.350000000000001</v>
      </c>
      <c r="R65" s="198"/>
      <c r="S65" s="198"/>
      <c r="T65" s="198"/>
      <c r="U65" s="198"/>
    </row>
    <row r="66" spans="1:21" s="12" customFormat="1" x14ac:dyDescent="0.25">
      <c r="A66" s="201" t="s">
        <v>1262</v>
      </c>
      <c r="B66" s="60">
        <v>1.3</v>
      </c>
      <c r="C66" s="60">
        <v>69.95</v>
      </c>
      <c r="D66" s="60">
        <v>39.65</v>
      </c>
      <c r="E66" s="60">
        <v>6.29</v>
      </c>
      <c r="F66" s="60">
        <v>8.48</v>
      </c>
      <c r="G66" s="60">
        <v>35.369999999999997</v>
      </c>
      <c r="H66" s="60">
        <v>28.14</v>
      </c>
      <c r="I66" s="60">
        <v>0.53</v>
      </c>
      <c r="J66" s="60">
        <v>0.75</v>
      </c>
      <c r="K66" s="60">
        <v>352.03</v>
      </c>
      <c r="L66" s="60">
        <v>36.14</v>
      </c>
      <c r="M66" s="60">
        <v>13.67</v>
      </c>
      <c r="N66" s="60">
        <v>450</v>
      </c>
      <c r="O66" s="60">
        <v>0</v>
      </c>
      <c r="P66" s="60">
        <v>0.7</v>
      </c>
      <c r="Q66" s="60">
        <v>19.86</v>
      </c>
      <c r="R66" s="198"/>
      <c r="S66" s="198"/>
      <c r="T66" s="198"/>
      <c r="U66" s="198"/>
    </row>
    <row r="67" spans="1:21" s="12" customFormat="1" x14ac:dyDescent="0.25">
      <c r="A67" s="201" t="s">
        <v>1263</v>
      </c>
      <c r="B67" s="60">
        <v>1.33</v>
      </c>
      <c r="C67" s="60">
        <v>68.95</v>
      </c>
      <c r="D67" s="60">
        <v>39.11</v>
      </c>
      <c r="E67" s="60">
        <v>6.5</v>
      </c>
      <c r="F67" s="60">
        <v>8.31</v>
      </c>
      <c r="G67" s="60">
        <v>50.15</v>
      </c>
      <c r="H67" s="60">
        <v>27.35</v>
      </c>
      <c r="I67" s="60">
        <v>0.54</v>
      </c>
      <c r="J67" s="60">
        <v>0.86</v>
      </c>
      <c r="K67" s="60">
        <v>344.7</v>
      </c>
      <c r="L67" s="60">
        <v>36.619999999999997</v>
      </c>
      <c r="M67" s="60">
        <v>13.78</v>
      </c>
      <c r="N67" s="60">
        <v>430.2</v>
      </c>
      <c r="O67" s="60">
        <v>0</v>
      </c>
      <c r="P67" s="60">
        <v>0.67</v>
      </c>
      <c r="Q67" s="60">
        <v>19.52</v>
      </c>
      <c r="R67" s="198"/>
      <c r="S67" s="198"/>
      <c r="T67" s="198"/>
      <c r="U67" s="198"/>
    </row>
    <row r="68" spans="1:21" s="12" customFormat="1" x14ac:dyDescent="0.25">
      <c r="A68" s="201" t="s">
        <v>1264</v>
      </c>
      <c r="B68" s="60">
        <v>1.35</v>
      </c>
      <c r="C68" s="60">
        <v>68.39</v>
      </c>
      <c r="D68" s="60">
        <v>38.83</v>
      </c>
      <c r="E68" s="60">
        <v>7.12</v>
      </c>
      <c r="F68" s="60">
        <v>9.4</v>
      </c>
      <c r="G68" s="60">
        <v>67.81</v>
      </c>
      <c r="H68" s="60">
        <v>26.41</v>
      </c>
      <c r="I68" s="60">
        <v>0.52</v>
      </c>
      <c r="J68" s="60">
        <v>0.78</v>
      </c>
      <c r="K68" s="60">
        <v>346.2</v>
      </c>
      <c r="L68" s="60">
        <v>36.32</v>
      </c>
      <c r="M68" s="60">
        <v>13.49</v>
      </c>
      <c r="N68" s="60">
        <v>405.2</v>
      </c>
      <c r="O68" s="60">
        <v>0</v>
      </c>
      <c r="P68" s="60">
        <v>0.65</v>
      </c>
      <c r="Q68" s="60">
        <v>19.68</v>
      </c>
      <c r="R68" s="198"/>
      <c r="S68" s="198"/>
      <c r="T68" s="198"/>
      <c r="U68" s="198"/>
    </row>
    <row r="69" spans="1:21" s="12" customFormat="1" x14ac:dyDescent="0.25">
      <c r="A69" s="201" t="s">
        <v>1265</v>
      </c>
      <c r="B69" s="60">
        <v>1.29</v>
      </c>
      <c r="C69" s="60">
        <v>67.33</v>
      </c>
      <c r="D69" s="60">
        <v>38.19</v>
      </c>
      <c r="E69" s="60">
        <v>7.2</v>
      </c>
      <c r="F69" s="60">
        <v>9.08</v>
      </c>
      <c r="G69" s="60">
        <v>67.81</v>
      </c>
      <c r="H69" s="60">
        <v>26.41</v>
      </c>
      <c r="I69" s="60">
        <v>0.52</v>
      </c>
      <c r="J69" s="60">
        <v>1.49</v>
      </c>
      <c r="K69" s="60">
        <v>340.81</v>
      </c>
      <c r="L69" s="60">
        <v>36.32</v>
      </c>
      <c r="M69" s="60">
        <v>12.66</v>
      </c>
      <c r="N69" s="60">
        <v>395.5</v>
      </c>
      <c r="O69" s="60">
        <v>0</v>
      </c>
      <c r="P69" s="60">
        <v>0.63</v>
      </c>
      <c r="Q69" s="60">
        <v>19.54</v>
      </c>
      <c r="R69" s="198"/>
      <c r="S69" s="198"/>
      <c r="T69" s="198"/>
      <c r="U69" s="198"/>
    </row>
    <row r="70" spans="1:21" s="12" customFormat="1" x14ac:dyDescent="0.25">
      <c r="A70" s="201" t="s">
        <v>1266</v>
      </c>
      <c r="B70" s="60">
        <v>1.35</v>
      </c>
      <c r="C70" s="60">
        <v>66.209999999999994</v>
      </c>
      <c r="D70" s="60">
        <v>37.619999999999997</v>
      </c>
      <c r="E70" s="60">
        <v>6.68</v>
      </c>
      <c r="F70" s="60">
        <v>8.68</v>
      </c>
      <c r="G70" s="60">
        <v>67.81</v>
      </c>
      <c r="H70" s="60">
        <v>26.41</v>
      </c>
      <c r="I70" s="60">
        <v>0.53</v>
      </c>
      <c r="J70" s="60">
        <v>1.1000000000000001</v>
      </c>
      <c r="K70" s="60">
        <v>335.86</v>
      </c>
      <c r="L70" s="60">
        <v>35.96</v>
      </c>
      <c r="M70" s="60">
        <v>12.31</v>
      </c>
      <c r="N70" s="60">
        <v>178.3</v>
      </c>
      <c r="O70" s="60">
        <v>0</v>
      </c>
      <c r="P70" s="60">
        <v>0.59</v>
      </c>
      <c r="Q70" s="60">
        <v>19.75</v>
      </c>
      <c r="R70" s="198"/>
      <c r="S70" s="198"/>
      <c r="T70" s="198"/>
      <c r="U70" s="198"/>
    </row>
    <row r="71" spans="1:21" s="12" customFormat="1" x14ac:dyDescent="0.25">
      <c r="A71" s="201" t="s">
        <v>1267</v>
      </c>
      <c r="B71" s="60">
        <v>1.21</v>
      </c>
      <c r="C71" s="60">
        <v>65.22</v>
      </c>
      <c r="D71" s="60">
        <v>36.97</v>
      </c>
      <c r="E71" s="60">
        <v>6.51</v>
      </c>
      <c r="F71" s="60">
        <v>8.7200000000000006</v>
      </c>
      <c r="G71" s="60">
        <v>59.39</v>
      </c>
      <c r="H71" s="60">
        <v>23.92</v>
      </c>
      <c r="I71" s="60">
        <v>0.52</v>
      </c>
      <c r="J71" s="60">
        <v>0.75</v>
      </c>
      <c r="K71" s="60">
        <v>340.7</v>
      </c>
      <c r="L71" s="60">
        <v>35.75</v>
      </c>
      <c r="M71" s="60">
        <v>12.24</v>
      </c>
      <c r="N71" s="60">
        <v>128.5</v>
      </c>
      <c r="O71" s="60">
        <v>0</v>
      </c>
      <c r="P71" s="60">
        <v>0.56000000000000005</v>
      </c>
      <c r="Q71" s="60">
        <v>20.239999999999998</v>
      </c>
      <c r="R71" s="198"/>
      <c r="S71" s="198"/>
      <c r="T71" s="198"/>
      <c r="U71" s="198"/>
    </row>
    <row r="72" spans="1:21" s="12" customFormat="1" x14ac:dyDescent="0.25">
      <c r="A72" s="201" t="s">
        <v>1268</v>
      </c>
      <c r="B72" s="60">
        <v>1.1399999999999999</v>
      </c>
      <c r="C72" s="60">
        <v>63.9</v>
      </c>
      <c r="D72" s="60">
        <v>36.18</v>
      </c>
      <c r="E72" s="60">
        <v>4.7699999999999996</v>
      </c>
      <c r="F72" s="60">
        <v>8.64</v>
      </c>
      <c r="G72" s="60">
        <v>49.33</v>
      </c>
      <c r="H72" s="60">
        <v>20.96</v>
      </c>
      <c r="I72" s="60">
        <v>0.53</v>
      </c>
      <c r="J72" s="60">
        <v>0.77</v>
      </c>
      <c r="K72" s="60">
        <v>342.15</v>
      </c>
      <c r="L72" s="60">
        <v>34.82</v>
      </c>
      <c r="M72" s="60">
        <v>12.63</v>
      </c>
      <c r="N72" s="60">
        <v>113.1</v>
      </c>
      <c r="O72" s="60">
        <v>0</v>
      </c>
      <c r="P72" s="60">
        <v>0.55000000000000004</v>
      </c>
      <c r="Q72" s="60">
        <v>20.23</v>
      </c>
      <c r="R72" s="198"/>
      <c r="S72" s="198"/>
      <c r="T72" s="198"/>
      <c r="U72" s="198"/>
    </row>
    <row r="73" spans="1:21" s="12" customFormat="1" x14ac:dyDescent="0.25">
      <c r="A73" s="201" t="s">
        <v>1269</v>
      </c>
      <c r="B73" s="60">
        <v>1.1000000000000001</v>
      </c>
      <c r="C73" s="60">
        <v>62.68</v>
      </c>
      <c r="D73" s="60">
        <v>35.47</v>
      </c>
      <c r="E73" s="60">
        <v>7.11</v>
      </c>
      <c r="F73" s="60">
        <v>8.85</v>
      </c>
      <c r="G73" s="60">
        <v>49.33</v>
      </c>
      <c r="H73" s="60">
        <v>20.96</v>
      </c>
      <c r="I73" s="60">
        <v>0.52</v>
      </c>
      <c r="J73" s="60">
        <v>0.86</v>
      </c>
      <c r="K73" s="60">
        <v>341.25</v>
      </c>
      <c r="L73" s="60">
        <v>33.51</v>
      </c>
      <c r="M73" s="60">
        <v>13.09</v>
      </c>
      <c r="N73" s="60">
        <v>158</v>
      </c>
      <c r="O73" s="60">
        <v>0</v>
      </c>
      <c r="P73" s="60">
        <v>0.52</v>
      </c>
      <c r="Q73" s="60">
        <v>20.21</v>
      </c>
      <c r="R73" s="198"/>
      <c r="S73" s="198"/>
      <c r="T73" s="198"/>
      <c r="U73" s="198"/>
    </row>
    <row r="74" spans="1:21" s="12" customFormat="1" x14ac:dyDescent="0.25">
      <c r="A74" s="201" t="s">
        <v>1270</v>
      </c>
      <c r="B74" s="60">
        <v>1.1399999999999999</v>
      </c>
      <c r="C74" s="60">
        <v>62.24</v>
      </c>
      <c r="D74" s="60">
        <v>35.270000000000003</v>
      </c>
      <c r="E74" s="60">
        <v>7.15</v>
      </c>
      <c r="F74" s="60">
        <v>9.02</v>
      </c>
      <c r="G74" s="60">
        <v>49.33</v>
      </c>
      <c r="H74" s="60">
        <v>20.96</v>
      </c>
      <c r="I74" s="60">
        <v>0.53</v>
      </c>
      <c r="J74" s="60">
        <v>0.54</v>
      </c>
      <c r="K74" s="60">
        <v>350.48</v>
      </c>
      <c r="L74" s="60">
        <v>32.68</v>
      </c>
      <c r="M74" s="60">
        <v>14.1</v>
      </c>
      <c r="N74" s="60">
        <v>74.400000000000006</v>
      </c>
      <c r="O74" s="60">
        <v>0</v>
      </c>
      <c r="P74" s="60">
        <v>0.51</v>
      </c>
      <c r="Q74" s="60">
        <v>19.809999999999999</v>
      </c>
      <c r="R74" s="198"/>
      <c r="S74" s="198"/>
      <c r="T74" s="198"/>
      <c r="U74" s="198"/>
    </row>
    <row r="75" spans="1:21" s="12" customFormat="1" x14ac:dyDescent="0.25">
      <c r="A75" s="201" t="s">
        <v>1271</v>
      </c>
      <c r="B75" s="60">
        <v>1.1299999999999999</v>
      </c>
      <c r="C75" s="60">
        <v>62.61</v>
      </c>
      <c r="D75" s="60">
        <v>35.46</v>
      </c>
      <c r="E75" s="60">
        <v>7.18</v>
      </c>
      <c r="F75" s="60">
        <v>8.9</v>
      </c>
      <c r="G75" s="60">
        <v>45.86</v>
      </c>
      <c r="H75" s="60">
        <v>19.940000000000001</v>
      </c>
      <c r="I75" s="60">
        <v>0.52</v>
      </c>
      <c r="J75" s="60">
        <v>0.57999999999999996</v>
      </c>
      <c r="K75" s="60">
        <v>346.03</v>
      </c>
      <c r="L75" s="60">
        <v>32.17</v>
      </c>
      <c r="M75" s="60">
        <v>15.25</v>
      </c>
      <c r="N75" s="60">
        <v>43.9</v>
      </c>
      <c r="O75" s="60">
        <v>0</v>
      </c>
      <c r="P75" s="60">
        <v>0.5</v>
      </c>
      <c r="Q75" s="60">
        <v>19.45</v>
      </c>
      <c r="R75" s="198"/>
      <c r="S75" s="198"/>
      <c r="T75" s="198"/>
      <c r="U75" s="198"/>
    </row>
    <row r="76" spans="1:21" s="12" customFormat="1" x14ac:dyDescent="0.25">
      <c r="A76" s="201" t="s">
        <v>1272</v>
      </c>
      <c r="B76" s="60">
        <v>1.0900000000000001</v>
      </c>
      <c r="C76" s="60">
        <v>62.56</v>
      </c>
      <c r="D76" s="60">
        <v>35.4</v>
      </c>
      <c r="E76" s="60">
        <v>6.81</v>
      </c>
      <c r="F76" s="60">
        <v>8.43</v>
      </c>
      <c r="G76" s="60">
        <v>41.71</v>
      </c>
      <c r="H76" s="60">
        <v>18.73</v>
      </c>
      <c r="I76" s="60">
        <v>0.53</v>
      </c>
      <c r="J76" s="60">
        <v>0.39</v>
      </c>
      <c r="K76" s="60">
        <v>356.76</v>
      </c>
      <c r="L76" s="60">
        <v>31.73</v>
      </c>
      <c r="M76" s="60">
        <v>15.97</v>
      </c>
      <c r="N76" s="60">
        <v>36.799999999999997</v>
      </c>
      <c r="O76" s="60">
        <v>0</v>
      </c>
      <c r="P76" s="60">
        <v>0.5</v>
      </c>
      <c r="Q76" s="60">
        <v>19.489999999999998</v>
      </c>
      <c r="R76" s="198"/>
      <c r="S76" s="198"/>
      <c r="T76" s="198"/>
      <c r="U76" s="198"/>
    </row>
    <row r="77" spans="1:21" s="12" customFormat="1" x14ac:dyDescent="0.25">
      <c r="A77" s="201" t="s">
        <v>1273</v>
      </c>
      <c r="B77" s="60">
        <v>1.26</v>
      </c>
      <c r="C77" s="60">
        <v>63.3</v>
      </c>
      <c r="D77" s="60">
        <v>35.94</v>
      </c>
      <c r="E77" s="60">
        <v>7.11</v>
      </c>
      <c r="F77" s="60">
        <v>8.16</v>
      </c>
      <c r="G77" s="60">
        <v>41.71</v>
      </c>
      <c r="H77" s="60">
        <v>18.73</v>
      </c>
      <c r="I77" s="60">
        <v>0.5</v>
      </c>
      <c r="J77" s="60">
        <v>0.39</v>
      </c>
      <c r="K77" s="60">
        <v>10.63</v>
      </c>
      <c r="L77" s="60">
        <v>31.3</v>
      </c>
      <c r="M77" s="60">
        <v>16.010000000000002</v>
      </c>
      <c r="N77" s="60">
        <v>33</v>
      </c>
      <c r="O77" s="60">
        <v>0</v>
      </c>
      <c r="P77" s="60">
        <v>0.5</v>
      </c>
      <c r="Q77" s="60">
        <v>19.579999999999998</v>
      </c>
      <c r="R77" s="198"/>
      <c r="S77" s="198"/>
      <c r="T77" s="198"/>
      <c r="U77" s="198"/>
    </row>
    <row r="78" spans="1:21" s="12" customFormat="1" x14ac:dyDescent="0.25">
      <c r="A78" s="201" t="s">
        <v>1274</v>
      </c>
      <c r="B78" s="60">
        <v>2.23</v>
      </c>
      <c r="C78" s="60">
        <v>63.57</v>
      </c>
      <c r="D78" s="60">
        <v>36.880000000000003</v>
      </c>
      <c r="E78" s="60">
        <v>7.51</v>
      </c>
      <c r="F78" s="60">
        <v>9.11</v>
      </c>
      <c r="G78" s="60">
        <v>41.71</v>
      </c>
      <c r="H78" s="60">
        <v>18.73</v>
      </c>
      <c r="I78" s="60">
        <v>0.53</v>
      </c>
      <c r="J78" s="60">
        <v>0.26</v>
      </c>
      <c r="K78" s="60">
        <v>359.94</v>
      </c>
      <c r="L78" s="60">
        <v>30.73</v>
      </c>
      <c r="M78" s="60">
        <v>17.739999999999998</v>
      </c>
      <c r="N78" s="60">
        <v>23.1</v>
      </c>
      <c r="O78" s="60">
        <v>0</v>
      </c>
      <c r="P78" s="60">
        <v>0.52</v>
      </c>
      <c r="Q78" s="60">
        <v>19.350000000000001</v>
      </c>
      <c r="R78" s="198"/>
      <c r="S78" s="198"/>
      <c r="T78" s="198"/>
      <c r="U78" s="198"/>
    </row>
    <row r="79" spans="1:21" s="12" customFormat="1" x14ac:dyDescent="0.25">
      <c r="A79" s="201" t="s">
        <v>1275</v>
      </c>
      <c r="B79" s="60">
        <v>3.56</v>
      </c>
      <c r="C79" s="60">
        <v>68.89</v>
      </c>
      <c r="D79" s="60">
        <v>40.869999999999997</v>
      </c>
      <c r="E79" s="60">
        <v>9.2899999999999991</v>
      </c>
      <c r="F79" s="60">
        <v>10.49</v>
      </c>
      <c r="G79" s="60">
        <v>41.55</v>
      </c>
      <c r="H79" s="60">
        <v>18.12</v>
      </c>
      <c r="I79" s="60">
        <v>0.52</v>
      </c>
      <c r="J79" s="60">
        <v>0.22</v>
      </c>
      <c r="K79" s="60">
        <v>1.53</v>
      </c>
      <c r="L79" s="60">
        <v>29.91</v>
      </c>
      <c r="M79" s="60">
        <v>19.59</v>
      </c>
      <c r="N79" s="60">
        <v>14.2</v>
      </c>
      <c r="O79" s="60">
        <v>0</v>
      </c>
      <c r="P79" s="60">
        <v>0.59</v>
      </c>
      <c r="Q79" s="60">
        <v>19.39</v>
      </c>
      <c r="R79" s="198"/>
      <c r="S79" s="198"/>
      <c r="T79" s="198"/>
      <c r="U79" s="198"/>
    </row>
    <row r="80" spans="1:21" s="12" customFormat="1" x14ac:dyDescent="0.25">
      <c r="A80" s="201" t="s">
        <v>1276</v>
      </c>
      <c r="B80" s="60">
        <v>6.36</v>
      </c>
      <c r="C80" s="60">
        <v>75.12</v>
      </c>
      <c r="D80" s="60">
        <v>46.56</v>
      </c>
      <c r="E80" s="60">
        <v>11.03</v>
      </c>
      <c r="F80" s="60">
        <v>13.34</v>
      </c>
      <c r="G80" s="60">
        <v>41.36</v>
      </c>
      <c r="H80" s="60">
        <v>17.38</v>
      </c>
      <c r="I80" s="60">
        <v>0.53</v>
      </c>
      <c r="J80" s="60">
        <v>0.12</v>
      </c>
      <c r="K80" s="60">
        <v>347.59</v>
      </c>
      <c r="L80" s="60">
        <v>28.9</v>
      </c>
      <c r="M80" s="60">
        <v>21.46</v>
      </c>
      <c r="N80" s="60">
        <v>7.4</v>
      </c>
      <c r="O80" s="60">
        <v>0</v>
      </c>
      <c r="P80" s="60">
        <v>0.72</v>
      </c>
      <c r="Q80" s="60">
        <v>19.97</v>
      </c>
      <c r="R80" s="198"/>
      <c r="S80" s="198"/>
      <c r="T80" s="198"/>
      <c r="U80" s="198"/>
    </row>
    <row r="81" spans="1:26" s="12" customFormat="1" x14ac:dyDescent="0.25">
      <c r="A81" s="201" t="s">
        <v>1277</v>
      </c>
      <c r="B81" s="60">
        <v>21.47</v>
      </c>
      <c r="C81" s="60">
        <v>95.17</v>
      </c>
      <c r="D81" s="60">
        <v>69.739999999999995</v>
      </c>
      <c r="E81" s="60">
        <v>13.02</v>
      </c>
      <c r="F81" s="60">
        <v>8.66</v>
      </c>
      <c r="G81" s="60">
        <v>41.36</v>
      </c>
      <c r="H81" s="60">
        <v>17.38</v>
      </c>
      <c r="I81" s="60">
        <v>0.53</v>
      </c>
      <c r="J81" s="60">
        <v>0.13</v>
      </c>
      <c r="K81" s="60">
        <v>307.72000000000003</v>
      </c>
      <c r="L81" s="60">
        <v>28.06</v>
      </c>
      <c r="M81" s="60">
        <v>23.47</v>
      </c>
      <c r="N81" s="60">
        <v>4.9000000000000004</v>
      </c>
      <c r="O81" s="60">
        <v>0</v>
      </c>
      <c r="P81" s="60">
        <v>1</v>
      </c>
      <c r="Q81" s="60">
        <v>19.98</v>
      </c>
      <c r="R81" s="198"/>
      <c r="S81" s="198"/>
      <c r="T81" s="198"/>
      <c r="U81" s="198"/>
    </row>
    <row r="82" spans="1:26" s="12" customFormat="1" x14ac:dyDescent="0.25">
      <c r="A82" s="201" t="s">
        <v>1278</v>
      </c>
      <c r="B82" s="60">
        <v>16.3</v>
      </c>
      <c r="C82" s="60">
        <v>94.34</v>
      </c>
      <c r="D82" s="60">
        <v>65.14</v>
      </c>
      <c r="E82" s="60">
        <v>15.09</v>
      </c>
      <c r="F82" s="60">
        <v>8.82</v>
      </c>
      <c r="G82" s="60">
        <v>41.36</v>
      </c>
      <c r="H82" s="60">
        <v>17.38</v>
      </c>
      <c r="I82" s="60">
        <v>0.54</v>
      </c>
      <c r="J82" s="60">
        <v>0.11</v>
      </c>
      <c r="K82" s="60">
        <v>312.22000000000003</v>
      </c>
      <c r="L82" s="60">
        <v>27.41</v>
      </c>
      <c r="M82" s="60">
        <v>25.38</v>
      </c>
      <c r="N82" s="60">
        <v>4.5</v>
      </c>
      <c r="O82" s="60">
        <v>0</v>
      </c>
      <c r="P82" s="60">
        <v>1.17</v>
      </c>
      <c r="Q82" s="60">
        <v>20.74</v>
      </c>
      <c r="R82" s="198"/>
      <c r="S82" s="198"/>
      <c r="T82" s="198"/>
      <c r="U82" s="198"/>
    </row>
    <row r="83" spans="1:26" s="12" customFormat="1" x14ac:dyDescent="0.25">
      <c r="A83" s="201" t="s">
        <v>1279</v>
      </c>
      <c r="B83" s="60">
        <v>18.02</v>
      </c>
      <c r="C83" s="60">
        <v>93.73</v>
      </c>
      <c r="D83" s="60">
        <v>66.180000000000007</v>
      </c>
      <c r="E83" s="60">
        <v>16.07</v>
      </c>
      <c r="F83" s="60">
        <v>10.14</v>
      </c>
      <c r="G83" s="60">
        <v>47.15</v>
      </c>
      <c r="H83" s="60">
        <v>18.73</v>
      </c>
      <c r="I83" s="60">
        <v>0.57999999999999996</v>
      </c>
      <c r="J83" s="60">
        <v>0.13</v>
      </c>
      <c r="K83" s="60">
        <v>317.70999999999998</v>
      </c>
      <c r="L83" s="60">
        <v>27.2</v>
      </c>
      <c r="M83" s="60">
        <v>25.13</v>
      </c>
      <c r="N83" s="60">
        <v>4.3</v>
      </c>
      <c r="O83" s="60">
        <v>0</v>
      </c>
      <c r="P83" s="60">
        <v>1.1499999999999999</v>
      </c>
      <c r="Q83" s="60">
        <v>21.89</v>
      </c>
      <c r="R83" s="198"/>
      <c r="S83" s="198"/>
      <c r="T83" s="198"/>
      <c r="U83" s="198"/>
    </row>
    <row r="84" spans="1:26" s="12" customFormat="1" x14ac:dyDescent="0.25">
      <c r="A84" s="201" t="s">
        <v>1280</v>
      </c>
      <c r="B84" s="60">
        <v>17.27</v>
      </c>
      <c r="C84" s="60">
        <v>93.42</v>
      </c>
      <c r="D84" s="60">
        <v>65.41</v>
      </c>
      <c r="E84" s="60">
        <v>15.13</v>
      </c>
      <c r="F84" s="60">
        <v>7.99</v>
      </c>
      <c r="G84" s="60">
        <v>54.08</v>
      </c>
      <c r="H84" s="60">
        <v>20.329999999999998</v>
      </c>
      <c r="I84" s="60">
        <v>0.62</v>
      </c>
      <c r="J84" s="60">
        <v>0.14000000000000001</v>
      </c>
      <c r="K84" s="60">
        <v>312.48</v>
      </c>
      <c r="L84" s="60">
        <v>26.91</v>
      </c>
      <c r="M84" s="60">
        <v>26.12</v>
      </c>
      <c r="N84" s="60">
        <v>4.3</v>
      </c>
      <c r="O84" s="60">
        <v>0</v>
      </c>
      <c r="P84" s="60">
        <v>1.07</v>
      </c>
      <c r="Q84" s="60">
        <v>22.88</v>
      </c>
      <c r="R84" s="198"/>
      <c r="S84" s="198"/>
      <c r="T84" s="198"/>
      <c r="U84" s="198"/>
    </row>
    <row r="85" spans="1:26" s="12" customFormat="1" x14ac:dyDescent="0.25">
      <c r="A85" s="201" t="s">
        <v>1281</v>
      </c>
      <c r="B85" s="60">
        <v>16.829999999999998</v>
      </c>
      <c r="C85" s="60">
        <v>90.05</v>
      </c>
      <c r="D85" s="60">
        <v>63.19</v>
      </c>
      <c r="E85" s="60">
        <v>10.83</v>
      </c>
      <c r="F85" s="60">
        <v>5.82</v>
      </c>
      <c r="G85" s="60">
        <v>54.08</v>
      </c>
      <c r="H85" s="60">
        <v>20.329999999999998</v>
      </c>
      <c r="I85" s="60">
        <v>0.65</v>
      </c>
      <c r="J85" s="60">
        <v>0.1</v>
      </c>
      <c r="K85" s="60">
        <v>306.99</v>
      </c>
      <c r="L85" s="60">
        <v>26.62</v>
      </c>
      <c r="M85" s="60">
        <v>26.68</v>
      </c>
      <c r="N85" s="60">
        <v>4.4000000000000004</v>
      </c>
      <c r="O85" s="60">
        <v>0</v>
      </c>
      <c r="P85" s="60">
        <v>0.97</v>
      </c>
      <c r="Q85" s="60">
        <v>25.01</v>
      </c>
      <c r="R85" s="198"/>
      <c r="S85" s="198"/>
      <c r="T85" s="198"/>
      <c r="U85" s="198"/>
    </row>
    <row r="86" spans="1:26" s="12" customFormat="1" x14ac:dyDescent="0.25">
      <c r="A86" s="201" t="s">
        <v>1282</v>
      </c>
      <c r="B86" s="60">
        <v>19.399999999999999</v>
      </c>
      <c r="C86" s="60">
        <v>93.02</v>
      </c>
      <c r="D86" s="60">
        <v>66.89</v>
      </c>
      <c r="E86" s="60">
        <v>9.49</v>
      </c>
      <c r="F86" s="60">
        <v>5.35</v>
      </c>
      <c r="G86" s="60">
        <v>54.08</v>
      </c>
      <c r="H86" s="60">
        <v>20.329999999999998</v>
      </c>
      <c r="I86" s="60">
        <v>0.67</v>
      </c>
      <c r="J86" s="60">
        <v>0.11</v>
      </c>
      <c r="K86" s="60">
        <v>300.05</v>
      </c>
      <c r="L86" s="60">
        <v>26.22</v>
      </c>
      <c r="M86" s="60">
        <v>27.65</v>
      </c>
      <c r="N86" s="60">
        <v>4.3</v>
      </c>
      <c r="O86" s="60">
        <v>0</v>
      </c>
      <c r="P86" s="60">
        <v>1.1000000000000001</v>
      </c>
      <c r="Q86" s="60">
        <v>26.51</v>
      </c>
      <c r="R86" s="198"/>
      <c r="S86" s="198"/>
      <c r="T86" s="198"/>
      <c r="U86" s="198"/>
    </row>
    <row r="87" spans="1:26" s="12" customFormat="1" x14ac:dyDescent="0.25">
      <c r="A87" s="201" t="s">
        <v>1283</v>
      </c>
      <c r="B87" s="60">
        <v>18.170000000000002</v>
      </c>
      <c r="C87" s="60">
        <v>92.08</v>
      </c>
      <c r="D87" s="60">
        <v>65.39</v>
      </c>
      <c r="E87" s="60">
        <v>9.34</v>
      </c>
      <c r="F87" s="60">
        <v>5.08</v>
      </c>
      <c r="G87" s="60">
        <v>68.599999999999994</v>
      </c>
      <c r="H87" s="60">
        <v>23.59</v>
      </c>
      <c r="I87" s="60">
        <v>0.63</v>
      </c>
      <c r="J87" s="60">
        <v>0.16</v>
      </c>
      <c r="K87" s="60">
        <v>344.58</v>
      </c>
      <c r="L87" s="60">
        <v>25.75</v>
      </c>
      <c r="M87" s="60">
        <v>29.37</v>
      </c>
      <c r="N87" s="60">
        <v>3.9</v>
      </c>
      <c r="O87" s="60">
        <v>0</v>
      </c>
      <c r="P87" s="60">
        <v>1.19</v>
      </c>
      <c r="Q87" s="60">
        <v>27.12</v>
      </c>
      <c r="R87" s="198"/>
      <c r="S87" s="198"/>
      <c r="T87" s="198"/>
      <c r="U87" s="198"/>
    </row>
    <row r="88" spans="1:26" s="12" customFormat="1" x14ac:dyDescent="0.25">
      <c r="A88" s="201" t="s">
        <v>1284</v>
      </c>
      <c r="B88" s="60">
        <v>20.100000000000001</v>
      </c>
      <c r="C88" s="60">
        <v>95.81</v>
      </c>
      <c r="D88" s="60">
        <v>69</v>
      </c>
      <c r="E88" s="60">
        <v>5.34</v>
      </c>
      <c r="F88" s="60">
        <v>5.43</v>
      </c>
      <c r="G88" s="60">
        <v>85.96</v>
      </c>
      <c r="H88" s="60">
        <v>27.48</v>
      </c>
      <c r="I88" s="60">
        <v>0.64</v>
      </c>
      <c r="J88" s="60">
        <v>0.11</v>
      </c>
      <c r="K88" s="60">
        <v>338.24</v>
      </c>
      <c r="L88" s="60">
        <v>25.74</v>
      </c>
      <c r="M88" s="60">
        <v>29.06</v>
      </c>
      <c r="N88" s="60">
        <v>4.0999999999999996</v>
      </c>
      <c r="O88" s="60">
        <v>0</v>
      </c>
      <c r="P88" s="60">
        <v>1.24</v>
      </c>
      <c r="Q88" s="60">
        <v>27.47</v>
      </c>
      <c r="R88" s="198"/>
      <c r="S88" s="198"/>
      <c r="T88" s="198"/>
      <c r="U88" s="198"/>
    </row>
    <row r="89" spans="1:26" s="12" customFormat="1" x14ac:dyDescent="0.25">
      <c r="A89" s="201" t="s">
        <v>1285</v>
      </c>
      <c r="B89" s="60">
        <v>24.02</v>
      </c>
      <c r="C89" s="60">
        <v>100.55</v>
      </c>
      <c r="D89" s="60">
        <v>74.760000000000005</v>
      </c>
      <c r="E89" s="60">
        <v>7.25</v>
      </c>
      <c r="F89" s="60">
        <v>5.0199999999999996</v>
      </c>
      <c r="G89" s="60">
        <v>85.96</v>
      </c>
      <c r="H89" s="60">
        <v>27.48</v>
      </c>
      <c r="I89" s="60">
        <v>0.66</v>
      </c>
      <c r="J89" s="60">
        <v>0.11</v>
      </c>
      <c r="K89" s="60">
        <v>18.899999999999999</v>
      </c>
      <c r="L89" s="60">
        <v>25.29</v>
      </c>
      <c r="M89" s="60">
        <v>30.42</v>
      </c>
      <c r="N89" s="60">
        <v>4.0999999999999996</v>
      </c>
      <c r="O89" s="60">
        <v>0</v>
      </c>
      <c r="P89" s="60">
        <v>1.35</v>
      </c>
      <c r="Q89" s="60">
        <v>28.12</v>
      </c>
      <c r="R89" s="198"/>
      <c r="S89" s="198"/>
      <c r="T89" s="198"/>
      <c r="U89" s="198"/>
    </row>
    <row r="90" spans="1:26" s="12" customFormat="1" x14ac:dyDescent="0.25">
      <c r="A90" s="201" t="s">
        <v>1286</v>
      </c>
      <c r="B90" s="60">
        <v>27.05</v>
      </c>
      <c r="C90" s="60">
        <v>104.38</v>
      </c>
      <c r="D90" s="60">
        <v>79.3</v>
      </c>
      <c r="E90" s="60">
        <v>6.82</v>
      </c>
      <c r="F90" s="60">
        <v>4.79</v>
      </c>
      <c r="G90" s="60">
        <v>85.96</v>
      </c>
      <c r="H90" s="60">
        <v>27.48</v>
      </c>
      <c r="I90" s="60">
        <v>0.71</v>
      </c>
      <c r="J90" s="60">
        <v>0.28000000000000003</v>
      </c>
      <c r="K90" s="60">
        <v>23.24</v>
      </c>
      <c r="L90" s="60">
        <v>25.13</v>
      </c>
      <c r="M90" s="60">
        <v>30.89</v>
      </c>
      <c r="N90" s="60">
        <v>3.7</v>
      </c>
      <c r="O90" s="60">
        <v>0</v>
      </c>
      <c r="P90" s="60">
        <v>1.4</v>
      </c>
      <c r="Q90" s="60">
        <v>28.7</v>
      </c>
      <c r="R90" s="198"/>
      <c r="S90" s="198"/>
      <c r="T90" s="198"/>
      <c r="U90" s="198"/>
    </row>
    <row r="91" spans="1:26" s="12" customFormat="1" x14ac:dyDescent="0.25">
      <c r="A91" s="201" t="s">
        <v>1287</v>
      </c>
      <c r="B91" s="60">
        <v>26.42</v>
      </c>
      <c r="C91" s="60">
        <v>103.72</v>
      </c>
      <c r="D91" s="60">
        <v>78.430000000000007</v>
      </c>
      <c r="E91" s="60">
        <v>7.19</v>
      </c>
      <c r="F91" s="60">
        <v>5.5</v>
      </c>
      <c r="G91" s="60">
        <v>84.54</v>
      </c>
      <c r="H91" s="60">
        <v>28</v>
      </c>
      <c r="I91" s="60">
        <v>0.69</v>
      </c>
      <c r="J91" s="60">
        <v>0.55000000000000004</v>
      </c>
      <c r="K91" s="60">
        <v>13.29</v>
      </c>
      <c r="L91" s="60">
        <v>25.15</v>
      </c>
      <c r="M91" s="60">
        <v>31.25</v>
      </c>
      <c r="N91" s="60">
        <v>3.1</v>
      </c>
      <c r="O91" s="60">
        <v>0</v>
      </c>
      <c r="P91" s="60">
        <v>1.45</v>
      </c>
      <c r="Q91" s="60">
        <v>28.81</v>
      </c>
      <c r="R91" s="198"/>
      <c r="S91" s="198"/>
      <c r="T91" s="198"/>
      <c r="U91" s="198"/>
    </row>
    <row r="92" spans="1:26" s="12" customFormat="1" x14ac:dyDescent="0.25">
      <c r="A92" s="201" t="s">
        <v>1288</v>
      </c>
      <c r="B92" s="60">
        <v>26.32</v>
      </c>
      <c r="C92" s="60">
        <v>103.22</v>
      </c>
      <c r="D92" s="60">
        <v>78.069999999999993</v>
      </c>
      <c r="E92" s="60">
        <v>7.09</v>
      </c>
      <c r="F92" s="60">
        <v>5.65</v>
      </c>
      <c r="G92" s="60">
        <v>82.84</v>
      </c>
      <c r="H92" s="60">
        <v>28.62</v>
      </c>
      <c r="I92" s="60">
        <v>0.76</v>
      </c>
      <c r="J92" s="60">
        <v>1.05</v>
      </c>
      <c r="K92" s="60">
        <v>2.56</v>
      </c>
      <c r="L92" s="60">
        <v>25.05</v>
      </c>
      <c r="M92" s="60">
        <v>31.44</v>
      </c>
      <c r="N92" s="60">
        <v>2.2999999999999998</v>
      </c>
      <c r="O92" s="60">
        <v>0</v>
      </c>
      <c r="P92" s="60">
        <v>1.46</v>
      </c>
      <c r="Q92" s="60">
        <v>28.41</v>
      </c>
      <c r="R92" s="198"/>
      <c r="S92" s="198"/>
      <c r="T92" s="198"/>
      <c r="U92" s="198"/>
    </row>
    <row r="93" spans="1:26" s="12" customFormat="1" x14ac:dyDescent="0.25">
      <c r="A93" s="201" t="s">
        <v>1289</v>
      </c>
      <c r="B93" s="60">
        <v>25.91</v>
      </c>
      <c r="C93" s="60">
        <v>104.88</v>
      </c>
      <c r="D93" s="60">
        <v>78.66</v>
      </c>
      <c r="E93" s="60">
        <v>7.3</v>
      </c>
      <c r="F93" s="60">
        <v>5.35</v>
      </c>
      <c r="G93" s="60">
        <v>82.84</v>
      </c>
      <c r="H93" s="60">
        <v>28.62</v>
      </c>
      <c r="I93" s="60">
        <v>0.71</v>
      </c>
      <c r="J93" s="60">
        <v>0.98</v>
      </c>
      <c r="K93" s="60">
        <v>354</v>
      </c>
      <c r="L93" s="60">
        <v>25.28</v>
      </c>
      <c r="M93" s="60">
        <v>30.78</v>
      </c>
      <c r="N93" s="60">
        <v>3.2</v>
      </c>
      <c r="O93" s="60">
        <v>0</v>
      </c>
      <c r="P93" s="60">
        <v>1.44</v>
      </c>
      <c r="Q93" s="60">
        <v>28.23</v>
      </c>
      <c r="R93" s="198"/>
      <c r="S93" s="198"/>
      <c r="T93" s="198"/>
      <c r="U93" s="198"/>
    </row>
    <row r="94" spans="1:26" s="12" customFormat="1" x14ac:dyDescent="0.25">
      <c r="A94" s="201" t="s">
        <v>1290</v>
      </c>
      <c r="B94" s="60">
        <v>24.07</v>
      </c>
      <c r="C94" s="60">
        <v>103.37</v>
      </c>
      <c r="D94" s="60">
        <v>76.349999999999994</v>
      </c>
      <c r="E94" s="60">
        <v>7.58</v>
      </c>
      <c r="F94" s="60">
        <v>5.08</v>
      </c>
      <c r="G94" s="60">
        <v>82.84</v>
      </c>
      <c r="H94" s="60">
        <v>28.62</v>
      </c>
      <c r="I94" s="60">
        <v>0.72</v>
      </c>
      <c r="J94" s="60">
        <v>0.83</v>
      </c>
      <c r="K94" s="60">
        <v>352.67</v>
      </c>
      <c r="L94" s="60">
        <v>25.06</v>
      </c>
      <c r="M94" s="60">
        <v>31.94</v>
      </c>
      <c r="N94" s="60">
        <v>3.9</v>
      </c>
      <c r="O94" s="60">
        <v>0</v>
      </c>
      <c r="P94" s="60">
        <v>1.42</v>
      </c>
      <c r="Q94" s="60">
        <v>28.06</v>
      </c>
      <c r="R94" s="198"/>
      <c r="S94" s="198"/>
      <c r="T94" s="198"/>
      <c r="U94" s="198"/>
    </row>
    <row r="95" spans="1:26" s="12" customFormat="1" x14ac:dyDescent="0.25">
      <c r="A95" s="201" t="s">
        <v>1291</v>
      </c>
      <c r="B95" s="60">
        <v>23.43</v>
      </c>
      <c r="C95" s="60">
        <v>101.48</v>
      </c>
      <c r="D95" s="60">
        <v>74.790000000000006</v>
      </c>
      <c r="E95" s="60">
        <v>7.08</v>
      </c>
      <c r="F95" s="60">
        <v>5.51</v>
      </c>
      <c r="G95" s="60">
        <v>78.08</v>
      </c>
      <c r="H95" s="60">
        <v>27.62</v>
      </c>
      <c r="I95" s="60">
        <v>0.71</v>
      </c>
      <c r="J95" s="60">
        <v>0.85</v>
      </c>
      <c r="K95" s="60">
        <v>5.43</v>
      </c>
      <c r="L95" s="60">
        <v>24.67</v>
      </c>
      <c r="M95" s="60">
        <v>32.880000000000003</v>
      </c>
      <c r="N95" s="60">
        <v>3.9</v>
      </c>
      <c r="O95" s="60">
        <v>0</v>
      </c>
      <c r="P95" s="60">
        <v>1.4</v>
      </c>
      <c r="Q95" s="60">
        <v>28.05</v>
      </c>
      <c r="R95" s="198"/>
      <c r="S95" s="198"/>
      <c r="T95" s="198"/>
      <c r="U95" s="198"/>
    </row>
    <row r="96" spans="1:26" s="12" customFormat="1" x14ac:dyDescent="0.25">
      <c r="A96" s="201" t="s">
        <v>1292</v>
      </c>
      <c r="B96" s="60">
        <v>23.08</v>
      </c>
      <c r="C96" s="60">
        <v>101.49</v>
      </c>
      <c r="D96" s="60">
        <v>74.52</v>
      </c>
      <c r="E96" s="60">
        <v>7.18</v>
      </c>
      <c r="F96" s="60">
        <v>5.42</v>
      </c>
      <c r="G96" s="60">
        <v>72.39</v>
      </c>
      <c r="H96" s="60">
        <v>26.43</v>
      </c>
      <c r="I96" s="60">
        <v>0.71</v>
      </c>
      <c r="J96" s="60">
        <v>1.2</v>
      </c>
      <c r="K96" s="60">
        <v>6.74</v>
      </c>
      <c r="L96" s="60">
        <v>24.63</v>
      </c>
      <c r="M96" s="60">
        <v>32.31</v>
      </c>
      <c r="N96" s="60">
        <v>3.5</v>
      </c>
      <c r="O96" s="60">
        <v>0</v>
      </c>
      <c r="P96" s="60">
        <v>1.37</v>
      </c>
      <c r="Q96" s="60">
        <v>28.18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1293</v>
      </c>
      <c r="B97" s="60">
        <v>21.9</v>
      </c>
      <c r="C97" s="60">
        <v>99.1</v>
      </c>
      <c r="D97" s="60">
        <v>72.260000000000005</v>
      </c>
      <c r="E97" s="60">
        <v>7.24</v>
      </c>
      <c r="F97" s="60">
        <v>5.33</v>
      </c>
      <c r="G97" s="60">
        <v>72.39</v>
      </c>
      <c r="H97" s="60">
        <v>26.43</v>
      </c>
      <c r="I97" s="60">
        <v>0.7</v>
      </c>
      <c r="J97" s="60">
        <v>1.04</v>
      </c>
      <c r="K97" s="60">
        <v>12.06</v>
      </c>
      <c r="L97" s="60">
        <v>24.46</v>
      </c>
      <c r="M97" s="60">
        <v>33.22</v>
      </c>
      <c r="N97" s="60">
        <v>4.2</v>
      </c>
      <c r="O97" s="60">
        <v>0</v>
      </c>
      <c r="P97" s="60">
        <v>1.35</v>
      </c>
      <c r="Q97" s="60">
        <v>28.34</v>
      </c>
      <c r="R97" s="198"/>
      <c r="S97" s="198"/>
      <c r="T97" s="198"/>
      <c r="U97" s="198"/>
    </row>
    <row r="98" spans="1:33" s="12" customFormat="1" x14ac:dyDescent="0.25">
      <c r="A98" s="201" t="s">
        <v>1294</v>
      </c>
      <c r="B98" s="60">
        <v>20.76</v>
      </c>
      <c r="C98" s="60">
        <v>95.61</v>
      </c>
      <c r="D98" s="60">
        <v>69.41</v>
      </c>
      <c r="E98" s="60">
        <v>8.39</v>
      </c>
      <c r="F98" s="60">
        <v>6.02</v>
      </c>
      <c r="G98" s="60">
        <v>72.39</v>
      </c>
      <c r="H98" s="60">
        <v>26.43</v>
      </c>
      <c r="I98" s="60">
        <v>0.7</v>
      </c>
      <c r="J98" s="60">
        <v>0.57999999999999996</v>
      </c>
      <c r="K98" s="60">
        <v>13.5</v>
      </c>
      <c r="L98" s="60">
        <v>23.87</v>
      </c>
      <c r="M98" s="60">
        <v>34.81</v>
      </c>
      <c r="N98" s="60">
        <v>4.5999999999999996</v>
      </c>
      <c r="O98" s="60">
        <v>0</v>
      </c>
      <c r="P98" s="60">
        <v>1.35</v>
      </c>
      <c r="Q98" s="60">
        <v>28.35</v>
      </c>
      <c r="R98" s="198"/>
      <c r="S98" s="198"/>
      <c r="T98" s="198"/>
      <c r="U98" s="198"/>
    </row>
    <row r="99" spans="1:33" s="12" customFormat="1" x14ac:dyDescent="0.25">
      <c r="A99" s="201" t="s">
        <v>1295</v>
      </c>
      <c r="B99" s="60">
        <v>22.14</v>
      </c>
      <c r="C99" s="60">
        <v>96.95</v>
      </c>
      <c r="D99" s="60">
        <v>71.260000000000005</v>
      </c>
      <c r="E99" s="60">
        <v>7.34</v>
      </c>
      <c r="F99" s="60">
        <v>5.17</v>
      </c>
      <c r="G99" s="60">
        <v>67.66</v>
      </c>
      <c r="H99" s="60">
        <v>25.8</v>
      </c>
      <c r="I99" s="60">
        <v>0.7</v>
      </c>
      <c r="J99" s="60">
        <v>0.53</v>
      </c>
      <c r="K99" s="60">
        <v>12.37</v>
      </c>
      <c r="L99" s="60">
        <v>23.26</v>
      </c>
      <c r="M99" s="60">
        <v>36.25</v>
      </c>
      <c r="N99" s="60">
        <v>4.3</v>
      </c>
      <c r="O99" s="60">
        <v>0</v>
      </c>
      <c r="P99" s="60">
        <v>1.35</v>
      </c>
      <c r="Q99" s="60">
        <v>28.91</v>
      </c>
      <c r="R99" s="198"/>
      <c r="S99" s="198"/>
      <c r="T99" s="198"/>
      <c r="U99" s="198"/>
    </row>
    <row r="100" spans="1:33" s="12" customFormat="1" x14ac:dyDescent="0.25">
      <c r="A100" s="201" t="s">
        <v>1296</v>
      </c>
      <c r="B100" s="60">
        <v>21.27</v>
      </c>
      <c r="C100" s="60">
        <v>96.44</v>
      </c>
      <c r="D100" s="60">
        <v>70.28</v>
      </c>
      <c r="E100" s="60">
        <v>7.51</v>
      </c>
      <c r="F100" s="60">
        <v>4.7</v>
      </c>
      <c r="G100" s="60">
        <v>62.01</v>
      </c>
      <c r="H100" s="60">
        <v>25.05</v>
      </c>
      <c r="I100" s="60">
        <v>0.7</v>
      </c>
      <c r="J100" s="60">
        <v>0.66</v>
      </c>
      <c r="K100" s="60">
        <v>14.41</v>
      </c>
      <c r="L100" s="60">
        <v>23.03</v>
      </c>
      <c r="M100" s="60">
        <v>36.57</v>
      </c>
      <c r="N100" s="60">
        <v>3.9</v>
      </c>
      <c r="O100" s="60">
        <v>0</v>
      </c>
      <c r="P100" s="60">
        <v>1.35</v>
      </c>
      <c r="Q100" s="60">
        <v>29.73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1297</v>
      </c>
      <c r="B101" s="60">
        <v>20.3</v>
      </c>
      <c r="C101" s="60">
        <v>95.35</v>
      </c>
      <c r="D101" s="60">
        <v>68.89</v>
      </c>
      <c r="E101" s="60">
        <v>6.8</v>
      </c>
      <c r="F101" s="60">
        <v>4.62</v>
      </c>
      <c r="G101" s="60">
        <v>62.01</v>
      </c>
      <c r="H101" s="60">
        <v>25.05</v>
      </c>
      <c r="I101" s="60">
        <v>0.7</v>
      </c>
      <c r="J101" s="60">
        <v>0.64</v>
      </c>
      <c r="K101" s="60">
        <v>17.47</v>
      </c>
      <c r="L101" s="60">
        <v>22.94</v>
      </c>
      <c r="M101" s="60">
        <v>36.659999999999997</v>
      </c>
      <c r="N101" s="60">
        <v>3.9</v>
      </c>
      <c r="O101" s="60">
        <v>0</v>
      </c>
      <c r="P101" s="60">
        <v>1.32</v>
      </c>
      <c r="Q101" s="60">
        <v>30.02</v>
      </c>
      <c r="R101" s="198"/>
      <c r="S101" s="198"/>
      <c r="T101" s="198"/>
      <c r="U101" s="198"/>
    </row>
    <row r="102" spans="1:33" s="12" customFormat="1" x14ac:dyDescent="0.25">
      <c r="A102" s="201" t="s">
        <v>1298</v>
      </c>
      <c r="B102" s="60">
        <v>19.350000000000001</v>
      </c>
      <c r="C102" s="60">
        <v>94.05</v>
      </c>
      <c r="D102" s="60">
        <v>67.42</v>
      </c>
      <c r="E102" s="60">
        <v>6.83</v>
      </c>
      <c r="F102" s="60">
        <v>4.6100000000000003</v>
      </c>
      <c r="G102" s="60">
        <v>62.01</v>
      </c>
      <c r="H102" s="60">
        <v>25.05</v>
      </c>
      <c r="I102" s="60">
        <v>0.7</v>
      </c>
      <c r="J102" s="60">
        <v>0.79</v>
      </c>
      <c r="K102" s="60">
        <v>24.14</v>
      </c>
      <c r="L102" s="60">
        <v>22.74</v>
      </c>
      <c r="M102" s="60">
        <v>37.54</v>
      </c>
      <c r="N102" s="60">
        <v>3.8</v>
      </c>
      <c r="O102" s="60">
        <v>0</v>
      </c>
      <c r="P102" s="60">
        <v>1.28</v>
      </c>
      <c r="Q102" s="60">
        <v>29.99</v>
      </c>
      <c r="R102" s="198"/>
      <c r="S102" s="198"/>
      <c r="T102" s="198"/>
      <c r="U102" s="198"/>
    </row>
    <row r="103" spans="1:33" s="12" customFormat="1" x14ac:dyDescent="0.25">
      <c r="A103" s="201" t="s">
        <v>1299</v>
      </c>
      <c r="B103" s="60">
        <v>18.14</v>
      </c>
      <c r="C103" s="60">
        <v>92.85</v>
      </c>
      <c r="D103" s="60">
        <v>65.790000000000006</v>
      </c>
      <c r="E103" s="60">
        <v>7.24</v>
      </c>
      <c r="F103" s="60">
        <v>4.54</v>
      </c>
      <c r="G103" s="60">
        <v>59.28</v>
      </c>
      <c r="H103" s="60">
        <v>24.11</v>
      </c>
      <c r="I103" s="60">
        <v>0.69</v>
      </c>
      <c r="J103" s="60">
        <v>0.6</v>
      </c>
      <c r="K103" s="60">
        <v>23.31</v>
      </c>
      <c r="L103" s="60">
        <v>22.81</v>
      </c>
      <c r="M103" s="60">
        <v>37.44</v>
      </c>
      <c r="N103" s="60">
        <v>4.2</v>
      </c>
      <c r="O103" s="60">
        <v>0</v>
      </c>
      <c r="P103" s="60">
        <v>1.25</v>
      </c>
      <c r="Q103" s="60">
        <v>29.66</v>
      </c>
      <c r="R103" s="198"/>
      <c r="S103" s="198"/>
      <c r="T103" s="198"/>
      <c r="U103" s="198"/>
    </row>
    <row r="104" spans="1:33" s="12" customFormat="1" x14ac:dyDescent="0.25">
      <c r="A104" s="201" t="s">
        <v>1300</v>
      </c>
      <c r="B104" s="60">
        <v>17.14</v>
      </c>
      <c r="C104" s="60">
        <v>92.05</v>
      </c>
      <c r="D104" s="60">
        <v>64.55</v>
      </c>
      <c r="E104" s="60">
        <v>4.87</v>
      </c>
      <c r="F104" s="60">
        <v>4.5</v>
      </c>
      <c r="G104" s="60">
        <v>56.03</v>
      </c>
      <c r="H104" s="60">
        <v>22.99</v>
      </c>
      <c r="I104" s="60">
        <v>0.72</v>
      </c>
      <c r="J104" s="60">
        <v>0.42</v>
      </c>
      <c r="K104" s="60">
        <v>24.93</v>
      </c>
      <c r="L104" s="60">
        <v>22.65</v>
      </c>
      <c r="M104" s="60">
        <v>37.409999999999997</v>
      </c>
      <c r="N104" s="60">
        <v>4.3</v>
      </c>
      <c r="O104" s="60">
        <v>0</v>
      </c>
      <c r="P104" s="60">
        <v>1.22</v>
      </c>
      <c r="Q104" s="60">
        <v>29.42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0.97</v>
      </c>
      <c r="C106" s="67">
        <f>MIN(C9:C104)</f>
        <v>62.24</v>
      </c>
      <c r="D106" s="67">
        <f t="shared" ref="D106:Q106" si="0">MIN(D9:D104)</f>
        <v>35.270000000000003</v>
      </c>
      <c r="E106" s="67">
        <f t="shared" si="0"/>
        <v>3.82</v>
      </c>
      <c r="F106" s="67">
        <f t="shared" si="0"/>
        <v>4.5</v>
      </c>
      <c r="G106" s="67">
        <f t="shared" si="0"/>
        <v>33.840000000000003</v>
      </c>
      <c r="H106" s="67">
        <f t="shared" si="0"/>
        <v>17.38</v>
      </c>
      <c r="I106" s="67">
        <f t="shared" si="0"/>
        <v>0.5</v>
      </c>
      <c r="J106" s="67">
        <f t="shared" si="0"/>
        <v>0.01</v>
      </c>
      <c r="K106" s="67">
        <f t="shared" si="0"/>
        <v>1.53</v>
      </c>
      <c r="L106" s="67">
        <f t="shared" si="0"/>
        <v>17.14</v>
      </c>
      <c r="M106" s="67">
        <f t="shared" si="0"/>
        <v>12.24</v>
      </c>
      <c r="N106" s="67">
        <f t="shared" si="0"/>
        <v>2.2999999999999998</v>
      </c>
      <c r="O106" s="67">
        <f t="shared" si="0"/>
        <v>0</v>
      </c>
      <c r="P106" s="67">
        <f t="shared" si="0"/>
        <v>0.5</v>
      </c>
      <c r="Q106" s="67">
        <f t="shared" si="0"/>
        <v>19.350000000000001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96.08</v>
      </c>
      <c r="C107" s="66">
        <f t="shared" ref="C107:Q107" si="1">MAX(C9:C104)</f>
        <v>131.4</v>
      </c>
      <c r="D107" s="66">
        <f t="shared" si="1"/>
        <v>149.56</v>
      </c>
      <c r="E107" s="66">
        <f t="shared" si="1"/>
        <v>16.07</v>
      </c>
      <c r="F107" s="66">
        <f t="shared" si="1"/>
        <v>13.34</v>
      </c>
      <c r="G107" s="66">
        <f t="shared" si="1"/>
        <v>120.51</v>
      </c>
      <c r="H107" s="66">
        <f t="shared" si="1"/>
        <v>51.34</v>
      </c>
      <c r="I107" s="66">
        <f t="shared" si="1"/>
        <v>1.17</v>
      </c>
      <c r="J107" s="66">
        <f t="shared" si="1"/>
        <v>1.49</v>
      </c>
      <c r="K107" s="66">
        <f t="shared" si="1"/>
        <v>359.94</v>
      </c>
      <c r="L107" s="66">
        <f t="shared" si="1"/>
        <v>37.36</v>
      </c>
      <c r="M107" s="66">
        <f t="shared" si="1"/>
        <v>63.42</v>
      </c>
      <c r="N107" s="66">
        <f t="shared" si="1"/>
        <v>607.79999999999995</v>
      </c>
      <c r="O107" s="66">
        <f t="shared" si="1"/>
        <v>0</v>
      </c>
      <c r="P107" s="66">
        <f t="shared" si="1"/>
        <v>2.2200000000000002</v>
      </c>
      <c r="Q107" s="66">
        <f t="shared" si="1"/>
        <v>34.94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22.711458333333326</v>
      </c>
      <c r="C108" s="67">
        <f t="shared" ref="C108:Q108" si="2">AVERAGE(C9:C104)</f>
        <v>88.910416666666663</v>
      </c>
      <c r="D108" s="67">
        <f t="shared" si="2"/>
        <v>67.280729166666688</v>
      </c>
      <c r="E108" s="67">
        <f t="shared" si="2"/>
        <v>7.0992708333333363</v>
      </c>
      <c r="F108" s="67">
        <f t="shared" si="2"/>
        <v>6.0761458333333325</v>
      </c>
      <c r="G108" s="67">
        <f t="shared" si="2"/>
        <v>59.014895833333355</v>
      </c>
      <c r="H108" s="67">
        <f t="shared" si="2"/>
        <v>27.335312500000004</v>
      </c>
      <c r="I108" s="67">
        <f t="shared" si="2"/>
        <v>0.69125000000000025</v>
      </c>
      <c r="J108" s="67">
        <f t="shared" si="2"/>
        <v>0.38663157894736844</v>
      </c>
      <c r="K108" s="67">
        <f t="shared" si="2"/>
        <v>222.87218750000011</v>
      </c>
      <c r="L108" s="67">
        <f t="shared" si="2"/>
        <v>26.286354166666673</v>
      </c>
      <c r="M108" s="67">
        <f t="shared" si="2"/>
        <v>35.055312499999992</v>
      </c>
      <c r="N108" s="67">
        <f t="shared" si="2"/>
        <v>163.23645833333327</v>
      </c>
      <c r="O108" s="67">
        <f t="shared" si="2"/>
        <v>0</v>
      </c>
      <c r="P108" s="67">
        <f t="shared" si="2"/>
        <v>1.1127083333333332</v>
      </c>
      <c r="Q108" s="67">
        <f t="shared" si="2"/>
        <v>27.728124999999991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22.815662578665318</v>
      </c>
      <c r="C109" s="67">
        <f t="shared" ref="C109:Q109" si="3">STDEV(C9:C104)</f>
        <v>14.93653689987762</v>
      </c>
      <c r="D109" s="67">
        <f t="shared" si="3"/>
        <v>25.616101607543232</v>
      </c>
      <c r="E109" s="67">
        <f t="shared" si="3"/>
        <v>2.0654731813120297</v>
      </c>
      <c r="F109" s="67">
        <f t="shared" si="3"/>
        <v>1.9984959448712107</v>
      </c>
      <c r="G109" s="67">
        <f t="shared" si="3"/>
        <v>17.213925207275132</v>
      </c>
      <c r="H109" s="67">
        <f t="shared" si="3"/>
        <v>6.677582757275494</v>
      </c>
      <c r="I109" s="67">
        <f t="shared" si="3"/>
        <v>0.16389502416903529</v>
      </c>
      <c r="J109" s="67">
        <f t="shared" si="3"/>
        <v>0.33532648595607634</v>
      </c>
      <c r="K109" s="67">
        <f t="shared" si="3"/>
        <v>136.52322800787687</v>
      </c>
      <c r="L109" s="67">
        <f t="shared" si="3"/>
        <v>6.7266751182831381</v>
      </c>
      <c r="M109" s="67">
        <f t="shared" si="3"/>
        <v>17.077967089244439</v>
      </c>
      <c r="N109" s="67">
        <f t="shared" si="3"/>
        <v>222.14642545179245</v>
      </c>
      <c r="O109" s="67">
        <f t="shared" si="3"/>
        <v>0</v>
      </c>
      <c r="P109" s="67">
        <f t="shared" si="3"/>
        <v>0.38524490957166224</v>
      </c>
      <c r="Q109" s="67">
        <f t="shared" si="3"/>
        <v>4.7421725672833599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COUNT(J9:J104)+1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215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2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D9" sqref="D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12-02-2023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340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1301</v>
      </c>
      <c r="B9" s="60">
        <v>16.79</v>
      </c>
      <c r="C9" s="60">
        <v>91.71</v>
      </c>
      <c r="D9" s="60">
        <v>64.08</v>
      </c>
      <c r="E9" s="60">
        <v>8.11</v>
      </c>
      <c r="F9" s="60">
        <v>4.68</v>
      </c>
      <c r="G9" s="60">
        <v>56.03</v>
      </c>
      <c r="H9" s="60">
        <v>22.99</v>
      </c>
      <c r="I9" s="60">
        <v>0.67</v>
      </c>
      <c r="J9" s="60">
        <v>0.39</v>
      </c>
      <c r="K9" s="60">
        <v>16.61</v>
      </c>
      <c r="L9" s="60">
        <v>22.4</v>
      </c>
      <c r="M9" s="60">
        <v>38.64</v>
      </c>
      <c r="N9" s="60">
        <v>4.3</v>
      </c>
      <c r="O9" s="60">
        <v>0</v>
      </c>
      <c r="P9" s="60">
        <v>1.22</v>
      </c>
      <c r="Q9" s="60">
        <v>29.7</v>
      </c>
      <c r="R9" s="198"/>
      <c r="S9" s="198"/>
      <c r="T9" s="198"/>
      <c r="U9" s="198"/>
    </row>
    <row r="10" spans="1:21" s="12" customFormat="1" x14ac:dyDescent="0.25">
      <c r="A10" s="201" t="s">
        <v>1302</v>
      </c>
      <c r="B10" s="60">
        <v>14.43</v>
      </c>
      <c r="C10" s="60">
        <v>85.26</v>
      </c>
      <c r="D10" s="60">
        <v>58.62</v>
      </c>
      <c r="E10" s="60">
        <v>9.18</v>
      </c>
      <c r="F10" s="60">
        <v>5.7</v>
      </c>
      <c r="G10" s="60">
        <v>56.03</v>
      </c>
      <c r="H10" s="60">
        <v>22.99</v>
      </c>
      <c r="I10" s="60">
        <v>0.67</v>
      </c>
      <c r="J10" s="60">
        <v>0.62</v>
      </c>
      <c r="K10" s="60">
        <v>25.68</v>
      </c>
      <c r="L10" s="60">
        <v>22.39</v>
      </c>
      <c r="M10" s="60">
        <v>37.99</v>
      </c>
      <c r="N10" s="60">
        <v>3.7</v>
      </c>
      <c r="O10" s="60">
        <v>0</v>
      </c>
      <c r="P10" s="60">
        <v>1.17</v>
      </c>
      <c r="Q10" s="60">
        <v>29.2</v>
      </c>
      <c r="R10" s="198"/>
      <c r="S10" s="198"/>
      <c r="T10" s="198"/>
      <c r="U10" s="198"/>
    </row>
    <row r="11" spans="1:21" s="12" customFormat="1" x14ac:dyDescent="0.25">
      <c r="A11" s="201" t="s">
        <v>1303</v>
      </c>
      <c r="B11" s="60">
        <v>14.7</v>
      </c>
      <c r="C11" s="60">
        <v>86.59</v>
      </c>
      <c r="D11" s="60">
        <v>59.58</v>
      </c>
      <c r="E11" s="60">
        <v>9.44</v>
      </c>
      <c r="F11" s="60">
        <v>5.36</v>
      </c>
      <c r="G11" s="60">
        <v>58.6</v>
      </c>
      <c r="H11" s="60">
        <v>23.77</v>
      </c>
      <c r="I11" s="60">
        <v>0.66</v>
      </c>
      <c r="J11" s="60">
        <v>0.61</v>
      </c>
      <c r="K11" s="60">
        <v>12.9</v>
      </c>
      <c r="L11" s="60">
        <v>22.44</v>
      </c>
      <c r="M11" s="60">
        <v>36.770000000000003</v>
      </c>
      <c r="N11" s="60">
        <v>3.8</v>
      </c>
      <c r="O11" s="60">
        <v>0</v>
      </c>
      <c r="P11" s="60">
        <v>1.1399999999999999</v>
      </c>
      <c r="Q11" s="60">
        <v>28.81</v>
      </c>
      <c r="R11" s="198"/>
      <c r="S11" s="198"/>
      <c r="T11" s="198"/>
      <c r="U11" s="198"/>
    </row>
    <row r="12" spans="1:21" s="12" customFormat="1" x14ac:dyDescent="0.25">
      <c r="A12" s="201" t="s">
        <v>1304</v>
      </c>
      <c r="B12" s="60">
        <v>14.58</v>
      </c>
      <c r="C12" s="60">
        <v>85.91</v>
      </c>
      <c r="D12" s="60">
        <v>59.11</v>
      </c>
      <c r="E12" s="60">
        <v>8.9700000000000006</v>
      </c>
      <c r="F12" s="60">
        <v>5.42</v>
      </c>
      <c r="G12" s="60">
        <v>61.68</v>
      </c>
      <c r="H12" s="60">
        <v>24.71</v>
      </c>
      <c r="I12" s="60">
        <v>0.66</v>
      </c>
      <c r="J12" s="60">
        <v>0.67</v>
      </c>
      <c r="K12" s="60">
        <v>18.02</v>
      </c>
      <c r="L12" s="60">
        <v>22.42</v>
      </c>
      <c r="M12" s="60">
        <v>36.85</v>
      </c>
      <c r="N12" s="60">
        <v>3.8</v>
      </c>
      <c r="O12" s="60">
        <v>0</v>
      </c>
      <c r="P12" s="60">
        <v>1.1299999999999999</v>
      </c>
      <c r="Q12" s="60">
        <v>28.64</v>
      </c>
      <c r="R12" s="198"/>
      <c r="S12" s="198"/>
      <c r="T12" s="198"/>
      <c r="U12" s="198"/>
    </row>
    <row r="13" spans="1:21" s="12" customFormat="1" x14ac:dyDescent="0.25">
      <c r="A13" s="201" t="s">
        <v>1305</v>
      </c>
      <c r="B13" s="60">
        <v>14.3</v>
      </c>
      <c r="C13" s="60">
        <v>86.25</v>
      </c>
      <c r="D13" s="60">
        <v>59.07</v>
      </c>
      <c r="E13" s="60">
        <v>8.25</v>
      </c>
      <c r="F13" s="60">
        <v>5.08</v>
      </c>
      <c r="G13" s="60">
        <v>61.68</v>
      </c>
      <c r="H13" s="60">
        <v>24.71</v>
      </c>
      <c r="I13" s="60">
        <v>0.65</v>
      </c>
      <c r="J13" s="60">
        <v>7.0000000000000007E-2</v>
      </c>
      <c r="K13" s="60">
        <v>26.37</v>
      </c>
      <c r="L13" s="60">
        <v>21.92</v>
      </c>
      <c r="M13" s="60">
        <v>38.630000000000003</v>
      </c>
      <c r="N13" s="60">
        <v>4.9000000000000004</v>
      </c>
      <c r="O13" s="60">
        <v>0</v>
      </c>
      <c r="P13" s="60">
        <v>1.08</v>
      </c>
      <c r="Q13" s="60">
        <v>28.75</v>
      </c>
      <c r="R13" s="198"/>
      <c r="S13" s="198"/>
      <c r="T13" s="198"/>
      <c r="U13" s="198"/>
    </row>
    <row r="14" spans="1:21" s="12" customFormat="1" x14ac:dyDescent="0.25">
      <c r="A14" s="201" t="s">
        <v>1306</v>
      </c>
      <c r="B14" s="60">
        <v>14.04</v>
      </c>
      <c r="C14" s="60">
        <v>85.61</v>
      </c>
      <c r="D14" s="60">
        <v>58.51</v>
      </c>
      <c r="E14" s="60">
        <v>7.82</v>
      </c>
      <c r="F14" s="60">
        <v>4.63</v>
      </c>
      <c r="G14" s="60">
        <v>61.68</v>
      </c>
      <c r="H14" s="60">
        <v>24.71</v>
      </c>
      <c r="I14" s="60">
        <v>0.69</v>
      </c>
      <c r="J14" s="60">
        <v>0.36</v>
      </c>
      <c r="K14" s="60">
        <v>350.67</v>
      </c>
      <c r="L14" s="60">
        <v>21.27</v>
      </c>
      <c r="M14" s="60">
        <v>40.85</v>
      </c>
      <c r="N14" s="60">
        <v>3.9</v>
      </c>
      <c r="O14" s="60">
        <v>0</v>
      </c>
      <c r="P14" s="60">
        <v>1.1000000000000001</v>
      </c>
      <c r="Q14" s="60">
        <v>28.97</v>
      </c>
      <c r="R14" s="198"/>
      <c r="S14" s="198"/>
      <c r="T14" s="198"/>
      <c r="U14" s="198"/>
    </row>
    <row r="15" spans="1:21" s="12" customFormat="1" x14ac:dyDescent="0.25">
      <c r="A15" s="201" t="s">
        <v>1307</v>
      </c>
      <c r="B15" s="60">
        <v>14.17</v>
      </c>
      <c r="C15" s="60">
        <v>85.9</v>
      </c>
      <c r="D15" s="60">
        <v>58.78</v>
      </c>
      <c r="E15" s="60">
        <v>7.53</v>
      </c>
      <c r="F15" s="60">
        <v>4.55</v>
      </c>
      <c r="G15" s="60">
        <v>62.44</v>
      </c>
      <c r="H15" s="60">
        <v>26.18</v>
      </c>
      <c r="I15" s="60">
        <v>0.65</v>
      </c>
      <c r="J15" s="60">
        <v>0.66</v>
      </c>
      <c r="K15" s="60">
        <v>358.68</v>
      </c>
      <c r="L15" s="60">
        <v>21.13</v>
      </c>
      <c r="M15" s="60">
        <v>40.840000000000003</v>
      </c>
      <c r="N15" s="60">
        <v>3.2</v>
      </c>
      <c r="O15" s="60">
        <v>0</v>
      </c>
      <c r="P15" s="60">
        <v>1.08</v>
      </c>
      <c r="Q15" s="60">
        <v>29.18</v>
      </c>
      <c r="R15" s="198"/>
      <c r="S15" s="198"/>
      <c r="T15" s="198"/>
      <c r="U15" s="198"/>
    </row>
    <row r="16" spans="1:21" s="12" customFormat="1" x14ac:dyDescent="0.25">
      <c r="A16" s="201" t="s">
        <v>1308</v>
      </c>
      <c r="B16" s="60">
        <v>13.8</v>
      </c>
      <c r="C16" s="60">
        <v>85.1</v>
      </c>
      <c r="D16" s="60">
        <v>58.03</v>
      </c>
      <c r="E16" s="60">
        <v>7.65</v>
      </c>
      <c r="F16" s="60">
        <v>4.71</v>
      </c>
      <c r="G16" s="60">
        <v>63.39</v>
      </c>
      <c r="H16" s="60">
        <v>27.94</v>
      </c>
      <c r="I16" s="60">
        <v>0.66</v>
      </c>
      <c r="J16" s="60">
        <v>0.56999999999999995</v>
      </c>
      <c r="K16" s="60">
        <v>6.98</v>
      </c>
      <c r="L16" s="60">
        <v>21.18</v>
      </c>
      <c r="M16" s="60">
        <v>40.54</v>
      </c>
      <c r="N16" s="60">
        <v>4</v>
      </c>
      <c r="O16" s="60">
        <v>0</v>
      </c>
      <c r="P16" s="60">
        <v>1.07</v>
      </c>
      <c r="Q16" s="60">
        <v>29.12</v>
      </c>
      <c r="R16" s="198"/>
      <c r="S16" s="198"/>
      <c r="T16" s="198"/>
      <c r="U16" s="198"/>
    </row>
    <row r="17" spans="1:21" s="12" customFormat="1" x14ac:dyDescent="0.25">
      <c r="A17" s="201" t="s">
        <v>1309</v>
      </c>
      <c r="B17" s="60">
        <v>13.32</v>
      </c>
      <c r="C17" s="60">
        <v>84.28</v>
      </c>
      <c r="D17" s="60">
        <v>57.19</v>
      </c>
      <c r="E17" s="60">
        <v>7.63</v>
      </c>
      <c r="F17" s="60">
        <v>4.7</v>
      </c>
      <c r="G17" s="60">
        <v>63.39</v>
      </c>
      <c r="H17" s="60">
        <v>27.94</v>
      </c>
      <c r="I17" s="60">
        <v>0.69</v>
      </c>
      <c r="J17" s="60">
        <v>0.55000000000000004</v>
      </c>
      <c r="K17" s="60">
        <v>341.35</v>
      </c>
      <c r="L17" s="60">
        <v>20.9</v>
      </c>
      <c r="M17" s="60">
        <v>41.65</v>
      </c>
      <c r="N17" s="60">
        <v>4</v>
      </c>
      <c r="O17" s="60">
        <v>0</v>
      </c>
      <c r="P17" s="60">
        <v>1.05</v>
      </c>
      <c r="Q17" s="60">
        <v>29.53</v>
      </c>
      <c r="R17" s="198"/>
      <c r="S17" s="198"/>
      <c r="T17" s="198"/>
      <c r="U17" s="198"/>
    </row>
    <row r="18" spans="1:21" s="12" customFormat="1" x14ac:dyDescent="0.25">
      <c r="A18" s="201" t="s">
        <v>1310</v>
      </c>
      <c r="B18" s="60">
        <v>12.45</v>
      </c>
      <c r="C18" s="60">
        <v>83.24</v>
      </c>
      <c r="D18" s="60">
        <v>55.93</v>
      </c>
      <c r="E18" s="60">
        <v>7.1</v>
      </c>
      <c r="F18" s="60">
        <v>4.7300000000000004</v>
      </c>
      <c r="G18" s="60">
        <v>63.39</v>
      </c>
      <c r="H18" s="60">
        <v>27.94</v>
      </c>
      <c r="I18" s="60">
        <v>0.7</v>
      </c>
      <c r="J18" s="60">
        <v>0.46</v>
      </c>
      <c r="K18" s="60">
        <v>351.1</v>
      </c>
      <c r="L18" s="60">
        <v>20.73</v>
      </c>
      <c r="M18" s="60">
        <v>41.56</v>
      </c>
      <c r="N18" s="60">
        <v>4.0999999999999996</v>
      </c>
      <c r="O18" s="60">
        <v>0</v>
      </c>
      <c r="P18" s="60">
        <v>1.01</v>
      </c>
      <c r="Q18" s="60">
        <v>30.09</v>
      </c>
      <c r="R18" s="198"/>
      <c r="S18" s="198"/>
      <c r="T18" s="198"/>
      <c r="U18" s="198"/>
    </row>
    <row r="19" spans="1:21" s="12" customFormat="1" x14ac:dyDescent="0.25">
      <c r="A19" s="201" t="s">
        <v>1311</v>
      </c>
      <c r="B19" s="60">
        <v>11.58</v>
      </c>
      <c r="C19" s="60">
        <v>82.27</v>
      </c>
      <c r="D19" s="60">
        <v>54.69</v>
      </c>
      <c r="E19" s="60">
        <v>7.18</v>
      </c>
      <c r="F19" s="60">
        <v>4.7300000000000004</v>
      </c>
      <c r="G19" s="60">
        <v>63.46</v>
      </c>
      <c r="H19" s="60">
        <v>28.76</v>
      </c>
      <c r="I19" s="60">
        <v>0.66</v>
      </c>
      <c r="J19" s="60">
        <v>0.51</v>
      </c>
      <c r="K19" s="60">
        <v>352.26</v>
      </c>
      <c r="L19" s="60">
        <v>20.5</v>
      </c>
      <c r="M19" s="60">
        <v>42.65</v>
      </c>
      <c r="N19" s="60">
        <v>4</v>
      </c>
      <c r="O19" s="60">
        <v>0</v>
      </c>
      <c r="P19" s="60">
        <v>0.98</v>
      </c>
      <c r="Q19" s="60">
        <v>30.04</v>
      </c>
      <c r="R19" s="198"/>
      <c r="S19" s="198"/>
      <c r="T19" s="198"/>
      <c r="U19" s="198"/>
    </row>
    <row r="20" spans="1:21" s="12" customFormat="1" x14ac:dyDescent="0.25">
      <c r="A20" s="201" t="s">
        <v>1312</v>
      </c>
      <c r="B20" s="60">
        <v>10.64</v>
      </c>
      <c r="C20" s="60">
        <v>81.22</v>
      </c>
      <c r="D20" s="60">
        <v>53.36</v>
      </c>
      <c r="E20" s="60">
        <v>7</v>
      </c>
      <c r="F20" s="60">
        <v>4.72</v>
      </c>
      <c r="G20" s="60">
        <v>63.55</v>
      </c>
      <c r="H20" s="60">
        <v>29.73</v>
      </c>
      <c r="I20" s="60">
        <v>0.67</v>
      </c>
      <c r="J20" s="60">
        <v>0.38</v>
      </c>
      <c r="K20" s="60">
        <v>347.33</v>
      </c>
      <c r="L20" s="60">
        <v>20.13</v>
      </c>
      <c r="M20" s="60">
        <v>45.27</v>
      </c>
      <c r="N20" s="60">
        <v>4.4000000000000004</v>
      </c>
      <c r="O20" s="60">
        <v>0</v>
      </c>
      <c r="P20" s="60">
        <v>0.94</v>
      </c>
      <c r="Q20" s="60">
        <v>29.96</v>
      </c>
      <c r="R20" s="198"/>
      <c r="S20" s="198"/>
      <c r="T20" s="198"/>
      <c r="U20" s="198"/>
    </row>
    <row r="21" spans="1:21" s="12" customFormat="1" x14ac:dyDescent="0.25">
      <c r="A21" s="201" t="s">
        <v>1313</v>
      </c>
      <c r="B21" s="60">
        <v>9.81</v>
      </c>
      <c r="C21" s="60">
        <v>80.510000000000005</v>
      </c>
      <c r="D21" s="60">
        <v>52.3</v>
      </c>
      <c r="E21" s="60">
        <v>8.52</v>
      </c>
      <c r="F21" s="60">
        <v>4.71</v>
      </c>
      <c r="G21" s="60">
        <v>63.55</v>
      </c>
      <c r="H21" s="60">
        <v>29.73</v>
      </c>
      <c r="I21" s="60">
        <v>0.64</v>
      </c>
      <c r="J21" s="60">
        <v>0.25</v>
      </c>
      <c r="K21" s="60">
        <v>344.79</v>
      </c>
      <c r="L21" s="60">
        <v>19.79</v>
      </c>
      <c r="M21" s="60">
        <v>46.48</v>
      </c>
      <c r="N21" s="60">
        <v>4.7</v>
      </c>
      <c r="O21" s="60">
        <v>0</v>
      </c>
      <c r="P21" s="60">
        <v>0.91</v>
      </c>
      <c r="Q21" s="60">
        <v>29.96</v>
      </c>
      <c r="R21" s="198"/>
      <c r="S21" s="198"/>
      <c r="T21" s="198"/>
      <c r="U21" s="198"/>
    </row>
    <row r="22" spans="1:21" s="12" customFormat="1" x14ac:dyDescent="0.25">
      <c r="A22" s="201" t="s">
        <v>1314</v>
      </c>
      <c r="B22" s="60">
        <v>9.16</v>
      </c>
      <c r="C22" s="60">
        <v>79.819999999999993</v>
      </c>
      <c r="D22" s="60">
        <v>51.39</v>
      </c>
      <c r="E22" s="60">
        <v>9.4600000000000009</v>
      </c>
      <c r="F22" s="60">
        <v>4.71</v>
      </c>
      <c r="G22" s="60">
        <v>63.55</v>
      </c>
      <c r="H22" s="60">
        <v>29.73</v>
      </c>
      <c r="I22" s="60">
        <v>0.63</v>
      </c>
      <c r="J22" s="60">
        <v>0.6</v>
      </c>
      <c r="K22" s="60">
        <v>0.77</v>
      </c>
      <c r="L22" s="60">
        <v>19.57</v>
      </c>
      <c r="M22" s="60">
        <v>47.15</v>
      </c>
      <c r="N22" s="60">
        <v>3.6</v>
      </c>
      <c r="O22" s="60">
        <v>0</v>
      </c>
      <c r="P22" s="60">
        <v>0.9</v>
      </c>
      <c r="Q22" s="60">
        <v>29.93</v>
      </c>
      <c r="R22" s="198"/>
      <c r="S22" s="198"/>
      <c r="T22" s="198"/>
      <c r="U22" s="198"/>
    </row>
    <row r="23" spans="1:21" s="12" customFormat="1" x14ac:dyDescent="0.25">
      <c r="A23" s="201" t="s">
        <v>1315</v>
      </c>
      <c r="B23" s="60">
        <v>8.35</v>
      </c>
      <c r="C23" s="60">
        <v>78.94</v>
      </c>
      <c r="D23" s="60">
        <v>50.26</v>
      </c>
      <c r="E23" s="60">
        <v>8.49</v>
      </c>
      <c r="F23" s="60">
        <v>4.6900000000000004</v>
      </c>
      <c r="G23" s="60">
        <v>63.11</v>
      </c>
      <c r="H23" s="60">
        <v>29.4</v>
      </c>
      <c r="I23" s="60">
        <v>0.62</v>
      </c>
      <c r="J23" s="60">
        <v>0.38</v>
      </c>
      <c r="K23" s="60">
        <v>344.04</v>
      </c>
      <c r="L23" s="60">
        <v>19.53</v>
      </c>
      <c r="M23" s="60">
        <v>47.5</v>
      </c>
      <c r="N23" s="60">
        <v>4.2</v>
      </c>
      <c r="O23" s="60">
        <v>0</v>
      </c>
      <c r="P23" s="60">
        <v>0.87</v>
      </c>
      <c r="Q23" s="60">
        <v>29.75</v>
      </c>
      <c r="R23" s="198"/>
      <c r="S23" s="198"/>
      <c r="T23" s="198"/>
      <c r="U23" s="198"/>
    </row>
    <row r="24" spans="1:21" s="12" customFormat="1" x14ac:dyDescent="0.25">
      <c r="A24" s="201" t="s">
        <v>1316</v>
      </c>
      <c r="B24" s="60">
        <v>7.69</v>
      </c>
      <c r="C24" s="60">
        <v>78.13</v>
      </c>
      <c r="D24" s="60">
        <v>49.28</v>
      </c>
      <c r="E24" s="60">
        <v>4.84</v>
      </c>
      <c r="F24" s="60">
        <v>4.67</v>
      </c>
      <c r="G24" s="60">
        <v>62.6</v>
      </c>
      <c r="H24" s="60">
        <v>29</v>
      </c>
      <c r="I24" s="60">
        <v>0.61</v>
      </c>
      <c r="J24" s="60">
        <v>0.56000000000000005</v>
      </c>
      <c r="K24" s="60">
        <v>341.55</v>
      </c>
      <c r="L24" s="60">
        <v>19.420000000000002</v>
      </c>
      <c r="M24" s="60">
        <v>48.28</v>
      </c>
      <c r="N24" s="60">
        <v>3.7</v>
      </c>
      <c r="O24" s="60">
        <v>0</v>
      </c>
      <c r="P24" s="60">
        <v>0.84</v>
      </c>
      <c r="Q24" s="60">
        <v>29.09</v>
      </c>
      <c r="R24" s="198"/>
      <c r="S24" s="198"/>
      <c r="T24" s="198"/>
      <c r="U24" s="198"/>
    </row>
    <row r="25" spans="1:21" s="12" customFormat="1" x14ac:dyDescent="0.25">
      <c r="A25" s="201" t="s">
        <v>1317</v>
      </c>
      <c r="B25" s="60">
        <v>7.34</v>
      </c>
      <c r="C25" s="60">
        <v>77.63</v>
      </c>
      <c r="D25" s="60">
        <v>48.73</v>
      </c>
      <c r="E25" s="60">
        <v>6.21</v>
      </c>
      <c r="F25" s="60">
        <v>4.6900000000000004</v>
      </c>
      <c r="G25" s="60">
        <v>62.6</v>
      </c>
      <c r="H25" s="60">
        <v>29</v>
      </c>
      <c r="I25" s="60">
        <v>0.6</v>
      </c>
      <c r="J25" s="60">
        <v>0.82</v>
      </c>
      <c r="K25" s="60">
        <v>346.81</v>
      </c>
      <c r="L25" s="60">
        <v>19.399999999999999</v>
      </c>
      <c r="M25" s="60">
        <v>48.64</v>
      </c>
      <c r="N25" s="60">
        <v>3.5</v>
      </c>
      <c r="O25" s="60">
        <v>0</v>
      </c>
      <c r="P25" s="60">
        <v>0.8</v>
      </c>
      <c r="Q25" s="60">
        <v>28.64</v>
      </c>
      <c r="R25" s="198"/>
      <c r="S25" s="198"/>
      <c r="T25" s="198"/>
      <c r="U25" s="198"/>
    </row>
    <row r="26" spans="1:21" s="12" customFormat="1" x14ac:dyDescent="0.25">
      <c r="A26" s="201" t="s">
        <v>1318</v>
      </c>
      <c r="B26" s="60">
        <v>7.14</v>
      </c>
      <c r="C26" s="60">
        <v>77.14</v>
      </c>
      <c r="D26" s="60">
        <v>48.3</v>
      </c>
      <c r="E26" s="60">
        <v>6.39</v>
      </c>
      <c r="F26" s="60">
        <v>4.6399999999999997</v>
      </c>
      <c r="G26" s="60">
        <v>62.6</v>
      </c>
      <c r="H26" s="60">
        <v>29</v>
      </c>
      <c r="I26" s="60">
        <v>0.6</v>
      </c>
      <c r="J26" s="60">
        <v>0.73</v>
      </c>
      <c r="K26" s="60">
        <v>2.13</v>
      </c>
      <c r="L26" s="60">
        <v>19.47</v>
      </c>
      <c r="M26" s="60">
        <v>48.73</v>
      </c>
      <c r="N26" s="60">
        <v>4.0999999999999996</v>
      </c>
      <c r="O26" s="60">
        <v>0</v>
      </c>
      <c r="P26" s="60">
        <v>0.78</v>
      </c>
      <c r="Q26" s="60">
        <v>28.47</v>
      </c>
      <c r="R26" s="198"/>
      <c r="S26" s="198"/>
      <c r="T26" s="198"/>
      <c r="U26" s="198"/>
    </row>
    <row r="27" spans="1:21" s="12" customFormat="1" x14ac:dyDescent="0.25">
      <c r="A27" s="201" t="s">
        <v>1319</v>
      </c>
      <c r="B27" s="60">
        <v>7</v>
      </c>
      <c r="C27" s="60">
        <v>76.52</v>
      </c>
      <c r="D27" s="60">
        <v>47.84</v>
      </c>
      <c r="E27" s="60">
        <v>6.84</v>
      </c>
      <c r="F27" s="60">
        <v>4.6500000000000004</v>
      </c>
      <c r="G27" s="60">
        <v>58.33</v>
      </c>
      <c r="H27" s="60">
        <v>27.6</v>
      </c>
      <c r="I27" s="60">
        <v>0.6</v>
      </c>
      <c r="J27" s="60">
        <v>0.96</v>
      </c>
      <c r="K27" s="60">
        <v>359.54</v>
      </c>
      <c r="L27" s="60">
        <v>19.55</v>
      </c>
      <c r="M27" s="60">
        <v>48.9</v>
      </c>
      <c r="N27" s="60">
        <v>3.8</v>
      </c>
      <c r="O27" s="60">
        <v>0</v>
      </c>
      <c r="P27" s="60">
        <v>0.75</v>
      </c>
      <c r="Q27" s="60">
        <v>28.32</v>
      </c>
      <c r="R27" s="198"/>
      <c r="S27" s="198"/>
      <c r="T27" s="198"/>
      <c r="U27" s="198"/>
    </row>
    <row r="28" spans="1:21" s="12" customFormat="1" x14ac:dyDescent="0.25">
      <c r="A28" s="201" t="s">
        <v>1320</v>
      </c>
      <c r="B28" s="60">
        <v>6.85</v>
      </c>
      <c r="C28" s="60">
        <v>76.14</v>
      </c>
      <c r="D28" s="60">
        <v>47.51</v>
      </c>
      <c r="E28" s="60">
        <v>6.26</v>
      </c>
      <c r="F28" s="60">
        <v>4.7300000000000004</v>
      </c>
      <c r="G28" s="60">
        <v>53.22</v>
      </c>
      <c r="H28" s="60">
        <v>25.92</v>
      </c>
      <c r="I28" s="60">
        <v>0.6</v>
      </c>
      <c r="J28" s="60">
        <v>0.89</v>
      </c>
      <c r="K28" s="60">
        <v>0.28000000000000003</v>
      </c>
      <c r="L28" s="60">
        <v>19.39</v>
      </c>
      <c r="M28" s="60">
        <v>49.73</v>
      </c>
      <c r="N28" s="60">
        <v>4</v>
      </c>
      <c r="O28" s="60">
        <v>0</v>
      </c>
      <c r="P28" s="60">
        <v>0.72</v>
      </c>
      <c r="Q28" s="60">
        <v>28.15</v>
      </c>
      <c r="R28" s="198"/>
      <c r="S28" s="198"/>
      <c r="T28" s="198"/>
      <c r="U28" s="198"/>
    </row>
    <row r="29" spans="1:21" s="12" customFormat="1" x14ac:dyDescent="0.25">
      <c r="A29" s="201" t="s">
        <v>1321</v>
      </c>
      <c r="B29" s="60">
        <v>6.67</v>
      </c>
      <c r="C29" s="60">
        <v>75.650000000000006</v>
      </c>
      <c r="D29" s="60">
        <v>47.1</v>
      </c>
      <c r="E29" s="60">
        <v>6.14</v>
      </c>
      <c r="F29" s="60">
        <v>4.6900000000000004</v>
      </c>
      <c r="G29" s="60">
        <v>53.22</v>
      </c>
      <c r="H29" s="60">
        <v>25.92</v>
      </c>
      <c r="I29" s="60">
        <v>0.6</v>
      </c>
      <c r="J29" s="60">
        <v>0.88</v>
      </c>
      <c r="K29" s="60">
        <v>354.42</v>
      </c>
      <c r="L29" s="60">
        <v>19.11</v>
      </c>
      <c r="M29" s="60">
        <v>51.29</v>
      </c>
      <c r="N29" s="60">
        <v>4</v>
      </c>
      <c r="O29" s="60">
        <v>0</v>
      </c>
      <c r="P29" s="60">
        <v>0.7</v>
      </c>
      <c r="Q29" s="60">
        <v>27.97</v>
      </c>
      <c r="R29" s="198"/>
      <c r="S29" s="198"/>
      <c r="T29" s="198"/>
      <c r="U29" s="198"/>
    </row>
    <row r="30" spans="1:21" s="12" customFormat="1" x14ac:dyDescent="0.25">
      <c r="A30" s="201" t="s">
        <v>1322</v>
      </c>
      <c r="B30" s="60">
        <v>6.77</v>
      </c>
      <c r="C30" s="60">
        <v>75.33</v>
      </c>
      <c r="D30" s="60">
        <v>47</v>
      </c>
      <c r="E30" s="60">
        <v>6.64</v>
      </c>
      <c r="F30" s="60">
        <v>4.5999999999999996</v>
      </c>
      <c r="G30" s="60">
        <v>53.22</v>
      </c>
      <c r="H30" s="60">
        <v>25.92</v>
      </c>
      <c r="I30" s="60">
        <v>0.6</v>
      </c>
      <c r="J30" s="60">
        <v>0.4</v>
      </c>
      <c r="K30" s="60">
        <v>341.87</v>
      </c>
      <c r="L30" s="60">
        <v>18.82</v>
      </c>
      <c r="M30" s="60">
        <v>52.69</v>
      </c>
      <c r="N30" s="60">
        <v>4.5999999999999996</v>
      </c>
      <c r="O30" s="60">
        <v>0</v>
      </c>
      <c r="P30" s="60">
        <v>0.69</v>
      </c>
      <c r="Q30" s="60">
        <v>27.88</v>
      </c>
      <c r="R30" s="198"/>
      <c r="S30" s="198"/>
      <c r="T30" s="198"/>
      <c r="U30" s="198"/>
    </row>
    <row r="31" spans="1:21" s="12" customFormat="1" x14ac:dyDescent="0.25">
      <c r="A31" s="201" t="s">
        <v>1323</v>
      </c>
      <c r="B31" s="60">
        <v>7.35</v>
      </c>
      <c r="C31" s="60">
        <v>75.59</v>
      </c>
      <c r="D31" s="60">
        <v>47.61</v>
      </c>
      <c r="E31" s="60">
        <v>6.96</v>
      </c>
      <c r="F31" s="60">
        <v>4.5</v>
      </c>
      <c r="G31" s="60">
        <v>51.4</v>
      </c>
      <c r="H31" s="60">
        <v>24.54</v>
      </c>
      <c r="I31" s="60">
        <v>0.63</v>
      </c>
      <c r="J31" s="60">
        <v>0.53</v>
      </c>
      <c r="K31" s="60">
        <v>348.19</v>
      </c>
      <c r="L31" s="60">
        <v>18.55</v>
      </c>
      <c r="M31" s="60">
        <v>54.09</v>
      </c>
      <c r="N31" s="60">
        <v>4</v>
      </c>
      <c r="O31" s="60">
        <v>0</v>
      </c>
      <c r="P31" s="60">
        <v>0.7</v>
      </c>
      <c r="Q31" s="60">
        <v>27.93</v>
      </c>
      <c r="R31" s="198"/>
      <c r="S31" s="198"/>
      <c r="T31" s="198"/>
      <c r="U31" s="198"/>
    </row>
    <row r="32" spans="1:21" s="12" customFormat="1" x14ac:dyDescent="0.25">
      <c r="A32" s="201" t="s">
        <v>1324</v>
      </c>
      <c r="B32" s="60">
        <v>8.02</v>
      </c>
      <c r="C32" s="60">
        <v>76.099999999999994</v>
      </c>
      <c r="D32" s="60">
        <v>48.43</v>
      </c>
      <c r="E32" s="60">
        <v>7.57</v>
      </c>
      <c r="F32" s="60">
        <v>4.5199999999999996</v>
      </c>
      <c r="G32" s="60">
        <v>49.22</v>
      </c>
      <c r="H32" s="60">
        <v>22.9</v>
      </c>
      <c r="I32" s="60">
        <v>0.6</v>
      </c>
      <c r="J32" s="60">
        <v>0.31</v>
      </c>
      <c r="K32" s="60">
        <v>339.33</v>
      </c>
      <c r="L32" s="60">
        <v>18.34</v>
      </c>
      <c r="M32" s="60">
        <v>54.95</v>
      </c>
      <c r="N32" s="60">
        <v>4.3</v>
      </c>
      <c r="O32" s="60">
        <v>0</v>
      </c>
      <c r="P32" s="60">
        <v>0.72</v>
      </c>
      <c r="Q32" s="60">
        <v>28.71</v>
      </c>
      <c r="R32" s="198"/>
      <c r="S32" s="198"/>
      <c r="T32" s="198"/>
      <c r="U32" s="198"/>
    </row>
    <row r="33" spans="1:21" s="12" customFormat="1" x14ac:dyDescent="0.25">
      <c r="A33" s="201" t="s">
        <v>1325</v>
      </c>
      <c r="B33" s="60">
        <v>8.77</v>
      </c>
      <c r="C33" s="60">
        <v>76.64</v>
      </c>
      <c r="D33" s="60">
        <v>49.33</v>
      </c>
      <c r="E33" s="60">
        <v>7.7</v>
      </c>
      <c r="F33" s="60">
        <v>4.55</v>
      </c>
      <c r="G33" s="60">
        <v>49.22</v>
      </c>
      <c r="H33" s="60">
        <v>22.9</v>
      </c>
      <c r="I33" s="60">
        <v>0.62</v>
      </c>
      <c r="J33" s="60">
        <v>0.17</v>
      </c>
      <c r="K33" s="60">
        <v>324.11</v>
      </c>
      <c r="L33" s="60">
        <v>18.18</v>
      </c>
      <c r="M33" s="60">
        <v>55.96</v>
      </c>
      <c r="N33" s="60">
        <v>4.5999999999999996</v>
      </c>
      <c r="O33" s="60">
        <v>0</v>
      </c>
      <c r="P33" s="60">
        <v>0.74</v>
      </c>
      <c r="Q33" s="60">
        <v>29.15</v>
      </c>
      <c r="R33" s="198"/>
      <c r="S33" s="198"/>
      <c r="T33" s="198"/>
      <c r="U33" s="198"/>
    </row>
    <row r="34" spans="1:21" s="12" customFormat="1" x14ac:dyDescent="0.25">
      <c r="A34" s="201" t="s">
        <v>1326</v>
      </c>
      <c r="B34" s="60">
        <v>9.5399999999999991</v>
      </c>
      <c r="C34" s="60">
        <v>77.45</v>
      </c>
      <c r="D34" s="60">
        <v>50.4</v>
      </c>
      <c r="E34" s="60">
        <v>7.07</v>
      </c>
      <c r="F34" s="60">
        <v>4.51</v>
      </c>
      <c r="G34" s="60">
        <v>49.22</v>
      </c>
      <c r="H34" s="60">
        <v>22.9</v>
      </c>
      <c r="I34" s="60">
        <v>0.59</v>
      </c>
      <c r="J34" s="60">
        <v>0.27</v>
      </c>
      <c r="K34" s="60">
        <v>340.89</v>
      </c>
      <c r="L34" s="60">
        <v>18.16</v>
      </c>
      <c r="M34" s="60">
        <v>55.73</v>
      </c>
      <c r="N34" s="60">
        <v>5.6</v>
      </c>
      <c r="O34" s="60">
        <v>0</v>
      </c>
      <c r="P34" s="60">
        <v>0.74</v>
      </c>
      <c r="Q34" s="60">
        <v>29.3</v>
      </c>
      <c r="R34" s="198"/>
      <c r="S34" s="198"/>
      <c r="T34" s="198"/>
      <c r="U34" s="198"/>
    </row>
    <row r="35" spans="1:21" s="12" customFormat="1" x14ac:dyDescent="0.25">
      <c r="A35" s="201" t="s">
        <v>1327</v>
      </c>
      <c r="B35" s="60">
        <v>10.039999999999999</v>
      </c>
      <c r="C35" s="60">
        <v>78.13</v>
      </c>
      <c r="D35" s="60">
        <v>51.17</v>
      </c>
      <c r="E35" s="60">
        <v>7.22</v>
      </c>
      <c r="F35" s="60">
        <v>4.5199999999999996</v>
      </c>
      <c r="G35" s="60">
        <v>49.48</v>
      </c>
      <c r="H35" s="60">
        <v>21.37</v>
      </c>
      <c r="I35" s="60">
        <v>0.59</v>
      </c>
      <c r="J35" s="60">
        <v>0.14000000000000001</v>
      </c>
      <c r="K35" s="60">
        <v>286.45</v>
      </c>
      <c r="L35" s="60">
        <v>18.260000000000002</v>
      </c>
      <c r="M35" s="60">
        <v>55.72</v>
      </c>
      <c r="N35" s="60">
        <v>12.1</v>
      </c>
      <c r="O35" s="60">
        <v>0</v>
      </c>
      <c r="P35" s="60">
        <v>0.75</v>
      </c>
      <c r="Q35" s="60">
        <v>29.2</v>
      </c>
      <c r="R35" s="198"/>
      <c r="S35" s="198"/>
      <c r="T35" s="198"/>
      <c r="U35" s="198"/>
    </row>
    <row r="36" spans="1:21" s="12" customFormat="1" x14ac:dyDescent="0.25">
      <c r="A36" s="201" t="s">
        <v>1328</v>
      </c>
      <c r="B36" s="60">
        <v>10.48</v>
      </c>
      <c r="C36" s="60">
        <v>78.58</v>
      </c>
      <c r="D36" s="60">
        <v>51.78</v>
      </c>
      <c r="E36" s="60">
        <v>6.76</v>
      </c>
      <c r="F36" s="60">
        <v>4.6100000000000003</v>
      </c>
      <c r="G36" s="60">
        <v>49.79</v>
      </c>
      <c r="H36" s="60">
        <v>19.55</v>
      </c>
      <c r="I36" s="60">
        <v>0.59</v>
      </c>
      <c r="J36" s="60">
        <v>0.14000000000000001</v>
      </c>
      <c r="K36" s="60">
        <v>259.2</v>
      </c>
      <c r="L36" s="60">
        <v>18.22</v>
      </c>
      <c r="M36" s="60">
        <v>57.02</v>
      </c>
      <c r="N36" s="60">
        <v>22.4</v>
      </c>
      <c r="O36" s="60">
        <v>0</v>
      </c>
      <c r="P36" s="60">
        <v>0.74</v>
      </c>
      <c r="Q36" s="60">
        <v>29.25</v>
      </c>
      <c r="R36" s="198"/>
      <c r="S36" s="198"/>
      <c r="T36" s="198"/>
      <c r="U36" s="198"/>
    </row>
    <row r="37" spans="1:21" s="12" customFormat="1" x14ac:dyDescent="0.25">
      <c r="A37" s="201" t="s">
        <v>1329</v>
      </c>
      <c r="B37" s="60">
        <v>13.29</v>
      </c>
      <c r="C37" s="60">
        <v>80.89</v>
      </c>
      <c r="D37" s="60">
        <v>55.3</v>
      </c>
      <c r="E37" s="60">
        <v>6.57</v>
      </c>
      <c r="F37" s="60">
        <v>4.5</v>
      </c>
      <c r="G37" s="60">
        <v>49.79</v>
      </c>
      <c r="H37" s="60">
        <v>19.55</v>
      </c>
      <c r="I37" s="60">
        <v>0.6</v>
      </c>
      <c r="J37" s="60">
        <v>0.14000000000000001</v>
      </c>
      <c r="K37" s="60">
        <v>5.51</v>
      </c>
      <c r="L37" s="60">
        <v>18.100000000000001</v>
      </c>
      <c r="M37" s="60">
        <v>60.15</v>
      </c>
      <c r="N37" s="60">
        <v>33.299999999999997</v>
      </c>
      <c r="O37" s="60">
        <v>0</v>
      </c>
      <c r="P37" s="60">
        <v>0.69</v>
      </c>
      <c r="Q37" s="60">
        <v>29.57</v>
      </c>
      <c r="R37" s="198"/>
      <c r="S37" s="198"/>
      <c r="T37" s="198"/>
      <c r="U37" s="198"/>
    </row>
    <row r="38" spans="1:21" s="12" customFormat="1" x14ac:dyDescent="0.25">
      <c r="A38" s="201" t="s">
        <v>1330</v>
      </c>
      <c r="B38" s="60">
        <v>17.96</v>
      </c>
      <c r="C38" s="60">
        <v>84.35</v>
      </c>
      <c r="D38" s="60">
        <v>60.96</v>
      </c>
      <c r="E38" s="60">
        <v>7.22</v>
      </c>
      <c r="F38" s="60">
        <v>4.5</v>
      </c>
      <c r="G38" s="60">
        <v>49.79</v>
      </c>
      <c r="H38" s="60">
        <v>19.55</v>
      </c>
      <c r="I38" s="60">
        <v>0.57999999999999996</v>
      </c>
      <c r="J38" s="60">
        <v>0.41</v>
      </c>
      <c r="K38" s="60">
        <v>359.39</v>
      </c>
      <c r="L38" s="60">
        <v>18.75</v>
      </c>
      <c r="M38" s="60">
        <v>57.4</v>
      </c>
      <c r="N38" s="60">
        <v>65.099999999999994</v>
      </c>
      <c r="O38" s="60">
        <v>0</v>
      </c>
      <c r="P38" s="60">
        <v>0.79</v>
      </c>
      <c r="Q38" s="60">
        <v>29.79</v>
      </c>
      <c r="R38" s="198"/>
      <c r="S38" s="198"/>
      <c r="T38" s="198"/>
      <c r="U38" s="198"/>
    </row>
    <row r="39" spans="1:21" s="12" customFormat="1" x14ac:dyDescent="0.25">
      <c r="A39" s="201" t="s">
        <v>1331</v>
      </c>
      <c r="B39" s="60">
        <v>20.62</v>
      </c>
      <c r="C39" s="60">
        <v>86.64</v>
      </c>
      <c r="D39" s="60">
        <v>64.349999999999994</v>
      </c>
      <c r="E39" s="60">
        <v>6.97</v>
      </c>
      <c r="F39" s="60">
        <v>4.5</v>
      </c>
      <c r="G39" s="60">
        <v>56.18</v>
      </c>
      <c r="H39" s="60">
        <v>24.14</v>
      </c>
      <c r="I39" s="60">
        <v>0.59</v>
      </c>
      <c r="J39" s="60">
        <v>0.38</v>
      </c>
      <c r="K39" s="60">
        <v>352.81</v>
      </c>
      <c r="L39" s="60">
        <v>21.48</v>
      </c>
      <c r="M39" s="60">
        <v>49.35</v>
      </c>
      <c r="N39" s="60">
        <v>183.6</v>
      </c>
      <c r="O39" s="60">
        <v>0</v>
      </c>
      <c r="P39" s="60">
        <v>0.81</v>
      </c>
      <c r="Q39" s="60">
        <v>29.23</v>
      </c>
      <c r="R39" s="198"/>
      <c r="S39" s="198"/>
      <c r="T39" s="198"/>
      <c r="U39" s="198"/>
    </row>
    <row r="40" spans="1:21" s="12" customFormat="1" x14ac:dyDescent="0.25">
      <c r="A40" s="201" t="s">
        <v>1332</v>
      </c>
      <c r="B40" s="60">
        <v>21.78</v>
      </c>
      <c r="C40" s="60">
        <v>88.06</v>
      </c>
      <c r="D40" s="60">
        <v>66.06</v>
      </c>
      <c r="E40" s="60">
        <v>5.88</v>
      </c>
      <c r="F40" s="60">
        <v>4.5</v>
      </c>
      <c r="G40" s="60">
        <v>63.82</v>
      </c>
      <c r="H40" s="60">
        <v>29.62</v>
      </c>
      <c r="I40" s="60">
        <v>0.6</v>
      </c>
      <c r="J40" s="60">
        <v>0.38</v>
      </c>
      <c r="K40" s="60">
        <v>357.38</v>
      </c>
      <c r="L40" s="60">
        <v>25.49</v>
      </c>
      <c r="M40" s="60">
        <v>39.65</v>
      </c>
      <c r="N40" s="60">
        <v>237.7</v>
      </c>
      <c r="O40" s="60">
        <v>0</v>
      </c>
      <c r="P40" s="60">
        <v>0.84</v>
      </c>
      <c r="Q40" s="60">
        <v>29.08</v>
      </c>
      <c r="R40" s="198"/>
      <c r="S40" s="198"/>
      <c r="T40" s="198"/>
      <c r="U40" s="198"/>
    </row>
    <row r="41" spans="1:21" s="12" customFormat="1" x14ac:dyDescent="0.25">
      <c r="A41" s="201" t="s">
        <v>1333</v>
      </c>
      <c r="B41" s="60">
        <v>22.88</v>
      </c>
      <c r="C41" s="60">
        <v>89.33</v>
      </c>
      <c r="D41" s="60">
        <v>67.64</v>
      </c>
      <c r="E41" s="60">
        <v>8.93</v>
      </c>
      <c r="F41" s="60">
        <v>4.53</v>
      </c>
      <c r="G41" s="60">
        <v>63.82</v>
      </c>
      <c r="H41" s="60">
        <v>29.62</v>
      </c>
      <c r="I41" s="60">
        <v>0.6</v>
      </c>
      <c r="J41" s="60">
        <v>0.87</v>
      </c>
      <c r="K41" s="60">
        <v>9.4700000000000006</v>
      </c>
      <c r="L41" s="60">
        <v>28.21</v>
      </c>
      <c r="M41" s="60">
        <v>33.57</v>
      </c>
      <c r="N41" s="60">
        <v>282.39999999999998</v>
      </c>
      <c r="O41" s="60">
        <v>0</v>
      </c>
      <c r="P41" s="60">
        <v>0.89</v>
      </c>
      <c r="Q41" s="60">
        <v>29.32</v>
      </c>
      <c r="R41" s="198"/>
      <c r="S41" s="198"/>
      <c r="T41" s="198"/>
      <c r="U41" s="198"/>
    </row>
    <row r="42" spans="1:21" s="12" customFormat="1" x14ac:dyDescent="0.25">
      <c r="A42" s="201" t="s">
        <v>1334</v>
      </c>
      <c r="B42" s="60">
        <v>23.49</v>
      </c>
      <c r="C42" s="60">
        <v>90.66</v>
      </c>
      <c r="D42" s="60">
        <v>68.87</v>
      </c>
      <c r="E42" s="60">
        <v>9.25</v>
      </c>
      <c r="F42" s="60">
        <v>4.59</v>
      </c>
      <c r="G42" s="60">
        <v>63.82</v>
      </c>
      <c r="H42" s="60">
        <v>29.62</v>
      </c>
      <c r="I42" s="60">
        <v>0.61</v>
      </c>
      <c r="J42" s="60">
        <v>0.83</v>
      </c>
      <c r="K42" s="60">
        <v>11.97</v>
      </c>
      <c r="L42" s="60">
        <v>29.56</v>
      </c>
      <c r="M42" s="60">
        <v>31.4</v>
      </c>
      <c r="N42" s="60">
        <v>313.10000000000002</v>
      </c>
      <c r="O42" s="60">
        <v>0</v>
      </c>
      <c r="P42" s="60">
        <v>0.94</v>
      </c>
      <c r="Q42" s="60">
        <v>29.29</v>
      </c>
      <c r="R42" s="198"/>
      <c r="S42" s="198"/>
      <c r="T42" s="198"/>
      <c r="U42" s="198"/>
    </row>
    <row r="43" spans="1:21" s="12" customFormat="1" x14ac:dyDescent="0.25">
      <c r="A43" s="201" t="s">
        <v>1335</v>
      </c>
      <c r="B43" s="60">
        <v>24.47</v>
      </c>
      <c r="C43" s="60">
        <v>93.32</v>
      </c>
      <c r="D43" s="60">
        <v>71.12</v>
      </c>
      <c r="E43" s="60">
        <v>12.14</v>
      </c>
      <c r="F43" s="60">
        <v>4.76</v>
      </c>
      <c r="G43" s="60">
        <v>70.66</v>
      </c>
      <c r="H43" s="60">
        <v>33.31</v>
      </c>
      <c r="I43" s="60">
        <v>0.61</v>
      </c>
      <c r="J43" s="60">
        <v>0.88</v>
      </c>
      <c r="K43" s="60">
        <v>18.77</v>
      </c>
      <c r="L43" s="60">
        <v>30.51</v>
      </c>
      <c r="M43" s="60">
        <v>29.31</v>
      </c>
      <c r="N43" s="60">
        <v>346.5</v>
      </c>
      <c r="O43" s="60">
        <v>0</v>
      </c>
      <c r="P43" s="60">
        <v>0.97</v>
      </c>
      <c r="Q43" s="60">
        <v>29.24</v>
      </c>
      <c r="R43" s="198"/>
      <c r="S43" s="198"/>
      <c r="T43" s="198"/>
      <c r="U43" s="198"/>
    </row>
    <row r="44" spans="1:21" s="12" customFormat="1" x14ac:dyDescent="0.25">
      <c r="A44" s="201" t="s">
        <v>1336</v>
      </c>
      <c r="B44" s="60">
        <v>25.94</v>
      </c>
      <c r="C44" s="60">
        <v>95.96</v>
      </c>
      <c r="D44" s="60">
        <v>73.760000000000005</v>
      </c>
      <c r="E44" s="60">
        <v>14.85</v>
      </c>
      <c r="F44" s="60">
        <v>5.0199999999999996</v>
      </c>
      <c r="G44" s="60">
        <v>78.83</v>
      </c>
      <c r="H44" s="60">
        <v>37.71</v>
      </c>
      <c r="I44" s="60">
        <v>0.62</v>
      </c>
      <c r="J44" s="60">
        <v>0.94</v>
      </c>
      <c r="K44" s="60">
        <v>14.45</v>
      </c>
      <c r="L44" s="60">
        <v>31.09</v>
      </c>
      <c r="M44" s="60">
        <v>28.72</v>
      </c>
      <c r="N44" s="60">
        <v>375.6</v>
      </c>
      <c r="O44" s="60">
        <v>0</v>
      </c>
      <c r="P44" s="60">
        <v>1.02</v>
      </c>
      <c r="Q44" s="60">
        <v>29.1</v>
      </c>
      <c r="R44" s="198"/>
      <c r="S44" s="198"/>
      <c r="T44" s="198"/>
      <c r="U44" s="198"/>
    </row>
    <row r="45" spans="1:21" s="12" customFormat="1" x14ac:dyDescent="0.25">
      <c r="A45" s="201" t="s">
        <v>1337</v>
      </c>
      <c r="B45" s="60">
        <v>26.23</v>
      </c>
      <c r="C45" s="60">
        <v>96.37</v>
      </c>
      <c r="D45" s="60">
        <v>74.22</v>
      </c>
      <c r="E45" s="60">
        <v>13.03</v>
      </c>
      <c r="F45" s="60">
        <v>5.21</v>
      </c>
      <c r="G45" s="60">
        <v>78.83</v>
      </c>
      <c r="H45" s="60">
        <v>37.71</v>
      </c>
      <c r="I45" s="60">
        <v>0.64</v>
      </c>
      <c r="J45" s="60">
        <v>0.56000000000000005</v>
      </c>
      <c r="K45" s="60">
        <v>31.98</v>
      </c>
      <c r="L45" s="60">
        <v>30.45</v>
      </c>
      <c r="M45" s="60">
        <v>29.77</v>
      </c>
      <c r="N45" s="60">
        <v>409.9</v>
      </c>
      <c r="O45" s="60">
        <v>0</v>
      </c>
      <c r="P45" s="60">
        <v>1.05</v>
      </c>
      <c r="Q45" s="60">
        <v>29.1</v>
      </c>
      <c r="R45" s="198"/>
      <c r="S45" s="198"/>
      <c r="T45" s="198"/>
      <c r="U45" s="198"/>
    </row>
    <row r="46" spans="1:21" s="12" customFormat="1" x14ac:dyDescent="0.25">
      <c r="A46" s="201" t="s">
        <v>1338</v>
      </c>
      <c r="B46" s="60">
        <v>26.45</v>
      </c>
      <c r="C46" s="60">
        <v>97.44</v>
      </c>
      <c r="D46" s="60">
        <v>74.989999999999995</v>
      </c>
      <c r="E46" s="60">
        <v>10.7</v>
      </c>
      <c r="F46" s="60">
        <v>5.01</v>
      </c>
      <c r="G46" s="60">
        <v>78.83</v>
      </c>
      <c r="H46" s="60">
        <v>37.71</v>
      </c>
      <c r="I46" s="60">
        <v>0.62</v>
      </c>
      <c r="J46" s="60">
        <v>0.97</v>
      </c>
      <c r="K46" s="60">
        <v>87.37</v>
      </c>
      <c r="L46" s="60">
        <v>28.58</v>
      </c>
      <c r="M46" s="60">
        <v>32.950000000000003</v>
      </c>
      <c r="N46" s="60">
        <v>454.9</v>
      </c>
      <c r="O46" s="60">
        <v>0</v>
      </c>
      <c r="P46" s="60">
        <v>1.06</v>
      </c>
      <c r="Q46" s="60">
        <v>29.87</v>
      </c>
      <c r="R46" s="198"/>
      <c r="S46" s="198"/>
      <c r="T46" s="198"/>
      <c r="U46" s="198"/>
    </row>
    <row r="47" spans="1:21" s="12" customFormat="1" x14ac:dyDescent="0.25">
      <c r="A47" s="201" t="s">
        <v>1339</v>
      </c>
      <c r="B47" s="60">
        <v>24.23</v>
      </c>
      <c r="C47" s="60">
        <v>96.48</v>
      </c>
      <c r="D47" s="60">
        <v>72.680000000000007</v>
      </c>
      <c r="E47" s="60">
        <v>9.67</v>
      </c>
      <c r="F47" s="60">
        <v>4.91</v>
      </c>
      <c r="G47" s="60">
        <v>83.03</v>
      </c>
      <c r="H47" s="60">
        <v>39.49</v>
      </c>
      <c r="I47" s="60">
        <v>0.63</v>
      </c>
      <c r="J47" s="60">
        <v>1.29</v>
      </c>
      <c r="K47" s="60">
        <v>95.1</v>
      </c>
      <c r="L47" s="60">
        <v>27.25</v>
      </c>
      <c r="M47" s="60">
        <v>35.450000000000003</v>
      </c>
      <c r="N47" s="60">
        <v>473.3</v>
      </c>
      <c r="O47" s="60">
        <v>0</v>
      </c>
      <c r="P47" s="60">
        <v>1.03</v>
      </c>
      <c r="Q47" s="60">
        <v>30.27</v>
      </c>
      <c r="R47" s="198"/>
      <c r="S47" s="198"/>
      <c r="T47" s="198"/>
      <c r="U47" s="198"/>
    </row>
    <row r="48" spans="1:21" s="12" customFormat="1" x14ac:dyDescent="0.25">
      <c r="A48" s="201" t="s">
        <v>1340</v>
      </c>
      <c r="B48" s="60">
        <v>22.03</v>
      </c>
      <c r="C48" s="60">
        <v>93.27</v>
      </c>
      <c r="D48" s="60">
        <v>69.14</v>
      </c>
      <c r="E48" s="60">
        <v>8.77</v>
      </c>
      <c r="F48" s="60">
        <v>4.8899999999999997</v>
      </c>
      <c r="G48" s="60">
        <v>88.05</v>
      </c>
      <c r="H48" s="60">
        <v>41.62</v>
      </c>
      <c r="I48" s="60">
        <v>0.63</v>
      </c>
      <c r="J48" s="60">
        <v>1.1200000000000001</v>
      </c>
      <c r="K48" s="60">
        <v>92.99</v>
      </c>
      <c r="L48" s="60">
        <v>27.65</v>
      </c>
      <c r="M48" s="60">
        <v>34.369999999999997</v>
      </c>
      <c r="N48" s="60">
        <v>494.3</v>
      </c>
      <c r="O48" s="60">
        <v>0</v>
      </c>
      <c r="P48" s="60">
        <v>1</v>
      </c>
      <c r="Q48" s="60">
        <v>30.15</v>
      </c>
      <c r="R48" s="198"/>
      <c r="S48" s="198"/>
      <c r="T48" s="198"/>
      <c r="U48" s="198"/>
    </row>
    <row r="49" spans="1:21" s="12" customFormat="1" x14ac:dyDescent="0.25">
      <c r="A49" s="201" t="s">
        <v>1341</v>
      </c>
      <c r="B49" s="60">
        <v>19.89</v>
      </c>
      <c r="C49" s="60">
        <v>93.45</v>
      </c>
      <c r="D49" s="60">
        <v>67.53</v>
      </c>
      <c r="E49" s="60">
        <v>8.75</v>
      </c>
      <c r="F49" s="60">
        <v>4.92</v>
      </c>
      <c r="G49" s="60">
        <v>88.05</v>
      </c>
      <c r="H49" s="60">
        <v>41.62</v>
      </c>
      <c r="I49" s="60">
        <v>0.63</v>
      </c>
      <c r="J49" s="60">
        <v>1.22</v>
      </c>
      <c r="K49" s="60">
        <v>93.23</v>
      </c>
      <c r="L49" s="60">
        <v>28.18</v>
      </c>
      <c r="M49" s="60">
        <v>33.159999999999997</v>
      </c>
      <c r="N49" s="60">
        <v>503</v>
      </c>
      <c r="O49" s="60">
        <v>0</v>
      </c>
      <c r="P49" s="60">
        <v>0.96</v>
      </c>
      <c r="Q49" s="60">
        <v>30.01</v>
      </c>
      <c r="R49" s="198"/>
      <c r="S49" s="198"/>
      <c r="T49" s="198"/>
      <c r="U49" s="198"/>
    </row>
    <row r="50" spans="1:21" s="12" customFormat="1" x14ac:dyDescent="0.25">
      <c r="A50" s="201" t="s">
        <v>1342</v>
      </c>
      <c r="B50" s="60">
        <v>17.98</v>
      </c>
      <c r="C50" s="60">
        <v>92.64</v>
      </c>
      <c r="D50" s="60">
        <v>65.55</v>
      </c>
      <c r="E50" s="60">
        <v>9.43</v>
      </c>
      <c r="F50" s="60">
        <v>5.03</v>
      </c>
      <c r="G50" s="60">
        <v>88.05</v>
      </c>
      <c r="H50" s="60">
        <v>41.62</v>
      </c>
      <c r="I50" s="60">
        <v>0.62</v>
      </c>
      <c r="J50" s="60">
        <v>0.64</v>
      </c>
      <c r="K50" s="60">
        <v>41.25</v>
      </c>
      <c r="L50" s="60">
        <v>30.16</v>
      </c>
      <c r="M50" s="60">
        <v>29.91</v>
      </c>
      <c r="N50" s="60">
        <v>508.9</v>
      </c>
      <c r="O50" s="60">
        <v>0</v>
      </c>
      <c r="P50" s="60">
        <v>0.94</v>
      </c>
      <c r="Q50" s="60">
        <v>29.6</v>
      </c>
      <c r="R50" s="198"/>
      <c r="S50" s="198"/>
      <c r="T50" s="198"/>
      <c r="U50" s="198"/>
    </row>
    <row r="51" spans="1:21" s="12" customFormat="1" x14ac:dyDescent="0.25">
      <c r="A51" s="201" t="s">
        <v>1343</v>
      </c>
      <c r="B51" s="60">
        <v>15.95</v>
      </c>
      <c r="C51" s="60">
        <v>92.7</v>
      </c>
      <c r="D51" s="60">
        <v>63.95</v>
      </c>
      <c r="E51" s="60">
        <v>8.9499999999999993</v>
      </c>
      <c r="F51" s="60">
        <v>4.96</v>
      </c>
      <c r="G51" s="60">
        <v>83.78</v>
      </c>
      <c r="H51" s="60">
        <v>37.86</v>
      </c>
      <c r="I51" s="60">
        <v>0.61</v>
      </c>
      <c r="J51" s="60">
        <v>1.21</v>
      </c>
      <c r="K51" s="60">
        <v>14.05</v>
      </c>
      <c r="L51" s="60">
        <v>32.35</v>
      </c>
      <c r="M51" s="60">
        <v>25.4</v>
      </c>
      <c r="N51" s="60">
        <v>514.20000000000005</v>
      </c>
      <c r="O51" s="60">
        <v>0</v>
      </c>
      <c r="P51" s="60">
        <v>0.91</v>
      </c>
      <c r="Q51" s="60">
        <v>29.44</v>
      </c>
      <c r="R51" s="198"/>
      <c r="S51" s="198"/>
      <c r="T51" s="198"/>
      <c r="U51" s="198"/>
    </row>
    <row r="52" spans="1:21" s="12" customFormat="1" x14ac:dyDescent="0.25">
      <c r="A52" s="201" t="s">
        <v>1344</v>
      </c>
      <c r="B52" s="60">
        <v>14.2</v>
      </c>
      <c r="C52" s="60">
        <v>92.72</v>
      </c>
      <c r="D52" s="60">
        <v>62.56</v>
      </c>
      <c r="E52" s="60">
        <v>8.9499999999999993</v>
      </c>
      <c r="F52" s="60">
        <v>5.1100000000000003</v>
      </c>
      <c r="G52" s="60">
        <v>78.66</v>
      </c>
      <c r="H52" s="60">
        <v>33.36</v>
      </c>
      <c r="I52" s="60">
        <v>0.61</v>
      </c>
      <c r="J52" s="60">
        <v>0.86</v>
      </c>
      <c r="K52" s="60">
        <v>46.72</v>
      </c>
      <c r="L52" s="60">
        <v>30.41</v>
      </c>
      <c r="M52" s="60">
        <v>28.93</v>
      </c>
      <c r="N52" s="60">
        <v>525.20000000000005</v>
      </c>
      <c r="O52" s="60">
        <v>0</v>
      </c>
      <c r="P52" s="60">
        <v>0.88</v>
      </c>
      <c r="Q52" s="60">
        <v>29.21</v>
      </c>
      <c r="R52" s="198"/>
      <c r="S52" s="198"/>
      <c r="T52" s="198"/>
      <c r="U52" s="198"/>
    </row>
    <row r="53" spans="1:21" s="12" customFormat="1" x14ac:dyDescent="0.25">
      <c r="A53" s="201" t="s">
        <v>1345</v>
      </c>
      <c r="B53" s="60">
        <v>11.84</v>
      </c>
      <c r="C53" s="60">
        <v>89.73</v>
      </c>
      <c r="D53" s="60">
        <v>59.02</v>
      </c>
      <c r="E53" s="60">
        <v>9.39</v>
      </c>
      <c r="F53" s="60">
        <v>6.52</v>
      </c>
      <c r="G53" s="60">
        <v>78.66</v>
      </c>
      <c r="H53" s="60">
        <v>33.36</v>
      </c>
      <c r="I53" s="60">
        <v>0.6</v>
      </c>
      <c r="J53" s="60">
        <v>1.95</v>
      </c>
      <c r="K53" s="60">
        <v>5.55</v>
      </c>
      <c r="L53" s="60">
        <v>32.61</v>
      </c>
      <c r="M53" s="60">
        <v>24.25</v>
      </c>
      <c r="N53" s="60">
        <v>545.20000000000005</v>
      </c>
      <c r="O53" s="60">
        <v>0</v>
      </c>
      <c r="P53" s="60">
        <v>0.85</v>
      </c>
      <c r="Q53" s="60">
        <v>28.31</v>
      </c>
      <c r="R53" s="198"/>
      <c r="S53" s="198"/>
      <c r="T53" s="198"/>
      <c r="U53" s="198"/>
    </row>
    <row r="54" spans="1:21" s="12" customFormat="1" x14ac:dyDescent="0.25">
      <c r="A54" s="201" t="s">
        <v>1346</v>
      </c>
      <c r="B54" s="60">
        <v>10.4</v>
      </c>
      <c r="C54" s="60">
        <v>85.24</v>
      </c>
      <c r="D54" s="60">
        <v>55.38</v>
      </c>
      <c r="E54" s="60">
        <v>10.43</v>
      </c>
      <c r="F54" s="60">
        <v>8.1999999999999993</v>
      </c>
      <c r="G54" s="60">
        <v>78.66</v>
      </c>
      <c r="H54" s="60">
        <v>33.36</v>
      </c>
      <c r="I54" s="60">
        <v>0.63</v>
      </c>
      <c r="J54" s="60">
        <v>1.97</v>
      </c>
      <c r="K54" s="60">
        <v>15.78</v>
      </c>
      <c r="L54" s="60">
        <v>33.03</v>
      </c>
      <c r="M54" s="60">
        <v>23.13</v>
      </c>
      <c r="N54" s="60">
        <v>549.5</v>
      </c>
      <c r="O54" s="60">
        <v>0</v>
      </c>
      <c r="P54" s="60">
        <v>0.8</v>
      </c>
      <c r="Q54" s="60">
        <v>27.04</v>
      </c>
      <c r="R54" s="198"/>
      <c r="S54" s="198"/>
      <c r="T54" s="198"/>
      <c r="U54" s="198"/>
    </row>
    <row r="55" spans="1:21" s="12" customFormat="1" x14ac:dyDescent="0.25">
      <c r="A55" s="201" t="s">
        <v>1347</v>
      </c>
      <c r="B55" s="60">
        <v>7.96</v>
      </c>
      <c r="C55" s="60">
        <v>85.54</v>
      </c>
      <c r="D55" s="60">
        <v>53.59</v>
      </c>
      <c r="E55" s="60">
        <v>9.18</v>
      </c>
      <c r="F55" s="60">
        <v>7.56</v>
      </c>
      <c r="G55" s="60">
        <v>73.319999999999993</v>
      </c>
      <c r="H55" s="60">
        <v>31.52</v>
      </c>
      <c r="I55" s="60">
        <v>0.59</v>
      </c>
      <c r="J55" s="60">
        <v>2.1800000000000002</v>
      </c>
      <c r="K55" s="60">
        <v>3.88</v>
      </c>
      <c r="L55" s="60">
        <v>33.11</v>
      </c>
      <c r="M55" s="60">
        <v>21.22</v>
      </c>
      <c r="N55" s="60">
        <v>586.29999999999995</v>
      </c>
      <c r="O55" s="60">
        <v>0</v>
      </c>
      <c r="P55" s="60">
        <v>0.79</v>
      </c>
      <c r="Q55" s="60">
        <v>25.62</v>
      </c>
      <c r="R55" s="198"/>
      <c r="S55" s="198"/>
      <c r="T55" s="198"/>
      <c r="U55" s="198"/>
    </row>
    <row r="56" spans="1:21" s="12" customFormat="1" x14ac:dyDescent="0.25">
      <c r="A56" s="201" t="s">
        <v>1348</v>
      </c>
      <c r="B56" s="60">
        <v>6.61</v>
      </c>
      <c r="C56" s="60">
        <v>83.37</v>
      </c>
      <c r="D56" s="60">
        <v>51.31</v>
      </c>
      <c r="E56" s="60">
        <v>5.34</v>
      </c>
      <c r="F56" s="60">
        <v>6.31</v>
      </c>
      <c r="G56" s="60">
        <v>66.94</v>
      </c>
      <c r="H56" s="60">
        <v>29.33</v>
      </c>
      <c r="I56" s="60">
        <v>0.57999999999999996</v>
      </c>
      <c r="J56" s="60">
        <v>1.98</v>
      </c>
      <c r="K56" s="60">
        <v>359.74</v>
      </c>
      <c r="L56" s="60">
        <v>33.5</v>
      </c>
      <c r="M56" s="60">
        <v>17.809999999999999</v>
      </c>
      <c r="N56" s="60">
        <v>607.1</v>
      </c>
      <c r="O56" s="60">
        <v>0</v>
      </c>
      <c r="P56" s="60">
        <v>0.76</v>
      </c>
      <c r="Q56" s="60">
        <v>24.62</v>
      </c>
      <c r="R56" s="198"/>
      <c r="S56" s="198"/>
      <c r="T56" s="198"/>
      <c r="U56" s="198"/>
    </row>
    <row r="57" spans="1:21" s="12" customFormat="1" x14ac:dyDescent="0.25">
      <c r="A57" s="201" t="s">
        <v>1349</v>
      </c>
      <c r="B57" s="60">
        <v>5.73</v>
      </c>
      <c r="C57" s="60">
        <v>85.38</v>
      </c>
      <c r="D57" s="60">
        <v>51.72</v>
      </c>
      <c r="E57" s="60">
        <v>7.13</v>
      </c>
      <c r="F57" s="60">
        <v>5.91</v>
      </c>
      <c r="G57" s="60">
        <v>66.94</v>
      </c>
      <c r="H57" s="60">
        <v>29.33</v>
      </c>
      <c r="I57" s="60">
        <v>0.6</v>
      </c>
      <c r="J57" s="60">
        <v>2.16</v>
      </c>
      <c r="K57" s="60">
        <v>359.26</v>
      </c>
      <c r="L57" s="60">
        <v>33.64</v>
      </c>
      <c r="M57" s="60">
        <v>18.239999999999998</v>
      </c>
      <c r="N57" s="60">
        <v>617.70000000000005</v>
      </c>
      <c r="O57" s="60">
        <v>0</v>
      </c>
      <c r="P57" s="60">
        <v>0.73</v>
      </c>
      <c r="Q57" s="60">
        <v>24</v>
      </c>
      <c r="R57" s="198"/>
      <c r="S57" s="198"/>
      <c r="T57" s="198"/>
      <c r="U57" s="198"/>
    </row>
    <row r="58" spans="1:21" s="12" customFormat="1" x14ac:dyDescent="0.25">
      <c r="A58" s="201" t="s">
        <v>1350</v>
      </c>
      <c r="B58" s="60">
        <v>4.49</v>
      </c>
      <c r="C58" s="60">
        <v>81.819999999999993</v>
      </c>
      <c r="D58" s="60">
        <v>48.76</v>
      </c>
      <c r="E58" s="60">
        <v>7.9</v>
      </c>
      <c r="F58" s="60">
        <v>10.07</v>
      </c>
      <c r="G58" s="60">
        <v>66.94</v>
      </c>
      <c r="H58" s="60">
        <v>29.33</v>
      </c>
      <c r="I58" s="60">
        <v>0.57999999999999996</v>
      </c>
      <c r="J58" s="60">
        <v>2.0699999999999998</v>
      </c>
      <c r="K58" s="60">
        <v>8.6300000000000008</v>
      </c>
      <c r="L58" s="60">
        <v>33.700000000000003</v>
      </c>
      <c r="M58" s="60">
        <v>18.420000000000002</v>
      </c>
      <c r="N58" s="60">
        <v>612.20000000000005</v>
      </c>
      <c r="O58" s="60">
        <v>0</v>
      </c>
      <c r="P58" s="60">
        <v>0.71</v>
      </c>
      <c r="Q58" s="60">
        <v>23.43</v>
      </c>
      <c r="R58" s="198"/>
      <c r="S58" s="198"/>
      <c r="T58" s="198"/>
      <c r="U58" s="198"/>
    </row>
    <row r="59" spans="1:21" s="12" customFormat="1" x14ac:dyDescent="0.25">
      <c r="A59" s="201" t="s">
        <v>1351</v>
      </c>
      <c r="B59" s="60">
        <v>4.8499999999999996</v>
      </c>
      <c r="C59" s="60">
        <v>76.63</v>
      </c>
      <c r="D59" s="60">
        <v>46.18</v>
      </c>
      <c r="E59" s="60">
        <v>7.54</v>
      </c>
      <c r="F59" s="60">
        <v>8.94</v>
      </c>
      <c r="G59" s="60">
        <v>67.17</v>
      </c>
      <c r="H59" s="60">
        <v>28.82</v>
      </c>
      <c r="I59" s="60">
        <v>0.57999999999999996</v>
      </c>
      <c r="J59" s="60">
        <v>1.81</v>
      </c>
      <c r="K59" s="60">
        <v>6.95</v>
      </c>
      <c r="L59" s="60">
        <v>33.44</v>
      </c>
      <c r="M59" s="60">
        <v>18.579999999999998</v>
      </c>
      <c r="N59" s="60">
        <v>605.9</v>
      </c>
      <c r="O59" s="60">
        <v>0</v>
      </c>
      <c r="P59" s="60">
        <v>0.69</v>
      </c>
      <c r="Q59" s="60">
        <v>22.8</v>
      </c>
      <c r="R59" s="198"/>
      <c r="S59" s="198"/>
      <c r="T59" s="198"/>
      <c r="U59" s="198"/>
    </row>
    <row r="60" spans="1:21" s="12" customFormat="1" x14ac:dyDescent="0.25">
      <c r="A60" s="201" t="s">
        <v>1352</v>
      </c>
      <c r="B60" s="60">
        <v>4.13</v>
      </c>
      <c r="C60" s="60">
        <v>79.33</v>
      </c>
      <c r="D60" s="60">
        <v>47.09</v>
      </c>
      <c r="E60" s="60">
        <v>7.48</v>
      </c>
      <c r="F60" s="60">
        <v>7.39</v>
      </c>
      <c r="G60" s="60">
        <v>67.45</v>
      </c>
      <c r="H60" s="60">
        <v>28.21</v>
      </c>
      <c r="I60" s="60">
        <v>0.56999999999999995</v>
      </c>
      <c r="J60" s="60">
        <v>2.02</v>
      </c>
      <c r="K60" s="60">
        <v>2.63</v>
      </c>
      <c r="L60" s="60">
        <v>33.58</v>
      </c>
      <c r="M60" s="60">
        <v>19.43</v>
      </c>
      <c r="N60" s="60">
        <v>569.29999999999995</v>
      </c>
      <c r="O60" s="60">
        <v>0</v>
      </c>
      <c r="P60" s="60">
        <v>0.68</v>
      </c>
      <c r="Q60" s="60">
        <v>22.62</v>
      </c>
      <c r="R60" s="198"/>
      <c r="S60" s="198"/>
      <c r="T60" s="198"/>
      <c r="U60" s="198"/>
    </row>
    <row r="61" spans="1:21" s="12" customFormat="1" x14ac:dyDescent="0.25">
      <c r="A61" s="201" t="s">
        <v>1353</v>
      </c>
      <c r="B61" s="60">
        <v>3.3</v>
      </c>
      <c r="C61" s="60">
        <v>80.41</v>
      </c>
      <c r="D61" s="60">
        <v>47.02</v>
      </c>
      <c r="E61" s="60">
        <v>7.38</v>
      </c>
      <c r="F61" s="60">
        <v>8.1300000000000008</v>
      </c>
      <c r="G61" s="60">
        <v>67.45</v>
      </c>
      <c r="H61" s="60">
        <v>28.21</v>
      </c>
      <c r="I61" s="60">
        <v>0.56000000000000005</v>
      </c>
      <c r="J61" s="60">
        <v>1.54</v>
      </c>
      <c r="K61" s="60">
        <v>11.82</v>
      </c>
      <c r="L61" s="60">
        <v>33.5</v>
      </c>
      <c r="M61" s="60">
        <v>20.03</v>
      </c>
      <c r="N61" s="60">
        <v>529.9</v>
      </c>
      <c r="O61" s="60">
        <v>0</v>
      </c>
      <c r="P61" s="60">
        <v>0.65</v>
      </c>
      <c r="Q61" s="60">
        <v>23.36</v>
      </c>
      <c r="R61" s="198"/>
      <c r="S61" s="198"/>
      <c r="T61" s="198"/>
      <c r="U61" s="198"/>
    </row>
    <row r="62" spans="1:21" s="12" customFormat="1" x14ac:dyDescent="0.25">
      <c r="A62" s="201" t="s">
        <v>1354</v>
      </c>
      <c r="B62" s="60">
        <v>3.05</v>
      </c>
      <c r="C62" s="60">
        <v>77.930000000000007</v>
      </c>
      <c r="D62" s="60">
        <v>45.45</v>
      </c>
      <c r="E62" s="60">
        <v>7.76</v>
      </c>
      <c r="F62" s="60">
        <v>8.57</v>
      </c>
      <c r="G62" s="60">
        <v>67.45</v>
      </c>
      <c r="H62" s="60">
        <v>28.21</v>
      </c>
      <c r="I62" s="60">
        <v>0.56000000000000005</v>
      </c>
      <c r="J62" s="60">
        <v>2.12</v>
      </c>
      <c r="K62" s="60">
        <v>8.34</v>
      </c>
      <c r="L62" s="60">
        <v>32.93</v>
      </c>
      <c r="M62" s="60">
        <v>20.7</v>
      </c>
      <c r="N62" s="60">
        <v>514.4</v>
      </c>
      <c r="O62" s="60">
        <v>0</v>
      </c>
      <c r="P62" s="60">
        <v>0.66</v>
      </c>
      <c r="Q62" s="60">
        <v>23.68</v>
      </c>
      <c r="R62" s="198"/>
      <c r="S62" s="198"/>
      <c r="T62" s="198"/>
      <c r="U62" s="198"/>
    </row>
    <row r="63" spans="1:21" s="12" customFormat="1" x14ac:dyDescent="0.25">
      <c r="A63" s="201" t="s">
        <v>1355</v>
      </c>
      <c r="B63" s="60">
        <v>2.5299999999999998</v>
      </c>
      <c r="C63" s="60">
        <v>76.58</v>
      </c>
      <c r="D63" s="60">
        <v>44.29</v>
      </c>
      <c r="E63" s="60">
        <v>7.54</v>
      </c>
      <c r="F63" s="60">
        <v>8.1300000000000008</v>
      </c>
      <c r="G63" s="60">
        <v>65.400000000000006</v>
      </c>
      <c r="H63" s="60">
        <v>27.2</v>
      </c>
      <c r="I63" s="60">
        <v>0.55000000000000004</v>
      </c>
      <c r="J63" s="60">
        <v>1.95</v>
      </c>
      <c r="K63" s="60">
        <v>11.55</v>
      </c>
      <c r="L63" s="60">
        <v>33.369999999999997</v>
      </c>
      <c r="M63" s="60">
        <v>18.07</v>
      </c>
      <c r="N63" s="60">
        <v>494.2</v>
      </c>
      <c r="O63" s="60">
        <v>0</v>
      </c>
      <c r="P63" s="60">
        <v>0.64</v>
      </c>
      <c r="Q63" s="60">
        <v>23.2</v>
      </c>
      <c r="R63" s="198"/>
      <c r="S63" s="198"/>
      <c r="T63" s="198"/>
      <c r="U63" s="198"/>
    </row>
    <row r="64" spans="1:21" s="12" customFormat="1" x14ac:dyDescent="0.25">
      <c r="A64" s="201" t="s">
        <v>1356</v>
      </c>
      <c r="B64" s="60">
        <v>2.2400000000000002</v>
      </c>
      <c r="C64" s="60">
        <v>76.45</v>
      </c>
      <c r="D64" s="60">
        <v>43.99</v>
      </c>
      <c r="E64" s="60">
        <v>6.86</v>
      </c>
      <c r="F64" s="60">
        <v>7.6</v>
      </c>
      <c r="G64" s="60">
        <v>62.96</v>
      </c>
      <c r="H64" s="60">
        <v>26.01</v>
      </c>
      <c r="I64" s="60">
        <v>0.55000000000000004</v>
      </c>
      <c r="J64" s="60">
        <v>1.74</v>
      </c>
      <c r="K64" s="60">
        <v>357.58</v>
      </c>
      <c r="L64" s="60">
        <v>33.92</v>
      </c>
      <c r="M64" s="60">
        <v>17.91</v>
      </c>
      <c r="N64" s="60">
        <v>477</v>
      </c>
      <c r="O64" s="60">
        <v>0</v>
      </c>
      <c r="P64" s="60">
        <v>0.63</v>
      </c>
      <c r="Q64" s="60">
        <v>22.97</v>
      </c>
      <c r="R64" s="198"/>
      <c r="S64" s="198"/>
      <c r="T64" s="198"/>
      <c r="U64" s="198"/>
    </row>
    <row r="65" spans="1:21" s="12" customFormat="1" x14ac:dyDescent="0.25">
      <c r="A65" s="201" t="s">
        <v>1357</v>
      </c>
      <c r="B65" s="60">
        <v>1.96</v>
      </c>
      <c r="C65" s="60">
        <v>75.58</v>
      </c>
      <c r="D65" s="60">
        <v>43.28</v>
      </c>
      <c r="E65" s="60">
        <v>6.2</v>
      </c>
      <c r="F65" s="60">
        <v>7.66</v>
      </c>
      <c r="G65" s="60">
        <v>62.96</v>
      </c>
      <c r="H65" s="60">
        <v>26.01</v>
      </c>
      <c r="I65" s="60">
        <v>0.54</v>
      </c>
      <c r="J65" s="60">
        <v>1.71</v>
      </c>
      <c r="K65" s="60">
        <v>9.25</v>
      </c>
      <c r="L65" s="60">
        <v>33.979999999999997</v>
      </c>
      <c r="M65" s="60">
        <v>17.27</v>
      </c>
      <c r="N65" s="60">
        <v>469.3</v>
      </c>
      <c r="O65" s="60">
        <v>0</v>
      </c>
      <c r="P65" s="60">
        <v>0.61</v>
      </c>
      <c r="Q65" s="60">
        <v>23.01</v>
      </c>
      <c r="R65" s="198"/>
      <c r="S65" s="198"/>
      <c r="T65" s="198"/>
      <c r="U65" s="198"/>
    </row>
    <row r="66" spans="1:21" s="12" customFormat="1" x14ac:dyDescent="0.25">
      <c r="A66" s="201" t="s">
        <v>1358</v>
      </c>
      <c r="B66" s="60">
        <v>1.81</v>
      </c>
      <c r="C66" s="60">
        <v>74.28</v>
      </c>
      <c r="D66" s="60">
        <v>42.44</v>
      </c>
      <c r="E66" s="60">
        <v>6.78</v>
      </c>
      <c r="F66" s="60">
        <v>8.5500000000000007</v>
      </c>
      <c r="G66" s="60">
        <v>62.96</v>
      </c>
      <c r="H66" s="60">
        <v>26.01</v>
      </c>
      <c r="I66" s="60">
        <v>0.56000000000000005</v>
      </c>
      <c r="J66" s="60">
        <v>2.0499999999999998</v>
      </c>
      <c r="K66" s="60">
        <v>3.17</v>
      </c>
      <c r="L66" s="60">
        <v>33.21</v>
      </c>
      <c r="M66" s="60">
        <v>18.63</v>
      </c>
      <c r="N66" s="60">
        <v>449.4</v>
      </c>
      <c r="O66" s="60">
        <v>0</v>
      </c>
      <c r="P66" s="60">
        <v>0.6</v>
      </c>
      <c r="Q66" s="60">
        <v>22.94</v>
      </c>
      <c r="R66" s="198"/>
      <c r="S66" s="198"/>
      <c r="T66" s="198"/>
      <c r="U66" s="198"/>
    </row>
    <row r="67" spans="1:21" s="12" customFormat="1" x14ac:dyDescent="0.25">
      <c r="A67" s="201" t="s">
        <v>1359</v>
      </c>
      <c r="B67" s="60">
        <v>1.8</v>
      </c>
      <c r="C67" s="60">
        <v>71.55</v>
      </c>
      <c r="D67" s="60">
        <v>40.93</v>
      </c>
      <c r="E67" s="60">
        <v>6.82</v>
      </c>
      <c r="F67" s="60">
        <v>8.75</v>
      </c>
      <c r="G67" s="60">
        <v>60.45</v>
      </c>
      <c r="H67" s="60">
        <v>24.57</v>
      </c>
      <c r="I67" s="60">
        <v>0.56000000000000005</v>
      </c>
      <c r="J67" s="60">
        <v>1.84</v>
      </c>
      <c r="K67" s="60">
        <v>8.77</v>
      </c>
      <c r="L67" s="60">
        <v>33.130000000000003</v>
      </c>
      <c r="M67" s="60">
        <v>18.649999999999999</v>
      </c>
      <c r="N67" s="60">
        <v>421.4</v>
      </c>
      <c r="O67" s="60">
        <v>0</v>
      </c>
      <c r="P67" s="60">
        <v>0.57999999999999996</v>
      </c>
      <c r="Q67" s="60">
        <v>22.28</v>
      </c>
      <c r="R67" s="198"/>
      <c r="S67" s="198"/>
      <c r="T67" s="198"/>
      <c r="U67" s="198"/>
    </row>
    <row r="68" spans="1:21" s="12" customFormat="1" x14ac:dyDescent="0.25">
      <c r="A68" s="201" t="s">
        <v>1360</v>
      </c>
      <c r="B68" s="60">
        <v>1.93</v>
      </c>
      <c r="C68" s="60">
        <v>70.5</v>
      </c>
      <c r="D68" s="60">
        <v>40.450000000000003</v>
      </c>
      <c r="E68" s="60">
        <v>6.45</v>
      </c>
      <c r="F68" s="60">
        <v>8.27</v>
      </c>
      <c r="G68" s="60">
        <v>57.44</v>
      </c>
      <c r="H68" s="60">
        <v>22.85</v>
      </c>
      <c r="I68" s="60">
        <v>0.54</v>
      </c>
      <c r="J68" s="60">
        <v>1.6</v>
      </c>
      <c r="K68" s="60">
        <v>358.79</v>
      </c>
      <c r="L68" s="60">
        <v>32.81</v>
      </c>
      <c r="M68" s="60">
        <v>18.12</v>
      </c>
      <c r="N68" s="60">
        <v>404.9</v>
      </c>
      <c r="O68" s="60">
        <v>0</v>
      </c>
      <c r="P68" s="60">
        <v>0.57999999999999996</v>
      </c>
      <c r="Q68" s="60">
        <v>21.53</v>
      </c>
      <c r="R68" s="198"/>
      <c r="S68" s="198"/>
      <c r="T68" s="198"/>
      <c r="U68" s="198"/>
    </row>
    <row r="69" spans="1:21" s="12" customFormat="1" x14ac:dyDescent="0.25">
      <c r="A69" s="201" t="s">
        <v>1361</v>
      </c>
      <c r="B69" s="60">
        <v>2.44</v>
      </c>
      <c r="C69" s="60">
        <v>70.44</v>
      </c>
      <c r="D69" s="60">
        <v>40.83</v>
      </c>
      <c r="E69" s="60">
        <v>6.65</v>
      </c>
      <c r="F69" s="60">
        <v>9.25</v>
      </c>
      <c r="G69" s="60">
        <v>57.44</v>
      </c>
      <c r="H69" s="60">
        <v>22.85</v>
      </c>
      <c r="I69" s="60">
        <v>0.55000000000000004</v>
      </c>
      <c r="J69" s="60">
        <v>1.48</v>
      </c>
      <c r="K69" s="60">
        <v>358.91</v>
      </c>
      <c r="L69" s="60">
        <v>32.65</v>
      </c>
      <c r="M69" s="60">
        <v>18.489999999999998</v>
      </c>
      <c r="N69" s="60">
        <v>371.2</v>
      </c>
      <c r="O69" s="60">
        <v>0</v>
      </c>
      <c r="P69" s="60">
        <v>0.56000000000000005</v>
      </c>
      <c r="Q69" s="60">
        <v>21.04</v>
      </c>
      <c r="R69" s="198"/>
      <c r="S69" s="198"/>
      <c r="T69" s="198"/>
      <c r="U69" s="198"/>
    </row>
    <row r="70" spans="1:21" s="12" customFormat="1" x14ac:dyDescent="0.25">
      <c r="A70" s="201" t="s">
        <v>1362</v>
      </c>
      <c r="B70" s="60">
        <v>4.1500000000000004</v>
      </c>
      <c r="C70" s="60">
        <v>67.14</v>
      </c>
      <c r="D70" s="60">
        <v>40.380000000000003</v>
      </c>
      <c r="E70" s="60">
        <v>6.95</v>
      </c>
      <c r="F70" s="60">
        <v>11.62</v>
      </c>
      <c r="G70" s="60">
        <v>57.44</v>
      </c>
      <c r="H70" s="60">
        <v>22.85</v>
      </c>
      <c r="I70" s="60">
        <v>0.53</v>
      </c>
      <c r="J70" s="60">
        <v>1.49</v>
      </c>
      <c r="K70" s="60">
        <v>14.87</v>
      </c>
      <c r="L70" s="60">
        <v>32.020000000000003</v>
      </c>
      <c r="M70" s="60">
        <v>18.940000000000001</v>
      </c>
      <c r="N70" s="60">
        <v>281.89999999999998</v>
      </c>
      <c r="O70" s="60">
        <v>0</v>
      </c>
      <c r="P70" s="60">
        <v>0.54</v>
      </c>
      <c r="Q70" s="60">
        <v>20.86</v>
      </c>
      <c r="R70" s="198"/>
      <c r="S70" s="198"/>
      <c r="T70" s="198"/>
      <c r="U70" s="198"/>
    </row>
    <row r="71" spans="1:21" s="12" customFormat="1" x14ac:dyDescent="0.25">
      <c r="A71" s="201" t="s">
        <v>1363</v>
      </c>
      <c r="B71" s="60">
        <v>3.56</v>
      </c>
      <c r="C71" s="60">
        <v>69.08</v>
      </c>
      <c r="D71" s="60">
        <v>40.97</v>
      </c>
      <c r="E71" s="60">
        <v>7.56</v>
      </c>
      <c r="F71" s="60">
        <v>13.11</v>
      </c>
      <c r="G71" s="60">
        <v>57.26</v>
      </c>
      <c r="H71" s="60">
        <v>23.05</v>
      </c>
      <c r="I71" s="60">
        <v>0.55000000000000004</v>
      </c>
      <c r="J71" s="60">
        <v>1.1399999999999999</v>
      </c>
      <c r="K71" s="60">
        <v>11.78</v>
      </c>
      <c r="L71" s="60">
        <v>31.36</v>
      </c>
      <c r="M71" s="60">
        <v>20.010000000000002</v>
      </c>
      <c r="N71" s="60">
        <v>145.30000000000001</v>
      </c>
      <c r="O71" s="60">
        <v>0</v>
      </c>
      <c r="P71" s="60">
        <v>0.56000000000000005</v>
      </c>
      <c r="Q71" s="60">
        <v>20.74</v>
      </c>
      <c r="R71" s="198"/>
      <c r="S71" s="198"/>
      <c r="T71" s="198"/>
      <c r="U71" s="198"/>
    </row>
    <row r="72" spans="1:21" s="12" customFormat="1" x14ac:dyDescent="0.25">
      <c r="A72" s="201" t="s">
        <v>1364</v>
      </c>
      <c r="B72" s="60">
        <v>3.07</v>
      </c>
      <c r="C72" s="60">
        <v>64.41</v>
      </c>
      <c r="D72" s="60">
        <v>38.01</v>
      </c>
      <c r="E72" s="60">
        <v>5.24</v>
      </c>
      <c r="F72" s="60">
        <v>12.59</v>
      </c>
      <c r="G72" s="60">
        <v>57.05</v>
      </c>
      <c r="H72" s="60">
        <v>23.29</v>
      </c>
      <c r="I72" s="60">
        <v>0.53</v>
      </c>
      <c r="J72" s="60">
        <v>1.49</v>
      </c>
      <c r="K72" s="60">
        <v>15.37</v>
      </c>
      <c r="L72" s="60">
        <v>30.97</v>
      </c>
      <c r="M72" s="60">
        <v>19.96</v>
      </c>
      <c r="N72" s="60">
        <v>141.6</v>
      </c>
      <c r="O72" s="60">
        <v>0</v>
      </c>
      <c r="P72" s="60">
        <v>0.55000000000000004</v>
      </c>
      <c r="Q72" s="60">
        <v>20.99</v>
      </c>
      <c r="R72" s="198"/>
      <c r="S72" s="198"/>
      <c r="T72" s="198"/>
      <c r="U72" s="198"/>
    </row>
    <row r="73" spans="1:21" s="12" customFormat="1" x14ac:dyDescent="0.25">
      <c r="A73" s="201" t="s">
        <v>1365</v>
      </c>
      <c r="B73" s="60">
        <v>3.57</v>
      </c>
      <c r="C73" s="60">
        <v>70.11</v>
      </c>
      <c r="D73" s="60">
        <v>41.55</v>
      </c>
      <c r="E73" s="60">
        <v>7.38</v>
      </c>
      <c r="F73" s="60">
        <v>10.64</v>
      </c>
      <c r="G73" s="60">
        <v>57.05</v>
      </c>
      <c r="H73" s="60">
        <v>23.29</v>
      </c>
      <c r="I73" s="60">
        <v>0.53</v>
      </c>
      <c r="J73" s="60">
        <v>1.08</v>
      </c>
      <c r="K73" s="60">
        <v>13.5</v>
      </c>
      <c r="L73" s="60">
        <v>30.47</v>
      </c>
      <c r="M73" s="60">
        <v>21.18</v>
      </c>
      <c r="N73" s="60">
        <v>155.69999999999999</v>
      </c>
      <c r="O73" s="60">
        <v>0</v>
      </c>
      <c r="P73" s="60">
        <v>0.55000000000000004</v>
      </c>
      <c r="Q73" s="60">
        <v>21.16</v>
      </c>
      <c r="R73" s="198"/>
      <c r="S73" s="198"/>
      <c r="T73" s="198"/>
      <c r="U73" s="198"/>
    </row>
    <row r="74" spans="1:21" s="12" customFormat="1" x14ac:dyDescent="0.25">
      <c r="A74" s="201" t="s">
        <v>1366</v>
      </c>
      <c r="B74" s="60">
        <v>2.9</v>
      </c>
      <c r="C74" s="60">
        <v>71.62</v>
      </c>
      <c r="D74" s="60">
        <v>41.85</v>
      </c>
      <c r="E74" s="60">
        <v>6.9</v>
      </c>
      <c r="F74" s="60">
        <v>9.2899999999999991</v>
      </c>
      <c r="G74" s="60">
        <v>57.05</v>
      </c>
      <c r="H74" s="60">
        <v>23.29</v>
      </c>
      <c r="I74" s="60">
        <v>0.53</v>
      </c>
      <c r="J74" s="60">
        <v>1.23</v>
      </c>
      <c r="K74" s="60">
        <v>8.31</v>
      </c>
      <c r="L74" s="60">
        <v>29.88</v>
      </c>
      <c r="M74" s="60">
        <v>21.26</v>
      </c>
      <c r="N74" s="60">
        <v>79.2</v>
      </c>
      <c r="O74" s="60">
        <v>0</v>
      </c>
      <c r="P74" s="60">
        <v>0.55000000000000004</v>
      </c>
      <c r="Q74" s="60">
        <v>21.55</v>
      </c>
      <c r="R74" s="198"/>
      <c r="S74" s="198"/>
      <c r="T74" s="198"/>
      <c r="U74" s="198"/>
    </row>
    <row r="75" spans="1:21" s="12" customFormat="1" x14ac:dyDescent="0.25">
      <c r="A75" s="201" t="s">
        <v>1367</v>
      </c>
      <c r="B75" s="60">
        <v>3.03</v>
      </c>
      <c r="C75" s="60">
        <v>72.08</v>
      </c>
      <c r="D75" s="60">
        <v>42.21</v>
      </c>
      <c r="E75" s="60">
        <v>6.8</v>
      </c>
      <c r="F75" s="60">
        <v>8.7200000000000006</v>
      </c>
      <c r="G75" s="60">
        <v>58.01</v>
      </c>
      <c r="H75" s="60">
        <v>22.71</v>
      </c>
      <c r="I75" s="60">
        <v>0.53</v>
      </c>
      <c r="J75" s="60">
        <v>1.5</v>
      </c>
      <c r="K75" s="60">
        <v>8.74</v>
      </c>
      <c r="L75" s="60">
        <v>29.44</v>
      </c>
      <c r="M75" s="60">
        <v>21.1</v>
      </c>
      <c r="N75" s="60">
        <v>62.3</v>
      </c>
      <c r="O75" s="60">
        <v>0</v>
      </c>
      <c r="P75" s="60">
        <v>0.56999999999999995</v>
      </c>
      <c r="Q75" s="60">
        <v>22.34</v>
      </c>
      <c r="R75" s="198"/>
      <c r="S75" s="198"/>
      <c r="T75" s="198"/>
      <c r="U75" s="198"/>
    </row>
    <row r="76" spans="1:21" s="12" customFormat="1" x14ac:dyDescent="0.25">
      <c r="A76" s="201" t="s">
        <v>1368</v>
      </c>
      <c r="B76" s="60">
        <v>3.22</v>
      </c>
      <c r="C76" s="60">
        <v>73.739999999999995</v>
      </c>
      <c r="D76" s="60">
        <v>43.28</v>
      </c>
      <c r="E76" s="60">
        <v>6.48</v>
      </c>
      <c r="F76" s="60">
        <v>6.82</v>
      </c>
      <c r="G76" s="60">
        <v>59.17</v>
      </c>
      <c r="H76" s="60">
        <v>22.03</v>
      </c>
      <c r="I76" s="60">
        <v>0.56000000000000005</v>
      </c>
      <c r="J76" s="60">
        <v>1.39</v>
      </c>
      <c r="K76" s="60">
        <v>352.18</v>
      </c>
      <c r="L76" s="60">
        <v>29.09</v>
      </c>
      <c r="M76" s="60">
        <v>20.61</v>
      </c>
      <c r="N76" s="60">
        <v>48.6</v>
      </c>
      <c r="O76" s="60">
        <v>0</v>
      </c>
      <c r="P76" s="60">
        <v>0.56999999999999995</v>
      </c>
      <c r="Q76" s="60">
        <v>22.79</v>
      </c>
      <c r="R76" s="198"/>
      <c r="S76" s="198"/>
      <c r="T76" s="198"/>
      <c r="U76" s="198"/>
    </row>
    <row r="77" spans="1:21" s="12" customFormat="1" x14ac:dyDescent="0.25">
      <c r="A77" s="201" t="s">
        <v>1369</v>
      </c>
      <c r="B77" s="60">
        <v>3.34</v>
      </c>
      <c r="C77" s="60">
        <v>76.45</v>
      </c>
      <c r="D77" s="60">
        <v>44.87</v>
      </c>
      <c r="E77" s="60">
        <v>6.38</v>
      </c>
      <c r="F77" s="60">
        <v>6.66</v>
      </c>
      <c r="G77" s="60">
        <v>59.17</v>
      </c>
      <c r="H77" s="60">
        <v>22.03</v>
      </c>
      <c r="I77" s="60">
        <v>0.54</v>
      </c>
      <c r="J77" s="60">
        <v>0.52</v>
      </c>
      <c r="K77" s="60">
        <v>29.63</v>
      </c>
      <c r="L77" s="60">
        <v>28.62</v>
      </c>
      <c r="M77" s="60">
        <v>21.92</v>
      </c>
      <c r="N77" s="60">
        <v>39.9</v>
      </c>
      <c r="O77" s="60">
        <v>0</v>
      </c>
      <c r="P77" s="60">
        <v>0.6</v>
      </c>
      <c r="Q77" s="60">
        <v>23.26</v>
      </c>
      <c r="R77" s="198"/>
      <c r="S77" s="198"/>
      <c r="T77" s="198"/>
      <c r="U77" s="198"/>
    </row>
    <row r="78" spans="1:21" s="12" customFormat="1" x14ac:dyDescent="0.25">
      <c r="A78" s="201" t="s">
        <v>1370</v>
      </c>
      <c r="B78" s="60">
        <v>4.68</v>
      </c>
      <c r="C78" s="60">
        <v>76.23</v>
      </c>
      <c r="D78" s="60">
        <v>45.82</v>
      </c>
      <c r="E78" s="60">
        <v>6.51</v>
      </c>
      <c r="F78" s="60">
        <v>6.57</v>
      </c>
      <c r="G78" s="60">
        <v>59.17</v>
      </c>
      <c r="H78" s="60">
        <v>22.03</v>
      </c>
      <c r="I78" s="60">
        <v>0.56000000000000005</v>
      </c>
      <c r="J78" s="60">
        <v>0.81</v>
      </c>
      <c r="K78" s="60">
        <v>12.13</v>
      </c>
      <c r="L78" s="60">
        <v>28.22</v>
      </c>
      <c r="M78" s="60">
        <v>22.23</v>
      </c>
      <c r="N78" s="60">
        <v>26.1</v>
      </c>
      <c r="O78" s="60">
        <v>0</v>
      </c>
      <c r="P78" s="60">
        <v>0.64</v>
      </c>
      <c r="Q78" s="60">
        <v>23.53</v>
      </c>
      <c r="R78" s="198"/>
      <c r="S78" s="198"/>
      <c r="T78" s="198"/>
      <c r="U78" s="198"/>
    </row>
    <row r="79" spans="1:21" s="12" customFormat="1" x14ac:dyDescent="0.25">
      <c r="A79" s="201" t="s">
        <v>1371</v>
      </c>
      <c r="B79" s="60">
        <v>6.11</v>
      </c>
      <c r="C79" s="60">
        <v>79.03</v>
      </c>
      <c r="D79" s="60">
        <v>48.51</v>
      </c>
      <c r="E79" s="60">
        <v>6.52</v>
      </c>
      <c r="F79" s="60">
        <v>7.46</v>
      </c>
      <c r="G79" s="60">
        <v>53.72</v>
      </c>
      <c r="H79" s="60">
        <v>22.87</v>
      </c>
      <c r="I79" s="60">
        <v>0.56999999999999995</v>
      </c>
      <c r="J79" s="60">
        <v>0.82</v>
      </c>
      <c r="K79" s="60">
        <v>13.1</v>
      </c>
      <c r="L79" s="60">
        <v>27.75</v>
      </c>
      <c r="M79" s="60">
        <v>22.23</v>
      </c>
      <c r="N79" s="60">
        <v>14.9</v>
      </c>
      <c r="O79" s="60">
        <v>0</v>
      </c>
      <c r="P79" s="60">
        <v>0.71</v>
      </c>
      <c r="Q79" s="60">
        <v>23.81</v>
      </c>
      <c r="R79" s="198"/>
      <c r="S79" s="198"/>
      <c r="T79" s="198"/>
      <c r="U79" s="198"/>
    </row>
    <row r="80" spans="1:21" s="12" customFormat="1" x14ac:dyDescent="0.25">
      <c r="A80" s="201" t="s">
        <v>1372</v>
      </c>
      <c r="B80" s="60">
        <v>7.25</v>
      </c>
      <c r="C80" s="60">
        <v>81</v>
      </c>
      <c r="D80" s="60">
        <v>50.52</v>
      </c>
      <c r="E80" s="60">
        <v>6.66</v>
      </c>
      <c r="F80" s="60">
        <v>7.04</v>
      </c>
      <c r="G80" s="60">
        <v>47.22</v>
      </c>
      <c r="H80" s="60">
        <v>23.87</v>
      </c>
      <c r="I80" s="60">
        <v>0.56999999999999995</v>
      </c>
      <c r="J80" s="60">
        <v>0.61</v>
      </c>
      <c r="K80" s="60">
        <v>12.93</v>
      </c>
      <c r="L80" s="60">
        <v>27.11</v>
      </c>
      <c r="M80" s="60">
        <v>23.16</v>
      </c>
      <c r="N80" s="60">
        <v>7.2</v>
      </c>
      <c r="O80" s="60">
        <v>0</v>
      </c>
      <c r="P80" s="60">
        <v>0.74</v>
      </c>
      <c r="Q80" s="60">
        <v>24.27</v>
      </c>
      <c r="R80" s="198"/>
      <c r="S80" s="198"/>
      <c r="T80" s="198"/>
      <c r="U80" s="198"/>
    </row>
    <row r="81" spans="1:26" s="12" customFormat="1" x14ac:dyDescent="0.25">
      <c r="A81" s="201" t="s">
        <v>1373</v>
      </c>
      <c r="B81" s="60">
        <v>12.56</v>
      </c>
      <c r="C81" s="60">
        <v>91.68</v>
      </c>
      <c r="D81" s="60">
        <v>60.67</v>
      </c>
      <c r="E81" s="60">
        <v>6.34</v>
      </c>
      <c r="F81" s="60">
        <v>5.51</v>
      </c>
      <c r="G81" s="60">
        <v>47.22</v>
      </c>
      <c r="H81" s="60">
        <v>23.87</v>
      </c>
      <c r="I81" s="60">
        <v>0.56000000000000005</v>
      </c>
      <c r="J81" s="60">
        <v>0.12</v>
      </c>
      <c r="K81" s="60">
        <v>100.86</v>
      </c>
      <c r="L81" s="60">
        <v>26.38</v>
      </c>
      <c r="M81" s="60">
        <v>24.22</v>
      </c>
      <c r="N81" s="60">
        <v>5.0999999999999996</v>
      </c>
      <c r="O81" s="60">
        <v>0</v>
      </c>
      <c r="P81" s="60">
        <v>0.92</v>
      </c>
      <c r="Q81" s="60">
        <v>24.64</v>
      </c>
      <c r="R81" s="198"/>
      <c r="S81" s="198"/>
      <c r="T81" s="198"/>
      <c r="U81" s="198"/>
    </row>
    <row r="82" spans="1:26" s="12" customFormat="1" x14ac:dyDescent="0.25">
      <c r="A82" s="201" t="s">
        <v>1374</v>
      </c>
      <c r="B82" s="60">
        <v>21.44</v>
      </c>
      <c r="C82" s="60">
        <v>100.97</v>
      </c>
      <c r="D82" s="60">
        <v>72.91</v>
      </c>
      <c r="E82" s="60">
        <v>7.9</v>
      </c>
      <c r="F82" s="60">
        <v>5.0999999999999996</v>
      </c>
      <c r="G82" s="60">
        <v>47.22</v>
      </c>
      <c r="H82" s="60">
        <v>23.87</v>
      </c>
      <c r="I82" s="60">
        <v>0.56999999999999995</v>
      </c>
      <c r="J82" s="60">
        <v>0.03</v>
      </c>
      <c r="K82" s="60">
        <v>159.01</v>
      </c>
      <c r="L82" s="60">
        <v>25.51</v>
      </c>
      <c r="M82" s="60">
        <v>28.33</v>
      </c>
      <c r="N82" s="60">
        <v>4.7</v>
      </c>
      <c r="O82" s="60">
        <v>0</v>
      </c>
      <c r="P82" s="60">
        <v>1.29</v>
      </c>
      <c r="Q82" s="60">
        <v>24.2</v>
      </c>
      <c r="R82" s="198"/>
      <c r="S82" s="198"/>
      <c r="T82" s="198"/>
      <c r="U82" s="198"/>
    </row>
    <row r="83" spans="1:26" s="12" customFormat="1" x14ac:dyDescent="0.25">
      <c r="A83" s="201" t="s">
        <v>1375</v>
      </c>
      <c r="B83" s="60">
        <v>31.29</v>
      </c>
      <c r="C83" s="60">
        <v>106.92</v>
      </c>
      <c r="D83" s="60">
        <v>84.1</v>
      </c>
      <c r="E83" s="60">
        <v>7.58</v>
      </c>
      <c r="F83" s="60">
        <v>4.5599999999999996</v>
      </c>
      <c r="G83" s="60">
        <v>57.95</v>
      </c>
      <c r="H83" s="60">
        <v>24.92</v>
      </c>
      <c r="I83" s="60">
        <v>0.59</v>
      </c>
      <c r="J83" s="60">
        <v>0.12</v>
      </c>
      <c r="K83" s="60">
        <v>110.03</v>
      </c>
      <c r="L83" s="60">
        <v>24.5</v>
      </c>
      <c r="M83" s="60">
        <v>30.77</v>
      </c>
      <c r="N83" s="60">
        <v>4.4000000000000004</v>
      </c>
      <c r="O83" s="60">
        <v>0</v>
      </c>
      <c r="P83" s="60">
        <v>1.07</v>
      </c>
      <c r="Q83" s="60">
        <v>23.66</v>
      </c>
      <c r="R83" s="198"/>
      <c r="S83" s="198"/>
      <c r="T83" s="198"/>
      <c r="U83" s="198"/>
    </row>
    <row r="84" spans="1:26" s="12" customFormat="1" x14ac:dyDescent="0.25">
      <c r="A84" s="201" t="s">
        <v>1376</v>
      </c>
      <c r="B84" s="60">
        <v>26.29</v>
      </c>
      <c r="C84" s="60">
        <v>101.06</v>
      </c>
      <c r="D84" s="60">
        <v>76.849999999999994</v>
      </c>
      <c r="E84" s="60">
        <v>7.58</v>
      </c>
      <c r="F84" s="60">
        <v>4.59</v>
      </c>
      <c r="G84" s="60">
        <v>70.790000000000006</v>
      </c>
      <c r="H84" s="60">
        <v>26.17</v>
      </c>
      <c r="I84" s="60">
        <v>0.65</v>
      </c>
      <c r="J84" s="60">
        <v>7.0000000000000007E-2</v>
      </c>
      <c r="K84" s="60">
        <v>33.270000000000003</v>
      </c>
      <c r="L84" s="60">
        <v>23.85</v>
      </c>
      <c r="M84" s="60">
        <v>38.43</v>
      </c>
      <c r="N84" s="60">
        <v>4.4000000000000004</v>
      </c>
      <c r="O84" s="60">
        <v>0</v>
      </c>
      <c r="P84" s="60">
        <v>1.23</v>
      </c>
      <c r="Q84" s="60">
        <v>24.49</v>
      </c>
      <c r="R84" s="198"/>
      <c r="S84" s="198"/>
      <c r="T84" s="198"/>
      <c r="U84" s="198"/>
    </row>
    <row r="85" spans="1:26" s="12" customFormat="1" x14ac:dyDescent="0.25">
      <c r="A85" s="201" t="s">
        <v>1377</v>
      </c>
      <c r="B85" s="60">
        <v>39.61</v>
      </c>
      <c r="C85" s="60">
        <v>106.74</v>
      </c>
      <c r="D85" s="60">
        <v>90.67</v>
      </c>
      <c r="E85" s="60">
        <v>8</v>
      </c>
      <c r="F85" s="60">
        <v>4.5999999999999996</v>
      </c>
      <c r="G85" s="60">
        <v>70.790000000000006</v>
      </c>
      <c r="H85" s="60">
        <v>26.17</v>
      </c>
      <c r="I85" s="60">
        <v>0.69</v>
      </c>
      <c r="J85" s="60">
        <v>0.09</v>
      </c>
      <c r="K85" s="60">
        <v>285.58999999999997</v>
      </c>
      <c r="L85" s="60">
        <v>23.65</v>
      </c>
      <c r="M85" s="60">
        <v>36.03</v>
      </c>
      <c r="N85" s="60">
        <v>3.8</v>
      </c>
      <c r="O85" s="60">
        <v>0</v>
      </c>
      <c r="P85" s="60">
        <v>1.35</v>
      </c>
      <c r="Q85" s="60">
        <v>25.21</v>
      </c>
      <c r="R85" s="198"/>
      <c r="S85" s="198"/>
      <c r="T85" s="198"/>
      <c r="U85" s="198"/>
    </row>
    <row r="86" spans="1:26" s="12" customFormat="1" x14ac:dyDescent="0.25">
      <c r="A86" s="201" t="s">
        <v>1378</v>
      </c>
      <c r="B86" s="60">
        <v>30.84</v>
      </c>
      <c r="C86" s="60">
        <v>101.37</v>
      </c>
      <c r="D86" s="60">
        <v>80.680000000000007</v>
      </c>
      <c r="E86" s="60">
        <v>7.54</v>
      </c>
      <c r="F86" s="60">
        <v>4.54</v>
      </c>
      <c r="G86" s="60">
        <v>70.790000000000006</v>
      </c>
      <c r="H86" s="60">
        <v>26.17</v>
      </c>
      <c r="I86" s="60">
        <v>0.69</v>
      </c>
      <c r="J86" s="60">
        <v>0.15</v>
      </c>
      <c r="K86" s="60">
        <v>100.05</v>
      </c>
      <c r="L86" s="60">
        <v>23.3</v>
      </c>
      <c r="M86" s="60">
        <v>41.68</v>
      </c>
      <c r="N86" s="60">
        <v>4.3</v>
      </c>
      <c r="O86" s="60">
        <v>0</v>
      </c>
      <c r="P86" s="60">
        <v>1.33</v>
      </c>
      <c r="Q86" s="60">
        <v>26.68</v>
      </c>
      <c r="R86" s="198"/>
      <c r="S86" s="198"/>
      <c r="T86" s="198"/>
      <c r="U86" s="198"/>
    </row>
    <row r="87" spans="1:26" s="12" customFormat="1" x14ac:dyDescent="0.25">
      <c r="A87" s="201" t="s">
        <v>1379</v>
      </c>
      <c r="B87" s="60">
        <v>42.9</v>
      </c>
      <c r="C87" s="60">
        <v>109.71</v>
      </c>
      <c r="D87" s="60">
        <v>94.95</v>
      </c>
      <c r="E87" s="60">
        <v>8.32</v>
      </c>
      <c r="F87" s="60">
        <v>4.57</v>
      </c>
      <c r="G87" s="60">
        <v>110.93</v>
      </c>
      <c r="H87" s="60">
        <v>30.15</v>
      </c>
      <c r="I87" s="60">
        <v>0.75</v>
      </c>
      <c r="J87" s="60">
        <v>0.14000000000000001</v>
      </c>
      <c r="K87" s="60">
        <v>28.47</v>
      </c>
      <c r="L87" s="60">
        <v>22.99</v>
      </c>
      <c r="M87" s="60">
        <v>42.72</v>
      </c>
      <c r="N87" s="60">
        <v>4.2</v>
      </c>
      <c r="O87" s="60">
        <v>0</v>
      </c>
      <c r="P87" s="60">
        <v>1.7</v>
      </c>
      <c r="Q87" s="60">
        <v>27.09</v>
      </c>
      <c r="R87" s="198"/>
      <c r="S87" s="198"/>
      <c r="T87" s="198"/>
      <c r="U87" s="198"/>
    </row>
    <row r="88" spans="1:26" s="12" customFormat="1" x14ac:dyDescent="0.25">
      <c r="A88" s="201" t="s">
        <v>1380</v>
      </c>
      <c r="B88" s="60">
        <v>54.91</v>
      </c>
      <c r="C88" s="60">
        <v>115.12</v>
      </c>
      <c r="D88" s="60">
        <v>107.56</v>
      </c>
      <c r="E88" s="60">
        <v>5.15</v>
      </c>
      <c r="F88" s="60">
        <v>4.6399999999999997</v>
      </c>
      <c r="G88" s="60">
        <v>158.91</v>
      </c>
      <c r="H88" s="60">
        <v>34.909999999999997</v>
      </c>
      <c r="I88" s="60">
        <v>0.82</v>
      </c>
      <c r="J88" s="60">
        <v>0.1</v>
      </c>
      <c r="K88" s="60">
        <v>115.61</v>
      </c>
      <c r="L88" s="60">
        <v>22.36</v>
      </c>
      <c r="M88" s="60">
        <v>43.69</v>
      </c>
      <c r="N88" s="60">
        <v>4.4000000000000004</v>
      </c>
      <c r="O88" s="60">
        <v>0</v>
      </c>
      <c r="P88" s="60">
        <v>1.91</v>
      </c>
      <c r="Q88" s="60">
        <v>27.13</v>
      </c>
      <c r="R88" s="198"/>
      <c r="S88" s="198"/>
      <c r="T88" s="198"/>
      <c r="U88" s="198"/>
    </row>
    <row r="89" spans="1:26" s="12" customFormat="1" x14ac:dyDescent="0.25">
      <c r="A89" s="201" t="s">
        <v>1381</v>
      </c>
      <c r="B89" s="60">
        <v>43.69</v>
      </c>
      <c r="C89" s="60">
        <v>106.63</v>
      </c>
      <c r="D89" s="60">
        <v>93.88</v>
      </c>
      <c r="E89" s="60">
        <v>6.64</v>
      </c>
      <c r="F89" s="60">
        <v>4.74</v>
      </c>
      <c r="G89" s="60">
        <v>158.91</v>
      </c>
      <c r="H89" s="60">
        <v>34.909999999999997</v>
      </c>
      <c r="I89" s="60">
        <v>0.84</v>
      </c>
      <c r="J89" s="60">
        <v>0.11</v>
      </c>
      <c r="K89" s="60">
        <v>359.25</v>
      </c>
      <c r="L89" s="60">
        <v>22.33</v>
      </c>
      <c r="M89" s="60">
        <v>47.76</v>
      </c>
      <c r="N89" s="60">
        <v>4.0999999999999996</v>
      </c>
      <c r="O89" s="60">
        <v>0</v>
      </c>
      <c r="P89" s="60">
        <v>1.69</v>
      </c>
      <c r="Q89" s="60">
        <v>29.21</v>
      </c>
      <c r="R89" s="198"/>
      <c r="S89" s="198"/>
      <c r="T89" s="198"/>
      <c r="U89" s="198"/>
    </row>
    <row r="90" spans="1:26" s="12" customFormat="1" x14ac:dyDescent="0.25">
      <c r="A90" s="201" t="s">
        <v>1382</v>
      </c>
      <c r="B90" s="60">
        <v>48.44</v>
      </c>
      <c r="C90" s="60">
        <v>109.02</v>
      </c>
      <c r="D90" s="60">
        <v>99.01</v>
      </c>
      <c r="E90" s="60">
        <v>7.12</v>
      </c>
      <c r="F90" s="60">
        <v>4.63</v>
      </c>
      <c r="G90" s="60">
        <v>158.91</v>
      </c>
      <c r="H90" s="60">
        <v>34.909999999999997</v>
      </c>
      <c r="I90" s="60">
        <v>0.96</v>
      </c>
      <c r="J90" s="60">
        <v>0.35</v>
      </c>
      <c r="K90" s="60">
        <v>61.48</v>
      </c>
      <c r="L90" s="60">
        <v>22.6</v>
      </c>
      <c r="M90" s="60">
        <v>41.61</v>
      </c>
      <c r="N90" s="60">
        <v>2.8</v>
      </c>
      <c r="O90" s="60">
        <v>0</v>
      </c>
      <c r="P90" s="60">
        <v>1.92</v>
      </c>
      <c r="Q90" s="60">
        <v>30.97</v>
      </c>
      <c r="R90" s="198"/>
      <c r="S90" s="198"/>
      <c r="T90" s="198"/>
      <c r="U90" s="198"/>
    </row>
    <row r="91" spans="1:26" s="12" customFormat="1" x14ac:dyDescent="0.25">
      <c r="A91" s="201" t="s">
        <v>1383</v>
      </c>
      <c r="B91" s="60">
        <v>50.41</v>
      </c>
      <c r="C91" s="60">
        <v>111.38</v>
      </c>
      <c r="D91" s="60">
        <v>101.89</v>
      </c>
      <c r="E91" s="60">
        <v>7.35</v>
      </c>
      <c r="F91" s="60">
        <v>4.59</v>
      </c>
      <c r="G91" s="60">
        <v>167.3</v>
      </c>
      <c r="H91" s="60">
        <v>40.21</v>
      </c>
      <c r="I91" s="60">
        <v>0.88</v>
      </c>
      <c r="J91" s="60">
        <v>0.5</v>
      </c>
      <c r="K91" s="60">
        <v>20.53</v>
      </c>
      <c r="L91" s="60">
        <v>23.61</v>
      </c>
      <c r="M91" s="60">
        <v>30.38</v>
      </c>
      <c r="N91" s="60">
        <v>2.7</v>
      </c>
      <c r="O91" s="60">
        <v>0</v>
      </c>
      <c r="P91" s="60">
        <v>2.0099999999999998</v>
      </c>
      <c r="Q91" s="60">
        <v>31.44</v>
      </c>
      <c r="R91" s="198"/>
      <c r="S91" s="198"/>
      <c r="T91" s="198"/>
      <c r="U91" s="198"/>
    </row>
    <row r="92" spans="1:26" s="12" customFormat="1" x14ac:dyDescent="0.25">
      <c r="A92" s="201" t="s">
        <v>1384</v>
      </c>
      <c r="B92" s="60">
        <v>49.07</v>
      </c>
      <c r="C92" s="60">
        <v>111.17</v>
      </c>
      <c r="D92" s="60">
        <v>100.7</v>
      </c>
      <c r="E92" s="60">
        <v>7.09</v>
      </c>
      <c r="F92" s="60">
        <v>4.7</v>
      </c>
      <c r="G92" s="60">
        <v>177.32</v>
      </c>
      <c r="H92" s="60">
        <v>46.54</v>
      </c>
      <c r="I92" s="60">
        <v>1.01</v>
      </c>
      <c r="J92" s="60">
        <v>0.6</v>
      </c>
      <c r="K92" s="60">
        <v>21</v>
      </c>
      <c r="L92" s="60">
        <v>23.76</v>
      </c>
      <c r="M92" s="60">
        <v>29.13</v>
      </c>
      <c r="N92" s="60">
        <v>3.3</v>
      </c>
      <c r="O92" s="60">
        <v>0</v>
      </c>
      <c r="P92" s="60">
        <v>1.98</v>
      </c>
      <c r="Q92" s="60">
        <v>31.54</v>
      </c>
      <c r="R92" s="198"/>
      <c r="S92" s="198"/>
      <c r="T92" s="198"/>
      <c r="U92" s="198"/>
    </row>
    <row r="93" spans="1:26" s="12" customFormat="1" x14ac:dyDescent="0.25">
      <c r="A93" s="201" t="s">
        <v>1385</v>
      </c>
      <c r="B93" s="60">
        <v>47.69</v>
      </c>
      <c r="C93" s="60">
        <v>110.08</v>
      </c>
      <c r="D93" s="60">
        <v>98.99</v>
      </c>
      <c r="E93" s="60">
        <v>6.52</v>
      </c>
      <c r="F93" s="60">
        <v>4.55</v>
      </c>
      <c r="G93" s="60">
        <v>177.32</v>
      </c>
      <c r="H93" s="60">
        <v>46.54</v>
      </c>
      <c r="I93" s="60">
        <v>0.95</v>
      </c>
      <c r="J93" s="60">
        <v>0.32</v>
      </c>
      <c r="K93" s="60">
        <v>18.940000000000001</v>
      </c>
      <c r="L93" s="60">
        <v>23.31</v>
      </c>
      <c r="M93" s="60">
        <v>30.87</v>
      </c>
      <c r="N93" s="60">
        <v>4.3</v>
      </c>
      <c r="O93" s="60">
        <v>0</v>
      </c>
      <c r="P93" s="60">
        <v>1.97</v>
      </c>
      <c r="Q93" s="60">
        <v>31.47</v>
      </c>
      <c r="R93" s="198"/>
      <c r="S93" s="198"/>
      <c r="T93" s="198"/>
      <c r="U93" s="198"/>
    </row>
    <row r="94" spans="1:26" s="12" customFormat="1" x14ac:dyDescent="0.25">
      <c r="A94" s="201" t="s">
        <v>1386</v>
      </c>
      <c r="B94" s="60">
        <v>46.78</v>
      </c>
      <c r="C94" s="60">
        <v>110.3</v>
      </c>
      <c r="D94" s="60">
        <v>98.39</v>
      </c>
      <c r="E94" s="60">
        <v>7.34</v>
      </c>
      <c r="F94" s="60">
        <v>4.5</v>
      </c>
      <c r="G94" s="60">
        <v>177.32</v>
      </c>
      <c r="H94" s="60">
        <v>46.54</v>
      </c>
      <c r="I94" s="60">
        <v>0.93</v>
      </c>
      <c r="J94" s="60">
        <v>0.66</v>
      </c>
      <c r="K94" s="60">
        <v>15.97</v>
      </c>
      <c r="L94" s="60">
        <v>22.98</v>
      </c>
      <c r="M94" s="60">
        <v>30.73</v>
      </c>
      <c r="N94" s="60">
        <v>3.5</v>
      </c>
      <c r="O94" s="60">
        <v>0</v>
      </c>
      <c r="P94" s="60">
        <v>1.95</v>
      </c>
      <c r="Q94" s="60">
        <v>31.5</v>
      </c>
      <c r="R94" s="198"/>
      <c r="S94" s="198"/>
      <c r="T94" s="198"/>
      <c r="U94" s="198"/>
    </row>
    <row r="95" spans="1:26" s="12" customFormat="1" x14ac:dyDescent="0.25">
      <c r="A95" s="201" t="s">
        <v>1387</v>
      </c>
      <c r="B95" s="60">
        <v>45.05</v>
      </c>
      <c r="C95" s="60">
        <v>109.53</v>
      </c>
      <c r="D95" s="60">
        <v>96.57</v>
      </c>
      <c r="E95" s="60">
        <v>8.6300000000000008</v>
      </c>
      <c r="F95" s="60">
        <v>4.58</v>
      </c>
      <c r="G95" s="60">
        <v>149.47</v>
      </c>
      <c r="H95" s="60">
        <v>45.05</v>
      </c>
      <c r="I95" s="60">
        <v>0.99</v>
      </c>
      <c r="J95" s="60">
        <v>0.85</v>
      </c>
      <c r="K95" s="60">
        <v>15.32</v>
      </c>
      <c r="L95" s="60">
        <v>23.34</v>
      </c>
      <c r="M95" s="60">
        <v>28.21</v>
      </c>
      <c r="N95" s="60">
        <v>3.3</v>
      </c>
      <c r="O95" s="60">
        <v>0</v>
      </c>
      <c r="P95" s="60">
        <v>1.9</v>
      </c>
      <c r="Q95" s="60">
        <v>31.24</v>
      </c>
      <c r="R95" s="198"/>
      <c r="S95" s="198"/>
      <c r="T95" s="198"/>
      <c r="U95" s="198"/>
    </row>
    <row r="96" spans="1:26" s="12" customFormat="1" x14ac:dyDescent="0.25">
      <c r="A96" s="201" t="s">
        <v>1388</v>
      </c>
      <c r="B96" s="60">
        <v>41.93</v>
      </c>
      <c r="C96" s="60">
        <v>106</v>
      </c>
      <c r="D96" s="60">
        <v>92.13</v>
      </c>
      <c r="E96" s="60">
        <v>9.58</v>
      </c>
      <c r="F96" s="60">
        <v>4.88</v>
      </c>
      <c r="G96" s="60">
        <v>116.2</v>
      </c>
      <c r="H96" s="60">
        <v>43.26</v>
      </c>
      <c r="I96" s="60">
        <v>0.89</v>
      </c>
      <c r="J96" s="60">
        <v>0.56000000000000005</v>
      </c>
      <c r="K96" s="60">
        <v>17.37</v>
      </c>
      <c r="L96" s="60">
        <v>23.07</v>
      </c>
      <c r="M96" s="60">
        <v>28.64</v>
      </c>
      <c r="N96" s="60">
        <v>4.2</v>
      </c>
      <c r="O96" s="60">
        <v>0</v>
      </c>
      <c r="P96" s="60">
        <v>1.84</v>
      </c>
      <c r="Q96" s="60">
        <v>30.25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1389</v>
      </c>
      <c r="B97" s="60">
        <v>41.56</v>
      </c>
      <c r="C97" s="60">
        <v>105.84</v>
      </c>
      <c r="D97" s="60">
        <v>91.74</v>
      </c>
      <c r="E97" s="60">
        <v>10.57</v>
      </c>
      <c r="F97" s="60">
        <v>4.76</v>
      </c>
      <c r="G97" s="60">
        <v>116.2</v>
      </c>
      <c r="H97" s="60">
        <v>43.26</v>
      </c>
      <c r="I97" s="60">
        <v>0.86</v>
      </c>
      <c r="J97" s="60">
        <v>0.49</v>
      </c>
      <c r="K97" s="60">
        <v>19.690000000000001</v>
      </c>
      <c r="L97" s="60">
        <v>22.69</v>
      </c>
      <c r="M97" s="60">
        <v>29.48</v>
      </c>
      <c r="N97" s="60">
        <v>4.2</v>
      </c>
      <c r="O97" s="60">
        <v>0</v>
      </c>
      <c r="P97" s="60">
        <v>1.82</v>
      </c>
      <c r="Q97" s="60">
        <v>29.81</v>
      </c>
      <c r="R97" s="198"/>
      <c r="S97" s="198"/>
      <c r="T97" s="198"/>
      <c r="U97" s="198"/>
    </row>
    <row r="98" spans="1:33" s="12" customFormat="1" x14ac:dyDescent="0.25">
      <c r="A98" s="201" t="s">
        <v>1390</v>
      </c>
      <c r="B98" s="60">
        <v>43.86</v>
      </c>
      <c r="C98" s="60">
        <v>109.73</v>
      </c>
      <c r="D98" s="60">
        <v>95.73</v>
      </c>
      <c r="E98" s="60">
        <v>11.39</v>
      </c>
      <c r="F98" s="60">
        <v>4.66</v>
      </c>
      <c r="G98" s="60">
        <v>116.2</v>
      </c>
      <c r="H98" s="60">
        <v>43.26</v>
      </c>
      <c r="I98" s="60">
        <v>0.83</v>
      </c>
      <c r="J98" s="60">
        <v>0.75</v>
      </c>
      <c r="K98" s="60">
        <v>17.46</v>
      </c>
      <c r="L98" s="60">
        <v>22.31</v>
      </c>
      <c r="M98" s="60">
        <v>31.38</v>
      </c>
      <c r="N98" s="60">
        <v>3.7</v>
      </c>
      <c r="O98" s="60">
        <v>0</v>
      </c>
      <c r="P98" s="60">
        <v>1.83</v>
      </c>
      <c r="Q98" s="60">
        <v>29.62</v>
      </c>
      <c r="R98" s="198"/>
      <c r="S98" s="198"/>
      <c r="T98" s="198"/>
      <c r="U98" s="198"/>
    </row>
    <row r="99" spans="1:33" s="12" customFormat="1" x14ac:dyDescent="0.25">
      <c r="A99" s="201" t="s">
        <v>1391</v>
      </c>
      <c r="B99" s="60">
        <v>39.979999999999997</v>
      </c>
      <c r="C99" s="60">
        <v>105.01</v>
      </c>
      <c r="D99" s="60">
        <v>90.02</v>
      </c>
      <c r="E99" s="60">
        <v>14.77</v>
      </c>
      <c r="F99" s="60">
        <v>4.8099999999999996</v>
      </c>
      <c r="G99" s="60">
        <v>116</v>
      </c>
      <c r="H99" s="60">
        <v>44.73</v>
      </c>
      <c r="I99" s="60">
        <v>0.82</v>
      </c>
      <c r="J99" s="60">
        <v>0.97</v>
      </c>
      <c r="K99" s="60">
        <v>18.75</v>
      </c>
      <c r="L99" s="60">
        <v>22.34</v>
      </c>
      <c r="M99" s="60">
        <v>30.29</v>
      </c>
      <c r="N99" s="60">
        <v>3.5</v>
      </c>
      <c r="O99" s="60">
        <v>0</v>
      </c>
      <c r="P99" s="60">
        <v>1.85</v>
      </c>
      <c r="Q99" s="60">
        <v>29.55</v>
      </c>
      <c r="R99" s="198"/>
      <c r="S99" s="198"/>
      <c r="T99" s="198"/>
      <c r="U99" s="198"/>
    </row>
    <row r="100" spans="1:33" s="12" customFormat="1" x14ac:dyDescent="0.25">
      <c r="A100" s="201" t="s">
        <v>1392</v>
      </c>
      <c r="B100" s="60">
        <v>37.32</v>
      </c>
      <c r="C100" s="60">
        <v>101.02</v>
      </c>
      <c r="D100" s="60">
        <v>85.68</v>
      </c>
      <c r="E100" s="60">
        <v>17.72</v>
      </c>
      <c r="F100" s="60">
        <v>5.41</v>
      </c>
      <c r="G100" s="60">
        <v>115.76</v>
      </c>
      <c r="H100" s="60">
        <v>46.49</v>
      </c>
      <c r="I100" s="60">
        <v>0.83</v>
      </c>
      <c r="J100" s="60">
        <v>0.91</v>
      </c>
      <c r="K100" s="60">
        <v>17.04</v>
      </c>
      <c r="L100" s="60">
        <v>22.26</v>
      </c>
      <c r="M100" s="60">
        <v>30.45</v>
      </c>
      <c r="N100" s="60">
        <v>3.9</v>
      </c>
      <c r="O100" s="60">
        <v>0</v>
      </c>
      <c r="P100" s="60">
        <v>1.87</v>
      </c>
      <c r="Q100" s="60">
        <v>29.25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1393</v>
      </c>
      <c r="B101" s="60">
        <v>37.5</v>
      </c>
      <c r="C101" s="60">
        <v>103.68</v>
      </c>
      <c r="D101" s="60">
        <v>87.29</v>
      </c>
      <c r="E101" s="60">
        <v>12.43</v>
      </c>
      <c r="F101" s="60">
        <v>5.01</v>
      </c>
      <c r="G101" s="60">
        <v>115.76</v>
      </c>
      <c r="H101" s="60">
        <v>46.49</v>
      </c>
      <c r="I101" s="60">
        <v>0.81</v>
      </c>
      <c r="J101" s="60">
        <v>0.39</v>
      </c>
      <c r="K101" s="60">
        <v>18.690000000000001</v>
      </c>
      <c r="L101" s="60">
        <v>21.69</v>
      </c>
      <c r="M101" s="60">
        <v>32.26</v>
      </c>
      <c r="N101" s="60">
        <v>4.5</v>
      </c>
      <c r="O101" s="60">
        <v>0</v>
      </c>
      <c r="P101" s="60">
        <v>1.9</v>
      </c>
      <c r="Q101" s="60">
        <v>28.81</v>
      </c>
      <c r="R101" s="198"/>
      <c r="S101" s="198"/>
      <c r="T101" s="198"/>
      <c r="U101" s="198"/>
    </row>
    <row r="102" spans="1:33" s="12" customFormat="1" x14ac:dyDescent="0.25">
      <c r="A102" s="201" t="s">
        <v>1394</v>
      </c>
      <c r="B102" s="60">
        <v>36.69</v>
      </c>
      <c r="C102" s="60">
        <v>101.25</v>
      </c>
      <c r="D102" s="60">
        <v>85.3</v>
      </c>
      <c r="E102" s="60">
        <v>12.89</v>
      </c>
      <c r="F102" s="60">
        <v>5.0599999999999996</v>
      </c>
      <c r="G102" s="60">
        <v>115.76</v>
      </c>
      <c r="H102" s="60">
        <v>46.49</v>
      </c>
      <c r="I102" s="60">
        <v>0.8</v>
      </c>
      <c r="J102" s="60">
        <v>0.64</v>
      </c>
      <c r="K102" s="60">
        <v>16.8</v>
      </c>
      <c r="L102" s="60">
        <v>21.5</v>
      </c>
      <c r="M102" s="60">
        <v>31.76</v>
      </c>
      <c r="N102" s="60">
        <v>3.7</v>
      </c>
      <c r="O102" s="60">
        <v>0</v>
      </c>
      <c r="P102" s="60">
        <v>1.96</v>
      </c>
      <c r="Q102" s="60">
        <v>28.77</v>
      </c>
      <c r="R102" s="198"/>
      <c r="S102" s="198"/>
      <c r="T102" s="198"/>
      <c r="U102" s="198"/>
    </row>
    <row r="103" spans="1:33" s="12" customFormat="1" x14ac:dyDescent="0.25">
      <c r="A103" s="201" t="s">
        <v>1395</v>
      </c>
      <c r="B103" s="60">
        <v>35.07</v>
      </c>
      <c r="C103" s="60">
        <v>98.65</v>
      </c>
      <c r="D103" s="60">
        <v>82.57</v>
      </c>
      <c r="E103" s="60">
        <v>13.51</v>
      </c>
      <c r="F103" s="60">
        <v>4.93</v>
      </c>
      <c r="G103" s="60">
        <v>108.89</v>
      </c>
      <c r="H103" s="60">
        <v>44.78</v>
      </c>
      <c r="I103" s="60">
        <v>0.86</v>
      </c>
      <c r="J103" s="60">
        <v>0.6</v>
      </c>
      <c r="K103" s="60">
        <v>14.64</v>
      </c>
      <c r="L103" s="60">
        <v>21.14</v>
      </c>
      <c r="M103" s="60">
        <v>32.72</v>
      </c>
      <c r="N103" s="60">
        <v>4.0999999999999996</v>
      </c>
      <c r="O103" s="60">
        <v>0</v>
      </c>
      <c r="P103" s="60">
        <v>1.98</v>
      </c>
      <c r="Q103" s="60">
        <v>28.78</v>
      </c>
      <c r="R103" s="198"/>
      <c r="S103" s="198"/>
      <c r="T103" s="198"/>
      <c r="U103" s="198"/>
    </row>
    <row r="104" spans="1:33" s="12" customFormat="1" x14ac:dyDescent="0.25">
      <c r="A104" s="201" t="s">
        <v>1396</v>
      </c>
      <c r="B104" s="60">
        <v>35.159999999999997</v>
      </c>
      <c r="C104" s="60">
        <v>99.32</v>
      </c>
      <c r="D104" s="60">
        <v>83.01</v>
      </c>
      <c r="E104" s="60">
        <v>6.28</v>
      </c>
      <c r="F104" s="60">
        <v>4.71</v>
      </c>
      <c r="G104" s="60">
        <v>100.68</v>
      </c>
      <c r="H104" s="60">
        <v>42.74</v>
      </c>
      <c r="I104" s="60">
        <v>0.79</v>
      </c>
      <c r="J104" s="60">
        <v>0.53</v>
      </c>
      <c r="K104" s="60">
        <v>15.71</v>
      </c>
      <c r="L104" s="60">
        <v>20.86</v>
      </c>
      <c r="M104" s="60">
        <v>33.25</v>
      </c>
      <c r="N104" s="60">
        <v>4</v>
      </c>
      <c r="O104" s="60">
        <v>0</v>
      </c>
      <c r="P104" s="60">
        <v>1.97</v>
      </c>
      <c r="Q104" s="60">
        <v>29.3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1.8</v>
      </c>
      <c r="C106" s="67">
        <f>MIN(C9:C104)</f>
        <v>64.41</v>
      </c>
      <c r="D106" s="67">
        <f t="shared" ref="D106:Q106" si="0">MIN(D9:D104)</f>
        <v>38.01</v>
      </c>
      <c r="E106" s="67">
        <f t="shared" si="0"/>
        <v>4.84</v>
      </c>
      <c r="F106" s="67">
        <f t="shared" si="0"/>
        <v>4.5</v>
      </c>
      <c r="G106" s="67">
        <f t="shared" si="0"/>
        <v>47.22</v>
      </c>
      <c r="H106" s="67">
        <f t="shared" si="0"/>
        <v>19.55</v>
      </c>
      <c r="I106" s="67">
        <f t="shared" si="0"/>
        <v>0.53</v>
      </c>
      <c r="J106" s="67">
        <f t="shared" si="0"/>
        <v>0.03</v>
      </c>
      <c r="K106" s="67">
        <f t="shared" si="0"/>
        <v>0.28000000000000003</v>
      </c>
      <c r="L106" s="67">
        <f t="shared" si="0"/>
        <v>18.100000000000001</v>
      </c>
      <c r="M106" s="67">
        <f t="shared" si="0"/>
        <v>17.27</v>
      </c>
      <c r="N106" s="67">
        <f t="shared" si="0"/>
        <v>2.7</v>
      </c>
      <c r="O106" s="67">
        <f t="shared" si="0"/>
        <v>0</v>
      </c>
      <c r="P106" s="67">
        <f t="shared" si="0"/>
        <v>0.54</v>
      </c>
      <c r="Q106" s="67">
        <f t="shared" si="0"/>
        <v>20.74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54.91</v>
      </c>
      <c r="C107" s="66">
        <f t="shared" ref="C107:Q107" si="1">MAX(C9:C104)</f>
        <v>115.12</v>
      </c>
      <c r="D107" s="66">
        <f t="shared" si="1"/>
        <v>107.56</v>
      </c>
      <c r="E107" s="66">
        <f t="shared" si="1"/>
        <v>17.72</v>
      </c>
      <c r="F107" s="66">
        <f t="shared" si="1"/>
        <v>13.11</v>
      </c>
      <c r="G107" s="66">
        <f t="shared" si="1"/>
        <v>177.32</v>
      </c>
      <c r="H107" s="66">
        <f t="shared" si="1"/>
        <v>46.54</v>
      </c>
      <c r="I107" s="66">
        <f t="shared" si="1"/>
        <v>1.01</v>
      </c>
      <c r="J107" s="66">
        <f t="shared" si="1"/>
        <v>2.1800000000000002</v>
      </c>
      <c r="K107" s="66">
        <f t="shared" si="1"/>
        <v>359.74</v>
      </c>
      <c r="L107" s="66">
        <f t="shared" si="1"/>
        <v>33.979999999999997</v>
      </c>
      <c r="M107" s="66">
        <f t="shared" si="1"/>
        <v>60.15</v>
      </c>
      <c r="N107" s="66">
        <f t="shared" si="1"/>
        <v>617.70000000000005</v>
      </c>
      <c r="O107" s="66">
        <f t="shared" si="1"/>
        <v>0</v>
      </c>
      <c r="P107" s="66">
        <f t="shared" si="1"/>
        <v>2.0099999999999998</v>
      </c>
      <c r="Q107" s="66">
        <f t="shared" si="1"/>
        <v>31.54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17.657916666666669</v>
      </c>
      <c r="C108" s="67">
        <f t="shared" ref="C108:Q108" si="2">AVERAGE(C9:C104)</f>
        <v>87.497395833333314</v>
      </c>
      <c r="D108" s="67">
        <f t="shared" si="2"/>
        <v>62.448437500000004</v>
      </c>
      <c r="E108" s="67">
        <f t="shared" si="2"/>
        <v>8.0983333333333309</v>
      </c>
      <c r="F108" s="67">
        <f t="shared" si="2"/>
        <v>5.8427083333333334</v>
      </c>
      <c r="G108" s="67">
        <f t="shared" si="2"/>
        <v>76.761875000000018</v>
      </c>
      <c r="H108" s="67">
        <f t="shared" si="2"/>
        <v>30.216458333333311</v>
      </c>
      <c r="I108" s="67">
        <f t="shared" si="2"/>
        <v>0.65229166666666671</v>
      </c>
      <c r="J108" s="67">
        <f t="shared" si="2"/>
        <v>0.84249999999999969</v>
      </c>
      <c r="K108" s="67">
        <f t="shared" si="2"/>
        <v>126.66072916666668</v>
      </c>
      <c r="L108" s="67">
        <f t="shared" si="2"/>
        <v>25.445416666666677</v>
      </c>
      <c r="M108" s="67">
        <f t="shared" si="2"/>
        <v>33.863854166666677</v>
      </c>
      <c r="N108" s="67">
        <f t="shared" si="2"/>
        <v>164.42708333333334</v>
      </c>
      <c r="O108" s="67">
        <f t="shared" si="2"/>
        <v>0</v>
      </c>
      <c r="P108" s="67">
        <f t="shared" si="2"/>
        <v>1.0358333333333332</v>
      </c>
      <c r="Q108" s="67">
        <f t="shared" si="2"/>
        <v>27.274166666666659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14.696261172697644</v>
      </c>
      <c r="C109" s="67">
        <f t="shared" ref="C109:Q109" si="3">STDEV(C9:C104)</f>
        <v>12.66364978110629</v>
      </c>
      <c r="D109" s="67">
        <f t="shared" si="3"/>
        <v>18.57139698444751</v>
      </c>
      <c r="E109" s="67">
        <f t="shared" si="3"/>
        <v>2.2082613626140444</v>
      </c>
      <c r="F109" s="67">
        <f t="shared" si="3"/>
        <v>1.9478352243974635</v>
      </c>
      <c r="G109" s="67">
        <f t="shared" si="3"/>
        <v>32.474822095456844</v>
      </c>
      <c r="H109" s="67">
        <f t="shared" si="3"/>
        <v>7.8008177680854915</v>
      </c>
      <c r="I109" s="67">
        <f t="shared" si="3"/>
        <v>0.11569905760128041</v>
      </c>
      <c r="J109" s="67">
        <f t="shared" si="3"/>
        <v>0.60278651191559407</v>
      </c>
      <c r="K109" s="67">
        <f t="shared" si="3"/>
        <v>149.9174302091499</v>
      </c>
      <c r="L109" s="67">
        <f t="shared" si="3"/>
        <v>5.2847625882374665</v>
      </c>
      <c r="M109" s="67">
        <f t="shared" si="3"/>
        <v>11.985339673713799</v>
      </c>
      <c r="N109" s="67">
        <f t="shared" si="3"/>
        <v>221.80311348921316</v>
      </c>
      <c r="O109" s="67">
        <f t="shared" si="3"/>
        <v>0</v>
      </c>
      <c r="P109" s="67">
        <f t="shared" si="3"/>
        <v>0.45570227276535397</v>
      </c>
      <c r="Q109" s="67">
        <f t="shared" si="3"/>
        <v>3.1375034214002886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215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6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D9" sqref="D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13-02-2023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340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1397</v>
      </c>
      <c r="B9" s="60">
        <v>34.130000000000003</v>
      </c>
      <c r="C9" s="60">
        <v>98.74</v>
      </c>
      <c r="D9" s="60">
        <v>81.87</v>
      </c>
      <c r="E9" s="60">
        <v>10.6</v>
      </c>
      <c r="F9" s="60">
        <v>4.6500000000000004</v>
      </c>
      <c r="G9" s="60">
        <v>100.68</v>
      </c>
      <c r="H9" s="60">
        <v>42.74</v>
      </c>
      <c r="I9" s="60">
        <v>0.77</v>
      </c>
      <c r="J9" s="60">
        <v>0.32</v>
      </c>
      <c r="K9" s="60">
        <v>6.32</v>
      </c>
      <c r="L9" s="60">
        <v>20.38</v>
      </c>
      <c r="M9" s="60">
        <v>37.35</v>
      </c>
      <c r="N9" s="60">
        <v>4.3</v>
      </c>
      <c r="O9" s="60">
        <v>0</v>
      </c>
      <c r="P9" s="60">
        <v>1.91</v>
      </c>
      <c r="Q9" s="60">
        <v>29.59</v>
      </c>
      <c r="R9" s="198"/>
      <c r="S9" s="198"/>
      <c r="T9" s="198"/>
      <c r="U9" s="198"/>
    </row>
    <row r="10" spans="1:21" s="12" customFormat="1" x14ac:dyDescent="0.25">
      <c r="A10" s="201" t="s">
        <v>1398</v>
      </c>
      <c r="B10" s="60">
        <v>33.340000000000003</v>
      </c>
      <c r="C10" s="60">
        <v>97.86</v>
      </c>
      <c r="D10" s="60">
        <v>80.739999999999995</v>
      </c>
      <c r="E10" s="60">
        <v>10.93</v>
      </c>
      <c r="F10" s="60">
        <v>4.6900000000000004</v>
      </c>
      <c r="G10" s="60">
        <v>100.68</v>
      </c>
      <c r="H10" s="60">
        <v>42.74</v>
      </c>
      <c r="I10" s="60">
        <v>0.76</v>
      </c>
      <c r="J10" s="60">
        <v>0.23</v>
      </c>
      <c r="K10" s="60">
        <v>29.17</v>
      </c>
      <c r="L10" s="60">
        <v>20.03</v>
      </c>
      <c r="M10" s="60">
        <v>39.049999999999997</v>
      </c>
      <c r="N10" s="60">
        <v>4.4000000000000004</v>
      </c>
      <c r="O10" s="60">
        <v>0</v>
      </c>
      <c r="P10" s="60">
        <v>1.85</v>
      </c>
      <c r="Q10" s="60">
        <v>29.58</v>
      </c>
      <c r="R10" s="198"/>
      <c r="S10" s="198"/>
      <c r="T10" s="198"/>
      <c r="U10" s="198"/>
    </row>
    <row r="11" spans="1:21" s="12" customFormat="1" x14ac:dyDescent="0.25">
      <c r="A11" s="201" t="s">
        <v>1399</v>
      </c>
      <c r="B11" s="60">
        <v>32.39</v>
      </c>
      <c r="C11" s="60">
        <v>97.05</v>
      </c>
      <c r="D11" s="60">
        <v>79.540000000000006</v>
      </c>
      <c r="E11" s="60">
        <v>10.8</v>
      </c>
      <c r="F11" s="60">
        <v>4.68</v>
      </c>
      <c r="G11" s="60">
        <v>115.22</v>
      </c>
      <c r="H11" s="60">
        <v>43.86</v>
      </c>
      <c r="I11" s="60">
        <v>0.75</v>
      </c>
      <c r="J11" s="60">
        <v>0.06</v>
      </c>
      <c r="K11" s="60">
        <v>70.95</v>
      </c>
      <c r="L11" s="60">
        <v>19.559999999999999</v>
      </c>
      <c r="M11" s="60">
        <v>40.54</v>
      </c>
      <c r="N11" s="60">
        <v>4.5999999999999996</v>
      </c>
      <c r="O11" s="60">
        <v>0</v>
      </c>
      <c r="P11" s="60">
        <v>1.79</v>
      </c>
      <c r="Q11" s="60">
        <v>29.47</v>
      </c>
      <c r="R11" s="198"/>
      <c r="S11" s="198"/>
      <c r="T11" s="198"/>
      <c r="U11" s="198"/>
    </row>
    <row r="12" spans="1:21" s="12" customFormat="1" x14ac:dyDescent="0.25">
      <c r="A12" s="201" t="s">
        <v>1400</v>
      </c>
      <c r="B12" s="60">
        <v>31.6</v>
      </c>
      <c r="C12" s="60">
        <v>96.35</v>
      </c>
      <c r="D12" s="60">
        <v>78.510000000000005</v>
      </c>
      <c r="E12" s="60">
        <v>10.91</v>
      </c>
      <c r="F12" s="60">
        <v>4.55</v>
      </c>
      <c r="G12" s="60">
        <v>132.59</v>
      </c>
      <c r="H12" s="60">
        <v>45.2</v>
      </c>
      <c r="I12" s="60">
        <v>0.77</v>
      </c>
      <c r="J12" s="60">
        <v>0.15</v>
      </c>
      <c r="K12" s="60">
        <v>8.14</v>
      </c>
      <c r="L12" s="60">
        <v>19.16</v>
      </c>
      <c r="M12" s="60">
        <v>43.13</v>
      </c>
      <c r="N12" s="60">
        <v>4.3</v>
      </c>
      <c r="O12" s="60">
        <v>0</v>
      </c>
      <c r="P12" s="60">
        <v>1.74</v>
      </c>
      <c r="Q12" s="60">
        <v>29.54</v>
      </c>
      <c r="R12" s="198"/>
      <c r="S12" s="198"/>
      <c r="T12" s="198"/>
      <c r="U12" s="198"/>
    </row>
    <row r="13" spans="1:21" s="12" customFormat="1" x14ac:dyDescent="0.25">
      <c r="A13" s="201" t="s">
        <v>1401</v>
      </c>
      <c r="B13" s="60">
        <v>31.26</v>
      </c>
      <c r="C13" s="60">
        <v>95.85</v>
      </c>
      <c r="D13" s="60">
        <v>77.97</v>
      </c>
      <c r="E13" s="60">
        <v>10.36</v>
      </c>
      <c r="F13" s="60">
        <v>4.6100000000000003</v>
      </c>
      <c r="G13" s="60">
        <v>132.59</v>
      </c>
      <c r="H13" s="60">
        <v>45.2</v>
      </c>
      <c r="I13" s="60">
        <v>0.72</v>
      </c>
      <c r="J13" s="60">
        <v>0.11</v>
      </c>
      <c r="K13" s="60">
        <v>318.08</v>
      </c>
      <c r="L13" s="60">
        <v>18.66</v>
      </c>
      <c r="M13" s="60">
        <v>46.66</v>
      </c>
      <c r="N13" s="60">
        <v>4.4000000000000004</v>
      </c>
      <c r="O13" s="60">
        <v>0</v>
      </c>
      <c r="P13" s="60">
        <v>1.64</v>
      </c>
      <c r="Q13" s="60">
        <v>29.71</v>
      </c>
      <c r="R13" s="198"/>
      <c r="S13" s="198"/>
      <c r="T13" s="198"/>
      <c r="U13" s="198"/>
    </row>
    <row r="14" spans="1:21" s="12" customFormat="1" x14ac:dyDescent="0.25">
      <c r="A14" s="201" t="s">
        <v>1402</v>
      </c>
      <c r="B14" s="60">
        <v>30.08</v>
      </c>
      <c r="C14" s="60">
        <v>94</v>
      </c>
      <c r="D14" s="60">
        <v>76</v>
      </c>
      <c r="E14" s="60">
        <v>9.77</v>
      </c>
      <c r="F14" s="60">
        <v>4.5199999999999996</v>
      </c>
      <c r="G14" s="60">
        <v>132.59</v>
      </c>
      <c r="H14" s="60">
        <v>45.2</v>
      </c>
      <c r="I14" s="60">
        <v>0.71</v>
      </c>
      <c r="J14" s="60">
        <v>0.24</v>
      </c>
      <c r="K14" s="60">
        <v>357.91</v>
      </c>
      <c r="L14" s="60">
        <v>18.37</v>
      </c>
      <c r="M14" s="60">
        <v>47.77</v>
      </c>
      <c r="N14" s="60">
        <v>3.7</v>
      </c>
      <c r="O14" s="60">
        <v>0</v>
      </c>
      <c r="P14" s="60">
        <v>1.66</v>
      </c>
      <c r="Q14" s="60">
        <v>29.37</v>
      </c>
      <c r="R14" s="198"/>
      <c r="S14" s="198"/>
      <c r="T14" s="198"/>
      <c r="U14" s="198"/>
    </row>
    <row r="15" spans="1:21" s="12" customFormat="1" x14ac:dyDescent="0.25">
      <c r="A15" s="201" t="s">
        <v>1403</v>
      </c>
      <c r="B15" s="60">
        <v>28.69</v>
      </c>
      <c r="C15" s="60">
        <v>92.84</v>
      </c>
      <c r="D15" s="60">
        <v>74.239999999999995</v>
      </c>
      <c r="E15" s="60">
        <v>9.3800000000000008</v>
      </c>
      <c r="F15" s="60">
        <v>4.53</v>
      </c>
      <c r="G15" s="60">
        <v>131.07</v>
      </c>
      <c r="H15" s="60">
        <v>46.68</v>
      </c>
      <c r="I15" s="60">
        <v>0.69</v>
      </c>
      <c r="J15" s="60">
        <v>0.26</v>
      </c>
      <c r="K15" s="60">
        <v>14.16</v>
      </c>
      <c r="L15" s="60">
        <v>18.670000000000002</v>
      </c>
      <c r="M15" s="60">
        <v>43.54</v>
      </c>
      <c r="N15" s="60">
        <v>3.8</v>
      </c>
      <c r="O15" s="60">
        <v>0</v>
      </c>
      <c r="P15" s="60">
        <v>1.61</v>
      </c>
      <c r="Q15" s="60">
        <v>28.86</v>
      </c>
      <c r="R15" s="198"/>
      <c r="S15" s="198"/>
      <c r="T15" s="198"/>
      <c r="U15" s="198"/>
    </row>
    <row r="16" spans="1:21" s="12" customFormat="1" x14ac:dyDescent="0.25">
      <c r="A16" s="201" t="s">
        <v>1404</v>
      </c>
      <c r="B16" s="60">
        <v>27.81</v>
      </c>
      <c r="C16" s="60">
        <v>91.83</v>
      </c>
      <c r="D16" s="60">
        <v>72.98</v>
      </c>
      <c r="E16" s="60">
        <v>8.73</v>
      </c>
      <c r="F16" s="60">
        <v>4.51</v>
      </c>
      <c r="G16" s="60">
        <v>129.25</v>
      </c>
      <c r="H16" s="60">
        <v>48.46</v>
      </c>
      <c r="I16" s="60">
        <v>0.69</v>
      </c>
      <c r="J16" s="60">
        <v>0.03</v>
      </c>
      <c r="K16" s="60">
        <v>266.94</v>
      </c>
      <c r="L16" s="60">
        <v>18.27</v>
      </c>
      <c r="M16" s="60">
        <v>46.68</v>
      </c>
      <c r="N16" s="60">
        <v>4.4000000000000004</v>
      </c>
      <c r="O16" s="60">
        <v>0</v>
      </c>
      <c r="P16" s="60">
        <v>1.57</v>
      </c>
      <c r="Q16" s="60">
        <v>28.67</v>
      </c>
      <c r="R16" s="198"/>
      <c r="S16" s="198"/>
      <c r="T16" s="198"/>
      <c r="U16" s="198"/>
    </row>
    <row r="17" spans="1:21" s="12" customFormat="1" x14ac:dyDescent="0.25">
      <c r="A17" s="201" t="s">
        <v>1405</v>
      </c>
      <c r="B17" s="60">
        <v>26.6</v>
      </c>
      <c r="C17" s="60">
        <v>90.41</v>
      </c>
      <c r="D17" s="60">
        <v>71.23</v>
      </c>
      <c r="E17" s="60">
        <v>8.0500000000000007</v>
      </c>
      <c r="F17" s="60">
        <v>4.59</v>
      </c>
      <c r="G17" s="60">
        <v>129.25</v>
      </c>
      <c r="H17" s="60">
        <v>48.46</v>
      </c>
      <c r="I17" s="60">
        <v>0.69</v>
      </c>
      <c r="J17" s="60">
        <v>0.31</v>
      </c>
      <c r="K17" s="60">
        <v>5.14</v>
      </c>
      <c r="L17" s="60">
        <v>18.02</v>
      </c>
      <c r="M17" s="60">
        <v>47.38</v>
      </c>
      <c r="N17" s="60">
        <v>3.7</v>
      </c>
      <c r="O17" s="60">
        <v>0</v>
      </c>
      <c r="P17" s="60">
        <v>1.53</v>
      </c>
      <c r="Q17" s="60">
        <v>28.48</v>
      </c>
      <c r="R17" s="198"/>
      <c r="S17" s="198"/>
      <c r="T17" s="198"/>
      <c r="U17" s="198"/>
    </row>
    <row r="18" spans="1:21" s="12" customFormat="1" x14ac:dyDescent="0.25">
      <c r="A18" s="201" t="s">
        <v>1406</v>
      </c>
      <c r="B18" s="60">
        <v>25.65</v>
      </c>
      <c r="C18" s="60">
        <v>89.27</v>
      </c>
      <c r="D18" s="60">
        <v>69.83</v>
      </c>
      <c r="E18" s="60">
        <v>8.83</v>
      </c>
      <c r="F18" s="60">
        <v>4.54</v>
      </c>
      <c r="G18" s="60">
        <v>129.25</v>
      </c>
      <c r="H18" s="60">
        <v>48.46</v>
      </c>
      <c r="I18" s="60">
        <v>0.7</v>
      </c>
      <c r="J18" s="60">
        <v>0.52</v>
      </c>
      <c r="K18" s="60">
        <v>12.81</v>
      </c>
      <c r="L18" s="60">
        <v>17.98</v>
      </c>
      <c r="M18" s="60">
        <v>44.63</v>
      </c>
      <c r="N18" s="60">
        <v>3.4</v>
      </c>
      <c r="O18" s="60">
        <v>0</v>
      </c>
      <c r="P18" s="60">
        <v>1.49</v>
      </c>
      <c r="Q18" s="60">
        <v>28.42</v>
      </c>
      <c r="R18" s="198"/>
      <c r="S18" s="198"/>
      <c r="T18" s="198"/>
      <c r="U18" s="198"/>
    </row>
    <row r="19" spans="1:21" s="12" customFormat="1" x14ac:dyDescent="0.25">
      <c r="A19" s="201" t="s">
        <v>1407</v>
      </c>
      <c r="B19" s="60">
        <v>24.56</v>
      </c>
      <c r="C19" s="60">
        <v>87.97</v>
      </c>
      <c r="D19" s="60">
        <v>68.239999999999995</v>
      </c>
      <c r="E19" s="60">
        <v>8.0399999999999991</v>
      </c>
      <c r="F19" s="60">
        <v>4.75</v>
      </c>
      <c r="G19" s="60">
        <v>123.32</v>
      </c>
      <c r="H19" s="60">
        <v>48.57</v>
      </c>
      <c r="I19" s="60">
        <v>0.7</v>
      </c>
      <c r="J19" s="60">
        <v>0.22</v>
      </c>
      <c r="K19" s="60">
        <v>6.08</v>
      </c>
      <c r="L19" s="60">
        <v>17.91</v>
      </c>
      <c r="M19" s="60">
        <v>39.67</v>
      </c>
      <c r="N19" s="60">
        <v>4.0999999999999996</v>
      </c>
      <c r="O19" s="60">
        <v>0</v>
      </c>
      <c r="P19" s="60">
        <v>1.45</v>
      </c>
      <c r="Q19" s="60">
        <v>28.23</v>
      </c>
      <c r="R19" s="198"/>
      <c r="S19" s="198"/>
      <c r="T19" s="198"/>
      <c r="U19" s="198"/>
    </row>
    <row r="20" spans="1:21" s="12" customFormat="1" x14ac:dyDescent="0.25">
      <c r="A20" s="201" t="s">
        <v>1408</v>
      </c>
      <c r="B20" s="60">
        <v>23.04</v>
      </c>
      <c r="C20" s="60">
        <v>86.68</v>
      </c>
      <c r="D20" s="60">
        <v>66.31</v>
      </c>
      <c r="E20" s="60">
        <v>8.2899999999999991</v>
      </c>
      <c r="F20" s="60">
        <v>4.7</v>
      </c>
      <c r="G20" s="60">
        <v>115.9</v>
      </c>
      <c r="H20" s="60">
        <v>48.69</v>
      </c>
      <c r="I20" s="60">
        <v>0.7</v>
      </c>
      <c r="J20" s="60">
        <v>0.19</v>
      </c>
      <c r="K20" s="60">
        <v>15.91</v>
      </c>
      <c r="L20" s="60">
        <v>17.760000000000002</v>
      </c>
      <c r="M20" s="60">
        <v>37.450000000000003</v>
      </c>
      <c r="N20" s="60">
        <v>4.2</v>
      </c>
      <c r="O20" s="60">
        <v>0</v>
      </c>
      <c r="P20" s="60">
        <v>1.39</v>
      </c>
      <c r="Q20" s="60">
        <v>28.08</v>
      </c>
      <c r="R20" s="198"/>
      <c r="S20" s="198"/>
      <c r="T20" s="198"/>
      <c r="U20" s="198"/>
    </row>
    <row r="21" spans="1:21" s="12" customFormat="1" x14ac:dyDescent="0.25">
      <c r="A21" s="201" t="s">
        <v>1409</v>
      </c>
      <c r="B21" s="60">
        <v>21.78</v>
      </c>
      <c r="C21" s="60">
        <v>85.39</v>
      </c>
      <c r="D21" s="60">
        <v>64.59</v>
      </c>
      <c r="E21" s="60">
        <v>7.66</v>
      </c>
      <c r="F21" s="60">
        <v>4.5999999999999996</v>
      </c>
      <c r="G21" s="60">
        <v>115.9</v>
      </c>
      <c r="H21" s="60">
        <v>48.69</v>
      </c>
      <c r="I21" s="60">
        <v>0.73</v>
      </c>
      <c r="J21" s="60">
        <v>0.01</v>
      </c>
      <c r="K21" s="60">
        <v>8.32</v>
      </c>
      <c r="L21" s="60">
        <v>17.5</v>
      </c>
      <c r="M21" s="60">
        <v>40.58</v>
      </c>
      <c r="N21" s="60">
        <v>4.4000000000000004</v>
      </c>
      <c r="O21" s="60">
        <v>0</v>
      </c>
      <c r="P21" s="60">
        <v>1.35</v>
      </c>
      <c r="Q21" s="60">
        <v>28.01</v>
      </c>
      <c r="R21" s="198"/>
      <c r="S21" s="198"/>
      <c r="T21" s="198"/>
      <c r="U21" s="198"/>
    </row>
    <row r="22" spans="1:21" s="12" customFormat="1" x14ac:dyDescent="0.25">
      <c r="A22" s="201" t="s">
        <v>1410</v>
      </c>
      <c r="B22" s="60">
        <v>20.72</v>
      </c>
      <c r="C22" s="60">
        <v>84.64</v>
      </c>
      <c r="D22" s="60">
        <v>63.33</v>
      </c>
      <c r="E22" s="60">
        <v>7.81</v>
      </c>
      <c r="F22" s="60">
        <v>4.66</v>
      </c>
      <c r="G22" s="60">
        <v>115.9</v>
      </c>
      <c r="H22" s="60">
        <v>48.69</v>
      </c>
      <c r="I22" s="60">
        <v>0.7</v>
      </c>
      <c r="J22" s="60">
        <v>0.05</v>
      </c>
      <c r="K22" s="60">
        <v>268.49</v>
      </c>
      <c r="L22" s="60">
        <v>17.45</v>
      </c>
      <c r="M22" s="60">
        <v>41.45</v>
      </c>
      <c r="N22" s="60">
        <v>4.0999999999999996</v>
      </c>
      <c r="O22" s="60">
        <v>0</v>
      </c>
      <c r="P22" s="60">
        <v>1.31</v>
      </c>
      <c r="Q22" s="60">
        <v>28.52</v>
      </c>
      <c r="R22" s="198"/>
      <c r="S22" s="198"/>
      <c r="T22" s="198"/>
      <c r="U22" s="198"/>
    </row>
    <row r="23" spans="1:21" s="12" customFormat="1" x14ac:dyDescent="0.25">
      <c r="A23" s="201" t="s">
        <v>1411</v>
      </c>
      <c r="B23" s="60">
        <v>19.440000000000001</v>
      </c>
      <c r="C23" s="60">
        <v>83.44</v>
      </c>
      <c r="D23" s="60">
        <v>61.64</v>
      </c>
      <c r="E23" s="60">
        <v>7.73</v>
      </c>
      <c r="F23" s="60">
        <v>4.54</v>
      </c>
      <c r="G23" s="60">
        <v>102.62</v>
      </c>
      <c r="H23" s="60">
        <v>48.15</v>
      </c>
      <c r="I23" s="60">
        <v>0.72</v>
      </c>
      <c r="J23" s="60">
        <v>0.01</v>
      </c>
      <c r="K23" s="60">
        <v>271.76</v>
      </c>
      <c r="L23" s="60">
        <v>16.78</v>
      </c>
      <c r="M23" s="60">
        <v>44.81</v>
      </c>
      <c r="N23" s="60">
        <v>4.5999999999999996</v>
      </c>
      <c r="O23" s="60">
        <v>0</v>
      </c>
      <c r="P23" s="60">
        <v>1.27</v>
      </c>
      <c r="Q23" s="60">
        <v>28.53</v>
      </c>
      <c r="R23" s="198"/>
      <c r="S23" s="198"/>
      <c r="T23" s="198"/>
      <c r="U23" s="198"/>
    </row>
    <row r="24" spans="1:21" s="12" customFormat="1" x14ac:dyDescent="0.25">
      <c r="A24" s="201" t="s">
        <v>1412</v>
      </c>
      <c r="B24" s="60">
        <v>18.260000000000002</v>
      </c>
      <c r="C24" s="60">
        <v>82.19</v>
      </c>
      <c r="D24" s="60">
        <v>60</v>
      </c>
      <c r="E24" s="60">
        <v>6.49</v>
      </c>
      <c r="F24" s="60">
        <v>4.57</v>
      </c>
      <c r="G24" s="60">
        <v>86.75</v>
      </c>
      <c r="H24" s="60">
        <v>47.51</v>
      </c>
      <c r="I24" s="60">
        <v>0.71</v>
      </c>
      <c r="J24" s="60">
        <v>0.28000000000000003</v>
      </c>
      <c r="K24" s="60">
        <v>249.32</v>
      </c>
      <c r="L24" s="60">
        <v>16.73</v>
      </c>
      <c r="M24" s="60">
        <v>43.59</v>
      </c>
      <c r="N24" s="60">
        <v>3.5</v>
      </c>
      <c r="O24" s="60">
        <v>0</v>
      </c>
      <c r="P24" s="60">
        <v>1.24</v>
      </c>
      <c r="Q24" s="60">
        <v>28.27</v>
      </c>
      <c r="R24" s="198"/>
      <c r="S24" s="198"/>
      <c r="T24" s="198"/>
      <c r="U24" s="198"/>
    </row>
    <row r="25" spans="1:21" s="12" customFormat="1" x14ac:dyDescent="0.25">
      <c r="A25" s="201" t="s">
        <v>1413</v>
      </c>
      <c r="B25" s="60">
        <v>17.059999999999999</v>
      </c>
      <c r="C25" s="60">
        <v>81.13</v>
      </c>
      <c r="D25" s="60">
        <v>58.46</v>
      </c>
      <c r="E25" s="60">
        <v>9.14</v>
      </c>
      <c r="F25" s="60">
        <v>4.55</v>
      </c>
      <c r="G25" s="60">
        <v>86.75</v>
      </c>
      <c r="H25" s="60">
        <v>47.51</v>
      </c>
      <c r="I25" s="60">
        <v>0.68</v>
      </c>
      <c r="J25" s="60">
        <v>0.25</v>
      </c>
      <c r="K25" s="60">
        <v>247.93</v>
      </c>
      <c r="L25" s="60">
        <v>16.899999999999999</v>
      </c>
      <c r="M25" s="60">
        <v>40.200000000000003</v>
      </c>
      <c r="N25" s="60">
        <v>3.7</v>
      </c>
      <c r="O25" s="60">
        <v>0</v>
      </c>
      <c r="P25" s="60">
        <v>1.2</v>
      </c>
      <c r="Q25" s="60">
        <v>28.38</v>
      </c>
      <c r="R25" s="198"/>
      <c r="S25" s="198"/>
      <c r="T25" s="198"/>
      <c r="U25" s="198"/>
    </row>
    <row r="26" spans="1:21" s="12" customFormat="1" x14ac:dyDescent="0.25">
      <c r="A26" s="201" t="s">
        <v>1414</v>
      </c>
      <c r="B26" s="60">
        <v>16.02</v>
      </c>
      <c r="C26" s="60">
        <v>80.36</v>
      </c>
      <c r="D26" s="60">
        <v>57.2</v>
      </c>
      <c r="E26" s="60">
        <v>9.25</v>
      </c>
      <c r="F26" s="60">
        <v>4.62</v>
      </c>
      <c r="G26" s="60">
        <v>86.75</v>
      </c>
      <c r="H26" s="60">
        <v>47.51</v>
      </c>
      <c r="I26" s="60">
        <v>0.66</v>
      </c>
      <c r="J26" s="60">
        <v>0.05</v>
      </c>
      <c r="K26" s="60">
        <v>234.08</v>
      </c>
      <c r="L26" s="60">
        <v>16.73</v>
      </c>
      <c r="M26" s="60">
        <v>40.049999999999997</v>
      </c>
      <c r="N26" s="60">
        <v>4.2</v>
      </c>
      <c r="O26" s="60">
        <v>0</v>
      </c>
      <c r="P26" s="60">
        <v>1.18</v>
      </c>
      <c r="Q26" s="60">
        <v>28.46</v>
      </c>
      <c r="R26" s="198"/>
      <c r="S26" s="198"/>
      <c r="T26" s="198"/>
      <c r="U26" s="198"/>
    </row>
    <row r="27" spans="1:21" s="12" customFormat="1" x14ac:dyDescent="0.25">
      <c r="A27" s="201" t="s">
        <v>1415</v>
      </c>
      <c r="B27" s="60">
        <v>15.37</v>
      </c>
      <c r="C27" s="60">
        <v>79.95</v>
      </c>
      <c r="D27" s="60">
        <v>56.45</v>
      </c>
      <c r="E27" s="60">
        <v>8.93</v>
      </c>
      <c r="F27" s="60">
        <v>4.6399999999999997</v>
      </c>
      <c r="G27" s="60">
        <v>92.16</v>
      </c>
      <c r="H27" s="60">
        <v>51.16</v>
      </c>
      <c r="I27" s="60">
        <v>0.66</v>
      </c>
      <c r="J27" s="60">
        <v>0.12</v>
      </c>
      <c r="K27" s="60">
        <v>251.6</v>
      </c>
      <c r="L27" s="60">
        <v>16.329999999999998</v>
      </c>
      <c r="M27" s="60">
        <v>39.69</v>
      </c>
      <c r="N27" s="60">
        <v>4.0999999999999996</v>
      </c>
      <c r="O27" s="60">
        <v>0</v>
      </c>
      <c r="P27" s="60">
        <v>1.1499999999999999</v>
      </c>
      <c r="Q27" s="60">
        <v>28.32</v>
      </c>
      <c r="R27" s="198"/>
      <c r="S27" s="198"/>
      <c r="T27" s="198"/>
      <c r="U27" s="198"/>
    </row>
    <row r="28" spans="1:21" s="12" customFormat="1" x14ac:dyDescent="0.25">
      <c r="A28" s="201" t="s">
        <v>1416</v>
      </c>
      <c r="B28" s="60">
        <v>14.59</v>
      </c>
      <c r="C28" s="60">
        <v>79.47</v>
      </c>
      <c r="D28" s="60">
        <v>55.56</v>
      </c>
      <c r="E28" s="60">
        <v>9.1</v>
      </c>
      <c r="F28" s="60">
        <v>4.5599999999999996</v>
      </c>
      <c r="G28" s="60">
        <v>98.63</v>
      </c>
      <c r="H28" s="60">
        <v>55.53</v>
      </c>
      <c r="I28" s="60">
        <v>0.65</v>
      </c>
      <c r="J28" s="60">
        <v>0.17</v>
      </c>
      <c r="K28" s="60">
        <v>268.22000000000003</v>
      </c>
      <c r="L28" s="60">
        <v>16.37</v>
      </c>
      <c r="M28" s="60">
        <v>39.28</v>
      </c>
      <c r="N28" s="60">
        <v>3.9</v>
      </c>
      <c r="O28" s="60">
        <v>0</v>
      </c>
      <c r="P28" s="60">
        <v>1.1299999999999999</v>
      </c>
      <c r="Q28" s="60">
        <v>28.1</v>
      </c>
      <c r="R28" s="198"/>
      <c r="S28" s="198"/>
      <c r="T28" s="198"/>
      <c r="U28" s="198"/>
    </row>
    <row r="29" spans="1:21" s="12" customFormat="1" x14ac:dyDescent="0.25">
      <c r="A29" s="201" t="s">
        <v>1417</v>
      </c>
      <c r="B29" s="60">
        <v>14.3</v>
      </c>
      <c r="C29" s="60">
        <v>79.010000000000005</v>
      </c>
      <c r="D29" s="60">
        <v>55.07</v>
      </c>
      <c r="E29" s="60">
        <v>8.66</v>
      </c>
      <c r="F29" s="60">
        <v>4.53</v>
      </c>
      <c r="G29" s="60">
        <v>98.63</v>
      </c>
      <c r="H29" s="60">
        <v>55.53</v>
      </c>
      <c r="I29" s="60">
        <v>0.67</v>
      </c>
      <c r="J29" s="60">
        <v>0.08</v>
      </c>
      <c r="K29" s="60">
        <v>290.7</v>
      </c>
      <c r="L29" s="60">
        <v>15.62</v>
      </c>
      <c r="M29" s="60">
        <v>48.76</v>
      </c>
      <c r="N29" s="60">
        <v>4.4000000000000004</v>
      </c>
      <c r="O29" s="60">
        <v>0</v>
      </c>
      <c r="P29" s="60">
        <v>1.1000000000000001</v>
      </c>
      <c r="Q29" s="60">
        <v>27.38</v>
      </c>
      <c r="R29" s="198"/>
      <c r="S29" s="198"/>
      <c r="T29" s="198"/>
      <c r="U29" s="198"/>
    </row>
    <row r="30" spans="1:21" s="12" customFormat="1" x14ac:dyDescent="0.25">
      <c r="A30" s="201" t="s">
        <v>1418</v>
      </c>
      <c r="B30" s="60">
        <v>15.37</v>
      </c>
      <c r="C30" s="60">
        <v>79.33</v>
      </c>
      <c r="D30" s="60">
        <v>56.1</v>
      </c>
      <c r="E30" s="60">
        <v>8.56</v>
      </c>
      <c r="F30" s="60">
        <v>4.57</v>
      </c>
      <c r="G30" s="60">
        <v>98.63</v>
      </c>
      <c r="H30" s="60">
        <v>55.53</v>
      </c>
      <c r="I30" s="60">
        <v>0.63</v>
      </c>
      <c r="J30" s="60">
        <v>0.06</v>
      </c>
      <c r="K30" s="60">
        <v>297.01</v>
      </c>
      <c r="L30" s="60">
        <v>15.82</v>
      </c>
      <c r="M30" s="60">
        <v>54.48</v>
      </c>
      <c r="N30" s="60">
        <v>4.0999999999999996</v>
      </c>
      <c r="O30" s="60">
        <v>0</v>
      </c>
      <c r="P30" s="60">
        <v>1.0900000000000001</v>
      </c>
      <c r="Q30" s="60">
        <v>26.94</v>
      </c>
      <c r="R30" s="198"/>
      <c r="S30" s="198"/>
      <c r="T30" s="198"/>
      <c r="U30" s="198"/>
    </row>
    <row r="31" spans="1:21" s="12" customFormat="1" x14ac:dyDescent="0.25">
      <c r="A31" s="201" t="s">
        <v>1419</v>
      </c>
      <c r="B31" s="60">
        <v>15.87</v>
      </c>
      <c r="C31" s="60">
        <v>79.180000000000007</v>
      </c>
      <c r="D31" s="60">
        <v>56.42</v>
      </c>
      <c r="E31" s="60">
        <v>8.14</v>
      </c>
      <c r="F31" s="60">
        <v>4.58</v>
      </c>
      <c r="G31" s="60">
        <v>75.150000000000006</v>
      </c>
      <c r="H31" s="60">
        <v>54.88</v>
      </c>
      <c r="I31" s="60">
        <v>0.66</v>
      </c>
      <c r="J31" s="60">
        <v>0.1</v>
      </c>
      <c r="K31" s="60">
        <v>242.92</v>
      </c>
      <c r="L31" s="60">
        <v>15.07</v>
      </c>
      <c r="M31" s="60">
        <v>57.15</v>
      </c>
      <c r="N31" s="60">
        <v>4.0999999999999996</v>
      </c>
      <c r="O31" s="60">
        <v>0</v>
      </c>
      <c r="P31" s="60">
        <v>1.06</v>
      </c>
      <c r="Q31" s="60">
        <v>26.63</v>
      </c>
      <c r="R31" s="198"/>
      <c r="S31" s="198"/>
      <c r="T31" s="198"/>
      <c r="U31" s="198"/>
    </row>
    <row r="32" spans="1:21" s="12" customFormat="1" x14ac:dyDescent="0.25">
      <c r="A32" s="201" t="s">
        <v>1420</v>
      </c>
      <c r="B32" s="60">
        <v>16.12</v>
      </c>
      <c r="C32" s="60">
        <v>78.510000000000005</v>
      </c>
      <c r="D32" s="60">
        <v>56.26</v>
      </c>
      <c r="E32" s="60">
        <v>7.51</v>
      </c>
      <c r="F32" s="60">
        <v>4.51</v>
      </c>
      <c r="G32" s="60">
        <v>47.1</v>
      </c>
      <c r="H32" s="60">
        <v>54.1</v>
      </c>
      <c r="I32" s="60">
        <v>0.63</v>
      </c>
      <c r="J32" s="60">
        <v>0.03</v>
      </c>
      <c r="K32" s="60">
        <v>306.72000000000003</v>
      </c>
      <c r="L32" s="60">
        <v>14.64</v>
      </c>
      <c r="M32" s="60">
        <v>56.59</v>
      </c>
      <c r="N32" s="60">
        <v>4.2</v>
      </c>
      <c r="O32" s="60">
        <v>0</v>
      </c>
      <c r="P32" s="60">
        <v>1.04</v>
      </c>
      <c r="Q32" s="60">
        <v>26.35</v>
      </c>
      <c r="R32" s="198"/>
      <c r="S32" s="198"/>
      <c r="T32" s="198"/>
      <c r="U32" s="198"/>
    </row>
    <row r="33" spans="1:21" s="12" customFormat="1" x14ac:dyDescent="0.25">
      <c r="A33" s="201" t="s">
        <v>1421</v>
      </c>
      <c r="B33" s="60">
        <v>16.77</v>
      </c>
      <c r="C33" s="60">
        <v>78.17</v>
      </c>
      <c r="D33" s="60">
        <v>56.59</v>
      </c>
      <c r="E33" s="60">
        <v>7.58</v>
      </c>
      <c r="F33" s="60">
        <v>4.54</v>
      </c>
      <c r="G33" s="60">
        <v>47.1</v>
      </c>
      <c r="H33" s="60">
        <v>54.1</v>
      </c>
      <c r="I33" s="60">
        <v>0.63</v>
      </c>
      <c r="J33" s="60">
        <v>0.02</v>
      </c>
      <c r="K33" s="60">
        <v>305.51</v>
      </c>
      <c r="L33" s="60">
        <v>14.74</v>
      </c>
      <c r="M33" s="60">
        <v>51.16</v>
      </c>
      <c r="N33" s="60">
        <v>3.9</v>
      </c>
      <c r="O33" s="60">
        <v>0</v>
      </c>
      <c r="P33" s="60">
        <v>1.03</v>
      </c>
      <c r="Q33" s="60">
        <v>26.27</v>
      </c>
      <c r="R33" s="198"/>
      <c r="S33" s="198"/>
      <c r="T33" s="198"/>
      <c r="U33" s="198"/>
    </row>
    <row r="34" spans="1:21" s="12" customFormat="1" x14ac:dyDescent="0.25">
      <c r="A34" s="201" t="s">
        <v>1422</v>
      </c>
      <c r="B34" s="60">
        <v>17.05</v>
      </c>
      <c r="C34" s="60">
        <v>78.150000000000006</v>
      </c>
      <c r="D34" s="60">
        <v>56.8</v>
      </c>
      <c r="E34" s="60">
        <v>7.12</v>
      </c>
      <c r="F34" s="60">
        <v>4.5199999999999996</v>
      </c>
      <c r="G34" s="60">
        <v>47.1</v>
      </c>
      <c r="H34" s="60">
        <v>54.1</v>
      </c>
      <c r="I34" s="60">
        <v>0.63</v>
      </c>
      <c r="J34" s="60">
        <v>0.13</v>
      </c>
      <c r="K34" s="60">
        <v>242.94</v>
      </c>
      <c r="L34" s="60">
        <v>14.82</v>
      </c>
      <c r="M34" s="60">
        <v>49.71</v>
      </c>
      <c r="N34" s="60">
        <v>5.3</v>
      </c>
      <c r="O34" s="60">
        <v>0</v>
      </c>
      <c r="P34" s="60">
        <v>1.01</v>
      </c>
      <c r="Q34" s="60">
        <v>25.98</v>
      </c>
      <c r="R34" s="198"/>
      <c r="S34" s="198"/>
      <c r="T34" s="198"/>
      <c r="U34" s="198"/>
    </row>
    <row r="35" spans="1:21" s="12" customFormat="1" x14ac:dyDescent="0.25">
      <c r="A35" s="201" t="s">
        <v>1423</v>
      </c>
      <c r="B35" s="60">
        <v>16.88</v>
      </c>
      <c r="C35" s="60">
        <v>78.05</v>
      </c>
      <c r="D35" s="60">
        <v>56.61</v>
      </c>
      <c r="E35" s="60">
        <v>7.42</v>
      </c>
      <c r="F35" s="60">
        <v>4.55</v>
      </c>
      <c r="G35" s="60">
        <v>71.290000000000006</v>
      </c>
      <c r="H35" s="60">
        <v>49.77</v>
      </c>
      <c r="I35" s="60">
        <v>0.63</v>
      </c>
      <c r="J35" s="60">
        <v>0.12</v>
      </c>
      <c r="K35" s="60">
        <v>254.48</v>
      </c>
      <c r="L35" s="60">
        <v>14.86</v>
      </c>
      <c r="M35" s="60">
        <v>49.42</v>
      </c>
      <c r="N35" s="60">
        <v>12.5</v>
      </c>
      <c r="O35" s="60">
        <v>0</v>
      </c>
      <c r="P35" s="60">
        <v>1</v>
      </c>
      <c r="Q35" s="60">
        <v>25.64</v>
      </c>
      <c r="R35" s="198"/>
      <c r="S35" s="198"/>
      <c r="T35" s="198"/>
      <c r="U35" s="198"/>
    </row>
    <row r="36" spans="1:21" s="12" customFormat="1" x14ac:dyDescent="0.25">
      <c r="A36" s="201" t="s">
        <v>1424</v>
      </c>
      <c r="B36" s="60">
        <v>17.690000000000001</v>
      </c>
      <c r="C36" s="60">
        <v>78.290000000000006</v>
      </c>
      <c r="D36" s="60">
        <v>57.4</v>
      </c>
      <c r="E36" s="60">
        <v>7.41</v>
      </c>
      <c r="F36" s="60">
        <v>4.68</v>
      </c>
      <c r="G36" s="60">
        <v>100.2</v>
      </c>
      <c r="H36" s="60">
        <v>44.58</v>
      </c>
      <c r="I36" s="60">
        <v>0.63</v>
      </c>
      <c r="J36" s="60">
        <v>0.1</v>
      </c>
      <c r="K36" s="60">
        <v>318.49</v>
      </c>
      <c r="L36" s="60">
        <v>14.77</v>
      </c>
      <c r="M36" s="60">
        <v>51.79</v>
      </c>
      <c r="N36" s="60">
        <v>23.3</v>
      </c>
      <c r="O36" s="60">
        <v>0</v>
      </c>
      <c r="P36" s="60">
        <v>1</v>
      </c>
      <c r="Q36" s="60">
        <v>25.92</v>
      </c>
      <c r="R36" s="198"/>
      <c r="S36" s="198"/>
      <c r="T36" s="198"/>
      <c r="U36" s="198"/>
    </row>
    <row r="37" spans="1:21" s="12" customFormat="1" x14ac:dyDescent="0.25">
      <c r="A37" s="201" t="s">
        <v>1425</v>
      </c>
      <c r="B37" s="60">
        <v>20.72</v>
      </c>
      <c r="C37" s="60">
        <v>80.239999999999995</v>
      </c>
      <c r="D37" s="60">
        <v>60.9</v>
      </c>
      <c r="E37" s="60">
        <v>7.48</v>
      </c>
      <c r="F37" s="60">
        <v>4.6100000000000003</v>
      </c>
      <c r="G37" s="60">
        <v>100.2</v>
      </c>
      <c r="H37" s="60">
        <v>44.58</v>
      </c>
      <c r="I37" s="60">
        <v>0.65</v>
      </c>
      <c r="J37" s="60">
        <v>0.13</v>
      </c>
      <c r="K37" s="60">
        <v>319.06</v>
      </c>
      <c r="L37" s="60">
        <v>15.46</v>
      </c>
      <c r="M37" s="60">
        <v>48.1</v>
      </c>
      <c r="N37" s="60">
        <v>34.6</v>
      </c>
      <c r="O37" s="60">
        <v>0</v>
      </c>
      <c r="P37" s="60">
        <v>0.99</v>
      </c>
      <c r="Q37" s="60">
        <v>26.57</v>
      </c>
      <c r="R37" s="198"/>
      <c r="S37" s="198"/>
      <c r="T37" s="198"/>
      <c r="U37" s="198"/>
    </row>
    <row r="38" spans="1:21" s="12" customFormat="1" x14ac:dyDescent="0.25">
      <c r="A38" s="201" t="s">
        <v>1426</v>
      </c>
      <c r="B38" s="60">
        <v>22.96</v>
      </c>
      <c r="C38" s="60">
        <v>82.15</v>
      </c>
      <c r="D38" s="60">
        <v>63.75</v>
      </c>
      <c r="E38" s="60">
        <v>7.65</v>
      </c>
      <c r="F38" s="60">
        <v>4.55</v>
      </c>
      <c r="G38" s="60">
        <v>100.2</v>
      </c>
      <c r="H38" s="60">
        <v>44.58</v>
      </c>
      <c r="I38" s="60">
        <v>0.65</v>
      </c>
      <c r="J38" s="60">
        <v>0.3</v>
      </c>
      <c r="K38" s="60">
        <v>347.17</v>
      </c>
      <c r="L38" s="60">
        <v>16.41</v>
      </c>
      <c r="M38" s="60">
        <v>45.23</v>
      </c>
      <c r="N38" s="60">
        <v>76.400000000000006</v>
      </c>
      <c r="O38" s="60">
        <v>0</v>
      </c>
      <c r="P38" s="60">
        <v>1.02</v>
      </c>
      <c r="Q38" s="60">
        <v>26.74</v>
      </c>
      <c r="R38" s="198"/>
      <c r="S38" s="198"/>
      <c r="T38" s="198"/>
      <c r="U38" s="198"/>
    </row>
    <row r="39" spans="1:21" s="12" customFormat="1" x14ac:dyDescent="0.25">
      <c r="A39" s="201" t="s">
        <v>1427</v>
      </c>
      <c r="B39" s="60">
        <v>23.61</v>
      </c>
      <c r="C39" s="60">
        <v>83.94</v>
      </c>
      <c r="D39" s="60">
        <v>65.260000000000005</v>
      </c>
      <c r="E39" s="60">
        <v>7.32</v>
      </c>
      <c r="F39" s="60">
        <v>4.53</v>
      </c>
      <c r="G39" s="60">
        <v>96.09</v>
      </c>
      <c r="H39" s="60">
        <v>43.41</v>
      </c>
      <c r="I39" s="60">
        <v>0.65</v>
      </c>
      <c r="J39" s="60">
        <v>0.37</v>
      </c>
      <c r="K39" s="60">
        <v>0.39</v>
      </c>
      <c r="L39" s="60">
        <v>19.100000000000001</v>
      </c>
      <c r="M39" s="60">
        <v>36.299999999999997</v>
      </c>
      <c r="N39" s="60">
        <v>200.1</v>
      </c>
      <c r="O39" s="60">
        <v>0</v>
      </c>
      <c r="P39" s="60">
        <v>1.01</v>
      </c>
      <c r="Q39" s="60">
        <v>26.62</v>
      </c>
      <c r="R39" s="198"/>
      <c r="S39" s="198"/>
      <c r="T39" s="198"/>
      <c r="U39" s="198"/>
    </row>
    <row r="40" spans="1:21" s="12" customFormat="1" x14ac:dyDescent="0.25">
      <c r="A40" s="201" t="s">
        <v>1428</v>
      </c>
      <c r="B40" s="60">
        <v>23.06</v>
      </c>
      <c r="C40" s="60">
        <v>85.3</v>
      </c>
      <c r="D40" s="60">
        <v>65.569999999999993</v>
      </c>
      <c r="E40" s="60">
        <v>4.78</v>
      </c>
      <c r="F40" s="60">
        <v>4.72</v>
      </c>
      <c r="G40" s="60">
        <v>91.18</v>
      </c>
      <c r="H40" s="60">
        <v>42</v>
      </c>
      <c r="I40" s="60">
        <v>0.62</v>
      </c>
      <c r="J40" s="60">
        <v>0.76</v>
      </c>
      <c r="K40" s="60">
        <v>353.41</v>
      </c>
      <c r="L40" s="60">
        <v>22.4</v>
      </c>
      <c r="M40" s="60">
        <v>29.16</v>
      </c>
      <c r="N40" s="60">
        <v>258.3</v>
      </c>
      <c r="O40" s="60">
        <v>0</v>
      </c>
      <c r="P40" s="60">
        <v>0.98</v>
      </c>
      <c r="Q40" s="60">
        <v>26.51</v>
      </c>
      <c r="R40" s="198"/>
      <c r="S40" s="198"/>
      <c r="T40" s="198"/>
      <c r="U40" s="198"/>
    </row>
    <row r="41" spans="1:21" s="12" customFormat="1" x14ac:dyDescent="0.25">
      <c r="A41" s="201" t="s">
        <v>1429</v>
      </c>
      <c r="B41" s="60">
        <v>21.42</v>
      </c>
      <c r="C41" s="60">
        <v>86.16</v>
      </c>
      <c r="D41" s="60">
        <v>64.73</v>
      </c>
      <c r="E41" s="60">
        <v>7</v>
      </c>
      <c r="F41" s="60">
        <v>4.79</v>
      </c>
      <c r="G41" s="60">
        <v>91.18</v>
      </c>
      <c r="H41" s="60">
        <v>42</v>
      </c>
      <c r="I41" s="60">
        <v>0.61</v>
      </c>
      <c r="J41" s="60">
        <v>0.42</v>
      </c>
      <c r="K41" s="60">
        <v>1.72</v>
      </c>
      <c r="L41" s="60">
        <v>24.3</v>
      </c>
      <c r="M41" s="60">
        <v>27.25</v>
      </c>
      <c r="N41" s="60">
        <v>300.60000000000002</v>
      </c>
      <c r="O41" s="60">
        <v>0</v>
      </c>
      <c r="P41" s="60">
        <v>0.95</v>
      </c>
      <c r="Q41" s="60">
        <v>26.41</v>
      </c>
      <c r="R41" s="198"/>
      <c r="S41" s="198"/>
      <c r="T41" s="198"/>
      <c r="U41" s="198"/>
    </row>
    <row r="42" spans="1:21" s="12" customFormat="1" x14ac:dyDescent="0.25">
      <c r="A42" s="201" t="s">
        <v>1430</v>
      </c>
      <c r="B42" s="60">
        <v>19.7</v>
      </c>
      <c r="C42" s="60">
        <v>86.72</v>
      </c>
      <c r="D42" s="60">
        <v>63.66</v>
      </c>
      <c r="E42" s="60">
        <v>6.86</v>
      </c>
      <c r="F42" s="60">
        <v>4.7300000000000004</v>
      </c>
      <c r="G42" s="60">
        <v>91.18</v>
      </c>
      <c r="H42" s="60">
        <v>42</v>
      </c>
      <c r="I42" s="60">
        <v>0.61</v>
      </c>
      <c r="J42" s="60">
        <v>0.37</v>
      </c>
      <c r="K42" s="60">
        <v>4.3</v>
      </c>
      <c r="L42" s="60">
        <v>26.02</v>
      </c>
      <c r="M42" s="60">
        <v>25.81</v>
      </c>
      <c r="N42" s="60">
        <v>339</v>
      </c>
      <c r="O42" s="60">
        <v>0</v>
      </c>
      <c r="P42" s="60">
        <v>0.93</v>
      </c>
      <c r="Q42" s="60">
        <v>26.1</v>
      </c>
      <c r="R42" s="198"/>
      <c r="S42" s="198"/>
      <c r="T42" s="198"/>
      <c r="U42" s="198"/>
    </row>
    <row r="43" spans="1:21" s="12" customFormat="1" x14ac:dyDescent="0.25">
      <c r="A43" s="201" t="s">
        <v>1431</v>
      </c>
      <c r="B43" s="60">
        <v>18.63</v>
      </c>
      <c r="C43" s="60">
        <v>87.65</v>
      </c>
      <c r="D43" s="60">
        <v>63.31</v>
      </c>
      <c r="E43" s="60">
        <v>7.14</v>
      </c>
      <c r="F43" s="60">
        <v>4.6399999999999997</v>
      </c>
      <c r="G43" s="60">
        <v>76.28</v>
      </c>
      <c r="H43" s="60">
        <v>38.53</v>
      </c>
      <c r="I43" s="60">
        <v>0.63</v>
      </c>
      <c r="J43" s="60">
        <v>0.71</v>
      </c>
      <c r="K43" s="60">
        <v>357.08</v>
      </c>
      <c r="L43" s="60">
        <v>27.44</v>
      </c>
      <c r="M43" s="60">
        <v>23.71</v>
      </c>
      <c r="N43" s="60">
        <v>385.2</v>
      </c>
      <c r="O43" s="60">
        <v>0</v>
      </c>
      <c r="P43" s="60">
        <v>0.93</v>
      </c>
      <c r="Q43" s="60">
        <v>25.32</v>
      </c>
      <c r="R43" s="198"/>
      <c r="S43" s="198"/>
      <c r="T43" s="198"/>
      <c r="U43" s="198"/>
    </row>
    <row r="44" spans="1:21" s="12" customFormat="1" x14ac:dyDescent="0.25">
      <c r="A44" s="201" t="s">
        <v>1432</v>
      </c>
      <c r="B44" s="60">
        <v>17.71</v>
      </c>
      <c r="C44" s="60">
        <v>87.91</v>
      </c>
      <c r="D44" s="60">
        <v>62.71</v>
      </c>
      <c r="E44" s="60">
        <v>6.72</v>
      </c>
      <c r="F44" s="60">
        <v>4.6500000000000004</v>
      </c>
      <c r="G44" s="60">
        <v>58.47</v>
      </c>
      <c r="H44" s="60">
        <v>34.380000000000003</v>
      </c>
      <c r="I44" s="60">
        <v>0.59</v>
      </c>
      <c r="J44" s="60">
        <v>1.08</v>
      </c>
      <c r="K44" s="60">
        <v>350.93</v>
      </c>
      <c r="L44" s="60">
        <v>28.81</v>
      </c>
      <c r="M44" s="60">
        <v>21.12</v>
      </c>
      <c r="N44" s="60">
        <v>429.9</v>
      </c>
      <c r="O44" s="60">
        <v>0</v>
      </c>
      <c r="P44" s="60">
        <v>0.9</v>
      </c>
      <c r="Q44" s="60">
        <v>24.94</v>
      </c>
      <c r="R44" s="198"/>
      <c r="S44" s="198"/>
      <c r="T44" s="198"/>
      <c r="U44" s="198"/>
    </row>
    <row r="45" spans="1:21" s="12" customFormat="1" x14ac:dyDescent="0.25">
      <c r="A45" s="201" t="s">
        <v>1433</v>
      </c>
      <c r="B45" s="60">
        <v>16.28</v>
      </c>
      <c r="C45" s="60">
        <v>87.37</v>
      </c>
      <c r="D45" s="60">
        <v>61.27</v>
      </c>
      <c r="E45" s="60">
        <v>6.61</v>
      </c>
      <c r="F45" s="60">
        <v>4.8499999999999996</v>
      </c>
      <c r="G45" s="60">
        <v>58.47</v>
      </c>
      <c r="H45" s="60">
        <v>34.380000000000003</v>
      </c>
      <c r="I45" s="60">
        <v>0.59</v>
      </c>
      <c r="J45" s="60">
        <v>1.46</v>
      </c>
      <c r="K45" s="60">
        <v>358.92</v>
      </c>
      <c r="L45" s="60">
        <v>29.31</v>
      </c>
      <c r="M45" s="60">
        <v>19.91</v>
      </c>
      <c r="N45" s="60">
        <v>461.7</v>
      </c>
      <c r="O45" s="60">
        <v>0</v>
      </c>
      <c r="P45" s="60">
        <v>0.87</v>
      </c>
      <c r="Q45" s="60">
        <v>24.64</v>
      </c>
      <c r="R45" s="198"/>
      <c r="S45" s="198"/>
      <c r="T45" s="198"/>
      <c r="U45" s="198"/>
    </row>
    <row r="46" spans="1:21" s="12" customFormat="1" x14ac:dyDescent="0.25">
      <c r="A46" s="201" t="s">
        <v>1434</v>
      </c>
      <c r="B46" s="60">
        <v>14.57</v>
      </c>
      <c r="C46" s="60">
        <v>86.76</v>
      </c>
      <c r="D46" s="60">
        <v>59.57</v>
      </c>
      <c r="E46" s="60">
        <v>6.9</v>
      </c>
      <c r="F46" s="60">
        <v>4.9400000000000004</v>
      </c>
      <c r="G46" s="60">
        <v>58.47</v>
      </c>
      <c r="H46" s="60">
        <v>34.380000000000003</v>
      </c>
      <c r="I46" s="60">
        <v>0.61</v>
      </c>
      <c r="J46" s="60">
        <v>1.23</v>
      </c>
      <c r="K46" s="60">
        <v>345.54</v>
      </c>
      <c r="L46" s="60">
        <v>30.25</v>
      </c>
      <c r="M46" s="60">
        <v>18.899999999999999</v>
      </c>
      <c r="N46" s="60">
        <v>483.6</v>
      </c>
      <c r="O46" s="60">
        <v>0</v>
      </c>
      <c r="P46" s="60">
        <v>0.84</v>
      </c>
      <c r="Q46" s="60">
        <v>24.18</v>
      </c>
      <c r="R46" s="198"/>
      <c r="S46" s="198"/>
      <c r="T46" s="198"/>
      <c r="U46" s="198"/>
    </row>
    <row r="47" spans="1:21" s="12" customFormat="1" x14ac:dyDescent="0.25">
      <c r="A47" s="201" t="s">
        <v>1435</v>
      </c>
      <c r="B47" s="60">
        <v>12.76</v>
      </c>
      <c r="C47" s="60">
        <v>84.41</v>
      </c>
      <c r="D47" s="60">
        <v>56.81</v>
      </c>
      <c r="E47" s="60">
        <v>7.15</v>
      </c>
      <c r="F47" s="60">
        <v>5.43</v>
      </c>
      <c r="G47" s="60">
        <v>57.91</v>
      </c>
      <c r="H47" s="60">
        <v>32.799999999999997</v>
      </c>
      <c r="I47" s="60">
        <v>0.62</v>
      </c>
      <c r="J47" s="60">
        <v>1.83</v>
      </c>
      <c r="K47" s="60">
        <v>1.99</v>
      </c>
      <c r="L47" s="60">
        <v>30.43</v>
      </c>
      <c r="M47" s="60">
        <v>18.420000000000002</v>
      </c>
      <c r="N47" s="60">
        <v>504.2</v>
      </c>
      <c r="O47" s="60">
        <v>0</v>
      </c>
      <c r="P47" s="60">
        <v>0.82</v>
      </c>
      <c r="Q47" s="60">
        <v>23.62</v>
      </c>
      <c r="R47" s="198"/>
      <c r="S47" s="198"/>
      <c r="T47" s="198"/>
      <c r="U47" s="198"/>
    </row>
    <row r="48" spans="1:21" s="12" customFormat="1" x14ac:dyDescent="0.25">
      <c r="A48" s="201" t="s">
        <v>1436</v>
      </c>
      <c r="B48" s="60">
        <v>10.98</v>
      </c>
      <c r="C48" s="60">
        <v>83.54</v>
      </c>
      <c r="D48" s="60">
        <v>54.9</v>
      </c>
      <c r="E48" s="60">
        <v>7.32</v>
      </c>
      <c r="F48" s="60">
        <v>5.52</v>
      </c>
      <c r="G48" s="60">
        <v>57.24</v>
      </c>
      <c r="H48" s="60">
        <v>30.93</v>
      </c>
      <c r="I48" s="60">
        <v>0.61</v>
      </c>
      <c r="J48" s="60">
        <v>1.82</v>
      </c>
      <c r="K48" s="60">
        <v>10.42</v>
      </c>
      <c r="L48" s="60">
        <v>30.81</v>
      </c>
      <c r="M48" s="60">
        <v>18.059999999999999</v>
      </c>
      <c r="N48" s="60">
        <v>516.6</v>
      </c>
      <c r="O48" s="60">
        <v>0</v>
      </c>
      <c r="P48" s="60">
        <v>0.79</v>
      </c>
      <c r="Q48" s="60">
        <v>23.04</v>
      </c>
      <c r="R48" s="198"/>
      <c r="S48" s="198"/>
      <c r="T48" s="198"/>
      <c r="U48" s="198"/>
    </row>
    <row r="49" spans="1:21" s="12" customFormat="1" x14ac:dyDescent="0.25">
      <c r="A49" s="201" t="s">
        <v>1437</v>
      </c>
      <c r="B49" s="60">
        <v>9.41</v>
      </c>
      <c r="C49" s="60">
        <v>83.82</v>
      </c>
      <c r="D49" s="60">
        <v>53.8</v>
      </c>
      <c r="E49" s="60">
        <v>7.77</v>
      </c>
      <c r="F49" s="60">
        <v>5.41</v>
      </c>
      <c r="G49" s="60">
        <v>57.24</v>
      </c>
      <c r="H49" s="60">
        <v>30.93</v>
      </c>
      <c r="I49" s="60">
        <v>0.57999999999999996</v>
      </c>
      <c r="J49" s="60">
        <v>1.78</v>
      </c>
      <c r="K49" s="60">
        <v>10.029999999999999</v>
      </c>
      <c r="L49" s="60">
        <v>31.15</v>
      </c>
      <c r="M49" s="60">
        <v>17.600000000000001</v>
      </c>
      <c r="N49" s="60">
        <v>524.70000000000005</v>
      </c>
      <c r="O49" s="60">
        <v>0</v>
      </c>
      <c r="P49" s="60">
        <v>0.78</v>
      </c>
      <c r="Q49" s="60">
        <v>22.5</v>
      </c>
      <c r="R49" s="198"/>
      <c r="S49" s="198"/>
      <c r="T49" s="198"/>
      <c r="U49" s="198"/>
    </row>
    <row r="50" spans="1:21" s="12" customFormat="1" x14ac:dyDescent="0.25">
      <c r="A50" s="201" t="s">
        <v>1438</v>
      </c>
      <c r="B50" s="60">
        <v>8.1199999999999992</v>
      </c>
      <c r="C50" s="60">
        <v>82.91</v>
      </c>
      <c r="D50" s="60">
        <v>52.27</v>
      </c>
      <c r="E50" s="60">
        <v>7.9</v>
      </c>
      <c r="F50" s="60">
        <v>5.53</v>
      </c>
      <c r="G50" s="60">
        <v>57.24</v>
      </c>
      <c r="H50" s="60">
        <v>30.93</v>
      </c>
      <c r="I50" s="60">
        <v>0.57999999999999996</v>
      </c>
      <c r="J50" s="60">
        <v>2.04</v>
      </c>
      <c r="K50" s="60">
        <v>17.16</v>
      </c>
      <c r="L50" s="60">
        <v>31.56</v>
      </c>
      <c r="M50" s="60">
        <v>16.149999999999999</v>
      </c>
      <c r="N50" s="60">
        <v>532.9</v>
      </c>
      <c r="O50" s="60">
        <v>0</v>
      </c>
      <c r="P50" s="60">
        <v>0.77</v>
      </c>
      <c r="Q50" s="60">
        <v>22.23</v>
      </c>
      <c r="R50" s="198"/>
      <c r="S50" s="198"/>
      <c r="T50" s="198"/>
      <c r="U50" s="198"/>
    </row>
    <row r="51" spans="1:21" s="12" customFormat="1" x14ac:dyDescent="0.25">
      <c r="A51" s="201" t="s">
        <v>1439</v>
      </c>
      <c r="B51" s="60">
        <v>6.75</v>
      </c>
      <c r="C51" s="60">
        <v>81.84</v>
      </c>
      <c r="D51" s="60">
        <v>50.58</v>
      </c>
      <c r="E51" s="60">
        <v>7.77</v>
      </c>
      <c r="F51" s="60">
        <v>5.78</v>
      </c>
      <c r="G51" s="60">
        <v>56.31</v>
      </c>
      <c r="H51" s="60">
        <v>29.48</v>
      </c>
      <c r="I51" s="60">
        <v>0.56999999999999995</v>
      </c>
      <c r="J51" s="60">
        <v>2.23</v>
      </c>
      <c r="K51" s="60">
        <v>4.1500000000000004</v>
      </c>
      <c r="L51" s="60">
        <v>31.18</v>
      </c>
      <c r="M51" s="60">
        <v>16.010000000000002</v>
      </c>
      <c r="N51" s="60">
        <v>555.5</v>
      </c>
      <c r="O51" s="60">
        <v>0</v>
      </c>
      <c r="P51" s="60">
        <v>0.75</v>
      </c>
      <c r="Q51" s="60">
        <v>22.33</v>
      </c>
      <c r="R51" s="198"/>
      <c r="S51" s="198"/>
      <c r="T51" s="198"/>
      <c r="U51" s="198"/>
    </row>
    <row r="52" spans="1:21" s="12" customFormat="1" x14ac:dyDescent="0.25">
      <c r="A52" s="201" t="s">
        <v>1440</v>
      </c>
      <c r="B52" s="60">
        <v>5.12</v>
      </c>
      <c r="C52" s="60">
        <v>79.98</v>
      </c>
      <c r="D52" s="60">
        <v>48.24</v>
      </c>
      <c r="E52" s="60">
        <v>6.43</v>
      </c>
      <c r="F52" s="60">
        <v>6.37</v>
      </c>
      <c r="G52" s="60">
        <v>55.21</v>
      </c>
      <c r="H52" s="60">
        <v>27.76</v>
      </c>
      <c r="I52" s="60">
        <v>0.56000000000000005</v>
      </c>
      <c r="J52" s="60">
        <v>1.91</v>
      </c>
      <c r="K52" s="60">
        <v>19.55</v>
      </c>
      <c r="L52" s="60">
        <v>31.66</v>
      </c>
      <c r="M52" s="60">
        <v>15.19</v>
      </c>
      <c r="N52" s="60">
        <v>571.9</v>
      </c>
      <c r="O52" s="60">
        <v>0</v>
      </c>
      <c r="P52" s="60">
        <v>0.72</v>
      </c>
      <c r="Q52" s="60">
        <v>21.95</v>
      </c>
      <c r="R52" s="198"/>
      <c r="S52" s="198"/>
      <c r="T52" s="198"/>
      <c r="U52" s="198"/>
    </row>
    <row r="53" spans="1:21" s="12" customFormat="1" x14ac:dyDescent="0.25">
      <c r="A53" s="201" t="s">
        <v>1441</v>
      </c>
      <c r="B53" s="60">
        <v>4.18</v>
      </c>
      <c r="C53" s="60">
        <v>79.03</v>
      </c>
      <c r="D53" s="60">
        <v>46.97</v>
      </c>
      <c r="E53" s="60">
        <v>6.69</v>
      </c>
      <c r="F53" s="60">
        <v>6.29</v>
      </c>
      <c r="G53" s="60">
        <v>55.21</v>
      </c>
      <c r="H53" s="60">
        <v>27.76</v>
      </c>
      <c r="I53" s="60">
        <v>0.56999999999999995</v>
      </c>
      <c r="J53" s="60">
        <v>1.84</v>
      </c>
      <c r="K53" s="60">
        <v>15.53</v>
      </c>
      <c r="L53" s="60">
        <v>32.35</v>
      </c>
      <c r="M53" s="60">
        <v>14.58</v>
      </c>
      <c r="N53" s="60">
        <v>590</v>
      </c>
      <c r="O53" s="60">
        <v>0</v>
      </c>
      <c r="P53" s="60">
        <v>0.71</v>
      </c>
      <c r="Q53" s="60">
        <v>21.83</v>
      </c>
      <c r="R53" s="198"/>
      <c r="S53" s="198"/>
      <c r="T53" s="198"/>
      <c r="U53" s="198"/>
    </row>
    <row r="54" spans="1:21" s="12" customFormat="1" x14ac:dyDescent="0.25">
      <c r="A54" s="201" t="s">
        <v>1442</v>
      </c>
      <c r="B54" s="60">
        <v>3.38</v>
      </c>
      <c r="C54" s="60">
        <v>77.58</v>
      </c>
      <c r="D54" s="60">
        <v>45.53</v>
      </c>
      <c r="E54" s="60">
        <v>6.9</v>
      </c>
      <c r="F54" s="60">
        <v>6.53</v>
      </c>
      <c r="G54" s="60">
        <v>55.21</v>
      </c>
      <c r="H54" s="60">
        <v>27.76</v>
      </c>
      <c r="I54" s="60">
        <v>0.56999999999999995</v>
      </c>
      <c r="J54" s="60">
        <v>1.3</v>
      </c>
      <c r="K54" s="60">
        <v>4.28</v>
      </c>
      <c r="L54" s="60">
        <v>32.64</v>
      </c>
      <c r="M54" s="60">
        <v>13.66</v>
      </c>
      <c r="N54" s="60">
        <v>608.4</v>
      </c>
      <c r="O54" s="60">
        <v>0</v>
      </c>
      <c r="P54" s="60">
        <v>0.69</v>
      </c>
      <c r="Q54" s="60">
        <v>21.71</v>
      </c>
      <c r="R54" s="198"/>
      <c r="S54" s="198"/>
      <c r="T54" s="198"/>
      <c r="U54" s="198"/>
    </row>
    <row r="55" spans="1:21" s="12" customFormat="1" x14ac:dyDescent="0.25">
      <c r="A55" s="201" t="s">
        <v>1443</v>
      </c>
      <c r="B55" s="60">
        <v>2.73</v>
      </c>
      <c r="C55" s="60">
        <v>75.849999999999994</v>
      </c>
      <c r="D55" s="60">
        <v>44.05</v>
      </c>
      <c r="E55" s="60">
        <v>6.13</v>
      </c>
      <c r="F55" s="60">
        <v>6.55</v>
      </c>
      <c r="G55" s="60">
        <v>49.23</v>
      </c>
      <c r="H55" s="60">
        <v>26.59</v>
      </c>
      <c r="I55" s="60">
        <v>0.56999999999999995</v>
      </c>
      <c r="J55" s="60">
        <v>1.54</v>
      </c>
      <c r="K55" s="60">
        <v>4.5999999999999996</v>
      </c>
      <c r="L55" s="60">
        <v>33.11</v>
      </c>
      <c r="M55" s="60">
        <v>12.68</v>
      </c>
      <c r="N55" s="60">
        <v>637.4</v>
      </c>
      <c r="O55" s="60">
        <v>0</v>
      </c>
      <c r="P55" s="60">
        <v>0.68</v>
      </c>
      <c r="Q55" s="60">
        <v>21.48</v>
      </c>
      <c r="R55" s="198"/>
      <c r="S55" s="198"/>
      <c r="T55" s="198"/>
      <c r="U55" s="198"/>
    </row>
    <row r="56" spans="1:21" s="12" customFormat="1" x14ac:dyDescent="0.25">
      <c r="A56" s="201" t="s">
        <v>1444</v>
      </c>
      <c r="B56" s="60">
        <v>2.4900000000000002</v>
      </c>
      <c r="C56" s="60">
        <v>74.7</v>
      </c>
      <c r="D56" s="60">
        <v>43.22</v>
      </c>
      <c r="E56" s="60">
        <v>4.53</v>
      </c>
      <c r="F56" s="60">
        <v>6.47</v>
      </c>
      <c r="G56" s="60">
        <v>42.08</v>
      </c>
      <c r="H56" s="60">
        <v>25.19</v>
      </c>
      <c r="I56" s="60">
        <v>0.56000000000000005</v>
      </c>
      <c r="J56" s="60">
        <v>1.29</v>
      </c>
      <c r="K56" s="60">
        <v>11.13</v>
      </c>
      <c r="L56" s="60">
        <v>33.130000000000003</v>
      </c>
      <c r="M56" s="60">
        <v>11.84</v>
      </c>
      <c r="N56" s="60">
        <v>652.5</v>
      </c>
      <c r="O56" s="60">
        <v>0</v>
      </c>
      <c r="P56" s="60">
        <v>0.67</v>
      </c>
      <c r="Q56" s="60">
        <v>21.27</v>
      </c>
      <c r="R56" s="198"/>
      <c r="S56" s="198"/>
      <c r="T56" s="198"/>
      <c r="U56" s="198"/>
    </row>
    <row r="57" spans="1:21" s="12" customFormat="1" x14ac:dyDescent="0.25">
      <c r="A57" s="201" t="s">
        <v>1445</v>
      </c>
      <c r="B57" s="60">
        <v>2.46</v>
      </c>
      <c r="C57" s="60">
        <v>74.02</v>
      </c>
      <c r="D57" s="60">
        <v>42.82</v>
      </c>
      <c r="E57" s="60">
        <v>6.22</v>
      </c>
      <c r="F57" s="60">
        <v>6.47</v>
      </c>
      <c r="G57" s="60">
        <v>42.08</v>
      </c>
      <c r="H57" s="60">
        <v>25.19</v>
      </c>
      <c r="I57" s="60">
        <v>0.54</v>
      </c>
      <c r="J57" s="60">
        <v>0.76</v>
      </c>
      <c r="K57" s="60">
        <v>3.05</v>
      </c>
      <c r="L57" s="60">
        <v>32.64</v>
      </c>
      <c r="M57" s="60">
        <v>11.98</v>
      </c>
      <c r="N57" s="60">
        <v>658.1</v>
      </c>
      <c r="O57" s="60">
        <v>0</v>
      </c>
      <c r="P57" s="60">
        <v>0.66</v>
      </c>
      <c r="Q57" s="60">
        <v>20.89</v>
      </c>
      <c r="R57" s="198"/>
      <c r="S57" s="198"/>
      <c r="T57" s="198"/>
      <c r="U57" s="198"/>
    </row>
    <row r="58" spans="1:21" s="12" customFormat="1" x14ac:dyDescent="0.25">
      <c r="A58" s="201" t="s">
        <v>1446</v>
      </c>
      <c r="B58" s="60">
        <v>2.5099999999999998</v>
      </c>
      <c r="C58" s="60">
        <v>72.709999999999994</v>
      </c>
      <c r="D58" s="60">
        <v>42.14</v>
      </c>
      <c r="E58" s="60">
        <v>6.2</v>
      </c>
      <c r="F58" s="60">
        <v>6.81</v>
      </c>
      <c r="G58" s="60">
        <v>42.08</v>
      </c>
      <c r="H58" s="60">
        <v>25.19</v>
      </c>
      <c r="I58" s="60">
        <v>0.54</v>
      </c>
      <c r="J58" s="60">
        <v>0.68</v>
      </c>
      <c r="K58" s="60">
        <v>19.84</v>
      </c>
      <c r="L58" s="60">
        <v>32.200000000000003</v>
      </c>
      <c r="M58" s="60">
        <v>11.76</v>
      </c>
      <c r="N58" s="60">
        <v>645.79999999999995</v>
      </c>
      <c r="O58" s="60">
        <v>0</v>
      </c>
      <c r="P58" s="60">
        <v>0.65</v>
      </c>
      <c r="Q58" s="60">
        <v>20.3</v>
      </c>
      <c r="R58" s="198"/>
      <c r="S58" s="198"/>
      <c r="T58" s="198"/>
      <c r="U58" s="198"/>
    </row>
    <row r="59" spans="1:21" s="12" customFormat="1" x14ac:dyDescent="0.25">
      <c r="A59" s="201" t="s">
        <v>1447</v>
      </c>
      <c r="B59" s="60">
        <v>2.77</v>
      </c>
      <c r="C59" s="60">
        <v>71.819999999999993</v>
      </c>
      <c r="D59" s="60">
        <v>41.85</v>
      </c>
      <c r="E59" s="60">
        <v>6.16</v>
      </c>
      <c r="F59" s="60">
        <v>6.28</v>
      </c>
      <c r="G59" s="60">
        <v>35.35</v>
      </c>
      <c r="H59" s="60">
        <v>23.26</v>
      </c>
      <c r="I59" s="60">
        <v>0.55000000000000004</v>
      </c>
      <c r="J59" s="60">
        <v>0.82</v>
      </c>
      <c r="K59" s="60">
        <v>12.69</v>
      </c>
      <c r="L59" s="60">
        <v>32.909999999999997</v>
      </c>
      <c r="M59" s="60">
        <v>10.7</v>
      </c>
      <c r="N59" s="60">
        <v>636.70000000000005</v>
      </c>
      <c r="O59" s="60">
        <v>0</v>
      </c>
      <c r="P59" s="60">
        <v>0.63</v>
      </c>
      <c r="Q59" s="60">
        <v>20.04</v>
      </c>
      <c r="R59" s="198"/>
      <c r="S59" s="198"/>
      <c r="T59" s="198"/>
      <c r="U59" s="198"/>
    </row>
    <row r="60" spans="1:21" s="12" customFormat="1" x14ac:dyDescent="0.25">
      <c r="A60" s="201" t="s">
        <v>1448</v>
      </c>
      <c r="B60" s="60">
        <v>3.12</v>
      </c>
      <c r="C60" s="60">
        <v>69.36</v>
      </c>
      <c r="D60" s="60">
        <v>40.78</v>
      </c>
      <c r="E60" s="60">
        <v>6.39</v>
      </c>
      <c r="F60" s="60">
        <v>6.67</v>
      </c>
      <c r="G60" s="60">
        <v>27.3</v>
      </c>
      <c r="H60" s="60">
        <v>20.94</v>
      </c>
      <c r="I60" s="60">
        <v>0.55000000000000004</v>
      </c>
      <c r="J60" s="60">
        <v>1.1200000000000001</v>
      </c>
      <c r="K60" s="60">
        <v>12.36</v>
      </c>
      <c r="L60" s="60">
        <v>33.409999999999997</v>
      </c>
      <c r="M60" s="60">
        <v>10.25</v>
      </c>
      <c r="N60" s="60">
        <v>611.1</v>
      </c>
      <c r="O60" s="60">
        <v>0</v>
      </c>
      <c r="P60" s="60">
        <v>0.62</v>
      </c>
      <c r="Q60" s="60">
        <v>20.02</v>
      </c>
      <c r="R60" s="198"/>
      <c r="S60" s="198"/>
      <c r="T60" s="198"/>
      <c r="U60" s="198"/>
    </row>
    <row r="61" spans="1:21" s="12" customFormat="1" x14ac:dyDescent="0.25">
      <c r="A61" s="201" t="s">
        <v>1449</v>
      </c>
      <c r="B61" s="60">
        <v>3.29</v>
      </c>
      <c r="C61" s="60">
        <v>71.33</v>
      </c>
      <c r="D61" s="60">
        <v>42</v>
      </c>
      <c r="E61" s="60">
        <v>6.41</v>
      </c>
      <c r="F61" s="60">
        <v>6.47</v>
      </c>
      <c r="G61" s="60">
        <v>27.3</v>
      </c>
      <c r="H61" s="60">
        <v>20.94</v>
      </c>
      <c r="I61" s="60">
        <v>0.54</v>
      </c>
      <c r="J61" s="60">
        <v>1.37</v>
      </c>
      <c r="K61" s="60">
        <v>8.15</v>
      </c>
      <c r="L61" s="60">
        <v>33.19</v>
      </c>
      <c r="M61" s="60">
        <v>10.99</v>
      </c>
      <c r="N61" s="60">
        <v>581.20000000000005</v>
      </c>
      <c r="O61" s="60">
        <v>0</v>
      </c>
      <c r="P61" s="60">
        <v>0.61</v>
      </c>
      <c r="Q61" s="60">
        <v>20.18</v>
      </c>
      <c r="R61" s="198"/>
      <c r="S61" s="198"/>
      <c r="T61" s="198"/>
      <c r="U61" s="198"/>
    </row>
    <row r="62" spans="1:21" s="12" customFormat="1" x14ac:dyDescent="0.25">
      <c r="A62" s="201" t="s">
        <v>1450</v>
      </c>
      <c r="B62" s="60">
        <v>3.48</v>
      </c>
      <c r="C62" s="60">
        <v>70.27</v>
      </c>
      <c r="D62" s="60">
        <v>41.57</v>
      </c>
      <c r="E62" s="60">
        <v>6.02</v>
      </c>
      <c r="F62" s="60">
        <v>6.75</v>
      </c>
      <c r="G62" s="60">
        <v>27.3</v>
      </c>
      <c r="H62" s="60">
        <v>20.94</v>
      </c>
      <c r="I62" s="60">
        <v>0.53</v>
      </c>
      <c r="J62" s="60">
        <v>0.97</v>
      </c>
      <c r="K62" s="60">
        <v>7.8</v>
      </c>
      <c r="L62" s="60">
        <v>33.409999999999997</v>
      </c>
      <c r="M62" s="60">
        <v>11.76</v>
      </c>
      <c r="N62" s="60">
        <v>551.20000000000005</v>
      </c>
      <c r="O62" s="60">
        <v>0</v>
      </c>
      <c r="P62" s="60">
        <v>0.61</v>
      </c>
      <c r="Q62" s="60">
        <v>20.239999999999998</v>
      </c>
      <c r="R62" s="198"/>
      <c r="S62" s="198"/>
      <c r="T62" s="198"/>
      <c r="U62" s="198"/>
    </row>
    <row r="63" spans="1:21" s="12" customFormat="1" x14ac:dyDescent="0.25">
      <c r="A63" s="201" t="s">
        <v>1451</v>
      </c>
      <c r="B63" s="60">
        <v>3.34</v>
      </c>
      <c r="C63" s="60">
        <v>69.88</v>
      </c>
      <c r="D63" s="60">
        <v>41.24</v>
      </c>
      <c r="E63" s="60">
        <v>5.92</v>
      </c>
      <c r="F63" s="60">
        <v>6.31</v>
      </c>
      <c r="G63" s="60">
        <v>27.95</v>
      </c>
      <c r="H63" s="60">
        <v>20.329999999999998</v>
      </c>
      <c r="I63" s="60">
        <v>0.54</v>
      </c>
      <c r="J63" s="60">
        <v>0.41</v>
      </c>
      <c r="K63" s="60">
        <v>4.79</v>
      </c>
      <c r="L63" s="60">
        <v>31.95</v>
      </c>
      <c r="M63" s="60">
        <v>10.27</v>
      </c>
      <c r="N63" s="60">
        <v>533.70000000000005</v>
      </c>
      <c r="O63" s="60">
        <v>0</v>
      </c>
      <c r="P63" s="60">
        <v>0.61</v>
      </c>
      <c r="Q63" s="60">
        <v>20.18</v>
      </c>
      <c r="R63" s="198"/>
      <c r="S63" s="198"/>
      <c r="T63" s="198"/>
      <c r="U63" s="198"/>
    </row>
    <row r="64" spans="1:21" s="12" customFormat="1" x14ac:dyDescent="0.25">
      <c r="A64" s="201" t="s">
        <v>1452</v>
      </c>
      <c r="B64" s="60">
        <v>3.23</v>
      </c>
      <c r="C64" s="60">
        <v>68.28</v>
      </c>
      <c r="D64" s="60">
        <v>40.270000000000003</v>
      </c>
      <c r="E64" s="60">
        <v>6</v>
      </c>
      <c r="F64" s="60">
        <v>6.48</v>
      </c>
      <c r="G64" s="60">
        <v>28.73</v>
      </c>
      <c r="H64" s="60">
        <v>19.61</v>
      </c>
      <c r="I64" s="60">
        <v>0.56999999999999995</v>
      </c>
      <c r="J64" s="60">
        <v>1.21</v>
      </c>
      <c r="K64" s="60">
        <v>10.37</v>
      </c>
      <c r="L64" s="60">
        <v>32.4</v>
      </c>
      <c r="M64" s="60">
        <v>11.09</v>
      </c>
      <c r="N64" s="60">
        <v>515</v>
      </c>
      <c r="O64" s="60">
        <v>0</v>
      </c>
      <c r="P64" s="60">
        <v>0.59</v>
      </c>
      <c r="Q64" s="60">
        <v>19.98</v>
      </c>
      <c r="R64" s="198"/>
      <c r="S64" s="198"/>
      <c r="T64" s="198"/>
      <c r="U64" s="198"/>
    </row>
    <row r="65" spans="1:21" s="12" customFormat="1" x14ac:dyDescent="0.25">
      <c r="A65" s="201" t="s">
        <v>1453</v>
      </c>
      <c r="B65" s="60">
        <v>2.82</v>
      </c>
      <c r="C65" s="60">
        <v>70.290000000000006</v>
      </c>
      <c r="D65" s="60">
        <v>41.05</v>
      </c>
      <c r="E65" s="60">
        <v>6.32</v>
      </c>
      <c r="F65" s="60">
        <v>6.45</v>
      </c>
      <c r="G65" s="60">
        <v>28.73</v>
      </c>
      <c r="H65" s="60">
        <v>19.61</v>
      </c>
      <c r="I65" s="60">
        <v>0.54</v>
      </c>
      <c r="J65" s="60">
        <v>0.76</v>
      </c>
      <c r="K65" s="60">
        <v>18.84</v>
      </c>
      <c r="L65" s="60">
        <v>33.21</v>
      </c>
      <c r="M65" s="60">
        <v>11.25</v>
      </c>
      <c r="N65" s="60">
        <v>495.2</v>
      </c>
      <c r="O65" s="60">
        <v>0</v>
      </c>
      <c r="P65" s="60">
        <v>0.59</v>
      </c>
      <c r="Q65" s="60">
        <v>20.91</v>
      </c>
      <c r="R65" s="198"/>
      <c r="S65" s="198"/>
      <c r="T65" s="198"/>
      <c r="U65" s="198"/>
    </row>
    <row r="66" spans="1:21" s="12" customFormat="1" x14ac:dyDescent="0.25">
      <c r="A66" s="201" t="s">
        <v>1454</v>
      </c>
      <c r="B66" s="60">
        <v>2.54</v>
      </c>
      <c r="C66" s="60">
        <v>69.92</v>
      </c>
      <c r="D66" s="60">
        <v>40.619999999999997</v>
      </c>
      <c r="E66" s="60">
        <v>5.57</v>
      </c>
      <c r="F66" s="60">
        <v>6.69</v>
      </c>
      <c r="G66" s="60">
        <v>28.73</v>
      </c>
      <c r="H66" s="60">
        <v>19.61</v>
      </c>
      <c r="I66" s="60">
        <v>0.55000000000000004</v>
      </c>
      <c r="J66" s="60">
        <v>0.6</v>
      </c>
      <c r="K66" s="60">
        <v>8.3699999999999992</v>
      </c>
      <c r="L66" s="60">
        <v>32.56</v>
      </c>
      <c r="M66" s="60">
        <v>11.88</v>
      </c>
      <c r="N66" s="60">
        <v>478.3</v>
      </c>
      <c r="O66" s="60">
        <v>0</v>
      </c>
      <c r="P66" s="60">
        <v>0.57999999999999996</v>
      </c>
      <c r="Q66" s="60">
        <v>21.51</v>
      </c>
      <c r="R66" s="198"/>
      <c r="S66" s="198"/>
      <c r="T66" s="198"/>
      <c r="U66" s="198"/>
    </row>
    <row r="67" spans="1:21" s="12" customFormat="1" x14ac:dyDescent="0.25">
      <c r="A67" s="201" t="s">
        <v>1455</v>
      </c>
      <c r="B67" s="60">
        <v>2.2200000000000002</v>
      </c>
      <c r="C67" s="60">
        <v>68.91</v>
      </c>
      <c r="D67" s="60">
        <v>39.81</v>
      </c>
      <c r="E67" s="60">
        <v>5.96</v>
      </c>
      <c r="F67" s="60">
        <v>6.73</v>
      </c>
      <c r="G67" s="60">
        <v>32.15</v>
      </c>
      <c r="H67" s="60">
        <v>18.420000000000002</v>
      </c>
      <c r="I67" s="60">
        <v>0.56000000000000005</v>
      </c>
      <c r="J67" s="60">
        <v>0.55000000000000004</v>
      </c>
      <c r="K67" s="60">
        <v>11.37</v>
      </c>
      <c r="L67" s="60">
        <v>32.44</v>
      </c>
      <c r="M67" s="60">
        <v>12.04</v>
      </c>
      <c r="N67" s="60">
        <v>459</v>
      </c>
      <c r="O67" s="60">
        <v>0</v>
      </c>
      <c r="P67" s="60">
        <v>0.56000000000000005</v>
      </c>
      <c r="Q67" s="60">
        <v>21.47</v>
      </c>
      <c r="R67" s="198"/>
      <c r="S67" s="198"/>
      <c r="T67" s="198"/>
      <c r="U67" s="198"/>
    </row>
    <row r="68" spans="1:21" s="12" customFormat="1" x14ac:dyDescent="0.25">
      <c r="A68" s="201" t="s">
        <v>1456</v>
      </c>
      <c r="B68" s="60">
        <v>2.14</v>
      </c>
      <c r="C68" s="60">
        <v>67.86</v>
      </c>
      <c r="D68" s="60">
        <v>39.17</v>
      </c>
      <c r="E68" s="60">
        <v>5.87</v>
      </c>
      <c r="F68" s="60">
        <v>7.38</v>
      </c>
      <c r="G68" s="60">
        <v>36.25</v>
      </c>
      <c r="H68" s="60">
        <v>17</v>
      </c>
      <c r="I68" s="60">
        <v>0.56000000000000005</v>
      </c>
      <c r="J68" s="60">
        <v>0.46</v>
      </c>
      <c r="K68" s="60">
        <v>15.43</v>
      </c>
      <c r="L68" s="60">
        <v>32.76</v>
      </c>
      <c r="M68" s="60">
        <v>11.48</v>
      </c>
      <c r="N68" s="60">
        <v>438.7</v>
      </c>
      <c r="O68" s="60">
        <v>0</v>
      </c>
      <c r="P68" s="60">
        <v>0.56000000000000005</v>
      </c>
      <c r="Q68" s="60">
        <v>21.45</v>
      </c>
      <c r="R68" s="198"/>
      <c r="S68" s="198"/>
      <c r="T68" s="198"/>
      <c r="U68" s="198"/>
    </row>
    <row r="69" spans="1:21" s="12" customFormat="1" x14ac:dyDescent="0.25">
      <c r="A69" s="201" t="s">
        <v>1457</v>
      </c>
      <c r="B69" s="60">
        <v>2.2999999999999998</v>
      </c>
      <c r="C69" s="60">
        <v>68.239999999999995</v>
      </c>
      <c r="D69" s="60">
        <v>39.5</v>
      </c>
      <c r="E69" s="60">
        <v>5.89</v>
      </c>
      <c r="F69" s="60">
        <v>7.06</v>
      </c>
      <c r="G69" s="60">
        <v>36.25</v>
      </c>
      <c r="H69" s="60">
        <v>17</v>
      </c>
      <c r="I69" s="60">
        <v>0.54</v>
      </c>
      <c r="J69" s="60">
        <v>0.35</v>
      </c>
      <c r="K69" s="60">
        <v>19.45</v>
      </c>
      <c r="L69" s="60">
        <v>32.18</v>
      </c>
      <c r="M69" s="60">
        <v>11.49</v>
      </c>
      <c r="N69" s="60">
        <v>412.5</v>
      </c>
      <c r="O69" s="60">
        <v>0</v>
      </c>
      <c r="P69" s="60">
        <v>0.56000000000000005</v>
      </c>
      <c r="Q69" s="60">
        <v>21.66</v>
      </c>
      <c r="R69" s="198"/>
      <c r="S69" s="198"/>
      <c r="T69" s="198"/>
      <c r="U69" s="198"/>
    </row>
    <row r="70" spans="1:21" s="12" customFormat="1" x14ac:dyDescent="0.25">
      <c r="A70" s="201" t="s">
        <v>1458</v>
      </c>
      <c r="B70" s="60">
        <v>2.34</v>
      </c>
      <c r="C70" s="60">
        <v>68.59</v>
      </c>
      <c r="D70" s="60">
        <v>39.729999999999997</v>
      </c>
      <c r="E70" s="60">
        <v>5.49</v>
      </c>
      <c r="F70" s="60">
        <v>6.73</v>
      </c>
      <c r="G70" s="60">
        <v>36.25</v>
      </c>
      <c r="H70" s="60">
        <v>17</v>
      </c>
      <c r="I70" s="60">
        <v>0.52</v>
      </c>
      <c r="J70" s="60">
        <v>1.41</v>
      </c>
      <c r="K70" s="60">
        <v>349.82</v>
      </c>
      <c r="L70" s="60">
        <v>31.72</v>
      </c>
      <c r="M70" s="60">
        <v>12.7</v>
      </c>
      <c r="N70" s="60">
        <v>312.8</v>
      </c>
      <c r="O70" s="60">
        <v>0</v>
      </c>
      <c r="P70" s="60">
        <v>0.55000000000000004</v>
      </c>
      <c r="Q70" s="60">
        <v>21.63</v>
      </c>
      <c r="R70" s="198"/>
      <c r="S70" s="198"/>
      <c r="T70" s="198"/>
      <c r="U70" s="198"/>
    </row>
    <row r="71" spans="1:21" s="12" customFormat="1" x14ac:dyDescent="0.25">
      <c r="A71" s="201" t="s">
        <v>1459</v>
      </c>
      <c r="B71" s="60">
        <v>2.36</v>
      </c>
      <c r="C71" s="60">
        <v>68.52</v>
      </c>
      <c r="D71" s="60">
        <v>39.71</v>
      </c>
      <c r="E71" s="60">
        <v>5.8</v>
      </c>
      <c r="F71" s="60">
        <v>6.69</v>
      </c>
      <c r="G71" s="60">
        <v>34.299999999999997</v>
      </c>
      <c r="H71" s="60">
        <v>16.88</v>
      </c>
      <c r="I71" s="60">
        <v>0.52</v>
      </c>
      <c r="J71" s="60">
        <v>0.69</v>
      </c>
      <c r="K71" s="60">
        <v>355.05</v>
      </c>
      <c r="L71" s="60">
        <v>31.51</v>
      </c>
      <c r="M71" s="60">
        <v>12.24</v>
      </c>
      <c r="N71" s="60">
        <v>155.30000000000001</v>
      </c>
      <c r="O71" s="60">
        <v>0</v>
      </c>
      <c r="P71" s="60">
        <v>0.55000000000000004</v>
      </c>
      <c r="Q71" s="60">
        <v>21.24</v>
      </c>
      <c r="R71" s="198"/>
      <c r="S71" s="198"/>
      <c r="T71" s="198"/>
      <c r="U71" s="198"/>
    </row>
    <row r="72" spans="1:21" s="12" customFormat="1" x14ac:dyDescent="0.25">
      <c r="A72" s="201" t="s">
        <v>1460</v>
      </c>
      <c r="B72" s="60">
        <v>2.2200000000000002</v>
      </c>
      <c r="C72" s="60">
        <v>68.099999999999994</v>
      </c>
      <c r="D72" s="60">
        <v>39.36</v>
      </c>
      <c r="E72" s="60">
        <v>5.07</v>
      </c>
      <c r="F72" s="60">
        <v>6.71</v>
      </c>
      <c r="G72" s="60">
        <v>31.97</v>
      </c>
      <c r="H72" s="60">
        <v>16.739999999999998</v>
      </c>
      <c r="I72" s="60">
        <v>0.52</v>
      </c>
      <c r="J72" s="60">
        <v>0.87</v>
      </c>
      <c r="K72" s="60">
        <v>341.87</v>
      </c>
      <c r="L72" s="60">
        <v>30.87</v>
      </c>
      <c r="M72" s="60">
        <v>13.13</v>
      </c>
      <c r="N72" s="60">
        <v>142.69999999999999</v>
      </c>
      <c r="O72" s="60">
        <v>0</v>
      </c>
      <c r="P72" s="60">
        <v>0.55000000000000004</v>
      </c>
      <c r="Q72" s="60">
        <v>20.43</v>
      </c>
      <c r="R72" s="198"/>
      <c r="S72" s="198"/>
      <c r="T72" s="198"/>
      <c r="U72" s="198"/>
    </row>
    <row r="73" spans="1:21" s="12" customFormat="1" x14ac:dyDescent="0.25">
      <c r="A73" s="201" t="s">
        <v>1461</v>
      </c>
      <c r="B73" s="60">
        <v>2.19</v>
      </c>
      <c r="C73" s="60">
        <v>68.290000000000006</v>
      </c>
      <c r="D73" s="60">
        <v>39.450000000000003</v>
      </c>
      <c r="E73" s="60">
        <v>6.26</v>
      </c>
      <c r="F73" s="60">
        <v>6.26</v>
      </c>
      <c r="G73" s="60">
        <v>31.97</v>
      </c>
      <c r="H73" s="60">
        <v>16.739999999999998</v>
      </c>
      <c r="I73" s="60">
        <v>0.52</v>
      </c>
      <c r="J73" s="60">
        <v>0.65</v>
      </c>
      <c r="K73" s="60">
        <v>340.91</v>
      </c>
      <c r="L73" s="60">
        <v>29.67</v>
      </c>
      <c r="M73" s="60">
        <v>13.19</v>
      </c>
      <c r="N73" s="60">
        <v>168.8</v>
      </c>
      <c r="O73" s="60">
        <v>0</v>
      </c>
      <c r="P73" s="60">
        <v>0.55000000000000004</v>
      </c>
      <c r="Q73" s="60">
        <v>20.190000000000001</v>
      </c>
      <c r="R73" s="198"/>
      <c r="S73" s="198"/>
      <c r="T73" s="198"/>
      <c r="U73" s="198"/>
    </row>
    <row r="74" spans="1:21" s="12" customFormat="1" x14ac:dyDescent="0.25">
      <c r="A74" s="201" t="s">
        <v>1462</v>
      </c>
      <c r="B74" s="60">
        <v>2.89</v>
      </c>
      <c r="C74" s="60">
        <v>68.319999999999993</v>
      </c>
      <c r="D74" s="60">
        <v>40.020000000000003</v>
      </c>
      <c r="E74" s="60">
        <v>6.28</v>
      </c>
      <c r="F74" s="60">
        <v>7.3</v>
      </c>
      <c r="G74" s="60">
        <v>31.97</v>
      </c>
      <c r="H74" s="60">
        <v>16.739999999999998</v>
      </c>
      <c r="I74" s="60">
        <v>0.54</v>
      </c>
      <c r="J74" s="60">
        <v>1.39</v>
      </c>
      <c r="K74" s="60">
        <v>6.51</v>
      </c>
      <c r="L74" s="60">
        <v>28.92</v>
      </c>
      <c r="M74" s="60">
        <v>14.03</v>
      </c>
      <c r="N74" s="60">
        <v>64</v>
      </c>
      <c r="O74" s="60">
        <v>0</v>
      </c>
      <c r="P74" s="60">
        <v>0.55000000000000004</v>
      </c>
      <c r="Q74" s="60">
        <v>20.18</v>
      </c>
      <c r="R74" s="198"/>
      <c r="S74" s="198"/>
      <c r="T74" s="198"/>
      <c r="U74" s="198"/>
    </row>
    <row r="75" spans="1:21" s="12" customFormat="1" x14ac:dyDescent="0.25">
      <c r="A75" s="201" t="s">
        <v>1463</v>
      </c>
      <c r="B75" s="60">
        <v>5.0599999999999996</v>
      </c>
      <c r="C75" s="60">
        <v>66.33</v>
      </c>
      <c r="D75" s="60">
        <v>40.659999999999997</v>
      </c>
      <c r="E75" s="60">
        <v>6.35</v>
      </c>
      <c r="F75" s="60">
        <v>8.56</v>
      </c>
      <c r="G75" s="60">
        <v>29.66</v>
      </c>
      <c r="H75" s="60">
        <v>16.21</v>
      </c>
      <c r="I75" s="60">
        <v>0.55000000000000004</v>
      </c>
      <c r="J75" s="60">
        <v>1.1100000000000001</v>
      </c>
      <c r="K75" s="60">
        <v>16.14</v>
      </c>
      <c r="L75" s="60">
        <v>28.53</v>
      </c>
      <c r="M75" s="60">
        <v>15.24</v>
      </c>
      <c r="N75" s="60">
        <v>56.5</v>
      </c>
      <c r="O75" s="60">
        <v>0</v>
      </c>
      <c r="P75" s="60">
        <v>0.55000000000000004</v>
      </c>
      <c r="Q75" s="60">
        <v>20.260000000000002</v>
      </c>
      <c r="R75" s="198"/>
      <c r="S75" s="198"/>
      <c r="T75" s="198"/>
      <c r="U75" s="198"/>
    </row>
    <row r="76" spans="1:21" s="12" customFormat="1" x14ac:dyDescent="0.25">
      <c r="A76" s="201" t="s">
        <v>1464</v>
      </c>
      <c r="B76" s="60">
        <v>5.47</v>
      </c>
      <c r="C76" s="60">
        <v>72.099999999999994</v>
      </c>
      <c r="D76" s="60">
        <v>44.18</v>
      </c>
      <c r="E76" s="60">
        <v>6.15</v>
      </c>
      <c r="F76" s="60">
        <v>6.83</v>
      </c>
      <c r="G76" s="60">
        <v>26.9</v>
      </c>
      <c r="H76" s="60">
        <v>15.57</v>
      </c>
      <c r="I76" s="60">
        <v>0.53</v>
      </c>
      <c r="J76" s="60">
        <v>0.56999999999999995</v>
      </c>
      <c r="K76" s="60">
        <v>348.41</v>
      </c>
      <c r="L76" s="60">
        <v>28.15</v>
      </c>
      <c r="M76" s="60">
        <v>14.88</v>
      </c>
      <c r="N76" s="60">
        <v>38</v>
      </c>
      <c r="O76" s="60">
        <v>0</v>
      </c>
      <c r="P76" s="60">
        <v>0.56000000000000005</v>
      </c>
      <c r="Q76" s="60">
        <v>20.47</v>
      </c>
      <c r="R76" s="198"/>
      <c r="S76" s="198"/>
      <c r="T76" s="198"/>
      <c r="U76" s="198"/>
    </row>
    <row r="77" spans="1:21" s="12" customFormat="1" x14ac:dyDescent="0.25">
      <c r="A77" s="201" t="s">
        <v>1465</v>
      </c>
      <c r="B77" s="60">
        <v>4.4400000000000004</v>
      </c>
      <c r="C77" s="60">
        <v>70.73</v>
      </c>
      <c r="D77" s="60">
        <v>42.59</v>
      </c>
      <c r="E77" s="60">
        <v>6.29</v>
      </c>
      <c r="F77" s="60">
        <v>7.68</v>
      </c>
      <c r="G77" s="60">
        <v>26.9</v>
      </c>
      <c r="H77" s="60">
        <v>15.57</v>
      </c>
      <c r="I77" s="60">
        <v>0.54</v>
      </c>
      <c r="J77" s="60">
        <v>0.17</v>
      </c>
      <c r="K77" s="60">
        <v>6</v>
      </c>
      <c r="L77" s="60">
        <v>27.8</v>
      </c>
      <c r="M77" s="60">
        <v>15.17</v>
      </c>
      <c r="N77" s="60">
        <v>33</v>
      </c>
      <c r="O77" s="60">
        <v>0</v>
      </c>
      <c r="P77" s="60">
        <v>0.56999999999999995</v>
      </c>
      <c r="Q77" s="60">
        <v>21.01</v>
      </c>
      <c r="R77" s="198"/>
      <c r="S77" s="198"/>
      <c r="T77" s="198"/>
      <c r="U77" s="198"/>
    </row>
    <row r="78" spans="1:21" s="12" customFormat="1" x14ac:dyDescent="0.25">
      <c r="A78" s="201" t="s">
        <v>1466</v>
      </c>
      <c r="B78" s="60">
        <v>6.75</v>
      </c>
      <c r="C78" s="60">
        <v>74.790000000000006</v>
      </c>
      <c r="D78" s="60">
        <v>46.68</v>
      </c>
      <c r="E78" s="60">
        <v>5.95</v>
      </c>
      <c r="F78" s="60">
        <v>6.81</v>
      </c>
      <c r="G78" s="60">
        <v>26.9</v>
      </c>
      <c r="H78" s="60">
        <v>15.57</v>
      </c>
      <c r="I78" s="60">
        <v>0.55000000000000004</v>
      </c>
      <c r="J78" s="60">
        <v>0.21</v>
      </c>
      <c r="K78" s="60">
        <v>43</v>
      </c>
      <c r="L78" s="60">
        <v>27.46</v>
      </c>
      <c r="M78" s="60">
        <v>14.99</v>
      </c>
      <c r="N78" s="60">
        <v>23.3</v>
      </c>
      <c r="O78" s="60">
        <v>0</v>
      </c>
      <c r="P78" s="60">
        <v>0.59</v>
      </c>
      <c r="Q78" s="60">
        <v>21.53</v>
      </c>
      <c r="R78" s="198"/>
      <c r="S78" s="198"/>
      <c r="T78" s="198"/>
      <c r="U78" s="198"/>
    </row>
    <row r="79" spans="1:21" s="12" customFormat="1" x14ac:dyDescent="0.25">
      <c r="A79" s="201" t="s">
        <v>1467</v>
      </c>
      <c r="B79" s="60">
        <v>7.24</v>
      </c>
      <c r="C79" s="60">
        <v>73.69</v>
      </c>
      <c r="D79" s="60">
        <v>46.47</v>
      </c>
      <c r="E79" s="60">
        <v>6.06</v>
      </c>
      <c r="F79" s="60">
        <v>5.67</v>
      </c>
      <c r="G79" s="60">
        <v>28.46</v>
      </c>
      <c r="H79" s="60">
        <v>15.44</v>
      </c>
      <c r="I79" s="60">
        <v>0.54</v>
      </c>
      <c r="J79" s="60">
        <v>0.17</v>
      </c>
      <c r="K79" s="60">
        <v>33.1</v>
      </c>
      <c r="L79" s="60">
        <v>27.01</v>
      </c>
      <c r="M79" s="60">
        <v>15.52</v>
      </c>
      <c r="N79" s="60">
        <v>15</v>
      </c>
      <c r="O79" s="60">
        <v>0</v>
      </c>
      <c r="P79" s="60">
        <v>0.6</v>
      </c>
      <c r="Q79" s="60">
        <v>22.21</v>
      </c>
      <c r="R79" s="198"/>
      <c r="S79" s="198"/>
      <c r="T79" s="198"/>
      <c r="U79" s="198"/>
    </row>
    <row r="80" spans="1:21" s="12" customFormat="1" x14ac:dyDescent="0.25">
      <c r="A80" s="201" t="s">
        <v>1468</v>
      </c>
      <c r="B80" s="60">
        <v>7.56</v>
      </c>
      <c r="C80" s="60">
        <v>76.19</v>
      </c>
      <c r="D80" s="60">
        <v>48.11</v>
      </c>
      <c r="E80" s="60">
        <v>5.78</v>
      </c>
      <c r="F80" s="60">
        <v>5.22</v>
      </c>
      <c r="G80" s="60">
        <v>30.32</v>
      </c>
      <c r="H80" s="60">
        <v>15.28</v>
      </c>
      <c r="I80" s="60">
        <v>0.54</v>
      </c>
      <c r="J80" s="60">
        <v>0.25</v>
      </c>
      <c r="K80" s="60">
        <v>347.33</v>
      </c>
      <c r="L80" s="60">
        <v>26.1</v>
      </c>
      <c r="M80" s="60">
        <v>16.809999999999999</v>
      </c>
      <c r="N80" s="60">
        <v>7.2</v>
      </c>
      <c r="O80" s="60">
        <v>0</v>
      </c>
      <c r="P80" s="60">
        <v>0.63</v>
      </c>
      <c r="Q80" s="60">
        <v>23.17</v>
      </c>
      <c r="R80" s="198"/>
      <c r="S80" s="198"/>
      <c r="T80" s="198"/>
      <c r="U80" s="198"/>
    </row>
    <row r="81" spans="1:26" s="12" customFormat="1" x14ac:dyDescent="0.25">
      <c r="A81" s="201" t="s">
        <v>1469</v>
      </c>
      <c r="B81" s="60">
        <v>8.1300000000000008</v>
      </c>
      <c r="C81" s="60">
        <v>78.48</v>
      </c>
      <c r="D81" s="60">
        <v>49.83</v>
      </c>
      <c r="E81" s="60">
        <v>6.42</v>
      </c>
      <c r="F81" s="60">
        <v>4.99</v>
      </c>
      <c r="G81" s="60">
        <v>30.32</v>
      </c>
      <c r="H81" s="60">
        <v>15.28</v>
      </c>
      <c r="I81" s="60">
        <v>0.54</v>
      </c>
      <c r="J81" s="60">
        <v>0.25</v>
      </c>
      <c r="K81" s="60">
        <v>322.27</v>
      </c>
      <c r="L81" s="60">
        <v>25.37</v>
      </c>
      <c r="M81" s="60">
        <v>17.75</v>
      </c>
      <c r="N81" s="60">
        <v>4.3</v>
      </c>
      <c r="O81" s="60">
        <v>0</v>
      </c>
      <c r="P81" s="60">
        <v>0.67</v>
      </c>
      <c r="Q81" s="60">
        <v>23.83</v>
      </c>
      <c r="R81" s="198"/>
      <c r="S81" s="198"/>
      <c r="T81" s="198"/>
      <c r="U81" s="198"/>
    </row>
    <row r="82" spans="1:26" s="12" customFormat="1" x14ac:dyDescent="0.25">
      <c r="A82" s="201" t="s">
        <v>1470</v>
      </c>
      <c r="B82" s="60">
        <v>10.43</v>
      </c>
      <c r="C82" s="60">
        <v>80.7</v>
      </c>
      <c r="D82" s="60">
        <v>52.9</v>
      </c>
      <c r="E82" s="60">
        <v>6.4</v>
      </c>
      <c r="F82" s="60">
        <v>4.7699999999999996</v>
      </c>
      <c r="G82" s="60">
        <v>30.32</v>
      </c>
      <c r="H82" s="60">
        <v>15.28</v>
      </c>
      <c r="I82" s="60">
        <v>0.55000000000000004</v>
      </c>
      <c r="J82" s="60">
        <v>7.0000000000000007E-2</v>
      </c>
      <c r="K82" s="60">
        <v>310.86</v>
      </c>
      <c r="L82" s="60">
        <v>25.01</v>
      </c>
      <c r="M82" s="60">
        <v>17.87</v>
      </c>
      <c r="N82" s="60">
        <v>4.3</v>
      </c>
      <c r="O82" s="60">
        <v>0</v>
      </c>
      <c r="P82" s="60">
        <v>0.74</v>
      </c>
      <c r="Q82" s="60">
        <v>24.27</v>
      </c>
      <c r="R82" s="198"/>
      <c r="S82" s="198"/>
      <c r="T82" s="198"/>
      <c r="U82" s="198"/>
    </row>
    <row r="83" spans="1:26" s="12" customFormat="1" x14ac:dyDescent="0.25">
      <c r="A83" s="201" t="s">
        <v>1471</v>
      </c>
      <c r="B83" s="60">
        <v>14.23</v>
      </c>
      <c r="C83" s="60">
        <v>85.38</v>
      </c>
      <c r="D83" s="60">
        <v>58.53</v>
      </c>
      <c r="E83" s="60">
        <v>6.08</v>
      </c>
      <c r="F83" s="60">
        <v>4.7300000000000004</v>
      </c>
      <c r="G83" s="60">
        <v>35.61</v>
      </c>
      <c r="H83" s="60">
        <v>14.94</v>
      </c>
      <c r="I83" s="60">
        <v>0.55000000000000004</v>
      </c>
      <c r="J83" s="60">
        <v>0.12</v>
      </c>
      <c r="K83" s="60">
        <v>280.14999999999998</v>
      </c>
      <c r="L83" s="60">
        <v>24.23</v>
      </c>
      <c r="M83" s="60">
        <v>19.260000000000002</v>
      </c>
      <c r="N83" s="60">
        <v>4.4000000000000004</v>
      </c>
      <c r="O83" s="60">
        <v>0</v>
      </c>
      <c r="P83" s="60">
        <v>0.83</v>
      </c>
      <c r="Q83" s="60">
        <v>24.64</v>
      </c>
      <c r="R83" s="198"/>
      <c r="S83" s="198"/>
      <c r="T83" s="198"/>
      <c r="U83" s="198"/>
    </row>
    <row r="84" spans="1:26" s="12" customFormat="1" x14ac:dyDescent="0.25">
      <c r="A84" s="201" t="s">
        <v>1472</v>
      </c>
      <c r="B84" s="60">
        <v>16.18</v>
      </c>
      <c r="C84" s="60">
        <v>87.83</v>
      </c>
      <c r="D84" s="60">
        <v>61.44</v>
      </c>
      <c r="E84" s="60">
        <v>6.24</v>
      </c>
      <c r="F84" s="60">
        <v>4.5599999999999996</v>
      </c>
      <c r="G84" s="60">
        <v>41.93</v>
      </c>
      <c r="H84" s="60">
        <v>14.54</v>
      </c>
      <c r="I84" s="60">
        <v>0.56999999999999995</v>
      </c>
      <c r="J84" s="60">
        <v>0.14000000000000001</v>
      </c>
      <c r="K84" s="60">
        <v>289.85000000000002</v>
      </c>
      <c r="L84" s="60">
        <v>23.71</v>
      </c>
      <c r="M84" s="60">
        <v>20.59</v>
      </c>
      <c r="N84" s="60">
        <v>4</v>
      </c>
      <c r="O84" s="60">
        <v>0</v>
      </c>
      <c r="P84" s="60">
        <v>0.92</v>
      </c>
      <c r="Q84" s="60">
        <v>25.23</v>
      </c>
      <c r="R84" s="198"/>
      <c r="S84" s="198"/>
      <c r="T84" s="198"/>
      <c r="U84" s="198"/>
    </row>
    <row r="85" spans="1:26" s="12" customFormat="1" x14ac:dyDescent="0.25">
      <c r="A85" s="201" t="s">
        <v>1473</v>
      </c>
      <c r="B85" s="60">
        <v>18.79</v>
      </c>
      <c r="C85" s="60">
        <v>90.42</v>
      </c>
      <c r="D85" s="60">
        <v>64.97</v>
      </c>
      <c r="E85" s="60">
        <v>6.09</v>
      </c>
      <c r="F85" s="60">
        <v>4.57</v>
      </c>
      <c r="G85" s="60">
        <v>41.93</v>
      </c>
      <c r="H85" s="60">
        <v>14.54</v>
      </c>
      <c r="I85" s="60">
        <v>0.61</v>
      </c>
      <c r="J85" s="60">
        <v>0.08</v>
      </c>
      <c r="K85" s="60">
        <v>280.76</v>
      </c>
      <c r="L85" s="60">
        <v>23</v>
      </c>
      <c r="M85" s="60">
        <v>22.02</v>
      </c>
      <c r="N85" s="60">
        <v>4.2</v>
      </c>
      <c r="O85" s="60">
        <v>0</v>
      </c>
      <c r="P85" s="60">
        <v>0.94</v>
      </c>
      <c r="Q85" s="60">
        <v>25.94</v>
      </c>
      <c r="R85" s="198"/>
      <c r="S85" s="198"/>
      <c r="T85" s="198"/>
      <c r="U85" s="198"/>
    </row>
    <row r="86" spans="1:26" s="12" customFormat="1" x14ac:dyDescent="0.25">
      <c r="A86" s="201" t="s">
        <v>1474</v>
      </c>
      <c r="B86" s="60">
        <v>28.24</v>
      </c>
      <c r="C86" s="60">
        <v>100.77</v>
      </c>
      <c r="D86" s="60">
        <v>78.260000000000005</v>
      </c>
      <c r="E86" s="60">
        <v>6.49</v>
      </c>
      <c r="F86" s="60">
        <v>4.51</v>
      </c>
      <c r="G86" s="60">
        <v>41.93</v>
      </c>
      <c r="H86" s="60">
        <v>14.54</v>
      </c>
      <c r="I86" s="60">
        <v>0.6</v>
      </c>
      <c r="J86" s="60">
        <v>0.03</v>
      </c>
      <c r="K86" s="60">
        <v>150.84</v>
      </c>
      <c r="L86" s="60">
        <v>22.58</v>
      </c>
      <c r="M86" s="60">
        <v>22.58</v>
      </c>
      <c r="N86" s="60">
        <v>4.2</v>
      </c>
      <c r="O86" s="60">
        <v>0</v>
      </c>
      <c r="P86" s="60">
        <v>1.21</v>
      </c>
      <c r="Q86" s="60">
        <v>25.41</v>
      </c>
      <c r="R86" s="198"/>
      <c r="S86" s="198"/>
      <c r="T86" s="198"/>
      <c r="U86" s="198"/>
    </row>
    <row r="87" spans="1:26" s="12" customFormat="1" x14ac:dyDescent="0.25">
      <c r="A87" s="201" t="s">
        <v>1475</v>
      </c>
      <c r="B87" s="60">
        <v>25.24</v>
      </c>
      <c r="C87" s="60">
        <v>98.58</v>
      </c>
      <c r="D87" s="60">
        <v>74.64</v>
      </c>
      <c r="E87" s="60">
        <v>6.79</v>
      </c>
      <c r="F87" s="60">
        <v>4.6100000000000003</v>
      </c>
      <c r="G87" s="60">
        <v>51.1</v>
      </c>
      <c r="H87" s="60">
        <v>17.43</v>
      </c>
      <c r="I87" s="60">
        <v>0.61</v>
      </c>
      <c r="J87" s="60">
        <v>0.04</v>
      </c>
      <c r="K87" s="60">
        <v>313.39999999999998</v>
      </c>
      <c r="L87" s="60">
        <v>22.89</v>
      </c>
      <c r="M87" s="60">
        <v>21.54</v>
      </c>
      <c r="N87" s="60">
        <v>3.6</v>
      </c>
      <c r="O87" s="60">
        <v>0</v>
      </c>
      <c r="P87" s="60">
        <v>1.1299999999999999</v>
      </c>
      <c r="Q87" s="60">
        <v>25.6</v>
      </c>
      <c r="R87" s="198"/>
      <c r="S87" s="198"/>
      <c r="T87" s="198"/>
      <c r="U87" s="198"/>
    </row>
    <row r="88" spans="1:26" s="12" customFormat="1" x14ac:dyDescent="0.25">
      <c r="A88" s="201" t="s">
        <v>1476</v>
      </c>
      <c r="B88" s="60">
        <v>25.04</v>
      </c>
      <c r="C88" s="60">
        <v>96.89</v>
      </c>
      <c r="D88" s="60">
        <v>73.55</v>
      </c>
      <c r="E88" s="60">
        <v>4.82</v>
      </c>
      <c r="F88" s="60">
        <v>4.7300000000000004</v>
      </c>
      <c r="G88" s="60">
        <v>62.07</v>
      </c>
      <c r="H88" s="60">
        <v>20.89</v>
      </c>
      <c r="I88" s="60">
        <v>0.66</v>
      </c>
      <c r="J88" s="60">
        <v>0.11</v>
      </c>
      <c r="K88" s="60">
        <v>329.04</v>
      </c>
      <c r="L88" s="60">
        <v>22.76</v>
      </c>
      <c r="M88" s="60">
        <v>22.02</v>
      </c>
      <c r="N88" s="60">
        <v>4</v>
      </c>
      <c r="O88" s="60">
        <v>0</v>
      </c>
      <c r="P88" s="60">
        <v>1.1499999999999999</v>
      </c>
      <c r="Q88" s="60">
        <v>25.83</v>
      </c>
      <c r="R88" s="198"/>
      <c r="S88" s="198"/>
      <c r="T88" s="198"/>
      <c r="U88" s="198"/>
    </row>
    <row r="89" spans="1:26" s="12" customFormat="1" x14ac:dyDescent="0.25">
      <c r="A89" s="201" t="s">
        <v>1477</v>
      </c>
      <c r="B89" s="60">
        <v>25.12</v>
      </c>
      <c r="C89" s="60">
        <v>95.04</v>
      </c>
      <c r="D89" s="60">
        <v>72.59</v>
      </c>
      <c r="E89" s="60">
        <v>6.79</v>
      </c>
      <c r="F89" s="60">
        <v>4.82</v>
      </c>
      <c r="G89" s="60">
        <v>62.07</v>
      </c>
      <c r="H89" s="60">
        <v>20.89</v>
      </c>
      <c r="I89" s="60">
        <v>0.68</v>
      </c>
      <c r="J89" s="60">
        <v>0.1</v>
      </c>
      <c r="K89" s="60">
        <v>329.86</v>
      </c>
      <c r="L89" s="60">
        <v>22.25</v>
      </c>
      <c r="M89" s="60">
        <v>23.06</v>
      </c>
      <c r="N89" s="60">
        <v>4.0999999999999996</v>
      </c>
      <c r="O89" s="60">
        <v>0</v>
      </c>
      <c r="P89" s="60">
        <v>1.18</v>
      </c>
      <c r="Q89" s="60">
        <v>26.36</v>
      </c>
      <c r="R89" s="198"/>
      <c r="S89" s="198"/>
      <c r="T89" s="198"/>
      <c r="U89" s="198"/>
    </row>
    <row r="90" spans="1:26" s="12" customFormat="1" x14ac:dyDescent="0.25">
      <c r="A90" s="201" t="s">
        <v>1478</v>
      </c>
      <c r="B90" s="60">
        <v>26.56</v>
      </c>
      <c r="C90" s="60">
        <v>95.71</v>
      </c>
      <c r="D90" s="60">
        <v>74.12</v>
      </c>
      <c r="E90" s="60">
        <v>6.63</v>
      </c>
      <c r="F90" s="60">
        <v>4.7699999999999996</v>
      </c>
      <c r="G90" s="60">
        <v>62.07</v>
      </c>
      <c r="H90" s="60">
        <v>20.89</v>
      </c>
      <c r="I90" s="60">
        <v>0.69</v>
      </c>
      <c r="J90" s="60">
        <v>0.21</v>
      </c>
      <c r="K90" s="60">
        <v>348.06</v>
      </c>
      <c r="L90" s="60">
        <v>22.08</v>
      </c>
      <c r="M90" s="60">
        <v>24.63</v>
      </c>
      <c r="N90" s="60">
        <v>3.4</v>
      </c>
      <c r="O90" s="60">
        <v>0</v>
      </c>
      <c r="P90" s="60">
        <v>1.22</v>
      </c>
      <c r="Q90" s="60">
        <v>26.83</v>
      </c>
      <c r="R90" s="198"/>
      <c r="S90" s="198"/>
      <c r="T90" s="198"/>
      <c r="U90" s="198"/>
    </row>
    <row r="91" spans="1:26" s="12" customFormat="1" x14ac:dyDescent="0.25">
      <c r="A91" s="201" t="s">
        <v>1479</v>
      </c>
      <c r="B91" s="60">
        <v>26.3</v>
      </c>
      <c r="C91" s="60">
        <v>94.83</v>
      </c>
      <c r="D91" s="60">
        <v>73.430000000000007</v>
      </c>
      <c r="E91" s="60">
        <v>6.64</v>
      </c>
      <c r="F91" s="60">
        <v>4.7300000000000004</v>
      </c>
      <c r="G91" s="60">
        <v>66.650000000000006</v>
      </c>
      <c r="H91" s="60">
        <v>21.03</v>
      </c>
      <c r="I91" s="60">
        <v>0.71</v>
      </c>
      <c r="J91" s="60">
        <v>0.17</v>
      </c>
      <c r="K91" s="60">
        <v>355.12</v>
      </c>
      <c r="L91" s="60">
        <v>22.13</v>
      </c>
      <c r="M91" s="60">
        <v>25.68</v>
      </c>
      <c r="N91" s="60">
        <v>3.6</v>
      </c>
      <c r="O91" s="60">
        <v>0</v>
      </c>
      <c r="P91" s="60">
        <v>1.22</v>
      </c>
      <c r="Q91" s="60">
        <v>27</v>
      </c>
      <c r="R91" s="198"/>
      <c r="S91" s="198"/>
      <c r="T91" s="198"/>
      <c r="U91" s="198"/>
    </row>
    <row r="92" spans="1:26" s="12" customFormat="1" x14ac:dyDescent="0.25">
      <c r="A92" s="201" t="s">
        <v>1480</v>
      </c>
      <c r="B92" s="60">
        <v>26.81</v>
      </c>
      <c r="C92" s="60">
        <v>94.83</v>
      </c>
      <c r="D92" s="60">
        <v>73.84</v>
      </c>
      <c r="E92" s="60">
        <v>7.02</v>
      </c>
      <c r="F92" s="60">
        <v>4.76</v>
      </c>
      <c r="G92" s="60">
        <v>72.13</v>
      </c>
      <c r="H92" s="60">
        <v>21.2</v>
      </c>
      <c r="I92" s="60">
        <v>0.71</v>
      </c>
      <c r="J92" s="60">
        <v>0.18</v>
      </c>
      <c r="K92" s="60">
        <v>354.71</v>
      </c>
      <c r="L92" s="60">
        <v>21.86</v>
      </c>
      <c r="M92" s="60">
        <v>27.83</v>
      </c>
      <c r="N92" s="60">
        <v>3.8</v>
      </c>
      <c r="O92" s="60">
        <v>0</v>
      </c>
      <c r="P92" s="60">
        <v>1.22</v>
      </c>
      <c r="Q92" s="60">
        <v>27.27</v>
      </c>
      <c r="R92" s="198"/>
      <c r="S92" s="198"/>
      <c r="T92" s="198"/>
      <c r="U92" s="198"/>
    </row>
    <row r="93" spans="1:26" s="12" customFormat="1" x14ac:dyDescent="0.25">
      <c r="A93" s="201" t="s">
        <v>1481</v>
      </c>
      <c r="B93" s="60">
        <v>26.85</v>
      </c>
      <c r="C93" s="60">
        <v>94.68</v>
      </c>
      <c r="D93" s="60">
        <v>73.78</v>
      </c>
      <c r="E93" s="60">
        <v>6.98</v>
      </c>
      <c r="F93" s="60">
        <v>4.78</v>
      </c>
      <c r="G93" s="60">
        <v>72.13</v>
      </c>
      <c r="H93" s="60">
        <v>21.2</v>
      </c>
      <c r="I93" s="60">
        <v>0.68</v>
      </c>
      <c r="J93" s="60">
        <v>0.15</v>
      </c>
      <c r="K93" s="60">
        <v>3.53</v>
      </c>
      <c r="L93" s="60">
        <v>21.64</v>
      </c>
      <c r="M93" s="60">
        <v>28.92</v>
      </c>
      <c r="N93" s="60">
        <v>3.8</v>
      </c>
      <c r="O93" s="60">
        <v>0</v>
      </c>
      <c r="P93" s="60">
        <v>1.21</v>
      </c>
      <c r="Q93" s="60">
        <v>27.67</v>
      </c>
      <c r="R93" s="198"/>
      <c r="S93" s="198"/>
      <c r="T93" s="198"/>
      <c r="U93" s="198"/>
    </row>
    <row r="94" spans="1:26" s="12" customFormat="1" x14ac:dyDescent="0.25">
      <c r="A94" s="201" t="s">
        <v>1482</v>
      </c>
      <c r="B94" s="60">
        <v>26.04</v>
      </c>
      <c r="C94" s="60">
        <v>94.38</v>
      </c>
      <c r="D94" s="60">
        <v>72.97</v>
      </c>
      <c r="E94" s="60">
        <v>6.68</v>
      </c>
      <c r="F94" s="60">
        <v>4.67</v>
      </c>
      <c r="G94" s="60">
        <v>72.13</v>
      </c>
      <c r="H94" s="60">
        <v>21.2</v>
      </c>
      <c r="I94" s="60">
        <v>0.69</v>
      </c>
      <c r="J94" s="60">
        <v>0.23</v>
      </c>
      <c r="K94" s="60">
        <v>15.08</v>
      </c>
      <c r="L94" s="60">
        <v>21.42</v>
      </c>
      <c r="M94" s="60">
        <v>29.89</v>
      </c>
      <c r="N94" s="60">
        <v>3.5</v>
      </c>
      <c r="O94" s="60">
        <v>0</v>
      </c>
      <c r="P94" s="60">
        <v>1.21</v>
      </c>
      <c r="Q94" s="60">
        <v>28.47</v>
      </c>
      <c r="R94" s="198"/>
      <c r="S94" s="198"/>
      <c r="T94" s="198"/>
      <c r="U94" s="198"/>
    </row>
    <row r="95" spans="1:26" s="12" customFormat="1" x14ac:dyDescent="0.25">
      <c r="A95" s="201" t="s">
        <v>1483</v>
      </c>
      <c r="B95" s="60">
        <v>24.3</v>
      </c>
      <c r="C95" s="60">
        <v>93.59</v>
      </c>
      <c r="D95" s="60">
        <v>71.13</v>
      </c>
      <c r="E95" s="60">
        <v>6.49</v>
      </c>
      <c r="F95" s="60">
        <v>4.7</v>
      </c>
      <c r="G95" s="60">
        <v>67.47</v>
      </c>
      <c r="H95" s="60">
        <v>21.2</v>
      </c>
      <c r="I95" s="60">
        <v>0.74</v>
      </c>
      <c r="J95" s="60">
        <v>0.2</v>
      </c>
      <c r="K95" s="60">
        <v>355.28</v>
      </c>
      <c r="L95" s="60">
        <v>21.04</v>
      </c>
      <c r="M95" s="60">
        <v>31.37</v>
      </c>
      <c r="N95" s="60">
        <v>3.8</v>
      </c>
      <c r="O95" s="60">
        <v>0</v>
      </c>
      <c r="P95" s="60">
        <v>1.18</v>
      </c>
      <c r="Q95" s="60">
        <v>28.28</v>
      </c>
      <c r="R95" s="198"/>
      <c r="S95" s="198"/>
      <c r="T95" s="198"/>
      <c r="U95" s="198"/>
    </row>
    <row r="96" spans="1:26" s="12" customFormat="1" x14ac:dyDescent="0.25">
      <c r="A96" s="201" t="s">
        <v>1484</v>
      </c>
      <c r="B96" s="60">
        <v>22.56</v>
      </c>
      <c r="C96" s="60">
        <v>93.04</v>
      </c>
      <c r="D96" s="60">
        <v>69.44</v>
      </c>
      <c r="E96" s="60">
        <v>6.51</v>
      </c>
      <c r="F96" s="60">
        <v>4.7</v>
      </c>
      <c r="G96" s="60">
        <v>61.9</v>
      </c>
      <c r="H96" s="60">
        <v>21.21</v>
      </c>
      <c r="I96" s="60">
        <v>0.69</v>
      </c>
      <c r="J96" s="60">
        <v>0.23</v>
      </c>
      <c r="K96" s="60">
        <v>348.04</v>
      </c>
      <c r="L96" s="60">
        <v>20.59</v>
      </c>
      <c r="M96" s="60">
        <v>33.1</v>
      </c>
      <c r="N96" s="60">
        <v>3.7</v>
      </c>
      <c r="O96" s="60">
        <v>0</v>
      </c>
      <c r="P96" s="60">
        <v>1.1599999999999999</v>
      </c>
      <c r="Q96" s="60">
        <v>28.1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1485</v>
      </c>
      <c r="B97" s="60">
        <v>21.36</v>
      </c>
      <c r="C97" s="60">
        <v>92.94</v>
      </c>
      <c r="D97" s="60">
        <v>68.42</v>
      </c>
      <c r="E97" s="60">
        <v>6.57</v>
      </c>
      <c r="F97" s="60">
        <v>4.6100000000000003</v>
      </c>
      <c r="G97" s="60">
        <v>61.9</v>
      </c>
      <c r="H97" s="60">
        <v>21.21</v>
      </c>
      <c r="I97" s="60">
        <v>0.67</v>
      </c>
      <c r="J97" s="60">
        <v>0.28000000000000003</v>
      </c>
      <c r="K97" s="60">
        <v>352.67</v>
      </c>
      <c r="L97" s="60">
        <v>20.36</v>
      </c>
      <c r="M97" s="60">
        <v>33.770000000000003</v>
      </c>
      <c r="N97" s="60">
        <v>3.6</v>
      </c>
      <c r="O97" s="60">
        <v>0</v>
      </c>
      <c r="P97" s="60">
        <v>1.1499999999999999</v>
      </c>
      <c r="Q97" s="60">
        <v>28.05</v>
      </c>
      <c r="R97" s="198"/>
      <c r="S97" s="198"/>
      <c r="T97" s="198"/>
      <c r="U97" s="198"/>
    </row>
    <row r="98" spans="1:33" s="12" customFormat="1" x14ac:dyDescent="0.25">
      <c r="A98" s="201" t="s">
        <v>1486</v>
      </c>
      <c r="B98" s="60">
        <v>20.74</v>
      </c>
      <c r="C98" s="60">
        <v>93.58</v>
      </c>
      <c r="D98" s="60">
        <v>68.27</v>
      </c>
      <c r="E98" s="60">
        <v>6.34</v>
      </c>
      <c r="F98" s="60">
        <v>4.5999999999999996</v>
      </c>
      <c r="G98" s="60">
        <v>61.9</v>
      </c>
      <c r="H98" s="60">
        <v>21.21</v>
      </c>
      <c r="I98" s="60">
        <v>0.66</v>
      </c>
      <c r="J98" s="60">
        <v>0.38</v>
      </c>
      <c r="K98" s="60">
        <v>344.91</v>
      </c>
      <c r="L98" s="60">
        <v>20.079999999999998</v>
      </c>
      <c r="M98" s="60">
        <v>34.47</v>
      </c>
      <c r="N98" s="60">
        <v>3.3</v>
      </c>
      <c r="O98" s="60">
        <v>0</v>
      </c>
      <c r="P98" s="60">
        <v>1.1299999999999999</v>
      </c>
      <c r="Q98" s="60">
        <v>28.05</v>
      </c>
      <c r="R98" s="198"/>
      <c r="S98" s="198"/>
      <c r="T98" s="198"/>
      <c r="U98" s="198"/>
    </row>
    <row r="99" spans="1:33" s="12" customFormat="1" x14ac:dyDescent="0.25">
      <c r="A99" s="201" t="s">
        <v>1487</v>
      </c>
      <c r="B99" s="60">
        <v>19.88</v>
      </c>
      <c r="C99" s="60">
        <v>94.14</v>
      </c>
      <c r="D99" s="60">
        <v>67.900000000000006</v>
      </c>
      <c r="E99" s="60">
        <v>6.3</v>
      </c>
      <c r="F99" s="60">
        <v>4.57</v>
      </c>
      <c r="G99" s="60">
        <v>60.58</v>
      </c>
      <c r="H99" s="60">
        <v>20.73</v>
      </c>
      <c r="I99" s="60">
        <v>0.65</v>
      </c>
      <c r="J99" s="60">
        <v>0.26</v>
      </c>
      <c r="K99" s="60">
        <v>339.56</v>
      </c>
      <c r="L99" s="60">
        <v>19.8</v>
      </c>
      <c r="M99" s="60">
        <v>35.130000000000003</v>
      </c>
      <c r="N99" s="60">
        <v>3.9</v>
      </c>
      <c r="O99" s="60">
        <v>0</v>
      </c>
      <c r="P99" s="60">
        <v>1.1000000000000001</v>
      </c>
      <c r="Q99" s="60">
        <v>28</v>
      </c>
      <c r="R99" s="198"/>
      <c r="S99" s="198"/>
      <c r="T99" s="198"/>
      <c r="U99" s="198"/>
    </row>
    <row r="100" spans="1:33" s="12" customFormat="1" x14ac:dyDescent="0.25">
      <c r="A100" s="201" t="s">
        <v>1488</v>
      </c>
      <c r="B100" s="60">
        <v>18.64</v>
      </c>
      <c r="C100" s="60">
        <v>94.15</v>
      </c>
      <c r="D100" s="60">
        <v>66.91</v>
      </c>
      <c r="E100" s="60">
        <v>6.56</v>
      </c>
      <c r="F100" s="60">
        <v>4.6900000000000004</v>
      </c>
      <c r="G100" s="60">
        <v>59.01</v>
      </c>
      <c r="H100" s="60">
        <v>20.149999999999999</v>
      </c>
      <c r="I100" s="60">
        <v>0.69</v>
      </c>
      <c r="J100" s="60">
        <v>0.11</v>
      </c>
      <c r="K100" s="60">
        <v>357.42</v>
      </c>
      <c r="L100" s="60">
        <v>19.54</v>
      </c>
      <c r="M100" s="60">
        <v>34.65</v>
      </c>
      <c r="N100" s="60">
        <v>4.4000000000000004</v>
      </c>
      <c r="O100" s="60">
        <v>0</v>
      </c>
      <c r="P100" s="60">
        <v>1.07</v>
      </c>
      <c r="Q100" s="60">
        <v>27.43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1489</v>
      </c>
      <c r="B101" s="60">
        <v>18.09</v>
      </c>
      <c r="C101" s="60">
        <v>94</v>
      </c>
      <c r="D101" s="60">
        <v>66.38</v>
      </c>
      <c r="E101" s="60">
        <v>6.91</v>
      </c>
      <c r="F101" s="60">
        <v>4.66</v>
      </c>
      <c r="G101" s="60">
        <v>59.01</v>
      </c>
      <c r="H101" s="60">
        <v>20.149999999999999</v>
      </c>
      <c r="I101" s="60">
        <v>0.64</v>
      </c>
      <c r="J101" s="60">
        <v>0.05</v>
      </c>
      <c r="K101" s="60">
        <v>355.68</v>
      </c>
      <c r="L101" s="60">
        <v>19.29</v>
      </c>
      <c r="M101" s="60">
        <v>34.96</v>
      </c>
      <c r="N101" s="60">
        <v>4.5</v>
      </c>
      <c r="O101" s="60">
        <v>0</v>
      </c>
      <c r="P101" s="60">
        <v>1.06</v>
      </c>
      <c r="Q101" s="60">
        <v>27.06</v>
      </c>
      <c r="R101" s="198"/>
      <c r="S101" s="198"/>
      <c r="T101" s="198"/>
      <c r="U101" s="198"/>
    </row>
    <row r="102" spans="1:33" s="12" customFormat="1" x14ac:dyDescent="0.25">
      <c r="A102" s="201" t="s">
        <v>1490</v>
      </c>
      <c r="B102" s="60">
        <v>17.920000000000002</v>
      </c>
      <c r="C102" s="60">
        <v>93.82</v>
      </c>
      <c r="D102" s="60">
        <v>66.14</v>
      </c>
      <c r="E102" s="60">
        <v>6.87</v>
      </c>
      <c r="F102" s="60">
        <v>4.58</v>
      </c>
      <c r="G102" s="60">
        <v>59.01</v>
      </c>
      <c r="H102" s="60">
        <v>20.149999999999999</v>
      </c>
      <c r="I102" s="60">
        <v>0.67</v>
      </c>
      <c r="J102" s="60">
        <v>0.52</v>
      </c>
      <c r="K102" s="60">
        <v>350.62</v>
      </c>
      <c r="L102" s="60">
        <v>18.78</v>
      </c>
      <c r="M102" s="60">
        <v>39.82</v>
      </c>
      <c r="N102" s="60">
        <v>3.3</v>
      </c>
      <c r="O102" s="60">
        <v>0</v>
      </c>
      <c r="P102" s="60">
        <v>1.04</v>
      </c>
      <c r="Q102" s="60">
        <v>27.11</v>
      </c>
      <c r="R102" s="198"/>
      <c r="S102" s="198"/>
      <c r="T102" s="198"/>
      <c r="U102" s="198"/>
    </row>
    <row r="103" spans="1:33" s="12" customFormat="1" x14ac:dyDescent="0.25">
      <c r="A103" s="201" t="s">
        <v>1491</v>
      </c>
      <c r="B103" s="60">
        <v>17.84</v>
      </c>
      <c r="C103" s="60">
        <v>93.24</v>
      </c>
      <c r="D103" s="60">
        <v>65.77</v>
      </c>
      <c r="E103" s="60">
        <v>6.94</v>
      </c>
      <c r="F103" s="60">
        <v>4.51</v>
      </c>
      <c r="G103" s="60">
        <v>58.21</v>
      </c>
      <c r="H103" s="60">
        <v>20.5</v>
      </c>
      <c r="I103" s="60">
        <v>0.68</v>
      </c>
      <c r="J103" s="60">
        <v>0.62</v>
      </c>
      <c r="K103" s="60">
        <v>4.01</v>
      </c>
      <c r="L103" s="60">
        <v>18.46</v>
      </c>
      <c r="M103" s="60">
        <v>38.06</v>
      </c>
      <c r="N103" s="60">
        <v>3</v>
      </c>
      <c r="O103" s="60">
        <v>0</v>
      </c>
      <c r="P103" s="60">
        <v>1.02</v>
      </c>
      <c r="Q103" s="60">
        <v>26.98</v>
      </c>
      <c r="R103" s="198"/>
      <c r="S103" s="198"/>
      <c r="T103" s="198"/>
      <c r="U103" s="198"/>
    </row>
    <row r="104" spans="1:33" s="12" customFormat="1" x14ac:dyDescent="0.25">
      <c r="A104" s="201" t="s">
        <v>1492</v>
      </c>
      <c r="B104" s="60">
        <v>17.420000000000002</v>
      </c>
      <c r="C104" s="60">
        <v>92.37</v>
      </c>
      <c r="D104" s="60">
        <v>64.95</v>
      </c>
      <c r="E104" s="60">
        <v>4.83</v>
      </c>
      <c r="F104" s="60">
        <v>4.5999999999999996</v>
      </c>
      <c r="G104" s="60">
        <v>57.25</v>
      </c>
      <c r="H104" s="60">
        <v>20.91</v>
      </c>
      <c r="I104" s="60">
        <v>0.65</v>
      </c>
      <c r="J104" s="60">
        <v>0.71</v>
      </c>
      <c r="K104" s="60">
        <v>13.74</v>
      </c>
      <c r="L104" s="60">
        <v>18.53</v>
      </c>
      <c r="M104" s="60">
        <v>34.93</v>
      </c>
      <c r="N104" s="60">
        <v>3.4</v>
      </c>
      <c r="O104" s="60">
        <v>0</v>
      </c>
      <c r="P104" s="60">
        <v>0.99</v>
      </c>
      <c r="Q104" s="60">
        <v>26.82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2.14</v>
      </c>
      <c r="C106" s="67">
        <f>MIN(C9:C104)</f>
        <v>66.33</v>
      </c>
      <c r="D106" s="67">
        <f t="shared" ref="D106:Q106" si="0">MIN(D9:D104)</f>
        <v>39.17</v>
      </c>
      <c r="E106" s="67">
        <f t="shared" si="0"/>
        <v>4.53</v>
      </c>
      <c r="F106" s="67">
        <f t="shared" si="0"/>
        <v>4.51</v>
      </c>
      <c r="G106" s="67">
        <f t="shared" si="0"/>
        <v>26.9</v>
      </c>
      <c r="H106" s="67">
        <f t="shared" si="0"/>
        <v>14.54</v>
      </c>
      <c r="I106" s="67">
        <f t="shared" si="0"/>
        <v>0.52</v>
      </c>
      <c r="J106" s="67">
        <f t="shared" si="0"/>
        <v>0.01</v>
      </c>
      <c r="K106" s="67">
        <f t="shared" si="0"/>
        <v>0.39</v>
      </c>
      <c r="L106" s="67">
        <f t="shared" si="0"/>
        <v>14.64</v>
      </c>
      <c r="M106" s="67">
        <f t="shared" si="0"/>
        <v>10.25</v>
      </c>
      <c r="N106" s="67">
        <f t="shared" si="0"/>
        <v>3</v>
      </c>
      <c r="O106" s="67">
        <f t="shared" si="0"/>
        <v>0</v>
      </c>
      <c r="P106" s="67">
        <f t="shared" si="0"/>
        <v>0.55000000000000004</v>
      </c>
      <c r="Q106" s="67">
        <f t="shared" si="0"/>
        <v>19.98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34.130000000000003</v>
      </c>
      <c r="C107" s="66">
        <f t="shared" ref="C107:Q107" si="1">MAX(C9:C104)</f>
        <v>100.77</v>
      </c>
      <c r="D107" s="66">
        <f t="shared" si="1"/>
        <v>81.87</v>
      </c>
      <c r="E107" s="66">
        <f t="shared" si="1"/>
        <v>10.93</v>
      </c>
      <c r="F107" s="66">
        <f t="shared" si="1"/>
        <v>8.56</v>
      </c>
      <c r="G107" s="66">
        <f t="shared" si="1"/>
        <v>132.59</v>
      </c>
      <c r="H107" s="66">
        <f t="shared" si="1"/>
        <v>55.53</v>
      </c>
      <c r="I107" s="66">
        <f t="shared" si="1"/>
        <v>0.77</v>
      </c>
      <c r="J107" s="66">
        <f t="shared" si="1"/>
        <v>2.23</v>
      </c>
      <c r="K107" s="66">
        <f t="shared" si="1"/>
        <v>358.92</v>
      </c>
      <c r="L107" s="66">
        <f t="shared" si="1"/>
        <v>33.409999999999997</v>
      </c>
      <c r="M107" s="66">
        <f t="shared" si="1"/>
        <v>57.15</v>
      </c>
      <c r="N107" s="66">
        <f t="shared" si="1"/>
        <v>658.1</v>
      </c>
      <c r="O107" s="66">
        <f t="shared" si="1"/>
        <v>0</v>
      </c>
      <c r="P107" s="66">
        <f t="shared" si="1"/>
        <v>1.91</v>
      </c>
      <c r="Q107" s="66">
        <f t="shared" si="1"/>
        <v>29.71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15.359062499999999</v>
      </c>
      <c r="C108" s="67">
        <f t="shared" ref="C108:Q108" si="2">AVERAGE(C9:C104)</f>
        <v>83.06145833333332</v>
      </c>
      <c r="D108" s="67">
        <f t="shared" si="2"/>
        <v>58.156041666666681</v>
      </c>
      <c r="E108" s="67">
        <f t="shared" si="2"/>
        <v>7.0734374999999972</v>
      </c>
      <c r="F108" s="67">
        <f t="shared" si="2"/>
        <v>5.2985416666666678</v>
      </c>
      <c r="G108" s="67">
        <f t="shared" si="2"/>
        <v>65.75083333333329</v>
      </c>
      <c r="H108" s="67">
        <f t="shared" si="2"/>
        <v>30.927291666666672</v>
      </c>
      <c r="I108" s="67">
        <f t="shared" si="2"/>
        <v>0.62333333333333296</v>
      </c>
      <c r="J108" s="67">
        <f t="shared" si="2"/>
        <v>0.5356249999999998</v>
      </c>
      <c r="K108" s="67">
        <f t="shared" si="2"/>
        <v>172.43302083333336</v>
      </c>
      <c r="L108" s="67">
        <f t="shared" si="2"/>
        <v>23.935625000000012</v>
      </c>
      <c r="M108" s="67">
        <f t="shared" si="2"/>
        <v>28.03104166666667</v>
      </c>
      <c r="N108" s="67">
        <f t="shared" si="2"/>
        <v>176.37812499999998</v>
      </c>
      <c r="O108" s="67">
        <f t="shared" si="2"/>
        <v>0</v>
      </c>
      <c r="P108" s="67">
        <f t="shared" si="2"/>
        <v>0.98354166666666609</v>
      </c>
      <c r="Q108" s="67">
        <f t="shared" si="2"/>
        <v>25.073645833333345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9.4778364262298016</v>
      </c>
      <c r="C109" s="67">
        <f t="shared" ref="C109:Q109" si="3">STDEV(C9:C104)</f>
        <v>9.5863999037197303</v>
      </c>
      <c r="D109" s="67">
        <f t="shared" si="3"/>
        <v>12.561930163387368</v>
      </c>
      <c r="E109" s="67">
        <f t="shared" si="3"/>
        <v>1.3588120416281739</v>
      </c>
      <c r="F109" s="67">
        <f t="shared" si="3"/>
        <v>0.98168488798504883</v>
      </c>
      <c r="G109" s="67">
        <f t="shared" si="3"/>
        <v>31.790653133691134</v>
      </c>
      <c r="H109" s="67">
        <f t="shared" si="3"/>
        <v>13.750111155850556</v>
      </c>
      <c r="I109" s="67">
        <f t="shared" si="3"/>
        <v>6.8972407399311111E-2</v>
      </c>
      <c r="J109" s="67">
        <f t="shared" si="3"/>
        <v>0.56018946512952694</v>
      </c>
      <c r="K109" s="67">
        <f t="shared" si="3"/>
        <v>154.57419938670773</v>
      </c>
      <c r="L109" s="67">
        <f t="shared" si="3"/>
        <v>6.3199198550047857</v>
      </c>
      <c r="M109" s="67">
        <f t="shared" si="3"/>
        <v>13.934070888835283</v>
      </c>
      <c r="N109" s="67">
        <f t="shared" si="3"/>
        <v>239.07831449927835</v>
      </c>
      <c r="O109" s="67">
        <f t="shared" si="3"/>
        <v>0</v>
      </c>
      <c r="P109" s="67">
        <f t="shared" si="3"/>
        <v>0.34313716504495412</v>
      </c>
      <c r="Q109" s="67">
        <f t="shared" si="3"/>
        <v>3.1285080082134518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240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6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D9" sqref="D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14-02-2023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340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1496</v>
      </c>
      <c r="B9" s="60">
        <v>16.329999999999998</v>
      </c>
      <c r="C9" s="60">
        <v>90.56</v>
      </c>
      <c r="D9" s="60">
        <v>63.07</v>
      </c>
      <c r="E9" s="60">
        <v>6.2</v>
      </c>
      <c r="F9" s="60">
        <v>4.58</v>
      </c>
      <c r="G9" s="60">
        <v>57.25</v>
      </c>
      <c r="H9" s="60">
        <v>20.91</v>
      </c>
      <c r="I9" s="60">
        <v>0.64</v>
      </c>
      <c r="J9" s="60">
        <v>0.73</v>
      </c>
      <c r="K9" s="60">
        <v>16.059999999999999</v>
      </c>
      <c r="L9" s="60">
        <v>18.309999999999999</v>
      </c>
      <c r="M9" s="60">
        <v>33.82</v>
      </c>
      <c r="N9" s="60">
        <v>3.5</v>
      </c>
      <c r="O9" s="60">
        <v>0</v>
      </c>
      <c r="P9" s="60">
        <v>0.96</v>
      </c>
      <c r="Q9" s="60">
        <v>26.79</v>
      </c>
      <c r="R9" s="198"/>
      <c r="S9" s="198"/>
      <c r="T9" s="198"/>
      <c r="U9" s="198"/>
    </row>
    <row r="10" spans="1:21" s="12" customFormat="1" x14ac:dyDescent="0.25">
      <c r="A10" s="201" t="s">
        <v>1497</v>
      </c>
      <c r="B10" s="60">
        <v>15.02</v>
      </c>
      <c r="C10" s="60">
        <v>88.55</v>
      </c>
      <c r="D10" s="60">
        <v>60.91</v>
      </c>
      <c r="E10" s="60">
        <v>5.81</v>
      </c>
      <c r="F10" s="60">
        <v>4.67</v>
      </c>
      <c r="G10" s="60">
        <v>57.25</v>
      </c>
      <c r="H10" s="60">
        <v>20.91</v>
      </c>
      <c r="I10" s="60">
        <v>0.64</v>
      </c>
      <c r="J10" s="60">
        <v>0.55000000000000004</v>
      </c>
      <c r="K10" s="60">
        <v>356.47</v>
      </c>
      <c r="L10" s="60">
        <v>18.13</v>
      </c>
      <c r="M10" s="60">
        <v>33.61</v>
      </c>
      <c r="N10" s="60">
        <v>3.9</v>
      </c>
      <c r="O10" s="60">
        <v>0</v>
      </c>
      <c r="P10" s="60">
        <v>0.93</v>
      </c>
      <c r="Q10" s="60">
        <v>26.63</v>
      </c>
      <c r="R10" s="198"/>
      <c r="S10" s="198"/>
      <c r="T10" s="198"/>
      <c r="U10" s="198"/>
    </row>
    <row r="11" spans="1:21" s="12" customFormat="1" x14ac:dyDescent="0.25">
      <c r="A11" s="201" t="s">
        <v>1498</v>
      </c>
      <c r="B11" s="60">
        <v>13.72</v>
      </c>
      <c r="C11" s="60">
        <v>86.84</v>
      </c>
      <c r="D11" s="60">
        <v>58.93</v>
      </c>
      <c r="E11" s="60">
        <v>6.22</v>
      </c>
      <c r="F11" s="60">
        <v>4.62</v>
      </c>
      <c r="G11" s="60">
        <v>54.05</v>
      </c>
      <c r="H11" s="60">
        <v>18.82</v>
      </c>
      <c r="I11" s="60">
        <v>0.67</v>
      </c>
      <c r="J11" s="60">
        <v>0.16</v>
      </c>
      <c r="K11" s="60">
        <v>332.95</v>
      </c>
      <c r="L11" s="60">
        <v>17.86</v>
      </c>
      <c r="M11" s="60">
        <v>33.93</v>
      </c>
      <c r="N11" s="60">
        <v>4.5999999999999996</v>
      </c>
      <c r="O11" s="60">
        <v>0</v>
      </c>
      <c r="P11" s="60">
        <v>0.9</v>
      </c>
      <c r="Q11" s="60">
        <v>26.36</v>
      </c>
      <c r="R11" s="198"/>
      <c r="S11" s="198"/>
      <c r="T11" s="198"/>
      <c r="U11" s="198"/>
    </row>
    <row r="12" spans="1:21" s="12" customFormat="1" x14ac:dyDescent="0.25">
      <c r="A12" s="201" t="s">
        <v>1499</v>
      </c>
      <c r="B12" s="60">
        <v>12.28</v>
      </c>
      <c r="C12" s="60">
        <v>84.98</v>
      </c>
      <c r="D12" s="60">
        <v>56.74</v>
      </c>
      <c r="E12" s="60">
        <v>6.89</v>
      </c>
      <c r="F12" s="60">
        <v>4.79</v>
      </c>
      <c r="G12" s="60">
        <v>50.21</v>
      </c>
      <c r="H12" s="60">
        <v>16.32</v>
      </c>
      <c r="I12" s="60">
        <v>0.66</v>
      </c>
      <c r="J12" s="60">
        <v>0.13</v>
      </c>
      <c r="K12" s="60">
        <v>324.70999999999998</v>
      </c>
      <c r="L12" s="60">
        <v>17.61</v>
      </c>
      <c r="M12" s="60">
        <v>35.14</v>
      </c>
      <c r="N12" s="60">
        <v>4.3</v>
      </c>
      <c r="O12" s="60">
        <v>0</v>
      </c>
      <c r="P12" s="60">
        <v>0.86</v>
      </c>
      <c r="Q12" s="60">
        <v>26.96</v>
      </c>
      <c r="R12" s="198"/>
      <c r="S12" s="198"/>
      <c r="T12" s="198"/>
      <c r="U12" s="198"/>
    </row>
    <row r="13" spans="1:21" s="12" customFormat="1" x14ac:dyDescent="0.25">
      <c r="A13" s="201" t="s">
        <v>1500</v>
      </c>
      <c r="B13" s="60">
        <v>10.62</v>
      </c>
      <c r="C13" s="60">
        <v>83.01</v>
      </c>
      <c r="D13" s="60">
        <v>54.33</v>
      </c>
      <c r="E13" s="60">
        <v>7.44</v>
      </c>
      <c r="F13" s="60">
        <v>4.8</v>
      </c>
      <c r="G13" s="60">
        <v>50.21</v>
      </c>
      <c r="H13" s="60">
        <v>16.32</v>
      </c>
      <c r="I13" s="60">
        <v>0.63</v>
      </c>
      <c r="J13" s="60">
        <v>0.17</v>
      </c>
      <c r="K13" s="60">
        <v>329.6</v>
      </c>
      <c r="L13" s="60">
        <v>17.28</v>
      </c>
      <c r="M13" s="60">
        <v>37.03</v>
      </c>
      <c r="N13" s="60">
        <v>4.0999999999999996</v>
      </c>
      <c r="O13" s="60">
        <v>0</v>
      </c>
      <c r="P13" s="60">
        <v>0.82</v>
      </c>
      <c r="Q13" s="60">
        <v>27.04</v>
      </c>
      <c r="R13" s="198"/>
      <c r="S13" s="198"/>
      <c r="T13" s="198"/>
      <c r="U13" s="198"/>
    </row>
    <row r="14" spans="1:21" s="12" customFormat="1" x14ac:dyDescent="0.25">
      <c r="A14" s="201" t="s">
        <v>1501</v>
      </c>
      <c r="B14" s="60">
        <v>9.2100000000000009</v>
      </c>
      <c r="C14" s="60">
        <v>81.2</v>
      </c>
      <c r="D14" s="60">
        <v>52.2</v>
      </c>
      <c r="E14" s="60">
        <v>8.7200000000000006</v>
      </c>
      <c r="F14" s="60">
        <v>4.84</v>
      </c>
      <c r="G14" s="60">
        <v>50.21</v>
      </c>
      <c r="H14" s="60">
        <v>16.32</v>
      </c>
      <c r="I14" s="60">
        <v>0.63</v>
      </c>
      <c r="J14" s="60">
        <v>0.36</v>
      </c>
      <c r="K14" s="60">
        <v>337.75</v>
      </c>
      <c r="L14" s="60">
        <v>16.88</v>
      </c>
      <c r="M14" s="60">
        <v>38.19</v>
      </c>
      <c r="N14" s="60">
        <v>3.5</v>
      </c>
      <c r="O14" s="60">
        <v>0</v>
      </c>
      <c r="P14" s="60">
        <v>0.84</v>
      </c>
      <c r="Q14" s="60">
        <v>26.85</v>
      </c>
      <c r="R14" s="198"/>
      <c r="S14" s="198"/>
      <c r="T14" s="198"/>
      <c r="U14" s="198"/>
    </row>
    <row r="15" spans="1:21" s="12" customFormat="1" x14ac:dyDescent="0.25">
      <c r="A15" s="201" t="s">
        <v>1502</v>
      </c>
      <c r="B15" s="60">
        <v>7.96</v>
      </c>
      <c r="C15" s="60">
        <v>79.81</v>
      </c>
      <c r="D15" s="60">
        <v>50.43</v>
      </c>
      <c r="E15" s="60">
        <v>9.8699999999999992</v>
      </c>
      <c r="F15" s="60">
        <v>4.99</v>
      </c>
      <c r="G15" s="60">
        <v>49.27</v>
      </c>
      <c r="H15" s="60">
        <v>17.28</v>
      </c>
      <c r="I15" s="60">
        <v>0.62</v>
      </c>
      <c r="J15" s="60">
        <v>0.35</v>
      </c>
      <c r="K15" s="60">
        <v>344.5</v>
      </c>
      <c r="L15" s="60">
        <v>16.68</v>
      </c>
      <c r="M15" s="60">
        <v>38.35</v>
      </c>
      <c r="N15" s="60">
        <v>3.7</v>
      </c>
      <c r="O15" s="60">
        <v>0</v>
      </c>
      <c r="P15" s="60">
        <v>0.83</v>
      </c>
      <c r="Q15" s="60">
        <v>26.71</v>
      </c>
      <c r="R15" s="198"/>
      <c r="S15" s="198"/>
      <c r="T15" s="198"/>
      <c r="U15" s="198"/>
    </row>
    <row r="16" spans="1:21" s="12" customFormat="1" x14ac:dyDescent="0.25">
      <c r="A16" s="201" t="s">
        <v>1503</v>
      </c>
      <c r="B16" s="60">
        <v>6.82</v>
      </c>
      <c r="C16" s="60">
        <v>78.510000000000005</v>
      </c>
      <c r="D16" s="60">
        <v>48.8</v>
      </c>
      <c r="E16" s="60">
        <v>10.3</v>
      </c>
      <c r="F16" s="60">
        <v>5.0199999999999996</v>
      </c>
      <c r="G16" s="60">
        <v>48.14</v>
      </c>
      <c r="H16" s="60">
        <v>18.43</v>
      </c>
      <c r="I16" s="60">
        <v>0.63</v>
      </c>
      <c r="J16" s="60">
        <v>0.57999999999999996</v>
      </c>
      <c r="K16" s="60">
        <v>347.23</v>
      </c>
      <c r="L16" s="60">
        <v>16.71</v>
      </c>
      <c r="M16" s="60">
        <v>36.86</v>
      </c>
      <c r="N16" s="60">
        <v>3</v>
      </c>
      <c r="O16" s="60">
        <v>0</v>
      </c>
      <c r="P16" s="60">
        <v>0.84</v>
      </c>
      <c r="Q16" s="60">
        <v>26.66</v>
      </c>
      <c r="R16" s="198"/>
      <c r="S16" s="198"/>
      <c r="T16" s="198"/>
      <c r="U16" s="198"/>
    </row>
    <row r="17" spans="1:21" s="12" customFormat="1" x14ac:dyDescent="0.25">
      <c r="A17" s="201" t="s">
        <v>1504</v>
      </c>
      <c r="B17" s="60">
        <v>5.83</v>
      </c>
      <c r="C17" s="60">
        <v>77.55</v>
      </c>
      <c r="D17" s="60">
        <v>47.48</v>
      </c>
      <c r="E17" s="60">
        <v>13.55</v>
      </c>
      <c r="F17" s="60">
        <v>5</v>
      </c>
      <c r="G17" s="60">
        <v>48.14</v>
      </c>
      <c r="H17" s="60">
        <v>18.43</v>
      </c>
      <c r="I17" s="60">
        <v>0.63</v>
      </c>
      <c r="J17" s="60">
        <v>0.79</v>
      </c>
      <c r="K17" s="60">
        <v>346.95</v>
      </c>
      <c r="L17" s="60">
        <v>16.850000000000001</v>
      </c>
      <c r="M17" s="60">
        <v>36.19</v>
      </c>
      <c r="N17" s="60">
        <v>2.8</v>
      </c>
      <c r="O17" s="60">
        <v>0</v>
      </c>
      <c r="P17" s="60">
        <v>0.83</v>
      </c>
      <c r="Q17" s="60">
        <v>26.53</v>
      </c>
      <c r="R17" s="198"/>
      <c r="S17" s="198"/>
      <c r="T17" s="198"/>
      <c r="U17" s="198"/>
    </row>
    <row r="18" spans="1:21" s="12" customFormat="1" x14ac:dyDescent="0.25">
      <c r="A18" s="201" t="s">
        <v>1505</v>
      </c>
      <c r="B18" s="60">
        <v>5.0999999999999996</v>
      </c>
      <c r="C18" s="60">
        <v>76.930000000000007</v>
      </c>
      <c r="D18" s="60">
        <v>46.55</v>
      </c>
      <c r="E18" s="60">
        <v>15.74</v>
      </c>
      <c r="F18" s="60">
        <v>5.16</v>
      </c>
      <c r="G18" s="60">
        <v>48.14</v>
      </c>
      <c r="H18" s="60">
        <v>18.43</v>
      </c>
      <c r="I18" s="60">
        <v>0.62</v>
      </c>
      <c r="J18" s="60">
        <v>1.05</v>
      </c>
      <c r="K18" s="60">
        <v>346.45</v>
      </c>
      <c r="L18" s="60">
        <v>16.95</v>
      </c>
      <c r="M18" s="60">
        <v>35.880000000000003</v>
      </c>
      <c r="N18" s="60">
        <v>2.9</v>
      </c>
      <c r="O18" s="60">
        <v>0</v>
      </c>
      <c r="P18" s="60">
        <v>0.85</v>
      </c>
      <c r="Q18" s="60">
        <v>26.16</v>
      </c>
      <c r="R18" s="198"/>
      <c r="S18" s="198"/>
      <c r="T18" s="198"/>
      <c r="U18" s="198"/>
    </row>
    <row r="19" spans="1:21" s="12" customFormat="1" x14ac:dyDescent="0.25">
      <c r="A19" s="201" t="s">
        <v>1506</v>
      </c>
      <c r="B19" s="60">
        <v>4.55</v>
      </c>
      <c r="C19" s="60">
        <v>76.260000000000005</v>
      </c>
      <c r="D19" s="60">
        <v>45.73</v>
      </c>
      <c r="E19" s="60">
        <v>15.33</v>
      </c>
      <c r="F19" s="60">
        <v>4.9400000000000004</v>
      </c>
      <c r="G19" s="60">
        <v>52.31</v>
      </c>
      <c r="H19" s="60">
        <v>22.13</v>
      </c>
      <c r="I19" s="60">
        <v>0.59</v>
      </c>
      <c r="J19" s="60">
        <v>0.45</v>
      </c>
      <c r="K19" s="60">
        <v>353.75</v>
      </c>
      <c r="L19" s="60">
        <v>16.899999999999999</v>
      </c>
      <c r="M19" s="60">
        <v>35.74</v>
      </c>
      <c r="N19" s="60">
        <v>4.3</v>
      </c>
      <c r="O19" s="60">
        <v>0</v>
      </c>
      <c r="P19" s="60">
        <v>0.85</v>
      </c>
      <c r="Q19" s="60">
        <v>25.24</v>
      </c>
      <c r="R19" s="198"/>
      <c r="S19" s="198"/>
      <c r="T19" s="198"/>
      <c r="U19" s="198"/>
    </row>
    <row r="20" spans="1:21" s="12" customFormat="1" x14ac:dyDescent="0.25">
      <c r="A20" s="201" t="s">
        <v>1507</v>
      </c>
      <c r="B20" s="60">
        <v>4.3099999999999996</v>
      </c>
      <c r="C20" s="60">
        <v>75.83</v>
      </c>
      <c r="D20" s="60">
        <v>45.31</v>
      </c>
      <c r="E20" s="60">
        <v>14.32</v>
      </c>
      <c r="F20" s="60">
        <v>4.84</v>
      </c>
      <c r="G20" s="60">
        <v>57.31</v>
      </c>
      <c r="H20" s="60">
        <v>26.55</v>
      </c>
      <c r="I20" s="60">
        <v>0.57999999999999996</v>
      </c>
      <c r="J20" s="60">
        <v>0.16</v>
      </c>
      <c r="K20" s="60">
        <v>326.33999999999997</v>
      </c>
      <c r="L20" s="60">
        <v>16.399999999999999</v>
      </c>
      <c r="M20" s="60">
        <v>36.96</v>
      </c>
      <c r="N20" s="60">
        <v>4.8</v>
      </c>
      <c r="O20" s="60">
        <v>0</v>
      </c>
      <c r="P20" s="60">
        <v>0.87</v>
      </c>
      <c r="Q20" s="60">
        <v>24.99</v>
      </c>
      <c r="R20" s="198"/>
      <c r="S20" s="198"/>
      <c r="T20" s="198"/>
      <c r="U20" s="198"/>
    </row>
    <row r="21" spans="1:21" s="12" customFormat="1" x14ac:dyDescent="0.25">
      <c r="A21" s="201" t="s">
        <v>1508</v>
      </c>
      <c r="B21" s="60">
        <v>4.18</v>
      </c>
      <c r="C21" s="60">
        <v>74.900000000000006</v>
      </c>
      <c r="D21" s="60">
        <v>44.69</v>
      </c>
      <c r="E21" s="60">
        <v>13.24</v>
      </c>
      <c r="F21" s="60">
        <v>4.95</v>
      </c>
      <c r="G21" s="60">
        <v>57.31</v>
      </c>
      <c r="H21" s="60">
        <v>26.55</v>
      </c>
      <c r="I21" s="60">
        <v>0.56999999999999995</v>
      </c>
      <c r="J21" s="60">
        <v>0.62</v>
      </c>
      <c r="K21" s="60">
        <v>348.8</v>
      </c>
      <c r="L21" s="60">
        <v>16.170000000000002</v>
      </c>
      <c r="M21" s="60">
        <v>37.72</v>
      </c>
      <c r="N21" s="60">
        <v>3.1</v>
      </c>
      <c r="O21" s="60">
        <v>0</v>
      </c>
      <c r="P21" s="60">
        <v>0.89</v>
      </c>
      <c r="Q21" s="60">
        <v>24.93</v>
      </c>
      <c r="R21" s="198"/>
      <c r="S21" s="198"/>
      <c r="T21" s="198"/>
      <c r="U21" s="198"/>
    </row>
    <row r="22" spans="1:21" s="12" customFormat="1" x14ac:dyDescent="0.25">
      <c r="A22" s="201" t="s">
        <v>1509</v>
      </c>
      <c r="B22" s="60">
        <v>3.94</v>
      </c>
      <c r="C22" s="60">
        <v>73.55</v>
      </c>
      <c r="D22" s="60">
        <v>43.74</v>
      </c>
      <c r="E22" s="60">
        <v>10.39</v>
      </c>
      <c r="F22" s="60">
        <v>5.05</v>
      </c>
      <c r="G22" s="60">
        <v>57.31</v>
      </c>
      <c r="H22" s="60">
        <v>26.55</v>
      </c>
      <c r="I22" s="60">
        <v>0.57999999999999996</v>
      </c>
      <c r="J22" s="60">
        <v>0.76</v>
      </c>
      <c r="K22" s="60">
        <v>353.54</v>
      </c>
      <c r="L22" s="60">
        <v>16.04</v>
      </c>
      <c r="M22" s="60">
        <v>37.24</v>
      </c>
      <c r="N22" s="60">
        <v>3.3</v>
      </c>
      <c r="O22" s="60">
        <v>0</v>
      </c>
      <c r="P22" s="60">
        <v>0.88</v>
      </c>
      <c r="Q22" s="60">
        <v>24.75</v>
      </c>
      <c r="R22" s="198"/>
      <c r="S22" s="198"/>
      <c r="T22" s="198"/>
      <c r="U22" s="198"/>
    </row>
    <row r="23" spans="1:21" s="12" customFormat="1" x14ac:dyDescent="0.25">
      <c r="A23" s="201" t="s">
        <v>1510</v>
      </c>
      <c r="B23" s="60">
        <v>3.56</v>
      </c>
      <c r="C23" s="60">
        <v>72.099999999999994</v>
      </c>
      <c r="D23" s="60">
        <v>42.65</v>
      </c>
      <c r="E23" s="60">
        <v>8.7899999999999991</v>
      </c>
      <c r="F23" s="60">
        <v>5.22</v>
      </c>
      <c r="G23" s="60">
        <v>53.65</v>
      </c>
      <c r="H23" s="60">
        <v>25.13</v>
      </c>
      <c r="I23" s="60">
        <v>0.57999999999999996</v>
      </c>
      <c r="J23" s="60">
        <v>0.8</v>
      </c>
      <c r="K23" s="60">
        <v>1.82</v>
      </c>
      <c r="L23" s="60">
        <v>15.87</v>
      </c>
      <c r="M23" s="60">
        <v>38.19</v>
      </c>
      <c r="N23" s="60">
        <v>3.6</v>
      </c>
      <c r="O23" s="60">
        <v>0</v>
      </c>
      <c r="P23" s="60">
        <v>0.85</v>
      </c>
      <c r="Q23" s="60">
        <v>24.49</v>
      </c>
      <c r="R23" s="198"/>
      <c r="S23" s="198"/>
      <c r="T23" s="198"/>
      <c r="U23" s="198"/>
    </row>
    <row r="24" spans="1:21" s="12" customFormat="1" x14ac:dyDescent="0.25">
      <c r="A24" s="201" t="s">
        <v>1511</v>
      </c>
      <c r="B24" s="60">
        <v>3.28</v>
      </c>
      <c r="C24" s="60">
        <v>70.89</v>
      </c>
      <c r="D24" s="60">
        <v>41.75</v>
      </c>
      <c r="E24" s="60">
        <v>4.8600000000000003</v>
      </c>
      <c r="F24" s="60">
        <v>5.3</v>
      </c>
      <c r="G24" s="60">
        <v>49.08</v>
      </c>
      <c r="H24" s="60">
        <v>23.43</v>
      </c>
      <c r="I24" s="60">
        <v>0.57999999999999996</v>
      </c>
      <c r="J24" s="60">
        <v>0.81</v>
      </c>
      <c r="K24" s="60">
        <v>359.48</v>
      </c>
      <c r="L24" s="60">
        <v>15.87</v>
      </c>
      <c r="M24" s="60">
        <v>38.83</v>
      </c>
      <c r="N24" s="60">
        <v>3.7</v>
      </c>
      <c r="O24" s="60">
        <v>0</v>
      </c>
      <c r="P24" s="60">
        <v>0.81</v>
      </c>
      <c r="Q24" s="60">
        <v>24.16</v>
      </c>
      <c r="R24" s="198"/>
      <c r="S24" s="198"/>
      <c r="T24" s="198"/>
      <c r="U24" s="198"/>
    </row>
    <row r="25" spans="1:21" s="12" customFormat="1" x14ac:dyDescent="0.25">
      <c r="A25" s="201" t="s">
        <v>1512</v>
      </c>
      <c r="B25" s="60">
        <v>3.23</v>
      </c>
      <c r="C25" s="60">
        <v>69.959999999999994</v>
      </c>
      <c r="D25" s="60">
        <v>41.2</v>
      </c>
      <c r="E25" s="60">
        <v>7.39</v>
      </c>
      <c r="F25" s="60">
        <v>5.16</v>
      </c>
      <c r="G25" s="60">
        <v>49.08</v>
      </c>
      <c r="H25" s="60">
        <v>23.43</v>
      </c>
      <c r="I25" s="60">
        <v>0.57999999999999996</v>
      </c>
      <c r="J25" s="60">
        <v>1.22</v>
      </c>
      <c r="K25" s="60">
        <v>357</v>
      </c>
      <c r="L25" s="60">
        <v>16.05</v>
      </c>
      <c r="M25" s="60">
        <v>37.72</v>
      </c>
      <c r="N25" s="60">
        <v>3.2</v>
      </c>
      <c r="O25" s="60">
        <v>0</v>
      </c>
      <c r="P25" s="60">
        <v>0.78</v>
      </c>
      <c r="Q25" s="60">
        <v>24.02</v>
      </c>
      <c r="R25" s="198"/>
      <c r="S25" s="198"/>
      <c r="T25" s="198"/>
      <c r="U25" s="198"/>
    </row>
    <row r="26" spans="1:21" s="12" customFormat="1" x14ac:dyDescent="0.25">
      <c r="A26" s="201" t="s">
        <v>1513</v>
      </c>
      <c r="B26" s="60">
        <v>3.09</v>
      </c>
      <c r="C26" s="60">
        <v>69.099999999999994</v>
      </c>
      <c r="D26" s="60">
        <v>40.61</v>
      </c>
      <c r="E26" s="60">
        <v>7.89</v>
      </c>
      <c r="F26" s="60">
        <v>5.3</v>
      </c>
      <c r="G26" s="60">
        <v>49.08</v>
      </c>
      <c r="H26" s="60">
        <v>23.43</v>
      </c>
      <c r="I26" s="60">
        <v>0.57999999999999996</v>
      </c>
      <c r="J26" s="60">
        <v>0.74</v>
      </c>
      <c r="K26" s="60">
        <v>354.5</v>
      </c>
      <c r="L26" s="60">
        <v>15.9</v>
      </c>
      <c r="M26" s="60">
        <v>38</v>
      </c>
      <c r="N26" s="60">
        <v>4</v>
      </c>
      <c r="O26" s="60">
        <v>0</v>
      </c>
      <c r="P26" s="60">
        <v>0.75</v>
      </c>
      <c r="Q26" s="60">
        <v>24.3</v>
      </c>
      <c r="R26" s="198"/>
      <c r="S26" s="198"/>
      <c r="T26" s="198"/>
      <c r="U26" s="198"/>
    </row>
    <row r="27" spans="1:21" s="12" customFormat="1" x14ac:dyDescent="0.25">
      <c r="A27" s="201" t="s">
        <v>1514</v>
      </c>
      <c r="B27" s="60">
        <v>2.88</v>
      </c>
      <c r="C27" s="60">
        <v>68.59</v>
      </c>
      <c r="D27" s="60">
        <v>40.17</v>
      </c>
      <c r="E27" s="60">
        <v>7.42</v>
      </c>
      <c r="F27" s="60">
        <v>5.36</v>
      </c>
      <c r="G27" s="60">
        <v>46.64</v>
      </c>
      <c r="H27" s="60">
        <v>20.02</v>
      </c>
      <c r="I27" s="60">
        <v>0.56999999999999995</v>
      </c>
      <c r="J27" s="60">
        <v>0.47</v>
      </c>
      <c r="K27" s="60">
        <v>354.13</v>
      </c>
      <c r="L27" s="60">
        <v>15.55</v>
      </c>
      <c r="M27" s="60">
        <v>39.11</v>
      </c>
      <c r="N27" s="60">
        <v>4.2</v>
      </c>
      <c r="O27" s="60">
        <v>0</v>
      </c>
      <c r="P27" s="60">
        <v>0.71</v>
      </c>
      <c r="Q27" s="60">
        <v>24.43</v>
      </c>
      <c r="R27" s="198"/>
      <c r="S27" s="198"/>
      <c r="T27" s="198"/>
      <c r="U27" s="198"/>
    </row>
    <row r="28" spans="1:21" s="12" customFormat="1" x14ac:dyDescent="0.25">
      <c r="A28" s="201" t="s">
        <v>1515</v>
      </c>
      <c r="B28" s="60">
        <v>3.44</v>
      </c>
      <c r="C28" s="60">
        <v>69.42</v>
      </c>
      <c r="D28" s="60">
        <v>41.07</v>
      </c>
      <c r="E28" s="60">
        <v>7.89</v>
      </c>
      <c r="F28" s="60">
        <v>5.16</v>
      </c>
      <c r="G28" s="60">
        <v>43.74</v>
      </c>
      <c r="H28" s="60">
        <v>15.93</v>
      </c>
      <c r="I28" s="60">
        <v>0.59</v>
      </c>
      <c r="J28" s="60">
        <v>0.37</v>
      </c>
      <c r="K28" s="60">
        <v>2.76</v>
      </c>
      <c r="L28" s="60">
        <v>15.42</v>
      </c>
      <c r="M28" s="60">
        <v>40.119999999999997</v>
      </c>
      <c r="N28" s="60">
        <v>4.0999999999999996</v>
      </c>
      <c r="O28" s="60">
        <v>0</v>
      </c>
      <c r="P28" s="60">
        <v>0.7</v>
      </c>
      <c r="Q28" s="60">
        <v>24.52</v>
      </c>
      <c r="R28" s="198"/>
      <c r="S28" s="198"/>
      <c r="T28" s="198"/>
      <c r="U28" s="198"/>
    </row>
    <row r="29" spans="1:21" s="12" customFormat="1" x14ac:dyDescent="0.25">
      <c r="A29" s="201" t="s">
        <v>1516</v>
      </c>
      <c r="B29" s="60">
        <v>3.67</v>
      </c>
      <c r="C29" s="60">
        <v>70.010000000000005</v>
      </c>
      <c r="D29" s="60">
        <v>41.58</v>
      </c>
      <c r="E29" s="60">
        <v>8.0500000000000007</v>
      </c>
      <c r="F29" s="60">
        <v>5.05</v>
      </c>
      <c r="G29" s="60">
        <v>43.74</v>
      </c>
      <c r="H29" s="60">
        <v>15.93</v>
      </c>
      <c r="I29" s="60">
        <v>0.57999999999999996</v>
      </c>
      <c r="J29" s="60">
        <v>0.1</v>
      </c>
      <c r="K29" s="60">
        <v>81.430000000000007</v>
      </c>
      <c r="L29" s="60">
        <v>15.67</v>
      </c>
      <c r="M29" s="60">
        <v>39.159999999999997</v>
      </c>
      <c r="N29" s="60">
        <v>4.4000000000000004</v>
      </c>
      <c r="O29" s="60">
        <v>0</v>
      </c>
      <c r="P29" s="60">
        <v>0.69</v>
      </c>
      <c r="Q29" s="60">
        <v>24.68</v>
      </c>
      <c r="R29" s="198"/>
      <c r="S29" s="198"/>
      <c r="T29" s="198"/>
      <c r="U29" s="198"/>
    </row>
    <row r="30" spans="1:21" s="12" customFormat="1" x14ac:dyDescent="0.25">
      <c r="A30" s="201" t="s">
        <v>1517</v>
      </c>
      <c r="B30" s="60">
        <v>3.79</v>
      </c>
      <c r="C30" s="60">
        <v>70.89</v>
      </c>
      <c r="D30" s="60">
        <v>42.16</v>
      </c>
      <c r="E30" s="60">
        <v>9.06</v>
      </c>
      <c r="F30" s="60">
        <v>4.91</v>
      </c>
      <c r="G30" s="60">
        <v>43.74</v>
      </c>
      <c r="H30" s="60">
        <v>15.93</v>
      </c>
      <c r="I30" s="60">
        <v>0.56000000000000005</v>
      </c>
      <c r="J30" s="60">
        <v>0.09</v>
      </c>
      <c r="K30" s="60">
        <v>264.47000000000003</v>
      </c>
      <c r="L30" s="60">
        <v>15.44</v>
      </c>
      <c r="M30" s="60">
        <v>40.630000000000003</v>
      </c>
      <c r="N30" s="60">
        <v>4.5</v>
      </c>
      <c r="O30" s="60">
        <v>0</v>
      </c>
      <c r="P30" s="60">
        <v>0.69</v>
      </c>
      <c r="Q30" s="60">
        <v>24.84</v>
      </c>
      <c r="R30" s="198"/>
      <c r="S30" s="198"/>
      <c r="T30" s="198"/>
      <c r="U30" s="198"/>
    </row>
    <row r="31" spans="1:21" s="12" customFormat="1" x14ac:dyDescent="0.25">
      <c r="A31" s="201" t="s">
        <v>1518</v>
      </c>
      <c r="B31" s="60">
        <v>4.09</v>
      </c>
      <c r="C31" s="60">
        <v>72.209999999999994</v>
      </c>
      <c r="D31" s="60">
        <v>43.13</v>
      </c>
      <c r="E31" s="60">
        <v>9.0399999999999991</v>
      </c>
      <c r="F31" s="60">
        <v>4.71</v>
      </c>
      <c r="G31" s="60">
        <v>44.59</v>
      </c>
      <c r="H31" s="60">
        <v>17.64</v>
      </c>
      <c r="I31" s="60">
        <v>0.55000000000000004</v>
      </c>
      <c r="J31" s="60">
        <v>0.05</v>
      </c>
      <c r="K31" s="60">
        <v>249.52</v>
      </c>
      <c r="L31" s="60">
        <v>15.16</v>
      </c>
      <c r="M31" s="60">
        <v>42.54</v>
      </c>
      <c r="N31" s="60">
        <v>4.2</v>
      </c>
      <c r="O31" s="60">
        <v>0</v>
      </c>
      <c r="P31" s="60">
        <v>0.71</v>
      </c>
      <c r="Q31" s="60">
        <v>24.87</v>
      </c>
      <c r="R31" s="198"/>
      <c r="S31" s="198"/>
      <c r="T31" s="198"/>
      <c r="U31" s="198"/>
    </row>
    <row r="32" spans="1:21" s="12" customFormat="1" x14ac:dyDescent="0.25">
      <c r="A32" s="201" t="s">
        <v>1519</v>
      </c>
      <c r="B32" s="60">
        <v>4.37</v>
      </c>
      <c r="C32" s="60">
        <v>73.239999999999995</v>
      </c>
      <c r="D32" s="60">
        <v>43.93</v>
      </c>
      <c r="E32" s="60">
        <v>8.84</v>
      </c>
      <c r="F32" s="60">
        <v>4.7</v>
      </c>
      <c r="G32" s="60">
        <v>45.6</v>
      </c>
      <c r="H32" s="60">
        <v>19.690000000000001</v>
      </c>
      <c r="I32" s="60">
        <v>0.55000000000000004</v>
      </c>
      <c r="J32" s="60">
        <v>0.48</v>
      </c>
      <c r="K32" s="60">
        <v>25.41</v>
      </c>
      <c r="L32" s="60">
        <v>15.13</v>
      </c>
      <c r="M32" s="60">
        <v>42.01</v>
      </c>
      <c r="N32" s="60">
        <v>3.1</v>
      </c>
      <c r="O32" s="60">
        <v>0</v>
      </c>
      <c r="P32" s="60">
        <v>0.73</v>
      </c>
      <c r="Q32" s="60">
        <v>24.93</v>
      </c>
      <c r="R32" s="198"/>
      <c r="S32" s="198"/>
      <c r="T32" s="198"/>
      <c r="U32" s="198"/>
    </row>
    <row r="33" spans="1:21" s="12" customFormat="1" x14ac:dyDescent="0.25">
      <c r="A33" s="201" t="s">
        <v>1520</v>
      </c>
      <c r="B33" s="60">
        <v>4.95</v>
      </c>
      <c r="C33" s="60">
        <v>74.17</v>
      </c>
      <c r="D33" s="60">
        <v>44.9</v>
      </c>
      <c r="E33" s="60">
        <v>8.9499999999999993</v>
      </c>
      <c r="F33" s="60">
        <v>4.7300000000000004</v>
      </c>
      <c r="G33" s="60">
        <v>45.6</v>
      </c>
      <c r="H33" s="60">
        <v>19.690000000000001</v>
      </c>
      <c r="I33" s="60">
        <v>0.55000000000000004</v>
      </c>
      <c r="J33" s="60">
        <v>0.24</v>
      </c>
      <c r="K33" s="60">
        <v>57.33</v>
      </c>
      <c r="L33" s="60">
        <v>15.63</v>
      </c>
      <c r="M33" s="60">
        <v>40.159999999999997</v>
      </c>
      <c r="N33" s="60">
        <v>3.7</v>
      </c>
      <c r="O33" s="60">
        <v>0</v>
      </c>
      <c r="P33" s="60">
        <v>0.74</v>
      </c>
      <c r="Q33" s="60">
        <v>24.33</v>
      </c>
      <c r="R33" s="198"/>
      <c r="S33" s="198"/>
      <c r="T33" s="198"/>
      <c r="U33" s="198"/>
    </row>
    <row r="34" spans="1:21" s="12" customFormat="1" x14ac:dyDescent="0.25">
      <c r="A34" s="201" t="s">
        <v>1521</v>
      </c>
      <c r="B34" s="60">
        <v>5.64</v>
      </c>
      <c r="C34" s="60">
        <v>75.5</v>
      </c>
      <c r="D34" s="60">
        <v>46.19</v>
      </c>
      <c r="E34" s="60">
        <v>9.9</v>
      </c>
      <c r="F34" s="60">
        <v>4.6100000000000003</v>
      </c>
      <c r="G34" s="60">
        <v>45.6</v>
      </c>
      <c r="H34" s="60">
        <v>19.690000000000001</v>
      </c>
      <c r="I34" s="60">
        <v>0.57999999999999996</v>
      </c>
      <c r="J34" s="60">
        <v>0.42</v>
      </c>
      <c r="K34" s="60">
        <v>92.5</v>
      </c>
      <c r="L34" s="60">
        <v>15.89</v>
      </c>
      <c r="M34" s="60">
        <v>39.78</v>
      </c>
      <c r="N34" s="60">
        <v>5.2</v>
      </c>
      <c r="O34" s="60">
        <v>0</v>
      </c>
      <c r="P34" s="60">
        <v>0.78</v>
      </c>
      <c r="Q34" s="60">
        <v>23.96</v>
      </c>
      <c r="R34" s="198"/>
      <c r="S34" s="198"/>
      <c r="T34" s="198"/>
      <c r="U34" s="198"/>
    </row>
    <row r="35" spans="1:21" s="12" customFormat="1" x14ac:dyDescent="0.25">
      <c r="A35" s="201" t="s">
        <v>1522</v>
      </c>
      <c r="B35" s="60">
        <v>6.32</v>
      </c>
      <c r="C35" s="60">
        <v>76.8</v>
      </c>
      <c r="D35" s="60">
        <v>47.45</v>
      </c>
      <c r="E35" s="60">
        <v>10.42</v>
      </c>
      <c r="F35" s="60">
        <v>4.55</v>
      </c>
      <c r="G35" s="60">
        <v>54.13</v>
      </c>
      <c r="H35" s="60">
        <v>23.68</v>
      </c>
      <c r="I35" s="60">
        <v>0.55000000000000004</v>
      </c>
      <c r="J35" s="60">
        <v>0.28000000000000003</v>
      </c>
      <c r="K35" s="60">
        <v>75.72</v>
      </c>
      <c r="L35" s="60">
        <v>15.98</v>
      </c>
      <c r="M35" s="60">
        <v>39.56</v>
      </c>
      <c r="N35" s="60">
        <v>12.4</v>
      </c>
      <c r="O35" s="60">
        <v>0</v>
      </c>
      <c r="P35" s="60">
        <v>0.82</v>
      </c>
      <c r="Q35" s="60">
        <v>23.75</v>
      </c>
      <c r="R35" s="198"/>
      <c r="S35" s="198"/>
      <c r="T35" s="198"/>
      <c r="U35" s="198"/>
    </row>
    <row r="36" spans="1:21" s="12" customFormat="1" x14ac:dyDescent="0.25">
      <c r="A36" s="201" t="s">
        <v>1523</v>
      </c>
      <c r="B36" s="60">
        <v>7.57</v>
      </c>
      <c r="C36" s="60">
        <v>78.099999999999994</v>
      </c>
      <c r="D36" s="60">
        <v>49.17</v>
      </c>
      <c r="E36" s="60">
        <v>11.17</v>
      </c>
      <c r="F36" s="60">
        <v>4.67</v>
      </c>
      <c r="G36" s="60">
        <v>64.33</v>
      </c>
      <c r="H36" s="60">
        <v>28.46</v>
      </c>
      <c r="I36" s="60">
        <v>0.56000000000000005</v>
      </c>
      <c r="J36" s="60">
        <v>7.0000000000000007E-2</v>
      </c>
      <c r="K36" s="60">
        <v>40.39</v>
      </c>
      <c r="L36" s="60">
        <v>15.63</v>
      </c>
      <c r="M36" s="60">
        <v>43.04</v>
      </c>
      <c r="N36" s="60">
        <v>23.9</v>
      </c>
      <c r="O36" s="60">
        <v>0</v>
      </c>
      <c r="P36" s="60">
        <v>0.86</v>
      </c>
      <c r="Q36" s="60">
        <v>23.63</v>
      </c>
      <c r="R36" s="198"/>
      <c r="S36" s="198"/>
      <c r="T36" s="198"/>
      <c r="U36" s="198"/>
    </row>
    <row r="37" spans="1:21" s="12" customFormat="1" x14ac:dyDescent="0.25">
      <c r="A37" s="201" t="s">
        <v>1524</v>
      </c>
      <c r="B37" s="60">
        <v>10.75</v>
      </c>
      <c r="C37" s="60">
        <v>80.45</v>
      </c>
      <c r="D37" s="60">
        <v>53.02</v>
      </c>
      <c r="E37" s="60">
        <v>11.7</v>
      </c>
      <c r="F37" s="60">
        <v>4.71</v>
      </c>
      <c r="G37" s="60">
        <v>64.33</v>
      </c>
      <c r="H37" s="60">
        <v>28.46</v>
      </c>
      <c r="I37" s="60">
        <v>0.56000000000000005</v>
      </c>
      <c r="J37" s="60">
        <v>0.67</v>
      </c>
      <c r="K37" s="60">
        <v>19.29</v>
      </c>
      <c r="L37" s="60">
        <v>15.72</v>
      </c>
      <c r="M37" s="60">
        <v>43.47</v>
      </c>
      <c r="N37" s="60">
        <v>34.700000000000003</v>
      </c>
      <c r="O37" s="60">
        <v>0</v>
      </c>
      <c r="P37" s="60">
        <v>0.9</v>
      </c>
      <c r="Q37" s="60">
        <v>23.75</v>
      </c>
      <c r="R37" s="198"/>
      <c r="S37" s="198"/>
      <c r="T37" s="198"/>
      <c r="U37" s="198"/>
    </row>
    <row r="38" spans="1:21" s="12" customFormat="1" x14ac:dyDescent="0.25">
      <c r="A38" s="201" t="s">
        <v>1525</v>
      </c>
      <c r="B38" s="60">
        <v>14.18</v>
      </c>
      <c r="C38" s="60">
        <v>83.05</v>
      </c>
      <c r="D38" s="60">
        <v>57.2</v>
      </c>
      <c r="E38" s="60">
        <v>14.35</v>
      </c>
      <c r="F38" s="60">
        <v>4.7</v>
      </c>
      <c r="G38" s="60">
        <v>64.33</v>
      </c>
      <c r="H38" s="60">
        <v>28.46</v>
      </c>
      <c r="I38" s="60">
        <v>0.56999999999999995</v>
      </c>
      <c r="J38" s="60">
        <v>0.79</v>
      </c>
      <c r="K38" s="60">
        <v>19.47</v>
      </c>
      <c r="L38" s="60">
        <v>16.86</v>
      </c>
      <c r="M38" s="60">
        <v>38.83</v>
      </c>
      <c r="N38" s="60">
        <v>76.8</v>
      </c>
      <c r="O38" s="60">
        <v>0</v>
      </c>
      <c r="P38" s="60">
        <v>0.98</v>
      </c>
      <c r="Q38" s="60">
        <v>23.81</v>
      </c>
      <c r="R38" s="198"/>
      <c r="S38" s="198"/>
      <c r="T38" s="198"/>
      <c r="U38" s="198"/>
    </row>
    <row r="39" spans="1:21" s="12" customFormat="1" x14ac:dyDescent="0.25">
      <c r="A39" s="201" t="s">
        <v>1526</v>
      </c>
      <c r="B39" s="60">
        <v>16.760000000000002</v>
      </c>
      <c r="C39" s="60">
        <v>85.18</v>
      </c>
      <c r="D39" s="60">
        <v>60.45</v>
      </c>
      <c r="E39" s="60">
        <v>16.13</v>
      </c>
      <c r="F39" s="60">
        <v>4.72</v>
      </c>
      <c r="G39" s="60">
        <v>102.29</v>
      </c>
      <c r="H39" s="60">
        <v>36.97</v>
      </c>
      <c r="I39" s="60">
        <v>0.56999999999999995</v>
      </c>
      <c r="J39" s="60">
        <v>1.1399999999999999</v>
      </c>
      <c r="K39" s="60">
        <v>17.399999999999999</v>
      </c>
      <c r="L39" s="60">
        <v>19.43</v>
      </c>
      <c r="M39" s="60">
        <v>32.369999999999997</v>
      </c>
      <c r="N39" s="60">
        <v>186.5</v>
      </c>
      <c r="O39" s="60">
        <v>0</v>
      </c>
      <c r="P39" s="60">
        <v>1.03</v>
      </c>
      <c r="Q39" s="60">
        <v>23.66</v>
      </c>
      <c r="R39" s="198"/>
      <c r="S39" s="198"/>
      <c r="T39" s="198"/>
      <c r="U39" s="198"/>
    </row>
    <row r="40" spans="1:21" s="12" customFormat="1" x14ac:dyDescent="0.25">
      <c r="A40" s="201" t="s">
        <v>1527</v>
      </c>
      <c r="B40" s="60">
        <v>19.13</v>
      </c>
      <c r="C40" s="60">
        <v>87.49</v>
      </c>
      <c r="D40" s="60">
        <v>63.62</v>
      </c>
      <c r="E40" s="60">
        <v>16.920000000000002</v>
      </c>
      <c r="F40" s="60">
        <v>4.7300000000000004</v>
      </c>
      <c r="G40" s="60">
        <v>147.66</v>
      </c>
      <c r="H40" s="60">
        <v>47.14</v>
      </c>
      <c r="I40" s="60">
        <v>0.61</v>
      </c>
      <c r="J40" s="60">
        <v>0.63</v>
      </c>
      <c r="K40" s="60">
        <v>21.38</v>
      </c>
      <c r="L40" s="60">
        <v>22.26</v>
      </c>
      <c r="M40" s="60">
        <v>27.87</v>
      </c>
      <c r="N40" s="60">
        <v>231</v>
      </c>
      <c r="O40" s="60">
        <v>0</v>
      </c>
      <c r="P40" s="60">
        <v>1.1000000000000001</v>
      </c>
      <c r="Q40" s="60">
        <v>23.72</v>
      </c>
      <c r="R40" s="198"/>
      <c r="S40" s="198"/>
      <c r="T40" s="198"/>
      <c r="U40" s="198"/>
    </row>
    <row r="41" spans="1:21" s="12" customFormat="1" x14ac:dyDescent="0.25">
      <c r="A41" s="201" t="s">
        <v>1528</v>
      </c>
      <c r="B41" s="60">
        <v>22.23</v>
      </c>
      <c r="C41" s="60">
        <v>90.89</v>
      </c>
      <c r="D41" s="60">
        <v>67.989999999999995</v>
      </c>
      <c r="E41" s="60">
        <v>21.02</v>
      </c>
      <c r="F41" s="60">
        <v>4.76</v>
      </c>
      <c r="G41" s="60">
        <v>147.66</v>
      </c>
      <c r="H41" s="60">
        <v>47.14</v>
      </c>
      <c r="I41" s="60">
        <v>0.6</v>
      </c>
      <c r="J41" s="60">
        <v>0.71</v>
      </c>
      <c r="K41" s="60">
        <v>21.86</v>
      </c>
      <c r="L41" s="60">
        <v>23.2</v>
      </c>
      <c r="M41" s="60">
        <v>24.93</v>
      </c>
      <c r="N41" s="60">
        <v>281.8</v>
      </c>
      <c r="O41" s="60">
        <v>0</v>
      </c>
      <c r="P41" s="60">
        <v>1.2</v>
      </c>
      <c r="Q41" s="60">
        <v>24.55</v>
      </c>
      <c r="R41" s="198"/>
      <c r="S41" s="198"/>
      <c r="T41" s="198"/>
      <c r="U41" s="198"/>
    </row>
    <row r="42" spans="1:21" s="12" customFormat="1" x14ac:dyDescent="0.25">
      <c r="A42" s="201" t="s">
        <v>1529</v>
      </c>
      <c r="B42" s="60">
        <v>23.57</v>
      </c>
      <c r="C42" s="60">
        <v>93.49</v>
      </c>
      <c r="D42" s="60">
        <v>70.5</v>
      </c>
      <c r="E42" s="60">
        <v>19.14</v>
      </c>
      <c r="F42" s="60">
        <v>4.92</v>
      </c>
      <c r="G42" s="60">
        <v>147.66</v>
      </c>
      <c r="H42" s="60">
        <v>47.14</v>
      </c>
      <c r="I42" s="60">
        <v>0.59</v>
      </c>
      <c r="J42" s="60">
        <v>0.88</v>
      </c>
      <c r="K42" s="60">
        <v>19.7</v>
      </c>
      <c r="L42" s="60">
        <v>24.59</v>
      </c>
      <c r="M42" s="60">
        <v>21.74</v>
      </c>
      <c r="N42" s="60">
        <v>336.1</v>
      </c>
      <c r="O42" s="60">
        <v>0</v>
      </c>
      <c r="P42" s="60">
        <v>1.24</v>
      </c>
      <c r="Q42" s="60">
        <v>24.95</v>
      </c>
      <c r="R42" s="198"/>
      <c r="S42" s="198"/>
      <c r="T42" s="198"/>
      <c r="U42" s="198"/>
    </row>
    <row r="43" spans="1:21" s="12" customFormat="1" x14ac:dyDescent="0.25">
      <c r="A43" s="201" t="s">
        <v>1530</v>
      </c>
      <c r="B43" s="60">
        <v>23.79</v>
      </c>
      <c r="C43" s="60">
        <v>94.82</v>
      </c>
      <c r="D43" s="60">
        <v>71.41</v>
      </c>
      <c r="E43" s="60">
        <v>15.9</v>
      </c>
      <c r="F43" s="60">
        <v>4.9400000000000004</v>
      </c>
      <c r="G43" s="60">
        <v>145.79</v>
      </c>
      <c r="H43" s="60">
        <v>48.34</v>
      </c>
      <c r="I43" s="60">
        <v>0.59</v>
      </c>
      <c r="J43" s="60">
        <v>1.1299999999999999</v>
      </c>
      <c r="K43" s="60">
        <v>12.89</v>
      </c>
      <c r="L43" s="60">
        <v>26.25</v>
      </c>
      <c r="M43" s="60">
        <v>19.309999999999999</v>
      </c>
      <c r="N43" s="60">
        <v>381.1</v>
      </c>
      <c r="O43" s="60">
        <v>0</v>
      </c>
      <c r="P43" s="60">
        <v>1.23</v>
      </c>
      <c r="Q43" s="60">
        <v>24.98</v>
      </c>
      <c r="R43" s="198"/>
      <c r="S43" s="198"/>
      <c r="T43" s="198"/>
      <c r="U43" s="198"/>
    </row>
    <row r="44" spans="1:21" s="12" customFormat="1" x14ac:dyDescent="0.25">
      <c r="A44" s="201" t="s">
        <v>1531</v>
      </c>
      <c r="B44" s="60">
        <v>23.12</v>
      </c>
      <c r="C44" s="60">
        <v>95.3</v>
      </c>
      <c r="D44" s="60">
        <v>71.13</v>
      </c>
      <c r="E44" s="60">
        <v>14.91</v>
      </c>
      <c r="F44" s="60">
        <v>4.9000000000000004</v>
      </c>
      <c r="G44" s="60">
        <v>143.55000000000001</v>
      </c>
      <c r="H44" s="60">
        <v>49.77</v>
      </c>
      <c r="I44" s="60">
        <v>0.6</v>
      </c>
      <c r="J44" s="60">
        <v>0.7</v>
      </c>
      <c r="K44" s="60">
        <v>19.809999999999999</v>
      </c>
      <c r="L44" s="60">
        <v>26.9</v>
      </c>
      <c r="M44" s="60">
        <v>17.53</v>
      </c>
      <c r="N44" s="60">
        <v>424.5</v>
      </c>
      <c r="O44" s="60">
        <v>0</v>
      </c>
      <c r="P44" s="60">
        <v>1.18</v>
      </c>
      <c r="Q44" s="60">
        <v>25.05</v>
      </c>
      <c r="R44" s="198"/>
      <c r="S44" s="198"/>
      <c r="T44" s="198"/>
      <c r="U44" s="198"/>
    </row>
    <row r="45" spans="1:21" s="12" customFormat="1" x14ac:dyDescent="0.25">
      <c r="A45" s="201" t="s">
        <v>1532</v>
      </c>
      <c r="B45" s="60">
        <v>21.91</v>
      </c>
      <c r="C45" s="60">
        <v>95.48</v>
      </c>
      <c r="D45" s="60">
        <v>70.27</v>
      </c>
      <c r="E45" s="60">
        <v>11.47</v>
      </c>
      <c r="F45" s="60">
        <v>4.84</v>
      </c>
      <c r="G45" s="60">
        <v>143.55000000000001</v>
      </c>
      <c r="H45" s="60">
        <v>49.77</v>
      </c>
      <c r="I45" s="60">
        <v>0.57999999999999996</v>
      </c>
      <c r="J45" s="60">
        <v>1.04</v>
      </c>
      <c r="K45" s="60">
        <v>16.59</v>
      </c>
      <c r="L45" s="60">
        <v>28.72</v>
      </c>
      <c r="M45" s="60">
        <v>16.309999999999999</v>
      </c>
      <c r="N45" s="60">
        <v>451.1</v>
      </c>
      <c r="O45" s="60">
        <v>0</v>
      </c>
      <c r="P45" s="60">
        <v>1.1599999999999999</v>
      </c>
      <c r="Q45" s="60">
        <v>25.09</v>
      </c>
      <c r="R45" s="198"/>
      <c r="S45" s="198"/>
      <c r="T45" s="198"/>
      <c r="U45" s="198"/>
    </row>
    <row r="46" spans="1:21" s="12" customFormat="1" x14ac:dyDescent="0.25">
      <c r="A46" s="201" t="s">
        <v>1533</v>
      </c>
      <c r="B46" s="60">
        <v>20.329999999999998</v>
      </c>
      <c r="C46" s="60">
        <v>95.45</v>
      </c>
      <c r="D46" s="60">
        <v>68.98</v>
      </c>
      <c r="E46" s="60">
        <v>10.62</v>
      </c>
      <c r="F46" s="60">
        <v>4.92</v>
      </c>
      <c r="G46" s="60">
        <v>143.55000000000001</v>
      </c>
      <c r="H46" s="60">
        <v>49.77</v>
      </c>
      <c r="I46" s="60">
        <v>0.57999999999999996</v>
      </c>
      <c r="J46" s="60">
        <v>0.77</v>
      </c>
      <c r="K46" s="60">
        <v>32.090000000000003</v>
      </c>
      <c r="L46" s="60">
        <v>28.7</v>
      </c>
      <c r="M46" s="60">
        <v>16.54</v>
      </c>
      <c r="N46" s="60">
        <v>468.5</v>
      </c>
      <c r="O46" s="60">
        <v>0</v>
      </c>
      <c r="P46" s="60">
        <v>1.1299999999999999</v>
      </c>
      <c r="Q46" s="60">
        <v>25.12</v>
      </c>
      <c r="R46" s="198"/>
      <c r="S46" s="198"/>
      <c r="T46" s="198"/>
      <c r="U46" s="198"/>
    </row>
    <row r="47" spans="1:21" s="12" customFormat="1" x14ac:dyDescent="0.25">
      <c r="A47" s="201" t="s">
        <v>1534</v>
      </c>
      <c r="B47" s="60">
        <v>18.77</v>
      </c>
      <c r="C47" s="60">
        <v>95.35</v>
      </c>
      <c r="D47" s="60">
        <v>67.67</v>
      </c>
      <c r="E47" s="60">
        <v>10.96</v>
      </c>
      <c r="F47" s="60">
        <v>4.95</v>
      </c>
      <c r="G47" s="60">
        <v>100.54</v>
      </c>
      <c r="H47" s="60">
        <v>46.77</v>
      </c>
      <c r="I47" s="60">
        <v>0.6</v>
      </c>
      <c r="J47" s="60">
        <v>0.55000000000000004</v>
      </c>
      <c r="K47" s="60">
        <v>43.36</v>
      </c>
      <c r="L47" s="60">
        <v>28.41</v>
      </c>
      <c r="M47" s="60">
        <v>16.12</v>
      </c>
      <c r="N47" s="60">
        <v>482.9</v>
      </c>
      <c r="O47" s="60">
        <v>0</v>
      </c>
      <c r="P47" s="60">
        <v>1.1000000000000001</v>
      </c>
      <c r="Q47" s="60">
        <v>24.81</v>
      </c>
      <c r="R47" s="198"/>
      <c r="S47" s="198"/>
      <c r="T47" s="198"/>
      <c r="U47" s="198"/>
    </row>
    <row r="48" spans="1:21" s="12" customFormat="1" x14ac:dyDescent="0.25">
      <c r="A48" s="201" t="s">
        <v>1535</v>
      </c>
      <c r="B48" s="60">
        <v>18.78</v>
      </c>
      <c r="C48" s="60">
        <v>93.35</v>
      </c>
      <c r="D48" s="60">
        <v>66.58</v>
      </c>
      <c r="E48" s="60">
        <v>11.43</v>
      </c>
      <c r="F48" s="60">
        <v>5.1100000000000003</v>
      </c>
      <c r="G48" s="60">
        <v>49.13</v>
      </c>
      <c r="H48" s="60">
        <v>43.17</v>
      </c>
      <c r="I48" s="60">
        <v>0.59</v>
      </c>
      <c r="J48" s="60">
        <v>0.52</v>
      </c>
      <c r="K48" s="60">
        <v>41.88</v>
      </c>
      <c r="L48" s="60">
        <v>28.36</v>
      </c>
      <c r="M48" s="60">
        <v>16.02</v>
      </c>
      <c r="N48" s="60">
        <v>495.6</v>
      </c>
      <c r="O48" s="60">
        <v>0</v>
      </c>
      <c r="P48" s="60">
        <v>1.08</v>
      </c>
      <c r="Q48" s="60">
        <v>24.57</v>
      </c>
      <c r="R48" s="198"/>
      <c r="S48" s="198"/>
      <c r="T48" s="198"/>
      <c r="U48" s="198"/>
    </row>
    <row r="49" spans="1:21" s="12" customFormat="1" x14ac:dyDescent="0.25">
      <c r="A49" s="201" t="s">
        <v>1536</v>
      </c>
      <c r="B49" s="60">
        <v>18.11</v>
      </c>
      <c r="C49" s="60">
        <v>95.42</v>
      </c>
      <c r="D49" s="60">
        <v>67.180000000000007</v>
      </c>
      <c r="E49" s="60">
        <v>11.98</v>
      </c>
      <c r="F49" s="60">
        <v>5.12</v>
      </c>
      <c r="G49" s="60">
        <v>49.13</v>
      </c>
      <c r="H49" s="60">
        <v>43.17</v>
      </c>
      <c r="I49" s="60">
        <v>0.56999999999999995</v>
      </c>
      <c r="J49" s="60">
        <v>0.74</v>
      </c>
      <c r="K49" s="60">
        <v>15.62</v>
      </c>
      <c r="L49" s="60">
        <v>29.92</v>
      </c>
      <c r="M49" s="60">
        <v>14</v>
      </c>
      <c r="N49" s="60">
        <v>502.2</v>
      </c>
      <c r="O49" s="60">
        <v>0</v>
      </c>
      <c r="P49" s="60">
        <v>1.08</v>
      </c>
      <c r="Q49" s="60">
        <v>24.62</v>
      </c>
      <c r="R49" s="198"/>
      <c r="S49" s="198"/>
      <c r="T49" s="198"/>
      <c r="U49" s="198"/>
    </row>
    <row r="50" spans="1:21" s="12" customFormat="1" x14ac:dyDescent="0.25">
      <c r="A50" s="201" t="s">
        <v>1537</v>
      </c>
      <c r="B50" s="60">
        <v>11.99</v>
      </c>
      <c r="C50" s="60">
        <v>90.81</v>
      </c>
      <c r="D50" s="60">
        <v>59.73</v>
      </c>
      <c r="E50" s="60">
        <v>68.709999999999994</v>
      </c>
      <c r="F50" s="60">
        <v>14.06</v>
      </c>
      <c r="G50" s="60">
        <v>49.13</v>
      </c>
      <c r="H50" s="60">
        <v>43.17</v>
      </c>
      <c r="I50" s="60">
        <v>0.6</v>
      </c>
      <c r="J50" s="60">
        <v>1.0900000000000001</v>
      </c>
      <c r="K50" s="60">
        <v>13.97</v>
      </c>
      <c r="L50" s="60">
        <v>31.74</v>
      </c>
      <c r="M50" s="60">
        <v>11.94</v>
      </c>
      <c r="N50" s="60">
        <v>512.29999999999995</v>
      </c>
      <c r="O50" s="60">
        <v>0</v>
      </c>
      <c r="P50" s="60">
        <v>1.02</v>
      </c>
      <c r="Q50" s="60">
        <v>8.56</v>
      </c>
      <c r="R50" s="198"/>
      <c r="S50" s="198"/>
      <c r="T50" s="198"/>
      <c r="U50" s="198"/>
    </row>
    <row r="51" spans="1:21" s="12" customFormat="1" x14ac:dyDescent="0.25">
      <c r="A51" s="201" t="s">
        <v>1538</v>
      </c>
      <c r="B51" s="60">
        <v>5.07</v>
      </c>
      <c r="C51" s="60">
        <v>88.73</v>
      </c>
      <c r="D51" s="60">
        <v>53.03</v>
      </c>
      <c r="E51" s="60">
        <v>60.77</v>
      </c>
      <c r="F51" s="60">
        <v>11.7</v>
      </c>
      <c r="G51" s="60">
        <v>41.69</v>
      </c>
      <c r="H51" s="60">
        <v>37.340000000000003</v>
      </c>
      <c r="I51" s="60">
        <v>0.59</v>
      </c>
      <c r="J51" s="60">
        <v>1.07</v>
      </c>
      <c r="K51" s="60">
        <v>9.0399999999999991</v>
      </c>
      <c r="L51" s="60">
        <v>32.42</v>
      </c>
      <c r="M51" s="60">
        <v>10.93</v>
      </c>
      <c r="N51" s="60">
        <v>516.4</v>
      </c>
      <c r="O51" s="60">
        <v>0</v>
      </c>
      <c r="P51" s="60">
        <v>0.96</v>
      </c>
      <c r="Q51" s="5" t="s">
        <v>47</v>
      </c>
      <c r="R51" s="198"/>
      <c r="S51" s="198"/>
      <c r="T51" s="198"/>
      <c r="U51" s="198"/>
    </row>
    <row r="52" spans="1:21" s="12" customFormat="1" x14ac:dyDescent="0.25">
      <c r="A52" s="201" t="s">
        <v>1539</v>
      </c>
      <c r="B52" s="60">
        <v>5.09</v>
      </c>
      <c r="C52" s="60">
        <v>86.2</v>
      </c>
      <c r="D52" s="60">
        <v>51.66</v>
      </c>
      <c r="E52" s="60">
        <v>38.24</v>
      </c>
      <c r="F52" s="60">
        <v>9.4</v>
      </c>
      <c r="G52" s="60">
        <v>32.79</v>
      </c>
      <c r="H52" s="60">
        <v>30.36</v>
      </c>
      <c r="I52" s="60">
        <v>0.51</v>
      </c>
      <c r="J52" s="60">
        <v>0.5</v>
      </c>
      <c r="K52" s="60">
        <v>8.4700000000000006</v>
      </c>
      <c r="L52" s="60">
        <v>32.479999999999997</v>
      </c>
      <c r="M52" s="60">
        <v>11.63</v>
      </c>
      <c r="N52" s="60">
        <v>532</v>
      </c>
      <c r="O52" s="60">
        <v>0</v>
      </c>
      <c r="P52" s="60">
        <v>0.97</v>
      </c>
      <c r="Q52" s="60">
        <v>12.25</v>
      </c>
      <c r="R52" s="198"/>
      <c r="S52" s="198"/>
      <c r="T52" s="198"/>
      <c r="U52" s="198"/>
    </row>
    <row r="53" spans="1:21" s="12" customFormat="1" x14ac:dyDescent="0.25">
      <c r="A53" s="201" t="s">
        <v>1540</v>
      </c>
      <c r="B53" s="60">
        <v>6.88</v>
      </c>
      <c r="C53" s="60">
        <v>86.19</v>
      </c>
      <c r="D53" s="60">
        <v>53.08</v>
      </c>
      <c r="E53" s="60">
        <v>26.59</v>
      </c>
      <c r="F53" s="60">
        <v>7.94</v>
      </c>
      <c r="G53" s="60">
        <v>32.79</v>
      </c>
      <c r="H53" s="60">
        <v>30.36</v>
      </c>
      <c r="I53" s="60">
        <v>0.49</v>
      </c>
      <c r="J53" s="60">
        <v>0.88</v>
      </c>
      <c r="K53" s="60">
        <v>11.23</v>
      </c>
      <c r="L53" s="60">
        <v>32.770000000000003</v>
      </c>
      <c r="M53" s="60">
        <v>10.61</v>
      </c>
      <c r="N53" s="60">
        <v>554.70000000000005</v>
      </c>
      <c r="O53" s="60">
        <v>0</v>
      </c>
      <c r="P53" s="60">
        <v>0.97</v>
      </c>
      <c r="Q53" s="60">
        <v>13.22</v>
      </c>
      <c r="R53" s="198"/>
      <c r="S53" s="198"/>
      <c r="T53" s="198"/>
      <c r="U53" s="198"/>
    </row>
    <row r="54" spans="1:21" s="12" customFormat="1" x14ac:dyDescent="0.25">
      <c r="A54" s="201" t="s">
        <v>1541</v>
      </c>
      <c r="B54" s="60">
        <v>5.44</v>
      </c>
      <c r="C54" s="60">
        <v>82.65</v>
      </c>
      <c r="D54" s="60">
        <v>49.98</v>
      </c>
      <c r="E54" s="60">
        <v>28.23</v>
      </c>
      <c r="F54" s="60">
        <v>13.18</v>
      </c>
      <c r="G54" s="60">
        <v>32.79</v>
      </c>
      <c r="H54" s="60">
        <v>30.36</v>
      </c>
      <c r="I54" s="60">
        <v>0.5</v>
      </c>
      <c r="J54" s="60">
        <v>0.31</v>
      </c>
      <c r="K54" s="60">
        <v>205.27</v>
      </c>
      <c r="L54" s="60">
        <v>30.17</v>
      </c>
      <c r="M54" s="60">
        <v>11.16</v>
      </c>
      <c r="N54" s="60">
        <v>573</v>
      </c>
      <c r="O54" s="60">
        <v>0</v>
      </c>
      <c r="P54" s="60">
        <v>0.91</v>
      </c>
      <c r="Q54" s="60">
        <v>13.86</v>
      </c>
      <c r="R54" s="198"/>
      <c r="S54" s="198"/>
      <c r="T54" s="198"/>
      <c r="U54" s="198"/>
    </row>
    <row r="55" spans="1:21" s="12" customFormat="1" x14ac:dyDescent="0.25">
      <c r="A55" s="201" t="s">
        <v>1542</v>
      </c>
      <c r="B55" s="60">
        <v>1.84</v>
      </c>
      <c r="C55" s="60">
        <v>57.63</v>
      </c>
      <c r="D55" s="60">
        <v>33.28</v>
      </c>
      <c r="E55" s="60">
        <v>46.08</v>
      </c>
      <c r="F55" s="60">
        <v>24.76</v>
      </c>
      <c r="G55" s="60">
        <v>43.96</v>
      </c>
      <c r="H55" s="60">
        <v>29.95</v>
      </c>
      <c r="I55" s="60">
        <v>0.5</v>
      </c>
      <c r="J55" s="60">
        <v>0.26</v>
      </c>
      <c r="K55" s="60">
        <v>69.61</v>
      </c>
      <c r="L55" s="60">
        <v>29</v>
      </c>
      <c r="M55" s="60">
        <v>12.01</v>
      </c>
      <c r="N55" s="60">
        <v>586.70000000000005</v>
      </c>
      <c r="O55" s="60">
        <v>0</v>
      </c>
      <c r="P55" s="60">
        <v>0.59</v>
      </c>
      <c r="Q55" s="60">
        <v>7.56</v>
      </c>
      <c r="R55" s="198"/>
      <c r="S55" s="198"/>
      <c r="T55" s="198"/>
      <c r="U55" s="198"/>
    </row>
    <row r="56" spans="1:21" s="12" customFormat="1" x14ac:dyDescent="0.25">
      <c r="A56" s="201" t="s">
        <v>1543</v>
      </c>
      <c r="B56" s="60">
        <v>1.08</v>
      </c>
      <c r="C56" s="60">
        <v>55.16</v>
      </c>
      <c r="D56" s="60">
        <v>31.31</v>
      </c>
      <c r="E56" s="60">
        <v>18.309999999999999</v>
      </c>
      <c r="F56" s="60">
        <v>11.38</v>
      </c>
      <c r="G56" s="60">
        <v>57.31</v>
      </c>
      <c r="H56" s="60">
        <v>29.46</v>
      </c>
      <c r="I56" s="60">
        <v>0.52</v>
      </c>
      <c r="J56" s="60">
        <v>0.26</v>
      </c>
      <c r="K56" s="60">
        <v>7.49</v>
      </c>
      <c r="L56" s="60">
        <v>31.29</v>
      </c>
      <c r="M56" s="60">
        <v>10.8</v>
      </c>
      <c r="N56" s="60">
        <v>595.29999999999995</v>
      </c>
      <c r="O56" s="60">
        <v>0</v>
      </c>
      <c r="P56" s="60">
        <v>0.59</v>
      </c>
      <c r="Q56" s="60">
        <v>7.84</v>
      </c>
      <c r="R56" s="198"/>
      <c r="S56" s="198"/>
      <c r="T56" s="198"/>
      <c r="U56" s="198"/>
    </row>
    <row r="57" spans="1:21" s="12" customFormat="1" x14ac:dyDescent="0.25">
      <c r="A57" s="201" t="s">
        <v>1544</v>
      </c>
      <c r="B57" s="60">
        <v>1.47</v>
      </c>
      <c r="C57" s="60">
        <v>58.74</v>
      </c>
      <c r="D57" s="60">
        <v>33.6</v>
      </c>
      <c r="E57" s="60">
        <v>17.36</v>
      </c>
      <c r="F57" s="60">
        <v>8.0399999999999991</v>
      </c>
      <c r="G57" s="60">
        <v>57.31</v>
      </c>
      <c r="H57" s="60">
        <v>29.46</v>
      </c>
      <c r="I57" s="60">
        <v>0.46</v>
      </c>
      <c r="J57" s="60">
        <v>0.44</v>
      </c>
      <c r="K57" s="60">
        <v>120.53</v>
      </c>
      <c r="L57" s="60">
        <v>30.38</v>
      </c>
      <c r="M57" s="60">
        <v>10.45</v>
      </c>
      <c r="N57" s="60">
        <v>610.9</v>
      </c>
      <c r="O57" s="60">
        <v>0</v>
      </c>
      <c r="P57" s="60">
        <v>0.62</v>
      </c>
      <c r="Q57" s="60">
        <v>11.38</v>
      </c>
      <c r="R57" s="198"/>
      <c r="S57" s="198"/>
      <c r="T57" s="198"/>
      <c r="U57" s="198"/>
    </row>
    <row r="58" spans="1:21" s="12" customFormat="1" x14ac:dyDescent="0.25">
      <c r="A58" s="201" t="s">
        <v>1545</v>
      </c>
      <c r="B58" s="60">
        <v>1.76</v>
      </c>
      <c r="C58" s="60">
        <v>60.41</v>
      </c>
      <c r="D58" s="60">
        <v>34.75</v>
      </c>
      <c r="E58" s="60">
        <v>14.35</v>
      </c>
      <c r="F58" s="60">
        <v>7.66</v>
      </c>
      <c r="G58" s="60">
        <v>57.31</v>
      </c>
      <c r="H58" s="60">
        <v>29.46</v>
      </c>
      <c r="I58" s="60">
        <v>0.47</v>
      </c>
      <c r="J58" s="60">
        <v>0.39</v>
      </c>
      <c r="K58" s="60">
        <v>162.22</v>
      </c>
      <c r="L58" s="60">
        <v>29.63</v>
      </c>
      <c r="M58" s="60">
        <v>11.15</v>
      </c>
      <c r="N58" s="60">
        <v>608.9</v>
      </c>
      <c r="O58" s="60">
        <v>0</v>
      </c>
      <c r="P58" s="60">
        <v>0.62</v>
      </c>
      <c r="Q58" s="60">
        <v>13.45</v>
      </c>
      <c r="R58" s="198"/>
      <c r="S58" s="198"/>
      <c r="T58" s="198"/>
      <c r="U58" s="198"/>
    </row>
    <row r="59" spans="1:21" s="12" customFormat="1" x14ac:dyDescent="0.25">
      <c r="A59" s="201" t="s">
        <v>1546</v>
      </c>
      <c r="B59" s="60">
        <v>1.59</v>
      </c>
      <c r="C59" s="60">
        <v>61.68</v>
      </c>
      <c r="D59" s="60">
        <v>35.31</v>
      </c>
      <c r="E59" s="60">
        <v>15.23</v>
      </c>
      <c r="F59" s="60">
        <v>8.08</v>
      </c>
      <c r="G59" s="60">
        <v>45.74</v>
      </c>
      <c r="H59" s="60">
        <v>25.81</v>
      </c>
      <c r="I59" s="60">
        <v>0.49</v>
      </c>
      <c r="J59" s="60">
        <v>0.3</v>
      </c>
      <c r="K59" s="60">
        <v>2.88</v>
      </c>
      <c r="L59" s="60">
        <v>30.42</v>
      </c>
      <c r="M59" s="60">
        <v>10.62</v>
      </c>
      <c r="N59" s="60">
        <v>582.20000000000005</v>
      </c>
      <c r="O59" s="60">
        <v>0</v>
      </c>
      <c r="P59" s="60">
        <v>0.62</v>
      </c>
      <c r="Q59" s="60">
        <v>13.97</v>
      </c>
      <c r="R59" s="198"/>
      <c r="S59" s="198"/>
      <c r="T59" s="198"/>
      <c r="U59" s="198"/>
    </row>
    <row r="60" spans="1:21" s="12" customFormat="1" x14ac:dyDescent="0.25">
      <c r="A60" s="201" t="s">
        <v>1547</v>
      </c>
      <c r="B60" s="60">
        <v>1.55</v>
      </c>
      <c r="C60" s="60">
        <v>62.87</v>
      </c>
      <c r="D60" s="60">
        <v>35.94</v>
      </c>
      <c r="E60" s="60">
        <v>16.46</v>
      </c>
      <c r="F60" s="60">
        <v>10.63</v>
      </c>
      <c r="G60" s="60">
        <v>31.9</v>
      </c>
      <c r="H60" s="60">
        <v>21.44</v>
      </c>
      <c r="I60" s="60">
        <v>0.48</v>
      </c>
      <c r="J60" s="60">
        <v>0.96</v>
      </c>
      <c r="K60" s="60">
        <v>173.53</v>
      </c>
      <c r="L60" s="60">
        <v>30.16</v>
      </c>
      <c r="M60" s="60">
        <v>9.98</v>
      </c>
      <c r="N60" s="60">
        <v>564.6</v>
      </c>
      <c r="O60" s="60">
        <v>0</v>
      </c>
      <c r="P60" s="60">
        <v>0.64</v>
      </c>
      <c r="Q60" s="60">
        <v>14.49</v>
      </c>
      <c r="R60" s="198"/>
      <c r="S60" s="198"/>
      <c r="T60" s="198"/>
      <c r="U60" s="198"/>
    </row>
    <row r="61" spans="1:21" s="12" customFormat="1" x14ac:dyDescent="0.25">
      <c r="A61" s="201" t="s">
        <v>1548</v>
      </c>
      <c r="B61" s="60">
        <v>2.17</v>
      </c>
      <c r="C61" s="60">
        <v>60.36</v>
      </c>
      <c r="D61" s="60">
        <v>35.049999999999997</v>
      </c>
      <c r="E61" s="60">
        <v>26.39</v>
      </c>
      <c r="F61" s="60">
        <v>18.510000000000002</v>
      </c>
      <c r="G61" s="60">
        <v>31.9</v>
      </c>
      <c r="H61" s="60">
        <v>21.44</v>
      </c>
      <c r="I61" s="60">
        <v>0.49</v>
      </c>
      <c r="J61" s="60">
        <v>0.31</v>
      </c>
      <c r="K61" s="60">
        <v>150.76</v>
      </c>
      <c r="L61" s="60">
        <v>29.49</v>
      </c>
      <c r="M61" s="60">
        <v>10.45</v>
      </c>
      <c r="N61" s="60">
        <v>526.4</v>
      </c>
      <c r="O61" s="60">
        <v>0</v>
      </c>
      <c r="P61" s="60">
        <v>0.56999999999999995</v>
      </c>
      <c r="Q61" s="60">
        <v>14.65</v>
      </c>
      <c r="R61" s="198"/>
      <c r="S61" s="198"/>
      <c r="T61" s="198"/>
      <c r="U61" s="198"/>
    </row>
    <row r="62" spans="1:21" s="12" customFormat="1" x14ac:dyDescent="0.25">
      <c r="A62" s="201" t="s">
        <v>1549</v>
      </c>
      <c r="B62" s="60">
        <v>1.89</v>
      </c>
      <c r="C62" s="60">
        <v>55.65</v>
      </c>
      <c r="D62" s="60">
        <v>32.229999999999997</v>
      </c>
      <c r="E62" s="60">
        <v>33.770000000000003</v>
      </c>
      <c r="F62" s="60">
        <v>13.44</v>
      </c>
      <c r="G62" s="60">
        <v>31.9</v>
      </c>
      <c r="H62" s="60">
        <v>21.44</v>
      </c>
      <c r="I62" s="60">
        <v>0.48</v>
      </c>
      <c r="J62" s="60">
        <v>0.33</v>
      </c>
      <c r="K62" s="60">
        <v>129.84</v>
      </c>
      <c r="L62" s="60">
        <v>29.7</v>
      </c>
      <c r="M62" s="60">
        <v>9.92</v>
      </c>
      <c r="N62" s="60">
        <v>498</v>
      </c>
      <c r="O62" s="60">
        <v>0</v>
      </c>
      <c r="P62" s="60">
        <v>0.57999999999999996</v>
      </c>
      <c r="Q62" s="60">
        <v>14.76</v>
      </c>
      <c r="R62" s="198"/>
      <c r="S62" s="198"/>
      <c r="T62" s="198"/>
      <c r="U62" s="198"/>
    </row>
    <row r="63" spans="1:21" s="12" customFormat="1" x14ac:dyDescent="0.25">
      <c r="A63" s="201" t="s">
        <v>1550</v>
      </c>
      <c r="B63" s="60">
        <v>1.89</v>
      </c>
      <c r="C63" s="60">
        <v>60.88</v>
      </c>
      <c r="D63" s="60">
        <v>35.119999999999997</v>
      </c>
      <c r="E63" s="60">
        <v>12.52</v>
      </c>
      <c r="F63" s="60">
        <v>8.41</v>
      </c>
      <c r="G63" s="60">
        <v>40.51</v>
      </c>
      <c r="H63" s="60">
        <v>20.92</v>
      </c>
      <c r="I63" s="60">
        <v>0.48</v>
      </c>
      <c r="J63" s="60">
        <v>0.39</v>
      </c>
      <c r="K63" s="60">
        <v>11.97</v>
      </c>
      <c r="L63" s="60">
        <v>32.049999999999997</v>
      </c>
      <c r="M63" s="60">
        <v>9.07</v>
      </c>
      <c r="N63" s="60">
        <v>476.8</v>
      </c>
      <c r="O63" s="60">
        <v>0</v>
      </c>
      <c r="P63" s="60">
        <v>0.6</v>
      </c>
      <c r="Q63" s="60">
        <v>14.74</v>
      </c>
      <c r="R63" s="198"/>
      <c r="S63" s="198"/>
      <c r="T63" s="198"/>
      <c r="U63" s="198"/>
    </row>
    <row r="64" spans="1:21" s="12" customFormat="1" x14ac:dyDescent="0.25">
      <c r="A64" s="201" t="s">
        <v>1551</v>
      </c>
      <c r="B64" s="60">
        <v>2.2200000000000002</v>
      </c>
      <c r="C64" s="60">
        <v>63.43</v>
      </c>
      <c r="D64" s="60">
        <v>36.79</v>
      </c>
      <c r="E64" s="60">
        <v>11.7</v>
      </c>
      <c r="F64" s="60">
        <v>6.53</v>
      </c>
      <c r="G64" s="60">
        <v>50.79</v>
      </c>
      <c r="H64" s="60">
        <v>20.3</v>
      </c>
      <c r="I64" s="60">
        <v>0.49</v>
      </c>
      <c r="J64" s="60">
        <v>0.08</v>
      </c>
      <c r="K64" s="60">
        <v>336.61</v>
      </c>
      <c r="L64" s="60">
        <v>31.42</v>
      </c>
      <c r="M64" s="60">
        <v>9.02</v>
      </c>
      <c r="N64" s="60">
        <v>453</v>
      </c>
      <c r="O64" s="60">
        <v>0</v>
      </c>
      <c r="P64" s="60">
        <v>0.61</v>
      </c>
      <c r="Q64" s="60">
        <v>15.37</v>
      </c>
      <c r="R64" s="198"/>
      <c r="S64" s="198"/>
      <c r="T64" s="198"/>
      <c r="U64" s="198"/>
    </row>
    <row r="65" spans="1:21" s="12" customFormat="1" x14ac:dyDescent="0.25">
      <c r="A65" s="201" t="s">
        <v>1552</v>
      </c>
      <c r="B65" s="60">
        <v>3.26</v>
      </c>
      <c r="C65" s="60">
        <v>62.65</v>
      </c>
      <c r="D65" s="60">
        <v>37.19</v>
      </c>
      <c r="E65" s="60">
        <v>12.75</v>
      </c>
      <c r="F65" s="60">
        <v>8.39</v>
      </c>
      <c r="G65" s="60">
        <v>50.79</v>
      </c>
      <c r="H65" s="60">
        <v>20.3</v>
      </c>
      <c r="I65" s="60">
        <v>0.52</v>
      </c>
      <c r="J65" s="60">
        <v>0.25</v>
      </c>
      <c r="K65" s="60">
        <v>28.95</v>
      </c>
      <c r="L65" s="60">
        <v>32.119999999999997</v>
      </c>
      <c r="M65" s="60">
        <v>9.2100000000000009</v>
      </c>
      <c r="N65" s="60">
        <v>436.3</v>
      </c>
      <c r="O65" s="60">
        <v>0</v>
      </c>
      <c r="P65" s="60">
        <v>0.61</v>
      </c>
      <c r="Q65" s="60">
        <v>16.05</v>
      </c>
      <c r="R65" s="198"/>
      <c r="S65" s="198"/>
      <c r="T65" s="198"/>
      <c r="U65" s="198"/>
    </row>
    <row r="66" spans="1:21" s="12" customFormat="1" x14ac:dyDescent="0.25">
      <c r="A66" s="201" t="s">
        <v>1553</v>
      </c>
      <c r="B66" s="60">
        <v>1.86</v>
      </c>
      <c r="C66" s="60">
        <v>58.98</v>
      </c>
      <c r="D66" s="60">
        <v>34.04</v>
      </c>
      <c r="E66" s="60">
        <v>22.01</v>
      </c>
      <c r="F66" s="60">
        <v>15.54</v>
      </c>
      <c r="G66" s="60">
        <v>50.79</v>
      </c>
      <c r="H66" s="60">
        <v>20.3</v>
      </c>
      <c r="I66" s="60">
        <v>0.54</v>
      </c>
      <c r="J66" s="60">
        <v>0.56000000000000005</v>
      </c>
      <c r="K66" s="60">
        <v>12.34</v>
      </c>
      <c r="L66" s="60">
        <v>31.86</v>
      </c>
      <c r="M66" s="60">
        <v>9.02</v>
      </c>
      <c r="N66" s="60">
        <v>435.2</v>
      </c>
      <c r="O66" s="60">
        <v>0</v>
      </c>
      <c r="P66" s="60">
        <v>0.56999999999999995</v>
      </c>
      <c r="Q66" s="60">
        <v>15.11</v>
      </c>
      <c r="R66" s="198"/>
      <c r="S66" s="198"/>
      <c r="T66" s="198"/>
      <c r="U66" s="198"/>
    </row>
    <row r="67" spans="1:21" s="12" customFormat="1" x14ac:dyDescent="0.25">
      <c r="A67" s="201" t="s">
        <v>1554</v>
      </c>
      <c r="B67" s="60">
        <v>2.0499999999999998</v>
      </c>
      <c r="C67" s="60">
        <v>60.18</v>
      </c>
      <c r="D67" s="60">
        <v>34.86</v>
      </c>
      <c r="E67" s="60">
        <v>16.32</v>
      </c>
      <c r="F67" s="60">
        <v>11.24</v>
      </c>
      <c r="G67" s="60">
        <v>57.14</v>
      </c>
      <c r="H67" s="60">
        <v>22.89</v>
      </c>
      <c r="I67" s="60">
        <v>0.53</v>
      </c>
      <c r="J67" s="60">
        <v>0.95</v>
      </c>
      <c r="K67" s="60">
        <v>20.85</v>
      </c>
      <c r="L67" s="60">
        <v>32.409999999999997</v>
      </c>
      <c r="M67" s="60">
        <v>8.3000000000000007</v>
      </c>
      <c r="N67" s="60">
        <v>436.3</v>
      </c>
      <c r="O67" s="60">
        <v>0</v>
      </c>
      <c r="P67" s="60">
        <v>0.56999999999999995</v>
      </c>
      <c r="Q67" s="60">
        <v>14.46</v>
      </c>
      <c r="R67" s="198"/>
      <c r="S67" s="198"/>
      <c r="T67" s="198"/>
      <c r="U67" s="198"/>
    </row>
    <row r="68" spans="1:21" s="12" customFormat="1" x14ac:dyDescent="0.25">
      <c r="A68" s="201" t="s">
        <v>1555</v>
      </c>
      <c r="B68" s="60">
        <v>2.14</v>
      </c>
      <c r="C68" s="60">
        <v>61.95</v>
      </c>
      <c r="D68" s="60">
        <v>35.9</v>
      </c>
      <c r="E68" s="60">
        <v>10.07</v>
      </c>
      <c r="F68" s="60">
        <v>7.28</v>
      </c>
      <c r="G68" s="60">
        <v>64.739999999999995</v>
      </c>
      <c r="H68" s="60">
        <v>25.99</v>
      </c>
      <c r="I68" s="60">
        <v>0.51</v>
      </c>
      <c r="J68" s="60">
        <v>0.39</v>
      </c>
      <c r="K68" s="60">
        <v>342.36</v>
      </c>
      <c r="L68" s="60">
        <v>32.21</v>
      </c>
      <c r="M68" s="60">
        <v>7.35</v>
      </c>
      <c r="N68" s="60">
        <v>423.8</v>
      </c>
      <c r="O68" s="60">
        <v>0</v>
      </c>
      <c r="P68" s="60">
        <v>0.56999999999999995</v>
      </c>
      <c r="Q68" s="60">
        <v>15.16</v>
      </c>
      <c r="R68" s="198"/>
      <c r="S68" s="198"/>
      <c r="T68" s="198"/>
      <c r="U68" s="198"/>
    </row>
    <row r="69" spans="1:21" s="12" customFormat="1" x14ac:dyDescent="0.25">
      <c r="A69" s="201" t="s">
        <v>1556</v>
      </c>
      <c r="B69" s="60">
        <v>2.5499999999999998</v>
      </c>
      <c r="C69" s="60">
        <v>59.7</v>
      </c>
      <c r="D69" s="60">
        <v>34.99</v>
      </c>
      <c r="E69" s="60">
        <v>9.82</v>
      </c>
      <c r="F69" s="60">
        <v>12.51</v>
      </c>
      <c r="G69" s="60">
        <v>64.739999999999995</v>
      </c>
      <c r="H69" s="60">
        <v>25.99</v>
      </c>
      <c r="I69" s="60">
        <v>0.51</v>
      </c>
      <c r="J69" s="60">
        <v>0.75</v>
      </c>
      <c r="K69" s="60">
        <v>12.38</v>
      </c>
      <c r="L69" s="60">
        <v>32.68</v>
      </c>
      <c r="M69" s="60">
        <v>8.09</v>
      </c>
      <c r="N69" s="60">
        <v>400.9</v>
      </c>
      <c r="O69" s="60">
        <v>0</v>
      </c>
      <c r="P69" s="60">
        <v>0.55000000000000004</v>
      </c>
      <c r="Q69" s="60">
        <v>15.95</v>
      </c>
      <c r="R69" s="198"/>
      <c r="S69" s="198"/>
      <c r="T69" s="198"/>
      <c r="U69" s="198"/>
    </row>
    <row r="70" spans="1:21" s="12" customFormat="1" x14ac:dyDescent="0.25">
      <c r="A70" s="201" t="s">
        <v>1557</v>
      </c>
      <c r="B70" s="60">
        <v>2.62</v>
      </c>
      <c r="C70" s="60">
        <v>62.78</v>
      </c>
      <c r="D70" s="60">
        <v>36.74</v>
      </c>
      <c r="E70" s="60">
        <v>7.95</v>
      </c>
      <c r="F70" s="60">
        <v>10.37</v>
      </c>
      <c r="G70" s="60">
        <v>64.739999999999995</v>
      </c>
      <c r="H70" s="60">
        <v>25.99</v>
      </c>
      <c r="I70" s="60">
        <v>0.52</v>
      </c>
      <c r="J70" s="60">
        <v>0.51</v>
      </c>
      <c r="K70" s="60">
        <v>0.91</v>
      </c>
      <c r="L70" s="60">
        <v>33.07</v>
      </c>
      <c r="M70" s="60">
        <v>8.3699999999999992</v>
      </c>
      <c r="N70" s="60">
        <v>304.10000000000002</v>
      </c>
      <c r="O70" s="60">
        <v>0</v>
      </c>
      <c r="P70" s="60">
        <v>0.55000000000000004</v>
      </c>
      <c r="Q70" s="60">
        <v>16.399999999999999</v>
      </c>
      <c r="R70" s="198"/>
      <c r="S70" s="198"/>
      <c r="T70" s="198"/>
      <c r="U70" s="198"/>
    </row>
    <row r="71" spans="1:21" s="12" customFormat="1" x14ac:dyDescent="0.25">
      <c r="A71" s="201" t="s">
        <v>1558</v>
      </c>
      <c r="B71" s="60">
        <v>2.38</v>
      </c>
      <c r="C71" s="60">
        <v>62.36</v>
      </c>
      <c r="D71" s="60">
        <v>36.32</v>
      </c>
      <c r="E71" s="60">
        <v>7.21</v>
      </c>
      <c r="F71" s="60">
        <v>10.37</v>
      </c>
      <c r="G71" s="60">
        <v>59.32</v>
      </c>
      <c r="H71" s="60">
        <v>23.06</v>
      </c>
      <c r="I71" s="60">
        <v>0.5</v>
      </c>
      <c r="J71" s="60">
        <v>0.53</v>
      </c>
      <c r="K71" s="6" t="s">
        <v>42</v>
      </c>
      <c r="L71" s="60">
        <v>32.770000000000003</v>
      </c>
      <c r="M71" s="60">
        <v>8.59</v>
      </c>
      <c r="N71" s="60">
        <v>156.6</v>
      </c>
      <c r="O71" s="60">
        <v>0</v>
      </c>
      <c r="P71" s="60">
        <v>0.54</v>
      </c>
      <c r="Q71" s="60">
        <v>16.16</v>
      </c>
      <c r="R71" s="198"/>
      <c r="S71" s="198"/>
      <c r="T71" s="198"/>
      <c r="U71" s="198"/>
    </row>
    <row r="72" spans="1:21" s="12" customFormat="1" x14ac:dyDescent="0.25">
      <c r="A72" s="201" t="s">
        <v>1559</v>
      </c>
      <c r="B72" s="60">
        <v>2.2200000000000002</v>
      </c>
      <c r="C72" s="60">
        <v>60.81</v>
      </c>
      <c r="D72" s="60">
        <v>35.340000000000003</v>
      </c>
      <c r="E72" s="60">
        <v>4.95</v>
      </c>
      <c r="F72" s="60">
        <v>10.84</v>
      </c>
      <c r="G72" s="60">
        <v>52.84</v>
      </c>
      <c r="H72" s="60">
        <v>19.559999999999999</v>
      </c>
      <c r="I72" s="60">
        <v>0.51</v>
      </c>
      <c r="J72" s="60">
        <v>0.84</v>
      </c>
      <c r="K72" s="60">
        <v>353.85</v>
      </c>
      <c r="L72" s="60">
        <v>32.42</v>
      </c>
      <c r="M72" s="60">
        <v>9.9</v>
      </c>
      <c r="N72" s="60">
        <v>123.8</v>
      </c>
      <c r="O72" s="60">
        <v>0</v>
      </c>
      <c r="P72" s="60">
        <v>0.56000000000000005</v>
      </c>
      <c r="Q72" s="60">
        <v>16.36</v>
      </c>
      <c r="R72" s="198"/>
      <c r="S72" s="198"/>
      <c r="T72" s="198"/>
      <c r="U72" s="198"/>
    </row>
    <row r="73" spans="1:21" s="12" customFormat="1" x14ac:dyDescent="0.25">
      <c r="A73" s="201" t="s">
        <v>1560</v>
      </c>
      <c r="B73" s="60">
        <v>2.88</v>
      </c>
      <c r="C73" s="60">
        <v>61.53</v>
      </c>
      <c r="D73" s="60">
        <v>36.26</v>
      </c>
      <c r="E73" s="60">
        <v>6.93</v>
      </c>
      <c r="F73" s="60">
        <v>11.31</v>
      </c>
      <c r="G73" s="60">
        <v>52.84</v>
      </c>
      <c r="H73" s="60">
        <v>19.559999999999999</v>
      </c>
      <c r="I73" s="60">
        <v>0.5</v>
      </c>
      <c r="J73" s="60">
        <v>0.41</v>
      </c>
      <c r="K73" s="60">
        <v>8.41</v>
      </c>
      <c r="L73" s="60">
        <v>30.85</v>
      </c>
      <c r="M73" s="60">
        <v>10.34</v>
      </c>
      <c r="N73" s="60">
        <v>170.6</v>
      </c>
      <c r="O73" s="60">
        <v>0</v>
      </c>
      <c r="P73" s="60">
        <v>0.59</v>
      </c>
      <c r="Q73" s="60">
        <v>16.34</v>
      </c>
      <c r="R73" s="198"/>
      <c r="S73" s="198"/>
      <c r="T73" s="198"/>
      <c r="U73" s="198"/>
    </row>
    <row r="74" spans="1:21" s="12" customFormat="1" x14ac:dyDescent="0.25">
      <c r="A74" s="201" t="s">
        <v>1561</v>
      </c>
      <c r="B74" s="60">
        <v>2.7</v>
      </c>
      <c r="C74" s="60">
        <v>68.02</v>
      </c>
      <c r="D74" s="60">
        <v>39.71</v>
      </c>
      <c r="E74" s="60">
        <v>6.79</v>
      </c>
      <c r="F74" s="60">
        <v>13.48</v>
      </c>
      <c r="G74" s="60">
        <v>52.84</v>
      </c>
      <c r="H74" s="60">
        <v>19.559999999999999</v>
      </c>
      <c r="I74" s="60">
        <v>0.51</v>
      </c>
      <c r="J74" s="60">
        <v>0.37</v>
      </c>
      <c r="K74" s="60">
        <v>358.94</v>
      </c>
      <c r="L74" s="60">
        <v>29.79</v>
      </c>
      <c r="M74" s="60">
        <v>11.8</v>
      </c>
      <c r="N74" s="60">
        <v>69</v>
      </c>
      <c r="O74" s="60">
        <v>0</v>
      </c>
      <c r="P74" s="60">
        <v>0.62</v>
      </c>
      <c r="Q74" s="60">
        <v>15.89</v>
      </c>
      <c r="R74" s="198"/>
      <c r="S74" s="198"/>
      <c r="T74" s="198"/>
      <c r="U74" s="198"/>
    </row>
    <row r="75" spans="1:21" s="12" customFormat="1" x14ac:dyDescent="0.25">
      <c r="A75" s="201" t="s">
        <v>1562</v>
      </c>
      <c r="B75" s="60">
        <v>1.8</v>
      </c>
      <c r="C75" s="60">
        <v>66.87</v>
      </c>
      <c r="D75" s="60">
        <v>38.35</v>
      </c>
      <c r="E75" s="60">
        <v>6.67</v>
      </c>
      <c r="F75" s="60">
        <v>10.36</v>
      </c>
      <c r="G75" s="60">
        <v>42.36</v>
      </c>
      <c r="H75" s="60">
        <v>19</v>
      </c>
      <c r="I75" s="60">
        <v>0.5</v>
      </c>
      <c r="J75" s="60">
        <v>0.2</v>
      </c>
      <c r="K75" s="60">
        <v>59.33</v>
      </c>
      <c r="L75" s="60">
        <v>29.02</v>
      </c>
      <c r="M75" s="60">
        <v>11.64</v>
      </c>
      <c r="N75" s="60">
        <v>57</v>
      </c>
      <c r="O75" s="60">
        <v>0</v>
      </c>
      <c r="P75" s="60">
        <v>0.62</v>
      </c>
      <c r="Q75" s="60">
        <v>15.42</v>
      </c>
      <c r="R75" s="198"/>
      <c r="S75" s="198"/>
      <c r="T75" s="198"/>
      <c r="U75" s="198"/>
    </row>
    <row r="76" spans="1:21" s="12" customFormat="1" x14ac:dyDescent="0.25">
      <c r="A76" s="201" t="s">
        <v>1563</v>
      </c>
      <c r="B76" s="60">
        <v>4.3099999999999996</v>
      </c>
      <c r="C76" s="60">
        <v>66.430000000000007</v>
      </c>
      <c r="D76" s="60">
        <v>40.119999999999997</v>
      </c>
      <c r="E76" s="60">
        <v>7.57</v>
      </c>
      <c r="F76" s="60">
        <v>20.55</v>
      </c>
      <c r="G76" s="60">
        <v>29.82</v>
      </c>
      <c r="H76" s="60">
        <v>18.34</v>
      </c>
      <c r="I76" s="60">
        <v>0.49</v>
      </c>
      <c r="J76" s="60">
        <v>0.37</v>
      </c>
      <c r="K76" s="60">
        <v>355.08</v>
      </c>
      <c r="L76" s="60">
        <v>28.44</v>
      </c>
      <c r="M76" s="60">
        <v>13.65</v>
      </c>
      <c r="N76" s="60">
        <v>39.9</v>
      </c>
      <c r="O76" s="60">
        <v>0</v>
      </c>
      <c r="P76" s="60">
        <v>0.65</v>
      </c>
      <c r="Q76" s="60">
        <v>15.44</v>
      </c>
      <c r="R76" s="198"/>
      <c r="S76" s="198"/>
      <c r="T76" s="198"/>
      <c r="U76" s="198"/>
    </row>
    <row r="77" spans="1:21" s="12" customFormat="1" x14ac:dyDescent="0.25">
      <c r="A77" s="201" t="s">
        <v>1564</v>
      </c>
      <c r="B77" s="60">
        <v>10.52</v>
      </c>
      <c r="C77" s="60">
        <v>79.78</v>
      </c>
      <c r="D77" s="60">
        <v>52.47</v>
      </c>
      <c r="E77" s="60">
        <v>7.48</v>
      </c>
      <c r="F77" s="60">
        <v>12.09</v>
      </c>
      <c r="G77" s="60">
        <v>29.82</v>
      </c>
      <c r="H77" s="60">
        <v>18.34</v>
      </c>
      <c r="I77" s="60">
        <v>0.5</v>
      </c>
      <c r="J77" s="60">
        <v>0.26</v>
      </c>
      <c r="K77" s="60">
        <v>350.69</v>
      </c>
      <c r="L77" s="60">
        <v>28.23</v>
      </c>
      <c r="M77" s="60">
        <v>14.2</v>
      </c>
      <c r="N77" s="60">
        <v>32</v>
      </c>
      <c r="O77" s="60">
        <v>0</v>
      </c>
      <c r="P77" s="60">
        <v>0.7</v>
      </c>
      <c r="Q77" s="60">
        <v>15.71</v>
      </c>
      <c r="R77" s="198"/>
      <c r="S77" s="198"/>
      <c r="T77" s="198"/>
      <c r="U77" s="198"/>
    </row>
    <row r="78" spans="1:21" s="12" customFormat="1" x14ac:dyDescent="0.25">
      <c r="A78" s="201" t="s">
        <v>1565</v>
      </c>
      <c r="B78" s="60">
        <v>12.38</v>
      </c>
      <c r="C78" s="60">
        <v>87.26</v>
      </c>
      <c r="D78" s="60">
        <v>58.09</v>
      </c>
      <c r="E78" s="60">
        <v>7.34</v>
      </c>
      <c r="F78" s="60">
        <v>10.83</v>
      </c>
      <c r="G78" s="60">
        <v>29.82</v>
      </c>
      <c r="H78" s="60">
        <v>18.34</v>
      </c>
      <c r="I78" s="60">
        <v>0.51</v>
      </c>
      <c r="J78" s="60">
        <v>0.09</v>
      </c>
      <c r="K78" s="60">
        <v>318.32</v>
      </c>
      <c r="L78" s="60">
        <v>27.57</v>
      </c>
      <c r="M78" s="60">
        <v>15.41</v>
      </c>
      <c r="N78" s="60">
        <v>23.6</v>
      </c>
      <c r="O78" s="60">
        <v>0</v>
      </c>
      <c r="P78" s="60">
        <v>0.81</v>
      </c>
      <c r="Q78" s="60">
        <v>16.09</v>
      </c>
      <c r="R78" s="198"/>
      <c r="S78" s="198"/>
      <c r="T78" s="198"/>
      <c r="U78" s="198"/>
    </row>
    <row r="79" spans="1:21" s="12" customFormat="1" x14ac:dyDescent="0.25">
      <c r="A79" s="201" t="s">
        <v>1566</v>
      </c>
      <c r="B79" s="60">
        <v>7.89</v>
      </c>
      <c r="C79" s="60">
        <v>80.95</v>
      </c>
      <c r="D79" s="60">
        <v>51.01</v>
      </c>
      <c r="E79" s="60">
        <v>6.98</v>
      </c>
      <c r="F79" s="60">
        <v>13.36</v>
      </c>
      <c r="G79" s="60">
        <v>42.97</v>
      </c>
      <c r="H79" s="60">
        <v>18.7</v>
      </c>
      <c r="I79" s="60">
        <v>0.52</v>
      </c>
      <c r="J79" s="60">
        <v>0.11</v>
      </c>
      <c r="K79" s="60">
        <v>293.70999999999998</v>
      </c>
      <c r="L79" s="60">
        <v>26.89</v>
      </c>
      <c r="M79" s="60">
        <v>15.6</v>
      </c>
      <c r="N79" s="60">
        <v>15.1</v>
      </c>
      <c r="O79" s="60">
        <v>0</v>
      </c>
      <c r="P79" s="60">
        <v>0.81</v>
      </c>
      <c r="Q79" s="60">
        <v>17.329999999999998</v>
      </c>
      <c r="R79" s="198"/>
      <c r="S79" s="198"/>
      <c r="T79" s="198"/>
      <c r="U79" s="198"/>
    </row>
    <row r="80" spans="1:21" s="12" customFormat="1" x14ac:dyDescent="0.25">
      <c r="A80" s="201" t="s">
        <v>1567</v>
      </c>
      <c r="B80" s="60">
        <v>5.1100000000000003</v>
      </c>
      <c r="C80" s="60">
        <v>74.41</v>
      </c>
      <c r="D80" s="60">
        <v>45.17</v>
      </c>
      <c r="E80" s="60">
        <v>6.49</v>
      </c>
      <c r="F80" s="60">
        <v>13.56</v>
      </c>
      <c r="G80" s="60">
        <v>58.67</v>
      </c>
      <c r="H80" s="60">
        <v>19.13</v>
      </c>
      <c r="I80" s="60">
        <v>0.55000000000000004</v>
      </c>
      <c r="J80" s="60">
        <v>0.17</v>
      </c>
      <c r="K80" s="60">
        <v>262.61</v>
      </c>
      <c r="L80" s="60">
        <v>26.65</v>
      </c>
      <c r="M80" s="60">
        <v>16.100000000000001</v>
      </c>
      <c r="N80" s="60">
        <v>7.2</v>
      </c>
      <c r="O80" s="60">
        <v>0</v>
      </c>
      <c r="P80" s="60">
        <v>0.72</v>
      </c>
      <c r="Q80" s="60">
        <v>18.760000000000002</v>
      </c>
      <c r="R80" s="198"/>
      <c r="S80" s="198"/>
      <c r="T80" s="198"/>
      <c r="U80" s="198"/>
    </row>
    <row r="81" spans="1:26" s="12" customFormat="1" x14ac:dyDescent="0.25">
      <c r="A81" s="201" t="s">
        <v>1568</v>
      </c>
      <c r="B81" s="60">
        <v>6.2</v>
      </c>
      <c r="C81" s="60">
        <v>80.31</v>
      </c>
      <c r="D81" s="60">
        <v>49.29</v>
      </c>
      <c r="E81" s="60">
        <v>6.92</v>
      </c>
      <c r="F81" s="60">
        <v>9.89</v>
      </c>
      <c r="G81" s="60">
        <v>58.67</v>
      </c>
      <c r="H81" s="60">
        <v>19.13</v>
      </c>
      <c r="I81" s="60">
        <v>0.53</v>
      </c>
      <c r="J81" s="60">
        <v>0.08</v>
      </c>
      <c r="K81" s="60">
        <v>211.78</v>
      </c>
      <c r="L81" s="60">
        <v>25.86</v>
      </c>
      <c r="M81" s="60">
        <v>18.62</v>
      </c>
      <c r="N81" s="60">
        <v>4.5999999999999996</v>
      </c>
      <c r="O81" s="60">
        <v>0</v>
      </c>
      <c r="P81" s="60">
        <v>0.73</v>
      </c>
      <c r="Q81" s="60">
        <v>19.75</v>
      </c>
      <c r="R81" s="198"/>
      <c r="S81" s="198"/>
      <c r="T81" s="198"/>
      <c r="U81" s="198"/>
    </row>
    <row r="82" spans="1:26" s="12" customFormat="1" x14ac:dyDescent="0.25">
      <c r="A82" s="201" t="s">
        <v>1569</v>
      </c>
      <c r="B82" s="60">
        <v>5.36</v>
      </c>
      <c r="C82" s="60">
        <v>82.89</v>
      </c>
      <c r="D82" s="60">
        <v>50.04</v>
      </c>
      <c r="E82" s="60">
        <v>6.94</v>
      </c>
      <c r="F82" s="60">
        <v>8.0299999999999994</v>
      </c>
      <c r="G82" s="60">
        <v>58.67</v>
      </c>
      <c r="H82" s="60">
        <v>19.13</v>
      </c>
      <c r="I82" s="60">
        <v>0.56999999999999995</v>
      </c>
      <c r="J82" s="60">
        <v>0.05</v>
      </c>
      <c r="K82" s="60">
        <v>210.61</v>
      </c>
      <c r="L82" s="60">
        <v>24.55</v>
      </c>
      <c r="M82" s="60">
        <v>20.91</v>
      </c>
      <c r="N82" s="60">
        <v>4.7</v>
      </c>
      <c r="O82" s="60">
        <v>0</v>
      </c>
      <c r="P82" s="60">
        <v>0.74</v>
      </c>
      <c r="Q82" s="60">
        <v>20.34</v>
      </c>
      <c r="R82" s="198"/>
      <c r="S82" s="198"/>
      <c r="T82" s="198"/>
      <c r="U82" s="198"/>
    </row>
    <row r="83" spans="1:26" s="12" customFormat="1" x14ac:dyDescent="0.25">
      <c r="A83" s="201" t="s">
        <v>1570</v>
      </c>
      <c r="B83" s="60">
        <v>15.41</v>
      </c>
      <c r="C83" s="60">
        <v>89.5</v>
      </c>
      <c r="D83" s="60">
        <v>61.75</v>
      </c>
      <c r="E83" s="60">
        <v>6.52</v>
      </c>
      <c r="F83" s="60">
        <v>5.54</v>
      </c>
      <c r="G83" s="60">
        <v>63.85</v>
      </c>
      <c r="H83" s="60">
        <v>20.81</v>
      </c>
      <c r="I83" s="60">
        <v>0.59</v>
      </c>
      <c r="J83" s="60">
        <v>0.15</v>
      </c>
      <c r="K83" s="60">
        <v>19.73</v>
      </c>
      <c r="L83" s="60">
        <v>23.58</v>
      </c>
      <c r="M83" s="60">
        <v>32.17</v>
      </c>
      <c r="N83" s="60">
        <v>4.7</v>
      </c>
      <c r="O83" s="60">
        <v>0</v>
      </c>
      <c r="P83" s="60">
        <v>0.93</v>
      </c>
      <c r="Q83" s="60">
        <v>20.81</v>
      </c>
      <c r="R83" s="198"/>
      <c r="S83" s="198"/>
      <c r="T83" s="198"/>
      <c r="U83" s="198"/>
    </row>
    <row r="84" spans="1:26" s="12" customFormat="1" x14ac:dyDescent="0.25">
      <c r="A84" s="201" t="s">
        <v>1571</v>
      </c>
      <c r="B84" s="60">
        <v>13.58</v>
      </c>
      <c r="C84" s="60">
        <v>87</v>
      </c>
      <c r="D84" s="60">
        <v>58.9</v>
      </c>
      <c r="E84" s="60">
        <v>6.17</v>
      </c>
      <c r="F84" s="60">
        <v>4.7699999999999996</v>
      </c>
      <c r="G84" s="60">
        <v>70.040000000000006</v>
      </c>
      <c r="H84" s="60">
        <v>22.82</v>
      </c>
      <c r="I84" s="60">
        <v>0.56000000000000005</v>
      </c>
      <c r="J84" s="60">
        <v>0.05</v>
      </c>
      <c r="K84" s="60">
        <v>272.08</v>
      </c>
      <c r="L84" s="60">
        <v>22.95</v>
      </c>
      <c r="M84" s="60">
        <v>34.19</v>
      </c>
      <c r="N84" s="60">
        <v>4.3</v>
      </c>
      <c r="O84" s="60">
        <v>0</v>
      </c>
      <c r="P84" s="60">
        <v>0.92</v>
      </c>
      <c r="Q84" s="60">
        <v>22.88</v>
      </c>
      <c r="R84" s="198"/>
      <c r="S84" s="198"/>
      <c r="T84" s="198"/>
      <c r="U84" s="198"/>
    </row>
    <row r="85" spans="1:26" s="12" customFormat="1" x14ac:dyDescent="0.25">
      <c r="A85" s="201" t="s">
        <v>1572</v>
      </c>
      <c r="B85" s="60">
        <v>18.559999999999999</v>
      </c>
      <c r="C85" s="60">
        <v>92.07</v>
      </c>
      <c r="D85" s="60">
        <v>65.7</v>
      </c>
      <c r="E85" s="60">
        <v>6.97</v>
      </c>
      <c r="F85" s="60">
        <v>4.6399999999999997</v>
      </c>
      <c r="G85" s="60">
        <v>70.040000000000006</v>
      </c>
      <c r="H85" s="60">
        <v>22.82</v>
      </c>
      <c r="I85" s="60">
        <v>0.63</v>
      </c>
      <c r="J85" s="60">
        <v>0.08</v>
      </c>
      <c r="K85" s="60">
        <v>250.9</v>
      </c>
      <c r="L85" s="60">
        <v>22.83</v>
      </c>
      <c r="M85" s="60">
        <v>28.36</v>
      </c>
      <c r="N85" s="60">
        <v>4.2</v>
      </c>
      <c r="O85" s="60">
        <v>0</v>
      </c>
      <c r="P85" s="60">
        <v>1.05</v>
      </c>
      <c r="Q85" s="60">
        <v>24.12</v>
      </c>
      <c r="R85" s="198"/>
      <c r="S85" s="198"/>
      <c r="T85" s="198"/>
      <c r="U85" s="198"/>
    </row>
    <row r="86" spans="1:26" s="12" customFormat="1" x14ac:dyDescent="0.25">
      <c r="A86" s="201" t="s">
        <v>1573</v>
      </c>
      <c r="B86" s="60">
        <v>24.41</v>
      </c>
      <c r="C86" s="60">
        <v>97.3</v>
      </c>
      <c r="D86" s="60">
        <v>73.27</v>
      </c>
      <c r="E86" s="60">
        <v>6.82</v>
      </c>
      <c r="F86" s="60">
        <v>4.58</v>
      </c>
      <c r="G86" s="60">
        <v>70.040000000000006</v>
      </c>
      <c r="H86" s="60">
        <v>22.82</v>
      </c>
      <c r="I86" s="60">
        <v>0.61</v>
      </c>
      <c r="J86" s="60">
        <v>0.11</v>
      </c>
      <c r="K86" s="60">
        <v>112.32</v>
      </c>
      <c r="L86" s="60">
        <v>22.37</v>
      </c>
      <c r="M86" s="60">
        <v>30.93</v>
      </c>
      <c r="N86" s="60">
        <v>4.3</v>
      </c>
      <c r="O86" s="60">
        <v>0</v>
      </c>
      <c r="P86" s="60">
        <v>1.22</v>
      </c>
      <c r="Q86" s="60">
        <v>25.01</v>
      </c>
      <c r="R86" s="198"/>
      <c r="S86" s="198"/>
      <c r="T86" s="198"/>
      <c r="U86" s="198"/>
    </row>
    <row r="87" spans="1:26" s="12" customFormat="1" x14ac:dyDescent="0.25">
      <c r="A87" s="201" t="s">
        <v>1574</v>
      </c>
      <c r="B87" s="60">
        <v>38.17</v>
      </c>
      <c r="C87" s="60">
        <v>109.85</v>
      </c>
      <c r="D87" s="60">
        <v>91.23</v>
      </c>
      <c r="E87" s="60">
        <v>7.95</v>
      </c>
      <c r="F87" s="60">
        <v>4.66</v>
      </c>
      <c r="G87" s="60">
        <v>117.34</v>
      </c>
      <c r="H87" s="60">
        <v>28</v>
      </c>
      <c r="I87" s="60">
        <v>0.69</v>
      </c>
      <c r="J87" s="60">
        <v>0.08</v>
      </c>
      <c r="K87" s="60">
        <v>284.8</v>
      </c>
      <c r="L87" s="60">
        <v>22.05</v>
      </c>
      <c r="M87" s="60">
        <v>34.159999999999997</v>
      </c>
      <c r="N87" s="60">
        <v>4</v>
      </c>
      <c r="O87" s="60">
        <v>0</v>
      </c>
      <c r="P87" s="60">
        <v>1.38</v>
      </c>
      <c r="Q87" s="60">
        <v>25.66</v>
      </c>
      <c r="R87" s="198"/>
      <c r="S87" s="198"/>
      <c r="T87" s="198"/>
      <c r="U87" s="198"/>
    </row>
    <row r="88" spans="1:26" s="12" customFormat="1" x14ac:dyDescent="0.25">
      <c r="A88" s="201" t="s">
        <v>1575</v>
      </c>
      <c r="B88" s="60">
        <v>48.15</v>
      </c>
      <c r="C88" s="60">
        <v>115.9</v>
      </c>
      <c r="D88" s="60">
        <v>102.58</v>
      </c>
      <c r="E88" s="60">
        <v>4.88</v>
      </c>
      <c r="F88" s="60">
        <v>4.54</v>
      </c>
      <c r="G88" s="60">
        <v>173.87</v>
      </c>
      <c r="H88" s="60">
        <v>34.19</v>
      </c>
      <c r="I88" s="60">
        <v>0.73</v>
      </c>
      <c r="J88" s="60">
        <v>0.05</v>
      </c>
      <c r="K88" s="60">
        <v>93.5</v>
      </c>
      <c r="L88" s="60">
        <v>21.79</v>
      </c>
      <c r="M88" s="60">
        <v>34.159999999999997</v>
      </c>
      <c r="N88" s="60">
        <v>4.2</v>
      </c>
      <c r="O88" s="60">
        <v>0</v>
      </c>
      <c r="P88" s="60">
        <v>1.54</v>
      </c>
      <c r="Q88" s="60">
        <v>26.63</v>
      </c>
      <c r="R88" s="198"/>
      <c r="S88" s="198"/>
      <c r="T88" s="198"/>
      <c r="U88" s="198"/>
    </row>
    <row r="89" spans="1:26" s="12" customFormat="1" x14ac:dyDescent="0.25">
      <c r="A89" s="201" t="s">
        <v>1576</v>
      </c>
      <c r="B89" s="60">
        <v>56.23</v>
      </c>
      <c r="C89" s="60">
        <v>123.24</v>
      </c>
      <c r="D89" s="60">
        <v>113.1</v>
      </c>
      <c r="E89" s="60">
        <v>7.4</v>
      </c>
      <c r="F89" s="60">
        <v>4.5599999999999996</v>
      </c>
      <c r="G89" s="60">
        <v>173.87</v>
      </c>
      <c r="H89" s="60">
        <v>34.19</v>
      </c>
      <c r="I89" s="60">
        <v>0.81</v>
      </c>
      <c r="J89" s="60">
        <v>0.03</v>
      </c>
      <c r="K89" s="60">
        <v>198.35</v>
      </c>
      <c r="L89" s="60">
        <v>21.55</v>
      </c>
      <c r="M89" s="60">
        <v>36.130000000000003</v>
      </c>
      <c r="N89" s="60">
        <v>3.9</v>
      </c>
      <c r="O89" s="60">
        <v>0</v>
      </c>
      <c r="P89" s="60">
        <v>1.64</v>
      </c>
      <c r="Q89" s="60">
        <v>27.67</v>
      </c>
      <c r="R89" s="198"/>
      <c r="S89" s="198"/>
      <c r="T89" s="198"/>
      <c r="U89" s="198"/>
    </row>
    <row r="90" spans="1:26" s="12" customFormat="1" x14ac:dyDescent="0.25">
      <c r="A90" s="201" t="s">
        <v>1577</v>
      </c>
      <c r="B90" s="60">
        <v>68.91</v>
      </c>
      <c r="C90" s="60">
        <v>133.05000000000001</v>
      </c>
      <c r="D90" s="60">
        <v>128.69</v>
      </c>
      <c r="E90" s="60">
        <v>7.61</v>
      </c>
      <c r="F90" s="60">
        <v>4.5</v>
      </c>
      <c r="G90" s="60">
        <v>173.87</v>
      </c>
      <c r="H90" s="60">
        <v>34.19</v>
      </c>
      <c r="I90" s="60">
        <v>0.87</v>
      </c>
      <c r="J90" s="60">
        <v>0.26</v>
      </c>
      <c r="K90" s="60">
        <v>2.9</v>
      </c>
      <c r="L90" s="60">
        <v>21.73</v>
      </c>
      <c r="M90" s="60">
        <v>39.31</v>
      </c>
      <c r="N90" s="60">
        <v>3.6</v>
      </c>
      <c r="O90" s="60">
        <v>0</v>
      </c>
      <c r="P90" s="60">
        <v>1.86</v>
      </c>
      <c r="Q90" s="60">
        <v>27.94</v>
      </c>
      <c r="R90" s="198"/>
      <c r="S90" s="198"/>
      <c r="T90" s="198"/>
      <c r="U90" s="198"/>
    </row>
    <row r="91" spans="1:26" s="12" customFormat="1" x14ac:dyDescent="0.25">
      <c r="A91" s="201" t="s">
        <v>1578</v>
      </c>
      <c r="B91" s="60">
        <v>73.180000000000007</v>
      </c>
      <c r="C91" s="60">
        <v>136.9</v>
      </c>
      <c r="D91" s="60">
        <v>134.24</v>
      </c>
      <c r="E91" s="60">
        <v>7.95</v>
      </c>
      <c r="F91" s="60">
        <v>4.51</v>
      </c>
      <c r="G91" s="60">
        <v>177.42</v>
      </c>
      <c r="H91" s="60">
        <v>38.81</v>
      </c>
      <c r="I91" s="60">
        <v>0.94</v>
      </c>
      <c r="J91" s="60">
        <v>0.08</v>
      </c>
      <c r="K91" s="60">
        <v>346.64</v>
      </c>
      <c r="L91" s="60">
        <v>21.12</v>
      </c>
      <c r="M91" s="60">
        <v>38.81</v>
      </c>
      <c r="N91" s="60">
        <v>4.0999999999999996</v>
      </c>
      <c r="O91" s="60">
        <v>0</v>
      </c>
      <c r="P91" s="60">
        <v>1.96</v>
      </c>
      <c r="Q91" s="60">
        <v>27.66</v>
      </c>
      <c r="R91" s="198"/>
      <c r="S91" s="198"/>
      <c r="T91" s="198"/>
      <c r="U91" s="198"/>
    </row>
    <row r="92" spans="1:26" s="12" customFormat="1" x14ac:dyDescent="0.25">
      <c r="A92" s="201" t="s">
        <v>1579</v>
      </c>
      <c r="B92" s="60">
        <v>79.58</v>
      </c>
      <c r="C92" s="60">
        <v>139.77000000000001</v>
      </c>
      <c r="D92" s="60">
        <v>140.96</v>
      </c>
      <c r="E92" s="60">
        <v>7.73</v>
      </c>
      <c r="F92" s="60">
        <v>4.55</v>
      </c>
      <c r="G92" s="60">
        <v>181.66</v>
      </c>
      <c r="H92" s="60">
        <v>44.33</v>
      </c>
      <c r="I92" s="60">
        <v>1.02</v>
      </c>
      <c r="J92" s="60">
        <v>0.26</v>
      </c>
      <c r="K92" s="60">
        <v>12.5</v>
      </c>
      <c r="L92" s="60">
        <v>20.82</v>
      </c>
      <c r="M92" s="60">
        <v>42.75</v>
      </c>
      <c r="N92" s="60">
        <v>4.2</v>
      </c>
      <c r="O92" s="60">
        <v>0</v>
      </c>
      <c r="P92" s="60">
        <v>2.09</v>
      </c>
      <c r="Q92" s="60">
        <v>28.05</v>
      </c>
      <c r="R92" s="198"/>
      <c r="S92" s="198"/>
      <c r="T92" s="198"/>
      <c r="U92" s="198"/>
    </row>
    <row r="93" spans="1:26" s="12" customFormat="1" x14ac:dyDescent="0.25">
      <c r="A93" s="201" t="s">
        <v>1580</v>
      </c>
      <c r="B93" s="60">
        <v>80.12</v>
      </c>
      <c r="C93" s="60">
        <v>139.49</v>
      </c>
      <c r="D93" s="60">
        <v>141.22999999999999</v>
      </c>
      <c r="E93" s="60">
        <v>7.67</v>
      </c>
      <c r="F93" s="60">
        <v>4.54</v>
      </c>
      <c r="G93" s="60">
        <v>181.66</v>
      </c>
      <c r="H93" s="60">
        <v>44.33</v>
      </c>
      <c r="I93" s="60">
        <v>1.04</v>
      </c>
      <c r="J93" s="60">
        <v>0.15</v>
      </c>
      <c r="K93" s="60">
        <v>1.76</v>
      </c>
      <c r="L93" s="60">
        <v>20.51</v>
      </c>
      <c r="M93" s="60">
        <v>43.83</v>
      </c>
      <c r="N93" s="60">
        <v>4.0999999999999996</v>
      </c>
      <c r="O93" s="60">
        <v>0</v>
      </c>
      <c r="P93" s="60">
        <v>2.16</v>
      </c>
      <c r="Q93" s="60">
        <v>28.71</v>
      </c>
      <c r="R93" s="198"/>
      <c r="S93" s="198"/>
      <c r="T93" s="198"/>
      <c r="U93" s="198"/>
    </row>
    <row r="94" spans="1:26" s="12" customFormat="1" x14ac:dyDescent="0.25">
      <c r="A94" s="201" t="s">
        <v>1581</v>
      </c>
      <c r="B94" s="60">
        <v>79.66</v>
      </c>
      <c r="C94" s="60">
        <v>139.09</v>
      </c>
      <c r="D94" s="60">
        <v>140.63999999999999</v>
      </c>
      <c r="E94" s="60">
        <v>8</v>
      </c>
      <c r="F94" s="60">
        <v>4.57</v>
      </c>
      <c r="G94" s="60">
        <v>181.66</v>
      </c>
      <c r="H94" s="60">
        <v>44.33</v>
      </c>
      <c r="I94" s="60">
        <v>1.1000000000000001</v>
      </c>
      <c r="J94" s="60">
        <v>0.15</v>
      </c>
      <c r="K94" s="60">
        <v>161.11000000000001</v>
      </c>
      <c r="L94" s="60">
        <v>21.14</v>
      </c>
      <c r="M94" s="60">
        <v>38.28</v>
      </c>
      <c r="N94" s="60">
        <v>3</v>
      </c>
      <c r="O94" s="60">
        <v>0</v>
      </c>
      <c r="P94" s="60">
        <v>2.19</v>
      </c>
      <c r="Q94" s="60">
        <v>29.37</v>
      </c>
      <c r="R94" s="198"/>
      <c r="S94" s="198"/>
      <c r="T94" s="198"/>
      <c r="U94" s="198"/>
    </row>
    <row r="95" spans="1:26" s="12" customFormat="1" x14ac:dyDescent="0.25">
      <c r="A95" s="201" t="s">
        <v>1582</v>
      </c>
      <c r="B95" s="60">
        <v>76.06</v>
      </c>
      <c r="C95" s="60">
        <v>138.72</v>
      </c>
      <c r="D95" s="60">
        <v>137.55000000000001</v>
      </c>
      <c r="E95" s="60">
        <v>7.89</v>
      </c>
      <c r="F95" s="60">
        <v>4.62</v>
      </c>
      <c r="G95" s="60">
        <v>176.51</v>
      </c>
      <c r="H95" s="60">
        <v>46.21</v>
      </c>
      <c r="I95" s="60">
        <v>1.1200000000000001</v>
      </c>
      <c r="J95" s="60">
        <v>0.09</v>
      </c>
      <c r="K95" s="60">
        <v>186.66</v>
      </c>
      <c r="L95" s="60">
        <v>21.78</v>
      </c>
      <c r="M95" s="60">
        <v>36.03</v>
      </c>
      <c r="N95" s="60">
        <v>3.3</v>
      </c>
      <c r="O95" s="60">
        <v>0</v>
      </c>
      <c r="P95" s="60">
        <v>2.1800000000000002</v>
      </c>
      <c r="Q95" s="60">
        <v>29.72</v>
      </c>
      <c r="R95" s="198"/>
      <c r="S95" s="198"/>
      <c r="T95" s="198"/>
      <c r="U95" s="198"/>
    </row>
    <row r="96" spans="1:26" s="12" customFormat="1" x14ac:dyDescent="0.25">
      <c r="A96" s="201" t="s">
        <v>1583</v>
      </c>
      <c r="B96" s="60">
        <v>75.23</v>
      </c>
      <c r="C96" s="60">
        <v>137.65</v>
      </c>
      <c r="D96" s="60">
        <v>136.29</v>
      </c>
      <c r="E96" s="60">
        <v>7.56</v>
      </c>
      <c r="F96" s="60">
        <v>4.54</v>
      </c>
      <c r="G96" s="60">
        <v>170.35</v>
      </c>
      <c r="H96" s="60">
        <v>48.46</v>
      </c>
      <c r="I96" s="60">
        <v>1.1299999999999999</v>
      </c>
      <c r="J96" s="60">
        <v>0.05</v>
      </c>
      <c r="K96" s="60">
        <v>124.95</v>
      </c>
      <c r="L96" s="60">
        <v>20.71</v>
      </c>
      <c r="M96" s="60">
        <v>38.76</v>
      </c>
      <c r="N96" s="60">
        <v>4.5999999999999996</v>
      </c>
      <c r="O96" s="60">
        <v>0</v>
      </c>
      <c r="P96" s="60">
        <v>2.1800000000000002</v>
      </c>
      <c r="Q96" s="60">
        <v>29.86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1584</v>
      </c>
      <c r="B97" s="60">
        <v>77.709999999999994</v>
      </c>
      <c r="C97" s="60">
        <v>137.77000000000001</v>
      </c>
      <c r="D97" s="60">
        <v>138.35</v>
      </c>
      <c r="E97" s="60">
        <v>8.2100000000000009</v>
      </c>
      <c r="F97" s="60">
        <v>4.63</v>
      </c>
      <c r="G97" s="60">
        <v>170.35</v>
      </c>
      <c r="H97" s="60">
        <v>48.46</v>
      </c>
      <c r="I97" s="60">
        <v>1.1000000000000001</v>
      </c>
      <c r="J97" s="60">
        <v>7.0000000000000007E-2</v>
      </c>
      <c r="K97" s="60">
        <v>194.3</v>
      </c>
      <c r="L97" s="60">
        <v>20.11</v>
      </c>
      <c r="M97" s="60">
        <v>40.880000000000003</v>
      </c>
      <c r="N97" s="60">
        <v>4.5</v>
      </c>
      <c r="O97" s="60">
        <v>0</v>
      </c>
      <c r="P97" s="60">
        <v>2.2000000000000002</v>
      </c>
      <c r="Q97" s="60">
        <v>30.09</v>
      </c>
      <c r="R97" s="198"/>
      <c r="S97" s="198"/>
      <c r="T97" s="198"/>
      <c r="U97" s="198"/>
    </row>
    <row r="98" spans="1:33" s="12" customFormat="1" x14ac:dyDescent="0.25">
      <c r="A98" s="201" t="s">
        <v>1585</v>
      </c>
      <c r="B98" s="60">
        <v>77.52</v>
      </c>
      <c r="C98" s="60">
        <v>138.13</v>
      </c>
      <c r="D98" s="60">
        <v>138.38999999999999</v>
      </c>
      <c r="E98" s="60">
        <v>7.59</v>
      </c>
      <c r="F98" s="60">
        <v>4.5199999999999996</v>
      </c>
      <c r="G98" s="60">
        <v>170.35</v>
      </c>
      <c r="H98" s="60">
        <v>48.46</v>
      </c>
      <c r="I98" s="60">
        <v>1.1200000000000001</v>
      </c>
      <c r="J98" s="60">
        <v>0.15</v>
      </c>
      <c r="K98" s="60">
        <v>347.52</v>
      </c>
      <c r="L98" s="60">
        <v>20.21</v>
      </c>
      <c r="M98" s="60">
        <v>43.33</v>
      </c>
      <c r="N98" s="60">
        <v>4.0999999999999996</v>
      </c>
      <c r="O98" s="60">
        <v>0</v>
      </c>
      <c r="P98" s="60">
        <v>2.19</v>
      </c>
      <c r="Q98" s="60">
        <v>31.09</v>
      </c>
      <c r="R98" s="198"/>
      <c r="S98" s="198"/>
      <c r="T98" s="198"/>
      <c r="U98" s="198"/>
    </row>
    <row r="99" spans="1:33" s="12" customFormat="1" x14ac:dyDescent="0.25">
      <c r="A99" s="201" t="s">
        <v>1586</v>
      </c>
      <c r="B99" s="60">
        <v>77.87</v>
      </c>
      <c r="C99" s="60">
        <v>138.22</v>
      </c>
      <c r="D99" s="60">
        <v>138.72</v>
      </c>
      <c r="E99" s="60">
        <v>7.56</v>
      </c>
      <c r="F99" s="60">
        <v>4.5</v>
      </c>
      <c r="G99" s="60">
        <v>150.91</v>
      </c>
      <c r="H99" s="60">
        <v>48.24</v>
      </c>
      <c r="I99" s="60">
        <v>1.1200000000000001</v>
      </c>
      <c r="J99" s="60">
        <v>7.0000000000000007E-2</v>
      </c>
      <c r="K99" s="60">
        <v>353.73</v>
      </c>
      <c r="L99" s="60">
        <v>19.48</v>
      </c>
      <c r="M99" s="60">
        <v>46.71</v>
      </c>
      <c r="N99" s="60">
        <v>4.5</v>
      </c>
      <c r="O99" s="60">
        <v>0</v>
      </c>
      <c r="P99" s="60">
        <v>2.2200000000000002</v>
      </c>
      <c r="Q99" s="60">
        <v>31.29</v>
      </c>
      <c r="R99" s="198"/>
      <c r="S99" s="198"/>
      <c r="T99" s="198"/>
      <c r="U99" s="198"/>
    </row>
    <row r="100" spans="1:33" s="12" customFormat="1" x14ac:dyDescent="0.25">
      <c r="A100" s="201" t="s">
        <v>1587</v>
      </c>
      <c r="B100" s="60">
        <v>78.78</v>
      </c>
      <c r="C100" s="60">
        <v>138.91</v>
      </c>
      <c r="D100" s="60">
        <v>139.84</v>
      </c>
      <c r="E100" s="60">
        <v>7.91</v>
      </c>
      <c r="F100" s="60">
        <v>4.5</v>
      </c>
      <c r="G100" s="60">
        <v>127.67</v>
      </c>
      <c r="H100" s="60">
        <v>47.98</v>
      </c>
      <c r="I100" s="60">
        <v>1.1200000000000001</v>
      </c>
      <c r="J100" s="60">
        <v>0.09</v>
      </c>
      <c r="K100" s="60">
        <v>314.45</v>
      </c>
      <c r="L100" s="60">
        <v>19.510000000000002</v>
      </c>
      <c r="M100" s="60">
        <v>39.19</v>
      </c>
      <c r="N100" s="60">
        <v>3.9</v>
      </c>
      <c r="O100" s="60">
        <v>0</v>
      </c>
      <c r="P100" s="60">
        <v>2.2200000000000002</v>
      </c>
      <c r="Q100" s="60">
        <v>31.38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1588</v>
      </c>
      <c r="B101" s="60">
        <v>76.39</v>
      </c>
      <c r="C101" s="60">
        <v>137.5</v>
      </c>
      <c r="D101" s="60">
        <v>137.13999999999999</v>
      </c>
      <c r="E101" s="60">
        <v>7.25</v>
      </c>
      <c r="F101" s="60">
        <v>4.51</v>
      </c>
      <c r="G101" s="60">
        <v>127.67</v>
      </c>
      <c r="H101" s="60">
        <v>47.98</v>
      </c>
      <c r="I101" s="60">
        <v>1.1200000000000001</v>
      </c>
      <c r="J101" s="60">
        <v>0.12</v>
      </c>
      <c r="K101" s="60">
        <v>354.58</v>
      </c>
      <c r="L101" s="60">
        <v>19.5</v>
      </c>
      <c r="M101" s="60">
        <v>38.630000000000003</v>
      </c>
      <c r="N101" s="60">
        <v>4.2</v>
      </c>
      <c r="O101" s="60">
        <v>0</v>
      </c>
      <c r="P101" s="60">
        <v>2.16</v>
      </c>
      <c r="Q101" s="60">
        <v>31.29</v>
      </c>
      <c r="R101" s="198"/>
      <c r="S101" s="198"/>
      <c r="T101" s="198"/>
      <c r="U101" s="198"/>
    </row>
    <row r="102" spans="1:33" s="12" customFormat="1" x14ac:dyDescent="0.25">
      <c r="A102" s="201" t="s">
        <v>1589</v>
      </c>
      <c r="B102" s="60">
        <v>74.459999999999994</v>
      </c>
      <c r="C102" s="60">
        <v>136.35</v>
      </c>
      <c r="D102" s="60">
        <v>134.96</v>
      </c>
      <c r="E102" s="60">
        <v>7.7</v>
      </c>
      <c r="F102" s="60">
        <v>4.5199999999999996</v>
      </c>
      <c r="G102" s="60">
        <v>127.67</v>
      </c>
      <c r="H102" s="60">
        <v>47.98</v>
      </c>
      <c r="I102" s="60">
        <v>1.1100000000000001</v>
      </c>
      <c r="J102" s="60">
        <v>0.05</v>
      </c>
      <c r="K102" s="60">
        <v>319.18</v>
      </c>
      <c r="L102" s="60">
        <v>19.23</v>
      </c>
      <c r="M102" s="60">
        <v>41.91</v>
      </c>
      <c r="N102" s="60">
        <v>4.5</v>
      </c>
      <c r="O102" s="60">
        <v>0</v>
      </c>
      <c r="P102" s="60">
        <v>2.13</v>
      </c>
      <c r="Q102" s="60">
        <v>31.03</v>
      </c>
      <c r="R102" s="198"/>
      <c r="S102" s="198"/>
      <c r="T102" s="198"/>
      <c r="U102" s="198"/>
    </row>
    <row r="103" spans="1:33" s="12" customFormat="1" x14ac:dyDescent="0.25">
      <c r="A103" s="201" t="s">
        <v>1590</v>
      </c>
      <c r="B103" s="60">
        <v>71.540000000000006</v>
      </c>
      <c r="C103" s="60">
        <v>134.19999999999999</v>
      </c>
      <c r="D103" s="60">
        <v>131.43</v>
      </c>
      <c r="E103" s="60">
        <v>7.26</v>
      </c>
      <c r="F103" s="60">
        <v>4.5</v>
      </c>
      <c r="G103" s="60">
        <v>117.55</v>
      </c>
      <c r="H103" s="60">
        <v>46.61</v>
      </c>
      <c r="I103" s="60">
        <v>1.08</v>
      </c>
      <c r="J103" s="60">
        <v>0.06</v>
      </c>
      <c r="K103" s="60">
        <v>270.44</v>
      </c>
      <c r="L103" s="60">
        <v>19.100000000000001</v>
      </c>
      <c r="M103" s="60">
        <v>41.28</v>
      </c>
      <c r="N103" s="60">
        <v>4.5</v>
      </c>
      <c r="O103" s="60">
        <v>0</v>
      </c>
      <c r="P103" s="60">
        <v>2.0699999999999998</v>
      </c>
      <c r="Q103" s="60">
        <v>30.74</v>
      </c>
      <c r="R103" s="198"/>
      <c r="S103" s="198"/>
      <c r="T103" s="198"/>
      <c r="U103" s="198"/>
    </row>
    <row r="104" spans="1:33" s="12" customFormat="1" x14ac:dyDescent="0.25">
      <c r="A104" s="201" t="s">
        <v>1591</v>
      </c>
      <c r="B104" s="60">
        <v>67.349999999999994</v>
      </c>
      <c r="C104" s="60">
        <v>130.74</v>
      </c>
      <c r="D104" s="60">
        <v>126.16</v>
      </c>
      <c r="E104" s="60">
        <v>4.8899999999999997</v>
      </c>
      <c r="F104" s="60">
        <v>4.5</v>
      </c>
      <c r="G104" s="60">
        <v>105.46</v>
      </c>
      <c r="H104" s="60">
        <v>44.96</v>
      </c>
      <c r="I104" s="60">
        <v>1.05</v>
      </c>
      <c r="J104" s="60">
        <v>0.08</v>
      </c>
      <c r="K104" s="60">
        <v>278.92</v>
      </c>
      <c r="L104" s="60">
        <v>18.91</v>
      </c>
      <c r="M104" s="60">
        <v>41.69</v>
      </c>
      <c r="N104" s="60">
        <v>4.3</v>
      </c>
      <c r="O104" s="60">
        <v>0</v>
      </c>
      <c r="P104" s="60">
        <v>2.0099999999999998</v>
      </c>
      <c r="Q104" s="60">
        <v>30.16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1.08</v>
      </c>
      <c r="C106" s="67">
        <f>MIN(C9:C104)</f>
        <v>55.16</v>
      </c>
      <c r="D106" s="67">
        <f t="shared" ref="D106:Q106" si="0">MIN(D9:D104)</f>
        <v>31.31</v>
      </c>
      <c r="E106" s="67">
        <f t="shared" si="0"/>
        <v>4.8600000000000003</v>
      </c>
      <c r="F106" s="67">
        <f t="shared" si="0"/>
        <v>4.5</v>
      </c>
      <c r="G106" s="67">
        <f t="shared" si="0"/>
        <v>29.82</v>
      </c>
      <c r="H106" s="67">
        <f t="shared" si="0"/>
        <v>15.93</v>
      </c>
      <c r="I106" s="67">
        <f t="shared" si="0"/>
        <v>0.46</v>
      </c>
      <c r="J106" s="67">
        <f t="shared" si="0"/>
        <v>0.03</v>
      </c>
      <c r="K106" s="67">
        <f t="shared" si="0"/>
        <v>0.91</v>
      </c>
      <c r="L106" s="67">
        <f t="shared" si="0"/>
        <v>15.13</v>
      </c>
      <c r="M106" s="67">
        <f t="shared" si="0"/>
        <v>7.35</v>
      </c>
      <c r="N106" s="67">
        <f t="shared" si="0"/>
        <v>2.8</v>
      </c>
      <c r="O106" s="67">
        <f t="shared" si="0"/>
        <v>0</v>
      </c>
      <c r="P106" s="67">
        <f t="shared" si="0"/>
        <v>0.54</v>
      </c>
      <c r="Q106" s="67">
        <f t="shared" si="0"/>
        <v>7.56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80.12</v>
      </c>
      <c r="C107" s="66">
        <f t="shared" ref="C107:Q107" si="1">MAX(C9:C104)</f>
        <v>139.77000000000001</v>
      </c>
      <c r="D107" s="66">
        <f t="shared" si="1"/>
        <v>141.22999999999999</v>
      </c>
      <c r="E107" s="66">
        <f t="shared" si="1"/>
        <v>68.709999999999994</v>
      </c>
      <c r="F107" s="66">
        <f t="shared" si="1"/>
        <v>24.76</v>
      </c>
      <c r="G107" s="66">
        <f t="shared" si="1"/>
        <v>181.66</v>
      </c>
      <c r="H107" s="66">
        <f t="shared" si="1"/>
        <v>49.77</v>
      </c>
      <c r="I107" s="66">
        <f t="shared" si="1"/>
        <v>1.1299999999999999</v>
      </c>
      <c r="J107" s="66">
        <f t="shared" si="1"/>
        <v>1.22</v>
      </c>
      <c r="K107" s="66">
        <f t="shared" si="1"/>
        <v>359.48</v>
      </c>
      <c r="L107" s="66">
        <f t="shared" si="1"/>
        <v>33.07</v>
      </c>
      <c r="M107" s="66">
        <f t="shared" si="1"/>
        <v>46.71</v>
      </c>
      <c r="N107" s="66">
        <f t="shared" si="1"/>
        <v>610.9</v>
      </c>
      <c r="O107" s="66">
        <f t="shared" si="1"/>
        <v>0</v>
      </c>
      <c r="P107" s="66">
        <f t="shared" si="1"/>
        <v>2.2200000000000002</v>
      </c>
      <c r="Q107" s="66">
        <f t="shared" si="1"/>
        <v>31.38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19.898020833333334</v>
      </c>
      <c r="C108" s="67">
        <f t="shared" ref="C108:Q108" si="2">AVERAGE(C9:C104)</f>
        <v>87.14354166666665</v>
      </c>
      <c r="D108" s="67">
        <f t="shared" si="2"/>
        <v>64.049375000000012</v>
      </c>
      <c r="E108" s="67">
        <f t="shared" si="2"/>
        <v>12.558437500000009</v>
      </c>
      <c r="F108" s="67">
        <f t="shared" si="2"/>
        <v>7.1460416666666626</v>
      </c>
      <c r="G108" s="67">
        <f t="shared" si="2"/>
        <v>78.167604166666678</v>
      </c>
      <c r="H108" s="67">
        <f t="shared" si="2"/>
        <v>29.204791666666665</v>
      </c>
      <c r="I108" s="67">
        <f t="shared" si="2"/>
        <v>0.64364583333333314</v>
      </c>
      <c r="J108" s="67">
        <f t="shared" si="2"/>
        <v>0.41677083333333304</v>
      </c>
      <c r="K108" s="67">
        <f t="shared" si="2"/>
        <v>170.51326315789478</v>
      </c>
      <c r="L108" s="67">
        <f t="shared" si="2"/>
        <v>23.320520833333337</v>
      </c>
      <c r="M108" s="67">
        <f t="shared" si="2"/>
        <v>26.967500000000005</v>
      </c>
      <c r="N108" s="67">
        <f t="shared" si="2"/>
        <v>165.74687500000002</v>
      </c>
      <c r="O108" s="67">
        <f t="shared" si="2"/>
        <v>0</v>
      </c>
      <c r="P108" s="67">
        <f t="shared" si="2"/>
        <v>1.0422916666666666</v>
      </c>
      <c r="Q108" s="67">
        <f t="shared" si="2"/>
        <v>22.317578947368418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25.892041354735838</v>
      </c>
      <c r="C109" s="67">
        <f t="shared" ref="C109:Q109" si="3">STDEV(C9:C104)</f>
        <v>25.197768572013956</v>
      </c>
      <c r="D109" s="67">
        <f t="shared" si="3"/>
        <v>34.387828012172179</v>
      </c>
      <c r="E109" s="67">
        <f t="shared" si="3"/>
        <v>10.396705381804972</v>
      </c>
      <c r="F109" s="67">
        <f t="shared" si="3"/>
        <v>3.9742149119878674</v>
      </c>
      <c r="G109" s="67">
        <f t="shared" si="3"/>
        <v>47.519944549515557</v>
      </c>
      <c r="H109" s="67">
        <f t="shared" si="3"/>
        <v>11.367913105631718</v>
      </c>
      <c r="I109" s="67">
        <f t="shared" si="3"/>
        <v>0.19479068275387126</v>
      </c>
      <c r="J109" s="67">
        <f t="shared" si="3"/>
        <v>0.32573316425909987</v>
      </c>
      <c r="K109" s="67">
        <f t="shared" si="3"/>
        <v>142.78727344685677</v>
      </c>
      <c r="L109" s="67">
        <f t="shared" si="3"/>
        <v>6.1624935776273277</v>
      </c>
      <c r="M109" s="67">
        <f t="shared" si="3"/>
        <v>13.128798397736967</v>
      </c>
      <c r="N109" s="67">
        <f t="shared" si="3"/>
        <v>222.91654041396649</v>
      </c>
      <c r="O109" s="67">
        <f t="shared" si="3"/>
        <v>0</v>
      </c>
      <c r="P109" s="67">
        <f t="shared" si="3"/>
        <v>0.51514224743047365</v>
      </c>
      <c r="Q109" s="67">
        <f t="shared" si="3"/>
        <v>5.9959876150975706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>COUNT(K9:K104)+1</f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COUNT(Q9:Q104)+1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215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D9" sqref="D9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15-02-2023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340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1592</v>
      </c>
      <c r="B9" s="60">
        <v>61.81</v>
      </c>
      <c r="C9" s="60">
        <v>125.79</v>
      </c>
      <c r="D9" s="60">
        <v>118.99</v>
      </c>
      <c r="E9" s="60">
        <v>6.52</v>
      </c>
      <c r="F9" s="60">
        <v>4.5</v>
      </c>
      <c r="G9" s="60">
        <v>105.46</v>
      </c>
      <c r="H9" s="60">
        <v>44.96</v>
      </c>
      <c r="I9" s="60">
        <v>1.02</v>
      </c>
      <c r="J9" s="60">
        <v>0.01</v>
      </c>
      <c r="K9" s="60">
        <v>301.87</v>
      </c>
      <c r="L9" s="60">
        <v>18.760000000000002</v>
      </c>
      <c r="M9" s="60">
        <v>42.75</v>
      </c>
      <c r="N9" s="60">
        <v>4.4000000000000004</v>
      </c>
      <c r="O9" s="60">
        <v>0</v>
      </c>
      <c r="P9" s="60">
        <v>1.94</v>
      </c>
      <c r="Q9" s="60">
        <v>29.58</v>
      </c>
      <c r="R9" s="198"/>
      <c r="S9" s="198"/>
      <c r="T9" s="198"/>
      <c r="U9" s="198"/>
    </row>
    <row r="10" spans="1:21" s="12" customFormat="1" x14ac:dyDescent="0.25">
      <c r="A10" s="201" t="s">
        <v>1593</v>
      </c>
      <c r="B10" s="60">
        <v>60.26</v>
      </c>
      <c r="C10" s="60">
        <v>124.59</v>
      </c>
      <c r="D10" s="60">
        <v>117.08</v>
      </c>
      <c r="E10" s="60">
        <v>7.01</v>
      </c>
      <c r="F10" s="60">
        <v>4.53</v>
      </c>
      <c r="G10" s="60">
        <v>105.46</v>
      </c>
      <c r="H10" s="60">
        <v>44.96</v>
      </c>
      <c r="I10" s="60">
        <v>0.99</v>
      </c>
      <c r="J10" s="60">
        <v>0.09</v>
      </c>
      <c r="K10" s="60">
        <v>20.57</v>
      </c>
      <c r="L10" s="60">
        <v>18.66</v>
      </c>
      <c r="M10" s="60">
        <v>44.21</v>
      </c>
      <c r="N10" s="60">
        <v>4.0999999999999996</v>
      </c>
      <c r="O10" s="60">
        <v>0</v>
      </c>
      <c r="P10" s="60">
        <v>1.88</v>
      </c>
      <c r="Q10" s="60">
        <v>29.17</v>
      </c>
      <c r="R10" s="198"/>
      <c r="S10" s="198"/>
      <c r="T10" s="198"/>
      <c r="U10" s="198"/>
    </row>
    <row r="11" spans="1:21" s="12" customFormat="1" x14ac:dyDescent="0.25">
      <c r="A11" s="201" t="s">
        <v>1594</v>
      </c>
      <c r="B11" s="60">
        <v>56.45</v>
      </c>
      <c r="C11" s="60">
        <v>119.37</v>
      </c>
      <c r="D11" s="60">
        <v>111.15</v>
      </c>
      <c r="E11" s="60">
        <v>6.98</v>
      </c>
      <c r="F11" s="60">
        <v>4.6100000000000003</v>
      </c>
      <c r="G11" s="60">
        <v>98.27</v>
      </c>
      <c r="H11" s="60">
        <v>41.2</v>
      </c>
      <c r="I11" s="60">
        <v>0.96</v>
      </c>
      <c r="J11" s="60">
        <v>0.23</v>
      </c>
      <c r="K11" s="60">
        <v>358.94</v>
      </c>
      <c r="L11" s="60">
        <v>18.71</v>
      </c>
      <c r="M11" s="60">
        <v>43.25</v>
      </c>
      <c r="N11" s="60">
        <v>3.3</v>
      </c>
      <c r="O11" s="60">
        <v>0</v>
      </c>
      <c r="P11" s="60">
        <v>1.83</v>
      </c>
      <c r="Q11" s="60">
        <v>29.01</v>
      </c>
      <c r="R11" s="198"/>
      <c r="S11" s="198"/>
      <c r="T11" s="198"/>
      <c r="U11" s="198"/>
    </row>
    <row r="12" spans="1:21" s="12" customFormat="1" x14ac:dyDescent="0.25">
      <c r="A12" s="201" t="s">
        <v>1595</v>
      </c>
      <c r="B12" s="60">
        <v>52.23</v>
      </c>
      <c r="C12" s="60">
        <v>116.9</v>
      </c>
      <c r="D12" s="60">
        <v>106.4</v>
      </c>
      <c r="E12" s="60">
        <v>6.51</v>
      </c>
      <c r="F12" s="60">
        <v>4.66</v>
      </c>
      <c r="G12" s="60">
        <v>89.67</v>
      </c>
      <c r="H12" s="60">
        <v>36.71</v>
      </c>
      <c r="I12" s="60">
        <v>0.95</v>
      </c>
      <c r="J12" s="60">
        <v>7.0000000000000007E-2</v>
      </c>
      <c r="K12" s="60">
        <v>186.02</v>
      </c>
      <c r="L12" s="60">
        <v>18.739999999999998</v>
      </c>
      <c r="M12" s="60">
        <v>42.33</v>
      </c>
      <c r="N12" s="60">
        <v>4.4000000000000004</v>
      </c>
      <c r="O12" s="60">
        <v>0</v>
      </c>
      <c r="P12" s="60">
        <v>1.77</v>
      </c>
      <c r="Q12" s="60">
        <v>28.86</v>
      </c>
      <c r="R12" s="198"/>
      <c r="S12" s="198"/>
      <c r="T12" s="198"/>
      <c r="U12" s="198"/>
    </row>
    <row r="13" spans="1:21" s="12" customFormat="1" x14ac:dyDescent="0.25">
      <c r="A13" s="201" t="s">
        <v>1596</v>
      </c>
      <c r="B13" s="60">
        <v>49.83</v>
      </c>
      <c r="C13" s="60">
        <v>114.64</v>
      </c>
      <c r="D13" s="60">
        <v>103.22</v>
      </c>
      <c r="E13" s="60">
        <v>7.08</v>
      </c>
      <c r="F13" s="60">
        <v>4.58</v>
      </c>
      <c r="G13" s="60">
        <v>89.67</v>
      </c>
      <c r="H13" s="60">
        <v>36.71</v>
      </c>
      <c r="I13" s="60">
        <v>0.86</v>
      </c>
      <c r="J13" s="60">
        <v>7.0000000000000007E-2</v>
      </c>
      <c r="K13" s="60">
        <v>16.489999999999998</v>
      </c>
      <c r="L13" s="60">
        <v>18.37</v>
      </c>
      <c r="M13" s="60">
        <v>45.67</v>
      </c>
      <c r="N13" s="60">
        <v>4.5</v>
      </c>
      <c r="O13" s="60">
        <v>0</v>
      </c>
      <c r="P13" s="60">
        <v>1.53</v>
      </c>
      <c r="Q13" s="60">
        <v>28.74</v>
      </c>
      <c r="R13" s="198"/>
      <c r="S13" s="198"/>
      <c r="T13" s="198"/>
      <c r="U13" s="198"/>
    </row>
    <row r="14" spans="1:21" s="12" customFormat="1" x14ac:dyDescent="0.25">
      <c r="A14" s="201" t="s">
        <v>1597</v>
      </c>
      <c r="B14" s="60">
        <v>47.81</v>
      </c>
      <c r="C14" s="60">
        <v>112.46</v>
      </c>
      <c r="D14" s="60">
        <v>100.4</v>
      </c>
      <c r="E14" s="60">
        <v>6.85</v>
      </c>
      <c r="F14" s="60">
        <v>4.5999999999999996</v>
      </c>
      <c r="G14" s="60">
        <v>89.67</v>
      </c>
      <c r="H14" s="60">
        <v>36.71</v>
      </c>
      <c r="I14" s="60">
        <v>0.91</v>
      </c>
      <c r="J14" s="60">
        <v>0.02</v>
      </c>
      <c r="K14" s="60">
        <v>8.85</v>
      </c>
      <c r="L14" s="60">
        <v>18.010000000000002</v>
      </c>
      <c r="M14" s="60">
        <v>45.86</v>
      </c>
      <c r="N14" s="60">
        <v>4.5999999999999996</v>
      </c>
      <c r="O14" s="60">
        <v>0</v>
      </c>
      <c r="P14" s="60">
        <v>1.56</v>
      </c>
      <c r="Q14" s="60">
        <v>28.52</v>
      </c>
      <c r="R14" s="198"/>
      <c r="S14" s="198"/>
      <c r="T14" s="198"/>
      <c r="U14" s="198"/>
    </row>
    <row r="15" spans="1:21" s="12" customFormat="1" x14ac:dyDescent="0.25">
      <c r="A15" s="201" t="s">
        <v>1598</v>
      </c>
      <c r="B15" s="60">
        <v>45.48</v>
      </c>
      <c r="C15" s="60">
        <v>110.69</v>
      </c>
      <c r="D15" s="60">
        <v>97.56</v>
      </c>
      <c r="E15" s="60">
        <v>6.8</v>
      </c>
      <c r="F15" s="60">
        <v>4.5999999999999996</v>
      </c>
      <c r="G15" s="60">
        <v>82.67</v>
      </c>
      <c r="H15" s="60">
        <v>36.520000000000003</v>
      </c>
      <c r="I15" s="60">
        <v>0.91</v>
      </c>
      <c r="J15" s="60">
        <v>0.06</v>
      </c>
      <c r="K15" s="60">
        <v>30.93</v>
      </c>
      <c r="L15" s="60">
        <v>18.149999999999999</v>
      </c>
      <c r="M15" s="60">
        <v>44.75</v>
      </c>
      <c r="N15" s="60">
        <v>4.0999999999999996</v>
      </c>
      <c r="O15" s="60">
        <v>0</v>
      </c>
      <c r="P15" s="60">
        <v>1.5</v>
      </c>
      <c r="Q15" s="60">
        <v>28.47</v>
      </c>
      <c r="R15" s="198"/>
      <c r="S15" s="198"/>
      <c r="T15" s="198"/>
      <c r="U15" s="198"/>
    </row>
    <row r="16" spans="1:21" s="12" customFormat="1" x14ac:dyDescent="0.25">
      <c r="A16" s="201" t="s">
        <v>1599</v>
      </c>
      <c r="B16" s="60">
        <v>43.25</v>
      </c>
      <c r="C16" s="60">
        <v>108.62</v>
      </c>
      <c r="D16" s="60">
        <v>94.63</v>
      </c>
      <c r="E16" s="60">
        <v>6.78</v>
      </c>
      <c r="F16" s="60">
        <v>4.55</v>
      </c>
      <c r="G16" s="60">
        <v>73.92</v>
      </c>
      <c r="H16" s="60">
        <v>36.29</v>
      </c>
      <c r="I16" s="60">
        <v>0.89</v>
      </c>
      <c r="J16" s="60">
        <v>0.16</v>
      </c>
      <c r="K16" s="60">
        <v>13.23</v>
      </c>
      <c r="L16" s="60">
        <v>18.239999999999998</v>
      </c>
      <c r="M16" s="60">
        <v>44.02</v>
      </c>
      <c r="N16" s="60">
        <v>3.9</v>
      </c>
      <c r="O16" s="60">
        <v>0</v>
      </c>
      <c r="P16" s="60">
        <v>1.45</v>
      </c>
      <c r="Q16" s="60">
        <v>28.9</v>
      </c>
      <c r="R16" s="198"/>
      <c r="S16" s="198"/>
      <c r="T16" s="198"/>
      <c r="U16" s="198"/>
    </row>
    <row r="17" spans="1:21" s="12" customFormat="1" x14ac:dyDescent="0.25">
      <c r="A17" s="201" t="s">
        <v>1600</v>
      </c>
      <c r="B17" s="60">
        <v>40.270000000000003</v>
      </c>
      <c r="C17" s="60">
        <v>106.02</v>
      </c>
      <c r="D17" s="60">
        <v>90.8</v>
      </c>
      <c r="E17" s="60">
        <v>6.67</v>
      </c>
      <c r="F17" s="60">
        <v>4.57</v>
      </c>
      <c r="G17" s="60">
        <v>73.92</v>
      </c>
      <c r="H17" s="60">
        <v>36.29</v>
      </c>
      <c r="I17" s="60">
        <v>0.87</v>
      </c>
      <c r="J17" s="60">
        <v>0.42</v>
      </c>
      <c r="K17" s="60">
        <v>353.11</v>
      </c>
      <c r="L17" s="60">
        <v>18.21</v>
      </c>
      <c r="M17" s="60">
        <v>44.4</v>
      </c>
      <c r="N17" s="60">
        <v>3</v>
      </c>
      <c r="O17" s="60">
        <v>0</v>
      </c>
      <c r="P17" s="60">
        <v>1.36</v>
      </c>
      <c r="Q17" s="60">
        <v>29.14</v>
      </c>
      <c r="R17" s="198"/>
      <c r="S17" s="198"/>
      <c r="T17" s="198"/>
      <c r="U17" s="198"/>
    </row>
    <row r="18" spans="1:21" s="12" customFormat="1" x14ac:dyDescent="0.25">
      <c r="A18" s="201" t="s">
        <v>1601</v>
      </c>
      <c r="B18" s="60">
        <v>36.130000000000003</v>
      </c>
      <c r="C18" s="60">
        <v>102.93</v>
      </c>
      <c r="D18" s="60">
        <v>85.78</v>
      </c>
      <c r="E18" s="60">
        <v>6.41</v>
      </c>
      <c r="F18" s="60">
        <v>4.54</v>
      </c>
      <c r="G18" s="60">
        <v>73.92</v>
      </c>
      <c r="H18" s="60">
        <v>36.29</v>
      </c>
      <c r="I18" s="60">
        <v>0.81</v>
      </c>
      <c r="J18" s="60">
        <v>0.5</v>
      </c>
      <c r="K18" s="60">
        <v>351.6</v>
      </c>
      <c r="L18" s="60">
        <v>18.13</v>
      </c>
      <c r="M18" s="60">
        <v>44.01</v>
      </c>
      <c r="N18" s="60">
        <v>3.2</v>
      </c>
      <c r="O18" s="60">
        <v>0</v>
      </c>
      <c r="P18" s="60">
        <v>1.29</v>
      </c>
      <c r="Q18" s="60">
        <v>28.69</v>
      </c>
      <c r="R18" s="198"/>
      <c r="S18" s="198"/>
      <c r="T18" s="198"/>
      <c r="U18" s="198"/>
    </row>
    <row r="19" spans="1:21" s="12" customFormat="1" x14ac:dyDescent="0.25">
      <c r="A19" s="201" t="s">
        <v>1602</v>
      </c>
      <c r="B19" s="60">
        <v>32.14</v>
      </c>
      <c r="C19" s="60">
        <v>100.34</v>
      </c>
      <c r="D19" s="60">
        <v>81.150000000000006</v>
      </c>
      <c r="E19" s="60">
        <v>6.37</v>
      </c>
      <c r="F19" s="60">
        <v>4.51</v>
      </c>
      <c r="G19" s="60">
        <v>66.73</v>
      </c>
      <c r="H19" s="60">
        <v>34.82</v>
      </c>
      <c r="I19" s="60">
        <v>0.78</v>
      </c>
      <c r="J19" s="60">
        <v>0.72</v>
      </c>
      <c r="K19" s="60">
        <v>354.26</v>
      </c>
      <c r="L19" s="60">
        <v>18.149999999999999</v>
      </c>
      <c r="M19" s="60">
        <v>42.97</v>
      </c>
      <c r="N19" s="60">
        <v>3</v>
      </c>
      <c r="O19" s="60">
        <v>0</v>
      </c>
      <c r="P19" s="60">
        <v>1.21</v>
      </c>
      <c r="Q19" s="60">
        <v>28.1</v>
      </c>
      <c r="R19" s="198"/>
      <c r="S19" s="198"/>
      <c r="T19" s="198"/>
      <c r="U19" s="198"/>
    </row>
    <row r="20" spans="1:21" s="12" customFormat="1" x14ac:dyDescent="0.25">
      <c r="A20" s="201" t="s">
        <v>1603</v>
      </c>
      <c r="B20" s="60">
        <v>27.93</v>
      </c>
      <c r="C20" s="60">
        <v>97.64</v>
      </c>
      <c r="D20" s="60">
        <v>76.28</v>
      </c>
      <c r="E20" s="60">
        <v>5.58</v>
      </c>
      <c r="F20" s="60">
        <v>4.53</v>
      </c>
      <c r="G20" s="60">
        <v>58.13</v>
      </c>
      <c r="H20" s="60">
        <v>33.06</v>
      </c>
      <c r="I20" s="60">
        <v>0.75</v>
      </c>
      <c r="J20" s="60">
        <v>0.37</v>
      </c>
      <c r="K20" s="60">
        <v>1.53</v>
      </c>
      <c r="L20" s="60">
        <v>18.3</v>
      </c>
      <c r="M20" s="60">
        <v>41.34</v>
      </c>
      <c r="N20" s="60">
        <v>4.2</v>
      </c>
      <c r="O20" s="60">
        <v>0</v>
      </c>
      <c r="P20" s="60">
        <v>1.1399999999999999</v>
      </c>
      <c r="Q20" s="60">
        <v>27.61</v>
      </c>
      <c r="R20" s="198"/>
      <c r="S20" s="198"/>
      <c r="T20" s="198"/>
      <c r="U20" s="198"/>
    </row>
    <row r="21" spans="1:21" s="12" customFormat="1" x14ac:dyDescent="0.25">
      <c r="A21" s="201" t="s">
        <v>1604</v>
      </c>
      <c r="B21" s="60">
        <v>24.38</v>
      </c>
      <c r="C21" s="60">
        <v>95.3</v>
      </c>
      <c r="D21" s="60">
        <v>72.150000000000006</v>
      </c>
      <c r="E21" s="60">
        <v>6.06</v>
      </c>
      <c r="F21" s="60">
        <v>4.59</v>
      </c>
      <c r="G21" s="60">
        <v>58.13</v>
      </c>
      <c r="H21" s="60">
        <v>33.06</v>
      </c>
      <c r="I21" s="60">
        <v>0.73</v>
      </c>
      <c r="J21" s="60">
        <v>0.65</v>
      </c>
      <c r="K21" s="60">
        <v>15.1</v>
      </c>
      <c r="L21" s="60">
        <v>18.43</v>
      </c>
      <c r="M21" s="60">
        <v>40.630000000000003</v>
      </c>
      <c r="N21" s="60">
        <v>3.9</v>
      </c>
      <c r="O21" s="60">
        <v>0</v>
      </c>
      <c r="P21" s="60">
        <v>1.07</v>
      </c>
      <c r="Q21" s="60">
        <v>27.29</v>
      </c>
      <c r="R21" s="198"/>
      <c r="S21" s="198"/>
      <c r="T21" s="198"/>
      <c r="U21" s="198"/>
    </row>
    <row r="22" spans="1:21" s="12" customFormat="1" x14ac:dyDescent="0.25">
      <c r="A22" s="201" t="s">
        <v>1605</v>
      </c>
      <c r="B22" s="60">
        <v>21.06</v>
      </c>
      <c r="C22" s="60">
        <v>93.1</v>
      </c>
      <c r="D22" s="60">
        <v>68.27</v>
      </c>
      <c r="E22" s="60">
        <v>5.67</v>
      </c>
      <c r="F22" s="60">
        <v>4.62</v>
      </c>
      <c r="G22" s="60">
        <v>58.13</v>
      </c>
      <c r="H22" s="60">
        <v>33.06</v>
      </c>
      <c r="I22" s="60">
        <v>0.7</v>
      </c>
      <c r="J22" s="60">
        <v>0.69</v>
      </c>
      <c r="K22" s="60">
        <v>357.78</v>
      </c>
      <c r="L22" s="60">
        <v>18.190000000000001</v>
      </c>
      <c r="M22" s="60">
        <v>40.659999999999997</v>
      </c>
      <c r="N22" s="60">
        <v>3.3</v>
      </c>
      <c r="O22" s="60">
        <v>0</v>
      </c>
      <c r="P22" s="60">
        <v>1</v>
      </c>
      <c r="Q22" s="60">
        <v>26.79</v>
      </c>
      <c r="R22" s="198"/>
      <c r="S22" s="198"/>
      <c r="T22" s="198"/>
      <c r="U22" s="198"/>
    </row>
    <row r="23" spans="1:21" s="12" customFormat="1" x14ac:dyDescent="0.25">
      <c r="A23" s="201" t="s">
        <v>1606</v>
      </c>
      <c r="B23" s="60">
        <v>18.25</v>
      </c>
      <c r="C23" s="60">
        <v>91.39</v>
      </c>
      <c r="D23" s="60">
        <v>65.069999999999993</v>
      </c>
      <c r="E23" s="60">
        <v>6.01</v>
      </c>
      <c r="F23" s="60">
        <v>4.62</v>
      </c>
      <c r="G23" s="60">
        <v>48.7</v>
      </c>
      <c r="H23" s="60">
        <v>29.85</v>
      </c>
      <c r="I23" s="60">
        <v>0.69</v>
      </c>
      <c r="J23" s="60">
        <v>0.73</v>
      </c>
      <c r="K23" s="60">
        <v>3.69</v>
      </c>
      <c r="L23" s="60">
        <v>18.149999999999999</v>
      </c>
      <c r="M23" s="60">
        <v>39.82</v>
      </c>
      <c r="N23" s="60">
        <v>3.6</v>
      </c>
      <c r="O23" s="60">
        <v>0</v>
      </c>
      <c r="P23" s="60">
        <v>0.95</v>
      </c>
      <c r="Q23" s="60">
        <v>25.86</v>
      </c>
      <c r="R23" s="198"/>
      <c r="S23" s="198"/>
      <c r="T23" s="198"/>
      <c r="U23" s="198"/>
    </row>
    <row r="24" spans="1:21" s="12" customFormat="1" x14ac:dyDescent="0.25">
      <c r="A24" s="201" t="s">
        <v>1607</v>
      </c>
      <c r="B24" s="60">
        <v>16.37</v>
      </c>
      <c r="C24" s="60">
        <v>90.06</v>
      </c>
      <c r="D24" s="60">
        <v>62.83</v>
      </c>
      <c r="E24" s="60">
        <v>5.68</v>
      </c>
      <c r="F24" s="60">
        <v>4.54</v>
      </c>
      <c r="G24" s="60">
        <v>37.43</v>
      </c>
      <c r="H24" s="60">
        <v>26.02</v>
      </c>
      <c r="I24" s="60">
        <v>0.67</v>
      </c>
      <c r="J24" s="60">
        <v>0.67</v>
      </c>
      <c r="K24" s="60">
        <v>351.36</v>
      </c>
      <c r="L24" s="60">
        <v>18.13</v>
      </c>
      <c r="M24" s="60">
        <v>40.229999999999997</v>
      </c>
      <c r="N24" s="60">
        <v>3.8</v>
      </c>
      <c r="O24" s="60">
        <v>0</v>
      </c>
      <c r="P24" s="60">
        <v>0.93</v>
      </c>
      <c r="Q24" s="60">
        <v>25.23</v>
      </c>
      <c r="R24" s="198"/>
      <c r="S24" s="198"/>
      <c r="T24" s="198"/>
      <c r="U24" s="198"/>
    </row>
    <row r="25" spans="1:21" s="12" customFormat="1" x14ac:dyDescent="0.25">
      <c r="A25" s="201" t="s">
        <v>1608</v>
      </c>
      <c r="B25" s="60">
        <v>14.91</v>
      </c>
      <c r="C25" s="60">
        <v>88.88</v>
      </c>
      <c r="D25" s="60">
        <v>61.01</v>
      </c>
      <c r="E25" s="60">
        <v>9.36</v>
      </c>
      <c r="F25" s="60">
        <v>4.55</v>
      </c>
      <c r="G25" s="60">
        <v>37.43</v>
      </c>
      <c r="H25" s="60">
        <v>26.02</v>
      </c>
      <c r="I25" s="60">
        <v>0.66</v>
      </c>
      <c r="J25" s="60">
        <v>0.64</v>
      </c>
      <c r="K25" s="60">
        <v>347.31</v>
      </c>
      <c r="L25" s="60">
        <v>17.899999999999999</v>
      </c>
      <c r="M25" s="60">
        <v>41.11</v>
      </c>
      <c r="N25" s="60">
        <v>4</v>
      </c>
      <c r="O25" s="60">
        <v>0</v>
      </c>
      <c r="P25" s="60">
        <v>0.94</v>
      </c>
      <c r="Q25" s="60">
        <v>25.11</v>
      </c>
      <c r="R25" s="198"/>
      <c r="S25" s="198"/>
      <c r="T25" s="198"/>
      <c r="U25" s="198"/>
    </row>
    <row r="26" spans="1:21" s="12" customFormat="1" x14ac:dyDescent="0.25">
      <c r="A26" s="201" t="s">
        <v>1609</v>
      </c>
      <c r="B26" s="60">
        <v>13.85</v>
      </c>
      <c r="C26" s="60">
        <v>87.78</v>
      </c>
      <c r="D26" s="60">
        <v>59.55</v>
      </c>
      <c r="E26" s="60">
        <v>10.050000000000001</v>
      </c>
      <c r="F26" s="60">
        <v>4.54</v>
      </c>
      <c r="G26" s="60">
        <v>37.43</v>
      </c>
      <c r="H26" s="60">
        <v>26.02</v>
      </c>
      <c r="I26" s="60">
        <v>0.65</v>
      </c>
      <c r="J26" s="60">
        <v>0.67</v>
      </c>
      <c r="K26" s="60">
        <v>2.2400000000000002</v>
      </c>
      <c r="L26" s="60">
        <v>17.73</v>
      </c>
      <c r="M26" s="60">
        <v>41.48</v>
      </c>
      <c r="N26" s="60">
        <v>3.9</v>
      </c>
      <c r="O26" s="60">
        <v>0</v>
      </c>
      <c r="P26" s="60">
        <v>0.94</v>
      </c>
      <c r="Q26" s="60">
        <v>25.15</v>
      </c>
      <c r="R26" s="198"/>
      <c r="S26" s="198"/>
      <c r="T26" s="198"/>
      <c r="U26" s="198"/>
    </row>
    <row r="27" spans="1:21" s="12" customFormat="1" x14ac:dyDescent="0.25">
      <c r="A27" s="201" t="s">
        <v>1610</v>
      </c>
      <c r="B27" s="60">
        <v>12.94</v>
      </c>
      <c r="C27" s="60">
        <v>86.84</v>
      </c>
      <c r="D27" s="60">
        <v>58.3</v>
      </c>
      <c r="E27" s="60">
        <v>9.36</v>
      </c>
      <c r="F27" s="60">
        <v>4.67</v>
      </c>
      <c r="G27" s="60">
        <v>43</v>
      </c>
      <c r="H27" s="60">
        <v>25.74</v>
      </c>
      <c r="I27" s="60">
        <v>0.65</v>
      </c>
      <c r="J27" s="60">
        <v>0.45</v>
      </c>
      <c r="K27" s="60">
        <v>348.32</v>
      </c>
      <c r="L27" s="60">
        <v>17.68</v>
      </c>
      <c r="M27" s="60">
        <v>42.11</v>
      </c>
      <c r="N27" s="60">
        <v>4.4000000000000004</v>
      </c>
      <c r="O27" s="60">
        <v>0</v>
      </c>
      <c r="P27" s="60">
        <v>0.93</v>
      </c>
      <c r="Q27" s="60">
        <v>25.09</v>
      </c>
      <c r="R27" s="198"/>
      <c r="S27" s="198"/>
      <c r="T27" s="198"/>
      <c r="U27" s="198"/>
    </row>
    <row r="28" spans="1:21" s="12" customFormat="1" x14ac:dyDescent="0.25">
      <c r="A28" s="201" t="s">
        <v>1611</v>
      </c>
      <c r="B28" s="60">
        <v>12.2</v>
      </c>
      <c r="C28" s="60">
        <v>85.87</v>
      </c>
      <c r="D28" s="60">
        <v>57.17</v>
      </c>
      <c r="E28" s="60">
        <v>9.14</v>
      </c>
      <c r="F28" s="60">
        <v>4.66</v>
      </c>
      <c r="G28" s="60">
        <v>49.66</v>
      </c>
      <c r="H28" s="60">
        <v>25.41</v>
      </c>
      <c r="I28" s="60">
        <v>0.64</v>
      </c>
      <c r="J28" s="60">
        <v>0.49</v>
      </c>
      <c r="K28" s="60">
        <v>347.47</v>
      </c>
      <c r="L28" s="60">
        <v>17.41</v>
      </c>
      <c r="M28" s="60">
        <v>43.17</v>
      </c>
      <c r="N28" s="60">
        <v>4</v>
      </c>
      <c r="O28" s="60">
        <v>0</v>
      </c>
      <c r="P28" s="60">
        <v>0.93</v>
      </c>
      <c r="Q28" s="60">
        <v>24.97</v>
      </c>
      <c r="R28" s="198"/>
      <c r="S28" s="198"/>
      <c r="T28" s="198"/>
      <c r="U28" s="198"/>
    </row>
    <row r="29" spans="1:21" s="12" customFormat="1" x14ac:dyDescent="0.25">
      <c r="A29" s="201" t="s">
        <v>1612</v>
      </c>
      <c r="B29" s="60">
        <v>11.93</v>
      </c>
      <c r="C29" s="60">
        <v>85.38</v>
      </c>
      <c r="D29" s="60">
        <v>56.68</v>
      </c>
      <c r="E29" s="60">
        <v>9.1</v>
      </c>
      <c r="F29" s="60">
        <v>4.59</v>
      </c>
      <c r="G29" s="60">
        <v>49.66</v>
      </c>
      <c r="H29" s="60">
        <v>25.41</v>
      </c>
      <c r="I29" s="60">
        <v>0.64</v>
      </c>
      <c r="J29" s="60">
        <v>0.7</v>
      </c>
      <c r="K29" s="60">
        <v>356.91</v>
      </c>
      <c r="L29" s="60">
        <v>17.489999999999998</v>
      </c>
      <c r="M29" s="60">
        <v>42.64</v>
      </c>
      <c r="N29" s="60">
        <v>3.4</v>
      </c>
      <c r="O29" s="60">
        <v>0</v>
      </c>
      <c r="P29" s="60">
        <v>0.91</v>
      </c>
      <c r="Q29" s="60">
        <v>25.02</v>
      </c>
      <c r="R29" s="198"/>
      <c r="S29" s="198"/>
      <c r="T29" s="198"/>
      <c r="U29" s="198"/>
    </row>
    <row r="30" spans="1:21" s="12" customFormat="1" x14ac:dyDescent="0.25">
      <c r="A30" s="201" t="s">
        <v>1613</v>
      </c>
      <c r="B30" s="60">
        <v>11.74</v>
      </c>
      <c r="C30" s="60">
        <v>85.03</v>
      </c>
      <c r="D30" s="60">
        <v>56.35</v>
      </c>
      <c r="E30" s="60">
        <v>8.9499999999999993</v>
      </c>
      <c r="F30" s="60">
        <v>4.57</v>
      </c>
      <c r="G30" s="60">
        <v>49.66</v>
      </c>
      <c r="H30" s="60">
        <v>25.41</v>
      </c>
      <c r="I30" s="60">
        <v>0.67</v>
      </c>
      <c r="J30" s="60">
        <v>0.45</v>
      </c>
      <c r="K30" s="60">
        <v>5.52</v>
      </c>
      <c r="L30" s="60">
        <v>17.579999999999998</v>
      </c>
      <c r="M30" s="60">
        <v>41.94</v>
      </c>
      <c r="N30" s="60">
        <v>4.0999999999999996</v>
      </c>
      <c r="O30" s="60">
        <v>0</v>
      </c>
      <c r="P30" s="60">
        <v>0.9</v>
      </c>
      <c r="Q30" s="60">
        <v>25.25</v>
      </c>
      <c r="R30" s="198"/>
      <c r="S30" s="198"/>
      <c r="T30" s="198"/>
      <c r="U30" s="198"/>
    </row>
    <row r="31" spans="1:21" s="12" customFormat="1" x14ac:dyDescent="0.25">
      <c r="A31" s="201" t="s">
        <v>1614</v>
      </c>
      <c r="B31" s="60">
        <v>11.54</v>
      </c>
      <c r="C31" s="60">
        <v>84.91</v>
      </c>
      <c r="D31" s="60">
        <v>56.11</v>
      </c>
      <c r="E31" s="60">
        <v>9.06</v>
      </c>
      <c r="F31" s="60">
        <v>4.58</v>
      </c>
      <c r="G31" s="60">
        <v>55.89</v>
      </c>
      <c r="H31" s="60">
        <v>26.67</v>
      </c>
      <c r="I31" s="60">
        <v>0.64</v>
      </c>
      <c r="J31" s="60">
        <v>0.16</v>
      </c>
      <c r="K31" s="60">
        <v>17.64</v>
      </c>
      <c r="L31" s="60">
        <v>17.27</v>
      </c>
      <c r="M31" s="60">
        <v>43.99</v>
      </c>
      <c r="N31" s="60">
        <v>4.5999999999999996</v>
      </c>
      <c r="O31" s="60">
        <v>0</v>
      </c>
      <c r="P31" s="60">
        <v>0.88</v>
      </c>
      <c r="Q31" s="60">
        <v>25.85</v>
      </c>
      <c r="R31" s="198"/>
      <c r="S31" s="198"/>
      <c r="T31" s="198"/>
      <c r="U31" s="198"/>
    </row>
    <row r="32" spans="1:21" s="12" customFormat="1" x14ac:dyDescent="0.25">
      <c r="A32" s="201" t="s">
        <v>1615</v>
      </c>
      <c r="B32" s="60">
        <v>11.81</v>
      </c>
      <c r="C32" s="60">
        <v>85.32</v>
      </c>
      <c r="D32" s="60">
        <v>56.56</v>
      </c>
      <c r="E32" s="60">
        <v>9.61</v>
      </c>
      <c r="F32" s="60">
        <v>4.51</v>
      </c>
      <c r="G32" s="60">
        <v>63.33</v>
      </c>
      <c r="H32" s="60">
        <v>28.18</v>
      </c>
      <c r="I32" s="60">
        <v>0.63</v>
      </c>
      <c r="J32" s="60">
        <v>0.33</v>
      </c>
      <c r="K32" s="60">
        <v>11.16</v>
      </c>
      <c r="L32" s="60">
        <v>17.37</v>
      </c>
      <c r="M32" s="60">
        <v>43.41</v>
      </c>
      <c r="N32" s="60">
        <v>4.0999999999999996</v>
      </c>
      <c r="O32" s="60">
        <v>0</v>
      </c>
      <c r="P32" s="60">
        <v>0.89</v>
      </c>
      <c r="Q32" s="60">
        <v>25.98</v>
      </c>
      <c r="R32" s="198"/>
      <c r="S32" s="198"/>
      <c r="T32" s="198"/>
      <c r="U32" s="198"/>
    </row>
    <row r="33" spans="1:21" s="12" customFormat="1" x14ac:dyDescent="0.25">
      <c r="A33" s="201" t="s">
        <v>1616</v>
      </c>
      <c r="B33" s="60">
        <v>12.79</v>
      </c>
      <c r="C33" s="60">
        <v>86.61</v>
      </c>
      <c r="D33" s="60">
        <v>58.06</v>
      </c>
      <c r="E33" s="60">
        <v>10.94</v>
      </c>
      <c r="F33" s="60">
        <v>4.55</v>
      </c>
      <c r="G33" s="60">
        <v>63.33</v>
      </c>
      <c r="H33" s="60">
        <v>28.18</v>
      </c>
      <c r="I33" s="60">
        <v>0.62</v>
      </c>
      <c r="J33" s="60">
        <v>0.11</v>
      </c>
      <c r="K33" s="60">
        <v>3.53</v>
      </c>
      <c r="L33" s="60">
        <v>17.420000000000002</v>
      </c>
      <c r="M33" s="60">
        <v>42.61</v>
      </c>
      <c r="N33" s="60">
        <v>4.2</v>
      </c>
      <c r="O33" s="60">
        <v>0</v>
      </c>
      <c r="P33" s="60">
        <v>0.91</v>
      </c>
      <c r="Q33" s="60">
        <v>26.08</v>
      </c>
      <c r="R33" s="198"/>
      <c r="S33" s="198"/>
      <c r="T33" s="198"/>
      <c r="U33" s="198"/>
    </row>
    <row r="34" spans="1:21" s="12" customFormat="1" x14ac:dyDescent="0.25">
      <c r="A34" s="201" t="s">
        <v>1617</v>
      </c>
      <c r="B34" s="60">
        <v>13.73</v>
      </c>
      <c r="C34" s="60">
        <v>87.74</v>
      </c>
      <c r="D34" s="60">
        <v>59.43</v>
      </c>
      <c r="E34" s="60">
        <v>10.49</v>
      </c>
      <c r="F34" s="60">
        <v>4.59</v>
      </c>
      <c r="G34" s="60">
        <v>63.33</v>
      </c>
      <c r="H34" s="60">
        <v>28.18</v>
      </c>
      <c r="I34" s="60">
        <v>0.61</v>
      </c>
      <c r="J34" s="60">
        <v>0.35</v>
      </c>
      <c r="K34" s="60">
        <v>137.22999999999999</v>
      </c>
      <c r="L34" s="60">
        <v>17.45</v>
      </c>
      <c r="M34" s="60">
        <v>42.77</v>
      </c>
      <c r="N34" s="60">
        <v>5.5</v>
      </c>
      <c r="O34" s="60">
        <v>0</v>
      </c>
      <c r="P34" s="60">
        <v>0.92</v>
      </c>
      <c r="Q34" s="60">
        <v>25.98</v>
      </c>
      <c r="R34" s="198"/>
      <c r="S34" s="198"/>
      <c r="T34" s="198"/>
      <c r="U34" s="198"/>
    </row>
    <row r="35" spans="1:21" s="12" customFormat="1" x14ac:dyDescent="0.25">
      <c r="A35" s="201" t="s">
        <v>1618</v>
      </c>
      <c r="B35" s="60">
        <v>14.54</v>
      </c>
      <c r="C35" s="60">
        <v>88.76</v>
      </c>
      <c r="D35" s="60">
        <v>60.64</v>
      </c>
      <c r="E35" s="60">
        <v>9.73</v>
      </c>
      <c r="F35" s="60">
        <v>4.53</v>
      </c>
      <c r="G35" s="60">
        <v>78.02</v>
      </c>
      <c r="H35" s="60">
        <v>34.06</v>
      </c>
      <c r="I35" s="60">
        <v>0.61</v>
      </c>
      <c r="J35" s="60">
        <v>0.42</v>
      </c>
      <c r="K35" s="60">
        <v>109.64</v>
      </c>
      <c r="L35" s="60">
        <v>17.82</v>
      </c>
      <c r="M35" s="60">
        <v>42.91</v>
      </c>
      <c r="N35" s="60">
        <v>13</v>
      </c>
      <c r="O35" s="60">
        <v>0</v>
      </c>
      <c r="P35" s="60">
        <v>0.93</v>
      </c>
      <c r="Q35" s="60">
        <v>25.87</v>
      </c>
      <c r="R35" s="198"/>
      <c r="S35" s="198"/>
      <c r="T35" s="198"/>
      <c r="U35" s="198"/>
    </row>
    <row r="36" spans="1:21" s="12" customFormat="1" x14ac:dyDescent="0.25">
      <c r="A36" s="201" t="s">
        <v>1619</v>
      </c>
      <c r="B36" s="60">
        <v>14.22</v>
      </c>
      <c r="C36" s="60">
        <v>88.43</v>
      </c>
      <c r="D36" s="60">
        <v>60.2</v>
      </c>
      <c r="E36" s="60">
        <v>11.04</v>
      </c>
      <c r="F36" s="60">
        <v>4.51</v>
      </c>
      <c r="G36" s="60">
        <v>95.57</v>
      </c>
      <c r="H36" s="60">
        <v>41.08</v>
      </c>
      <c r="I36" s="60">
        <v>0.61</v>
      </c>
      <c r="J36" s="60">
        <v>0.22</v>
      </c>
      <c r="K36" s="60">
        <v>87.73</v>
      </c>
      <c r="L36" s="60">
        <v>17.489999999999998</v>
      </c>
      <c r="M36" s="60">
        <v>45.96</v>
      </c>
      <c r="N36" s="60">
        <v>26.5</v>
      </c>
      <c r="O36" s="60">
        <v>0</v>
      </c>
      <c r="P36" s="60">
        <v>0.94</v>
      </c>
      <c r="Q36" s="60">
        <v>25.75</v>
      </c>
      <c r="R36" s="198"/>
      <c r="S36" s="198"/>
      <c r="T36" s="198"/>
      <c r="U36" s="198"/>
    </row>
    <row r="37" spans="1:21" s="12" customFormat="1" x14ac:dyDescent="0.25">
      <c r="A37" s="201" t="s">
        <v>1620</v>
      </c>
      <c r="B37" s="60">
        <v>14.47</v>
      </c>
      <c r="C37" s="60">
        <v>88.36</v>
      </c>
      <c r="D37" s="60">
        <v>60.36</v>
      </c>
      <c r="E37" s="60">
        <v>12.33</v>
      </c>
      <c r="F37" s="60">
        <v>4.5199999999999996</v>
      </c>
      <c r="G37" s="60">
        <v>95.57</v>
      </c>
      <c r="H37" s="60">
        <v>41.08</v>
      </c>
      <c r="I37" s="60">
        <v>0.61</v>
      </c>
      <c r="J37" s="60">
        <v>0.13</v>
      </c>
      <c r="K37" s="60">
        <v>65.930000000000007</v>
      </c>
      <c r="L37" s="60">
        <v>17.559999999999999</v>
      </c>
      <c r="M37" s="60">
        <v>47.82</v>
      </c>
      <c r="N37" s="60">
        <v>40.700000000000003</v>
      </c>
      <c r="O37" s="60">
        <v>0</v>
      </c>
      <c r="P37" s="60">
        <v>1.01</v>
      </c>
      <c r="Q37" s="60">
        <v>25.39</v>
      </c>
      <c r="R37" s="198"/>
      <c r="S37" s="198"/>
      <c r="T37" s="198"/>
      <c r="U37" s="198"/>
    </row>
    <row r="38" spans="1:21" s="12" customFormat="1" x14ac:dyDescent="0.25">
      <c r="A38" s="201" t="s">
        <v>1621</v>
      </c>
      <c r="B38" s="60">
        <v>16.18</v>
      </c>
      <c r="C38" s="60">
        <v>89.18</v>
      </c>
      <c r="D38" s="60">
        <v>62.19</v>
      </c>
      <c r="E38" s="60">
        <v>11.81</v>
      </c>
      <c r="F38" s="60">
        <v>4.57</v>
      </c>
      <c r="G38" s="60">
        <v>95.57</v>
      </c>
      <c r="H38" s="60">
        <v>41.08</v>
      </c>
      <c r="I38" s="60">
        <v>0.6</v>
      </c>
      <c r="J38" s="60">
        <v>0.08</v>
      </c>
      <c r="K38" s="60">
        <v>165.33</v>
      </c>
      <c r="L38" s="60">
        <v>18.32</v>
      </c>
      <c r="M38" s="60">
        <v>45.28</v>
      </c>
      <c r="N38" s="60">
        <v>87.6</v>
      </c>
      <c r="O38" s="60">
        <v>0</v>
      </c>
      <c r="P38" s="60">
        <v>1.1100000000000001</v>
      </c>
      <c r="Q38" s="60">
        <v>24.97</v>
      </c>
      <c r="R38" s="198"/>
      <c r="S38" s="198"/>
      <c r="T38" s="198"/>
      <c r="U38" s="198"/>
    </row>
    <row r="39" spans="1:21" s="12" customFormat="1" x14ac:dyDescent="0.25">
      <c r="A39" s="201" t="s">
        <v>1622</v>
      </c>
      <c r="B39" s="60">
        <v>16.97</v>
      </c>
      <c r="C39" s="60">
        <v>89.62</v>
      </c>
      <c r="D39" s="60">
        <v>63.07</v>
      </c>
      <c r="E39" s="60">
        <v>11.23</v>
      </c>
      <c r="F39" s="60">
        <v>4.55</v>
      </c>
      <c r="G39" s="60">
        <v>110.11</v>
      </c>
      <c r="H39" s="60">
        <v>45.06</v>
      </c>
      <c r="I39" s="60">
        <v>0.6</v>
      </c>
      <c r="J39" s="60">
        <v>0.19</v>
      </c>
      <c r="K39" s="60">
        <v>162.88999999999999</v>
      </c>
      <c r="L39" s="60">
        <v>20.76</v>
      </c>
      <c r="M39" s="60">
        <v>37.58</v>
      </c>
      <c r="N39" s="60">
        <v>182.7</v>
      </c>
      <c r="O39" s="60">
        <v>0</v>
      </c>
      <c r="P39" s="60">
        <v>1.1399999999999999</v>
      </c>
      <c r="Q39" s="60">
        <v>24.71</v>
      </c>
      <c r="R39" s="198"/>
      <c r="S39" s="198"/>
      <c r="T39" s="198"/>
      <c r="U39" s="198"/>
    </row>
    <row r="40" spans="1:21" s="12" customFormat="1" x14ac:dyDescent="0.25">
      <c r="A40" s="201" t="s">
        <v>1623</v>
      </c>
      <c r="B40" s="60">
        <v>18.079999999999998</v>
      </c>
      <c r="C40" s="60">
        <v>90.11</v>
      </c>
      <c r="D40" s="60">
        <v>64.23</v>
      </c>
      <c r="E40" s="60">
        <v>6.44</v>
      </c>
      <c r="F40" s="60">
        <v>4.53</v>
      </c>
      <c r="G40" s="60">
        <v>127.49</v>
      </c>
      <c r="H40" s="60">
        <v>49.8</v>
      </c>
      <c r="I40" s="60">
        <v>0.61</v>
      </c>
      <c r="J40" s="60">
        <v>0.28000000000000003</v>
      </c>
      <c r="K40" s="60">
        <v>12.42</v>
      </c>
      <c r="L40" s="60">
        <v>23.28</v>
      </c>
      <c r="M40" s="60">
        <v>32.19</v>
      </c>
      <c r="N40" s="60">
        <v>225.7</v>
      </c>
      <c r="O40" s="60">
        <v>0</v>
      </c>
      <c r="P40" s="60">
        <v>1.1599999999999999</v>
      </c>
      <c r="Q40" s="60">
        <v>24.72</v>
      </c>
      <c r="R40" s="198"/>
      <c r="S40" s="198"/>
      <c r="T40" s="198"/>
      <c r="U40" s="198"/>
    </row>
    <row r="41" spans="1:21" s="12" customFormat="1" x14ac:dyDescent="0.25">
      <c r="A41" s="201" t="s">
        <v>1624</v>
      </c>
      <c r="B41" s="60">
        <v>19.93</v>
      </c>
      <c r="C41" s="60">
        <v>91.62</v>
      </c>
      <c r="D41" s="60">
        <v>66.540000000000006</v>
      </c>
      <c r="E41" s="60">
        <v>9.6</v>
      </c>
      <c r="F41" s="60">
        <v>4.57</v>
      </c>
      <c r="G41" s="60">
        <v>127.49</v>
      </c>
      <c r="H41" s="60">
        <v>49.8</v>
      </c>
      <c r="I41" s="60">
        <v>0.61</v>
      </c>
      <c r="J41" s="60">
        <v>0.09</v>
      </c>
      <c r="K41" s="60">
        <v>262.73</v>
      </c>
      <c r="L41" s="60">
        <v>24.9</v>
      </c>
      <c r="M41" s="60">
        <v>33.950000000000003</v>
      </c>
      <c r="N41" s="60">
        <v>270.39999999999998</v>
      </c>
      <c r="O41" s="60">
        <v>0</v>
      </c>
      <c r="P41" s="60">
        <v>1.21</v>
      </c>
      <c r="Q41" s="60">
        <v>25.14</v>
      </c>
      <c r="R41" s="198"/>
      <c r="S41" s="198"/>
      <c r="T41" s="198"/>
      <c r="U41" s="198"/>
    </row>
    <row r="42" spans="1:21" s="12" customFormat="1" x14ac:dyDescent="0.25">
      <c r="A42" s="201" t="s">
        <v>1625</v>
      </c>
      <c r="B42" s="60">
        <v>20.46</v>
      </c>
      <c r="C42" s="60">
        <v>92.87</v>
      </c>
      <c r="D42" s="60">
        <v>67.66</v>
      </c>
      <c r="E42" s="60">
        <v>9.25</v>
      </c>
      <c r="F42" s="60">
        <v>4.53</v>
      </c>
      <c r="G42" s="60">
        <v>127.49</v>
      </c>
      <c r="H42" s="60">
        <v>49.8</v>
      </c>
      <c r="I42" s="60">
        <v>0.62</v>
      </c>
      <c r="J42" s="60">
        <v>0.53</v>
      </c>
      <c r="K42" s="60">
        <v>203.83</v>
      </c>
      <c r="L42" s="60">
        <v>22.66</v>
      </c>
      <c r="M42" s="60">
        <v>40.82</v>
      </c>
      <c r="N42" s="60">
        <v>308.7</v>
      </c>
      <c r="O42" s="60">
        <v>0</v>
      </c>
      <c r="P42" s="60">
        <v>1.23</v>
      </c>
      <c r="Q42" s="60">
        <v>25.45</v>
      </c>
      <c r="R42" s="198"/>
      <c r="S42" s="198"/>
      <c r="T42" s="198"/>
      <c r="U42" s="198"/>
    </row>
    <row r="43" spans="1:21" s="12" customFormat="1" x14ac:dyDescent="0.25">
      <c r="A43" s="201" t="s">
        <v>1626</v>
      </c>
      <c r="B43" s="60">
        <v>20</v>
      </c>
      <c r="C43" s="60">
        <v>93.75</v>
      </c>
      <c r="D43" s="60">
        <v>67.78</v>
      </c>
      <c r="E43" s="60">
        <v>9.08</v>
      </c>
      <c r="F43" s="60">
        <v>4.5199999999999996</v>
      </c>
      <c r="G43" s="60">
        <v>125.57</v>
      </c>
      <c r="H43" s="60">
        <v>50.12</v>
      </c>
      <c r="I43" s="60">
        <v>0.63</v>
      </c>
      <c r="J43" s="60">
        <v>1.05</v>
      </c>
      <c r="K43" s="60">
        <v>178.94</v>
      </c>
      <c r="L43" s="60">
        <v>23.05</v>
      </c>
      <c r="M43" s="60">
        <v>40.130000000000003</v>
      </c>
      <c r="N43" s="60">
        <v>343.9</v>
      </c>
      <c r="O43" s="60">
        <v>0</v>
      </c>
      <c r="P43" s="60">
        <v>1.25</v>
      </c>
      <c r="Q43" s="60">
        <v>25.73</v>
      </c>
      <c r="R43" s="198"/>
      <c r="S43" s="198"/>
      <c r="T43" s="198"/>
      <c r="U43" s="198"/>
    </row>
    <row r="44" spans="1:21" s="12" customFormat="1" x14ac:dyDescent="0.25">
      <c r="A44" s="201" t="s">
        <v>1627</v>
      </c>
      <c r="B44" s="60">
        <v>19.14</v>
      </c>
      <c r="C44" s="60">
        <v>94.18</v>
      </c>
      <c r="D44" s="60">
        <v>67.319999999999993</v>
      </c>
      <c r="E44" s="60">
        <v>8.52</v>
      </c>
      <c r="F44" s="60">
        <v>4.6900000000000004</v>
      </c>
      <c r="G44" s="60">
        <v>123.27</v>
      </c>
      <c r="H44" s="60">
        <v>50.5</v>
      </c>
      <c r="I44" s="60">
        <v>0.67</v>
      </c>
      <c r="J44" s="60">
        <v>0.48</v>
      </c>
      <c r="K44" s="60">
        <v>178.57</v>
      </c>
      <c r="L44" s="60">
        <v>24.31</v>
      </c>
      <c r="M44" s="60">
        <v>37.5</v>
      </c>
      <c r="N44" s="60">
        <v>370.5</v>
      </c>
      <c r="O44" s="60">
        <v>0</v>
      </c>
      <c r="P44" s="60">
        <v>1.26</v>
      </c>
      <c r="Q44" s="60">
        <v>26</v>
      </c>
      <c r="R44" s="198"/>
      <c r="S44" s="198"/>
      <c r="T44" s="198"/>
      <c r="U44" s="198"/>
    </row>
    <row r="45" spans="1:21" s="12" customFormat="1" x14ac:dyDescent="0.25">
      <c r="A45" s="201" t="s">
        <v>1628</v>
      </c>
      <c r="B45" s="60">
        <v>17.66</v>
      </c>
      <c r="C45" s="60">
        <v>95.19</v>
      </c>
      <c r="D45" s="60">
        <v>66.69</v>
      </c>
      <c r="E45" s="60">
        <v>8.74</v>
      </c>
      <c r="F45" s="60">
        <v>4.71</v>
      </c>
      <c r="G45" s="60">
        <v>123.27</v>
      </c>
      <c r="H45" s="60">
        <v>50.5</v>
      </c>
      <c r="I45" s="60">
        <v>0.67</v>
      </c>
      <c r="J45" s="60">
        <v>0.22</v>
      </c>
      <c r="K45" s="60">
        <v>205.51</v>
      </c>
      <c r="L45" s="60">
        <v>25.47</v>
      </c>
      <c r="M45" s="60">
        <v>35.54</v>
      </c>
      <c r="N45" s="60">
        <v>402.1</v>
      </c>
      <c r="O45" s="60">
        <v>0</v>
      </c>
      <c r="P45" s="60">
        <v>1.28</v>
      </c>
      <c r="Q45" s="60">
        <v>26.89</v>
      </c>
      <c r="R45" s="198"/>
      <c r="S45" s="198"/>
      <c r="T45" s="198"/>
      <c r="U45" s="198"/>
    </row>
    <row r="46" spans="1:21" s="12" customFormat="1" x14ac:dyDescent="0.25">
      <c r="A46" s="201" t="s">
        <v>1629</v>
      </c>
      <c r="B46" s="60">
        <v>15.9</v>
      </c>
      <c r="C46" s="60">
        <v>96.9</v>
      </c>
      <c r="D46" s="60">
        <v>66.23</v>
      </c>
      <c r="E46" s="60">
        <v>8.93</v>
      </c>
      <c r="F46" s="60">
        <v>4.74</v>
      </c>
      <c r="G46" s="60">
        <v>123.27</v>
      </c>
      <c r="H46" s="60">
        <v>50.5</v>
      </c>
      <c r="I46" s="60">
        <v>0.65</v>
      </c>
      <c r="J46" s="60">
        <v>0.13</v>
      </c>
      <c r="K46" s="60">
        <v>31.57</v>
      </c>
      <c r="L46" s="60">
        <v>27.75</v>
      </c>
      <c r="M46" s="60">
        <v>31.57</v>
      </c>
      <c r="N46" s="60">
        <v>419.2</v>
      </c>
      <c r="O46" s="60">
        <v>0</v>
      </c>
      <c r="P46" s="60">
        <v>1.32</v>
      </c>
      <c r="Q46" s="60">
        <v>27.29</v>
      </c>
      <c r="R46" s="198"/>
      <c r="S46" s="198"/>
      <c r="T46" s="198"/>
      <c r="U46" s="198"/>
    </row>
    <row r="47" spans="1:21" s="12" customFormat="1" x14ac:dyDescent="0.25">
      <c r="A47" s="201" t="s">
        <v>1630</v>
      </c>
      <c r="B47" s="60">
        <v>14.43</v>
      </c>
      <c r="C47" s="60">
        <v>99.92</v>
      </c>
      <c r="D47" s="60">
        <v>66.709999999999994</v>
      </c>
      <c r="E47" s="60">
        <v>8.81</v>
      </c>
      <c r="F47" s="60">
        <v>4.7699999999999996</v>
      </c>
      <c r="G47" s="60">
        <v>120.64</v>
      </c>
      <c r="H47" s="60">
        <v>49.95</v>
      </c>
      <c r="I47" s="60">
        <v>0.64</v>
      </c>
      <c r="J47" s="60">
        <v>0.35</v>
      </c>
      <c r="K47" s="60">
        <v>12.27</v>
      </c>
      <c r="L47" s="60">
        <v>28.93</v>
      </c>
      <c r="M47" s="60">
        <v>27.85</v>
      </c>
      <c r="N47" s="60">
        <v>443.3</v>
      </c>
      <c r="O47" s="60">
        <v>0</v>
      </c>
      <c r="P47" s="60">
        <v>1.35</v>
      </c>
      <c r="Q47" s="60">
        <v>27.35</v>
      </c>
      <c r="R47" s="198"/>
      <c r="S47" s="198"/>
      <c r="T47" s="198"/>
      <c r="U47" s="198"/>
    </row>
    <row r="48" spans="1:21" s="12" customFormat="1" x14ac:dyDescent="0.25">
      <c r="A48" s="201" t="s">
        <v>1631</v>
      </c>
      <c r="B48" s="60">
        <v>13.19</v>
      </c>
      <c r="C48" s="60">
        <v>103.8</v>
      </c>
      <c r="D48" s="60">
        <v>67.86</v>
      </c>
      <c r="E48" s="60">
        <v>8.9700000000000006</v>
      </c>
      <c r="F48" s="60">
        <v>4.8</v>
      </c>
      <c r="G48" s="60">
        <v>117.5</v>
      </c>
      <c r="H48" s="60">
        <v>49.29</v>
      </c>
      <c r="I48" s="60">
        <v>0.64</v>
      </c>
      <c r="J48" s="60">
        <v>0.26</v>
      </c>
      <c r="K48" s="60">
        <v>50.24</v>
      </c>
      <c r="L48" s="60">
        <v>30.54</v>
      </c>
      <c r="M48" s="60">
        <v>23.49</v>
      </c>
      <c r="N48" s="60">
        <v>454.5</v>
      </c>
      <c r="O48" s="60">
        <v>0</v>
      </c>
      <c r="P48" s="60">
        <v>1.39</v>
      </c>
      <c r="Q48" s="60">
        <v>27.49</v>
      </c>
      <c r="R48" s="198"/>
      <c r="S48" s="198"/>
      <c r="T48" s="198"/>
      <c r="U48" s="198"/>
    </row>
    <row r="49" spans="1:21" s="12" customFormat="1" x14ac:dyDescent="0.25">
      <c r="A49" s="201" t="s">
        <v>1632</v>
      </c>
      <c r="B49" s="60">
        <v>11.59</v>
      </c>
      <c r="C49" s="60">
        <v>106.57</v>
      </c>
      <c r="D49" s="60">
        <v>68.11</v>
      </c>
      <c r="E49" s="60">
        <v>9.32</v>
      </c>
      <c r="F49" s="60">
        <v>4.9800000000000004</v>
      </c>
      <c r="G49" s="60">
        <v>117.5</v>
      </c>
      <c r="H49" s="60">
        <v>49.29</v>
      </c>
      <c r="I49" s="60">
        <v>0.64</v>
      </c>
      <c r="J49" s="60">
        <v>0.25</v>
      </c>
      <c r="K49" s="60">
        <v>153.81</v>
      </c>
      <c r="L49" s="60">
        <v>29.54</v>
      </c>
      <c r="M49" s="60">
        <v>21.68</v>
      </c>
      <c r="N49" s="60">
        <v>481.5</v>
      </c>
      <c r="O49" s="60">
        <v>0</v>
      </c>
      <c r="P49" s="60">
        <v>1.4</v>
      </c>
      <c r="Q49" s="60">
        <v>27.57</v>
      </c>
      <c r="R49" s="198"/>
      <c r="S49" s="198"/>
      <c r="T49" s="198"/>
      <c r="U49" s="198"/>
    </row>
    <row r="50" spans="1:21" s="12" customFormat="1" x14ac:dyDescent="0.25">
      <c r="A50" s="201" t="s">
        <v>1633</v>
      </c>
      <c r="B50" s="60">
        <v>9.4600000000000009</v>
      </c>
      <c r="C50" s="60">
        <v>107.78</v>
      </c>
      <c r="D50" s="60">
        <v>67.069999999999993</v>
      </c>
      <c r="E50" s="60">
        <v>9.1300000000000008</v>
      </c>
      <c r="F50" s="60">
        <v>5.25</v>
      </c>
      <c r="G50" s="60">
        <v>117.5</v>
      </c>
      <c r="H50" s="60">
        <v>49.29</v>
      </c>
      <c r="I50" s="60">
        <v>0.65</v>
      </c>
      <c r="J50" s="60">
        <v>0.28999999999999998</v>
      </c>
      <c r="K50" s="60">
        <v>18.87</v>
      </c>
      <c r="L50" s="60">
        <v>32.21</v>
      </c>
      <c r="M50" s="60">
        <v>18.239999999999998</v>
      </c>
      <c r="N50" s="60">
        <v>492</v>
      </c>
      <c r="O50" s="60">
        <v>0</v>
      </c>
      <c r="P50" s="60">
        <v>1.38</v>
      </c>
      <c r="Q50" s="60">
        <v>27.43</v>
      </c>
      <c r="R50" s="198"/>
      <c r="S50" s="198"/>
      <c r="T50" s="198"/>
      <c r="U50" s="198"/>
    </row>
    <row r="51" spans="1:21" s="12" customFormat="1" x14ac:dyDescent="0.25">
      <c r="A51" s="201" t="s">
        <v>1634</v>
      </c>
      <c r="B51" s="60">
        <v>7.88</v>
      </c>
      <c r="C51" s="60">
        <v>109</v>
      </c>
      <c r="D51" s="60">
        <v>66.48</v>
      </c>
      <c r="E51" s="60">
        <v>9.43</v>
      </c>
      <c r="F51" s="60">
        <v>5.61</v>
      </c>
      <c r="G51" s="60">
        <v>104.04</v>
      </c>
      <c r="H51" s="60">
        <v>48.08</v>
      </c>
      <c r="I51" s="60">
        <v>0.64</v>
      </c>
      <c r="J51" s="60">
        <v>0.51</v>
      </c>
      <c r="K51" s="60">
        <v>14.59</v>
      </c>
      <c r="L51" s="60">
        <v>32.479999999999997</v>
      </c>
      <c r="M51" s="60">
        <v>16.86</v>
      </c>
      <c r="N51" s="60">
        <v>485.4</v>
      </c>
      <c r="O51" s="60">
        <v>0</v>
      </c>
      <c r="P51" s="60">
        <v>1.36</v>
      </c>
      <c r="Q51" s="60">
        <v>27.06</v>
      </c>
      <c r="R51" s="198"/>
      <c r="S51" s="198"/>
      <c r="T51" s="198"/>
      <c r="U51" s="198"/>
    </row>
    <row r="52" spans="1:21" s="12" customFormat="1" x14ac:dyDescent="0.25">
      <c r="A52" s="201" t="s">
        <v>1635</v>
      </c>
      <c r="B52" s="60">
        <v>6.98</v>
      </c>
      <c r="C52" s="60">
        <v>109.14</v>
      </c>
      <c r="D52" s="60">
        <v>65.83</v>
      </c>
      <c r="E52" s="60">
        <v>10.25</v>
      </c>
      <c r="F52" s="60">
        <v>5.52</v>
      </c>
      <c r="G52" s="60">
        <v>87.95</v>
      </c>
      <c r="H52" s="60">
        <v>46.64</v>
      </c>
      <c r="I52" s="60">
        <v>0.64</v>
      </c>
      <c r="J52" s="60">
        <v>0.4</v>
      </c>
      <c r="K52" s="60">
        <v>5.29</v>
      </c>
      <c r="L52" s="60">
        <v>32.43</v>
      </c>
      <c r="M52" s="60">
        <v>16.72</v>
      </c>
      <c r="N52" s="60">
        <v>482.4</v>
      </c>
      <c r="O52" s="60">
        <v>0</v>
      </c>
      <c r="P52" s="60">
        <v>1.37</v>
      </c>
      <c r="Q52" s="60">
        <v>26.69</v>
      </c>
      <c r="R52" s="198"/>
      <c r="S52" s="198"/>
      <c r="T52" s="198"/>
      <c r="U52" s="198"/>
    </row>
    <row r="53" spans="1:21" s="12" customFormat="1" x14ac:dyDescent="0.25">
      <c r="A53" s="201" t="s">
        <v>1636</v>
      </c>
      <c r="B53" s="60">
        <v>6.56</v>
      </c>
      <c r="C53" s="60">
        <v>108.12</v>
      </c>
      <c r="D53" s="60">
        <v>64.930000000000007</v>
      </c>
      <c r="E53" s="60">
        <v>11.88</v>
      </c>
      <c r="F53" s="60">
        <v>6.33</v>
      </c>
      <c r="G53" s="60">
        <v>87.95</v>
      </c>
      <c r="H53" s="60">
        <v>46.64</v>
      </c>
      <c r="I53" s="60">
        <v>0.64</v>
      </c>
      <c r="J53" s="60">
        <v>1.08</v>
      </c>
      <c r="K53" s="60">
        <v>132.37</v>
      </c>
      <c r="L53" s="60">
        <v>29.45</v>
      </c>
      <c r="M53" s="60">
        <v>20.25</v>
      </c>
      <c r="N53" s="60">
        <v>477.3</v>
      </c>
      <c r="O53" s="60">
        <v>0</v>
      </c>
      <c r="P53" s="60">
        <v>1.36</v>
      </c>
      <c r="Q53" s="60">
        <v>26.5</v>
      </c>
      <c r="R53" s="198"/>
      <c r="S53" s="198"/>
      <c r="T53" s="198"/>
      <c r="U53" s="198"/>
    </row>
    <row r="54" spans="1:21" s="12" customFormat="1" x14ac:dyDescent="0.25">
      <c r="A54" s="201" t="s">
        <v>1637</v>
      </c>
      <c r="B54" s="60">
        <v>5.93</v>
      </c>
      <c r="C54" s="60">
        <v>105.48</v>
      </c>
      <c r="D54" s="60">
        <v>62.96</v>
      </c>
      <c r="E54" s="60">
        <v>16.850000000000001</v>
      </c>
      <c r="F54" s="60">
        <v>8.3699999999999992</v>
      </c>
      <c r="G54" s="60">
        <v>87.95</v>
      </c>
      <c r="H54" s="60">
        <v>46.64</v>
      </c>
      <c r="I54" s="60">
        <v>0.64</v>
      </c>
      <c r="J54" s="60">
        <v>0.42</v>
      </c>
      <c r="K54" s="60">
        <v>183.5</v>
      </c>
      <c r="L54" s="60">
        <v>29.19</v>
      </c>
      <c r="M54" s="60">
        <v>22.1</v>
      </c>
      <c r="N54" s="60">
        <v>480.8</v>
      </c>
      <c r="O54" s="60">
        <v>0</v>
      </c>
      <c r="P54" s="60">
        <v>1.35</v>
      </c>
      <c r="Q54" s="60">
        <v>26.63</v>
      </c>
      <c r="R54" s="198"/>
      <c r="S54" s="198"/>
      <c r="T54" s="198"/>
      <c r="U54" s="198"/>
    </row>
    <row r="55" spans="1:21" s="12" customFormat="1" x14ac:dyDescent="0.25">
      <c r="A55" s="201" t="s">
        <v>1638</v>
      </c>
      <c r="B55" s="60">
        <v>5.57</v>
      </c>
      <c r="C55" s="60">
        <v>103.24</v>
      </c>
      <c r="D55" s="60">
        <v>61.45</v>
      </c>
      <c r="E55" s="60">
        <v>13.68</v>
      </c>
      <c r="F55" s="60">
        <v>8.9</v>
      </c>
      <c r="G55" s="60">
        <v>87.9</v>
      </c>
      <c r="H55" s="60">
        <v>46.48</v>
      </c>
      <c r="I55" s="60">
        <v>0.64</v>
      </c>
      <c r="J55" s="60">
        <v>0.46</v>
      </c>
      <c r="K55" s="60">
        <v>13.79</v>
      </c>
      <c r="L55" s="60">
        <v>32.229999999999997</v>
      </c>
      <c r="M55" s="60">
        <v>17.54</v>
      </c>
      <c r="N55" s="60">
        <v>496.6</v>
      </c>
      <c r="O55" s="60">
        <v>0</v>
      </c>
      <c r="P55" s="60">
        <v>1.35</v>
      </c>
      <c r="Q55" s="60">
        <v>26.73</v>
      </c>
      <c r="R55" s="198"/>
      <c r="S55" s="198"/>
      <c r="T55" s="198"/>
      <c r="U55" s="198"/>
    </row>
    <row r="56" spans="1:21" s="12" customFormat="1" x14ac:dyDescent="0.25">
      <c r="A56" s="201" t="s">
        <v>1639</v>
      </c>
      <c r="B56" s="60">
        <v>5.36</v>
      </c>
      <c r="C56" s="60">
        <v>99.94</v>
      </c>
      <c r="D56" s="60">
        <v>59.45</v>
      </c>
      <c r="E56" s="60">
        <v>7.11</v>
      </c>
      <c r="F56" s="60">
        <v>5.72</v>
      </c>
      <c r="G56" s="60">
        <v>87.84</v>
      </c>
      <c r="H56" s="60">
        <v>46.28</v>
      </c>
      <c r="I56" s="60">
        <v>0.64</v>
      </c>
      <c r="J56" s="60">
        <v>0.8</v>
      </c>
      <c r="K56" s="60">
        <v>9.44</v>
      </c>
      <c r="L56" s="60">
        <v>34.31</v>
      </c>
      <c r="M56" s="60">
        <v>13.95</v>
      </c>
      <c r="N56" s="60">
        <v>557.70000000000005</v>
      </c>
      <c r="O56" s="60">
        <v>0</v>
      </c>
      <c r="P56" s="60">
        <v>1.35</v>
      </c>
      <c r="Q56" s="60">
        <v>26.99</v>
      </c>
      <c r="R56" s="198"/>
      <c r="S56" s="198"/>
      <c r="T56" s="198"/>
      <c r="U56" s="198"/>
    </row>
    <row r="57" spans="1:21" s="12" customFormat="1" x14ac:dyDescent="0.25">
      <c r="A57" s="201" t="s">
        <v>1640</v>
      </c>
      <c r="B57" s="60">
        <v>5.07</v>
      </c>
      <c r="C57" s="60">
        <v>98.03</v>
      </c>
      <c r="D57" s="60">
        <v>58.16</v>
      </c>
      <c r="E57" s="60">
        <v>11.13</v>
      </c>
      <c r="F57" s="60">
        <v>7.77</v>
      </c>
      <c r="G57" s="60">
        <v>87.84</v>
      </c>
      <c r="H57" s="60">
        <v>46.28</v>
      </c>
      <c r="I57" s="60">
        <v>0.65</v>
      </c>
      <c r="J57" s="60">
        <v>0.72</v>
      </c>
      <c r="K57" s="60">
        <v>13.87</v>
      </c>
      <c r="L57" s="60">
        <v>35.17</v>
      </c>
      <c r="M57" s="60">
        <v>12.02</v>
      </c>
      <c r="N57" s="60">
        <v>585.29999999999995</v>
      </c>
      <c r="O57" s="60">
        <v>0</v>
      </c>
      <c r="P57" s="60">
        <v>1.3</v>
      </c>
      <c r="Q57" s="60">
        <v>27.4</v>
      </c>
      <c r="R57" s="198"/>
      <c r="S57" s="198"/>
      <c r="T57" s="198"/>
      <c r="U57" s="198"/>
    </row>
    <row r="58" spans="1:21" s="12" customFormat="1" x14ac:dyDescent="0.25">
      <c r="A58" s="201" t="s">
        <v>1641</v>
      </c>
      <c r="B58" s="60">
        <v>5.0599999999999996</v>
      </c>
      <c r="C58" s="60">
        <v>92.62</v>
      </c>
      <c r="D58" s="60">
        <v>55.17</v>
      </c>
      <c r="E58" s="60">
        <v>12.24</v>
      </c>
      <c r="F58" s="60">
        <v>10.55</v>
      </c>
      <c r="G58" s="60">
        <v>87.84</v>
      </c>
      <c r="H58" s="60">
        <v>46.28</v>
      </c>
      <c r="I58" s="60">
        <v>0.66</v>
      </c>
      <c r="J58" s="60">
        <v>0.49</v>
      </c>
      <c r="K58" s="60">
        <v>21.89</v>
      </c>
      <c r="L58" s="60">
        <v>35.21</v>
      </c>
      <c r="M58" s="60">
        <v>11.43</v>
      </c>
      <c r="N58" s="60">
        <v>590.79999999999995</v>
      </c>
      <c r="O58" s="60">
        <v>0</v>
      </c>
      <c r="P58" s="60">
        <v>1.24</v>
      </c>
      <c r="Q58" s="60">
        <v>27.71</v>
      </c>
      <c r="R58" s="198"/>
      <c r="S58" s="198"/>
      <c r="T58" s="198"/>
      <c r="U58" s="198"/>
    </row>
    <row r="59" spans="1:21" s="12" customFormat="1" x14ac:dyDescent="0.25">
      <c r="A59" s="201" t="s">
        <v>1642</v>
      </c>
      <c r="B59" s="60">
        <v>4.7699999999999996</v>
      </c>
      <c r="C59" s="60">
        <v>94.63</v>
      </c>
      <c r="D59" s="60">
        <v>56.04</v>
      </c>
      <c r="E59" s="60">
        <v>11.54</v>
      </c>
      <c r="F59" s="60">
        <v>7.6</v>
      </c>
      <c r="G59" s="60">
        <v>81.739999999999995</v>
      </c>
      <c r="H59" s="60">
        <v>43.12</v>
      </c>
      <c r="I59" s="60">
        <v>0.65</v>
      </c>
      <c r="J59" s="60">
        <v>0.39</v>
      </c>
      <c r="K59" s="60">
        <v>16.75</v>
      </c>
      <c r="L59" s="60">
        <v>34.68</v>
      </c>
      <c r="M59" s="60">
        <v>12.53</v>
      </c>
      <c r="N59" s="60">
        <v>574.6</v>
      </c>
      <c r="O59" s="60">
        <v>0</v>
      </c>
      <c r="P59" s="60">
        <v>1.25</v>
      </c>
      <c r="Q59" s="60">
        <v>28.41</v>
      </c>
      <c r="R59" s="198"/>
      <c r="S59" s="198"/>
      <c r="T59" s="198"/>
      <c r="U59" s="198"/>
    </row>
    <row r="60" spans="1:21" s="12" customFormat="1" x14ac:dyDescent="0.25">
      <c r="A60" s="201" t="s">
        <v>1643</v>
      </c>
      <c r="B60" s="60">
        <v>4.22</v>
      </c>
      <c r="C60" s="60">
        <v>94.11</v>
      </c>
      <c r="D60" s="60">
        <v>55.32</v>
      </c>
      <c r="E60" s="60">
        <v>8.86</v>
      </c>
      <c r="F60" s="60">
        <v>7.06</v>
      </c>
      <c r="G60" s="60">
        <v>72.680000000000007</v>
      </c>
      <c r="H60" s="60">
        <v>38.82</v>
      </c>
      <c r="I60" s="60">
        <v>0.64</v>
      </c>
      <c r="J60" s="60">
        <v>0.62</v>
      </c>
      <c r="K60" s="60">
        <v>15.6</v>
      </c>
      <c r="L60" s="60">
        <v>35.090000000000003</v>
      </c>
      <c r="M60" s="60">
        <v>12.68</v>
      </c>
      <c r="N60" s="60">
        <v>560.5</v>
      </c>
      <c r="O60" s="60">
        <v>0</v>
      </c>
      <c r="P60" s="60">
        <v>1.23</v>
      </c>
      <c r="Q60" s="60">
        <v>29.29</v>
      </c>
      <c r="R60" s="198"/>
      <c r="S60" s="198"/>
      <c r="T60" s="198"/>
      <c r="U60" s="198"/>
    </row>
    <row r="61" spans="1:21" s="12" customFormat="1" x14ac:dyDescent="0.25">
      <c r="A61" s="201" t="s">
        <v>1644</v>
      </c>
      <c r="B61" s="60">
        <v>3.53</v>
      </c>
      <c r="C61" s="60">
        <v>93.22</v>
      </c>
      <c r="D61" s="60">
        <v>54.27</v>
      </c>
      <c r="E61" s="60">
        <v>8.42</v>
      </c>
      <c r="F61" s="60">
        <v>7.36</v>
      </c>
      <c r="G61" s="60">
        <v>72.680000000000007</v>
      </c>
      <c r="H61" s="60">
        <v>38.82</v>
      </c>
      <c r="I61" s="60">
        <v>0.66</v>
      </c>
      <c r="J61" s="60">
        <v>0.79</v>
      </c>
      <c r="K61" s="60">
        <v>13.39</v>
      </c>
      <c r="L61" s="60">
        <v>34.19</v>
      </c>
      <c r="M61" s="60">
        <v>13.91</v>
      </c>
      <c r="N61" s="60">
        <v>539.29999999999995</v>
      </c>
      <c r="O61" s="60">
        <v>0</v>
      </c>
      <c r="P61" s="60">
        <v>1.05</v>
      </c>
      <c r="Q61" s="60">
        <v>29.51</v>
      </c>
      <c r="R61" s="198"/>
      <c r="S61" s="198"/>
      <c r="T61" s="198"/>
      <c r="U61" s="198"/>
    </row>
    <row r="62" spans="1:21" s="12" customFormat="1" x14ac:dyDescent="0.25">
      <c r="A62" s="201" t="s">
        <v>1645</v>
      </c>
      <c r="B62" s="60">
        <v>3.03</v>
      </c>
      <c r="C62" s="60">
        <v>92.33</v>
      </c>
      <c r="D62" s="60">
        <v>53.38</v>
      </c>
      <c r="E62" s="60">
        <v>7.41</v>
      </c>
      <c r="F62" s="60">
        <v>6.68</v>
      </c>
      <c r="G62" s="60">
        <v>72.680000000000007</v>
      </c>
      <c r="H62" s="60">
        <v>38.82</v>
      </c>
      <c r="I62" s="60">
        <v>0.66</v>
      </c>
      <c r="J62" s="60">
        <v>0.78</v>
      </c>
      <c r="K62" s="60">
        <v>356.12</v>
      </c>
      <c r="L62" s="60">
        <v>35.67</v>
      </c>
      <c r="M62" s="60">
        <v>12.97</v>
      </c>
      <c r="N62" s="60">
        <v>521.20000000000005</v>
      </c>
      <c r="O62" s="60">
        <v>0</v>
      </c>
      <c r="P62" s="60">
        <v>1.08</v>
      </c>
      <c r="Q62" s="60">
        <v>29.36</v>
      </c>
      <c r="R62" s="198"/>
      <c r="S62" s="198"/>
      <c r="T62" s="198"/>
      <c r="U62" s="198"/>
    </row>
    <row r="63" spans="1:21" s="12" customFormat="1" x14ac:dyDescent="0.25">
      <c r="A63" s="201" t="s">
        <v>1646</v>
      </c>
      <c r="B63" s="60">
        <v>2.97</v>
      </c>
      <c r="C63" s="60">
        <v>91.23</v>
      </c>
      <c r="D63" s="60">
        <v>52.73</v>
      </c>
      <c r="E63" s="60">
        <v>7.65</v>
      </c>
      <c r="F63" s="60">
        <v>6.12</v>
      </c>
      <c r="G63" s="60">
        <v>65.13</v>
      </c>
      <c r="H63" s="60">
        <v>34.9</v>
      </c>
      <c r="I63" s="60">
        <v>0.64</v>
      </c>
      <c r="J63" s="60">
        <v>0.91</v>
      </c>
      <c r="K63" s="60">
        <v>353.46</v>
      </c>
      <c r="L63" s="60">
        <v>36.29</v>
      </c>
      <c r="M63" s="60">
        <v>12.98</v>
      </c>
      <c r="N63" s="60">
        <v>498.6</v>
      </c>
      <c r="O63" s="60">
        <v>0</v>
      </c>
      <c r="P63" s="60">
        <v>1.04</v>
      </c>
      <c r="Q63" s="60">
        <v>30.72</v>
      </c>
      <c r="R63" s="198"/>
      <c r="S63" s="198"/>
      <c r="T63" s="198"/>
      <c r="U63" s="198"/>
    </row>
    <row r="64" spans="1:21" s="12" customFormat="1" x14ac:dyDescent="0.25">
      <c r="A64" s="201" t="s">
        <v>1647</v>
      </c>
      <c r="B64" s="60">
        <v>2.68</v>
      </c>
      <c r="C64" s="60">
        <v>87.16</v>
      </c>
      <c r="D64" s="60">
        <v>50.25</v>
      </c>
      <c r="E64" s="60">
        <v>7.51</v>
      </c>
      <c r="F64" s="60">
        <v>8.35</v>
      </c>
      <c r="G64" s="60">
        <v>56.1</v>
      </c>
      <c r="H64" s="60">
        <v>30.21</v>
      </c>
      <c r="I64" s="60">
        <v>0.68</v>
      </c>
      <c r="J64" s="60">
        <v>1.07</v>
      </c>
      <c r="K64" s="60">
        <v>12.05</v>
      </c>
      <c r="L64" s="60">
        <v>35.869999999999997</v>
      </c>
      <c r="M64" s="60">
        <v>12.78</v>
      </c>
      <c r="N64" s="60">
        <v>479.6</v>
      </c>
      <c r="O64" s="60">
        <v>0</v>
      </c>
      <c r="P64" s="60">
        <v>0.98</v>
      </c>
      <c r="Q64" s="60">
        <v>30.86</v>
      </c>
      <c r="R64" s="198"/>
      <c r="S64" s="198"/>
      <c r="T64" s="198"/>
      <c r="U64" s="198"/>
    </row>
    <row r="65" spans="1:21" s="12" customFormat="1" x14ac:dyDescent="0.25">
      <c r="A65" s="201" t="s">
        <v>1648</v>
      </c>
      <c r="B65" s="60">
        <v>2.37</v>
      </c>
      <c r="C65" s="60">
        <v>79.489999999999995</v>
      </c>
      <c r="D65" s="60">
        <v>45.77</v>
      </c>
      <c r="E65" s="60">
        <v>7.55</v>
      </c>
      <c r="F65" s="60">
        <v>8.94</v>
      </c>
      <c r="G65" s="60">
        <v>56.1</v>
      </c>
      <c r="H65" s="60">
        <v>30.21</v>
      </c>
      <c r="I65" s="60">
        <v>0.63</v>
      </c>
      <c r="J65" s="60">
        <v>0.72</v>
      </c>
      <c r="K65" s="60">
        <v>3.92</v>
      </c>
      <c r="L65" s="60">
        <v>35.29</v>
      </c>
      <c r="M65" s="60">
        <v>12.9</v>
      </c>
      <c r="N65" s="60">
        <v>462.7</v>
      </c>
      <c r="O65" s="60">
        <v>0</v>
      </c>
      <c r="P65" s="60">
        <v>0.92</v>
      </c>
      <c r="Q65" s="60">
        <v>30.76</v>
      </c>
      <c r="R65" s="198"/>
      <c r="S65" s="198"/>
      <c r="T65" s="198"/>
      <c r="U65" s="198"/>
    </row>
    <row r="66" spans="1:21" s="12" customFormat="1" x14ac:dyDescent="0.25">
      <c r="A66" s="201" t="s">
        <v>1649</v>
      </c>
      <c r="B66" s="60">
        <v>2.42</v>
      </c>
      <c r="C66" s="60">
        <v>81.81</v>
      </c>
      <c r="D66" s="60">
        <v>47.09</v>
      </c>
      <c r="E66" s="60">
        <v>7.11</v>
      </c>
      <c r="F66" s="60">
        <v>7.78</v>
      </c>
      <c r="G66" s="60">
        <v>56.1</v>
      </c>
      <c r="H66" s="60">
        <v>30.21</v>
      </c>
      <c r="I66" s="60">
        <v>0.61</v>
      </c>
      <c r="J66" s="60">
        <v>1.02</v>
      </c>
      <c r="K66" s="60">
        <v>350.74</v>
      </c>
      <c r="L66" s="60">
        <v>35.520000000000003</v>
      </c>
      <c r="M66" s="60">
        <v>13.09</v>
      </c>
      <c r="N66" s="60">
        <v>454.4</v>
      </c>
      <c r="O66" s="60">
        <v>0</v>
      </c>
      <c r="P66" s="60">
        <v>0.91</v>
      </c>
      <c r="Q66" s="60">
        <v>29.19</v>
      </c>
      <c r="R66" s="198"/>
      <c r="S66" s="198"/>
      <c r="T66" s="198"/>
      <c r="U66" s="198"/>
    </row>
    <row r="67" spans="1:21" s="12" customFormat="1" x14ac:dyDescent="0.25">
      <c r="A67" s="201" t="s">
        <v>1650</v>
      </c>
      <c r="B67" s="60">
        <v>3.26</v>
      </c>
      <c r="C67" s="60">
        <v>82.59</v>
      </c>
      <c r="D67" s="60">
        <v>48.19</v>
      </c>
      <c r="E67" s="60">
        <v>7.16</v>
      </c>
      <c r="F67" s="60">
        <v>6.99</v>
      </c>
      <c r="G67" s="60">
        <v>55.07</v>
      </c>
      <c r="H67" s="60">
        <v>26.31</v>
      </c>
      <c r="I67" s="60">
        <v>0.63</v>
      </c>
      <c r="J67" s="60">
        <v>0.92</v>
      </c>
      <c r="K67" s="60">
        <v>349.45</v>
      </c>
      <c r="L67" s="60">
        <v>35.549999999999997</v>
      </c>
      <c r="M67" s="60">
        <v>12.9</v>
      </c>
      <c r="N67" s="60">
        <v>438.5</v>
      </c>
      <c r="O67" s="60">
        <v>0</v>
      </c>
      <c r="P67" s="60">
        <v>0.88</v>
      </c>
      <c r="Q67" s="60">
        <v>27.51</v>
      </c>
      <c r="R67" s="198"/>
      <c r="S67" s="198"/>
      <c r="T67" s="198"/>
      <c r="U67" s="198"/>
    </row>
    <row r="68" spans="1:21" s="12" customFormat="1" x14ac:dyDescent="0.25">
      <c r="A68" s="201" t="s">
        <v>1651</v>
      </c>
      <c r="B68" s="60">
        <v>3.44</v>
      </c>
      <c r="C68" s="60">
        <v>79.87</v>
      </c>
      <c r="D68" s="60">
        <v>46.84</v>
      </c>
      <c r="E68" s="60">
        <v>6.95</v>
      </c>
      <c r="F68" s="60">
        <v>9.09</v>
      </c>
      <c r="G68" s="60">
        <v>53.85</v>
      </c>
      <c r="H68" s="60">
        <v>21.65</v>
      </c>
      <c r="I68" s="60">
        <v>0.6</v>
      </c>
      <c r="J68" s="60">
        <v>1.32</v>
      </c>
      <c r="K68" s="60">
        <v>357.79</v>
      </c>
      <c r="L68" s="60">
        <v>35.86</v>
      </c>
      <c r="M68" s="60">
        <v>12.47</v>
      </c>
      <c r="N68" s="60">
        <v>417.7</v>
      </c>
      <c r="O68" s="60">
        <v>0</v>
      </c>
      <c r="P68" s="60">
        <v>0.85</v>
      </c>
      <c r="Q68" s="60">
        <v>26.83</v>
      </c>
      <c r="R68" s="198"/>
      <c r="S68" s="198"/>
      <c r="T68" s="198"/>
      <c r="U68" s="198"/>
    </row>
    <row r="69" spans="1:21" s="12" customFormat="1" x14ac:dyDescent="0.25">
      <c r="A69" s="201" t="s">
        <v>1652</v>
      </c>
      <c r="B69" s="60">
        <v>3.53</v>
      </c>
      <c r="C69" s="60">
        <v>79.92</v>
      </c>
      <c r="D69" s="60">
        <v>46.94</v>
      </c>
      <c r="E69" s="60">
        <v>6.86</v>
      </c>
      <c r="F69" s="60">
        <v>8.32</v>
      </c>
      <c r="G69" s="60">
        <v>53.85</v>
      </c>
      <c r="H69" s="60">
        <v>21.65</v>
      </c>
      <c r="I69" s="60">
        <v>0.59</v>
      </c>
      <c r="J69" s="60">
        <v>1.1200000000000001</v>
      </c>
      <c r="K69" s="60">
        <v>0.1</v>
      </c>
      <c r="L69" s="60">
        <v>35.57</v>
      </c>
      <c r="M69" s="60">
        <v>12.5</v>
      </c>
      <c r="N69" s="60">
        <v>396.2</v>
      </c>
      <c r="O69" s="60">
        <v>0</v>
      </c>
      <c r="P69" s="60">
        <v>0.84</v>
      </c>
      <c r="Q69" s="60">
        <v>26.77</v>
      </c>
      <c r="R69" s="198"/>
      <c r="S69" s="198"/>
      <c r="T69" s="198"/>
      <c r="U69" s="198"/>
    </row>
    <row r="70" spans="1:21" s="12" customFormat="1" x14ac:dyDescent="0.25">
      <c r="A70" s="201" t="s">
        <v>1653</v>
      </c>
      <c r="B70" s="60">
        <v>4.7699999999999996</v>
      </c>
      <c r="C70" s="60">
        <v>74.97</v>
      </c>
      <c r="D70" s="60">
        <v>45.2</v>
      </c>
      <c r="E70" s="60">
        <v>7.48</v>
      </c>
      <c r="F70" s="60">
        <v>12.93</v>
      </c>
      <c r="G70" s="60">
        <v>53.85</v>
      </c>
      <c r="H70" s="60">
        <v>21.65</v>
      </c>
      <c r="I70" s="60">
        <v>0.59</v>
      </c>
      <c r="J70" s="60">
        <v>1.02</v>
      </c>
      <c r="K70" s="60">
        <v>1.57</v>
      </c>
      <c r="L70" s="60">
        <v>35.19</v>
      </c>
      <c r="M70" s="60">
        <v>12.26</v>
      </c>
      <c r="N70" s="60">
        <v>308.60000000000002</v>
      </c>
      <c r="O70" s="60">
        <v>0</v>
      </c>
      <c r="P70" s="60">
        <v>0.78</v>
      </c>
      <c r="Q70" s="60">
        <v>26.78</v>
      </c>
      <c r="R70" s="198"/>
      <c r="S70" s="198"/>
      <c r="T70" s="198"/>
      <c r="U70" s="198"/>
    </row>
    <row r="71" spans="1:21" s="12" customFormat="1" x14ac:dyDescent="0.25">
      <c r="A71" s="201" t="s">
        <v>1654</v>
      </c>
      <c r="B71" s="60">
        <v>5.0599999999999996</v>
      </c>
      <c r="C71" s="60">
        <v>75</v>
      </c>
      <c r="D71" s="60">
        <v>45.45</v>
      </c>
      <c r="E71" s="60">
        <v>6.71</v>
      </c>
      <c r="F71" s="60">
        <v>11.57</v>
      </c>
      <c r="G71" s="60">
        <v>48.69</v>
      </c>
      <c r="H71" s="60">
        <v>22.54</v>
      </c>
      <c r="I71" s="60">
        <v>0.57999999999999996</v>
      </c>
      <c r="J71" s="60">
        <v>0.77</v>
      </c>
      <c r="K71" s="60">
        <v>5.16</v>
      </c>
      <c r="L71" s="60">
        <v>34.630000000000003</v>
      </c>
      <c r="M71" s="60">
        <v>13.24</v>
      </c>
      <c r="N71" s="60">
        <v>186.3</v>
      </c>
      <c r="O71" s="60">
        <v>0</v>
      </c>
      <c r="P71" s="60">
        <v>0.79</v>
      </c>
      <c r="Q71" s="60">
        <v>26.84</v>
      </c>
      <c r="R71" s="198"/>
      <c r="S71" s="198"/>
      <c r="T71" s="198"/>
      <c r="U71" s="198"/>
    </row>
    <row r="72" spans="1:21" s="12" customFormat="1" x14ac:dyDescent="0.25">
      <c r="A72" s="201" t="s">
        <v>1655</v>
      </c>
      <c r="B72" s="60">
        <v>4.88</v>
      </c>
      <c r="C72" s="60">
        <v>74.2</v>
      </c>
      <c r="D72" s="60">
        <v>44.87</v>
      </c>
      <c r="E72" s="60">
        <v>4.6500000000000004</v>
      </c>
      <c r="F72" s="60">
        <v>11.69</v>
      </c>
      <c r="G72" s="60">
        <v>42.54</v>
      </c>
      <c r="H72" s="60">
        <v>23.6</v>
      </c>
      <c r="I72" s="60">
        <v>0.56999999999999995</v>
      </c>
      <c r="J72" s="60">
        <v>0.44</v>
      </c>
      <c r="K72" s="60">
        <v>6.79</v>
      </c>
      <c r="L72" s="60">
        <v>34.32</v>
      </c>
      <c r="M72" s="60">
        <v>13.89</v>
      </c>
      <c r="N72" s="60">
        <v>102.3</v>
      </c>
      <c r="O72" s="60">
        <v>0</v>
      </c>
      <c r="P72" s="60">
        <v>0.75</v>
      </c>
      <c r="Q72" s="60">
        <v>26.97</v>
      </c>
      <c r="R72" s="198"/>
      <c r="S72" s="198"/>
      <c r="T72" s="198"/>
      <c r="U72" s="198"/>
    </row>
    <row r="73" spans="1:21" s="12" customFormat="1" x14ac:dyDescent="0.25">
      <c r="A73" s="201" t="s">
        <v>1656</v>
      </c>
      <c r="B73" s="60">
        <v>4.8600000000000003</v>
      </c>
      <c r="C73" s="60">
        <v>76.78</v>
      </c>
      <c r="D73" s="60">
        <v>46.27</v>
      </c>
      <c r="E73" s="60">
        <v>6.68</v>
      </c>
      <c r="F73" s="60">
        <v>10.92</v>
      </c>
      <c r="G73" s="60">
        <v>42.54</v>
      </c>
      <c r="H73" s="60">
        <v>23.6</v>
      </c>
      <c r="I73" s="60">
        <v>0.56999999999999995</v>
      </c>
      <c r="J73" s="60">
        <v>0.85</v>
      </c>
      <c r="K73" s="60">
        <v>355.45</v>
      </c>
      <c r="L73" s="60">
        <v>32.659999999999997</v>
      </c>
      <c r="M73" s="60">
        <v>14.69</v>
      </c>
      <c r="N73" s="60">
        <v>173.2</v>
      </c>
      <c r="O73" s="60">
        <v>0</v>
      </c>
      <c r="P73" s="60">
        <v>0.76</v>
      </c>
      <c r="Q73" s="60">
        <v>27.59</v>
      </c>
      <c r="R73" s="198"/>
      <c r="S73" s="198"/>
      <c r="T73" s="198"/>
      <c r="U73" s="198"/>
    </row>
    <row r="74" spans="1:21" s="12" customFormat="1" x14ac:dyDescent="0.25">
      <c r="A74" s="201" t="s">
        <v>1657</v>
      </c>
      <c r="B74" s="60">
        <v>5.09</v>
      </c>
      <c r="C74" s="60">
        <v>79.17</v>
      </c>
      <c r="D74" s="60">
        <v>47.77</v>
      </c>
      <c r="E74" s="60">
        <v>6.39</v>
      </c>
      <c r="F74" s="60">
        <v>6.7</v>
      </c>
      <c r="G74" s="60">
        <v>42.54</v>
      </c>
      <c r="H74" s="60">
        <v>23.6</v>
      </c>
      <c r="I74" s="60">
        <v>0.57999999999999996</v>
      </c>
      <c r="J74" s="60">
        <v>0.61</v>
      </c>
      <c r="K74" s="60">
        <v>353.67</v>
      </c>
      <c r="L74" s="60">
        <v>31.92</v>
      </c>
      <c r="M74" s="60">
        <v>15.74</v>
      </c>
      <c r="N74" s="60">
        <v>82.5</v>
      </c>
      <c r="O74" s="60">
        <v>0</v>
      </c>
      <c r="P74" s="60">
        <v>0.78</v>
      </c>
      <c r="Q74" s="60">
        <v>28.28</v>
      </c>
      <c r="R74" s="198"/>
      <c r="S74" s="198"/>
      <c r="T74" s="198"/>
      <c r="U74" s="198"/>
    </row>
    <row r="75" spans="1:21" s="12" customFormat="1" x14ac:dyDescent="0.25">
      <c r="A75" s="201" t="s">
        <v>1658</v>
      </c>
      <c r="B75" s="60">
        <v>4.1100000000000003</v>
      </c>
      <c r="C75" s="60">
        <v>80.489999999999995</v>
      </c>
      <c r="D75" s="60">
        <v>47.72</v>
      </c>
      <c r="E75" s="60">
        <v>6.09</v>
      </c>
      <c r="F75" s="60">
        <v>6.22</v>
      </c>
      <c r="G75" s="60">
        <v>41.84</v>
      </c>
      <c r="H75" s="60">
        <v>21.09</v>
      </c>
      <c r="I75" s="60">
        <v>0.57999999999999996</v>
      </c>
      <c r="J75" s="60">
        <v>0.81</v>
      </c>
      <c r="K75" s="60">
        <v>345.05</v>
      </c>
      <c r="L75" s="60">
        <v>31.18</v>
      </c>
      <c r="M75" s="60">
        <v>16.989999999999998</v>
      </c>
      <c r="N75" s="60">
        <v>75.900000000000006</v>
      </c>
      <c r="O75" s="60">
        <v>0</v>
      </c>
      <c r="P75" s="60">
        <v>0.77</v>
      </c>
      <c r="Q75" s="60">
        <v>28.42</v>
      </c>
      <c r="R75" s="198"/>
      <c r="S75" s="198"/>
      <c r="T75" s="198"/>
      <c r="U75" s="198"/>
    </row>
    <row r="76" spans="1:21" s="12" customFormat="1" x14ac:dyDescent="0.25">
      <c r="A76" s="201" t="s">
        <v>1659</v>
      </c>
      <c r="B76" s="60">
        <v>4.82</v>
      </c>
      <c r="C76" s="60">
        <v>79.040000000000006</v>
      </c>
      <c r="D76" s="60">
        <v>47.49</v>
      </c>
      <c r="E76" s="60">
        <v>5.7</v>
      </c>
      <c r="F76" s="60">
        <v>7.49</v>
      </c>
      <c r="G76" s="60">
        <v>41</v>
      </c>
      <c r="H76" s="60">
        <v>18.079999999999998</v>
      </c>
      <c r="I76" s="60">
        <v>0.62</v>
      </c>
      <c r="J76" s="60">
        <v>0.84</v>
      </c>
      <c r="K76" s="60">
        <v>353.71</v>
      </c>
      <c r="L76" s="60">
        <v>30.82</v>
      </c>
      <c r="M76" s="60">
        <v>17.62</v>
      </c>
      <c r="N76" s="60">
        <v>41.4</v>
      </c>
      <c r="O76" s="60">
        <v>0</v>
      </c>
      <c r="P76" s="60">
        <v>0.76</v>
      </c>
      <c r="Q76" s="60">
        <v>28.04</v>
      </c>
      <c r="R76" s="198"/>
      <c r="S76" s="198"/>
      <c r="T76" s="198"/>
      <c r="U76" s="198"/>
    </row>
    <row r="77" spans="1:21" s="12" customFormat="1" x14ac:dyDescent="0.25">
      <c r="A77" s="201" t="s">
        <v>1660</v>
      </c>
      <c r="B77" s="60">
        <v>7.07</v>
      </c>
      <c r="C77" s="60">
        <v>81.12</v>
      </c>
      <c r="D77" s="60">
        <v>50.44</v>
      </c>
      <c r="E77" s="60">
        <v>6.03</v>
      </c>
      <c r="F77" s="60">
        <v>9.18</v>
      </c>
      <c r="G77" s="60">
        <v>41</v>
      </c>
      <c r="H77" s="60">
        <v>18.079999999999998</v>
      </c>
      <c r="I77" s="60">
        <v>0.57999999999999996</v>
      </c>
      <c r="J77" s="60">
        <v>0.54</v>
      </c>
      <c r="K77" s="60">
        <v>15.23</v>
      </c>
      <c r="L77" s="60">
        <v>30.44</v>
      </c>
      <c r="M77" s="60">
        <v>18.510000000000002</v>
      </c>
      <c r="N77" s="60">
        <v>33.299999999999997</v>
      </c>
      <c r="O77" s="60">
        <v>0</v>
      </c>
      <c r="P77" s="60">
        <v>0.8</v>
      </c>
      <c r="Q77" s="60">
        <v>27.9</v>
      </c>
      <c r="R77" s="198"/>
      <c r="S77" s="198"/>
      <c r="T77" s="198"/>
      <c r="U77" s="198"/>
    </row>
    <row r="78" spans="1:21" s="12" customFormat="1" x14ac:dyDescent="0.25">
      <c r="A78" s="201" t="s">
        <v>1661</v>
      </c>
      <c r="B78" s="60">
        <v>8.6</v>
      </c>
      <c r="C78" s="60">
        <v>85.56</v>
      </c>
      <c r="D78" s="60">
        <v>54.11</v>
      </c>
      <c r="E78" s="60">
        <v>6.24</v>
      </c>
      <c r="F78" s="60">
        <v>8.89</v>
      </c>
      <c r="G78" s="60">
        <v>41</v>
      </c>
      <c r="H78" s="60">
        <v>18.079999999999998</v>
      </c>
      <c r="I78" s="60">
        <v>0.56999999999999995</v>
      </c>
      <c r="J78" s="60">
        <v>0.34</v>
      </c>
      <c r="K78" s="60">
        <v>12.88</v>
      </c>
      <c r="L78" s="60">
        <v>29.72</v>
      </c>
      <c r="M78" s="60">
        <v>20.85</v>
      </c>
      <c r="N78" s="60">
        <v>24.7</v>
      </c>
      <c r="O78" s="60">
        <v>0</v>
      </c>
      <c r="P78" s="60">
        <v>0.84</v>
      </c>
      <c r="Q78" s="60">
        <v>27.89</v>
      </c>
      <c r="R78" s="198"/>
      <c r="S78" s="198"/>
      <c r="T78" s="198"/>
      <c r="U78" s="198"/>
    </row>
    <row r="79" spans="1:21" s="12" customFormat="1" x14ac:dyDescent="0.25">
      <c r="A79" s="201" t="s">
        <v>1662</v>
      </c>
      <c r="B79" s="60">
        <v>10.99</v>
      </c>
      <c r="C79" s="60">
        <v>90.66</v>
      </c>
      <c r="D79" s="60">
        <v>58.85</v>
      </c>
      <c r="E79" s="60">
        <v>6.51</v>
      </c>
      <c r="F79" s="60">
        <v>7.71</v>
      </c>
      <c r="G79" s="60">
        <v>42.14</v>
      </c>
      <c r="H79" s="60">
        <v>18.170000000000002</v>
      </c>
      <c r="I79" s="60">
        <v>0.56999999999999995</v>
      </c>
      <c r="J79" s="60">
        <v>0.08</v>
      </c>
      <c r="K79" s="60">
        <v>21.42</v>
      </c>
      <c r="L79" s="60">
        <v>28.81</v>
      </c>
      <c r="M79" s="60">
        <v>22.47</v>
      </c>
      <c r="N79" s="60">
        <v>15.7</v>
      </c>
      <c r="O79" s="60">
        <v>0</v>
      </c>
      <c r="P79" s="60">
        <v>0.92</v>
      </c>
      <c r="Q79" s="60">
        <v>27.84</v>
      </c>
      <c r="R79" s="198"/>
      <c r="S79" s="198"/>
      <c r="T79" s="198"/>
      <c r="U79" s="198"/>
    </row>
    <row r="80" spans="1:21" s="12" customFormat="1" x14ac:dyDescent="0.25">
      <c r="A80" s="201" t="s">
        <v>1663</v>
      </c>
      <c r="B80" s="60">
        <v>16.25</v>
      </c>
      <c r="C80" s="60">
        <v>93.06</v>
      </c>
      <c r="D80" s="60">
        <v>64.39</v>
      </c>
      <c r="E80" s="60">
        <v>7.77</v>
      </c>
      <c r="F80" s="60">
        <v>8.3699999999999992</v>
      </c>
      <c r="G80" s="60">
        <v>43.51</v>
      </c>
      <c r="H80" s="60">
        <v>18.29</v>
      </c>
      <c r="I80" s="60">
        <v>0.6</v>
      </c>
      <c r="J80" s="60">
        <v>7.0000000000000007E-2</v>
      </c>
      <c r="K80" s="60">
        <v>45.13</v>
      </c>
      <c r="L80" s="60">
        <v>27.86</v>
      </c>
      <c r="M80" s="60">
        <v>27.13</v>
      </c>
      <c r="N80" s="60">
        <v>8.1</v>
      </c>
      <c r="O80" s="60">
        <v>0</v>
      </c>
      <c r="P80" s="60">
        <v>1.1200000000000001</v>
      </c>
      <c r="Q80" s="60">
        <v>27.72</v>
      </c>
      <c r="R80" s="198"/>
      <c r="S80" s="198"/>
      <c r="T80" s="198"/>
      <c r="U80" s="198"/>
    </row>
    <row r="81" spans="1:26" s="12" customFormat="1" x14ac:dyDescent="0.25">
      <c r="A81" s="201" t="s">
        <v>1664</v>
      </c>
      <c r="B81" s="60">
        <v>37.57</v>
      </c>
      <c r="C81" s="60">
        <v>119.91</v>
      </c>
      <c r="D81" s="60">
        <v>96.31</v>
      </c>
      <c r="E81" s="60">
        <v>7.93</v>
      </c>
      <c r="F81" s="60">
        <v>5.85</v>
      </c>
      <c r="G81" s="60">
        <v>43.51</v>
      </c>
      <c r="H81" s="60">
        <v>18.29</v>
      </c>
      <c r="I81" s="60">
        <v>0.57999999999999996</v>
      </c>
      <c r="J81" s="60">
        <v>0.19</v>
      </c>
      <c r="K81" s="60">
        <v>114.8</v>
      </c>
      <c r="L81" s="60">
        <v>26.87</v>
      </c>
      <c r="M81" s="60">
        <v>28.13</v>
      </c>
      <c r="N81" s="60">
        <v>5</v>
      </c>
      <c r="O81" s="60">
        <v>0</v>
      </c>
      <c r="P81" s="60">
        <v>1.23</v>
      </c>
      <c r="Q81" s="60">
        <v>26.88</v>
      </c>
      <c r="R81" s="198"/>
      <c r="S81" s="198"/>
      <c r="T81" s="198"/>
      <c r="U81" s="198"/>
    </row>
    <row r="82" spans="1:26" s="12" customFormat="1" x14ac:dyDescent="0.25">
      <c r="A82" s="201" t="s">
        <v>1665</v>
      </c>
      <c r="B82" s="60">
        <v>37.67</v>
      </c>
      <c r="C82" s="60">
        <v>116.54</v>
      </c>
      <c r="D82" s="60">
        <v>94.53</v>
      </c>
      <c r="E82" s="60">
        <v>7.96</v>
      </c>
      <c r="F82" s="60">
        <v>4.78</v>
      </c>
      <c r="G82" s="60">
        <v>43.51</v>
      </c>
      <c r="H82" s="60">
        <v>18.29</v>
      </c>
      <c r="I82" s="60">
        <v>0.62</v>
      </c>
      <c r="J82" s="60">
        <v>7.0000000000000007E-2</v>
      </c>
      <c r="K82" s="60">
        <v>95.77</v>
      </c>
      <c r="L82" s="60">
        <v>25.84</v>
      </c>
      <c r="M82" s="60">
        <v>32.299999999999997</v>
      </c>
      <c r="N82" s="60">
        <v>4.7</v>
      </c>
      <c r="O82" s="60">
        <v>0</v>
      </c>
      <c r="P82" s="60">
        <v>1.35</v>
      </c>
      <c r="Q82" s="60">
        <v>25.66</v>
      </c>
      <c r="R82" s="198"/>
      <c r="S82" s="198"/>
      <c r="T82" s="198"/>
      <c r="U82" s="198"/>
    </row>
    <row r="83" spans="1:26" s="12" customFormat="1" x14ac:dyDescent="0.25">
      <c r="A83" s="201" t="s">
        <v>1666</v>
      </c>
      <c r="B83" s="60">
        <v>38.76</v>
      </c>
      <c r="C83" s="60">
        <v>116.62</v>
      </c>
      <c r="D83" s="60">
        <v>95.44</v>
      </c>
      <c r="E83" s="60">
        <v>7.54</v>
      </c>
      <c r="F83" s="60">
        <v>4.55</v>
      </c>
      <c r="G83" s="60">
        <v>86.98</v>
      </c>
      <c r="H83" s="60">
        <v>20.36</v>
      </c>
      <c r="I83" s="60">
        <v>0.75</v>
      </c>
      <c r="J83" s="60">
        <v>0.18</v>
      </c>
      <c r="K83" s="60">
        <v>244.19</v>
      </c>
      <c r="L83" s="60">
        <v>25.4</v>
      </c>
      <c r="M83" s="60">
        <v>32.229999999999997</v>
      </c>
      <c r="N83" s="60">
        <v>4</v>
      </c>
      <c r="O83" s="60">
        <v>0</v>
      </c>
      <c r="P83" s="60">
        <v>1.24</v>
      </c>
      <c r="Q83" s="60">
        <v>27.23</v>
      </c>
      <c r="R83" s="198"/>
      <c r="S83" s="198"/>
      <c r="T83" s="198"/>
      <c r="U83" s="198"/>
    </row>
    <row r="84" spans="1:26" s="12" customFormat="1" x14ac:dyDescent="0.25">
      <c r="A84" s="201" t="s">
        <v>1667</v>
      </c>
      <c r="B84" s="60">
        <v>49.45</v>
      </c>
      <c r="C84" s="60">
        <v>123.94</v>
      </c>
      <c r="D84" s="60">
        <v>108.06</v>
      </c>
      <c r="E84" s="60">
        <v>8.4</v>
      </c>
      <c r="F84" s="60">
        <v>4.54</v>
      </c>
      <c r="G84" s="60">
        <v>138.91999999999999</v>
      </c>
      <c r="H84" s="60">
        <v>22.84</v>
      </c>
      <c r="I84" s="60">
        <v>0.81</v>
      </c>
      <c r="J84" s="60">
        <v>0.08</v>
      </c>
      <c r="K84" s="60">
        <v>303.42</v>
      </c>
      <c r="L84" s="60">
        <v>24.97</v>
      </c>
      <c r="M84" s="60">
        <v>34.630000000000003</v>
      </c>
      <c r="N84" s="60">
        <v>4.4000000000000004</v>
      </c>
      <c r="O84" s="60">
        <v>0</v>
      </c>
      <c r="P84" s="60">
        <v>1.5</v>
      </c>
      <c r="Q84" s="60">
        <v>27.54</v>
      </c>
      <c r="R84" s="198"/>
      <c r="S84" s="198"/>
      <c r="T84" s="198"/>
      <c r="U84" s="198"/>
    </row>
    <row r="85" spans="1:26" s="12" customFormat="1" x14ac:dyDescent="0.25">
      <c r="A85" s="201" t="s">
        <v>1668</v>
      </c>
      <c r="B85" s="60">
        <v>59.32</v>
      </c>
      <c r="C85" s="60">
        <v>126.42</v>
      </c>
      <c r="D85" s="60">
        <v>117.34</v>
      </c>
      <c r="E85" s="60">
        <v>8.26</v>
      </c>
      <c r="F85" s="60">
        <v>4.6399999999999997</v>
      </c>
      <c r="G85" s="60">
        <v>138.91999999999999</v>
      </c>
      <c r="H85" s="60">
        <v>22.84</v>
      </c>
      <c r="I85" s="60">
        <v>0.74</v>
      </c>
      <c r="J85" s="60">
        <v>0.18</v>
      </c>
      <c r="K85" s="60">
        <v>339.64</v>
      </c>
      <c r="L85" s="60">
        <v>24.5</v>
      </c>
      <c r="M85" s="60">
        <v>36.979999999999997</v>
      </c>
      <c r="N85" s="60">
        <v>4</v>
      </c>
      <c r="O85" s="60">
        <v>0</v>
      </c>
      <c r="P85" s="60">
        <v>1.78</v>
      </c>
      <c r="Q85" s="60">
        <v>27.95</v>
      </c>
      <c r="R85" s="198"/>
      <c r="S85" s="198"/>
      <c r="T85" s="198"/>
      <c r="U85" s="198"/>
    </row>
    <row r="86" spans="1:26" s="12" customFormat="1" x14ac:dyDescent="0.25">
      <c r="A86" s="201" t="s">
        <v>1669</v>
      </c>
      <c r="B86" s="60">
        <v>53.86</v>
      </c>
      <c r="C86" s="60">
        <v>122.34</v>
      </c>
      <c r="D86" s="60">
        <v>110.71</v>
      </c>
      <c r="E86" s="60">
        <v>7.86</v>
      </c>
      <c r="F86" s="60">
        <v>4.6399999999999997</v>
      </c>
      <c r="G86" s="60">
        <v>138.91999999999999</v>
      </c>
      <c r="H86" s="60">
        <v>22.84</v>
      </c>
      <c r="I86" s="60">
        <v>0.9</v>
      </c>
      <c r="J86" s="60">
        <v>0.09</v>
      </c>
      <c r="K86" s="60">
        <v>11.34</v>
      </c>
      <c r="L86" s="60">
        <v>24.14</v>
      </c>
      <c r="M86" s="60">
        <v>38.92</v>
      </c>
      <c r="N86" s="60">
        <v>4.4000000000000004</v>
      </c>
      <c r="O86" s="60">
        <v>0</v>
      </c>
      <c r="P86" s="60">
        <v>1.83</v>
      </c>
      <c r="Q86" s="60">
        <v>29.26</v>
      </c>
      <c r="R86" s="198"/>
      <c r="S86" s="198"/>
      <c r="T86" s="198"/>
      <c r="U86" s="198"/>
    </row>
    <row r="87" spans="1:26" s="12" customFormat="1" x14ac:dyDescent="0.25">
      <c r="A87" s="201" t="s">
        <v>1670</v>
      </c>
      <c r="B87" s="60">
        <v>58.5</v>
      </c>
      <c r="C87" s="60">
        <v>123.89</v>
      </c>
      <c r="D87" s="60">
        <v>115.28</v>
      </c>
      <c r="E87" s="60">
        <v>8.44</v>
      </c>
      <c r="F87" s="60">
        <v>4.6399999999999997</v>
      </c>
      <c r="G87" s="60">
        <v>159.19</v>
      </c>
      <c r="H87" s="60">
        <v>31.13</v>
      </c>
      <c r="I87" s="60">
        <v>1.01</v>
      </c>
      <c r="J87" s="60">
        <v>7.0000000000000007E-2</v>
      </c>
      <c r="K87" s="60">
        <v>353.52</v>
      </c>
      <c r="L87" s="60">
        <v>23.88</v>
      </c>
      <c r="M87" s="60">
        <v>40.020000000000003</v>
      </c>
      <c r="N87" s="60">
        <v>4.2</v>
      </c>
      <c r="O87" s="60">
        <v>0</v>
      </c>
      <c r="P87" s="60">
        <v>1.93</v>
      </c>
      <c r="Q87" s="60">
        <v>30.51</v>
      </c>
      <c r="R87" s="198"/>
      <c r="S87" s="198"/>
      <c r="T87" s="198"/>
      <c r="U87" s="198"/>
    </row>
    <row r="88" spans="1:26" s="12" customFormat="1" x14ac:dyDescent="0.25">
      <c r="A88" s="201" t="s">
        <v>1671</v>
      </c>
      <c r="B88" s="60">
        <v>52.92</v>
      </c>
      <c r="C88" s="60">
        <v>117.16</v>
      </c>
      <c r="D88" s="60">
        <v>107.1</v>
      </c>
      <c r="E88" s="60">
        <v>5.67</v>
      </c>
      <c r="F88" s="60">
        <v>4.57</v>
      </c>
      <c r="G88" s="60">
        <v>183.4</v>
      </c>
      <c r="H88" s="60">
        <v>41.04</v>
      </c>
      <c r="I88" s="60">
        <v>0.98</v>
      </c>
      <c r="J88" s="60">
        <v>0.09</v>
      </c>
      <c r="K88" s="60">
        <v>299.49</v>
      </c>
      <c r="L88" s="60">
        <v>23.46</v>
      </c>
      <c r="M88" s="60">
        <v>41.32</v>
      </c>
      <c r="N88" s="60">
        <v>4.2</v>
      </c>
      <c r="O88" s="60">
        <v>0</v>
      </c>
      <c r="P88" s="60">
        <v>1.67</v>
      </c>
      <c r="Q88" s="60">
        <v>32.74</v>
      </c>
      <c r="R88" s="198"/>
      <c r="S88" s="198"/>
      <c r="T88" s="198"/>
      <c r="U88" s="198"/>
    </row>
    <row r="89" spans="1:26" s="12" customFormat="1" x14ac:dyDescent="0.25">
      <c r="A89" s="201" t="s">
        <v>1672</v>
      </c>
      <c r="B89" s="60">
        <v>57.05</v>
      </c>
      <c r="C89" s="60">
        <v>122.81</v>
      </c>
      <c r="D89" s="60">
        <v>113.53</v>
      </c>
      <c r="E89" s="60">
        <v>8.11</v>
      </c>
      <c r="F89" s="60">
        <v>4.57</v>
      </c>
      <c r="G89" s="60">
        <v>183.4</v>
      </c>
      <c r="H89" s="60">
        <v>41.04</v>
      </c>
      <c r="I89" s="60">
        <v>1.03</v>
      </c>
      <c r="J89" s="60">
        <v>0.14000000000000001</v>
      </c>
      <c r="K89" s="60">
        <v>305.94</v>
      </c>
      <c r="L89" s="60">
        <v>24.07</v>
      </c>
      <c r="M89" s="60">
        <v>33.31</v>
      </c>
      <c r="N89" s="60">
        <v>3.6</v>
      </c>
      <c r="O89" s="60">
        <v>0</v>
      </c>
      <c r="P89" s="60">
        <v>1.81</v>
      </c>
      <c r="Q89" s="60">
        <v>34.24</v>
      </c>
      <c r="R89" s="198"/>
      <c r="S89" s="198"/>
      <c r="T89" s="198"/>
      <c r="U89" s="198"/>
    </row>
    <row r="90" spans="1:26" s="12" customFormat="1" x14ac:dyDescent="0.25">
      <c r="A90" s="201" t="s">
        <v>1673</v>
      </c>
      <c r="B90" s="60">
        <v>58.31</v>
      </c>
      <c r="C90" s="60">
        <v>121.99</v>
      </c>
      <c r="D90" s="60">
        <v>114.08</v>
      </c>
      <c r="E90" s="60">
        <v>8.89</v>
      </c>
      <c r="F90" s="60">
        <v>4.5599999999999996</v>
      </c>
      <c r="G90" s="60">
        <v>183.4</v>
      </c>
      <c r="H90" s="60">
        <v>41.04</v>
      </c>
      <c r="I90" s="60">
        <v>0.99</v>
      </c>
      <c r="J90" s="60">
        <v>0.19</v>
      </c>
      <c r="K90" s="60">
        <v>350.46</v>
      </c>
      <c r="L90" s="60">
        <v>24.18</v>
      </c>
      <c r="M90" s="60">
        <v>32.22</v>
      </c>
      <c r="N90" s="60">
        <v>3.5</v>
      </c>
      <c r="O90" s="60">
        <v>0</v>
      </c>
      <c r="P90" s="60">
        <v>1.88</v>
      </c>
      <c r="Q90" s="60">
        <v>34.65</v>
      </c>
      <c r="R90" s="198"/>
      <c r="S90" s="198"/>
      <c r="T90" s="198"/>
      <c r="U90" s="198"/>
    </row>
    <row r="91" spans="1:26" s="12" customFormat="1" x14ac:dyDescent="0.25">
      <c r="A91" s="201" t="s">
        <v>1674</v>
      </c>
      <c r="B91" s="60">
        <v>58.79</v>
      </c>
      <c r="C91" s="60">
        <v>121.55</v>
      </c>
      <c r="D91" s="60">
        <v>114.22</v>
      </c>
      <c r="E91" s="60">
        <v>8.5299999999999994</v>
      </c>
      <c r="F91" s="60">
        <v>4.53</v>
      </c>
      <c r="G91" s="60">
        <v>162.69999999999999</v>
      </c>
      <c r="H91" s="60">
        <v>41.86</v>
      </c>
      <c r="I91" s="60">
        <v>1.01</v>
      </c>
      <c r="J91" s="60">
        <v>0.47</v>
      </c>
      <c r="K91" s="60">
        <v>353.74</v>
      </c>
      <c r="L91" s="60">
        <v>24.23</v>
      </c>
      <c r="M91" s="60">
        <v>32.479999999999997</v>
      </c>
      <c r="N91" s="60">
        <v>2.9</v>
      </c>
      <c r="O91" s="60">
        <v>0</v>
      </c>
      <c r="P91" s="60">
        <v>1.88</v>
      </c>
      <c r="Q91" s="60">
        <v>34.64</v>
      </c>
      <c r="R91" s="198"/>
      <c r="S91" s="198"/>
      <c r="T91" s="198"/>
      <c r="U91" s="198"/>
    </row>
    <row r="92" spans="1:26" s="12" customFormat="1" x14ac:dyDescent="0.25">
      <c r="A92" s="201" t="s">
        <v>1675</v>
      </c>
      <c r="B92" s="60">
        <v>57.77</v>
      </c>
      <c r="C92" s="60">
        <v>121.57</v>
      </c>
      <c r="D92" s="60">
        <v>113.42</v>
      </c>
      <c r="E92" s="60">
        <v>8.39</v>
      </c>
      <c r="F92" s="60">
        <v>4.53</v>
      </c>
      <c r="G92" s="60">
        <v>137.94999999999999</v>
      </c>
      <c r="H92" s="60">
        <v>42.85</v>
      </c>
      <c r="I92" s="60">
        <v>1.04</v>
      </c>
      <c r="J92" s="60">
        <v>0.43</v>
      </c>
      <c r="K92" s="60">
        <v>349.13</v>
      </c>
      <c r="L92" s="60">
        <v>23.88</v>
      </c>
      <c r="M92" s="60">
        <v>34.32</v>
      </c>
      <c r="N92" s="60">
        <v>3.4</v>
      </c>
      <c r="O92" s="60">
        <v>0</v>
      </c>
      <c r="P92" s="60">
        <v>1.83</v>
      </c>
      <c r="Q92" s="60">
        <v>34.299999999999997</v>
      </c>
      <c r="R92" s="198"/>
      <c r="S92" s="198"/>
      <c r="T92" s="198"/>
      <c r="U92" s="198"/>
    </row>
    <row r="93" spans="1:26" s="12" customFormat="1" x14ac:dyDescent="0.25">
      <c r="A93" s="201" t="s">
        <v>1676</v>
      </c>
      <c r="B93" s="60">
        <v>55.31</v>
      </c>
      <c r="C93" s="60">
        <v>120.48</v>
      </c>
      <c r="D93" s="60">
        <v>110.84</v>
      </c>
      <c r="E93" s="60">
        <v>8.3800000000000008</v>
      </c>
      <c r="F93" s="60">
        <v>4.5599999999999996</v>
      </c>
      <c r="G93" s="60">
        <v>137.94999999999999</v>
      </c>
      <c r="H93" s="60">
        <v>42.85</v>
      </c>
      <c r="I93" s="60">
        <v>1.03</v>
      </c>
      <c r="J93" s="60">
        <v>0.13</v>
      </c>
      <c r="K93" s="60">
        <v>340.64</v>
      </c>
      <c r="L93" s="60">
        <v>23.73</v>
      </c>
      <c r="M93" s="60">
        <v>33.89</v>
      </c>
      <c r="N93" s="60">
        <v>4.5</v>
      </c>
      <c r="O93" s="60">
        <v>0</v>
      </c>
      <c r="P93" s="60">
        <v>1.81</v>
      </c>
      <c r="Q93" s="60">
        <v>33.86</v>
      </c>
      <c r="R93" s="198"/>
      <c r="S93" s="198"/>
      <c r="T93" s="198"/>
      <c r="U93" s="198"/>
    </row>
    <row r="94" spans="1:26" s="12" customFormat="1" x14ac:dyDescent="0.25">
      <c r="A94" s="201" t="s">
        <v>1677</v>
      </c>
      <c r="B94" s="60">
        <v>53.15</v>
      </c>
      <c r="C94" s="60">
        <v>119.2</v>
      </c>
      <c r="D94" s="60">
        <v>108.41</v>
      </c>
      <c r="E94" s="60">
        <v>8.34</v>
      </c>
      <c r="F94" s="60">
        <v>4.59</v>
      </c>
      <c r="G94" s="60">
        <v>137.94999999999999</v>
      </c>
      <c r="H94" s="60">
        <v>42.85</v>
      </c>
      <c r="I94" s="60">
        <v>0.99</v>
      </c>
      <c r="J94" s="60">
        <v>0.14000000000000001</v>
      </c>
      <c r="K94" s="60">
        <v>329.65</v>
      </c>
      <c r="L94" s="60">
        <v>23.48</v>
      </c>
      <c r="M94" s="60">
        <v>33.71</v>
      </c>
      <c r="N94" s="60">
        <v>4.3</v>
      </c>
      <c r="O94" s="60">
        <v>0</v>
      </c>
      <c r="P94" s="60">
        <v>1.78</v>
      </c>
      <c r="Q94" s="60">
        <v>33.380000000000003</v>
      </c>
      <c r="R94" s="198"/>
      <c r="S94" s="198"/>
      <c r="T94" s="198"/>
      <c r="U94" s="198"/>
    </row>
    <row r="95" spans="1:26" s="12" customFormat="1" x14ac:dyDescent="0.25">
      <c r="A95" s="201" t="s">
        <v>1678</v>
      </c>
      <c r="B95" s="60">
        <v>49.28</v>
      </c>
      <c r="C95" s="60">
        <v>114.46</v>
      </c>
      <c r="D95" s="60">
        <v>102.69</v>
      </c>
      <c r="E95" s="60">
        <v>8.4600000000000009</v>
      </c>
      <c r="F95" s="60">
        <v>4.93</v>
      </c>
      <c r="G95" s="60">
        <v>106.6</v>
      </c>
      <c r="H95" s="60">
        <v>40.71</v>
      </c>
      <c r="I95" s="60">
        <v>0.96</v>
      </c>
      <c r="J95" s="60">
        <v>0.2</v>
      </c>
      <c r="K95" s="60">
        <v>346.59</v>
      </c>
      <c r="L95" s="60">
        <v>23.1</v>
      </c>
      <c r="M95" s="60">
        <v>35.78</v>
      </c>
      <c r="N95" s="60">
        <v>4.0999999999999996</v>
      </c>
      <c r="O95" s="60">
        <v>0</v>
      </c>
      <c r="P95" s="60">
        <v>1.76</v>
      </c>
      <c r="Q95" s="60">
        <v>32.71</v>
      </c>
      <c r="R95" s="198"/>
      <c r="S95" s="198"/>
      <c r="T95" s="198"/>
      <c r="U95" s="198"/>
    </row>
    <row r="96" spans="1:26" s="12" customFormat="1" x14ac:dyDescent="0.25">
      <c r="A96" s="201" t="s">
        <v>1679</v>
      </c>
      <c r="B96" s="60">
        <v>50.1</v>
      </c>
      <c r="C96" s="60">
        <v>115.7</v>
      </c>
      <c r="D96" s="60">
        <v>104.03</v>
      </c>
      <c r="E96" s="60">
        <v>8.7200000000000006</v>
      </c>
      <c r="F96" s="60">
        <v>4.83</v>
      </c>
      <c r="G96" s="60">
        <v>69.13</v>
      </c>
      <c r="H96" s="60">
        <v>38.15</v>
      </c>
      <c r="I96" s="60">
        <v>0.93</v>
      </c>
      <c r="J96" s="60">
        <v>0.17</v>
      </c>
      <c r="K96" s="60">
        <v>351.05</v>
      </c>
      <c r="L96" s="60">
        <v>22.68</v>
      </c>
      <c r="M96" s="60">
        <v>36.11</v>
      </c>
      <c r="N96" s="60">
        <v>4.3</v>
      </c>
      <c r="O96" s="60">
        <v>0</v>
      </c>
      <c r="P96" s="60">
        <v>1.72</v>
      </c>
      <c r="Q96" s="60">
        <v>32.369999999999997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1680</v>
      </c>
      <c r="B97" s="60">
        <v>49.63</v>
      </c>
      <c r="C97" s="60">
        <v>116.21</v>
      </c>
      <c r="D97" s="60">
        <v>103.93</v>
      </c>
      <c r="E97" s="60">
        <v>9.0399999999999991</v>
      </c>
      <c r="F97" s="60">
        <v>4.96</v>
      </c>
      <c r="G97" s="60">
        <v>69.13</v>
      </c>
      <c r="H97" s="60">
        <v>38.15</v>
      </c>
      <c r="I97" s="60">
        <v>0.92</v>
      </c>
      <c r="J97" s="60">
        <v>0.3</v>
      </c>
      <c r="K97" s="60">
        <v>3</v>
      </c>
      <c r="L97" s="60">
        <v>22.42</v>
      </c>
      <c r="M97" s="60">
        <v>36.17</v>
      </c>
      <c r="N97" s="60">
        <v>3.9</v>
      </c>
      <c r="O97" s="60">
        <v>0</v>
      </c>
      <c r="P97" s="60">
        <v>1.72</v>
      </c>
      <c r="Q97" s="60">
        <v>32.47</v>
      </c>
      <c r="R97" s="198"/>
      <c r="S97" s="198"/>
      <c r="T97" s="198"/>
      <c r="U97" s="198"/>
    </row>
    <row r="98" spans="1:33" s="12" customFormat="1" x14ac:dyDescent="0.25">
      <c r="A98" s="201" t="s">
        <v>1681</v>
      </c>
      <c r="B98" s="60">
        <v>49.12</v>
      </c>
      <c r="C98" s="60">
        <v>114.8</v>
      </c>
      <c r="D98" s="60">
        <v>102.75</v>
      </c>
      <c r="E98" s="60">
        <v>9.2899999999999991</v>
      </c>
      <c r="F98" s="60">
        <v>4.84</v>
      </c>
      <c r="G98" s="60">
        <v>69.13</v>
      </c>
      <c r="H98" s="60">
        <v>38.15</v>
      </c>
      <c r="I98" s="60">
        <v>0.92</v>
      </c>
      <c r="J98" s="60">
        <v>0.11</v>
      </c>
      <c r="K98" s="60">
        <v>11.67</v>
      </c>
      <c r="L98" s="60">
        <v>22.08</v>
      </c>
      <c r="M98" s="60">
        <v>37.14</v>
      </c>
      <c r="N98" s="60">
        <v>4.5</v>
      </c>
      <c r="O98" s="60">
        <v>0</v>
      </c>
      <c r="P98" s="60">
        <v>1.72</v>
      </c>
      <c r="Q98" s="60">
        <v>32.74</v>
      </c>
      <c r="R98" s="198"/>
      <c r="S98" s="198"/>
      <c r="T98" s="198"/>
      <c r="U98" s="198"/>
    </row>
    <row r="99" spans="1:33" s="12" customFormat="1" x14ac:dyDescent="0.25">
      <c r="A99" s="201" t="s">
        <v>1682</v>
      </c>
      <c r="B99" s="60">
        <v>48.76</v>
      </c>
      <c r="C99" s="60">
        <v>113.5</v>
      </c>
      <c r="D99" s="60">
        <v>101.74</v>
      </c>
      <c r="E99" s="60">
        <v>8.81</v>
      </c>
      <c r="F99" s="60">
        <v>4.6900000000000004</v>
      </c>
      <c r="G99" s="60">
        <v>71.72</v>
      </c>
      <c r="H99" s="60">
        <v>36.35</v>
      </c>
      <c r="I99" s="60">
        <v>0.92</v>
      </c>
      <c r="J99" s="60">
        <v>0.97</v>
      </c>
      <c r="K99" s="60">
        <v>5.71</v>
      </c>
      <c r="L99" s="60">
        <v>21.98</v>
      </c>
      <c r="M99" s="60">
        <v>37.14</v>
      </c>
      <c r="N99" s="60">
        <v>2.2999999999999998</v>
      </c>
      <c r="O99" s="60">
        <v>0</v>
      </c>
      <c r="P99" s="60">
        <v>1.72</v>
      </c>
      <c r="Q99" s="60">
        <v>32.71</v>
      </c>
      <c r="R99" s="198"/>
      <c r="S99" s="198"/>
      <c r="T99" s="198"/>
      <c r="U99" s="198"/>
    </row>
    <row r="100" spans="1:33" s="12" customFormat="1" x14ac:dyDescent="0.25">
      <c r="A100" s="201" t="s">
        <v>1683</v>
      </c>
      <c r="B100" s="60">
        <v>47.79</v>
      </c>
      <c r="C100" s="60">
        <v>113.16</v>
      </c>
      <c r="D100" s="60">
        <v>100.78</v>
      </c>
      <c r="E100" s="60">
        <v>8.0500000000000007</v>
      </c>
      <c r="F100" s="60">
        <v>4.58</v>
      </c>
      <c r="G100" s="60">
        <v>74.819999999999993</v>
      </c>
      <c r="H100" s="60">
        <v>34.19</v>
      </c>
      <c r="I100" s="60">
        <v>0.85</v>
      </c>
      <c r="J100" s="60">
        <v>1.1100000000000001</v>
      </c>
      <c r="K100" s="60">
        <v>1.51</v>
      </c>
      <c r="L100" s="60">
        <v>22.11</v>
      </c>
      <c r="M100" s="60">
        <v>35.01</v>
      </c>
      <c r="N100" s="60">
        <v>2.8</v>
      </c>
      <c r="O100" s="60">
        <v>0</v>
      </c>
      <c r="P100" s="60">
        <v>1.66</v>
      </c>
      <c r="Q100" s="60">
        <v>32.520000000000003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1684</v>
      </c>
      <c r="B101" s="60">
        <v>44.66</v>
      </c>
      <c r="C101" s="60">
        <v>110.05</v>
      </c>
      <c r="D101" s="60">
        <v>96.55</v>
      </c>
      <c r="E101" s="60">
        <v>8.36</v>
      </c>
      <c r="F101" s="60">
        <v>4.6399999999999997</v>
      </c>
      <c r="G101" s="60">
        <v>74.819999999999993</v>
      </c>
      <c r="H101" s="60">
        <v>34.19</v>
      </c>
      <c r="I101" s="60">
        <v>0.85</v>
      </c>
      <c r="J101" s="60">
        <v>1.44</v>
      </c>
      <c r="K101" s="60">
        <v>9.35</v>
      </c>
      <c r="L101" s="60">
        <v>22.3</v>
      </c>
      <c r="M101" s="60">
        <v>33.86</v>
      </c>
      <c r="N101" s="60">
        <v>3.5</v>
      </c>
      <c r="O101" s="60">
        <v>0</v>
      </c>
      <c r="P101" s="60">
        <v>1.58</v>
      </c>
      <c r="Q101" s="60">
        <v>32.15</v>
      </c>
      <c r="R101" s="198"/>
      <c r="S101" s="198"/>
      <c r="T101" s="198"/>
      <c r="U101" s="198"/>
    </row>
    <row r="102" spans="1:33" s="12" customFormat="1" x14ac:dyDescent="0.25">
      <c r="A102" s="201" t="s">
        <v>1685</v>
      </c>
      <c r="B102" s="60">
        <v>41</v>
      </c>
      <c r="C102" s="60">
        <v>106.91</v>
      </c>
      <c r="D102" s="60">
        <v>91.88</v>
      </c>
      <c r="E102" s="60">
        <v>8.07</v>
      </c>
      <c r="F102" s="60">
        <v>4.63</v>
      </c>
      <c r="G102" s="60">
        <v>74.819999999999993</v>
      </c>
      <c r="H102" s="60">
        <v>34.19</v>
      </c>
      <c r="I102" s="60">
        <v>0.84</v>
      </c>
      <c r="J102" s="60">
        <v>1.08</v>
      </c>
      <c r="K102" s="60">
        <v>14.36</v>
      </c>
      <c r="L102" s="60">
        <v>22.11</v>
      </c>
      <c r="M102" s="60">
        <v>35.159999999999997</v>
      </c>
      <c r="N102" s="60">
        <v>4.5</v>
      </c>
      <c r="O102" s="60">
        <v>0</v>
      </c>
      <c r="P102" s="60">
        <v>1.5</v>
      </c>
      <c r="Q102" s="60">
        <v>32.19</v>
      </c>
      <c r="R102" s="198"/>
      <c r="S102" s="198"/>
      <c r="T102" s="198"/>
      <c r="U102" s="198"/>
    </row>
    <row r="103" spans="1:33" s="12" customFormat="1" x14ac:dyDescent="0.25">
      <c r="A103" s="201" t="s">
        <v>1686</v>
      </c>
      <c r="B103" s="60">
        <v>37.69</v>
      </c>
      <c r="C103" s="60">
        <v>104.45</v>
      </c>
      <c r="D103" s="60">
        <v>87.87</v>
      </c>
      <c r="E103" s="60">
        <v>8.25</v>
      </c>
      <c r="F103" s="60">
        <v>4.54</v>
      </c>
      <c r="G103" s="60">
        <v>60.25</v>
      </c>
      <c r="H103" s="60">
        <v>30.13</v>
      </c>
      <c r="I103" s="60">
        <v>0.81</v>
      </c>
      <c r="J103" s="60">
        <v>0.95</v>
      </c>
      <c r="K103" s="60">
        <v>15.44</v>
      </c>
      <c r="L103" s="60">
        <v>21.75</v>
      </c>
      <c r="M103" s="60">
        <v>37.14</v>
      </c>
      <c r="N103" s="60">
        <v>4.3</v>
      </c>
      <c r="O103" s="60">
        <v>0</v>
      </c>
      <c r="P103" s="60">
        <v>1.43</v>
      </c>
      <c r="Q103" s="60">
        <v>32.11</v>
      </c>
      <c r="R103" s="198"/>
      <c r="S103" s="198"/>
      <c r="T103" s="198"/>
      <c r="U103" s="198"/>
    </row>
    <row r="104" spans="1:33" s="12" customFormat="1" x14ac:dyDescent="0.25">
      <c r="A104" s="201" t="s">
        <v>1687</v>
      </c>
      <c r="B104" s="60">
        <v>34.85</v>
      </c>
      <c r="C104" s="60">
        <v>102.31</v>
      </c>
      <c r="D104" s="60">
        <v>84.41</v>
      </c>
      <c r="E104" s="60">
        <v>5.05</v>
      </c>
      <c r="F104" s="60">
        <v>4.5</v>
      </c>
      <c r="G104" s="60">
        <v>42.84</v>
      </c>
      <c r="H104" s="60">
        <v>25.28</v>
      </c>
      <c r="I104" s="60">
        <v>0.79</v>
      </c>
      <c r="J104" s="60">
        <v>0.78</v>
      </c>
      <c r="K104" s="60">
        <v>358.97</v>
      </c>
      <c r="L104" s="60">
        <v>21.16</v>
      </c>
      <c r="M104" s="60">
        <v>38.67</v>
      </c>
      <c r="N104" s="60">
        <v>4.0999999999999996</v>
      </c>
      <c r="O104" s="60">
        <v>0</v>
      </c>
      <c r="P104" s="60">
        <v>1.39</v>
      </c>
      <c r="Q104" s="60">
        <v>31.5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2.37</v>
      </c>
      <c r="C106" s="67">
        <f>MIN(C9:C104)</f>
        <v>74.2</v>
      </c>
      <c r="D106" s="67">
        <f t="shared" ref="D106:Q106" si="0">MIN(D9:D104)</f>
        <v>44.87</v>
      </c>
      <c r="E106" s="67">
        <f t="shared" si="0"/>
        <v>4.6500000000000004</v>
      </c>
      <c r="F106" s="67">
        <f t="shared" si="0"/>
        <v>4.5</v>
      </c>
      <c r="G106" s="67">
        <f t="shared" si="0"/>
        <v>37.43</v>
      </c>
      <c r="H106" s="67">
        <f t="shared" si="0"/>
        <v>18.079999999999998</v>
      </c>
      <c r="I106" s="67">
        <f t="shared" si="0"/>
        <v>0.56999999999999995</v>
      </c>
      <c r="J106" s="67">
        <f t="shared" si="0"/>
        <v>0.01</v>
      </c>
      <c r="K106" s="67">
        <f t="shared" si="0"/>
        <v>0.1</v>
      </c>
      <c r="L106" s="67">
        <f t="shared" si="0"/>
        <v>17.27</v>
      </c>
      <c r="M106" s="67">
        <f t="shared" si="0"/>
        <v>11.43</v>
      </c>
      <c r="N106" s="67">
        <f t="shared" si="0"/>
        <v>2.2999999999999998</v>
      </c>
      <c r="O106" s="67">
        <f t="shared" si="0"/>
        <v>0</v>
      </c>
      <c r="P106" s="67">
        <f t="shared" si="0"/>
        <v>0.75</v>
      </c>
      <c r="Q106" s="67">
        <f t="shared" si="0"/>
        <v>24.71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61.81</v>
      </c>
      <c r="C107" s="66">
        <f t="shared" ref="C107:Q107" si="1">MAX(C9:C104)</f>
        <v>126.42</v>
      </c>
      <c r="D107" s="66">
        <f t="shared" si="1"/>
        <v>118.99</v>
      </c>
      <c r="E107" s="66">
        <f t="shared" si="1"/>
        <v>16.850000000000001</v>
      </c>
      <c r="F107" s="66">
        <f t="shared" si="1"/>
        <v>12.93</v>
      </c>
      <c r="G107" s="66">
        <f t="shared" si="1"/>
        <v>183.4</v>
      </c>
      <c r="H107" s="66">
        <f t="shared" si="1"/>
        <v>50.5</v>
      </c>
      <c r="I107" s="66">
        <f t="shared" si="1"/>
        <v>1.04</v>
      </c>
      <c r="J107" s="66">
        <f t="shared" si="1"/>
        <v>1.44</v>
      </c>
      <c r="K107" s="66">
        <f t="shared" si="1"/>
        <v>358.97</v>
      </c>
      <c r="L107" s="66">
        <f t="shared" si="1"/>
        <v>36.29</v>
      </c>
      <c r="M107" s="66">
        <f t="shared" si="1"/>
        <v>47.82</v>
      </c>
      <c r="N107" s="66">
        <f t="shared" si="1"/>
        <v>590.79999999999995</v>
      </c>
      <c r="O107" s="66">
        <f t="shared" si="1"/>
        <v>0</v>
      </c>
      <c r="P107" s="66">
        <f t="shared" si="1"/>
        <v>1.94</v>
      </c>
      <c r="Q107" s="66">
        <f t="shared" si="1"/>
        <v>34.65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24.580729166666654</v>
      </c>
      <c r="C108" s="67">
        <f t="shared" ref="C108:Q108" si="2">AVERAGE(C9:C104)</f>
        <v>99.679062499999972</v>
      </c>
      <c r="D108" s="67">
        <f t="shared" si="2"/>
        <v>74.722395833333337</v>
      </c>
      <c r="E108" s="67">
        <f t="shared" si="2"/>
        <v>8.2980208333333341</v>
      </c>
      <c r="F108" s="67">
        <f t="shared" si="2"/>
        <v>5.7411458333333352</v>
      </c>
      <c r="G108" s="67">
        <f t="shared" si="2"/>
        <v>83.690937500000004</v>
      </c>
      <c r="H108" s="67">
        <f t="shared" si="2"/>
        <v>34.868333333333347</v>
      </c>
      <c r="I108" s="67">
        <f t="shared" si="2"/>
        <v>0.72687500000000005</v>
      </c>
      <c r="J108" s="67">
        <f t="shared" si="2"/>
        <v>0.4713541666666668</v>
      </c>
      <c r="K108" s="67">
        <f t="shared" si="2"/>
        <v>154.71343749999997</v>
      </c>
      <c r="L108" s="67">
        <f t="shared" si="2"/>
        <v>25.157708333333336</v>
      </c>
      <c r="M108" s="67">
        <f t="shared" si="2"/>
        <v>31.117187500000014</v>
      </c>
      <c r="N108" s="67">
        <f t="shared" si="2"/>
        <v>159.50833333333333</v>
      </c>
      <c r="O108" s="67">
        <f t="shared" si="2"/>
        <v>0</v>
      </c>
      <c r="P108" s="67">
        <f t="shared" si="2"/>
        <v>1.2647916666666668</v>
      </c>
      <c r="Q108" s="67">
        <f t="shared" si="2"/>
        <v>28.30927083333334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19.727514381524248</v>
      </c>
      <c r="C109" s="67">
        <f t="shared" ref="C109:Q109" si="3">STDEV(C9:C104)</f>
        <v>14.68069803862606</v>
      </c>
      <c r="D109" s="67">
        <f t="shared" si="3"/>
        <v>23.188398267227516</v>
      </c>
      <c r="E109" s="67">
        <f t="shared" si="3"/>
        <v>1.9736376352691674</v>
      </c>
      <c r="F109" s="67">
        <f t="shared" si="3"/>
        <v>1.9490752840050247</v>
      </c>
      <c r="G109" s="67">
        <f t="shared" si="3"/>
        <v>36.618864798240899</v>
      </c>
      <c r="H109" s="67">
        <f t="shared" si="3"/>
        <v>10.028389036463736</v>
      </c>
      <c r="I109" s="67">
        <f t="shared" si="3"/>
        <v>0.14540189313181462</v>
      </c>
      <c r="J109" s="67">
        <f t="shared" si="3"/>
        <v>0.34531334295761174</v>
      </c>
      <c r="K109" s="67">
        <f t="shared" si="3"/>
        <v>150.7167762661451</v>
      </c>
      <c r="L109" s="67">
        <f t="shared" si="3"/>
        <v>6.4569829159750141</v>
      </c>
      <c r="M109" s="67">
        <f t="shared" si="3"/>
        <v>11.865104670784978</v>
      </c>
      <c r="N109" s="67">
        <f t="shared" si="3"/>
        <v>212.35988206055293</v>
      </c>
      <c r="O109" s="67">
        <f t="shared" si="3"/>
        <v>0</v>
      </c>
      <c r="P109" s="67">
        <f t="shared" si="3"/>
        <v>0.34806829083919727</v>
      </c>
      <c r="Q109" s="67">
        <f t="shared" si="3"/>
        <v>2.6392787072035886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215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6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10" sqref="H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16-02-2023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340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1688</v>
      </c>
      <c r="B9" s="60">
        <v>32.54</v>
      </c>
      <c r="C9" s="60">
        <v>100.48</v>
      </c>
      <c r="D9" s="60">
        <v>81.55</v>
      </c>
      <c r="E9" s="60">
        <v>8.77</v>
      </c>
      <c r="F9" s="60">
        <v>4.5199999999999996</v>
      </c>
      <c r="G9" s="60">
        <v>42.84</v>
      </c>
      <c r="H9" s="60">
        <v>25.28</v>
      </c>
      <c r="I9" s="60">
        <v>0.76</v>
      </c>
      <c r="J9" s="60">
        <v>0.44</v>
      </c>
      <c r="K9" s="60">
        <v>7.13</v>
      </c>
      <c r="L9" s="60">
        <v>20.78</v>
      </c>
      <c r="M9" s="60">
        <v>39.94</v>
      </c>
      <c r="N9" s="60">
        <v>4.5</v>
      </c>
      <c r="O9" s="60">
        <v>0</v>
      </c>
      <c r="P9" s="60">
        <v>1.37</v>
      </c>
      <c r="Q9" s="60">
        <v>31.1</v>
      </c>
      <c r="R9" s="198"/>
      <c r="S9" s="198"/>
      <c r="T9" s="198"/>
      <c r="U9" s="198"/>
    </row>
    <row r="10" spans="1:21" s="12" customFormat="1" x14ac:dyDescent="0.25">
      <c r="A10" s="201" t="s">
        <v>1689</v>
      </c>
      <c r="B10" s="60">
        <v>30.17</v>
      </c>
      <c r="C10" s="60">
        <v>98.8</v>
      </c>
      <c r="D10" s="60">
        <v>78.72</v>
      </c>
      <c r="E10" s="60">
        <v>9.1999999999999993</v>
      </c>
      <c r="F10" s="60">
        <v>4.5</v>
      </c>
      <c r="G10" s="60">
        <v>42.84</v>
      </c>
      <c r="H10" s="60">
        <v>25.28</v>
      </c>
      <c r="I10" s="60">
        <v>0.74</v>
      </c>
      <c r="J10" s="60">
        <v>0.6</v>
      </c>
      <c r="K10" s="60">
        <v>349.29</v>
      </c>
      <c r="L10" s="60">
        <v>20.350000000000001</v>
      </c>
      <c r="M10" s="60">
        <v>42.09</v>
      </c>
      <c r="N10" s="60">
        <v>3.7</v>
      </c>
      <c r="O10" s="60">
        <v>0</v>
      </c>
      <c r="P10" s="60">
        <v>1.38</v>
      </c>
      <c r="Q10" s="60">
        <v>30.72</v>
      </c>
      <c r="R10" s="198"/>
      <c r="S10" s="198"/>
      <c r="T10" s="198"/>
      <c r="U10" s="198"/>
    </row>
    <row r="11" spans="1:21" s="12" customFormat="1" x14ac:dyDescent="0.25">
      <c r="A11" s="201" t="s">
        <v>1690</v>
      </c>
      <c r="B11" s="60">
        <v>28.02</v>
      </c>
      <c r="C11" s="60">
        <v>97.31</v>
      </c>
      <c r="D11" s="60">
        <v>76.17</v>
      </c>
      <c r="E11" s="60">
        <v>9.89</v>
      </c>
      <c r="F11" s="60">
        <v>4.5199999999999996</v>
      </c>
      <c r="G11" s="60">
        <v>57.67</v>
      </c>
      <c r="H11" s="60">
        <v>28.51</v>
      </c>
      <c r="I11" s="60">
        <v>0.72</v>
      </c>
      <c r="J11" s="60">
        <v>0.68</v>
      </c>
      <c r="K11" s="60">
        <v>350.33</v>
      </c>
      <c r="L11" s="60">
        <v>20.16</v>
      </c>
      <c r="M11" s="60">
        <v>42.81</v>
      </c>
      <c r="N11" s="60">
        <v>3.6</v>
      </c>
      <c r="O11" s="60">
        <v>0</v>
      </c>
      <c r="P11" s="60">
        <v>1.37</v>
      </c>
      <c r="Q11" s="60">
        <v>30.26</v>
      </c>
      <c r="R11" s="198"/>
      <c r="S11" s="198"/>
      <c r="T11" s="198"/>
      <c r="U11" s="198"/>
    </row>
    <row r="12" spans="1:21" s="12" customFormat="1" x14ac:dyDescent="0.25">
      <c r="A12" s="201" t="s">
        <v>1691</v>
      </c>
      <c r="B12" s="60">
        <v>26.08</v>
      </c>
      <c r="C12" s="60">
        <v>96.27</v>
      </c>
      <c r="D12" s="60">
        <v>74.040000000000006</v>
      </c>
      <c r="E12" s="60">
        <v>10.220000000000001</v>
      </c>
      <c r="F12" s="60">
        <v>4.54</v>
      </c>
      <c r="G12" s="60">
        <v>75.39</v>
      </c>
      <c r="H12" s="60">
        <v>32.380000000000003</v>
      </c>
      <c r="I12" s="60">
        <v>0.75</v>
      </c>
      <c r="J12" s="60">
        <v>0.82</v>
      </c>
      <c r="K12" s="60">
        <v>352.31</v>
      </c>
      <c r="L12" s="60">
        <v>20.149999999999999</v>
      </c>
      <c r="M12" s="60">
        <v>43.36</v>
      </c>
      <c r="N12" s="60">
        <v>3.5</v>
      </c>
      <c r="O12" s="60">
        <v>0</v>
      </c>
      <c r="P12" s="60">
        <v>1.35</v>
      </c>
      <c r="Q12" s="60">
        <v>29.86</v>
      </c>
      <c r="R12" s="198"/>
      <c r="S12" s="198"/>
      <c r="T12" s="198"/>
      <c r="U12" s="198"/>
    </row>
    <row r="13" spans="1:21" s="12" customFormat="1" x14ac:dyDescent="0.25">
      <c r="A13" s="201" t="s">
        <v>1692</v>
      </c>
      <c r="B13" s="60">
        <v>24.42</v>
      </c>
      <c r="C13" s="60">
        <v>95.06</v>
      </c>
      <c r="D13" s="60">
        <v>72.05</v>
      </c>
      <c r="E13" s="60">
        <v>9.5500000000000007</v>
      </c>
      <c r="F13" s="60">
        <v>4.5</v>
      </c>
      <c r="G13" s="60">
        <v>75.39</v>
      </c>
      <c r="H13" s="60">
        <v>32.380000000000003</v>
      </c>
      <c r="I13" s="60">
        <v>0.74</v>
      </c>
      <c r="J13" s="60">
        <v>0.85</v>
      </c>
      <c r="K13" s="60">
        <v>2.0099999999999998</v>
      </c>
      <c r="L13" s="60">
        <v>20.190000000000001</v>
      </c>
      <c r="M13" s="60">
        <v>43.35</v>
      </c>
      <c r="N13" s="60">
        <v>3.8</v>
      </c>
      <c r="O13" s="60">
        <v>0</v>
      </c>
      <c r="P13" s="60">
        <v>1.21</v>
      </c>
      <c r="Q13" s="60">
        <v>28.97</v>
      </c>
      <c r="R13" s="198"/>
      <c r="S13" s="198"/>
      <c r="T13" s="198"/>
      <c r="U13" s="198"/>
    </row>
    <row r="14" spans="1:21" s="12" customFormat="1" x14ac:dyDescent="0.25">
      <c r="A14" s="201" t="s">
        <v>1693</v>
      </c>
      <c r="B14" s="60">
        <v>23.32</v>
      </c>
      <c r="C14" s="60">
        <v>94.06</v>
      </c>
      <c r="D14" s="60">
        <v>70.61</v>
      </c>
      <c r="E14" s="60">
        <v>8.58</v>
      </c>
      <c r="F14" s="60">
        <v>4.58</v>
      </c>
      <c r="G14" s="60">
        <v>75.39</v>
      </c>
      <c r="H14" s="60">
        <v>32.380000000000003</v>
      </c>
      <c r="I14" s="60">
        <v>0.68</v>
      </c>
      <c r="J14" s="60">
        <v>0.7</v>
      </c>
      <c r="K14" s="60">
        <v>5.43</v>
      </c>
      <c r="L14" s="60">
        <v>20.079999999999998</v>
      </c>
      <c r="M14" s="60">
        <v>44.19</v>
      </c>
      <c r="N14" s="60">
        <v>4.0999999999999996</v>
      </c>
      <c r="O14" s="60">
        <v>0</v>
      </c>
      <c r="P14" s="60">
        <v>1.26</v>
      </c>
      <c r="Q14" s="60">
        <v>28.51</v>
      </c>
      <c r="R14" s="198"/>
      <c r="S14" s="198"/>
      <c r="T14" s="198"/>
      <c r="U14" s="198"/>
    </row>
    <row r="15" spans="1:21" s="12" customFormat="1" x14ac:dyDescent="0.25">
      <c r="A15" s="201" t="s">
        <v>1694</v>
      </c>
      <c r="B15" s="60">
        <v>21.81</v>
      </c>
      <c r="C15" s="60">
        <v>92.16</v>
      </c>
      <c r="D15" s="60">
        <v>68.36</v>
      </c>
      <c r="E15" s="60">
        <v>8.73</v>
      </c>
      <c r="F15" s="60">
        <v>4.59</v>
      </c>
      <c r="G15" s="60">
        <v>81.209999999999994</v>
      </c>
      <c r="H15" s="60">
        <v>33.76</v>
      </c>
      <c r="I15" s="60">
        <v>0.66</v>
      </c>
      <c r="J15" s="60">
        <v>0.23</v>
      </c>
      <c r="K15" s="60">
        <v>355.83</v>
      </c>
      <c r="L15" s="60">
        <v>19.77</v>
      </c>
      <c r="M15" s="60">
        <v>46</v>
      </c>
      <c r="N15" s="60">
        <v>4.5999999999999996</v>
      </c>
      <c r="O15" s="60">
        <v>0</v>
      </c>
      <c r="P15" s="60">
        <v>1.25</v>
      </c>
      <c r="Q15" s="60">
        <v>28.48</v>
      </c>
      <c r="R15" s="198"/>
      <c r="S15" s="198"/>
      <c r="T15" s="198"/>
      <c r="U15" s="198"/>
    </row>
    <row r="16" spans="1:21" s="12" customFormat="1" x14ac:dyDescent="0.25">
      <c r="A16" s="201" t="s">
        <v>1695</v>
      </c>
      <c r="B16" s="60">
        <v>21.12</v>
      </c>
      <c r="C16" s="60">
        <v>91.8</v>
      </c>
      <c r="D16" s="60">
        <v>67.599999999999994</v>
      </c>
      <c r="E16" s="60">
        <v>9.14</v>
      </c>
      <c r="F16" s="60">
        <v>4.54</v>
      </c>
      <c r="G16" s="60">
        <v>88.17</v>
      </c>
      <c r="H16" s="60">
        <v>35.409999999999997</v>
      </c>
      <c r="I16" s="60">
        <v>0.66</v>
      </c>
      <c r="J16" s="60">
        <v>0.01</v>
      </c>
      <c r="K16" s="60">
        <v>298.7</v>
      </c>
      <c r="L16" s="60">
        <v>19.649999999999999</v>
      </c>
      <c r="M16" s="60">
        <v>45.88</v>
      </c>
      <c r="N16" s="60">
        <v>4.8</v>
      </c>
      <c r="O16" s="60">
        <v>0</v>
      </c>
      <c r="P16" s="60">
        <v>1.24</v>
      </c>
      <c r="Q16" s="60">
        <v>28.65</v>
      </c>
      <c r="R16" s="198"/>
      <c r="S16" s="198"/>
      <c r="T16" s="198"/>
      <c r="U16" s="198"/>
    </row>
    <row r="17" spans="1:21" s="12" customFormat="1" x14ac:dyDescent="0.25">
      <c r="A17" s="201" t="s">
        <v>1696</v>
      </c>
      <c r="B17" s="60">
        <v>21.02</v>
      </c>
      <c r="C17" s="60">
        <v>91.91</v>
      </c>
      <c r="D17" s="60">
        <v>67.58</v>
      </c>
      <c r="E17" s="60">
        <v>9.19</v>
      </c>
      <c r="F17" s="60">
        <v>4.5599999999999996</v>
      </c>
      <c r="G17" s="60">
        <v>88.17</v>
      </c>
      <c r="H17" s="60">
        <v>35.409999999999997</v>
      </c>
      <c r="I17" s="60">
        <v>0.65</v>
      </c>
      <c r="J17" s="60">
        <v>0.17</v>
      </c>
      <c r="K17" s="60">
        <v>274.83999999999997</v>
      </c>
      <c r="L17" s="60">
        <v>19.52</v>
      </c>
      <c r="M17" s="60">
        <v>47.21</v>
      </c>
      <c r="N17" s="60">
        <v>4.4000000000000004</v>
      </c>
      <c r="O17" s="60">
        <v>0</v>
      </c>
      <c r="P17" s="60">
        <v>1.24</v>
      </c>
      <c r="Q17" s="60">
        <v>28.83</v>
      </c>
      <c r="R17" s="198"/>
      <c r="S17" s="198"/>
      <c r="T17" s="198"/>
      <c r="U17" s="198"/>
    </row>
    <row r="18" spans="1:21" s="12" customFormat="1" x14ac:dyDescent="0.25">
      <c r="A18" s="201" t="s">
        <v>1697</v>
      </c>
      <c r="B18" s="60">
        <v>20.69</v>
      </c>
      <c r="C18" s="60">
        <v>91.43</v>
      </c>
      <c r="D18" s="60">
        <v>67.040000000000006</v>
      </c>
      <c r="E18" s="60">
        <v>9.2799999999999994</v>
      </c>
      <c r="F18" s="60">
        <v>4.54</v>
      </c>
      <c r="G18" s="60">
        <v>88.17</v>
      </c>
      <c r="H18" s="60">
        <v>35.409999999999997</v>
      </c>
      <c r="I18" s="60">
        <v>0.66</v>
      </c>
      <c r="J18" s="60">
        <v>0.1</v>
      </c>
      <c r="K18" s="60">
        <v>323.97000000000003</v>
      </c>
      <c r="L18" s="60">
        <v>19.05</v>
      </c>
      <c r="M18" s="60">
        <v>49.5</v>
      </c>
      <c r="N18" s="60">
        <v>4.5999999999999996</v>
      </c>
      <c r="O18" s="60">
        <v>0</v>
      </c>
      <c r="P18" s="60">
        <v>1.23</v>
      </c>
      <c r="Q18" s="60">
        <v>28.84</v>
      </c>
      <c r="R18" s="198"/>
      <c r="S18" s="198"/>
      <c r="T18" s="198"/>
      <c r="U18" s="198"/>
    </row>
    <row r="19" spans="1:21" s="12" customFormat="1" x14ac:dyDescent="0.25">
      <c r="A19" s="201" t="s">
        <v>1698</v>
      </c>
      <c r="B19" s="60">
        <v>20.52</v>
      </c>
      <c r="C19" s="60">
        <v>90.74</v>
      </c>
      <c r="D19" s="60">
        <v>66.53</v>
      </c>
      <c r="E19" s="60">
        <v>7.99</v>
      </c>
      <c r="F19" s="60">
        <v>4.63</v>
      </c>
      <c r="G19" s="60">
        <v>98.55</v>
      </c>
      <c r="H19" s="60">
        <v>38.49</v>
      </c>
      <c r="I19" s="60">
        <v>0.66</v>
      </c>
      <c r="J19" s="60">
        <v>0.09</v>
      </c>
      <c r="K19" s="60">
        <v>300.10000000000002</v>
      </c>
      <c r="L19" s="60">
        <v>18.34</v>
      </c>
      <c r="M19" s="60">
        <v>53.96</v>
      </c>
      <c r="N19" s="60">
        <v>4.5</v>
      </c>
      <c r="O19" s="60">
        <v>0</v>
      </c>
      <c r="P19" s="60">
        <v>1.23</v>
      </c>
      <c r="Q19" s="60">
        <v>28.89</v>
      </c>
      <c r="R19" s="198"/>
      <c r="S19" s="198"/>
      <c r="T19" s="198"/>
      <c r="U19" s="198"/>
    </row>
    <row r="20" spans="1:21" s="12" customFormat="1" x14ac:dyDescent="0.25">
      <c r="A20" s="201" t="s">
        <v>1699</v>
      </c>
      <c r="B20" s="60">
        <v>20.7</v>
      </c>
      <c r="C20" s="60">
        <v>90.08</v>
      </c>
      <c r="D20" s="60">
        <v>66.319999999999993</v>
      </c>
      <c r="E20" s="60">
        <v>7.89</v>
      </c>
      <c r="F20" s="60">
        <v>4.59</v>
      </c>
      <c r="G20" s="60">
        <v>110.96</v>
      </c>
      <c r="H20" s="60">
        <v>42.18</v>
      </c>
      <c r="I20" s="60">
        <v>0.66</v>
      </c>
      <c r="J20" s="60">
        <v>0.15</v>
      </c>
      <c r="K20" s="60">
        <v>259.72000000000003</v>
      </c>
      <c r="L20" s="60">
        <v>18.63</v>
      </c>
      <c r="M20" s="60">
        <v>51.33</v>
      </c>
      <c r="N20" s="60">
        <v>4.0999999999999996</v>
      </c>
      <c r="O20" s="60">
        <v>0</v>
      </c>
      <c r="P20" s="60">
        <v>1.22</v>
      </c>
      <c r="Q20" s="60">
        <v>29.27</v>
      </c>
      <c r="R20" s="198"/>
      <c r="S20" s="198"/>
      <c r="T20" s="198"/>
      <c r="U20" s="198"/>
    </row>
    <row r="21" spans="1:21" s="12" customFormat="1" x14ac:dyDescent="0.25">
      <c r="A21" s="201" t="s">
        <v>1700</v>
      </c>
      <c r="B21" s="60">
        <v>20.65</v>
      </c>
      <c r="C21" s="60">
        <v>89.37</v>
      </c>
      <c r="D21" s="60">
        <v>65.88</v>
      </c>
      <c r="E21" s="60">
        <v>8.02</v>
      </c>
      <c r="F21" s="60">
        <v>4.53</v>
      </c>
      <c r="G21" s="60">
        <v>110.96</v>
      </c>
      <c r="H21" s="60">
        <v>42.18</v>
      </c>
      <c r="I21" s="60">
        <v>0.66</v>
      </c>
      <c r="J21" s="60">
        <v>0.06</v>
      </c>
      <c r="K21" s="60">
        <v>310.39</v>
      </c>
      <c r="L21" s="60">
        <v>18.45</v>
      </c>
      <c r="M21" s="60">
        <v>53.28</v>
      </c>
      <c r="N21" s="60">
        <v>4.5</v>
      </c>
      <c r="O21" s="60">
        <v>0</v>
      </c>
      <c r="P21" s="60">
        <v>1.21</v>
      </c>
      <c r="Q21" s="60">
        <v>30</v>
      </c>
      <c r="R21" s="198"/>
      <c r="S21" s="198"/>
      <c r="T21" s="198"/>
      <c r="U21" s="198"/>
    </row>
    <row r="22" spans="1:21" s="12" customFormat="1" x14ac:dyDescent="0.25">
      <c r="A22" s="201" t="s">
        <v>1701</v>
      </c>
      <c r="B22" s="60">
        <v>20.91</v>
      </c>
      <c r="C22" s="60">
        <v>88.66</v>
      </c>
      <c r="D22" s="60">
        <v>65.7</v>
      </c>
      <c r="E22" s="60">
        <v>7.86</v>
      </c>
      <c r="F22" s="60">
        <v>4.5</v>
      </c>
      <c r="G22" s="60">
        <v>110.96</v>
      </c>
      <c r="H22" s="60">
        <v>42.18</v>
      </c>
      <c r="I22" s="60">
        <v>0.66</v>
      </c>
      <c r="J22" s="60">
        <v>0.01</v>
      </c>
      <c r="K22" s="60">
        <v>184.09</v>
      </c>
      <c r="L22" s="60">
        <v>17.79</v>
      </c>
      <c r="M22" s="60">
        <v>56.65</v>
      </c>
      <c r="N22" s="60">
        <v>4.7</v>
      </c>
      <c r="O22" s="60">
        <v>0</v>
      </c>
      <c r="P22" s="60">
        <v>1.23</v>
      </c>
      <c r="Q22" s="60">
        <v>29.93</v>
      </c>
      <c r="R22" s="198"/>
      <c r="S22" s="198"/>
      <c r="T22" s="198"/>
      <c r="U22" s="198"/>
    </row>
    <row r="23" spans="1:21" s="12" customFormat="1" x14ac:dyDescent="0.25">
      <c r="A23" s="201" t="s">
        <v>1702</v>
      </c>
      <c r="B23" s="60">
        <v>21</v>
      </c>
      <c r="C23" s="60">
        <v>88.26</v>
      </c>
      <c r="D23" s="60">
        <v>65.55</v>
      </c>
      <c r="E23" s="60">
        <v>7.78</v>
      </c>
      <c r="F23" s="60">
        <v>4.5</v>
      </c>
      <c r="G23" s="60">
        <v>116.4</v>
      </c>
      <c r="H23" s="60">
        <v>46.72</v>
      </c>
      <c r="I23" s="60">
        <v>0.66</v>
      </c>
      <c r="J23" s="60">
        <v>7.0000000000000007E-2</v>
      </c>
      <c r="K23" s="60">
        <v>311.62</v>
      </c>
      <c r="L23" s="60">
        <v>17.54</v>
      </c>
      <c r="M23" s="60">
        <v>56.58</v>
      </c>
      <c r="N23" s="60">
        <v>4.5999999999999996</v>
      </c>
      <c r="O23" s="60">
        <v>0</v>
      </c>
      <c r="P23" s="60">
        <v>1.22</v>
      </c>
      <c r="Q23" s="60">
        <v>29.71</v>
      </c>
      <c r="R23" s="198"/>
      <c r="S23" s="198"/>
      <c r="T23" s="198"/>
      <c r="U23" s="198"/>
    </row>
    <row r="24" spans="1:21" s="12" customFormat="1" x14ac:dyDescent="0.25">
      <c r="A24" s="201" t="s">
        <v>1703</v>
      </c>
      <c r="B24" s="60">
        <v>21.46</v>
      </c>
      <c r="C24" s="60">
        <v>88.06</v>
      </c>
      <c r="D24" s="60">
        <v>65.8</v>
      </c>
      <c r="E24" s="60">
        <v>5.13</v>
      </c>
      <c r="F24" s="60">
        <v>4.5</v>
      </c>
      <c r="G24" s="60">
        <v>122.9</v>
      </c>
      <c r="H24" s="60">
        <v>52.15</v>
      </c>
      <c r="I24" s="60">
        <v>0.65</v>
      </c>
      <c r="J24" s="60">
        <v>0.13</v>
      </c>
      <c r="K24" s="60">
        <v>15.39</v>
      </c>
      <c r="L24" s="60">
        <v>17.32</v>
      </c>
      <c r="M24" s="60">
        <v>60.26</v>
      </c>
      <c r="N24" s="60">
        <v>4.3</v>
      </c>
      <c r="O24" s="60">
        <v>0</v>
      </c>
      <c r="P24" s="60">
        <v>1.23</v>
      </c>
      <c r="Q24" s="60">
        <v>29.42</v>
      </c>
      <c r="R24" s="198"/>
      <c r="S24" s="198"/>
      <c r="T24" s="198"/>
      <c r="U24" s="198"/>
    </row>
    <row r="25" spans="1:21" s="12" customFormat="1" x14ac:dyDescent="0.25">
      <c r="A25" s="201" t="s">
        <v>1704</v>
      </c>
      <c r="B25" s="60">
        <v>23.2</v>
      </c>
      <c r="C25" s="60">
        <v>88.62</v>
      </c>
      <c r="D25" s="60">
        <v>67.52</v>
      </c>
      <c r="E25" s="60">
        <v>8.0500000000000007</v>
      </c>
      <c r="F25" s="60">
        <v>4.5</v>
      </c>
      <c r="G25" s="60">
        <v>122.9</v>
      </c>
      <c r="H25" s="60">
        <v>52.15</v>
      </c>
      <c r="I25" s="60">
        <v>0.65</v>
      </c>
      <c r="J25" s="60">
        <v>0.06</v>
      </c>
      <c r="K25" s="60">
        <v>350.68</v>
      </c>
      <c r="L25" s="60">
        <v>17.25</v>
      </c>
      <c r="M25" s="60">
        <v>57.52</v>
      </c>
      <c r="N25" s="60">
        <v>4.5</v>
      </c>
      <c r="O25" s="60">
        <v>0</v>
      </c>
      <c r="P25" s="60">
        <v>1.23</v>
      </c>
      <c r="Q25" s="60">
        <v>29.41</v>
      </c>
      <c r="R25" s="198"/>
      <c r="S25" s="198"/>
      <c r="T25" s="198"/>
      <c r="U25" s="198"/>
    </row>
    <row r="26" spans="1:21" s="12" customFormat="1" x14ac:dyDescent="0.25">
      <c r="A26" s="201" t="s">
        <v>1705</v>
      </c>
      <c r="B26" s="60">
        <v>24.34</v>
      </c>
      <c r="C26" s="60">
        <v>89.15</v>
      </c>
      <c r="D26" s="60">
        <v>68.72</v>
      </c>
      <c r="E26" s="60">
        <v>8.1300000000000008</v>
      </c>
      <c r="F26" s="60">
        <v>4.5</v>
      </c>
      <c r="G26" s="60">
        <v>122.9</v>
      </c>
      <c r="H26" s="60">
        <v>52.15</v>
      </c>
      <c r="I26" s="60">
        <v>0.65</v>
      </c>
      <c r="J26" s="60">
        <v>7.0000000000000007E-2</v>
      </c>
      <c r="K26" s="60">
        <v>331.11</v>
      </c>
      <c r="L26" s="60">
        <v>17.190000000000001</v>
      </c>
      <c r="M26" s="60">
        <v>57.16</v>
      </c>
      <c r="N26" s="60">
        <v>4.3</v>
      </c>
      <c r="O26" s="60">
        <v>0</v>
      </c>
      <c r="P26" s="60">
        <v>1.25</v>
      </c>
      <c r="Q26" s="60">
        <v>29.34</v>
      </c>
      <c r="R26" s="198"/>
      <c r="S26" s="198"/>
      <c r="T26" s="198"/>
      <c r="U26" s="198"/>
    </row>
    <row r="27" spans="1:21" s="12" customFormat="1" x14ac:dyDescent="0.25">
      <c r="A27" s="201" t="s">
        <v>1706</v>
      </c>
      <c r="B27" s="60">
        <v>24.83</v>
      </c>
      <c r="C27" s="60">
        <v>89.17</v>
      </c>
      <c r="D27" s="60">
        <v>69.13</v>
      </c>
      <c r="E27" s="60">
        <v>8.06</v>
      </c>
      <c r="F27" s="60">
        <v>4.5</v>
      </c>
      <c r="G27" s="60">
        <v>130.58000000000001</v>
      </c>
      <c r="H27" s="60">
        <v>53.55</v>
      </c>
      <c r="I27" s="60">
        <v>0.65</v>
      </c>
      <c r="J27" s="60">
        <v>0.12</v>
      </c>
      <c r="K27" s="60">
        <v>130.33000000000001</v>
      </c>
      <c r="L27" s="60">
        <v>17.010000000000002</v>
      </c>
      <c r="M27" s="60">
        <v>58.96</v>
      </c>
      <c r="N27" s="60">
        <v>4.2</v>
      </c>
      <c r="O27" s="60">
        <v>0</v>
      </c>
      <c r="P27" s="60">
        <v>1.26</v>
      </c>
      <c r="Q27" s="60">
        <v>28.8</v>
      </c>
      <c r="R27" s="198"/>
      <c r="S27" s="198"/>
      <c r="T27" s="198"/>
      <c r="U27" s="198"/>
    </row>
    <row r="28" spans="1:21" s="12" customFormat="1" x14ac:dyDescent="0.25">
      <c r="A28" s="201" t="s">
        <v>1707</v>
      </c>
      <c r="B28" s="60">
        <v>26.34</v>
      </c>
      <c r="C28" s="60">
        <v>90.13</v>
      </c>
      <c r="D28" s="60">
        <v>70.86</v>
      </c>
      <c r="E28" s="60">
        <v>8.1</v>
      </c>
      <c r="F28" s="60">
        <v>4.5</v>
      </c>
      <c r="G28" s="60">
        <v>139.75</v>
      </c>
      <c r="H28" s="60">
        <v>55.22</v>
      </c>
      <c r="I28" s="60">
        <v>0.65</v>
      </c>
      <c r="J28" s="60">
        <v>0.09</v>
      </c>
      <c r="K28" s="60">
        <v>19.03</v>
      </c>
      <c r="L28" s="60">
        <v>16.96</v>
      </c>
      <c r="M28" s="60">
        <v>58.71</v>
      </c>
      <c r="N28" s="60">
        <v>4.2</v>
      </c>
      <c r="O28" s="60">
        <v>0</v>
      </c>
      <c r="P28" s="60">
        <v>1.29</v>
      </c>
      <c r="Q28" s="60">
        <v>28.25</v>
      </c>
      <c r="R28" s="198"/>
      <c r="S28" s="198"/>
      <c r="T28" s="198"/>
      <c r="U28" s="198"/>
    </row>
    <row r="29" spans="1:21" s="12" customFormat="1" x14ac:dyDescent="0.25">
      <c r="A29" s="201" t="s">
        <v>1708</v>
      </c>
      <c r="B29" s="60">
        <v>28.34</v>
      </c>
      <c r="C29" s="60">
        <v>91.5</v>
      </c>
      <c r="D29" s="60">
        <v>73.22</v>
      </c>
      <c r="E29" s="60">
        <v>7.85</v>
      </c>
      <c r="F29" s="60">
        <v>4.5</v>
      </c>
      <c r="G29" s="60">
        <v>139.75</v>
      </c>
      <c r="H29" s="60">
        <v>55.22</v>
      </c>
      <c r="I29" s="60">
        <v>0.65</v>
      </c>
      <c r="J29" s="60">
        <v>0.09</v>
      </c>
      <c r="K29" s="60">
        <v>72.599999999999994</v>
      </c>
      <c r="L29" s="60">
        <v>17.48</v>
      </c>
      <c r="M29" s="60">
        <v>50.74</v>
      </c>
      <c r="N29" s="60">
        <v>3.6</v>
      </c>
      <c r="O29" s="60">
        <v>0</v>
      </c>
      <c r="P29" s="60">
        <v>1.29</v>
      </c>
      <c r="Q29" s="60">
        <v>28.3</v>
      </c>
      <c r="R29" s="198"/>
      <c r="S29" s="198"/>
      <c r="T29" s="198"/>
      <c r="U29" s="198"/>
    </row>
    <row r="30" spans="1:21" s="12" customFormat="1" x14ac:dyDescent="0.25">
      <c r="A30" s="201" t="s">
        <v>1709</v>
      </c>
      <c r="B30" s="60">
        <v>29.45</v>
      </c>
      <c r="C30" s="60">
        <v>92.26</v>
      </c>
      <c r="D30" s="60">
        <v>74.53</v>
      </c>
      <c r="E30" s="60">
        <v>8.27</v>
      </c>
      <c r="F30" s="60">
        <v>4.54</v>
      </c>
      <c r="G30" s="60">
        <v>139.75</v>
      </c>
      <c r="H30" s="60">
        <v>55.22</v>
      </c>
      <c r="I30" s="60">
        <v>0.66</v>
      </c>
      <c r="J30" s="60">
        <v>0.18</v>
      </c>
      <c r="K30" s="60">
        <v>31.91</v>
      </c>
      <c r="L30" s="60">
        <v>17.46</v>
      </c>
      <c r="M30" s="60">
        <v>56.75</v>
      </c>
      <c r="N30" s="60">
        <v>4.2</v>
      </c>
      <c r="O30" s="60">
        <v>0</v>
      </c>
      <c r="P30" s="60">
        <v>1.31</v>
      </c>
      <c r="Q30" s="60">
        <v>28.38</v>
      </c>
      <c r="R30" s="198"/>
      <c r="S30" s="198"/>
      <c r="T30" s="198"/>
      <c r="U30" s="198"/>
    </row>
    <row r="31" spans="1:21" s="12" customFormat="1" x14ac:dyDescent="0.25">
      <c r="A31" s="201" t="s">
        <v>1710</v>
      </c>
      <c r="B31" s="60">
        <v>30.54</v>
      </c>
      <c r="C31" s="60">
        <v>92.9</v>
      </c>
      <c r="D31" s="60">
        <v>75.760000000000005</v>
      </c>
      <c r="E31" s="60">
        <v>8.64</v>
      </c>
      <c r="F31" s="60">
        <v>4.5199999999999996</v>
      </c>
      <c r="G31" s="60">
        <v>145.03</v>
      </c>
      <c r="H31" s="60">
        <v>58.55</v>
      </c>
      <c r="I31" s="60">
        <v>0.67</v>
      </c>
      <c r="J31" s="60">
        <v>0.12</v>
      </c>
      <c r="K31" s="60">
        <v>359.74</v>
      </c>
      <c r="L31" s="60">
        <v>17.43</v>
      </c>
      <c r="M31" s="60">
        <v>53.14</v>
      </c>
      <c r="N31" s="60">
        <v>3.8</v>
      </c>
      <c r="O31" s="60">
        <v>0</v>
      </c>
      <c r="P31" s="60">
        <v>1.34</v>
      </c>
      <c r="Q31" s="60">
        <v>28.37</v>
      </c>
      <c r="R31" s="198"/>
      <c r="S31" s="198"/>
      <c r="T31" s="198"/>
      <c r="U31" s="198"/>
    </row>
    <row r="32" spans="1:21" s="12" customFormat="1" x14ac:dyDescent="0.25">
      <c r="A32" s="201" t="s">
        <v>1711</v>
      </c>
      <c r="B32" s="60">
        <v>31.32</v>
      </c>
      <c r="C32" s="60">
        <v>93.4</v>
      </c>
      <c r="D32" s="60">
        <v>76.66</v>
      </c>
      <c r="E32" s="60">
        <v>9.25</v>
      </c>
      <c r="F32" s="60">
        <v>4.51</v>
      </c>
      <c r="G32" s="60">
        <v>151.34</v>
      </c>
      <c r="H32" s="60">
        <v>62.53</v>
      </c>
      <c r="I32" s="60">
        <v>0.72</v>
      </c>
      <c r="J32" s="60">
        <v>0.18</v>
      </c>
      <c r="K32" s="60">
        <v>280.7</v>
      </c>
      <c r="L32" s="60">
        <v>17.73</v>
      </c>
      <c r="M32" s="60">
        <v>50.94</v>
      </c>
      <c r="N32" s="60">
        <v>4.0999999999999996</v>
      </c>
      <c r="O32" s="60">
        <v>0</v>
      </c>
      <c r="P32" s="60">
        <v>1.37</v>
      </c>
      <c r="Q32" s="60">
        <v>28.44</v>
      </c>
      <c r="R32" s="198"/>
      <c r="S32" s="198"/>
      <c r="T32" s="198"/>
      <c r="U32" s="198"/>
    </row>
    <row r="33" spans="1:21" s="12" customFormat="1" x14ac:dyDescent="0.25">
      <c r="A33" s="201" t="s">
        <v>1712</v>
      </c>
      <c r="B33" s="60">
        <v>32.020000000000003</v>
      </c>
      <c r="C33" s="60">
        <v>94.13</v>
      </c>
      <c r="D33" s="60">
        <v>77.62</v>
      </c>
      <c r="E33" s="60">
        <v>9.0399999999999991</v>
      </c>
      <c r="F33" s="60">
        <v>4.5</v>
      </c>
      <c r="G33" s="60">
        <v>151.34</v>
      </c>
      <c r="H33" s="60">
        <v>62.53</v>
      </c>
      <c r="I33" s="60">
        <v>0.68</v>
      </c>
      <c r="J33" s="60">
        <v>0.12</v>
      </c>
      <c r="K33" s="60">
        <v>271.14</v>
      </c>
      <c r="L33" s="60">
        <v>17.690000000000001</v>
      </c>
      <c r="M33" s="60">
        <v>50.78</v>
      </c>
      <c r="N33" s="60">
        <v>4.2</v>
      </c>
      <c r="O33" s="60">
        <v>0</v>
      </c>
      <c r="P33" s="60">
        <v>1.41</v>
      </c>
      <c r="Q33" s="60">
        <v>28.64</v>
      </c>
      <c r="R33" s="198"/>
      <c r="S33" s="198"/>
      <c r="T33" s="198"/>
      <c r="U33" s="198"/>
    </row>
    <row r="34" spans="1:21" s="12" customFormat="1" x14ac:dyDescent="0.25">
      <c r="A34" s="201" t="s">
        <v>1713</v>
      </c>
      <c r="B34" s="60">
        <v>33.19</v>
      </c>
      <c r="C34" s="60">
        <v>95.01</v>
      </c>
      <c r="D34" s="60">
        <v>79.05</v>
      </c>
      <c r="E34" s="60">
        <v>9.85</v>
      </c>
      <c r="F34" s="60">
        <v>4.5</v>
      </c>
      <c r="G34" s="60">
        <v>151.34</v>
      </c>
      <c r="H34" s="60">
        <v>62.53</v>
      </c>
      <c r="I34" s="60">
        <v>0.68</v>
      </c>
      <c r="J34" s="60">
        <v>0.13</v>
      </c>
      <c r="K34" s="60">
        <v>263.83999999999997</v>
      </c>
      <c r="L34" s="60">
        <v>17.66</v>
      </c>
      <c r="M34" s="60">
        <v>52.26</v>
      </c>
      <c r="N34" s="60">
        <v>5.9</v>
      </c>
      <c r="O34" s="60">
        <v>0</v>
      </c>
      <c r="P34" s="60">
        <v>1.44</v>
      </c>
      <c r="Q34" s="60">
        <v>28.76</v>
      </c>
      <c r="R34" s="198"/>
      <c r="S34" s="198"/>
      <c r="T34" s="198"/>
      <c r="U34" s="198"/>
    </row>
    <row r="35" spans="1:21" s="12" customFormat="1" x14ac:dyDescent="0.25">
      <c r="A35" s="201" t="s">
        <v>1714</v>
      </c>
      <c r="B35" s="60">
        <v>34.99</v>
      </c>
      <c r="C35" s="60">
        <v>96.35</v>
      </c>
      <c r="D35" s="60">
        <v>81.23</v>
      </c>
      <c r="E35" s="60">
        <v>9.9</v>
      </c>
      <c r="F35" s="60">
        <v>4.5</v>
      </c>
      <c r="G35" s="60">
        <v>154.99</v>
      </c>
      <c r="H35" s="60">
        <v>64.61</v>
      </c>
      <c r="I35" s="60">
        <v>0.68</v>
      </c>
      <c r="J35" s="60">
        <v>0.35</v>
      </c>
      <c r="K35" s="60">
        <v>253.55</v>
      </c>
      <c r="L35" s="60">
        <v>17.71</v>
      </c>
      <c r="M35" s="60">
        <v>53.08</v>
      </c>
      <c r="N35" s="60">
        <v>13.3</v>
      </c>
      <c r="O35" s="60">
        <v>0</v>
      </c>
      <c r="P35" s="60">
        <v>1.48</v>
      </c>
      <c r="Q35" s="60">
        <v>29.53</v>
      </c>
      <c r="R35" s="198"/>
      <c r="S35" s="198"/>
      <c r="T35" s="198"/>
      <c r="U35" s="198"/>
    </row>
    <row r="36" spans="1:21" s="12" customFormat="1" x14ac:dyDescent="0.25">
      <c r="A36" s="201" t="s">
        <v>1715</v>
      </c>
      <c r="B36" s="60">
        <v>36.39</v>
      </c>
      <c r="C36" s="60">
        <v>97.2</v>
      </c>
      <c r="D36" s="60">
        <v>82.82</v>
      </c>
      <c r="E36" s="60">
        <v>10.210000000000001</v>
      </c>
      <c r="F36" s="60">
        <v>4.51</v>
      </c>
      <c r="G36" s="60">
        <v>159.56</v>
      </c>
      <c r="H36" s="60">
        <v>67.09</v>
      </c>
      <c r="I36" s="60">
        <v>0.69</v>
      </c>
      <c r="J36" s="60">
        <v>0.31</v>
      </c>
      <c r="K36" s="60">
        <v>261.67</v>
      </c>
      <c r="L36" s="60">
        <v>18.03</v>
      </c>
      <c r="M36" s="60">
        <v>52.27</v>
      </c>
      <c r="N36" s="60">
        <v>26.4</v>
      </c>
      <c r="O36" s="60">
        <v>0</v>
      </c>
      <c r="P36" s="60">
        <v>1.51</v>
      </c>
      <c r="Q36" s="60">
        <v>29.88</v>
      </c>
      <c r="R36" s="198"/>
      <c r="S36" s="198"/>
      <c r="T36" s="198"/>
      <c r="U36" s="198"/>
    </row>
    <row r="37" spans="1:21" s="12" customFormat="1" x14ac:dyDescent="0.25">
      <c r="A37" s="201" t="s">
        <v>1716</v>
      </c>
      <c r="B37" s="60">
        <v>39.89</v>
      </c>
      <c r="C37" s="60">
        <v>99.68</v>
      </c>
      <c r="D37" s="60">
        <v>87</v>
      </c>
      <c r="E37" s="60">
        <v>11.61</v>
      </c>
      <c r="F37" s="60">
        <v>4.51</v>
      </c>
      <c r="G37" s="60">
        <v>159.56</v>
      </c>
      <c r="H37" s="60">
        <v>67.09</v>
      </c>
      <c r="I37" s="60">
        <v>0.68</v>
      </c>
      <c r="J37" s="60">
        <v>0.13</v>
      </c>
      <c r="K37" s="60">
        <v>269.42</v>
      </c>
      <c r="L37" s="60">
        <v>18.260000000000002</v>
      </c>
      <c r="M37" s="60">
        <v>52.11</v>
      </c>
      <c r="N37" s="60">
        <v>42.2</v>
      </c>
      <c r="O37" s="60">
        <v>0</v>
      </c>
      <c r="P37" s="60">
        <v>1.51</v>
      </c>
      <c r="Q37" s="60">
        <v>29.97</v>
      </c>
      <c r="R37" s="198"/>
      <c r="S37" s="198"/>
      <c r="T37" s="198"/>
      <c r="U37" s="198"/>
    </row>
    <row r="38" spans="1:21" s="12" customFormat="1" x14ac:dyDescent="0.25">
      <c r="A38" s="201" t="s">
        <v>1717</v>
      </c>
      <c r="B38" s="60">
        <v>42.33</v>
      </c>
      <c r="C38" s="60">
        <v>101.72</v>
      </c>
      <c r="D38" s="60">
        <v>90.08</v>
      </c>
      <c r="E38" s="60">
        <v>13.8</v>
      </c>
      <c r="F38" s="60">
        <v>4.5</v>
      </c>
      <c r="G38" s="60">
        <v>159.56</v>
      </c>
      <c r="H38" s="60">
        <v>67.09</v>
      </c>
      <c r="I38" s="60">
        <v>0.68</v>
      </c>
      <c r="J38" s="60">
        <v>0.14000000000000001</v>
      </c>
      <c r="K38" s="60">
        <v>226.48</v>
      </c>
      <c r="L38" s="60">
        <v>19.010000000000002</v>
      </c>
      <c r="M38" s="60">
        <v>49.68</v>
      </c>
      <c r="N38" s="60">
        <v>98.3</v>
      </c>
      <c r="O38" s="60">
        <v>0</v>
      </c>
      <c r="P38" s="60">
        <v>1.57</v>
      </c>
      <c r="Q38" s="60">
        <v>29.96</v>
      </c>
      <c r="R38" s="198"/>
      <c r="S38" s="198"/>
      <c r="T38" s="198"/>
      <c r="U38" s="198"/>
    </row>
    <row r="39" spans="1:21" s="12" customFormat="1" x14ac:dyDescent="0.25">
      <c r="A39" s="201" t="s">
        <v>1718</v>
      </c>
      <c r="B39" s="60">
        <v>44.63</v>
      </c>
      <c r="C39" s="60">
        <v>103.98</v>
      </c>
      <c r="D39" s="60">
        <v>93.17</v>
      </c>
      <c r="E39" s="60">
        <v>14.22</v>
      </c>
      <c r="F39" s="60">
        <v>4.5</v>
      </c>
      <c r="G39" s="60">
        <v>167.36</v>
      </c>
      <c r="H39" s="60">
        <v>71.13</v>
      </c>
      <c r="I39" s="60">
        <v>0.68</v>
      </c>
      <c r="J39" s="60">
        <v>0.65</v>
      </c>
      <c r="K39" s="60">
        <v>202.88</v>
      </c>
      <c r="L39" s="60">
        <v>19.95</v>
      </c>
      <c r="M39" s="60">
        <v>52.09</v>
      </c>
      <c r="N39" s="60">
        <v>163.4</v>
      </c>
      <c r="O39" s="60">
        <v>0</v>
      </c>
      <c r="P39" s="60">
        <v>1.58</v>
      </c>
      <c r="Q39" s="60">
        <v>29.93</v>
      </c>
      <c r="R39" s="198"/>
      <c r="S39" s="198"/>
      <c r="T39" s="198"/>
      <c r="U39" s="198"/>
    </row>
    <row r="40" spans="1:21" s="12" customFormat="1" x14ac:dyDescent="0.25">
      <c r="A40" s="201" t="s">
        <v>1719</v>
      </c>
      <c r="B40" s="60">
        <v>44.71</v>
      </c>
      <c r="C40" s="60">
        <v>104.29</v>
      </c>
      <c r="D40" s="60">
        <v>93.4</v>
      </c>
      <c r="E40" s="60">
        <v>8.48</v>
      </c>
      <c r="F40" s="60">
        <v>4.5</v>
      </c>
      <c r="G40" s="60">
        <v>176.69</v>
      </c>
      <c r="H40" s="60">
        <v>75.95</v>
      </c>
      <c r="I40" s="60">
        <v>0.68</v>
      </c>
      <c r="J40" s="60">
        <v>0.49</v>
      </c>
      <c r="K40" s="60">
        <v>216.97</v>
      </c>
      <c r="L40" s="60">
        <v>20.41</v>
      </c>
      <c r="M40" s="60">
        <v>51.16</v>
      </c>
      <c r="N40" s="60">
        <v>207.1</v>
      </c>
      <c r="O40" s="60">
        <v>0</v>
      </c>
      <c r="P40" s="60">
        <v>1.58</v>
      </c>
      <c r="Q40" s="60">
        <v>29.94</v>
      </c>
      <c r="R40" s="198"/>
      <c r="S40" s="198"/>
      <c r="T40" s="198"/>
      <c r="U40" s="198"/>
    </row>
    <row r="41" spans="1:21" s="12" customFormat="1" x14ac:dyDescent="0.25">
      <c r="A41" s="201" t="s">
        <v>1720</v>
      </c>
      <c r="B41" s="60">
        <v>43.28</v>
      </c>
      <c r="C41" s="60">
        <v>104.5</v>
      </c>
      <c r="D41" s="60">
        <v>92.38</v>
      </c>
      <c r="E41" s="60">
        <v>11.03</v>
      </c>
      <c r="F41" s="60">
        <v>4.5599999999999996</v>
      </c>
      <c r="G41" s="60">
        <v>176.69</v>
      </c>
      <c r="H41" s="60">
        <v>75.95</v>
      </c>
      <c r="I41" s="60">
        <v>0.68</v>
      </c>
      <c r="J41" s="60">
        <v>0.41</v>
      </c>
      <c r="K41" s="60">
        <v>209.75</v>
      </c>
      <c r="L41" s="60">
        <v>21.49</v>
      </c>
      <c r="M41" s="60">
        <v>50.17</v>
      </c>
      <c r="N41" s="60">
        <v>247.3</v>
      </c>
      <c r="O41" s="60">
        <v>0</v>
      </c>
      <c r="P41" s="60">
        <v>1.57</v>
      </c>
      <c r="Q41" s="60">
        <v>29.65</v>
      </c>
      <c r="R41" s="198"/>
      <c r="S41" s="198"/>
      <c r="T41" s="198"/>
      <c r="U41" s="198"/>
    </row>
    <row r="42" spans="1:21" s="12" customFormat="1" x14ac:dyDescent="0.25">
      <c r="A42" s="201" t="s">
        <v>1721</v>
      </c>
      <c r="B42" s="60">
        <v>41.87</v>
      </c>
      <c r="C42" s="60">
        <v>105.07</v>
      </c>
      <c r="D42" s="60">
        <v>91.56</v>
      </c>
      <c r="E42" s="60">
        <v>10.55</v>
      </c>
      <c r="F42" s="60">
        <v>4.55</v>
      </c>
      <c r="G42" s="60">
        <v>176.69</v>
      </c>
      <c r="H42" s="60">
        <v>75.95</v>
      </c>
      <c r="I42" s="60">
        <v>0.7</v>
      </c>
      <c r="J42" s="60">
        <v>0.28000000000000003</v>
      </c>
      <c r="K42" s="60">
        <v>222.56</v>
      </c>
      <c r="L42" s="60">
        <v>22.62</v>
      </c>
      <c r="M42" s="60">
        <v>47.45</v>
      </c>
      <c r="N42" s="60">
        <v>286.60000000000002</v>
      </c>
      <c r="O42" s="60">
        <v>0</v>
      </c>
      <c r="P42" s="60">
        <v>1.57</v>
      </c>
      <c r="Q42" s="60">
        <v>29.12</v>
      </c>
      <c r="R42" s="198"/>
      <c r="S42" s="198"/>
      <c r="T42" s="198"/>
      <c r="U42" s="198"/>
    </row>
    <row r="43" spans="1:21" s="12" customFormat="1" x14ac:dyDescent="0.25">
      <c r="A43" s="201" t="s">
        <v>1722</v>
      </c>
      <c r="B43" s="60">
        <v>40.71</v>
      </c>
      <c r="C43" s="60">
        <v>106.08</v>
      </c>
      <c r="D43" s="60">
        <v>91.19</v>
      </c>
      <c r="E43" s="60">
        <v>10.53</v>
      </c>
      <c r="F43" s="60">
        <v>4.54</v>
      </c>
      <c r="G43" s="60">
        <v>165.68</v>
      </c>
      <c r="H43" s="60">
        <v>73.75</v>
      </c>
      <c r="I43" s="60">
        <v>0.68</v>
      </c>
      <c r="J43" s="60">
        <v>0.03</v>
      </c>
      <c r="K43" s="60">
        <v>256.67</v>
      </c>
      <c r="L43" s="60">
        <v>24.5</v>
      </c>
      <c r="M43" s="60">
        <v>42.99</v>
      </c>
      <c r="N43" s="60">
        <v>323.60000000000002</v>
      </c>
      <c r="O43" s="60">
        <v>0</v>
      </c>
      <c r="P43" s="60">
        <v>1.57</v>
      </c>
      <c r="Q43" s="60">
        <v>28.88</v>
      </c>
      <c r="R43" s="198"/>
      <c r="S43" s="198"/>
      <c r="T43" s="198"/>
      <c r="U43" s="198"/>
    </row>
    <row r="44" spans="1:21" s="12" customFormat="1" x14ac:dyDescent="0.25">
      <c r="A44" s="201" t="s">
        <v>1723</v>
      </c>
      <c r="B44" s="60">
        <v>39.979999999999997</v>
      </c>
      <c r="C44" s="60">
        <v>108.04</v>
      </c>
      <c r="D44" s="60">
        <v>91.69</v>
      </c>
      <c r="E44" s="60">
        <v>11.26</v>
      </c>
      <c r="F44" s="60">
        <v>4.54</v>
      </c>
      <c r="G44" s="60">
        <v>152.52000000000001</v>
      </c>
      <c r="H44" s="60">
        <v>71.12</v>
      </c>
      <c r="I44" s="60">
        <v>0.67</v>
      </c>
      <c r="J44" s="60">
        <v>0.28999999999999998</v>
      </c>
      <c r="K44" s="60">
        <v>29.44</v>
      </c>
      <c r="L44" s="60">
        <v>28.22</v>
      </c>
      <c r="M44" s="60">
        <v>31.55</v>
      </c>
      <c r="N44" s="60">
        <v>360</v>
      </c>
      <c r="O44" s="60">
        <v>0</v>
      </c>
      <c r="P44" s="60">
        <v>1.6</v>
      </c>
      <c r="Q44" s="60">
        <v>29.14</v>
      </c>
      <c r="R44" s="198"/>
      <c r="S44" s="198"/>
      <c r="T44" s="198"/>
      <c r="U44" s="198"/>
    </row>
    <row r="45" spans="1:21" s="12" customFormat="1" x14ac:dyDescent="0.25">
      <c r="A45" s="201" t="s">
        <v>1724</v>
      </c>
      <c r="B45" s="60">
        <v>39.22</v>
      </c>
      <c r="C45" s="60">
        <v>109.95</v>
      </c>
      <c r="D45" s="60">
        <v>92.13</v>
      </c>
      <c r="E45" s="60">
        <v>11.13</v>
      </c>
      <c r="F45" s="60">
        <v>4.72</v>
      </c>
      <c r="G45" s="60">
        <v>152.52000000000001</v>
      </c>
      <c r="H45" s="60">
        <v>71.12</v>
      </c>
      <c r="I45" s="60">
        <v>0.68</v>
      </c>
      <c r="J45" s="60">
        <v>0.34</v>
      </c>
      <c r="K45" s="60">
        <v>23.64</v>
      </c>
      <c r="L45" s="60">
        <v>30.37</v>
      </c>
      <c r="M45" s="60">
        <v>26.92</v>
      </c>
      <c r="N45" s="60">
        <v>387.1</v>
      </c>
      <c r="O45" s="60">
        <v>0</v>
      </c>
      <c r="P45" s="60">
        <v>1.61</v>
      </c>
      <c r="Q45" s="60">
        <v>29.66</v>
      </c>
      <c r="R45" s="198"/>
      <c r="S45" s="198"/>
      <c r="T45" s="198"/>
      <c r="U45" s="198"/>
    </row>
    <row r="46" spans="1:21" s="12" customFormat="1" x14ac:dyDescent="0.25">
      <c r="A46" s="201" t="s">
        <v>1725</v>
      </c>
      <c r="B46" s="60">
        <v>37.090000000000003</v>
      </c>
      <c r="C46" s="60">
        <v>110.06</v>
      </c>
      <c r="D46" s="60">
        <v>90.48</v>
      </c>
      <c r="E46" s="60">
        <v>11.84</v>
      </c>
      <c r="F46" s="60">
        <v>5.86</v>
      </c>
      <c r="G46" s="60">
        <v>152.52000000000001</v>
      </c>
      <c r="H46" s="60">
        <v>71.12</v>
      </c>
      <c r="I46" s="60">
        <v>0.69</v>
      </c>
      <c r="J46" s="60">
        <v>0.59</v>
      </c>
      <c r="K46" s="60">
        <v>20.149999999999999</v>
      </c>
      <c r="L46" s="60">
        <v>31.97</v>
      </c>
      <c r="M46" s="60">
        <v>21.93</v>
      </c>
      <c r="N46" s="60">
        <v>424.4</v>
      </c>
      <c r="O46" s="60">
        <v>0</v>
      </c>
      <c r="P46" s="60">
        <v>1.61</v>
      </c>
      <c r="Q46" s="60">
        <v>29.98</v>
      </c>
      <c r="R46" s="198"/>
      <c r="S46" s="198"/>
      <c r="T46" s="198"/>
      <c r="U46" s="198"/>
    </row>
    <row r="47" spans="1:21" s="12" customFormat="1" x14ac:dyDescent="0.25">
      <c r="A47" s="201" t="s">
        <v>1726</v>
      </c>
      <c r="B47" s="60">
        <v>35.880000000000003</v>
      </c>
      <c r="C47" s="60">
        <v>109.73</v>
      </c>
      <c r="D47" s="60">
        <v>89.33</v>
      </c>
      <c r="E47" s="60">
        <v>12.16</v>
      </c>
      <c r="F47" s="60">
        <v>5.52</v>
      </c>
      <c r="G47" s="60">
        <v>149.56</v>
      </c>
      <c r="H47" s="60">
        <v>70.11</v>
      </c>
      <c r="I47" s="60">
        <v>0.69</v>
      </c>
      <c r="J47" s="60">
        <v>0.77</v>
      </c>
      <c r="K47" s="60">
        <v>19.45</v>
      </c>
      <c r="L47" s="60">
        <v>33.49</v>
      </c>
      <c r="M47" s="60">
        <v>19</v>
      </c>
      <c r="N47" s="60">
        <v>447.6</v>
      </c>
      <c r="O47" s="60">
        <v>0</v>
      </c>
      <c r="P47" s="60">
        <v>1.59</v>
      </c>
      <c r="Q47" s="60">
        <v>30.05</v>
      </c>
      <c r="R47" s="198"/>
      <c r="S47" s="198"/>
      <c r="T47" s="198"/>
      <c r="U47" s="198"/>
    </row>
    <row r="48" spans="1:21" s="12" customFormat="1" x14ac:dyDescent="0.25">
      <c r="A48" s="201" t="s">
        <v>1727</v>
      </c>
      <c r="B48" s="60">
        <v>34.69</v>
      </c>
      <c r="C48" s="60">
        <v>110.4</v>
      </c>
      <c r="D48" s="60">
        <v>88.74</v>
      </c>
      <c r="E48" s="60">
        <v>11.91</v>
      </c>
      <c r="F48" s="60">
        <v>5.21</v>
      </c>
      <c r="G48" s="60">
        <v>146.01</v>
      </c>
      <c r="H48" s="60">
        <v>68.900000000000006</v>
      </c>
      <c r="I48" s="60">
        <v>0.69</v>
      </c>
      <c r="J48" s="60">
        <v>1.23</v>
      </c>
      <c r="K48" s="60">
        <v>7.53</v>
      </c>
      <c r="L48" s="60">
        <v>34.520000000000003</v>
      </c>
      <c r="M48" s="60">
        <v>16.71</v>
      </c>
      <c r="N48" s="60">
        <v>464.2</v>
      </c>
      <c r="O48" s="60">
        <v>0</v>
      </c>
      <c r="P48" s="60">
        <v>1.57</v>
      </c>
      <c r="Q48" s="60">
        <v>30.15</v>
      </c>
      <c r="R48" s="198"/>
      <c r="S48" s="198"/>
      <c r="T48" s="198"/>
      <c r="U48" s="198"/>
    </row>
    <row r="49" spans="1:21" s="12" customFormat="1" x14ac:dyDescent="0.25">
      <c r="A49" s="201" t="s">
        <v>1728</v>
      </c>
      <c r="B49" s="60">
        <v>32.590000000000003</v>
      </c>
      <c r="C49" s="60">
        <v>110.6</v>
      </c>
      <c r="D49" s="60">
        <v>87.18</v>
      </c>
      <c r="E49" s="60">
        <v>11.28</v>
      </c>
      <c r="F49" s="60">
        <v>5.03</v>
      </c>
      <c r="G49" s="60">
        <v>146.01</v>
      </c>
      <c r="H49" s="60">
        <v>68.900000000000006</v>
      </c>
      <c r="I49" s="60">
        <v>0.69</v>
      </c>
      <c r="J49" s="60">
        <v>1.28</v>
      </c>
      <c r="K49" s="60">
        <v>14.31</v>
      </c>
      <c r="L49" s="60">
        <v>34.979999999999997</v>
      </c>
      <c r="M49" s="60">
        <v>15.72</v>
      </c>
      <c r="N49" s="60">
        <v>476.2</v>
      </c>
      <c r="O49" s="60">
        <v>0</v>
      </c>
      <c r="P49" s="60">
        <v>1.54</v>
      </c>
      <c r="Q49" s="60">
        <v>30.6</v>
      </c>
      <c r="R49" s="198"/>
      <c r="S49" s="198"/>
      <c r="T49" s="198"/>
      <c r="U49" s="198"/>
    </row>
    <row r="50" spans="1:21" s="12" customFormat="1" x14ac:dyDescent="0.25">
      <c r="A50" s="201" t="s">
        <v>1729</v>
      </c>
      <c r="B50" s="60">
        <v>28.15</v>
      </c>
      <c r="C50" s="60">
        <v>108.52</v>
      </c>
      <c r="D50" s="60">
        <v>82.46</v>
      </c>
      <c r="E50" s="60">
        <v>10.89</v>
      </c>
      <c r="F50" s="60">
        <v>5.59</v>
      </c>
      <c r="G50" s="60">
        <v>146.01</v>
      </c>
      <c r="H50" s="60">
        <v>68.900000000000006</v>
      </c>
      <c r="I50" s="60">
        <v>0.69</v>
      </c>
      <c r="J50" s="60">
        <v>1.1599999999999999</v>
      </c>
      <c r="K50" s="60">
        <v>10.119999999999999</v>
      </c>
      <c r="L50" s="60">
        <v>35.090000000000003</v>
      </c>
      <c r="M50" s="60">
        <v>15.67</v>
      </c>
      <c r="N50" s="60">
        <v>489</v>
      </c>
      <c r="O50" s="60">
        <v>0</v>
      </c>
      <c r="P50" s="60">
        <v>1.43</v>
      </c>
      <c r="Q50" s="60">
        <v>30.59</v>
      </c>
      <c r="R50" s="198"/>
      <c r="S50" s="198"/>
      <c r="T50" s="198"/>
      <c r="U50" s="198"/>
    </row>
    <row r="51" spans="1:21" s="12" customFormat="1" x14ac:dyDescent="0.25">
      <c r="A51" s="201" t="s">
        <v>1730</v>
      </c>
      <c r="B51" s="60">
        <v>50.61</v>
      </c>
      <c r="C51" s="60">
        <v>24.93</v>
      </c>
      <c r="D51" s="60">
        <v>54.34</v>
      </c>
      <c r="E51" s="60">
        <v>4.6500000000000004</v>
      </c>
      <c r="F51" s="60">
        <v>5.79</v>
      </c>
      <c r="G51" s="60">
        <v>146.01</v>
      </c>
      <c r="H51" s="60">
        <v>68.900000000000006</v>
      </c>
      <c r="I51" s="60">
        <v>0.69</v>
      </c>
      <c r="J51" s="60">
        <v>1.49</v>
      </c>
      <c r="K51" s="60">
        <v>17.59</v>
      </c>
      <c r="L51" s="60">
        <v>35.17</v>
      </c>
      <c r="M51" s="60">
        <v>14.87</v>
      </c>
      <c r="N51" s="60">
        <v>503.1</v>
      </c>
      <c r="O51" s="60">
        <v>0</v>
      </c>
      <c r="P51" s="60">
        <v>1.01</v>
      </c>
      <c r="Q51" s="60">
        <v>19</v>
      </c>
      <c r="R51" s="198"/>
      <c r="S51" s="198"/>
      <c r="T51" s="198"/>
      <c r="U51" s="198"/>
    </row>
    <row r="52" spans="1:21" s="12" customFormat="1" x14ac:dyDescent="0.25">
      <c r="A52" s="201" t="s">
        <v>1731</v>
      </c>
      <c r="B52" s="60">
        <v>121.78</v>
      </c>
      <c r="C52" s="60">
        <v>56.8</v>
      </c>
      <c r="D52" s="60">
        <v>129.01</v>
      </c>
      <c r="E52" s="60">
        <v>2.94</v>
      </c>
      <c r="F52" s="60">
        <v>7.92</v>
      </c>
      <c r="G52" s="60">
        <v>146.01</v>
      </c>
      <c r="H52" s="60">
        <v>68.900000000000006</v>
      </c>
      <c r="I52" s="60">
        <v>0.65</v>
      </c>
      <c r="J52" s="60">
        <v>1.54</v>
      </c>
      <c r="K52" s="60">
        <v>22.63</v>
      </c>
      <c r="L52" s="60">
        <v>35.619999999999997</v>
      </c>
      <c r="M52" s="60">
        <v>14.72</v>
      </c>
      <c r="N52" s="60">
        <v>517.70000000000005</v>
      </c>
      <c r="O52" s="60">
        <v>0</v>
      </c>
      <c r="P52" s="60">
        <v>0.93</v>
      </c>
      <c r="Q52" s="60">
        <v>16</v>
      </c>
      <c r="R52" s="198"/>
      <c r="S52" s="198"/>
      <c r="T52" s="198"/>
      <c r="U52" s="198"/>
    </row>
    <row r="53" spans="1:21" s="12" customFormat="1" x14ac:dyDescent="0.25">
      <c r="A53" s="201" t="s">
        <v>1732</v>
      </c>
      <c r="B53" s="60">
        <v>132.74</v>
      </c>
      <c r="C53" s="60">
        <v>61.87</v>
      </c>
      <c r="D53" s="60">
        <v>140.6</v>
      </c>
      <c r="E53" s="60">
        <v>2.58</v>
      </c>
      <c r="F53" s="60">
        <v>8.64</v>
      </c>
      <c r="G53" s="60">
        <v>146.01</v>
      </c>
      <c r="H53" s="60">
        <v>68.900000000000006</v>
      </c>
      <c r="I53" s="60">
        <v>0.53</v>
      </c>
      <c r="J53" s="60">
        <v>1.36</v>
      </c>
      <c r="K53" s="60">
        <v>26.65</v>
      </c>
      <c r="L53" s="60">
        <v>36.01</v>
      </c>
      <c r="M53" s="60">
        <v>13.57</v>
      </c>
      <c r="N53" s="60">
        <v>538.20000000000005</v>
      </c>
      <c r="O53" s="60">
        <v>0</v>
      </c>
      <c r="P53" s="60">
        <v>0.9</v>
      </c>
      <c r="Q53" s="60">
        <v>16.16</v>
      </c>
      <c r="R53" s="198"/>
      <c r="S53" s="198"/>
      <c r="T53" s="198"/>
      <c r="U53" s="198"/>
    </row>
    <row r="54" spans="1:21" s="12" customFormat="1" x14ac:dyDescent="0.25">
      <c r="A54" s="201" t="s">
        <v>1733</v>
      </c>
      <c r="B54" s="60">
        <v>3.12</v>
      </c>
      <c r="C54" s="60">
        <v>79.72</v>
      </c>
      <c r="D54" s="60">
        <v>46.5</v>
      </c>
      <c r="E54" s="60">
        <v>46.84</v>
      </c>
      <c r="F54" s="60">
        <v>8.52</v>
      </c>
      <c r="G54" s="60">
        <v>87.61</v>
      </c>
      <c r="H54" s="60">
        <v>41.34</v>
      </c>
      <c r="I54" s="60">
        <v>0.52</v>
      </c>
      <c r="J54" s="60">
        <v>1.58</v>
      </c>
      <c r="K54" s="60">
        <v>18.66</v>
      </c>
      <c r="L54" s="60">
        <v>36.369999999999997</v>
      </c>
      <c r="M54" s="60">
        <v>14.23</v>
      </c>
      <c r="N54" s="60">
        <v>562.1</v>
      </c>
      <c r="O54" s="60">
        <v>0</v>
      </c>
      <c r="P54" s="60">
        <v>0.86</v>
      </c>
      <c r="Q54" s="60">
        <v>16.760000000000002</v>
      </c>
      <c r="R54" s="198"/>
      <c r="S54" s="198"/>
      <c r="T54" s="198"/>
      <c r="U54" s="198"/>
    </row>
    <row r="55" spans="1:21" s="12" customFormat="1" x14ac:dyDescent="0.25">
      <c r="A55" s="201" t="s">
        <v>1734</v>
      </c>
      <c r="B55" s="60">
        <v>2.59</v>
      </c>
      <c r="C55" s="60">
        <v>78.56</v>
      </c>
      <c r="D55" s="60">
        <v>45.43</v>
      </c>
      <c r="E55" s="60">
        <v>118.66</v>
      </c>
      <c r="F55" s="60">
        <v>4.82</v>
      </c>
      <c r="G55" s="214" t="s">
        <v>40</v>
      </c>
      <c r="H55" s="214" t="s">
        <v>40</v>
      </c>
      <c r="I55" s="60">
        <v>0.51</v>
      </c>
      <c r="J55" s="60">
        <v>0.91</v>
      </c>
      <c r="K55" s="60">
        <v>359.97</v>
      </c>
      <c r="L55" s="60">
        <v>36.69</v>
      </c>
      <c r="M55" s="60">
        <v>14.8</v>
      </c>
      <c r="N55" s="60">
        <v>574.29999999999995</v>
      </c>
      <c r="O55" s="60">
        <v>0</v>
      </c>
      <c r="P55" s="60">
        <v>0.83</v>
      </c>
      <c r="Q55" s="60">
        <v>16.82</v>
      </c>
      <c r="R55" s="198"/>
      <c r="S55" s="198"/>
      <c r="T55" s="198"/>
      <c r="U55" s="198"/>
    </row>
    <row r="56" spans="1:21" s="12" customFormat="1" x14ac:dyDescent="0.25">
      <c r="A56" s="201" t="s">
        <v>1735</v>
      </c>
      <c r="B56" s="60">
        <v>2.56</v>
      </c>
      <c r="C56" s="60">
        <v>76.569999999999993</v>
      </c>
      <c r="D56" s="60">
        <v>44.31</v>
      </c>
      <c r="E56" s="60">
        <v>112.15</v>
      </c>
      <c r="F56" s="60">
        <v>7.24</v>
      </c>
      <c r="G56" s="214" t="s">
        <v>40</v>
      </c>
      <c r="H56" s="214" t="s">
        <v>40</v>
      </c>
      <c r="I56" s="60">
        <v>0.51</v>
      </c>
      <c r="J56" s="60">
        <v>0.94</v>
      </c>
      <c r="K56" s="60">
        <v>2.7</v>
      </c>
      <c r="L56" s="60">
        <v>36.520000000000003</v>
      </c>
      <c r="M56" s="60">
        <v>14.89</v>
      </c>
      <c r="N56" s="60">
        <v>589.4</v>
      </c>
      <c r="O56" s="60">
        <v>0</v>
      </c>
      <c r="P56" s="60">
        <v>0</v>
      </c>
      <c r="Q56" s="60">
        <v>17.04</v>
      </c>
      <c r="R56" s="198"/>
      <c r="S56" s="198"/>
      <c r="T56" s="198"/>
      <c r="U56" s="198"/>
    </row>
    <row r="57" spans="1:21" s="12" customFormat="1" x14ac:dyDescent="0.25">
      <c r="A57" s="201" t="s">
        <v>1736</v>
      </c>
      <c r="B57" s="60">
        <v>2.48</v>
      </c>
      <c r="C57" s="60">
        <v>74.819999999999993</v>
      </c>
      <c r="D57" s="60">
        <v>43.28</v>
      </c>
      <c r="E57" s="60">
        <v>10.1</v>
      </c>
      <c r="F57" s="60">
        <v>5.35</v>
      </c>
      <c r="G57" s="214" t="s">
        <v>40</v>
      </c>
      <c r="H57" s="214" t="s">
        <v>40</v>
      </c>
      <c r="I57" s="60">
        <v>0.53</v>
      </c>
      <c r="J57" s="60">
        <v>1.1200000000000001</v>
      </c>
      <c r="K57" s="60">
        <v>4.95</v>
      </c>
      <c r="L57" s="60">
        <v>36.68</v>
      </c>
      <c r="M57" s="60">
        <v>14.37</v>
      </c>
      <c r="N57" s="60">
        <v>601.79999999999995</v>
      </c>
      <c r="O57" s="60">
        <v>0</v>
      </c>
      <c r="P57" s="60">
        <v>0.34</v>
      </c>
      <c r="Q57" s="60">
        <v>17.41</v>
      </c>
      <c r="R57" s="198"/>
      <c r="S57" s="198"/>
      <c r="T57" s="198"/>
      <c r="U57" s="198"/>
    </row>
    <row r="58" spans="1:21" s="12" customFormat="1" x14ac:dyDescent="0.25">
      <c r="A58" s="201" t="s">
        <v>1737</v>
      </c>
      <c r="B58" s="60">
        <v>2.0699999999999998</v>
      </c>
      <c r="C58" s="60">
        <v>71.78</v>
      </c>
      <c r="D58" s="60">
        <v>41.27</v>
      </c>
      <c r="E58" s="60">
        <v>5.74</v>
      </c>
      <c r="F58" s="60">
        <v>7.58</v>
      </c>
      <c r="G58" s="60">
        <v>17.010000000000002</v>
      </c>
      <c r="H58" s="60">
        <v>10.45</v>
      </c>
      <c r="I58" s="60">
        <v>0.51</v>
      </c>
      <c r="J58" s="60">
        <v>1.47</v>
      </c>
      <c r="K58" s="60">
        <v>7.65</v>
      </c>
      <c r="L58" s="60">
        <v>36.049999999999997</v>
      </c>
      <c r="M58" s="60">
        <v>14.4</v>
      </c>
      <c r="N58" s="60">
        <v>602</v>
      </c>
      <c r="O58" s="60">
        <v>0</v>
      </c>
      <c r="P58" s="60">
        <v>4.55</v>
      </c>
      <c r="Q58" s="60">
        <v>17.059999999999999</v>
      </c>
      <c r="R58" s="198"/>
      <c r="S58" s="198"/>
      <c r="T58" s="198"/>
      <c r="U58" s="198"/>
    </row>
    <row r="59" spans="1:21" s="12" customFormat="1" x14ac:dyDescent="0.25">
      <c r="A59" s="201" t="s">
        <v>1738</v>
      </c>
      <c r="B59" s="60">
        <v>2.0099999999999998</v>
      </c>
      <c r="C59" s="60">
        <v>67.48</v>
      </c>
      <c r="D59" s="60">
        <v>38.85</v>
      </c>
      <c r="E59" s="60">
        <v>5.35</v>
      </c>
      <c r="F59" s="60">
        <v>8.1199999999999992</v>
      </c>
      <c r="G59" s="60">
        <v>41.38</v>
      </c>
      <c r="H59" s="60">
        <v>25.42</v>
      </c>
      <c r="I59" s="60">
        <v>0.52</v>
      </c>
      <c r="J59" s="60">
        <v>0.34</v>
      </c>
      <c r="K59" s="60">
        <v>3.28</v>
      </c>
      <c r="L59" s="60">
        <v>34.82</v>
      </c>
      <c r="M59" s="60">
        <v>14.88</v>
      </c>
      <c r="N59" s="60">
        <v>580</v>
      </c>
      <c r="O59" s="60">
        <v>0</v>
      </c>
      <c r="P59" s="60">
        <v>2.0099999999999998</v>
      </c>
      <c r="Q59" s="60">
        <v>16.43</v>
      </c>
      <c r="R59" s="198"/>
      <c r="S59" s="198"/>
      <c r="T59" s="198"/>
      <c r="U59" s="198"/>
    </row>
    <row r="60" spans="1:21" s="12" customFormat="1" x14ac:dyDescent="0.25">
      <c r="A60" s="201" t="s">
        <v>1739</v>
      </c>
      <c r="B60" s="60">
        <v>2.2400000000000002</v>
      </c>
      <c r="C60" s="60">
        <v>67.510000000000005</v>
      </c>
      <c r="D60" s="60">
        <v>39.049999999999997</v>
      </c>
      <c r="E60" s="60">
        <v>4.7300000000000004</v>
      </c>
      <c r="F60" s="60">
        <v>7.06</v>
      </c>
      <c r="G60" s="60">
        <v>41.38</v>
      </c>
      <c r="H60" s="60">
        <v>25.42</v>
      </c>
      <c r="I60" s="60">
        <v>0.52</v>
      </c>
      <c r="J60" s="60">
        <v>1.1200000000000001</v>
      </c>
      <c r="K60" s="60">
        <v>357.9</v>
      </c>
      <c r="L60" s="60">
        <v>35.71</v>
      </c>
      <c r="M60" s="60">
        <v>14.94</v>
      </c>
      <c r="N60" s="60">
        <v>563.9</v>
      </c>
      <c r="O60" s="60">
        <v>0</v>
      </c>
      <c r="P60" s="60">
        <v>0.59</v>
      </c>
      <c r="Q60" s="60">
        <v>15.52</v>
      </c>
      <c r="R60" s="198"/>
      <c r="S60" s="198"/>
      <c r="T60" s="198"/>
      <c r="U60" s="198"/>
    </row>
    <row r="61" spans="1:21" s="12" customFormat="1" x14ac:dyDescent="0.25">
      <c r="A61" s="201" t="s">
        <v>1740</v>
      </c>
      <c r="B61" s="60">
        <v>2.38</v>
      </c>
      <c r="C61" s="60">
        <v>68.75</v>
      </c>
      <c r="D61" s="60">
        <v>39.85</v>
      </c>
      <c r="E61" s="60">
        <v>3.97</v>
      </c>
      <c r="F61" s="60">
        <v>5.44</v>
      </c>
      <c r="G61" s="60">
        <v>41.38</v>
      </c>
      <c r="H61" s="60">
        <v>25.42</v>
      </c>
      <c r="I61" s="60">
        <v>0.51</v>
      </c>
      <c r="J61" s="60">
        <v>1.23</v>
      </c>
      <c r="K61" s="60">
        <v>2.76</v>
      </c>
      <c r="L61" s="60">
        <v>36.67</v>
      </c>
      <c r="M61" s="60">
        <v>14.33</v>
      </c>
      <c r="N61" s="60">
        <v>538.70000000000005</v>
      </c>
      <c r="O61" s="60">
        <v>0</v>
      </c>
      <c r="P61" s="60">
        <v>0.56000000000000005</v>
      </c>
      <c r="Q61" s="60">
        <v>15.49</v>
      </c>
      <c r="R61" s="198"/>
      <c r="S61" s="198"/>
      <c r="T61" s="198"/>
      <c r="U61" s="198"/>
    </row>
    <row r="62" spans="1:21" s="12" customFormat="1" x14ac:dyDescent="0.25">
      <c r="A62" s="201" t="s">
        <v>1741</v>
      </c>
      <c r="B62" s="60">
        <v>2.7</v>
      </c>
      <c r="C62" s="60">
        <v>64.349999999999994</v>
      </c>
      <c r="D62" s="60">
        <v>37.68</v>
      </c>
      <c r="E62" s="60">
        <v>3.54</v>
      </c>
      <c r="F62" s="60">
        <v>7.5</v>
      </c>
      <c r="G62" s="60">
        <v>43.36</v>
      </c>
      <c r="H62" s="60">
        <v>24.43</v>
      </c>
      <c r="I62" s="60">
        <v>0.51</v>
      </c>
      <c r="J62" s="60">
        <v>1.72</v>
      </c>
      <c r="K62" s="60">
        <v>12.19</v>
      </c>
      <c r="L62" s="60">
        <v>36.11</v>
      </c>
      <c r="M62" s="60">
        <v>13.33</v>
      </c>
      <c r="N62" s="60">
        <v>515.5</v>
      </c>
      <c r="O62" s="60">
        <v>0</v>
      </c>
      <c r="P62" s="60">
        <v>0.56000000000000005</v>
      </c>
      <c r="Q62" s="60">
        <v>16.12</v>
      </c>
      <c r="R62" s="198"/>
      <c r="S62" s="198"/>
      <c r="T62" s="198"/>
      <c r="U62" s="198"/>
    </row>
    <row r="63" spans="1:21" s="12" customFormat="1" x14ac:dyDescent="0.25">
      <c r="A63" s="201" t="s">
        <v>1742</v>
      </c>
      <c r="B63" s="60">
        <v>4.45</v>
      </c>
      <c r="C63" s="60">
        <v>65.84</v>
      </c>
      <c r="D63" s="60">
        <v>39.9</v>
      </c>
      <c r="E63" s="60">
        <v>3.68</v>
      </c>
      <c r="F63" s="60">
        <v>4.04</v>
      </c>
      <c r="G63" s="60">
        <v>46.2</v>
      </c>
      <c r="H63" s="60">
        <v>23</v>
      </c>
      <c r="I63" s="60">
        <v>0.51</v>
      </c>
      <c r="J63" s="60">
        <v>1.81</v>
      </c>
      <c r="K63" s="60">
        <v>14.51</v>
      </c>
      <c r="L63" s="60">
        <v>36.35</v>
      </c>
      <c r="M63" s="60">
        <v>13.85</v>
      </c>
      <c r="N63" s="60">
        <v>493</v>
      </c>
      <c r="O63" s="60">
        <v>0</v>
      </c>
      <c r="P63" s="60">
        <v>0.56999999999999995</v>
      </c>
      <c r="Q63" s="60">
        <v>16.75</v>
      </c>
      <c r="R63" s="198"/>
      <c r="S63" s="198"/>
      <c r="T63" s="198"/>
      <c r="U63" s="198"/>
    </row>
    <row r="64" spans="1:21" s="12" customFormat="1" x14ac:dyDescent="0.25">
      <c r="A64" s="201" t="s">
        <v>1743</v>
      </c>
      <c r="B64" s="60">
        <v>3.17</v>
      </c>
      <c r="C64" s="60">
        <v>65.89</v>
      </c>
      <c r="D64" s="60">
        <v>38.909999999999997</v>
      </c>
      <c r="E64" s="60">
        <v>3.64</v>
      </c>
      <c r="F64" s="60">
        <v>4.4400000000000004</v>
      </c>
      <c r="G64" s="60">
        <v>46.2</v>
      </c>
      <c r="H64" s="60">
        <v>23</v>
      </c>
      <c r="I64" s="60">
        <v>0.5</v>
      </c>
      <c r="J64" s="60">
        <v>1.55</v>
      </c>
      <c r="K64" s="60">
        <v>9.6999999999999993</v>
      </c>
      <c r="L64" s="60">
        <v>36.06</v>
      </c>
      <c r="M64" s="60">
        <v>14.06</v>
      </c>
      <c r="N64" s="60">
        <v>477.2</v>
      </c>
      <c r="O64" s="60">
        <v>0</v>
      </c>
      <c r="P64" s="60">
        <v>0.56999999999999995</v>
      </c>
      <c r="Q64" s="60">
        <v>18.760000000000002</v>
      </c>
      <c r="R64" s="198"/>
      <c r="S64" s="198"/>
      <c r="T64" s="198"/>
      <c r="U64" s="198"/>
    </row>
    <row r="65" spans="1:21" s="12" customFormat="1" x14ac:dyDescent="0.25">
      <c r="A65" s="201" t="s">
        <v>1744</v>
      </c>
      <c r="B65" s="60">
        <v>2.57</v>
      </c>
      <c r="C65" s="60">
        <v>65.760000000000005</v>
      </c>
      <c r="D65" s="60">
        <v>38.36</v>
      </c>
      <c r="E65" s="60">
        <v>3.79</v>
      </c>
      <c r="F65" s="60">
        <v>4.26</v>
      </c>
      <c r="G65" s="60">
        <v>46.2</v>
      </c>
      <c r="H65" s="60">
        <v>23</v>
      </c>
      <c r="I65" s="60">
        <v>0.52</v>
      </c>
      <c r="J65" s="60">
        <v>0.99</v>
      </c>
      <c r="K65" s="60">
        <v>353.82</v>
      </c>
      <c r="L65" s="60">
        <v>36.450000000000003</v>
      </c>
      <c r="M65" s="60">
        <v>14.25</v>
      </c>
      <c r="N65" s="60">
        <v>462.8</v>
      </c>
      <c r="O65" s="60">
        <v>0</v>
      </c>
      <c r="P65" s="60">
        <v>0.55000000000000004</v>
      </c>
      <c r="Q65" s="60">
        <v>19.5</v>
      </c>
      <c r="R65" s="198"/>
      <c r="S65" s="198"/>
      <c r="T65" s="198"/>
      <c r="U65" s="198"/>
    </row>
    <row r="66" spans="1:21" s="12" customFormat="1" x14ac:dyDescent="0.25">
      <c r="A66" s="201" t="s">
        <v>1745</v>
      </c>
      <c r="B66" s="60">
        <v>2.5099999999999998</v>
      </c>
      <c r="C66" s="60">
        <v>65.69</v>
      </c>
      <c r="D66" s="60">
        <v>38.26</v>
      </c>
      <c r="E66" s="60">
        <v>3.56</v>
      </c>
      <c r="F66" s="60">
        <v>4.43</v>
      </c>
      <c r="G66" s="60">
        <v>44.57</v>
      </c>
      <c r="H66" s="60">
        <v>23.25</v>
      </c>
      <c r="I66" s="60">
        <v>0.52</v>
      </c>
      <c r="J66" s="60">
        <v>1.53</v>
      </c>
      <c r="K66" s="60">
        <v>14.74</v>
      </c>
      <c r="L66" s="60">
        <v>36.01</v>
      </c>
      <c r="M66" s="60">
        <v>14.8</v>
      </c>
      <c r="N66" s="60">
        <v>454.4</v>
      </c>
      <c r="O66" s="60">
        <v>0</v>
      </c>
      <c r="P66" s="60">
        <v>0.55000000000000004</v>
      </c>
      <c r="Q66" s="60">
        <v>19.54</v>
      </c>
      <c r="R66" s="198"/>
      <c r="S66" s="198"/>
      <c r="T66" s="198"/>
      <c r="U66" s="198"/>
    </row>
    <row r="67" spans="1:21" s="12" customFormat="1" x14ac:dyDescent="0.25">
      <c r="A67" s="201" t="s">
        <v>1746</v>
      </c>
      <c r="B67" s="60">
        <v>2.38</v>
      </c>
      <c r="C67" s="60">
        <v>65.7</v>
      </c>
      <c r="D67" s="60">
        <v>38.17</v>
      </c>
      <c r="E67" s="60">
        <v>3.73</v>
      </c>
      <c r="F67" s="60">
        <v>4.59</v>
      </c>
      <c r="G67" s="60">
        <v>42.23</v>
      </c>
      <c r="H67" s="60">
        <v>23.61</v>
      </c>
      <c r="I67" s="60">
        <v>0.53</v>
      </c>
      <c r="J67" s="60">
        <v>0.89</v>
      </c>
      <c r="K67" s="60">
        <v>0.35</v>
      </c>
      <c r="L67" s="60">
        <v>35.369999999999997</v>
      </c>
      <c r="M67" s="60">
        <v>15.49</v>
      </c>
      <c r="N67" s="60">
        <v>436.4</v>
      </c>
      <c r="O67" s="60">
        <v>0</v>
      </c>
      <c r="P67" s="60">
        <v>0.55000000000000004</v>
      </c>
      <c r="Q67" s="60">
        <v>19.899999999999999</v>
      </c>
      <c r="R67" s="198"/>
      <c r="S67" s="198"/>
      <c r="T67" s="198"/>
      <c r="U67" s="198"/>
    </row>
    <row r="68" spans="1:21" s="12" customFormat="1" x14ac:dyDescent="0.25">
      <c r="A68" s="201" t="s">
        <v>1747</v>
      </c>
      <c r="B68" s="60">
        <v>2.5499999999999998</v>
      </c>
      <c r="C68" s="60">
        <v>66.02</v>
      </c>
      <c r="D68" s="60">
        <v>38.479999999999997</v>
      </c>
      <c r="E68" s="60">
        <v>4.25</v>
      </c>
      <c r="F68" s="60">
        <v>5.31</v>
      </c>
      <c r="G68" s="60">
        <v>42.23</v>
      </c>
      <c r="H68" s="60">
        <v>23.61</v>
      </c>
      <c r="I68" s="60">
        <v>0.51</v>
      </c>
      <c r="J68" s="60">
        <v>1.55</v>
      </c>
      <c r="K68" s="60">
        <v>16.72</v>
      </c>
      <c r="L68" s="60">
        <v>35.75</v>
      </c>
      <c r="M68" s="60">
        <v>15.28</v>
      </c>
      <c r="N68" s="60">
        <v>410.5</v>
      </c>
      <c r="O68" s="60">
        <v>0</v>
      </c>
      <c r="P68" s="60">
        <v>0.53</v>
      </c>
      <c r="Q68" s="60">
        <v>20.04</v>
      </c>
      <c r="R68" s="198"/>
      <c r="S68" s="198"/>
      <c r="T68" s="198"/>
      <c r="U68" s="198"/>
    </row>
    <row r="69" spans="1:21" s="12" customFormat="1" x14ac:dyDescent="0.25">
      <c r="A69" s="201" t="s">
        <v>1748</v>
      </c>
      <c r="B69" s="60">
        <v>3.63</v>
      </c>
      <c r="C69" s="60">
        <v>67.400000000000006</v>
      </c>
      <c r="D69" s="60">
        <v>40.11</v>
      </c>
      <c r="E69" s="60">
        <v>3.94</v>
      </c>
      <c r="F69" s="60">
        <v>5.62</v>
      </c>
      <c r="G69" s="60">
        <v>42.23</v>
      </c>
      <c r="H69" s="60">
        <v>23.61</v>
      </c>
      <c r="I69" s="60">
        <v>0.52</v>
      </c>
      <c r="J69" s="60">
        <v>1.49</v>
      </c>
      <c r="K69" s="60">
        <v>21.82</v>
      </c>
      <c r="L69" s="60">
        <v>35.799999999999997</v>
      </c>
      <c r="M69" s="60">
        <v>15.33</v>
      </c>
      <c r="N69" s="60">
        <v>381.4</v>
      </c>
      <c r="O69" s="60">
        <v>0</v>
      </c>
      <c r="P69" s="60">
        <v>0.54</v>
      </c>
      <c r="Q69" s="60">
        <v>20.5</v>
      </c>
      <c r="R69" s="198"/>
      <c r="S69" s="198"/>
      <c r="T69" s="198"/>
      <c r="U69" s="198"/>
    </row>
    <row r="70" spans="1:21" s="12" customFormat="1" x14ac:dyDescent="0.25">
      <c r="A70" s="201" t="s">
        <v>1749</v>
      </c>
      <c r="B70" s="60">
        <v>4.5</v>
      </c>
      <c r="C70" s="60">
        <v>64.83</v>
      </c>
      <c r="D70" s="60">
        <v>39.39</v>
      </c>
      <c r="E70" s="60">
        <v>4.34</v>
      </c>
      <c r="F70" s="60">
        <v>11.97</v>
      </c>
      <c r="G70" s="60">
        <v>41.95</v>
      </c>
      <c r="H70" s="60">
        <v>21.1</v>
      </c>
      <c r="I70" s="60">
        <v>0.5</v>
      </c>
      <c r="J70" s="60">
        <v>1.44</v>
      </c>
      <c r="K70" s="60">
        <v>15.01</v>
      </c>
      <c r="L70" s="60">
        <v>35.19</v>
      </c>
      <c r="M70" s="60">
        <v>15.96</v>
      </c>
      <c r="N70" s="60">
        <v>332.1</v>
      </c>
      <c r="O70" s="60">
        <v>0</v>
      </c>
      <c r="P70" s="60">
        <v>0.52</v>
      </c>
      <c r="Q70" s="60">
        <v>20.51</v>
      </c>
      <c r="R70" s="198"/>
      <c r="S70" s="198"/>
      <c r="T70" s="198"/>
      <c r="U70" s="198"/>
    </row>
    <row r="71" spans="1:21" s="12" customFormat="1" x14ac:dyDescent="0.25">
      <c r="A71" s="201" t="s">
        <v>1750</v>
      </c>
      <c r="B71" s="60">
        <v>4.2699999999999996</v>
      </c>
      <c r="C71" s="60">
        <v>65.11</v>
      </c>
      <c r="D71" s="60">
        <v>39.36</v>
      </c>
      <c r="E71" s="60">
        <v>4.3899999999999997</v>
      </c>
      <c r="F71" s="60">
        <v>6.32</v>
      </c>
      <c r="G71" s="60">
        <v>41.54</v>
      </c>
      <c r="H71" s="60">
        <v>17.5</v>
      </c>
      <c r="I71" s="60">
        <v>0.51</v>
      </c>
      <c r="J71" s="60">
        <v>1.29</v>
      </c>
      <c r="K71" s="60">
        <v>358.63</v>
      </c>
      <c r="L71" s="60">
        <v>35.35</v>
      </c>
      <c r="M71" s="60">
        <v>15.93</v>
      </c>
      <c r="N71" s="60">
        <v>249</v>
      </c>
      <c r="O71" s="60">
        <v>0</v>
      </c>
      <c r="P71" s="60">
        <v>0.54</v>
      </c>
      <c r="Q71" s="60">
        <v>20.09</v>
      </c>
      <c r="R71" s="198"/>
      <c r="S71" s="198"/>
      <c r="T71" s="198"/>
      <c r="U71" s="198"/>
    </row>
    <row r="72" spans="1:21" s="12" customFormat="1" x14ac:dyDescent="0.25">
      <c r="A72" s="201" t="s">
        <v>1751</v>
      </c>
      <c r="B72" s="60">
        <v>3.67</v>
      </c>
      <c r="C72" s="60">
        <v>65.709999999999994</v>
      </c>
      <c r="D72" s="60">
        <v>39.21</v>
      </c>
      <c r="E72" s="60">
        <v>1.7</v>
      </c>
      <c r="F72" s="60">
        <v>6.48</v>
      </c>
      <c r="G72" s="60">
        <v>41.54</v>
      </c>
      <c r="H72" s="60">
        <v>17.5</v>
      </c>
      <c r="I72" s="60">
        <v>0.51</v>
      </c>
      <c r="J72" s="60">
        <v>1.83</v>
      </c>
      <c r="K72" s="60">
        <v>6.37</v>
      </c>
      <c r="L72" s="60">
        <v>34.29</v>
      </c>
      <c r="M72" s="60">
        <v>16.72</v>
      </c>
      <c r="N72" s="60">
        <v>126</v>
      </c>
      <c r="O72" s="60">
        <v>0</v>
      </c>
      <c r="P72" s="60">
        <v>0.54</v>
      </c>
      <c r="Q72" s="60">
        <v>19.760000000000002</v>
      </c>
      <c r="R72" s="198"/>
      <c r="S72" s="198"/>
      <c r="T72" s="198"/>
      <c r="U72" s="198"/>
    </row>
    <row r="73" spans="1:21" s="12" customFormat="1" x14ac:dyDescent="0.25">
      <c r="A73" s="201" t="s">
        <v>1752</v>
      </c>
      <c r="B73" s="60">
        <v>2.89</v>
      </c>
      <c r="C73" s="60">
        <v>61.94</v>
      </c>
      <c r="D73" s="60">
        <v>36.5</v>
      </c>
      <c r="E73" s="60">
        <v>3.37</v>
      </c>
      <c r="F73" s="60">
        <v>8.1300000000000008</v>
      </c>
      <c r="G73" s="60">
        <v>41.54</v>
      </c>
      <c r="H73" s="60">
        <v>17.5</v>
      </c>
      <c r="I73" s="60">
        <v>0.53</v>
      </c>
      <c r="J73" s="60">
        <v>1.43</v>
      </c>
      <c r="K73" s="60">
        <v>10.39</v>
      </c>
      <c r="L73" s="60">
        <v>33.22</v>
      </c>
      <c r="M73" s="60">
        <v>17.88</v>
      </c>
      <c r="N73" s="60">
        <v>194.3</v>
      </c>
      <c r="O73" s="60">
        <v>0</v>
      </c>
      <c r="P73" s="60">
        <v>0.54</v>
      </c>
      <c r="Q73" s="60">
        <v>19.66</v>
      </c>
      <c r="R73" s="198"/>
      <c r="S73" s="198"/>
      <c r="T73" s="198"/>
      <c r="U73" s="198"/>
    </row>
    <row r="74" spans="1:21" s="12" customFormat="1" x14ac:dyDescent="0.25">
      <c r="A74" s="201" t="s">
        <v>1753</v>
      </c>
      <c r="B74" s="60">
        <v>5.43</v>
      </c>
      <c r="C74" s="60">
        <v>67.8</v>
      </c>
      <c r="D74" s="60">
        <v>41.77</v>
      </c>
      <c r="E74" s="60">
        <v>3.03</v>
      </c>
      <c r="F74" s="60">
        <v>5.87</v>
      </c>
      <c r="G74" s="60">
        <v>38.43</v>
      </c>
      <c r="H74" s="60">
        <v>14.64</v>
      </c>
      <c r="I74" s="60">
        <v>0.53</v>
      </c>
      <c r="J74" s="60">
        <v>1.07</v>
      </c>
      <c r="K74" s="60">
        <v>1.71</v>
      </c>
      <c r="L74" s="60">
        <v>32.51</v>
      </c>
      <c r="M74" s="60">
        <v>18.37</v>
      </c>
      <c r="N74" s="60">
        <v>96.1</v>
      </c>
      <c r="O74" s="60">
        <v>0</v>
      </c>
      <c r="P74" s="60">
        <v>0.54</v>
      </c>
      <c r="Q74" s="60">
        <v>20.329999999999998</v>
      </c>
      <c r="R74" s="198"/>
      <c r="S74" s="198"/>
      <c r="T74" s="198"/>
      <c r="U74" s="198"/>
    </row>
    <row r="75" spans="1:21" s="12" customFormat="1" x14ac:dyDescent="0.25">
      <c r="A75" s="201" t="s">
        <v>1754</v>
      </c>
      <c r="B75" s="60">
        <v>5.65</v>
      </c>
      <c r="C75" s="60">
        <v>66.900000000000006</v>
      </c>
      <c r="D75" s="60">
        <v>41.45</v>
      </c>
      <c r="E75" s="60">
        <v>4.04</v>
      </c>
      <c r="F75" s="60">
        <v>10.62</v>
      </c>
      <c r="G75" s="60">
        <v>33.99</v>
      </c>
      <c r="H75" s="60">
        <v>10.54</v>
      </c>
      <c r="I75" s="60">
        <v>0.52</v>
      </c>
      <c r="J75" s="60">
        <v>0.88</v>
      </c>
      <c r="K75" s="60">
        <v>7.96</v>
      </c>
      <c r="L75" s="60">
        <v>31.98</v>
      </c>
      <c r="M75" s="60">
        <v>19.489999999999998</v>
      </c>
      <c r="N75" s="60">
        <v>78.900000000000006</v>
      </c>
      <c r="O75" s="60">
        <v>0</v>
      </c>
      <c r="P75" s="60">
        <v>0.57999999999999996</v>
      </c>
      <c r="Q75" s="60">
        <v>20.6</v>
      </c>
      <c r="R75" s="198"/>
      <c r="S75" s="198"/>
      <c r="T75" s="198"/>
      <c r="U75" s="198"/>
    </row>
    <row r="76" spans="1:21" s="12" customFormat="1" x14ac:dyDescent="0.25">
      <c r="A76" s="201" t="s">
        <v>1755</v>
      </c>
      <c r="B76" s="60">
        <v>4.91</v>
      </c>
      <c r="C76" s="60">
        <v>66.2</v>
      </c>
      <c r="D76" s="60">
        <v>40.47</v>
      </c>
      <c r="E76" s="60">
        <v>3.64</v>
      </c>
      <c r="F76" s="60">
        <v>9.68</v>
      </c>
      <c r="G76" s="60">
        <v>33.99</v>
      </c>
      <c r="H76" s="60">
        <v>10.54</v>
      </c>
      <c r="I76" s="60">
        <v>0.53</v>
      </c>
      <c r="J76" s="60">
        <v>1.35</v>
      </c>
      <c r="K76" s="60">
        <v>15.95</v>
      </c>
      <c r="L76" s="60">
        <v>31.53</v>
      </c>
      <c r="M76" s="60">
        <v>18.39</v>
      </c>
      <c r="N76" s="60">
        <v>42.8</v>
      </c>
      <c r="O76" s="60">
        <v>0</v>
      </c>
      <c r="P76" s="60">
        <v>0.55000000000000004</v>
      </c>
      <c r="Q76" s="60">
        <v>21.31</v>
      </c>
      <c r="R76" s="198"/>
      <c r="S76" s="198"/>
      <c r="T76" s="198"/>
      <c r="U76" s="198"/>
    </row>
    <row r="77" spans="1:21" s="12" customFormat="1" x14ac:dyDescent="0.25">
      <c r="A77" s="201" t="s">
        <v>1756</v>
      </c>
      <c r="B77" s="60">
        <v>5.67</v>
      </c>
      <c r="C77" s="60">
        <v>67.69</v>
      </c>
      <c r="D77" s="60">
        <v>41.91</v>
      </c>
      <c r="E77" s="60">
        <v>2.93</v>
      </c>
      <c r="F77" s="60">
        <v>6.5</v>
      </c>
      <c r="G77" s="60">
        <v>33.99</v>
      </c>
      <c r="H77" s="60">
        <v>10.54</v>
      </c>
      <c r="I77" s="60">
        <v>0.54</v>
      </c>
      <c r="J77" s="60">
        <v>1.52</v>
      </c>
      <c r="K77" s="60">
        <v>17.61</v>
      </c>
      <c r="L77" s="60">
        <v>31.04</v>
      </c>
      <c r="M77" s="60">
        <v>17.850000000000001</v>
      </c>
      <c r="N77" s="60">
        <v>34.799999999999997</v>
      </c>
      <c r="O77" s="60">
        <v>0</v>
      </c>
      <c r="P77" s="60">
        <v>0.57999999999999996</v>
      </c>
      <c r="Q77" s="60">
        <v>21.75</v>
      </c>
      <c r="R77" s="198"/>
      <c r="S77" s="198"/>
      <c r="T77" s="198"/>
      <c r="U77" s="198"/>
    </row>
    <row r="78" spans="1:21" s="12" customFormat="1" x14ac:dyDescent="0.25">
      <c r="A78" s="201" t="s">
        <v>1757</v>
      </c>
      <c r="B78" s="60">
        <v>5.95</v>
      </c>
      <c r="C78" s="60">
        <v>68.08</v>
      </c>
      <c r="D78" s="60">
        <v>42.34</v>
      </c>
      <c r="E78" s="60">
        <v>2.64</v>
      </c>
      <c r="F78" s="60">
        <v>4.7300000000000004</v>
      </c>
      <c r="G78" s="60">
        <v>35.86</v>
      </c>
      <c r="H78" s="60">
        <v>11.58</v>
      </c>
      <c r="I78" s="60">
        <v>0.52</v>
      </c>
      <c r="J78" s="60">
        <v>1.22</v>
      </c>
      <c r="K78" s="60">
        <v>9.11</v>
      </c>
      <c r="L78" s="60">
        <v>30.42</v>
      </c>
      <c r="M78" s="60">
        <v>20.04</v>
      </c>
      <c r="N78" s="60">
        <v>25.1</v>
      </c>
      <c r="O78" s="60">
        <v>0</v>
      </c>
      <c r="P78" s="60">
        <v>0.6</v>
      </c>
      <c r="Q78" s="60">
        <v>22.46</v>
      </c>
      <c r="R78" s="198"/>
      <c r="S78" s="198"/>
      <c r="T78" s="198"/>
      <c r="U78" s="198"/>
    </row>
    <row r="79" spans="1:21" s="12" customFormat="1" x14ac:dyDescent="0.25">
      <c r="A79" s="201" t="s">
        <v>1758</v>
      </c>
      <c r="B79" s="60">
        <v>4.62</v>
      </c>
      <c r="C79" s="60">
        <v>72.290000000000006</v>
      </c>
      <c r="D79" s="60">
        <v>43.6</v>
      </c>
      <c r="E79" s="60">
        <v>2.96</v>
      </c>
      <c r="F79" s="60">
        <v>5.18</v>
      </c>
      <c r="G79" s="60">
        <v>38.54</v>
      </c>
      <c r="H79" s="60">
        <v>13.06</v>
      </c>
      <c r="I79" s="60">
        <v>0.54</v>
      </c>
      <c r="J79" s="60">
        <v>0.86</v>
      </c>
      <c r="K79" s="60">
        <v>7.2</v>
      </c>
      <c r="L79" s="60">
        <v>29.63</v>
      </c>
      <c r="M79" s="60">
        <v>21.72</v>
      </c>
      <c r="N79" s="60">
        <v>14.7</v>
      </c>
      <c r="O79" s="60">
        <v>0</v>
      </c>
      <c r="P79" s="60">
        <v>0.68</v>
      </c>
      <c r="Q79" s="60">
        <v>22.48</v>
      </c>
      <c r="R79" s="198"/>
      <c r="S79" s="198"/>
      <c r="T79" s="198"/>
      <c r="U79" s="198"/>
    </row>
    <row r="80" spans="1:21" s="12" customFormat="1" x14ac:dyDescent="0.25">
      <c r="A80" s="201" t="s">
        <v>1759</v>
      </c>
      <c r="B80" s="60">
        <v>8.56</v>
      </c>
      <c r="C80" s="60">
        <v>82.8</v>
      </c>
      <c r="D80" s="60">
        <v>52.56</v>
      </c>
      <c r="E80" s="60">
        <v>3.41</v>
      </c>
      <c r="F80" s="60">
        <v>5.21</v>
      </c>
      <c r="G80" s="60">
        <v>38.54</v>
      </c>
      <c r="H80" s="60">
        <v>13.06</v>
      </c>
      <c r="I80" s="60">
        <v>0.56000000000000005</v>
      </c>
      <c r="J80" s="60">
        <v>0.64</v>
      </c>
      <c r="K80" s="60">
        <v>25.03</v>
      </c>
      <c r="L80" s="60">
        <v>28.93</v>
      </c>
      <c r="M80" s="60">
        <v>22.56</v>
      </c>
      <c r="N80" s="60">
        <v>7.9</v>
      </c>
      <c r="O80" s="60">
        <v>0</v>
      </c>
      <c r="P80" s="60">
        <v>0.77</v>
      </c>
      <c r="Q80" s="60">
        <v>22.22</v>
      </c>
      <c r="R80" s="198"/>
      <c r="S80" s="198"/>
      <c r="T80" s="198"/>
      <c r="U80" s="198"/>
    </row>
    <row r="81" spans="1:26" s="12" customFormat="1" x14ac:dyDescent="0.25">
      <c r="A81" s="201" t="s">
        <v>1760</v>
      </c>
      <c r="B81" s="60">
        <v>16.68</v>
      </c>
      <c r="C81" s="60">
        <v>94.34</v>
      </c>
      <c r="D81" s="60">
        <v>65.44</v>
      </c>
      <c r="E81" s="60">
        <v>3.91</v>
      </c>
      <c r="F81" s="60">
        <v>3.91</v>
      </c>
      <c r="G81" s="60">
        <v>38.54</v>
      </c>
      <c r="H81" s="60">
        <v>13.06</v>
      </c>
      <c r="I81" s="60">
        <v>0.56000000000000005</v>
      </c>
      <c r="J81" s="60">
        <v>0.12</v>
      </c>
      <c r="K81" s="60">
        <v>52.96</v>
      </c>
      <c r="L81" s="60">
        <v>28.13</v>
      </c>
      <c r="M81" s="60">
        <v>23.93</v>
      </c>
      <c r="N81" s="60">
        <v>5.3</v>
      </c>
      <c r="O81" s="60">
        <v>0</v>
      </c>
      <c r="P81" s="60">
        <v>1.02</v>
      </c>
      <c r="Q81" s="60">
        <v>22.33</v>
      </c>
      <c r="R81" s="198"/>
      <c r="S81" s="198"/>
      <c r="T81" s="198"/>
      <c r="U81" s="198"/>
    </row>
    <row r="82" spans="1:26" s="12" customFormat="1" x14ac:dyDescent="0.25">
      <c r="A82" s="201" t="s">
        <v>1761</v>
      </c>
      <c r="B82" s="60">
        <v>15.32</v>
      </c>
      <c r="C82" s="60">
        <v>95.53</v>
      </c>
      <c r="D82" s="60">
        <v>65.010000000000005</v>
      </c>
      <c r="E82" s="60">
        <v>3.97</v>
      </c>
      <c r="F82" s="60">
        <v>2.13</v>
      </c>
      <c r="G82" s="60">
        <v>42.85</v>
      </c>
      <c r="H82" s="60">
        <v>14.84</v>
      </c>
      <c r="I82" s="60">
        <v>0.57999999999999996</v>
      </c>
      <c r="J82" s="60">
        <v>0</v>
      </c>
      <c r="K82" s="60">
        <v>335.64</v>
      </c>
      <c r="L82" s="60">
        <v>27.3</v>
      </c>
      <c r="M82" s="60">
        <v>26.56</v>
      </c>
      <c r="N82" s="60">
        <v>4.7</v>
      </c>
      <c r="O82" s="60">
        <v>0</v>
      </c>
      <c r="P82" s="60">
        <v>1.04</v>
      </c>
      <c r="Q82" s="60">
        <v>22.79</v>
      </c>
      <c r="R82" s="198"/>
      <c r="S82" s="198"/>
      <c r="T82" s="198"/>
      <c r="U82" s="198"/>
    </row>
    <row r="83" spans="1:26" s="12" customFormat="1" x14ac:dyDescent="0.25">
      <c r="A83" s="201" t="s">
        <v>1762</v>
      </c>
      <c r="B83" s="60">
        <v>16.46</v>
      </c>
      <c r="C83" s="60">
        <v>98.18</v>
      </c>
      <c r="D83" s="60">
        <v>67.38</v>
      </c>
      <c r="E83" s="60">
        <v>3.4</v>
      </c>
      <c r="F83" s="60">
        <v>1.61</v>
      </c>
      <c r="G83" s="60">
        <v>49.02</v>
      </c>
      <c r="H83" s="60">
        <v>17.38</v>
      </c>
      <c r="I83" s="60">
        <v>0.61</v>
      </c>
      <c r="J83" s="60">
        <v>0.18</v>
      </c>
      <c r="K83" s="60">
        <v>108.79</v>
      </c>
      <c r="L83" s="60">
        <v>26.38</v>
      </c>
      <c r="M83" s="60">
        <v>30.49</v>
      </c>
      <c r="N83" s="60">
        <v>4.5999999999999996</v>
      </c>
      <c r="O83" s="60">
        <v>0</v>
      </c>
      <c r="P83" s="60">
        <v>1.01</v>
      </c>
      <c r="Q83" s="60">
        <v>23.89</v>
      </c>
      <c r="R83" s="198"/>
      <c r="S83" s="198"/>
      <c r="T83" s="198"/>
      <c r="U83" s="198"/>
    </row>
    <row r="84" spans="1:26" s="12" customFormat="1" x14ac:dyDescent="0.25">
      <c r="A84" s="201" t="s">
        <v>1763</v>
      </c>
      <c r="B84" s="60">
        <v>19.03</v>
      </c>
      <c r="C84" s="60">
        <v>100.93</v>
      </c>
      <c r="D84" s="60">
        <v>70.959999999999994</v>
      </c>
      <c r="E84" s="60">
        <v>3.82</v>
      </c>
      <c r="F84" s="60">
        <v>1.78</v>
      </c>
      <c r="G84" s="60">
        <v>49.02</v>
      </c>
      <c r="H84" s="60">
        <v>17.38</v>
      </c>
      <c r="I84" s="60">
        <v>0.63</v>
      </c>
      <c r="J84" s="60">
        <v>0.13</v>
      </c>
      <c r="K84" s="60">
        <v>110.56</v>
      </c>
      <c r="L84" s="60">
        <v>25.54</v>
      </c>
      <c r="M84" s="60">
        <v>34.26</v>
      </c>
      <c r="N84" s="60">
        <v>4.5999999999999996</v>
      </c>
      <c r="O84" s="60">
        <v>0</v>
      </c>
      <c r="P84" s="60">
        <v>1.1299999999999999</v>
      </c>
      <c r="Q84" s="60">
        <v>24.39</v>
      </c>
      <c r="R84" s="198"/>
      <c r="S84" s="198"/>
      <c r="T84" s="198"/>
      <c r="U84" s="198"/>
    </row>
    <row r="85" spans="1:26" s="12" customFormat="1" x14ac:dyDescent="0.25">
      <c r="A85" s="201" t="s">
        <v>1764</v>
      </c>
      <c r="B85" s="60">
        <v>46.24</v>
      </c>
      <c r="C85" s="60">
        <v>119.38</v>
      </c>
      <c r="D85" s="60">
        <v>102.97</v>
      </c>
      <c r="E85" s="60">
        <v>4.93</v>
      </c>
      <c r="F85" s="60">
        <v>1.91</v>
      </c>
      <c r="G85" s="60">
        <v>49.02</v>
      </c>
      <c r="H85" s="60">
        <v>17.38</v>
      </c>
      <c r="I85" s="60">
        <v>0.68</v>
      </c>
      <c r="J85" s="60">
        <v>0.09</v>
      </c>
      <c r="K85" s="60">
        <v>300.43</v>
      </c>
      <c r="L85" s="60">
        <v>24.98</v>
      </c>
      <c r="M85" s="60">
        <v>38.26</v>
      </c>
      <c r="N85" s="60">
        <v>4.4000000000000004</v>
      </c>
      <c r="O85" s="60">
        <v>0</v>
      </c>
      <c r="P85" s="60">
        <v>1.6</v>
      </c>
      <c r="Q85" s="60">
        <v>23.01</v>
      </c>
      <c r="R85" s="198"/>
      <c r="S85" s="198"/>
      <c r="T85" s="198"/>
      <c r="U85" s="198"/>
    </row>
    <row r="86" spans="1:26" s="12" customFormat="1" x14ac:dyDescent="0.25">
      <c r="A86" s="201" t="s">
        <v>1765</v>
      </c>
      <c r="B86" s="60">
        <v>42.19</v>
      </c>
      <c r="C86" s="60">
        <v>117.01</v>
      </c>
      <c r="D86" s="60">
        <v>98.41</v>
      </c>
      <c r="E86" s="60">
        <v>5.86</v>
      </c>
      <c r="F86" s="60">
        <v>1.49</v>
      </c>
      <c r="G86" s="60">
        <v>92.44</v>
      </c>
      <c r="H86" s="60">
        <v>22.74</v>
      </c>
      <c r="I86" s="60">
        <v>0.68</v>
      </c>
      <c r="J86" s="60">
        <v>0.2</v>
      </c>
      <c r="K86" s="60">
        <v>295.58999999999997</v>
      </c>
      <c r="L86" s="60">
        <v>25</v>
      </c>
      <c r="M86" s="60">
        <v>35.590000000000003</v>
      </c>
      <c r="N86" s="60">
        <v>3.9</v>
      </c>
      <c r="O86" s="60">
        <v>0</v>
      </c>
      <c r="P86" s="60">
        <v>1.53</v>
      </c>
      <c r="Q86" s="60">
        <v>22.98</v>
      </c>
      <c r="R86" s="198"/>
      <c r="S86" s="198"/>
      <c r="T86" s="198"/>
      <c r="U86" s="198"/>
    </row>
    <row r="87" spans="1:26" s="12" customFormat="1" x14ac:dyDescent="0.25">
      <c r="A87" s="201" t="s">
        <v>1766</v>
      </c>
      <c r="B87" s="60">
        <v>35.53</v>
      </c>
      <c r="C87" s="60">
        <v>110.73</v>
      </c>
      <c r="D87" s="60">
        <v>89.6</v>
      </c>
      <c r="E87" s="60">
        <v>4.87</v>
      </c>
      <c r="F87" s="60">
        <v>1.5</v>
      </c>
      <c r="G87" s="60">
        <v>154.65</v>
      </c>
      <c r="H87" s="60">
        <v>30.42</v>
      </c>
      <c r="I87" s="60">
        <v>0.85</v>
      </c>
      <c r="J87" s="60">
        <v>0.08</v>
      </c>
      <c r="K87" s="60">
        <v>345.56</v>
      </c>
      <c r="L87" s="60">
        <v>25.38</v>
      </c>
      <c r="M87" s="60">
        <v>35.76</v>
      </c>
      <c r="N87" s="60">
        <v>3.4</v>
      </c>
      <c r="O87" s="60">
        <v>0</v>
      </c>
      <c r="P87" s="60">
        <v>1.6</v>
      </c>
      <c r="Q87" s="60">
        <v>24.32</v>
      </c>
      <c r="R87" s="198"/>
      <c r="S87" s="198"/>
      <c r="T87" s="198"/>
      <c r="U87" s="198"/>
    </row>
    <row r="88" spans="1:26" s="12" customFormat="1" x14ac:dyDescent="0.25">
      <c r="A88" s="201" t="s">
        <v>1767</v>
      </c>
      <c r="B88" s="60">
        <v>38.43</v>
      </c>
      <c r="C88" s="60">
        <v>113.25</v>
      </c>
      <c r="D88" s="60">
        <v>93.32</v>
      </c>
      <c r="E88" s="60">
        <v>2.5299999999999998</v>
      </c>
      <c r="F88" s="60">
        <v>1.75</v>
      </c>
      <c r="G88" s="60">
        <v>154.65</v>
      </c>
      <c r="H88" s="60">
        <v>30.42</v>
      </c>
      <c r="I88" s="60">
        <v>0.86</v>
      </c>
      <c r="J88" s="60">
        <v>0.1</v>
      </c>
      <c r="K88" s="60">
        <v>6.25</v>
      </c>
      <c r="L88" s="60">
        <v>25.3</v>
      </c>
      <c r="M88" s="60">
        <v>35.61</v>
      </c>
      <c r="N88" s="60">
        <v>4.3</v>
      </c>
      <c r="O88" s="60">
        <v>0</v>
      </c>
      <c r="P88" s="60">
        <v>1.68</v>
      </c>
      <c r="Q88" s="60">
        <v>25.64</v>
      </c>
      <c r="R88" s="198"/>
      <c r="S88" s="198"/>
      <c r="T88" s="198"/>
      <c r="U88" s="198"/>
    </row>
    <row r="89" spans="1:26" s="12" customFormat="1" x14ac:dyDescent="0.25">
      <c r="A89" s="201" t="s">
        <v>1768</v>
      </c>
      <c r="B89" s="60">
        <v>33.76</v>
      </c>
      <c r="C89" s="60">
        <v>107.37</v>
      </c>
      <c r="D89" s="60">
        <v>86.32</v>
      </c>
      <c r="E89" s="60">
        <v>4.8499999999999996</v>
      </c>
      <c r="F89" s="60">
        <v>1.8</v>
      </c>
      <c r="G89" s="60">
        <v>154.65</v>
      </c>
      <c r="H89" s="60">
        <v>30.42</v>
      </c>
      <c r="I89" s="60">
        <v>0.88</v>
      </c>
      <c r="J89" s="60">
        <v>0.26</v>
      </c>
      <c r="K89" s="60">
        <v>95.75</v>
      </c>
      <c r="L89" s="60">
        <v>24.76</v>
      </c>
      <c r="M89" s="60">
        <v>36.700000000000003</v>
      </c>
      <c r="N89" s="60">
        <v>4</v>
      </c>
      <c r="O89" s="60">
        <v>0</v>
      </c>
      <c r="P89" s="60">
        <v>1.54</v>
      </c>
      <c r="Q89" s="60">
        <v>26.62</v>
      </c>
      <c r="R89" s="198"/>
      <c r="S89" s="198"/>
      <c r="T89" s="198"/>
      <c r="U89" s="198"/>
    </row>
    <row r="90" spans="1:26" s="12" customFormat="1" x14ac:dyDescent="0.25">
      <c r="A90" s="201" t="s">
        <v>1769</v>
      </c>
      <c r="B90" s="60">
        <v>46.23</v>
      </c>
      <c r="C90" s="60">
        <v>115.97</v>
      </c>
      <c r="D90" s="60">
        <v>101.07</v>
      </c>
      <c r="E90" s="60">
        <v>4.53</v>
      </c>
      <c r="F90" s="60">
        <v>1.63</v>
      </c>
      <c r="G90" s="60">
        <v>147.78</v>
      </c>
      <c r="H90" s="60">
        <v>33.64</v>
      </c>
      <c r="I90" s="60">
        <v>0.88</v>
      </c>
      <c r="J90" s="60">
        <v>0.25</v>
      </c>
      <c r="K90" s="60">
        <v>102.95</v>
      </c>
      <c r="L90" s="60">
        <v>24.4</v>
      </c>
      <c r="M90" s="60">
        <v>40.82</v>
      </c>
      <c r="N90" s="60">
        <v>4.2</v>
      </c>
      <c r="O90" s="60">
        <v>0</v>
      </c>
      <c r="P90" s="60">
        <v>1.61</v>
      </c>
      <c r="Q90" s="60">
        <v>27.1</v>
      </c>
      <c r="R90" s="198"/>
      <c r="S90" s="198"/>
      <c r="T90" s="198"/>
      <c r="U90" s="198"/>
    </row>
    <row r="91" spans="1:26" s="12" customFormat="1" x14ac:dyDescent="0.25">
      <c r="A91" s="201" t="s">
        <v>1770</v>
      </c>
      <c r="B91" s="60">
        <v>51.67</v>
      </c>
      <c r="C91" s="60">
        <v>119.48</v>
      </c>
      <c r="D91" s="60">
        <v>107.37</v>
      </c>
      <c r="E91" s="60">
        <v>5.13</v>
      </c>
      <c r="F91" s="60">
        <v>1.51</v>
      </c>
      <c r="G91" s="60">
        <v>137.93</v>
      </c>
      <c r="H91" s="60">
        <v>38.25</v>
      </c>
      <c r="I91" s="60">
        <v>0.87</v>
      </c>
      <c r="J91" s="60">
        <v>0.04</v>
      </c>
      <c r="K91" s="60">
        <v>108.89</v>
      </c>
      <c r="L91" s="60">
        <v>23.83</v>
      </c>
      <c r="M91" s="60">
        <v>47.64</v>
      </c>
      <c r="N91" s="60">
        <v>4.4000000000000004</v>
      </c>
      <c r="O91" s="60">
        <v>0</v>
      </c>
      <c r="P91" s="60">
        <v>1.67</v>
      </c>
      <c r="Q91" s="60">
        <v>27.03</v>
      </c>
      <c r="R91" s="198"/>
      <c r="S91" s="198"/>
      <c r="T91" s="198"/>
      <c r="U91" s="198"/>
    </row>
    <row r="92" spans="1:26" s="12" customFormat="1" x14ac:dyDescent="0.25">
      <c r="A92" s="201" t="s">
        <v>1771</v>
      </c>
      <c r="B92" s="60">
        <v>44.8</v>
      </c>
      <c r="C92" s="60">
        <v>112.26</v>
      </c>
      <c r="D92" s="60">
        <v>97.88</v>
      </c>
      <c r="E92" s="60">
        <v>4.6100000000000003</v>
      </c>
      <c r="F92" s="60">
        <v>1.46</v>
      </c>
      <c r="G92" s="60">
        <v>137.93</v>
      </c>
      <c r="H92" s="60">
        <v>38.25</v>
      </c>
      <c r="I92" s="60">
        <v>0.95</v>
      </c>
      <c r="J92" s="60">
        <v>0.13</v>
      </c>
      <c r="K92" s="60">
        <v>93.06</v>
      </c>
      <c r="L92" s="60">
        <v>23.7</v>
      </c>
      <c r="M92" s="60">
        <v>44.67</v>
      </c>
      <c r="N92" s="60">
        <v>4.0999999999999996</v>
      </c>
      <c r="O92" s="60">
        <v>0</v>
      </c>
      <c r="P92" s="60">
        <v>1.62</v>
      </c>
      <c r="Q92" s="60">
        <v>28.81</v>
      </c>
      <c r="R92" s="198"/>
      <c r="S92" s="198"/>
      <c r="T92" s="198"/>
      <c r="U92" s="198"/>
    </row>
    <row r="93" spans="1:26" s="12" customFormat="1" x14ac:dyDescent="0.25">
      <c r="A93" s="201" t="s">
        <v>1772</v>
      </c>
      <c r="B93" s="60">
        <v>48.14</v>
      </c>
      <c r="C93" s="60">
        <v>114.83</v>
      </c>
      <c r="D93" s="60">
        <v>101.97</v>
      </c>
      <c r="E93" s="60">
        <v>4.38</v>
      </c>
      <c r="F93" s="60">
        <v>1.5</v>
      </c>
      <c r="G93" s="60">
        <v>137.93</v>
      </c>
      <c r="H93" s="60">
        <v>38.25</v>
      </c>
      <c r="I93" s="60">
        <v>0.95</v>
      </c>
      <c r="J93" s="60">
        <v>0.71</v>
      </c>
      <c r="K93" s="60">
        <v>20.93</v>
      </c>
      <c r="L93" s="60">
        <v>24.14</v>
      </c>
      <c r="M93" s="60">
        <v>41.79</v>
      </c>
      <c r="N93" s="60">
        <v>2.2999999999999998</v>
      </c>
      <c r="O93" s="60">
        <v>0</v>
      </c>
      <c r="P93" s="60">
        <v>1.72</v>
      </c>
      <c r="Q93" s="60">
        <v>30.58</v>
      </c>
      <c r="R93" s="198"/>
      <c r="S93" s="198"/>
      <c r="T93" s="198"/>
      <c r="U93" s="198"/>
    </row>
    <row r="94" spans="1:26" s="12" customFormat="1" x14ac:dyDescent="0.25">
      <c r="A94" s="201" t="s">
        <v>1773</v>
      </c>
      <c r="B94" s="60">
        <v>48.95</v>
      </c>
      <c r="C94" s="60">
        <v>115.4</v>
      </c>
      <c r="D94" s="60">
        <v>102.94</v>
      </c>
      <c r="E94" s="60">
        <v>5.1100000000000003</v>
      </c>
      <c r="F94" s="60">
        <v>1.67</v>
      </c>
      <c r="G94" s="60">
        <v>143.05000000000001</v>
      </c>
      <c r="H94" s="60">
        <v>41.8</v>
      </c>
      <c r="I94" s="60">
        <v>0.95</v>
      </c>
      <c r="J94" s="60">
        <v>0.78</v>
      </c>
      <c r="K94" s="60">
        <v>24.57</v>
      </c>
      <c r="L94" s="60">
        <v>24.85</v>
      </c>
      <c r="M94" s="60">
        <v>35.47</v>
      </c>
      <c r="N94" s="60">
        <v>2.9</v>
      </c>
      <c r="O94" s="60">
        <v>0</v>
      </c>
      <c r="P94" s="60">
        <v>1.83</v>
      </c>
      <c r="Q94" s="60">
        <v>31.11</v>
      </c>
      <c r="R94" s="198"/>
      <c r="S94" s="198"/>
      <c r="T94" s="198"/>
      <c r="U94" s="198"/>
    </row>
    <row r="95" spans="1:26" s="12" customFormat="1" x14ac:dyDescent="0.25">
      <c r="A95" s="201" t="s">
        <v>1774</v>
      </c>
      <c r="B95" s="60">
        <v>50.38</v>
      </c>
      <c r="C95" s="60">
        <v>117.94</v>
      </c>
      <c r="D95" s="60">
        <v>105.49</v>
      </c>
      <c r="E95" s="60">
        <v>4.63</v>
      </c>
      <c r="F95" s="60">
        <v>1.58</v>
      </c>
      <c r="G95" s="60">
        <v>150.37</v>
      </c>
      <c r="H95" s="60">
        <v>46.89</v>
      </c>
      <c r="I95" s="60">
        <v>0.99</v>
      </c>
      <c r="J95" s="60">
        <v>0.37</v>
      </c>
      <c r="K95" s="60">
        <v>78.75</v>
      </c>
      <c r="L95" s="60">
        <v>25.04</v>
      </c>
      <c r="M95" s="60">
        <v>33.68</v>
      </c>
      <c r="N95" s="60">
        <v>4.0999999999999996</v>
      </c>
      <c r="O95" s="60">
        <v>0</v>
      </c>
      <c r="P95" s="60">
        <v>1.87</v>
      </c>
      <c r="Q95" s="60">
        <v>31.05</v>
      </c>
      <c r="R95" s="198"/>
      <c r="S95" s="198"/>
      <c r="T95" s="198"/>
      <c r="U95" s="198"/>
    </row>
    <row r="96" spans="1:26" s="12" customFormat="1" x14ac:dyDescent="0.25">
      <c r="A96" s="201" t="s">
        <v>1775</v>
      </c>
      <c r="B96" s="60">
        <v>48.78</v>
      </c>
      <c r="C96" s="60">
        <v>117.47</v>
      </c>
      <c r="D96" s="60">
        <v>103.95</v>
      </c>
      <c r="E96" s="60">
        <v>4.54</v>
      </c>
      <c r="F96" s="60">
        <v>1.48</v>
      </c>
      <c r="G96" s="60">
        <v>150.37</v>
      </c>
      <c r="H96" s="60">
        <v>46.89</v>
      </c>
      <c r="I96" s="60">
        <v>1.01</v>
      </c>
      <c r="J96" s="60">
        <v>0.3</v>
      </c>
      <c r="K96" s="60">
        <v>70.2</v>
      </c>
      <c r="L96" s="60">
        <v>24.65</v>
      </c>
      <c r="M96" s="60">
        <v>34.47</v>
      </c>
      <c r="N96" s="60">
        <v>4.4000000000000004</v>
      </c>
      <c r="O96" s="60">
        <v>0</v>
      </c>
      <c r="P96" s="60">
        <v>1.89</v>
      </c>
      <c r="Q96" s="60">
        <v>31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1776</v>
      </c>
      <c r="B97" s="60">
        <v>47.78</v>
      </c>
      <c r="C97" s="60">
        <v>117.97</v>
      </c>
      <c r="D97" s="60">
        <v>103.42</v>
      </c>
      <c r="E97" s="60">
        <v>4.41</v>
      </c>
      <c r="F97" s="60">
        <v>1.4</v>
      </c>
      <c r="G97" s="60">
        <v>150.37</v>
      </c>
      <c r="H97" s="60">
        <v>46.89</v>
      </c>
      <c r="I97" s="60">
        <v>1.03</v>
      </c>
      <c r="J97" s="60">
        <v>0.4</v>
      </c>
      <c r="K97" s="60">
        <v>66.31</v>
      </c>
      <c r="L97" s="60">
        <v>24.46</v>
      </c>
      <c r="M97" s="60">
        <v>35.24</v>
      </c>
      <c r="N97" s="60">
        <v>4</v>
      </c>
      <c r="O97" s="60">
        <v>0</v>
      </c>
      <c r="P97" s="60">
        <v>1.87</v>
      </c>
      <c r="Q97" s="60">
        <v>30.94</v>
      </c>
      <c r="R97" s="198"/>
      <c r="S97" s="198"/>
      <c r="T97" s="198"/>
      <c r="U97" s="198"/>
    </row>
    <row r="98" spans="1:33" s="12" customFormat="1" x14ac:dyDescent="0.25">
      <c r="A98" s="201" t="s">
        <v>1777</v>
      </c>
      <c r="B98" s="60">
        <v>46.29</v>
      </c>
      <c r="C98" s="60">
        <v>117.89</v>
      </c>
      <c r="D98" s="60">
        <v>102.18</v>
      </c>
      <c r="E98" s="60">
        <v>4.1500000000000004</v>
      </c>
      <c r="F98" s="60">
        <v>1.43</v>
      </c>
      <c r="G98" s="60">
        <v>132.5</v>
      </c>
      <c r="H98" s="60">
        <v>45.52</v>
      </c>
      <c r="I98" s="60">
        <v>1.04</v>
      </c>
      <c r="J98" s="60">
        <v>0.36</v>
      </c>
      <c r="K98" s="60">
        <v>55.39</v>
      </c>
      <c r="L98" s="60">
        <v>24.31</v>
      </c>
      <c r="M98" s="60">
        <v>34.44</v>
      </c>
      <c r="N98" s="60">
        <v>4.2</v>
      </c>
      <c r="O98" s="60">
        <v>0</v>
      </c>
      <c r="P98" s="60">
        <v>1.86</v>
      </c>
      <c r="Q98" s="60">
        <v>30.73</v>
      </c>
      <c r="R98" s="198"/>
      <c r="S98" s="198"/>
      <c r="T98" s="198"/>
      <c r="U98" s="198"/>
    </row>
    <row r="99" spans="1:33" s="12" customFormat="1" x14ac:dyDescent="0.25">
      <c r="A99" s="201" t="s">
        <v>1778</v>
      </c>
      <c r="B99" s="60">
        <v>47.24</v>
      </c>
      <c r="C99" s="60">
        <v>119.98</v>
      </c>
      <c r="D99" s="60">
        <v>104.09</v>
      </c>
      <c r="E99" s="60">
        <v>5.52</v>
      </c>
      <c r="F99" s="60">
        <v>1.71</v>
      </c>
      <c r="G99" s="60">
        <v>106.91</v>
      </c>
      <c r="H99" s="60">
        <v>43.55</v>
      </c>
      <c r="I99" s="60">
        <v>1.02</v>
      </c>
      <c r="J99" s="60">
        <v>0.37</v>
      </c>
      <c r="K99" s="60">
        <v>68.760000000000005</v>
      </c>
      <c r="L99" s="60">
        <v>24.06</v>
      </c>
      <c r="M99" s="60">
        <v>34.69</v>
      </c>
      <c r="N99" s="60">
        <v>4.0999999999999996</v>
      </c>
      <c r="O99" s="60">
        <v>0</v>
      </c>
      <c r="P99" s="60">
        <v>1.81</v>
      </c>
      <c r="Q99" s="60">
        <v>29.92</v>
      </c>
      <c r="R99" s="198"/>
      <c r="S99" s="198"/>
      <c r="T99" s="198"/>
      <c r="U99" s="198"/>
    </row>
    <row r="100" spans="1:33" s="12" customFormat="1" x14ac:dyDescent="0.25">
      <c r="A100" s="201" t="s">
        <v>1779</v>
      </c>
      <c r="B100" s="60">
        <v>48.74</v>
      </c>
      <c r="C100" s="60">
        <v>121.8</v>
      </c>
      <c r="D100" s="60">
        <v>106.3</v>
      </c>
      <c r="E100" s="60">
        <v>5.36</v>
      </c>
      <c r="F100" s="60">
        <v>2.1</v>
      </c>
      <c r="G100" s="60">
        <v>106.91</v>
      </c>
      <c r="H100" s="60">
        <v>43.55</v>
      </c>
      <c r="I100" s="60">
        <v>1.02</v>
      </c>
      <c r="J100" s="60">
        <v>0.35</v>
      </c>
      <c r="K100" s="60">
        <v>67.790000000000006</v>
      </c>
      <c r="L100" s="60">
        <v>23.81</v>
      </c>
      <c r="M100" s="60">
        <v>34.93</v>
      </c>
      <c r="N100" s="60">
        <v>4.4000000000000004</v>
      </c>
      <c r="O100" s="60">
        <v>0</v>
      </c>
      <c r="P100" s="60">
        <v>1.82</v>
      </c>
      <c r="Q100" s="60">
        <v>29.77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1780</v>
      </c>
      <c r="B101" s="60">
        <v>40.18</v>
      </c>
      <c r="C101" s="60">
        <v>115.57</v>
      </c>
      <c r="D101" s="60">
        <v>96</v>
      </c>
      <c r="E101" s="60">
        <v>5.31</v>
      </c>
      <c r="F101" s="60">
        <v>2.5299999999999998</v>
      </c>
      <c r="G101" s="60">
        <v>106.91</v>
      </c>
      <c r="H101" s="60">
        <v>43.55</v>
      </c>
      <c r="I101" s="60">
        <v>0.98</v>
      </c>
      <c r="J101" s="60">
        <v>0.33</v>
      </c>
      <c r="K101" s="60">
        <v>77.56</v>
      </c>
      <c r="L101" s="60">
        <v>23.54</v>
      </c>
      <c r="M101" s="60">
        <v>35.380000000000003</v>
      </c>
      <c r="N101" s="60">
        <v>4.3</v>
      </c>
      <c r="O101" s="60">
        <v>0</v>
      </c>
      <c r="P101" s="60">
        <v>1.74</v>
      </c>
      <c r="Q101" s="60">
        <v>29.99</v>
      </c>
      <c r="R101" s="198"/>
      <c r="S101" s="198"/>
      <c r="T101" s="198"/>
      <c r="U101" s="198"/>
    </row>
    <row r="102" spans="1:33" s="12" customFormat="1" x14ac:dyDescent="0.25">
      <c r="A102" s="201" t="s">
        <v>1781</v>
      </c>
      <c r="B102" s="60">
        <v>39.21</v>
      </c>
      <c r="C102" s="60">
        <v>112.09</v>
      </c>
      <c r="D102" s="60">
        <v>93.3</v>
      </c>
      <c r="E102" s="60">
        <v>5.57</v>
      </c>
      <c r="F102" s="60">
        <v>3.21</v>
      </c>
      <c r="G102" s="60">
        <v>108.56</v>
      </c>
      <c r="H102" s="60">
        <v>42.12</v>
      </c>
      <c r="I102" s="60">
        <v>0.99</v>
      </c>
      <c r="J102" s="60">
        <v>0.31</v>
      </c>
      <c r="K102" s="60">
        <v>73.459999999999994</v>
      </c>
      <c r="L102" s="60">
        <v>23.29</v>
      </c>
      <c r="M102" s="60">
        <v>35.799999999999997</v>
      </c>
      <c r="N102" s="60">
        <v>4.2</v>
      </c>
      <c r="O102" s="60">
        <v>0</v>
      </c>
      <c r="P102" s="60">
        <v>1.69</v>
      </c>
      <c r="Q102" s="60">
        <v>30.31</v>
      </c>
      <c r="R102" s="198"/>
      <c r="S102" s="198"/>
      <c r="T102" s="198"/>
      <c r="U102" s="198"/>
    </row>
    <row r="103" spans="1:33" s="12" customFormat="1" x14ac:dyDescent="0.25">
      <c r="A103" s="201" t="s">
        <v>1782</v>
      </c>
      <c r="B103" s="60">
        <v>39</v>
      </c>
      <c r="C103" s="60">
        <v>111.13</v>
      </c>
      <c r="D103" s="60">
        <v>92.6</v>
      </c>
      <c r="E103" s="60">
        <v>5.27</v>
      </c>
      <c r="F103" s="60">
        <v>3.55</v>
      </c>
      <c r="G103" s="60">
        <v>110.92</v>
      </c>
      <c r="H103" s="60">
        <v>40.06</v>
      </c>
      <c r="I103" s="60">
        <v>0.97</v>
      </c>
      <c r="J103" s="60">
        <v>0.35</v>
      </c>
      <c r="K103" s="60">
        <v>73.69</v>
      </c>
      <c r="L103" s="60">
        <v>23.11</v>
      </c>
      <c r="M103" s="60">
        <v>35.9</v>
      </c>
      <c r="N103" s="60">
        <v>4.0999999999999996</v>
      </c>
      <c r="O103" s="60">
        <v>0</v>
      </c>
      <c r="P103" s="60">
        <v>1.7</v>
      </c>
      <c r="Q103" s="60">
        <v>30.55</v>
      </c>
      <c r="R103" s="198"/>
      <c r="S103" s="198"/>
      <c r="T103" s="198"/>
      <c r="U103" s="198"/>
    </row>
    <row r="104" spans="1:33" s="12" customFormat="1" x14ac:dyDescent="0.25">
      <c r="A104" s="201" t="s">
        <v>1783</v>
      </c>
      <c r="B104" s="60">
        <v>38.26</v>
      </c>
      <c r="C104" s="60">
        <v>109.09</v>
      </c>
      <c r="D104" s="60">
        <v>90.88</v>
      </c>
      <c r="E104" s="60">
        <v>2.98</v>
      </c>
      <c r="F104" s="60">
        <v>3.37</v>
      </c>
      <c r="G104" s="60">
        <v>110.92</v>
      </c>
      <c r="H104" s="60">
        <v>40.06</v>
      </c>
      <c r="I104" s="60">
        <v>0.97</v>
      </c>
      <c r="J104" s="60">
        <v>0.34</v>
      </c>
      <c r="K104" s="60">
        <v>75.5</v>
      </c>
      <c r="L104" s="60">
        <v>22.89</v>
      </c>
      <c r="M104" s="60">
        <v>36.18</v>
      </c>
      <c r="N104" s="60">
        <v>4.2</v>
      </c>
      <c r="O104" s="60">
        <v>0</v>
      </c>
      <c r="P104" s="60">
        <v>1.68</v>
      </c>
      <c r="Q104" s="60">
        <v>30.65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2.0099999999999998</v>
      </c>
      <c r="C106" s="67">
        <f>MIN(C9:C104)</f>
        <v>24.93</v>
      </c>
      <c r="D106" s="67">
        <f t="shared" ref="D106:Q106" si="0">MIN(D9:D104)</f>
        <v>36.5</v>
      </c>
      <c r="E106" s="67">
        <f t="shared" si="0"/>
        <v>1.7</v>
      </c>
      <c r="F106" s="67">
        <f t="shared" si="0"/>
        <v>1.4</v>
      </c>
      <c r="G106" s="67">
        <f t="shared" si="0"/>
        <v>17.010000000000002</v>
      </c>
      <c r="H106" s="67">
        <f t="shared" si="0"/>
        <v>10.45</v>
      </c>
      <c r="I106" s="67">
        <f t="shared" si="0"/>
        <v>0.5</v>
      </c>
      <c r="J106" s="67">
        <f t="shared" si="0"/>
        <v>0</v>
      </c>
      <c r="K106" s="67">
        <f t="shared" si="0"/>
        <v>0.35</v>
      </c>
      <c r="L106" s="67">
        <f t="shared" si="0"/>
        <v>16.96</v>
      </c>
      <c r="M106" s="67">
        <f t="shared" si="0"/>
        <v>13.33</v>
      </c>
      <c r="N106" s="67">
        <f t="shared" si="0"/>
        <v>2.2999999999999998</v>
      </c>
      <c r="O106" s="67">
        <f t="shared" si="0"/>
        <v>0</v>
      </c>
      <c r="P106" s="67">
        <f t="shared" si="0"/>
        <v>0</v>
      </c>
      <c r="Q106" s="67">
        <f t="shared" si="0"/>
        <v>15.49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132.74</v>
      </c>
      <c r="C107" s="66">
        <f t="shared" ref="C107:Q107" si="1">MAX(C9:C104)</f>
        <v>121.8</v>
      </c>
      <c r="D107" s="66">
        <f t="shared" si="1"/>
        <v>140.6</v>
      </c>
      <c r="E107" s="66">
        <f t="shared" si="1"/>
        <v>118.66</v>
      </c>
      <c r="F107" s="66">
        <f t="shared" si="1"/>
        <v>11.97</v>
      </c>
      <c r="G107" s="66">
        <f t="shared" si="1"/>
        <v>176.69</v>
      </c>
      <c r="H107" s="66">
        <f t="shared" si="1"/>
        <v>75.95</v>
      </c>
      <c r="I107" s="66">
        <f t="shared" si="1"/>
        <v>1.04</v>
      </c>
      <c r="J107" s="66">
        <f t="shared" si="1"/>
        <v>1.83</v>
      </c>
      <c r="K107" s="66">
        <f t="shared" si="1"/>
        <v>359.97</v>
      </c>
      <c r="L107" s="66">
        <f t="shared" si="1"/>
        <v>36.69</v>
      </c>
      <c r="M107" s="66">
        <f t="shared" si="1"/>
        <v>60.26</v>
      </c>
      <c r="N107" s="66">
        <f t="shared" si="1"/>
        <v>602</v>
      </c>
      <c r="O107" s="66">
        <f t="shared" si="1"/>
        <v>0</v>
      </c>
      <c r="P107" s="66">
        <f t="shared" si="1"/>
        <v>4.55</v>
      </c>
      <c r="Q107" s="66">
        <f t="shared" si="1"/>
        <v>31.11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27.378645833333337</v>
      </c>
      <c r="C108" s="67">
        <f t="shared" ref="C108:Q108" si="2">AVERAGE(C9:C104)</f>
        <v>91.534062499999962</v>
      </c>
      <c r="D108" s="67">
        <f t="shared" si="2"/>
        <v>72.470625000000013</v>
      </c>
      <c r="E108" s="67">
        <f t="shared" si="2"/>
        <v>9.3457291666666631</v>
      </c>
      <c r="F108" s="67">
        <f t="shared" si="2"/>
        <v>4.5856250000000012</v>
      </c>
      <c r="G108" s="67">
        <f t="shared" si="2"/>
        <v>102.00752688172045</v>
      </c>
      <c r="H108" s="67">
        <f t="shared" si="2"/>
        <v>40.663010752688173</v>
      </c>
      <c r="I108" s="67">
        <f t="shared" si="2"/>
        <v>0.68166666666666709</v>
      </c>
      <c r="J108" s="67">
        <f t="shared" si="2"/>
        <v>0.61906249999999996</v>
      </c>
      <c r="K108" s="67">
        <f t="shared" si="2"/>
        <v>130.30958333333334</v>
      </c>
      <c r="L108" s="67">
        <f t="shared" si="2"/>
        <v>26.285416666666666</v>
      </c>
      <c r="M108" s="67">
        <f t="shared" si="2"/>
        <v>33.973020833333322</v>
      </c>
      <c r="N108" s="67">
        <f t="shared" si="2"/>
        <v>163.24166666666665</v>
      </c>
      <c r="O108" s="67">
        <f t="shared" si="2"/>
        <v>0</v>
      </c>
      <c r="P108" s="67">
        <f t="shared" si="2"/>
        <v>1.2530208333333335</v>
      </c>
      <c r="Q108" s="67">
        <f t="shared" si="2"/>
        <v>25.694166666666671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21.821487653459549</v>
      </c>
      <c r="C109" s="67">
        <f t="shared" ref="C109:Q109" si="3">STDEV(C9:C104)</f>
        <v>19.597313273326531</v>
      </c>
      <c r="D109" s="67">
        <f t="shared" si="3"/>
        <v>24.15127900339855</v>
      </c>
      <c r="E109" s="67">
        <f t="shared" si="3"/>
        <v>16.371801029098897</v>
      </c>
      <c r="F109" s="67">
        <f t="shared" si="3"/>
        <v>2.0789515639531242</v>
      </c>
      <c r="G109" s="67">
        <f t="shared" si="3"/>
        <v>48.662845697984999</v>
      </c>
      <c r="H109" s="67">
        <f t="shared" si="3"/>
        <v>19.916231242978586</v>
      </c>
      <c r="I109" s="67">
        <f t="shared" si="3"/>
        <v>0.15294764612814349</v>
      </c>
      <c r="J109" s="67">
        <f t="shared" si="3"/>
        <v>0.54251088395582125</v>
      </c>
      <c r="K109" s="67">
        <f t="shared" si="3"/>
        <v>132.97030020522132</v>
      </c>
      <c r="L109" s="67">
        <f t="shared" si="3"/>
        <v>6.9834726569864269</v>
      </c>
      <c r="M109" s="67">
        <f t="shared" si="3"/>
        <v>15.42832781605194</v>
      </c>
      <c r="N109" s="67">
        <f t="shared" si="3"/>
        <v>217.49602666263831</v>
      </c>
      <c r="O109" s="67">
        <f t="shared" si="3"/>
        <v>0</v>
      </c>
      <c r="P109" s="67">
        <f t="shared" si="3"/>
        <v>0.56796797498981788</v>
      </c>
      <c r="Q109" s="67">
        <f t="shared" si="3"/>
        <v>5.1129661113819367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COUNT(G9:G104)+3</f>
        <v>96</v>
      </c>
      <c r="H110" s="66">
        <f>COUNT(H9:H104)+3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215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8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10" sqref="H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17-02-2023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340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1784</v>
      </c>
      <c r="B9" s="60">
        <v>35.89</v>
      </c>
      <c r="C9" s="60">
        <v>104.99</v>
      </c>
      <c r="D9" s="60">
        <v>86.72</v>
      </c>
      <c r="E9" s="60">
        <v>4.45</v>
      </c>
      <c r="F9" s="60">
        <v>3.48</v>
      </c>
      <c r="G9" s="60">
        <v>110.92</v>
      </c>
      <c r="H9" s="60">
        <v>40.06</v>
      </c>
      <c r="I9" s="60">
        <v>0.98</v>
      </c>
      <c r="J9" s="60">
        <v>0.37</v>
      </c>
      <c r="K9" s="60">
        <v>72.239999999999995</v>
      </c>
      <c r="L9" s="60">
        <v>22.67</v>
      </c>
      <c r="M9" s="60">
        <v>36.979999999999997</v>
      </c>
      <c r="N9" s="60">
        <v>4.0999999999999996</v>
      </c>
      <c r="O9" s="60">
        <v>0</v>
      </c>
      <c r="P9" s="60">
        <v>1.62</v>
      </c>
      <c r="Q9" s="60">
        <v>30.71</v>
      </c>
      <c r="R9" s="198"/>
      <c r="S9" s="198"/>
      <c r="T9" s="198"/>
      <c r="U9" s="198"/>
    </row>
    <row r="10" spans="1:21" s="12" customFormat="1" x14ac:dyDescent="0.25">
      <c r="A10" s="201" t="s">
        <v>1785</v>
      </c>
      <c r="B10" s="60">
        <v>35.19</v>
      </c>
      <c r="C10" s="60">
        <v>107.24</v>
      </c>
      <c r="D10" s="60">
        <v>87.4</v>
      </c>
      <c r="E10" s="60">
        <v>4.26</v>
      </c>
      <c r="F10" s="60">
        <v>2.63</v>
      </c>
      <c r="G10" s="60">
        <v>95.2</v>
      </c>
      <c r="H10" s="60">
        <v>36.35</v>
      </c>
      <c r="I10" s="60">
        <v>0.98</v>
      </c>
      <c r="J10" s="60">
        <v>0.28999999999999998</v>
      </c>
      <c r="K10" s="60">
        <v>61.06</v>
      </c>
      <c r="L10" s="60">
        <v>22.47</v>
      </c>
      <c r="M10" s="60">
        <v>37.5</v>
      </c>
      <c r="N10" s="60">
        <v>4.2</v>
      </c>
      <c r="O10" s="60">
        <v>0</v>
      </c>
      <c r="P10" s="60">
        <v>1.62</v>
      </c>
      <c r="Q10" s="60">
        <v>31.02</v>
      </c>
      <c r="R10" s="198"/>
      <c r="S10" s="198"/>
      <c r="T10" s="198"/>
      <c r="U10" s="198"/>
    </row>
    <row r="11" spans="1:21" s="12" customFormat="1" x14ac:dyDescent="0.25">
      <c r="A11" s="201" t="s">
        <v>1786</v>
      </c>
      <c r="B11" s="60">
        <v>34.18</v>
      </c>
      <c r="C11" s="60">
        <v>106.99</v>
      </c>
      <c r="D11" s="60">
        <v>86.45</v>
      </c>
      <c r="E11" s="60">
        <v>3.86</v>
      </c>
      <c r="F11" s="60">
        <v>1.78</v>
      </c>
      <c r="G11" s="60">
        <v>72.67</v>
      </c>
      <c r="H11" s="60">
        <v>31.02</v>
      </c>
      <c r="I11" s="60">
        <v>0.95</v>
      </c>
      <c r="J11" s="60">
        <v>0.3</v>
      </c>
      <c r="K11" s="60">
        <v>68.92</v>
      </c>
      <c r="L11" s="60">
        <v>22.4</v>
      </c>
      <c r="M11" s="60">
        <v>37.18</v>
      </c>
      <c r="N11" s="60">
        <v>4</v>
      </c>
      <c r="O11" s="60">
        <v>0</v>
      </c>
      <c r="P11" s="60">
        <v>1.56</v>
      </c>
      <c r="Q11" s="60">
        <v>31.7</v>
      </c>
      <c r="R11" s="198"/>
      <c r="S11" s="198"/>
      <c r="T11" s="198"/>
      <c r="U11" s="198"/>
    </row>
    <row r="12" spans="1:21" s="12" customFormat="1" x14ac:dyDescent="0.25">
      <c r="A12" s="201" t="s">
        <v>1787</v>
      </c>
      <c r="B12" s="60">
        <v>30.96</v>
      </c>
      <c r="C12" s="60">
        <v>104.61</v>
      </c>
      <c r="D12" s="60">
        <v>82.56</v>
      </c>
      <c r="E12" s="60">
        <v>3.48</v>
      </c>
      <c r="F12" s="60">
        <v>1.53</v>
      </c>
      <c r="G12" s="60">
        <v>72.67</v>
      </c>
      <c r="H12" s="60">
        <v>31.02</v>
      </c>
      <c r="I12" s="60">
        <v>0.89</v>
      </c>
      <c r="J12" s="60">
        <v>0.25</v>
      </c>
      <c r="K12" s="60">
        <v>52.01</v>
      </c>
      <c r="L12" s="60">
        <v>22.11</v>
      </c>
      <c r="M12" s="60">
        <v>38.03</v>
      </c>
      <c r="N12" s="60">
        <v>4.3</v>
      </c>
      <c r="O12" s="60">
        <v>0</v>
      </c>
      <c r="P12" s="60">
        <v>1.5</v>
      </c>
      <c r="Q12" s="60">
        <v>31.56</v>
      </c>
      <c r="R12" s="198"/>
      <c r="S12" s="198"/>
      <c r="T12" s="198"/>
      <c r="U12" s="198"/>
    </row>
    <row r="13" spans="1:21" s="12" customFormat="1" x14ac:dyDescent="0.25">
      <c r="A13" s="201" t="s">
        <v>1788</v>
      </c>
      <c r="B13" s="60">
        <v>27.67</v>
      </c>
      <c r="C13" s="60">
        <v>103.09</v>
      </c>
      <c r="D13" s="60">
        <v>79.08</v>
      </c>
      <c r="E13" s="60">
        <v>4.0199999999999996</v>
      </c>
      <c r="F13" s="60">
        <v>1.49</v>
      </c>
      <c r="G13" s="60">
        <v>72.67</v>
      </c>
      <c r="H13" s="60">
        <v>31.02</v>
      </c>
      <c r="I13" s="60">
        <v>0.86</v>
      </c>
      <c r="J13" s="60">
        <v>0.32</v>
      </c>
      <c r="K13" s="60">
        <v>81.22</v>
      </c>
      <c r="L13" s="60">
        <v>21.95</v>
      </c>
      <c r="M13" s="60">
        <v>38.57</v>
      </c>
      <c r="N13" s="60">
        <v>4.0999999999999996</v>
      </c>
      <c r="O13" s="60">
        <v>0</v>
      </c>
      <c r="P13" s="60">
        <v>1.38</v>
      </c>
      <c r="Q13" s="60">
        <v>31.16</v>
      </c>
      <c r="R13" s="198"/>
      <c r="S13" s="198"/>
      <c r="T13" s="198"/>
      <c r="U13" s="198"/>
    </row>
    <row r="14" spans="1:21" s="12" customFormat="1" x14ac:dyDescent="0.25">
      <c r="A14" s="201" t="s">
        <v>1789</v>
      </c>
      <c r="B14" s="60">
        <v>24.44</v>
      </c>
      <c r="C14" s="60">
        <v>101.41</v>
      </c>
      <c r="D14" s="60">
        <v>75.569999999999993</v>
      </c>
      <c r="E14" s="60">
        <v>3.42</v>
      </c>
      <c r="F14" s="60">
        <v>1.45</v>
      </c>
      <c r="G14" s="60">
        <v>72.459999999999994</v>
      </c>
      <c r="H14" s="60">
        <v>30.67</v>
      </c>
      <c r="I14" s="60">
        <v>0.9</v>
      </c>
      <c r="J14" s="60">
        <v>0.37</v>
      </c>
      <c r="K14" s="60">
        <v>82.89</v>
      </c>
      <c r="L14" s="60">
        <v>21.74</v>
      </c>
      <c r="M14" s="60">
        <v>39.14</v>
      </c>
      <c r="N14" s="60">
        <v>4</v>
      </c>
      <c r="O14" s="60">
        <v>0</v>
      </c>
      <c r="P14" s="60">
        <v>1.36</v>
      </c>
      <c r="Q14" s="60">
        <v>30.76</v>
      </c>
      <c r="R14" s="198"/>
      <c r="S14" s="198"/>
      <c r="T14" s="198"/>
      <c r="U14" s="198"/>
    </row>
    <row r="15" spans="1:21" s="12" customFormat="1" x14ac:dyDescent="0.25">
      <c r="A15" s="201" t="s">
        <v>1790</v>
      </c>
      <c r="B15" s="60">
        <v>21.26</v>
      </c>
      <c r="C15" s="60">
        <v>99.03</v>
      </c>
      <c r="D15" s="60">
        <v>71.7</v>
      </c>
      <c r="E15" s="60">
        <v>3.55</v>
      </c>
      <c r="F15" s="60">
        <v>1.55</v>
      </c>
      <c r="G15" s="60">
        <v>72.150000000000006</v>
      </c>
      <c r="H15" s="60">
        <v>30.17</v>
      </c>
      <c r="I15" s="60">
        <v>0.82</v>
      </c>
      <c r="J15" s="60">
        <v>0.31</v>
      </c>
      <c r="K15" s="60">
        <v>63</v>
      </c>
      <c r="L15" s="60">
        <v>21.75</v>
      </c>
      <c r="M15" s="60">
        <v>39.44</v>
      </c>
      <c r="N15" s="60">
        <v>4.0999999999999996</v>
      </c>
      <c r="O15" s="60">
        <v>0</v>
      </c>
      <c r="P15" s="60">
        <v>1.3</v>
      </c>
      <c r="Q15" s="60">
        <v>30.4</v>
      </c>
      <c r="R15" s="198"/>
      <c r="S15" s="198"/>
      <c r="T15" s="198"/>
      <c r="U15" s="198"/>
    </row>
    <row r="16" spans="1:21" s="12" customFormat="1" x14ac:dyDescent="0.25">
      <c r="A16" s="201" t="s">
        <v>1791</v>
      </c>
      <c r="B16" s="60">
        <v>18.329999999999998</v>
      </c>
      <c r="C16" s="60">
        <v>97.86</v>
      </c>
      <c r="D16" s="60">
        <v>68.7</v>
      </c>
      <c r="E16" s="60">
        <v>3.58</v>
      </c>
      <c r="F16" s="60">
        <v>1.45</v>
      </c>
      <c r="G16" s="60">
        <v>72.150000000000006</v>
      </c>
      <c r="H16" s="60">
        <v>30.17</v>
      </c>
      <c r="I16" s="60">
        <v>0.79</v>
      </c>
      <c r="J16" s="60">
        <v>0.38</v>
      </c>
      <c r="K16" s="60">
        <v>32.520000000000003</v>
      </c>
      <c r="L16" s="60">
        <v>21.53</v>
      </c>
      <c r="M16" s="60">
        <v>40.46</v>
      </c>
      <c r="N16" s="60">
        <v>4</v>
      </c>
      <c r="O16" s="60">
        <v>0</v>
      </c>
      <c r="P16" s="60">
        <v>1.25</v>
      </c>
      <c r="Q16" s="60">
        <v>30.1</v>
      </c>
      <c r="R16" s="198"/>
      <c r="S16" s="198"/>
      <c r="T16" s="198"/>
      <c r="U16" s="198"/>
    </row>
    <row r="17" spans="1:21" s="12" customFormat="1" x14ac:dyDescent="0.25">
      <c r="A17" s="201" t="s">
        <v>1792</v>
      </c>
      <c r="B17" s="60">
        <v>14.56</v>
      </c>
      <c r="C17" s="60">
        <v>93.58</v>
      </c>
      <c r="D17" s="60">
        <v>63.32</v>
      </c>
      <c r="E17" s="60">
        <v>3.6</v>
      </c>
      <c r="F17" s="60">
        <v>2.4300000000000002</v>
      </c>
      <c r="G17" s="60">
        <v>72.150000000000006</v>
      </c>
      <c r="H17" s="60">
        <v>30.17</v>
      </c>
      <c r="I17" s="60">
        <v>0.77</v>
      </c>
      <c r="J17" s="60">
        <v>0.27</v>
      </c>
      <c r="K17" s="60">
        <v>66.36</v>
      </c>
      <c r="L17" s="60">
        <v>21.36</v>
      </c>
      <c r="M17" s="60">
        <v>40.78</v>
      </c>
      <c r="N17" s="60">
        <v>4.2</v>
      </c>
      <c r="O17" s="60">
        <v>0</v>
      </c>
      <c r="P17" s="60">
        <v>1.19</v>
      </c>
      <c r="Q17" s="60">
        <v>29.32</v>
      </c>
      <c r="R17" s="198"/>
      <c r="S17" s="198"/>
      <c r="T17" s="198"/>
      <c r="U17" s="198"/>
    </row>
    <row r="18" spans="1:21" s="12" customFormat="1" x14ac:dyDescent="0.25">
      <c r="A18" s="201" t="s">
        <v>1793</v>
      </c>
      <c r="B18" s="60">
        <v>13.06</v>
      </c>
      <c r="C18" s="60">
        <v>89.73</v>
      </c>
      <c r="D18" s="60">
        <v>60</v>
      </c>
      <c r="E18" s="60">
        <v>3.68</v>
      </c>
      <c r="F18" s="60">
        <v>3.11</v>
      </c>
      <c r="G18" s="60">
        <v>63.89</v>
      </c>
      <c r="H18" s="60">
        <v>29.18</v>
      </c>
      <c r="I18" s="60">
        <v>0.74</v>
      </c>
      <c r="J18" s="60">
        <v>0.34</v>
      </c>
      <c r="K18" s="60">
        <v>60</v>
      </c>
      <c r="L18" s="60">
        <v>21.1</v>
      </c>
      <c r="M18" s="60">
        <v>41.76</v>
      </c>
      <c r="N18" s="60">
        <v>4</v>
      </c>
      <c r="O18" s="60">
        <v>0</v>
      </c>
      <c r="P18" s="60">
        <v>1.1599999999999999</v>
      </c>
      <c r="Q18" s="60">
        <v>28.44</v>
      </c>
      <c r="R18" s="198"/>
      <c r="S18" s="198"/>
      <c r="T18" s="198"/>
      <c r="U18" s="198"/>
    </row>
    <row r="19" spans="1:21" s="12" customFormat="1" x14ac:dyDescent="0.25">
      <c r="A19" s="201" t="s">
        <v>1794</v>
      </c>
      <c r="B19" s="60">
        <v>12.28</v>
      </c>
      <c r="C19" s="60">
        <v>90.15</v>
      </c>
      <c r="D19" s="60">
        <v>59.6</v>
      </c>
      <c r="E19" s="60">
        <v>3.7</v>
      </c>
      <c r="F19" s="60">
        <v>3.1</v>
      </c>
      <c r="G19" s="60">
        <v>52.05</v>
      </c>
      <c r="H19" s="60">
        <v>27.76</v>
      </c>
      <c r="I19" s="60">
        <v>0.73</v>
      </c>
      <c r="J19" s="60">
        <v>0.71</v>
      </c>
      <c r="K19" s="60">
        <v>21.85</v>
      </c>
      <c r="L19" s="60">
        <v>21.2</v>
      </c>
      <c r="M19" s="60">
        <v>41.98</v>
      </c>
      <c r="N19" s="60">
        <v>3.7</v>
      </c>
      <c r="O19" s="60">
        <v>0</v>
      </c>
      <c r="P19" s="60">
        <v>1.1200000000000001</v>
      </c>
      <c r="Q19" s="60">
        <v>28.11</v>
      </c>
      <c r="R19" s="198"/>
      <c r="S19" s="198"/>
      <c r="T19" s="198"/>
      <c r="U19" s="198"/>
    </row>
    <row r="20" spans="1:21" s="12" customFormat="1" x14ac:dyDescent="0.25">
      <c r="A20" s="201" t="s">
        <v>1795</v>
      </c>
      <c r="B20" s="60">
        <v>10.71</v>
      </c>
      <c r="C20" s="60">
        <v>88.19</v>
      </c>
      <c r="D20" s="60">
        <v>57.26</v>
      </c>
      <c r="E20" s="60">
        <v>4.3600000000000003</v>
      </c>
      <c r="F20" s="60">
        <v>3.3</v>
      </c>
      <c r="G20" s="60">
        <v>52.05</v>
      </c>
      <c r="H20" s="60">
        <v>27.76</v>
      </c>
      <c r="I20" s="60">
        <v>0.72</v>
      </c>
      <c r="J20" s="60">
        <v>0.69</v>
      </c>
      <c r="K20" s="60">
        <v>23.88</v>
      </c>
      <c r="L20" s="60">
        <v>21.08</v>
      </c>
      <c r="M20" s="60">
        <v>42.66</v>
      </c>
      <c r="N20" s="60">
        <v>3.9</v>
      </c>
      <c r="O20" s="60">
        <v>0</v>
      </c>
      <c r="P20" s="60">
        <v>1.08</v>
      </c>
      <c r="Q20" s="60">
        <v>28.01</v>
      </c>
      <c r="R20" s="198"/>
      <c r="S20" s="198"/>
      <c r="T20" s="198"/>
      <c r="U20" s="198"/>
    </row>
    <row r="21" spans="1:21" s="12" customFormat="1" x14ac:dyDescent="0.25">
      <c r="A21" s="201" t="s">
        <v>1796</v>
      </c>
      <c r="B21" s="60">
        <v>9.39</v>
      </c>
      <c r="C21" s="60">
        <v>88.08</v>
      </c>
      <c r="D21" s="60">
        <v>56.14</v>
      </c>
      <c r="E21" s="60">
        <v>4.32</v>
      </c>
      <c r="F21" s="60">
        <v>2.62</v>
      </c>
      <c r="G21" s="60">
        <v>52.05</v>
      </c>
      <c r="H21" s="60">
        <v>27.76</v>
      </c>
      <c r="I21" s="60">
        <v>0.72</v>
      </c>
      <c r="J21" s="60">
        <v>0.55000000000000004</v>
      </c>
      <c r="K21" s="60">
        <v>22.61</v>
      </c>
      <c r="L21" s="60">
        <v>20.89</v>
      </c>
      <c r="M21" s="60">
        <v>43.48</v>
      </c>
      <c r="N21" s="60">
        <v>4.2</v>
      </c>
      <c r="O21" s="60">
        <v>0</v>
      </c>
      <c r="P21" s="60">
        <v>1.04</v>
      </c>
      <c r="Q21" s="60">
        <v>27.79</v>
      </c>
      <c r="R21" s="198"/>
      <c r="S21" s="198"/>
      <c r="T21" s="198"/>
      <c r="U21" s="198"/>
    </row>
    <row r="22" spans="1:21" s="12" customFormat="1" x14ac:dyDescent="0.25">
      <c r="A22" s="201" t="s">
        <v>1797</v>
      </c>
      <c r="B22" s="60">
        <v>8.43</v>
      </c>
      <c r="C22" s="60">
        <v>86.6</v>
      </c>
      <c r="D22" s="60">
        <v>54.55</v>
      </c>
      <c r="E22" s="60">
        <v>4.46</v>
      </c>
      <c r="F22" s="60">
        <v>2.84</v>
      </c>
      <c r="G22" s="60">
        <v>49.87</v>
      </c>
      <c r="H22" s="60">
        <v>27.24</v>
      </c>
      <c r="I22" s="60">
        <v>0.7</v>
      </c>
      <c r="J22" s="60">
        <v>0.55000000000000004</v>
      </c>
      <c r="K22" s="60">
        <v>21.13</v>
      </c>
      <c r="L22" s="60">
        <v>20.61</v>
      </c>
      <c r="M22" s="60">
        <v>44.69</v>
      </c>
      <c r="N22" s="60">
        <v>4.2</v>
      </c>
      <c r="O22" s="60">
        <v>0</v>
      </c>
      <c r="P22" s="60">
        <v>1</v>
      </c>
      <c r="Q22" s="60">
        <v>27.63</v>
      </c>
      <c r="R22" s="198"/>
      <c r="S22" s="198"/>
      <c r="T22" s="198"/>
      <c r="U22" s="198"/>
    </row>
    <row r="23" spans="1:21" s="12" customFormat="1" x14ac:dyDescent="0.25">
      <c r="A23" s="201" t="s">
        <v>1798</v>
      </c>
      <c r="B23" s="60">
        <v>7.95</v>
      </c>
      <c r="C23" s="60">
        <v>87.37</v>
      </c>
      <c r="D23" s="60">
        <v>54.59</v>
      </c>
      <c r="E23" s="60">
        <v>4.83</v>
      </c>
      <c r="F23" s="60">
        <v>2.1800000000000002</v>
      </c>
      <c r="G23" s="60">
        <v>46.74</v>
      </c>
      <c r="H23" s="60">
        <v>26.5</v>
      </c>
      <c r="I23" s="60">
        <v>0.71</v>
      </c>
      <c r="J23" s="60">
        <v>0.59</v>
      </c>
      <c r="K23" s="60">
        <v>27.24</v>
      </c>
      <c r="L23" s="60">
        <v>20.47</v>
      </c>
      <c r="M23" s="60">
        <v>45.57</v>
      </c>
      <c r="N23" s="60">
        <v>4.2</v>
      </c>
      <c r="O23" s="60">
        <v>0</v>
      </c>
      <c r="P23" s="60">
        <v>0.99</v>
      </c>
      <c r="Q23" s="60">
        <v>27.55</v>
      </c>
      <c r="R23" s="198"/>
      <c r="S23" s="198"/>
      <c r="T23" s="198"/>
      <c r="U23" s="198"/>
    </row>
    <row r="24" spans="1:21" s="12" customFormat="1" x14ac:dyDescent="0.25">
      <c r="A24" s="201" t="s">
        <v>1799</v>
      </c>
      <c r="B24" s="60">
        <v>7.5</v>
      </c>
      <c r="C24" s="60">
        <v>88.13</v>
      </c>
      <c r="D24" s="60">
        <v>54.65</v>
      </c>
      <c r="E24" s="60">
        <v>3.95</v>
      </c>
      <c r="F24" s="60">
        <v>1.87</v>
      </c>
      <c r="G24" s="60">
        <v>46.74</v>
      </c>
      <c r="H24" s="60">
        <v>26.5</v>
      </c>
      <c r="I24" s="60">
        <v>0.7</v>
      </c>
      <c r="J24" s="60">
        <v>0.54</v>
      </c>
      <c r="K24" s="60">
        <v>25</v>
      </c>
      <c r="L24" s="60">
        <v>20.440000000000001</v>
      </c>
      <c r="M24" s="60">
        <v>45.78</v>
      </c>
      <c r="N24" s="60">
        <v>4</v>
      </c>
      <c r="O24" s="60">
        <v>0</v>
      </c>
      <c r="P24" s="60">
        <v>1.02</v>
      </c>
      <c r="Q24" s="60">
        <v>27.74</v>
      </c>
      <c r="R24" s="198"/>
      <c r="S24" s="198"/>
      <c r="T24" s="198"/>
      <c r="U24" s="198"/>
    </row>
    <row r="25" spans="1:21" s="12" customFormat="1" x14ac:dyDescent="0.25">
      <c r="A25" s="201" t="s">
        <v>1800</v>
      </c>
      <c r="B25" s="60">
        <v>7.12</v>
      </c>
      <c r="C25" s="60">
        <v>88.27</v>
      </c>
      <c r="D25" s="60">
        <v>54.42</v>
      </c>
      <c r="E25" s="60">
        <v>6.52</v>
      </c>
      <c r="F25" s="60">
        <v>1.81</v>
      </c>
      <c r="G25" s="60">
        <v>46.74</v>
      </c>
      <c r="H25" s="60">
        <v>26.5</v>
      </c>
      <c r="I25" s="60">
        <v>0.74</v>
      </c>
      <c r="J25" s="60">
        <v>0.75</v>
      </c>
      <c r="K25" s="60">
        <v>19.52</v>
      </c>
      <c r="L25" s="60">
        <v>20.25</v>
      </c>
      <c r="M25" s="60">
        <v>46.9</v>
      </c>
      <c r="N25" s="60">
        <v>3.9</v>
      </c>
      <c r="O25" s="60">
        <v>0</v>
      </c>
      <c r="P25" s="60">
        <v>1.06</v>
      </c>
      <c r="Q25" s="60">
        <v>28.64</v>
      </c>
      <c r="R25" s="198"/>
      <c r="S25" s="198"/>
      <c r="T25" s="198"/>
      <c r="U25" s="198"/>
    </row>
    <row r="26" spans="1:21" s="12" customFormat="1" x14ac:dyDescent="0.25">
      <c r="A26" s="201" t="s">
        <v>1801</v>
      </c>
      <c r="B26" s="60">
        <v>6.59</v>
      </c>
      <c r="C26" s="60">
        <v>88.46</v>
      </c>
      <c r="D26" s="60">
        <v>54.1</v>
      </c>
      <c r="E26" s="60">
        <v>7.91</v>
      </c>
      <c r="F26" s="60">
        <v>1.73</v>
      </c>
      <c r="G26" s="60">
        <v>62.08</v>
      </c>
      <c r="H26" s="60">
        <v>28.24</v>
      </c>
      <c r="I26" s="60">
        <v>0.74</v>
      </c>
      <c r="J26" s="60">
        <v>0.39</v>
      </c>
      <c r="K26" s="60">
        <v>19.170000000000002</v>
      </c>
      <c r="L26" s="60">
        <v>20.21</v>
      </c>
      <c r="M26" s="60">
        <v>47.03</v>
      </c>
      <c r="N26" s="60">
        <v>4.4000000000000004</v>
      </c>
      <c r="O26" s="60">
        <v>0</v>
      </c>
      <c r="P26" s="60">
        <v>1.08</v>
      </c>
      <c r="Q26" s="60">
        <v>28.71</v>
      </c>
      <c r="R26" s="198"/>
      <c r="S26" s="198"/>
      <c r="T26" s="198"/>
      <c r="U26" s="198"/>
    </row>
    <row r="27" spans="1:21" s="12" customFormat="1" x14ac:dyDescent="0.25">
      <c r="A27" s="201" t="s">
        <v>1802</v>
      </c>
      <c r="B27" s="60">
        <v>6.2</v>
      </c>
      <c r="C27" s="60">
        <v>88.68</v>
      </c>
      <c r="D27" s="60">
        <v>53.91</v>
      </c>
      <c r="E27" s="60">
        <v>8.19</v>
      </c>
      <c r="F27" s="60">
        <v>1.44</v>
      </c>
      <c r="G27" s="60">
        <v>84.05</v>
      </c>
      <c r="H27" s="60">
        <v>30.75</v>
      </c>
      <c r="I27" s="60">
        <v>0.69</v>
      </c>
      <c r="J27" s="60">
        <v>0.36</v>
      </c>
      <c r="K27" s="60">
        <v>27.53</v>
      </c>
      <c r="L27" s="60">
        <v>19.739999999999998</v>
      </c>
      <c r="M27" s="60">
        <v>50.11</v>
      </c>
      <c r="N27" s="60">
        <v>4.5</v>
      </c>
      <c r="O27" s="60">
        <v>0</v>
      </c>
      <c r="P27" s="60">
        <v>1.0900000000000001</v>
      </c>
      <c r="Q27" s="60">
        <v>28.53</v>
      </c>
      <c r="R27" s="198"/>
      <c r="S27" s="198"/>
      <c r="T27" s="198"/>
      <c r="U27" s="198"/>
    </row>
    <row r="28" spans="1:21" s="12" customFormat="1" x14ac:dyDescent="0.25">
      <c r="A28" s="201" t="s">
        <v>1803</v>
      </c>
      <c r="B28" s="60">
        <v>6.78</v>
      </c>
      <c r="C28" s="60">
        <v>89.71</v>
      </c>
      <c r="D28" s="60">
        <v>54.94</v>
      </c>
      <c r="E28" s="60">
        <v>7.83</v>
      </c>
      <c r="F28" s="60">
        <v>1.51</v>
      </c>
      <c r="G28" s="60">
        <v>84.05</v>
      </c>
      <c r="H28" s="60">
        <v>30.75</v>
      </c>
      <c r="I28" s="60">
        <v>0.68</v>
      </c>
      <c r="J28" s="60">
        <v>0.2</v>
      </c>
      <c r="K28" s="60">
        <v>49.9</v>
      </c>
      <c r="L28" s="60">
        <v>19.38</v>
      </c>
      <c r="M28" s="60">
        <v>51.7</v>
      </c>
      <c r="N28" s="60">
        <v>4.4000000000000004</v>
      </c>
      <c r="O28" s="60">
        <v>0</v>
      </c>
      <c r="P28" s="60">
        <v>1.0900000000000001</v>
      </c>
      <c r="Q28" s="60">
        <v>28.53</v>
      </c>
      <c r="R28" s="198"/>
      <c r="S28" s="198"/>
      <c r="T28" s="198"/>
      <c r="U28" s="198"/>
    </row>
    <row r="29" spans="1:21" s="12" customFormat="1" x14ac:dyDescent="0.25">
      <c r="A29" s="201" t="s">
        <v>1804</v>
      </c>
      <c r="B29" s="60">
        <v>7.14</v>
      </c>
      <c r="C29" s="60">
        <v>90.7</v>
      </c>
      <c r="D29" s="60">
        <v>55.78</v>
      </c>
      <c r="E29" s="60">
        <v>7.54</v>
      </c>
      <c r="F29" s="60">
        <v>1.5</v>
      </c>
      <c r="G29" s="60">
        <v>84.05</v>
      </c>
      <c r="H29" s="60">
        <v>30.75</v>
      </c>
      <c r="I29" s="60">
        <v>0.66</v>
      </c>
      <c r="J29" s="60">
        <v>0.28999999999999998</v>
      </c>
      <c r="K29" s="60">
        <v>79.19</v>
      </c>
      <c r="L29" s="60">
        <v>19.52</v>
      </c>
      <c r="M29" s="60">
        <v>50.47</v>
      </c>
      <c r="N29" s="60">
        <v>4</v>
      </c>
      <c r="O29" s="60">
        <v>0</v>
      </c>
      <c r="P29" s="60">
        <v>1.1000000000000001</v>
      </c>
      <c r="Q29" s="60">
        <v>28.39</v>
      </c>
      <c r="R29" s="198"/>
      <c r="S29" s="198"/>
      <c r="T29" s="198"/>
      <c r="U29" s="198"/>
    </row>
    <row r="30" spans="1:21" s="12" customFormat="1" x14ac:dyDescent="0.25">
      <c r="A30" s="201" t="s">
        <v>1805</v>
      </c>
      <c r="B30" s="60">
        <v>7.14</v>
      </c>
      <c r="C30" s="60">
        <v>91.54</v>
      </c>
      <c r="D30" s="60">
        <v>56.24</v>
      </c>
      <c r="E30" s="60">
        <v>7.91</v>
      </c>
      <c r="F30" s="60">
        <v>1.4</v>
      </c>
      <c r="G30" s="60">
        <v>96.71</v>
      </c>
      <c r="H30" s="60">
        <v>33.729999999999997</v>
      </c>
      <c r="I30" s="60">
        <v>0.64</v>
      </c>
      <c r="J30" s="60">
        <v>0.5</v>
      </c>
      <c r="K30" s="60">
        <v>24.86</v>
      </c>
      <c r="L30" s="60">
        <v>19.399999999999999</v>
      </c>
      <c r="M30" s="60">
        <v>51.99</v>
      </c>
      <c r="N30" s="60">
        <v>4.2</v>
      </c>
      <c r="O30" s="60">
        <v>0</v>
      </c>
      <c r="P30" s="60">
        <v>1.2</v>
      </c>
      <c r="Q30" s="60">
        <v>28.11</v>
      </c>
      <c r="R30" s="198"/>
      <c r="S30" s="198"/>
      <c r="T30" s="198"/>
      <c r="U30" s="198"/>
    </row>
    <row r="31" spans="1:21" s="12" customFormat="1" x14ac:dyDescent="0.25">
      <c r="A31" s="201" t="s">
        <v>1806</v>
      </c>
      <c r="B31" s="60">
        <v>7.56</v>
      </c>
      <c r="C31" s="60">
        <v>92.57</v>
      </c>
      <c r="D31" s="60">
        <v>57.16</v>
      </c>
      <c r="E31" s="60">
        <v>8.17</v>
      </c>
      <c r="F31" s="60">
        <v>1.65</v>
      </c>
      <c r="G31" s="60">
        <v>114.84</v>
      </c>
      <c r="H31" s="60">
        <v>37.99</v>
      </c>
      <c r="I31" s="60">
        <v>0.64</v>
      </c>
      <c r="J31" s="60">
        <v>0.41</v>
      </c>
      <c r="K31" s="60">
        <v>25.32</v>
      </c>
      <c r="L31" s="60">
        <v>19.13</v>
      </c>
      <c r="M31" s="60">
        <v>52.94</v>
      </c>
      <c r="N31" s="60">
        <v>4.0999999999999996</v>
      </c>
      <c r="O31" s="60">
        <v>0</v>
      </c>
      <c r="P31" s="60">
        <v>1.37</v>
      </c>
      <c r="Q31" s="60">
        <v>27.75</v>
      </c>
      <c r="R31" s="198"/>
      <c r="S31" s="198"/>
      <c r="T31" s="198"/>
      <c r="U31" s="198"/>
    </row>
    <row r="32" spans="1:21" s="12" customFormat="1" x14ac:dyDescent="0.25">
      <c r="A32" s="201" t="s">
        <v>1807</v>
      </c>
      <c r="B32" s="60">
        <v>7.79</v>
      </c>
      <c r="C32" s="60">
        <v>93.21</v>
      </c>
      <c r="D32" s="60">
        <v>57.69</v>
      </c>
      <c r="E32" s="60">
        <v>6.63</v>
      </c>
      <c r="F32" s="60">
        <v>1.8</v>
      </c>
      <c r="G32" s="60">
        <v>114.84</v>
      </c>
      <c r="H32" s="60">
        <v>37.99</v>
      </c>
      <c r="I32" s="60">
        <v>0.63</v>
      </c>
      <c r="J32" s="60">
        <v>0.44</v>
      </c>
      <c r="K32" s="60">
        <v>25.17</v>
      </c>
      <c r="L32" s="60">
        <v>18.77</v>
      </c>
      <c r="M32" s="60">
        <v>54.41</v>
      </c>
      <c r="N32" s="60">
        <v>4.2</v>
      </c>
      <c r="O32" s="60">
        <v>0</v>
      </c>
      <c r="P32" s="60">
        <v>1.48</v>
      </c>
      <c r="Q32" s="60">
        <v>27.12</v>
      </c>
      <c r="R32" s="198"/>
      <c r="S32" s="198"/>
      <c r="T32" s="198"/>
      <c r="U32" s="198"/>
    </row>
    <row r="33" spans="1:21" s="12" customFormat="1" x14ac:dyDescent="0.25">
      <c r="A33" s="201" t="s">
        <v>1808</v>
      </c>
      <c r="B33" s="60">
        <v>7.95</v>
      </c>
      <c r="C33" s="60">
        <v>93.85</v>
      </c>
      <c r="D33" s="60">
        <v>58.17</v>
      </c>
      <c r="E33" s="60">
        <v>6.59</v>
      </c>
      <c r="F33" s="60">
        <v>1.55</v>
      </c>
      <c r="G33" s="60">
        <v>114.84</v>
      </c>
      <c r="H33" s="60">
        <v>37.99</v>
      </c>
      <c r="I33" s="60">
        <v>0.62</v>
      </c>
      <c r="J33" s="60">
        <v>0.22</v>
      </c>
      <c r="K33" s="60">
        <v>32.1</v>
      </c>
      <c r="L33" s="60">
        <v>18.559999999999999</v>
      </c>
      <c r="M33" s="60">
        <v>55.18</v>
      </c>
      <c r="N33" s="60">
        <v>4.5</v>
      </c>
      <c r="O33" s="60">
        <v>0</v>
      </c>
      <c r="P33" s="60">
        <v>1.5</v>
      </c>
      <c r="Q33" s="60">
        <v>26.82</v>
      </c>
      <c r="R33" s="198"/>
      <c r="S33" s="198"/>
      <c r="T33" s="198"/>
      <c r="U33" s="198"/>
    </row>
    <row r="34" spans="1:21" s="12" customFormat="1" x14ac:dyDescent="0.25">
      <c r="A34" s="201" t="s">
        <v>1809</v>
      </c>
      <c r="B34" s="60">
        <v>8.33</v>
      </c>
      <c r="C34" s="60">
        <v>94.62</v>
      </c>
      <c r="D34" s="60">
        <v>58.9</v>
      </c>
      <c r="E34" s="60">
        <v>6.26</v>
      </c>
      <c r="F34" s="60">
        <v>1.5</v>
      </c>
      <c r="G34" s="60">
        <v>110</v>
      </c>
      <c r="H34" s="60">
        <v>39.729999999999997</v>
      </c>
      <c r="I34" s="60">
        <v>0.64</v>
      </c>
      <c r="J34" s="60">
        <v>0.25</v>
      </c>
      <c r="K34" s="60">
        <v>75.19</v>
      </c>
      <c r="L34" s="60">
        <v>18.55</v>
      </c>
      <c r="M34" s="60">
        <v>55.44</v>
      </c>
      <c r="N34" s="60">
        <v>6.3</v>
      </c>
      <c r="O34" s="60">
        <v>0</v>
      </c>
      <c r="P34" s="60">
        <v>1.51</v>
      </c>
      <c r="Q34" s="60">
        <v>26.73</v>
      </c>
      <c r="R34" s="198"/>
      <c r="S34" s="198"/>
      <c r="T34" s="198"/>
      <c r="U34" s="198"/>
    </row>
    <row r="35" spans="1:21" s="12" customFormat="1" x14ac:dyDescent="0.25">
      <c r="A35" s="201" t="s">
        <v>1810</v>
      </c>
      <c r="B35" s="60">
        <v>8.93</v>
      </c>
      <c r="C35" s="60">
        <v>95.03</v>
      </c>
      <c r="D35" s="60">
        <v>59.6</v>
      </c>
      <c r="E35" s="60">
        <v>6.77</v>
      </c>
      <c r="F35" s="60">
        <v>1.55</v>
      </c>
      <c r="G35" s="60">
        <v>103.05</v>
      </c>
      <c r="H35" s="60">
        <v>42.23</v>
      </c>
      <c r="I35" s="60">
        <v>0.63</v>
      </c>
      <c r="J35" s="60">
        <v>0.15</v>
      </c>
      <c r="K35" s="60">
        <v>29.56</v>
      </c>
      <c r="L35" s="60">
        <v>18.43</v>
      </c>
      <c r="M35" s="60">
        <v>56.35</v>
      </c>
      <c r="N35" s="60">
        <v>13.7</v>
      </c>
      <c r="O35" s="60">
        <v>0</v>
      </c>
      <c r="P35" s="60">
        <v>1.55</v>
      </c>
      <c r="Q35" s="60">
        <v>26.94</v>
      </c>
      <c r="R35" s="198"/>
      <c r="S35" s="198"/>
      <c r="T35" s="198"/>
      <c r="U35" s="198"/>
    </row>
    <row r="36" spans="1:21" s="12" customFormat="1" x14ac:dyDescent="0.25">
      <c r="A36" s="201" t="s">
        <v>1811</v>
      </c>
      <c r="B36" s="60">
        <v>9.91</v>
      </c>
      <c r="C36" s="60">
        <v>95.84</v>
      </c>
      <c r="D36" s="60">
        <v>60.84</v>
      </c>
      <c r="E36" s="60">
        <v>6.41</v>
      </c>
      <c r="F36" s="60">
        <v>1.47</v>
      </c>
      <c r="G36" s="60">
        <v>103.05</v>
      </c>
      <c r="H36" s="60">
        <v>42.23</v>
      </c>
      <c r="I36" s="60">
        <v>0.63</v>
      </c>
      <c r="J36" s="60">
        <v>0.25</v>
      </c>
      <c r="K36" s="60">
        <v>20.54</v>
      </c>
      <c r="L36" s="60">
        <v>18.329999999999998</v>
      </c>
      <c r="M36" s="60">
        <v>57.75</v>
      </c>
      <c r="N36" s="60">
        <v>26.1</v>
      </c>
      <c r="O36" s="60">
        <v>0</v>
      </c>
      <c r="P36" s="60">
        <v>1.61</v>
      </c>
      <c r="Q36" s="60">
        <v>27.28</v>
      </c>
      <c r="R36" s="198"/>
      <c r="S36" s="198"/>
      <c r="T36" s="198"/>
      <c r="U36" s="198"/>
    </row>
    <row r="37" spans="1:21" s="12" customFormat="1" x14ac:dyDescent="0.25">
      <c r="A37" s="201" t="s">
        <v>1812</v>
      </c>
      <c r="B37" s="60">
        <v>11.34</v>
      </c>
      <c r="C37" s="60">
        <v>96.79</v>
      </c>
      <c r="D37" s="60">
        <v>62.51</v>
      </c>
      <c r="E37" s="60">
        <v>7.02</v>
      </c>
      <c r="F37" s="60">
        <v>1.4</v>
      </c>
      <c r="G37" s="60">
        <v>103.05</v>
      </c>
      <c r="H37" s="60">
        <v>42.23</v>
      </c>
      <c r="I37" s="60">
        <v>0.63</v>
      </c>
      <c r="J37" s="60">
        <v>0.52</v>
      </c>
      <c r="K37" s="60">
        <v>20.18</v>
      </c>
      <c r="L37" s="60">
        <v>18.93</v>
      </c>
      <c r="M37" s="60">
        <v>54.76</v>
      </c>
      <c r="N37" s="60">
        <v>42.2</v>
      </c>
      <c r="O37" s="60">
        <v>0</v>
      </c>
      <c r="P37" s="60">
        <v>1.59</v>
      </c>
      <c r="Q37" s="60">
        <v>27.39</v>
      </c>
      <c r="R37" s="198"/>
      <c r="S37" s="198"/>
      <c r="T37" s="198"/>
      <c r="U37" s="198"/>
    </row>
    <row r="38" spans="1:21" s="12" customFormat="1" x14ac:dyDescent="0.25">
      <c r="A38" s="201" t="s">
        <v>1813</v>
      </c>
      <c r="B38" s="60">
        <v>12.81</v>
      </c>
      <c r="C38" s="60">
        <v>98.21</v>
      </c>
      <c r="D38" s="60">
        <v>64.47</v>
      </c>
      <c r="E38" s="60">
        <v>7.23</v>
      </c>
      <c r="F38" s="60">
        <v>1.51</v>
      </c>
      <c r="G38" s="60">
        <v>110.66</v>
      </c>
      <c r="H38" s="60">
        <v>44.46</v>
      </c>
      <c r="I38" s="60">
        <v>0.64</v>
      </c>
      <c r="J38" s="60">
        <v>0.56000000000000005</v>
      </c>
      <c r="K38" s="60">
        <v>19.12</v>
      </c>
      <c r="L38" s="60">
        <v>20.079999999999998</v>
      </c>
      <c r="M38" s="60">
        <v>51.5</v>
      </c>
      <c r="N38" s="60">
        <v>102.2</v>
      </c>
      <c r="O38" s="60">
        <v>0</v>
      </c>
      <c r="P38" s="60">
        <v>1.72</v>
      </c>
      <c r="Q38" s="60">
        <v>27.32</v>
      </c>
      <c r="R38" s="198"/>
      <c r="S38" s="198"/>
      <c r="T38" s="198"/>
      <c r="U38" s="198"/>
    </row>
    <row r="39" spans="1:21" s="12" customFormat="1" x14ac:dyDescent="0.25">
      <c r="A39" s="201" t="s">
        <v>1814</v>
      </c>
      <c r="B39" s="60">
        <v>14.22</v>
      </c>
      <c r="C39" s="60">
        <v>99.28</v>
      </c>
      <c r="D39" s="60">
        <v>66.19</v>
      </c>
      <c r="E39" s="60">
        <v>7.88</v>
      </c>
      <c r="F39" s="60">
        <v>1.55</v>
      </c>
      <c r="G39" s="60">
        <v>121.56</v>
      </c>
      <c r="H39" s="60">
        <v>47.67</v>
      </c>
      <c r="I39" s="60">
        <v>0.64</v>
      </c>
      <c r="J39" s="60">
        <v>0.45</v>
      </c>
      <c r="K39" s="60">
        <v>24.61</v>
      </c>
      <c r="L39" s="60">
        <v>21.8</v>
      </c>
      <c r="M39" s="60">
        <v>46.54</v>
      </c>
      <c r="N39" s="60">
        <v>145.30000000000001</v>
      </c>
      <c r="O39" s="60">
        <v>0</v>
      </c>
      <c r="P39" s="60">
        <v>1.75</v>
      </c>
      <c r="Q39" s="60">
        <v>27.88</v>
      </c>
      <c r="R39" s="198"/>
      <c r="S39" s="198"/>
      <c r="T39" s="198"/>
      <c r="U39" s="198"/>
    </row>
    <row r="40" spans="1:21" s="12" customFormat="1" x14ac:dyDescent="0.25">
      <c r="A40" s="201" t="s">
        <v>1815</v>
      </c>
      <c r="B40" s="60">
        <v>14.64</v>
      </c>
      <c r="C40" s="60">
        <v>100.63</v>
      </c>
      <c r="D40" s="60">
        <v>67.28</v>
      </c>
      <c r="E40" s="60">
        <v>6.59</v>
      </c>
      <c r="F40" s="60">
        <v>1.59</v>
      </c>
      <c r="G40" s="60">
        <v>121.56</v>
      </c>
      <c r="H40" s="60">
        <v>47.67</v>
      </c>
      <c r="I40" s="60">
        <v>0.64</v>
      </c>
      <c r="J40" s="60">
        <v>1.1000000000000001</v>
      </c>
      <c r="K40" s="60">
        <v>22.21</v>
      </c>
      <c r="L40" s="60">
        <v>23.34</v>
      </c>
      <c r="M40" s="60">
        <v>41.2</v>
      </c>
      <c r="N40" s="60">
        <v>185.8</v>
      </c>
      <c r="O40" s="60">
        <v>0</v>
      </c>
      <c r="P40" s="60">
        <v>1.78</v>
      </c>
      <c r="Q40" s="60">
        <v>28.7</v>
      </c>
      <c r="R40" s="198"/>
      <c r="S40" s="198"/>
      <c r="T40" s="198"/>
      <c r="U40" s="198"/>
    </row>
    <row r="41" spans="1:21" s="12" customFormat="1" x14ac:dyDescent="0.25">
      <c r="A41" s="201" t="s">
        <v>1816</v>
      </c>
      <c r="B41" s="60">
        <v>14.31</v>
      </c>
      <c r="C41" s="60">
        <v>101.87</v>
      </c>
      <c r="D41" s="60">
        <v>67.7</v>
      </c>
      <c r="E41" s="60">
        <v>9.44</v>
      </c>
      <c r="F41" s="60">
        <v>1.65</v>
      </c>
      <c r="G41" s="60">
        <v>121.56</v>
      </c>
      <c r="H41" s="60">
        <v>47.67</v>
      </c>
      <c r="I41" s="60">
        <v>0.65</v>
      </c>
      <c r="J41" s="60">
        <v>1.1000000000000001</v>
      </c>
      <c r="K41" s="60">
        <v>22.06</v>
      </c>
      <c r="L41" s="60">
        <v>24.18</v>
      </c>
      <c r="M41" s="60">
        <v>38.71</v>
      </c>
      <c r="N41" s="60">
        <v>232.8</v>
      </c>
      <c r="O41" s="60">
        <v>0</v>
      </c>
      <c r="P41" s="60">
        <v>1.76</v>
      </c>
      <c r="Q41" s="60">
        <v>28.66</v>
      </c>
      <c r="R41" s="198"/>
      <c r="S41" s="198"/>
      <c r="T41" s="198"/>
      <c r="U41" s="198"/>
    </row>
    <row r="42" spans="1:21" s="12" customFormat="1" x14ac:dyDescent="0.25">
      <c r="A42" s="201" t="s">
        <v>1817</v>
      </c>
      <c r="B42" s="60">
        <v>13.21</v>
      </c>
      <c r="C42" s="60">
        <v>102.51</v>
      </c>
      <c r="D42" s="60">
        <v>67.17</v>
      </c>
      <c r="E42" s="60">
        <v>10.24</v>
      </c>
      <c r="F42" s="60">
        <v>1.79</v>
      </c>
      <c r="G42" s="60">
        <v>123</v>
      </c>
      <c r="H42" s="60">
        <v>48.64</v>
      </c>
      <c r="I42" s="60">
        <v>0.64</v>
      </c>
      <c r="J42" s="60">
        <v>1.53</v>
      </c>
      <c r="K42" s="60">
        <v>21.48</v>
      </c>
      <c r="L42" s="60">
        <v>24.71</v>
      </c>
      <c r="M42" s="60">
        <v>37.380000000000003</v>
      </c>
      <c r="N42" s="60">
        <v>273.89999999999998</v>
      </c>
      <c r="O42" s="60">
        <v>0</v>
      </c>
      <c r="P42" s="60">
        <v>1.71</v>
      </c>
      <c r="Q42" s="60">
        <v>28.32</v>
      </c>
      <c r="R42" s="198"/>
      <c r="S42" s="198"/>
      <c r="T42" s="198"/>
      <c r="U42" s="198"/>
    </row>
    <row r="43" spans="1:21" s="12" customFormat="1" x14ac:dyDescent="0.25">
      <c r="A43" s="201" t="s">
        <v>1818</v>
      </c>
      <c r="B43" s="60">
        <v>12.09</v>
      </c>
      <c r="C43" s="60">
        <v>103.55</v>
      </c>
      <c r="D43" s="60">
        <v>66.84</v>
      </c>
      <c r="E43" s="60">
        <v>10.01</v>
      </c>
      <c r="F43" s="60">
        <v>1.73</v>
      </c>
      <c r="G43" s="60">
        <v>125.05</v>
      </c>
      <c r="H43" s="60">
        <v>50.02</v>
      </c>
      <c r="I43" s="60">
        <v>0.63</v>
      </c>
      <c r="J43" s="60">
        <v>1.64</v>
      </c>
      <c r="K43" s="60">
        <v>24.74</v>
      </c>
      <c r="L43" s="60">
        <v>25.85</v>
      </c>
      <c r="M43" s="60">
        <v>35.619999999999997</v>
      </c>
      <c r="N43" s="60">
        <v>314.8</v>
      </c>
      <c r="O43" s="60">
        <v>0</v>
      </c>
      <c r="P43" s="60">
        <v>1.66</v>
      </c>
      <c r="Q43" s="60">
        <v>27.6</v>
      </c>
      <c r="R43" s="198"/>
      <c r="S43" s="198"/>
      <c r="T43" s="198"/>
      <c r="U43" s="198"/>
    </row>
    <row r="44" spans="1:21" s="12" customFormat="1" x14ac:dyDescent="0.25">
      <c r="A44" s="201" t="s">
        <v>1819</v>
      </c>
      <c r="B44" s="60">
        <v>11.23</v>
      </c>
      <c r="C44" s="60">
        <v>104.76</v>
      </c>
      <c r="D44" s="60">
        <v>66.819999999999993</v>
      </c>
      <c r="E44" s="60">
        <v>9.2799999999999994</v>
      </c>
      <c r="F44" s="60">
        <v>1.52</v>
      </c>
      <c r="G44" s="60">
        <v>125.05</v>
      </c>
      <c r="H44" s="60">
        <v>50.02</v>
      </c>
      <c r="I44" s="60">
        <v>0.62</v>
      </c>
      <c r="J44" s="60">
        <v>0.95</v>
      </c>
      <c r="K44" s="60">
        <v>23.43</v>
      </c>
      <c r="L44" s="60">
        <v>27.26</v>
      </c>
      <c r="M44" s="60">
        <v>33.520000000000003</v>
      </c>
      <c r="N44" s="60">
        <v>338.5</v>
      </c>
      <c r="O44" s="60">
        <v>0</v>
      </c>
      <c r="P44" s="60">
        <v>1.63</v>
      </c>
      <c r="Q44" s="60">
        <v>27.14</v>
      </c>
      <c r="R44" s="198"/>
      <c r="S44" s="198"/>
      <c r="T44" s="198"/>
      <c r="U44" s="198"/>
    </row>
    <row r="45" spans="1:21" s="12" customFormat="1" x14ac:dyDescent="0.25">
      <c r="A45" s="201" t="s">
        <v>1820</v>
      </c>
      <c r="B45" s="60">
        <v>11.4</v>
      </c>
      <c r="C45" s="60">
        <v>106.78</v>
      </c>
      <c r="D45" s="60">
        <v>68.08</v>
      </c>
      <c r="E45" s="60">
        <v>8.75</v>
      </c>
      <c r="F45" s="60">
        <v>1.61</v>
      </c>
      <c r="G45" s="60">
        <v>125.05</v>
      </c>
      <c r="H45" s="60">
        <v>50.02</v>
      </c>
      <c r="I45" s="60">
        <v>0.62</v>
      </c>
      <c r="J45" s="60">
        <v>0.7</v>
      </c>
      <c r="K45" s="60">
        <v>24.58</v>
      </c>
      <c r="L45" s="60">
        <v>27.69</v>
      </c>
      <c r="M45" s="60">
        <v>32.68</v>
      </c>
      <c r="N45" s="60">
        <v>444.8</v>
      </c>
      <c r="O45" s="60">
        <v>0</v>
      </c>
      <c r="P45" s="60">
        <v>1.6</v>
      </c>
      <c r="Q45" s="60">
        <v>26.96</v>
      </c>
      <c r="R45" s="198"/>
      <c r="S45" s="198"/>
      <c r="T45" s="198"/>
      <c r="U45" s="198"/>
    </row>
    <row r="46" spans="1:21" s="12" customFormat="1" x14ac:dyDescent="0.25">
      <c r="A46" s="201" t="s">
        <v>1821</v>
      </c>
      <c r="B46" s="60">
        <v>10.96</v>
      </c>
      <c r="C46" s="60">
        <v>102.95</v>
      </c>
      <c r="D46" s="60">
        <v>65.61</v>
      </c>
      <c r="E46" s="60">
        <v>10.02</v>
      </c>
      <c r="F46" s="60">
        <v>3.61</v>
      </c>
      <c r="G46" s="60">
        <v>117.14</v>
      </c>
      <c r="H46" s="60">
        <v>50.06</v>
      </c>
      <c r="I46" s="60">
        <v>0.61</v>
      </c>
      <c r="J46" s="60">
        <v>0.83</v>
      </c>
      <c r="K46" s="60">
        <v>27.14</v>
      </c>
      <c r="L46" s="60">
        <v>28.43</v>
      </c>
      <c r="M46" s="60">
        <v>30.48</v>
      </c>
      <c r="N46" s="60">
        <v>504.4</v>
      </c>
      <c r="O46" s="60">
        <v>0</v>
      </c>
      <c r="P46" s="60">
        <v>1.53</v>
      </c>
      <c r="Q46" s="60">
        <v>26.3</v>
      </c>
      <c r="R46" s="198"/>
      <c r="S46" s="198"/>
      <c r="T46" s="198"/>
      <c r="U46" s="198"/>
    </row>
    <row r="47" spans="1:21" s="12" customFormat="1" x14ac:dyDescent="0.25">
      <c r="A47" s="201" t="s">
        <v>1822</v>
      </c>
      <c r="B47" s="60">
        <v>10.35</v>
      </c>
      <c r="C47" s="60">
        <v>105.77</v>
      </c>
      <c r="D47" s="60">
        <v>66.67</v>
      </c>
      <c r="E47" s="60">
        <v>8.58</v>
      </c>
      <c r="F47" s="60">
        <v>3.05</v>
      </c>
      <c r="G47" s="60">
        <v>105.81</v>
      </c>
      <c r="H47" s="60">
        <v>50.11</v>
      </c>
      <c r="I47" s="60">
        <v>0.6</v>
      </c>
      <c r="J47" s="60">
        <v>0.6</v>
      </c>
      <c r="K47" s="60">
        <v>46.48</v>
      </c>
      <c r="L47" s="60">
        <v>28.26</v>
      </c>
      <c r="M47" s="60">
        <v>31.04</v>
      </c>
      <c r="N47" s="60">
        <v>541.4</v>
      </c>
      <c r="O47" s="60">
        <v>0</v>
      </c>
      <c r="P47" s="60">
        <v>1.5</v>
      </c>
      <c r="Q47" s="60">
        <v>25.91</v>
      </c>
      <c r="R47" s="198"/>
      <c r="S47" s="198"/>
      <c r="T47" s="198"/>
      <c r="U47" s="198"/>
    </row>
    <row r="48" spans="1:21" s="12" customFormat="1" x14ac:dyDescent="0.25">
      <c r="A48" s="201" t="s">
        <v>1823</v>
      </c>
      <c r="B48" s="60">
        <v>9.82</v>
      </c>
      <c r="C48" s="60">
        <v>106.23</v>
      </c>
      <c r="D48" s="60">
        <v>66.5</v>
      </c>
      <c r="E48" s="60">
        <v>8.86</v>
      </c>
      <c r="F48" s="60">
        <v>3.65</v>
      </c>
      <c r="G48" s="60">
        <v>105.81</v>
      </c>
      <c r="H48" s="60">
        <v>50.11</v>
      </c>
      <c r="I48" s="60">
        <v>0.6</v>
      </c>
      <c r="J48" s="60">
        <v>0.64</v>
      </c>
      <c r="K48" s="60">
        <v>58.25</v>
      </c>
      <c r="L48" s="60">
        <v>29.22</v>
      </c>
      <c r="M48" s="60">
        <v>29.31</v>
      </c>
      <c r="N48" s="60">
        <v>562.9</v>
      </c>
      <c r="O48" s="60">
        <v>0</v>
      </c>
      <c r="P48" s="60">
        <v>1.48</v>
      </c>
      <c r="Q48" s="60">
        <v>25.9</v>
      </c>
      <c r="R48" s="198"/>
      <c r="S48" s="198"/>
      <c r="T48" s="198"/>
      <c r="U48" s="198"/>
    </row>
    <row r="49" spans="1:21" s="12" customFormat="1" x14ac:dyDescent="0.25">
      <c r="A49" s="201" t="s">
        <v>1824</v>
      </c>
      <c r="B49" s="60">
        <v>9.4600000000000009</v>
      </c>
      <c r="C49" s="60">
        <v>107.5</v>
      </c>
      <c r="D49" s="60">
        <v>66.91</v>
      </c>
      <c r="E49" s="60">
        <v>8.66</v>
      </c>
      <c r="F49" s="60">
        <v>4.12</v>
      </c>
      <c r="G49" s="60">
        <v>105.81</v>
      </c>
      <c r="H49" s="60">
        <v>50.11</v>
      </c>
      <c r="I49" s="60">
        <v>0.6</v>
      </c>
      <c r="J49" s="60">
        <v>0.85</v>
      </c>
      <c r="K49" s="60">
        <v>35.64</v>
      </c>
      <c r="L49" s="60">
        <v>28.4</v>
      </c>
      <c r="M49" s="60">
        <v>30.53</v>
      </c>
      <c r="N49" s="60">
        <v>579.70000000000005</v>
      </c>
      <c r="O49" s="60">
        <v>0</v>
      </c>
      <c r="P49" s="60">
        <v>1.45</v>
      </c>
      <c r="Q49" s="60">
        <v>26.06</v>
      </c>
      <c r="R49" s="198"/>
      <c r="S49" s="198"/>
      <c r="T49" s="198"/>
      <c r="U49" s="198"/>
    </row>
    <row r="50" spans="1:21" s="12" customFormat="1" x14ac:dyDescent="0.25">
      <c r="A50" s="201" t="s">
        <v>1825</v>
      </c>
      <c r="B50" s="60">
        <v>9.4700000000000006</v>
      </c>
      <c r="C50" s="60">
        <v>106.15</v>
      </c>
      <c r="D50" s="60">
        <v>66.17</v>
      </c>
      <c r="E50" s="60">
        <v>8.8800000000000008</v>
      </c>
      <c r="F50" s="60">
        <v>3.64</v>
      </c>
      <c r="G50" s="60">
        <v>94.21</v>
      </c>
      <c r="H50" s="60">
        <v>46.99</v>
      </c>
      <c r="I50" s="60">
        <v>0.61</v>
      </c>
      <c r="J50" s="60">
        <v>0.87</v>
      </c>
      <c r="K50" s="60">
        <v>20.309999999999999</v>
      </c>
      <c r="L50" s="60">
        <v>30.73</v>
      </c>
      <c r="M50" s="60">
        <v>27.9</v>
      </c>
      <c r="N50" s="60">
        <v>582.9</v>
      </c>
      <c r="O50" s="60">
        <v>0</v>
      </c>
      <c r="P50" s="60">
        <v>1.42</v>
      </c>
      <c r="Q50" s="60">
        <v>26.02</v>
      </c>
      <c r="R50" s="198"/>
      <c r="S50" s="198"/>
      <c r="T50" s="198"/>
      <c r="U50" s="198"/>
    </row>
    <row r="51" spans="1:21" s="12" customFormat="1" x14ac:dyDescent="0.25">
      <c r="A51" s="201" t="s">
        <v>1826</v>
      </c>
      <c r="B51" s="60">
        <v>8.74</v>
      </c>
      <c r="C51" s="60">
        <v>106.54</v>
      </c>
      <c r="D51" s="60">
        <v>65.8</v>
      </c>
      <c r="E51" s="60">
        <v>7.08</v>
      </c>
      <c r="F51" s="60">
        <v>2.63</v>
      </c>
      <c r="G51" s="60">
        <v>77.59</v>
      </c>
      <c r="H51" s="60">
        <v>42.53</v>
      </c>
      <c r="I51" s="60">
        <v>0.6</v>
      </c>
      <c r="J51" s="60">
        <v>0.44</v>
      </c>
      <c r="K51" s="60">
        <v>55.01</v>
      </c>
      <c r="L51" s="60">
        <v>30.62</v>
      </c>
      <c r="M51" s="60">
        <v>28.22</v>
      </c>
      <c r="N51" s="60">
        <v>571.4</v>
      </c>
      <c r="O51" s="60">
        <v>0</v>
      </c>
      <c r="P51" s="60">
        <v>1.42</v>
      </c>
      <c r="Q51" s="60">
        <v>26.06</v>
      </c>
      <c r="R51" s="198"/>
      <c r="S51" s="198"/>
      <c r="T51" s="198"/>
      <c r="U51" s="198"/>
    </row>
    <row r="52" spans="1:21" s="12" customFormat="1" x14ac:dyDescent="0.25">
      <c r="A52" s="201" t="s">
        <v>1827</v>
      </c>
      <c r="B52" s="60">
        <v>8.18</v>
      </c>
      <c r="C52" s="60">
        <v>106.73</v>
      </c>
      <c r="D52" s="60">
        <v>65.47</v>
      </c>
      <c r="E52" s="60">
        <v>7.57</v>
      </c>
      <c r="F52" s="60">
        <v>3.37</v>
      </c>
      <c r="G52" s="60">
        <v>77.59</v>
      </c>
      <c r="H52" s="60">
        <v>42.53</v>
      </c>
      <c r="I52" s="60">
        <v>0.61</v>
      </c>
      <c r="J52" s="60">
        <v>0.65</v>
      </c>
      <c r="K52" s="60">
        <v>102.86</v>
      </c>
      <c r="L52" s="60">
        <v>29.02</v>
      </c>
      <c r="M52" s="60">
        <v>31.17</v>
      </c>
      <c r="N52" s="60">
        <v>574</v>
      </c>
      <c r="O52" s="60">
        <v>0</v>
      </c>
      <c r="P52" s="60">
        <v>1.39</v>
      </c>
      <c r="Q52" s="60">
        <v>26.48</v>
      </c>
      <c r="R52" s="198"/>
      <c r="S52" s="198"/>
      <c r="T52" s="198"/>
      <c r="U52" s="198"/>
    </row>
    <row r="53" spans="1:21" s="12" customFormat="1" x14ac:dyDescent="0.25">
      <c r="A53" s="201" t="s">
        <v>1828</v>
      </c>
      <c r="B53" s="60">
        <v>7.1</v>
      </c>
      <c r="C53" s="60">
        <v>106.27</v>
      </c>
      <c r="D53" s="60">
        <v>64.34</v>
      </c>
      <c r="E53" s="60">
        <v>7.43</v>
      </c>
      <c r="F53" s="60">
        <v>2.2200000000000002</v>
      </c>
      <c r="G53" s="60">
        <v>77.59</v>
      </c>
      <c r="H53" s="60">
        <v>42.53</v>
      </c>
      <c r="I53" s="60">
        <v>0.64</v>
      </c>
      <c r="J53" s="60">
        <v>0.46</v>
      </c>
      <c r="K53" s="60">
        <v>28.44</v>
      </c>
      <c r="L53" s="60">
        <v>30.98</v>
      </c>
      <c r="M53" s="60">
        <v>27.54</v>
      </c>
      <c r="N53" s="60">
        <v>573</v>
      </c>
      <c r="O53" s="60">
        <v>0</v>
      </c>
      <c r="P53" s="60">
        <v>1.38</v>
      </c>
      <c r="Q53" s="60">
        <v>27.05</v>
      </c>
      <c r="R53" s="198"/>
      <c r="S53" s="198"/>
      <c r="T53" s="198"/>
      <c r="U53" s="198"/>
    </row>
    <row r="54" spans="1:21" s="12" customFormat="1" x14ac:dyDescent="0.25">
      <c r="A54" s="201" t="s">
        <v>1829</v>
      </c>
      <c r="B54" s="60">
        <v>5.99</v>
      </c>
      <c r="C54" s="60">
        <v>106.41</v>
      </c>
      <c r="D54" s="60">
        <v>63.53</v>
      </c>
      <c r="E54" s="60">
        <v>7.76</v>
      </c>
      <c r="F54" s="60">
        <v>1.97</v>
      </c>
      <c r="G54" s="60">
        <v>77.709999999999994</v>
      </c>
      <c r="H54" s="60">
        <v>41.89</v>
      </c>
      <c r="I54" s="60">
        <v>0.62</v>
      </c>
      <c r="J54" s="60">
        <v>0.88</v>
      </c>
      <c r="K54" s="60">
        <v>11.48</v>
      </c>
      <c r="L54" s="60">
        <v>33.69</v>
      </c>
      <c r="M54" s="60">
        <v>23.92</v>
      </c>
      <c r="N54" s="60">
        <v>566.6</v>
      </c>
      <c r="O54" s="60">
        <v>0</v>
      </c>
      <c r="P54" s="60">
        <v>1.36</v>
      </c>
      <c r="Q54" s="60">
        <v>27.9</v>
      </c>
      <c r="R54" s="198"/>
      <c r="S54" s="198"/>
      <c r="T54" s="198"/>
      <c r="U54" s="198"/>
    </row>
    <row r="55" spans="1:21" s="12" customFormat="1" x14ac:dyDescent="0.25">
      <c r="A55" s="201" t="s">
        <v>1830</v>
      </c>
      <c r="B55" s="60">
        <v>4.78</v>
      </c>
      <c r="C55" s="60">
        <v>107.3</v>
      </c>
      <c r="D55" s="60">
        <v>63.05</v>
      </c>
      <c r="E55" s="60">
        <v>7.61</v>
      </c>
      <c r="F55" s="60">
        <v>2.82</v>
      </c>
      <c r="G55" s="60">
        <v>77.88</v>
      </c>
      <c r="H55" s="60">
        <v>40.98</v>
      </c>
      <c r="I55" s="60">
        <v>0.62</v>
      </c>
      <c r="J55" s="60">
        <v>0.49</v>
      </c>
      <c r="K55" s="60">
        <v>9.7899999999999991</v>
      </c>
      <c r="L55" s="60">
        <v>34.33</v>
      </c>
      <c r="M55" s="60">
        <v>22.68</v>
      </c>
      <c r="N55" s="60">
        <v>561.1</v>
      </c>
      <c r="O55" s="60">
        <v>0</v>
      </c>
      <c r="P55" s="60">
        <v>1.35</v>
      </c>
      <c r="Q55" s="60">
        <v>28.09</v>
      </c>
      <c r="R55" s="198"/>
      <c r="S55" s="198"/>
      <c r="T55" s="198"/>
      <c r="U55" s="198"/>
    </row>
    <row r="56" spans="1:21" s="12" customFormat="1" x14ac:dyDescent="0.25">
      <c r="A56" s="201" t="s">
        <v>1831</v>
      </c>
      <c r="B56" s="60">
        <v>3.79</v>
      </c>
      <c r="C56" s="60">
        <v>107.76</v>
      </c>
      <c r="D56" s="60">
        <v>62.51</v>
      </c>
      <c r="E56" s="60">
        <v>4.34</v>
      </c>
      <c r="F56" s="60">
        <v>3.07</v>
      </c>
      <c r="G56" s="60">
        <v>77.88</v>
      </c>
      <c r="H56" s="60">
        <v>40.98</v>
      </c>
      <c r="I56" s="60">
        <v>0.62</v>
      </c>
      <c r="J56" s="60">
        <v>0.71</v>
      </c>
      <c r="K56" s="60">
        <v>359.33</v>
      </c>
      <c r="L56" s="60">
        <v>34.78</v>
      </c>
      <c r="M56" s="60">
        <v>21.68</v>
      </c>
      <c r="N56" s="60">
        <v>562.79999999999995</v>
      </c>
      <c r="O56" s="60">
        <v>0</v>
      </c>
      <c r="P56" s="60">
        <v>1.34</v>
      </c>
      <c r="Q56" s="60">
        <v>28.18</v>
      </c>
      <c r="R56" s="198"/>
      <c r="S56" s="198"/>
      <c r="T56" s="198"/>
      <c r="U56" s="198"/>
    </row>
    <row r="57" spans="1:21" s="12" customFormat="1" x14ac:dyDescent="0.25">
      <c r="A57" s="201" t="s">
        <v>1832</v>
      </c>
      <c r="B57" s="60">
        <v>2.86</v>
      </c>
      <c r="C57" s="60">
        <v>107.31</v>
      </c>
      <c r="D57" s="60">
        <v>61.51</v>
      </c>
      <c r="E57" s="60">
        <v>6.92</v>
      </c>
      <c r="F57" s="60">
        <v>3.39</v>
      </c>
      <c r="G57" s="60">
        <v>77.88</v>
      </c>
      <c r="H57" s="60">
        <v>40.98</v>
      </c>
      <c r="I57" s="60">
        <v>0.62</v>
      </c>
      <c r="J57" s="60">
        <v>0.54</v>
      </c>
      <c r="K57" s="60">
        <v>134.47999999999999</v>
      </c>
      <c r="L57" s="60">
        <v>31.68</v>
      </c>
      <c r="M57" s="60">
        <v>24.6</v>
      </c>
      <c r="N57" s="60">
        <v>570.1</v>
      </c>
      <c r="O57" s="60">
        <v>0</v>
      </c>
      <c r="P57" s="60">
        <v>1.32</v>
      </c>
      <c r="Q57" s="60">
        <v>28.02</v>
      </c>
      <c r="R57" s="198"/>
      <c r="S57" s="198"/>
      <c r="T57" s="198"/>
      <c r="U57" s="198"/>
    </row>
    <row r="58" spans="1:21" s="12" customFormat="1" x14ac:dyDescent="0.25">
      <c r="A58" s="201" t="s">
        <v>1833</v>
      </c>
      <c r="B58" s="60">
        <v>2.13</v>
      </c>
      <c r="C58" s="60">
        <v>103.09</v>
      </c>
      <c r="D58" s="60">
        <v>58.6</v>
      </c>
      <c r="E58" s="60">
        <v>7.68</v>
      </c>
      <c r="F58" s="60">
        <v>6.38</v>
      </c>
      <c r="G58" s="60">
        <v>73.72</v>
      </c>
      <c r="H58" s="60">
        <v>40.51</v>
      </c>
      <c r="I58" s="60">
        <v>0.62</v>
      </c>
      <c r="J58" s="60">
        <v>0.87</v>
      </c>
      <c r="K58" s="60">
        <v>15.33</v>
      </c>
      <c r="L58" s="60">
        <v>33.69</v>
      </c>
      <c r="M58" s="60">
        <v>22.36</v>
      </c>
      <c r="N58" s="60">
        <v>544.20000000000005</v>
      </c>
      <c r="O58" s="60">
        <v>0</v>
      </c>
      <c r="P58" s="60">
        <v>1.29</v>
      </c>
      <c r="Q58" s="60">
        <v>27.85</v>
      </c>
      <c r="R58" s="198"/>
      <c r="S58" s="198"/>
      <c r="T58" s="198"/>
      <c r="U58" s="198"/>
    </row>
    <row r="59" spans="1:21" s="12" customFormat="1" x14ac:dyDescent="0.25">
      <c r="A59" s="201" t="s">
        <v>1834</v>
      </c>
      <c r="B59" s="60">
        <v>1.63</v>
      </c>
      <c r="C59" s="60">
        <v>98.59</v>
      </c>
      <c r="D59" s="60">
        <v>55.72</v>
      </c>
      <c r="E59" s="60">
        <v>7.83</v>
      </c>
      <c r="F59" s="60">
        <v>4.2</v>
      </c>
      <c r="G59" s="60">
        <v>67.77</v>
      </c>
      <c r="H59" s="60">
        <v>39.83</v>
      </c>
      <c r="I59" s="60">
        <v>0.61</v>
      </c>
      <c r="J59" s="60">
        <v>0.15</v>
      </c>
      <c r="K59" s="60">
        <v>345.5</v>
      </c>
      <c r="L59" s="60">
        <v>32.630000000000003</v>
      </c>
      <c r="M59" s="60">
        <v>22.72</v>
      </c>
      <c r="N59" s="60">
        <v>523.6</v>
      </c>
      <c r="O59" s="60">
        <v>0</v>
      </c>
      <c r="P59" s="60">
        <v>1.27</v>
      </c>
      <c r="Q59" s="60">
        <v>27.81</v>
      </c>
      <c r="R59" s="198"/>
      <c r="S59" s="198"/>
      <c r="T59" s="198"/>
      <c r="U59" s="198"/>
    </row>
    <row r="60" spans="1:21" s="12" customFormat="1" x14ac:dyDescent="0.25">
      <c r="A60" s="201" t="s">
        <v>1835</v>
      </c>
      <c r="B60" s="60">
        <v>1.1399999999999999</v>
      </c>
      <c r="C60" s="60">
        <v>99.25</v>
      </c>
      <c r="D60" s="60">
        <v>55.68</v>
      </c>
      <c r="E60" s="60">
        <v>9.44</v>
      </c>
      <c r="F60" s="60">
        <v>6.72</v>
      </c>
      <c r="G60" s="60">
        <v>67.77</v>
      </c>
      <c r="H60" s="60">
        <v>39.83</v>
      </c>
      <c r="I60" s="60">
        <v>0.63</v>
      </c>
      <c r="J60" s="60">
        <v>0.34</v>
      </c>
      <c r="K60" s="60">
        <v>15.54</v>
      </c>
      <c r="L60" s="60">
        <v>33.33</v>
      </c>
      <c r="M60" s="60">
        <v>21.07</v>
      </c>
      <c r="N60" s="60">
        <v>492</v>
      </c>
      <c r="O60" s="60">
        <v>0</v>
      </c>
      <c r="P60" s="60">
        <v>1.23</v>
      </c>
      <c r="Q60" s="60">
        <v>27.24</v>
      </c>
      <c r="R60" s="198"/>
      <c r="S60" s="198"/>
      <c r="T60" s="198"/>
      <c r="U60" s="198"/>
    </row>
    <row r="61" spans="1:21" s="12" customFormat="1" x14ac:dyDescent="0.25">
      <c r="A61" s="201" t="s">
        <v>1836</v>
      </c>
      <c r="B61" s="60">
        <v>1.32</v>
      </c>
      <c r="C61" s="60">
        <v>98.37</v>
      </c>
      <c r="D61" s="60">
        <v>55.35</v>
      </c>
      <c r="E61" s="60">
        <v>8.07</v>
      </c>
      <c r="F61" s="60">
        <v>5.35</v>
      </c>
      <c r="G61" s="60">
        <v>67.77</v>
      </c>
      <c r="H61" s="60">
        <v>39.83</v>
      </c>
      <c r="I61" s="60">
        <v>0.61</v>
      </c>
      <c r="J61" s="60">
        <v>0.74</v>
      </c>
      <c r="K61" s="60">
        <v>4.9000000000000004</v>
      </c>
      <c r="L61" s="60">
        <v>34.07</v>
      </c>
      <c r="M61" s="60">
        <v>20.5</v>
      </c>
      <c r="N61" s="60">
        <v>467.4</v>
      </c>
      <c r="O61" s="60">
        <v>0</v>
      </c>
      <c r="P61" s="60">
        <v>1.18</v>
      </c>
      <c r="Q61" s="60">
        <v>26.77</v>
      </c>
      <c r="R61" s="198"/>
      <c r="S61" s="198"/>
      <c r="T61" s="198"/>
      <c r="U61" s="198"/>
    </row>
    <row r="62" spans="1:21" s="12" customFormat="1" x14ac:dyDescent="0.25">
      <c r="A62" s="201" t="s">
        <v>1837</v>
      </c>
      <c r="B62" s="60">
        <v>1.76</v>
      </c>
      <c r="C62" s="60">
        <v>94.64</v>
      </c>
      <c r="D62" s="60">
        <v>53.64</v>
      </c>
      <c r="E62" s="60">
        <v>9.61</v>
      </c>
      <c r="F62" s="60">
        <v>8.27</v>
      </c>
      <c r="G62" s="60">
        <v>68.3</v>
      </c>
      <c r="H62" s="60">
        <v>38.24</v>
      </c>
      <c r="I62" s="60">
        <v>0.6</v>
      </c>
      <c r="J62" s="60">
        <v>0.57999999999999996</v>
      </c>
      <c r="K62" s="60">
        <v>357.84</v>
      </c>
      <c r="L62" s="60">
        <v>33.770000000000003</v>
      </c>
      <c r="M62" s="60">
        <v>21.52</v>
      </c>
      <c r="N62" s="60">
        <v>424.4</v>
      </c>
      <c r="O62" s="60">
        <v>0</v>
      </c>
      <c r="P62" s="60">
        <v>1.18</v>
      </c>
      <c r="Q62" s="60">
        <v>26.34</v>
      </c>
      <c r="R62" s="198"/>
      <c r="S62" s="198"/>
      <c r="T62" s="198"/>
      <c r="U62" s="198"/>
    </row>
    <row r="63" spans="1:21" s="12" customFormat="1" x14ac:dyDescent="0.25">
      <c r="A63" s="201" t="s">
        <v>1838</v>
      </c>
      <c r="B63" s="60">
        <v>1.7</v>
      </c>
      <c r="C63" s="60">
        <v>95.13</v>
      </c>
      <c r="D63" s="60">
        <v>53.87</v>
      </c>
      <c r="E63" s="60">
        <v>15.46</v>
      </c>
      <c r="F63" s="60">
        <v>7.58</v>
      </c>
      <c r="G63" s="60">
        <v>69.069999999999993</v>
      </c>
      <c r="H63" s="60">
        <v>35.96</v>
      </c>
      <c r="I63" s="60">
        <v>0.61</v>
      </c>
      <c r="J63" s="60">
        <v>0.57999999999999996</v>
      </c>
      <c r="K63" s="60">
        <v>353.8</v>
      </c>
      <c r="L63" s="60">
        <v>32.81</v>
      </c>
      <c r="M63" s="60">
        <v>22.82</v>
      </c>
      <c r="N63" s="60">
        <v>395.8</v>
      </c>
      <c r="O63" s="60">
        <v>0</v>
      </c>
      <c r="P63" s="60">
        <v>1.18</v>
      </c>
      <c r="Q63" s="60">
        <v>26.39</v>
      </c>
      <c r="R63" s="198"/>
      <c r="S63" s="198"/>
      <c r="T63" s="198"/>
      <c r="U63" s="198"/>
    </row>
    <row r="64" spans="1:21" s="12" customFormat="1" x14ac:dyDescent="0.25">
      <c r="A64" s="201" t="s">
        <v>1839</v>
      </c>
      <c r="B64" s="60">
        <v>2.68</v>
      </c>
      <c r="C64" s="60">
        <v>97.74</v>
      </c>
      <c r="D64" s="60">
        <v>56.09</v>
      </c>
      <c r="E64" s="60">
        <v>17.239999999999998</v>
      </c>
      <c r="F64" s="60">
        <v>8.08</v>
      </c>
      <c r="G64" s="60">
        <v>69.069999999999993</v>
      </c>
      <c r="H64" s="60">
        <v>35.96</v>
      </c>
      <c r="I64" s="60">
        <v>0.6</v>
      </c>
      <c r="J64" s="60">
        <v>0.92</v>
      </c>
      <c r="K64" s="60">
        <v>5.43</v>
      </c>
      <c r="L64" s="60">
        <v>34.35</v>
      </c>
      <c r="M64" s="60">
        <v>21.63</v>
      </c>
      <c r="N64" s="60">
        <v>371.5</v>
      </c>
      <c r="O64" s="60">
        <v>0</v>
      </c>
      <c r="P64" s="60">
        <v>1.18</v>
      </c>
      <c r="Q64" s="60">
        <v>26.47</v>
      </c>
      <c r="R64" s="198"/>
      <c r="S64" s="198"/>
      <c r="T64" s="198"/>
      <c r="U64" s="198"/>
    </row>
    <row r="65" spans="1:21" s="12" customFormat="1" x14ac:dyDescent="0.25">
      <c r="A65" s="201" t="s">
        <v>1840</v>
      </c>
      <c r="B65" s="60">
        <v>2.66</v>
      </c>
      <c r="C65" s="60">
        <v>94.75</v>
      </c>
      <c r="D65" s="60">
        <v>54.42</v>
      </c>
      <c r="E65" s="60">
        <v>16.7</v>
      </c>
      <c r="F65" s="60">
        <v>7.65</v>
      </c>
      <c r="G65" s="60">
        <v>69.069999999999993</v>
      </c>
      <c r="H65" s="60">
        <v>35.96</v>
      </c>
      <c r="I65" s="60">
        <v>0.61</v>
      </c>
      <c r="J65" s="60">
        <v>0.65</v>
      </c>
      <c r="K65" s="60">
        <v>352.73</v>
      </c>
      <c r="L65" s="60">
        <v>34.67</v>
      </c>
      <c r="M65" s="60">
        <v>21.02</v>
      </c>
      <c r="N65" s="60">
        <v>367.2</v>
      </c>
      <c r="O65" s="60">
        <v>0</v>
      </c>
      <c r="P65" s="60">
        <v>1.17</v>
      </c>
      <c r="Q65" s="60">
        <v>26.72</v>
      </c>
      <c r="R65" s="198"/>
      <c r="S65" s="198"/>
      <c r="T65" s="198"/>
      <c r="U65" s="198"/>
    </row>
    <row r="66" spans="1:21" s="12" customFormat="1" x14ac:dyDescent="0.25">
      <c r="A66" s="201" t="s">
        <v>1841</v>
      </c>
      <c r="B66" s="60">
        <v>3.29</v>
      </c>
      <c r="C66" s="60">
        <v>97.29</v>
      </c>
      <c r="D66" s="60">
        <v>56.33</v>
      </c>
      <c r="E66" s="60">
        <v>25.88</v>
      </c>
      <c r="F66" s="60">
        <v>11.53</v>
      </c>
      <c r="G66" s="60">
        <v>72.489999999999995</v>
      </c>
      <c r="H66" s="60">
        <v>37.22</v>
      </c>
      <c r="I66" s="60">
        <v>0.61</v>
      </c>
      <c r="J66" s="60">
        <v>0.97</v>
      </c>
      <c r="K66" s="60">
        <v>18.55</v>
      </c>
      <c r="L66" s="60">
        <v>34.049999999999997</v>
      </c>
      <c r="M66" s="60">
        <v>21</v>
      </c>
      <c r="N66" s="60">
        <v>335.1</v>
      </c>
      <c r="O66" s="60">
        <v>0</v>
      </c>
      <c r="P66" s="60">
        <v>1.17</v>
      </c>
      <c r="Q66" s="60">
        <v>26.96</v>
      </c>
      <c r="R66" s="198"/>
      <c r="S66" s="198"/>
      <c r="T66" s="198"/>
      <c r="U66" s="198"/>
    </row>
    <row r="67" spans="1:21" s="12" customFormat="1" x14ac:dyDescent="0.25">
      <c r="A67" s="201" t="s">
        <v>1842</v>
      </c>
      <c r="B67" s="60">
        <v>3.24</v>
      </c>
      <c r="C67" s="60">
        <v>98.23</v>
      </c>
      <c r="D67" s="60">
        <v>56.81</v>
      </c>
      <c r="E67" s="60">
        <v>17.79</v>
      </c>
      <c r="F67" s="60">
        <v>6.64</v>
      </c>
      <c r="G67" s="60">
        <v>77.39</v>
      </c>
      <c r="H67" s="60">
        <v>39.03</v>
      </c>
      <c r="I67" s="60">
        <v>0.61</v>
      </c>
      <c r="J67" s="60">
        <v>1.44</v>
      </c>
      <c r="K67" s="60">
        <v>8.4</v>
      </c>
      <c r="L67" s="60">
        <v>33.729999999999997</v>
      </c>
      <c r="M67" s="60">
        <v>21.31</v>
      </c>
      <c r="N67" s="60">
        <v>327.8</v>
      </c>
      <c r="O67" s="60">
        <v>0</v>
      </c>
      <c r="P67" s="60">
        <v>1.18</v>
      </c>
      <c r="Q67" s="60">
        <v>27.36</v>
      </c>
      <c r="R67" s="198"/>
      <c r="S67" s="198"/>
      <c r="T67" s="198"/>
      <c r="U67" s="198"/>
    </row>
    <row r="68" spans="1:21" s="12" customFormat="1" x14ac:dyDescent="0.25">
      <c r="A68" s="201" t="s">
        <v>1843</v>
      </c>
      <c r="B68" s="60">
        <v>2.61</v>
      </c>
      <c r="C68" s="60">
        <v>100.28</v>
      </c>
      <c r="D68" s="60">
        <v>57.44</v>
      </c>
      <c r="E68" s="60">
        <v>11.09</v>
      </c>
      <c r="F68" s="60">
        <v>5.2</v>
      </c>
      <c r="G68" s="60">
        <v>77.39</v>
      </c>
      <c r="H68" s="60">
        <v>39.03</v>
      </c>
      <c r="I68" s="60">
        <v>0.6</v>
      </c>
      <c r="J68" s="60">
        <v>0.99</v>
      </c>
      <c r="K68" s="60">
        <v>6.65</v>
      </c>
      <c r="L68" s="60">
        <v>34.22</v>
      </c>
      <c r="M68" s="60">
        <v>20.11</v>
      </c>
      <c r="N68" s="60">
        <v>322.8</v>
      </c>
      <c r="O68" s="60">
        <v>0</v>
      </c>
      <c r="P68" s="60">
        <v>1.17</v>
      </c>
      <c r="Q68" s="60">
        <v>28.45</v>
      </c>
      <c r="R68" s="198"/>
      <c r="S68" s="198"/>
      <c r="T68" s="198"/>
      <c r="U68" s="198"/>
    </row>
    <row r="69" spans="1:21" s="12" customFormat="1" x14ac:dyDescent="0.25">
      <c r="A69" s="201" t="s">
        <v>1844</v>
      </c>
      <c r="B69" s="60">
        <v>2.39</v>
      </c>
      <c r="C69" s="60">
        <v>101.13</v>
      </c>
      <c r="D69" s="60">
        <v>57.73</v>
      </c>
      <c r="E69" s="60">
        <v>10.24</v>
      </c>
      <c r="F69" s="60">
        <v>4.9000000000000004</v>
      </c>
      <c r="G69" s="60">
        <v>77.39</v>
      </c>
      <c r="H69" s="60">
        <v>39.03</v>
      </c>
      <c r="I69" s="60">
        <v>0.62</v>
      </c>
      <c r="J69" s="60">
        <v>1.29</v>
      </c>
      <c r="K69" s="60">
        <v>9.5</v>
      </c>
      <c r="L69" s="60">
        <v>33.979999999999997</v>
      </c>
      <c r="M69" s="60">
        <v>19.55</v>
      </c>
      <c r="N69" s="60">
        <v>303.5</v>
      </c>
      <c r="O69" s="60">
        <v>0</v>
      </c>
      <c r="P69" s="60">
        <v>1.18</v>
      </c>
      <c r="Q69" s="60">
        <v>29.07</v>
      </c>
      <c r="R69" s="198"/>
      <c r="S69" s="198"/>
      <c r="T69" s="198"/>
      <c r="U69" s="198"/>
    </row>
    <row r="70" spans="1:21" s="12" customFormat="1" x14ac:dyDescent="0.25">
      <c r="A70" s="201" t="s">
        <v>1845</v>
      </c>
      <c r="B70" s="60">
        <v>2.2999999999999998</v>
      </c>
      <c r="C70" s="60">
        <v>101.69</v>
      </c>
      <c r="D70" s="60">
        <v>57.97</v>
      </c>
      <c r="E70" s="60">
        <v>10.67</v>
      </c>
      <c r="F70" s="60">
        <v>6.56</v>
      </c>
      <c r="G70" s="60">
        <v>84.75</v>
      </c>
      <c r="H70" s="60">
        <v>39.78</v>
      </c>
      <c r="I70" s="60">
        <v>0.62</v>
      </c>
      <c r="J70" s="60">
        <v>0.95</v>
      </c>
      <c r="K70" s="60">
        <v>7.21</v>
      </c>
      <c r="L70" s="60">
        <v>33.61</v>
      </c>
      <c r="M70" s="60">
        <v>20.38</v>
      </c>
      <c r="N70" s="60">
        <v>243.5</v>
      </c>
      <c r="O70" s="60">
        <v>0</v>
      </c>
      <c r="P70" s="60">
        <v>1.18</v>
      </c>
      <c r="Q70" s="60">
        <v>29</v>
      </c>
      <c r="R70" s="198"/>
      <c r="S70" s="198"/>
      <c r="T70" s="198"/>
      <c r="U70" s="198"/>
    </row>
    <row r="71" spans="1:21" s="12" customFormat="1" x14ac:dyDescent="0.25">
      <c r="A71" s="201" t="s">
        <v>1846</v>
      </c>
      <c r="B71" s="60">
        <v>1.87</v>
      </c>
      <c r="C71" s="60">
        <v>102.3</v>
      </c>
      <c r="D71" s="60">
        <v>57.96</v>
      </c>
      <c r="E71" s="60">
        <v>9.42</v>
      </c>
      <c r="F71" s="60">
        <v>4.9800000000000004</v>
      </c>
      <c r="G71" s="60">
        <v>95.29</v>
      </c>
      <c r="H71" s="60">
        <v>40.86</v>
      </c>
      <c r="I71" s="60">
        <v>0.62</v>
      </c>
      <c r="J71" s="60">
        <v>1.08</v>
      </c>
      <c r="K71" s="60">
        <v>352.66</v>
      </c>
      <c r="L71" s="60">
        <v>33.15</v>
      </c>
      <c r="M71" s="60">
        <v>21</v>
      </c>
      <c r="N71" s="60">
        <v>235</v>
      </c>
      <c r="O71" s="60">
        <v>0</v>
      </c>
      <c r="P71" s="60">
        <v>1.18</v>
      </c>
      <c r="Q71" s="60">
        <v>28.63</v>
      </c>
      <c r="R71" s="198"/>
      <c r="S71" s="198"/>
      <c r="T71" s="198"/>
      <c r="U71" s="198"/>
    </row>
    <row r="72" spans="1:21" s="12" customFormat="1" x14ac:dyDescent="0.25">
      <c r="A72" s="201" t="s">
        <v>1847</v>
      </c>
      <c r="B72" s="60">
        <v>1.48</v>
      </c>
      <c r="C72" s="60">
        <v>100.51</v>
      </c>
      <c r="D72" s="60">
        <v>56.65</v>
      </c>
      <c r="E72" s="60">
        <v>4.03</v>
      </c>
      <c r="F72" s="60">
        <v>5.05</v>
      </c>
      <c r="G72" s="60">
        <v>95.29</v>
      </c>
      <c r="H72" s="60">
        <v>40.86</v>
      </c>
      <c r="I72" s="60">
        <v>0.61</v>
      </c>
      <c r="J72" s="60">
        <v>1.46</v>
      </c>
      <c r="K72" s="60">
        <v>358.31</v>
      </c>
      <c r="L72" s="60">
        <v>32.58</v>
      </c>
      <c r="M72" s="60">
        <v>21.47</v>
      </c>
      <c r="N72" s="60">
        <v>151.9</v>
      </c>
      <c r="O72" s="60">
        <v>0</v>
      </c>
      <c r="P72" s="60">
        <v>1.1499999999999999</v>
      </c>
      <c r="Q72" s="60">
        <v>28.39</v>
      </c>
      <c r="R72" s="198"/>
      <c r="S72" s="198"/>
      <c r="T72" s="198"/>
      <c r="U72" s="198"/>
    </row>
    <row r="73" spans="1:21" s="12" customFormat="1" x14ac:dyDescent="0.25">
      <c r="A73" s="201" t="s">
        <v>1848</v>
      </c>
      <c r="B73" s="60">
        <v>1.17</v>
      </c>
      <c r="C73" s="60">
        <v>98.97</v>
      </c>
      <c r="D73" s="60">
        <v>55.56</v>
      </c>
      <c r="E73" s="60">
        <v>8.2899999999999991</v>
      </c>
      <c r="F73" s="60">
        <v>5.18</v>
      </c>
      <c r="G73" s="60">
        <v>95.29</v>
      </c>
      <c r="H73" s="60">
        <v>40.86</v>
      </c>
      <c r="I73" s="60">
        <v>0.61</v>
      </c>
      <c r="J73" s="60">
        <v>1.68</v>
      </c>
      <c r="K73" s="60">
        <v>0.86</v>
      </c>
      <c r="L73" s="60">
        <v>31.58</v>
      </c>
      <c r="M73" s="60">
        <v>22.4</v>
      </c>
      <c r="N73" s="60">
        <v>180.2</v>
      </c>
      <c r="O73" s="60">
        <v>0</v>
      </c>
      <c r="P73" s="60">
        <v>1.1200000000000001</v>
      </c>
      <c r="Q73" s="60">
        <v>28.04</v>
      </c>
      <c r="R73" s="198"/>
      <c r="S73" s="198"/>
      <c r="T73" s="198"/>
      <c r="U73" s="198"/>
    </row>
    <row r="74" spans="1:21" s="12" customFormat="1" x14ac:dyDescent="0.25">
      <c r="A74" s="201" t="s">
        <v>1849</v>
      </c>
      <c r="B74" s="60">
        <v>1.2</v>
      </c>
      <c r="C74" s="60">
        <v>94.7</v>
      </c>
      <c r="D74" s="60">
        <v>53.22</v>
      </c>
      <c r="E74" s="60">
        <v>9.0299999999999994</v>
      </c>
      <c r="F74" s="60">
        <v>8.64</v>
      </c>
      <c r="G74" s="60">
        <v>86.29</v>
      </c>
      <c r="H74" s="60">
        <v>38.450000000000003</v>
      </c>
      <c r="I74" s="60">
        <v>0.61</v>
      </c>
      <c r="J74" s="60">
        <v>1.27</v>
      </c>
      <c r="K74" s="60">
        <v>3.75</v>
      </c>
      <c r="L74" s="60">
        <v>30.82</v>
      </c>
      <c r="M74" s="60">
        <v>23.68</v>
      </c>
      <c r="N74" s="60">
        <v>85.5</v>
      </c>
      <c r="O74" s="60">
        <v>0</v>
      </c>
      <c r="P74" s="60">
        <v>1.0900000000000001</v>
      </c>
      <c r="Q74" s="60">
        <v>27.33</v>
      </c>
      <c r="R74" s="198"/>
      <c r="S74" s="198"/>
      <c r="T74" s="198"/>
      <c r="U74" s="198"/>
    </row>
    <row r="75" spans="1:21" s="12" customFormat="1" x14ac:dyDescent="0.25">
      <c r="A75" s="201" t="s">
        <v>1850</v>
      </c>
      <c r="B75" s="60">
        <v>1.95</v>
      </c>
      <c r="C75" s="60">
        <v>89.88</v>
      </c>
      <c r="D75" s="60">
        <v>51.17</v>
      </c>
      <c r="E75" s="60">
        <v>9.2799999999999994</v>
      </c>
      <c r="F75" s="60">
        <v>7.21</v>
      </c>
      <c r="G75" s="60">
        <v>73.39</v>
      </c>
      <c r="H75" s="60">
        <v>34.99</v>
      </c>
      <c r="I75" s="60">
        <v>0.59</v>
      </c>
      <c r="J75" s="60">
        <v>1.17</v>
      </c>
      <c r="K75" s="60">
        <v>3.75</v>
      </c>
      <c r="L75" s="60">
        <v>30.27</v>
      </c>
      <c r="M75" s="60">
        <v>24.79</v>
      </c>
      <c r="N75" s="60">
        <v>83</v>
      </c>
      <c r="O75" s="60">
        <v>0</v>
      </c>
      <c r="P75" s="60">
        <v>1.08</v>
      </c>
      <c r="Q75" s="60">
        <v>26.52</v>
      </c>
      <c r="R75" s="198"/>
      <c r="S75" s="198"/>
      <c r="T75" s="198"/>
      <c r="U75" s="198"/>
    </row>
    <row r="76" spans="1:21" s="12" customFormat="1" x14ac:dyDescent="0.25">
      <c r="A76" s="201" t="s">
        <v>1851</v>
      </c>
      <c r="B76" s="60">
        <v>2.0699999999999998</v>
      </c>
      <c r="C76" s="60">
        <v>93.54</v>
      </c>
      <c r="D76" s="60">
        <v>53.28</v>
      </c>
      <c r="E76" s="60">
        <v>9.3800000000000008</v>
      </c>
      <c r="F76" s="60">
        <v>7</v>
      </c>
      <c r="G76" s="60">
        <v>73.39</v>
      </c>
      <c r="H76" s="60">
        <v>34.99</v>
      </c>
      <c r="I76" s="60">
        <v>0.57999999999999996</v>
      </c>
      <c r="J76" s="60">
        <v>0.92</v>
      </c>
      <c r="K76" s="60">
        <v>359.03</v>
      </c>
      <c r="L76" s="60">
        <v>29.84</v>
      </c>
      <c r="M76" s="60">
        <v>25.42</v>
      </c>
      <c r="N76" s="60">
        <v>49.7</v>
      </c>
      <c r="O76" s="60">
        <v>0</v>
      </c>
      <c r="P76" s="60">
        <v>1.0900000000000001</v>
      </c>
      <c r="Q76" s="60">
        <v>26.09</v>
      </c>
      <c r="R76" s="198"/>
      <c r="S76" s="198"/>
      <c r="T76" s="198"/>
      <c r="U76" s="198"/>
    </row>
    <row r="77" spans="1:21" s="12" customFormat="1" x14ac:dyDescent="0.25">
      <c r="A77" s="201" t="s">
        <v>1852</v>
      </c>
      <c r="B77" s="60">
        <v>2.4900000000000002</v>
      </c>
      <c r="C77" s="60">
        <v>91.84</v>
      </c>
      <c r="D77" s="60">
        <v>52.68</v>
      </c>
      <c r="E77" s="60">
        <v>11.11</v>
      </c>
      <c r="F77" s="60">
        <v>10.76</v>
      </c>
      <c r="G77" s="60">
        <v>73.39</v>
      </c>
      <c r="H77" s="60">
        <v>34.99</v>
      </c>
      <c r="I77" s="60">
        <v>0.57999999999999996</v>
      </c>
      <c r="J77" s="60">
        <v>1.1100000000000001</v>
      </c>
      <c r="K77" s="60">
        <v>18.440000000000001</v>
      </c>
      <c r="L77" s="60">
        <v>29.24</v>
      </c>
      <c r="M77" s="60">
        <v>26.67</v>
      </c>
      <c r="N77" s="60">
        <v>37.1</v>
      </c>
      <c r="O77" s="60">
        <v>0</v>
      </c>
      <c r="P77" s="60">
        <v>1.0900000000000001</v>
      </c>
      <c r="Q77" s="60">
        <v>26.3</v>
      </c>
      <c r="R77" s="198"/>
      <c r="S77" s="198"/>
      <c r="T77" s="198"/>
      <c r="U77" s="198"/>
    </row>
    <row r="78" spans="1:21" s="12" customFormat="1" x14ac:dyDescent="0.25">
      <c r="A78" s="201" t="s">
        <v>1853</v>
      </c>
      <c r="B78" s="60">
        <v>3.87</v>
      </c>
      <c r="C78" s="60">
        <v>93.39</v>
      </c>
      <c r="D78" s="60">
        <v>54.64</v>
      </c>
      <c r="E78" s="60">
        <v>14.64</v>
      </c>
      <c r="F78" s="60">
        <v>12.33</v>
      </c>
      <c r="G78" s="60">
        <v>74.63</v>
      </c>
      <c r="H78" s="60">
        <v>34.72</v>
      </c>
      <c r="I78" s="60">
        <v>0.59</v>
      </c>
      <c r="J78" s="60">
        <v>0.85</v>
      </c>
      <c r="K78" s="60">
        <v>19.940000000000001</v>
      </c>
      <c r="L78" s="60">
        <v>28.64</v>
      </c>
      <c r="M78" s="60">
        <v>28.99</v>
      </c>
      <c r="N78" s="60">
        <v>26</v>
      </c>
      <c r="O78" s="60">
        <v>0</v>
      </c>
      <c r="P78" s="60">
        <v>1.1499999999999999</v>
      </c>
      <c r="Q78" s="60">
        <v>26.63</v>
      </c>
      <c r="R78" s="198"/>
      <c r="S78" s="198"/>
      <c r="T78" s="198"/>
      <c r="U78" s="198"/>
    </row>
    <row r="79" spans="1:21" s="12" customFormat="1" x14ac:dyDescent="0.25">
      <c r="A79" s="201" t="s">
        <v>1854</v>
      </c>
      <c r="B79" s="60">
        <v>5.41</v>
      </c>
      <c r="C79" s="60">
        <v>95.61</v>
      </c>
      <c r="D79" s="60">
        <v>57.11</v>
      </c>
      <c r="E79" s="60">
        <v>12.11</v>
      </c>
      <c r="F79" s="60">
        <v>10.74</v>
      </c>
      <c r="G79" s="60">
        <v>76.400000000000006</v>
      </c>
      <c r="H79" s="60">
        <v>34.33</v>
      </c>
      <c r="I79" s="60">
        <v>0.57999999999999996</v>
      </c>
      <c r="J79" s="60">
        <v>0.84</v>
      </c>
      <c r="K79" s="60">
        <v>15.26</v>
      </c>
      <c r="L79" s="60">
        <v>27.96</v>
      </c>
      <c r="M79" s="60">
        <v>30.83</v>
      </c>
      <c r="N79" s="60">
        <v>15.5</v>
      </c>
      <c r="O79" s="60">
        <v>0</v>
      </c>
      <c r="P79" s="60">
        <v>1.17</v>
      </c>
      <c r="Q79" s="60">
        <v>26.32</v>
      </c>
      <c r="R79" s="198"/>
      <c r="S79" s="198"/>
      <c r="T79" s="198"/>
      <c r="U79" s="198"/>
    </row>
    <row r="80" spans="1:21" s="12" customFormat="1" x14ac:dyDescent="0.25">
      <c r="A80" s="201" t="s">
        <v>1855</v>
      </c>
      <c r="B80" s="60">
        <v>4.3099999999999996</v>
      </c>
      <c r="C80" s="60">
        <v>96.84</v>
      </c>
      <c r="D80" s="60">
        <v>56.9</v>
      </c>
      <c r="E80" s="60">
        <v>10.7</v>
      </c>
      <c r="F80" s="60">
        <v>8.36</v>
      </c>
      <c r="G80" s="60">
        <v>76.400000000000006</v>
      </c>
      <c r="H80" s="60">
        <v>34.33</v>
      </c>
      <c r="I80" s="60">
        <v>0.59</v>
      </c>
      <c r="J80" s="60">
        <v>0.86</v>
      </c>
      <c r="K80" s="60">
        <v>17.010000000000002</v>
      </c>
      <c r="L80" s="60">
        <v>27.32</v>
      </c>
      <c r="M80" s="60">
        <v>32.53</v>
      </c>
      <c r="N80" s="60">
        <v>7.8</v>
      </c>
      <c r="O80" s="60">
        <v>0</v>
      </c>
      <c r="P80" s="60">
        <v>1.2</v>
      </c>
      <c r="Q80" s="60">
        <v>27.13</v>
      </c>
      <c r="R80" s="198"/>
      <c r="S80" s="198"/>
      <c r="T80" s="198"/>
      <c r="U80" s="198"/>
    </row>
    <row r="81" spans="1:26" s="12" customFormat="1" x14ac:dyDescent="0.25">
      <c r="A81" s="201" t="s">
        <v>1856</v>
      </c>
      <c r="B81" s="60">
        <v>5.77</v>
      </c>
      <c r="C81" s="60">
        <v>98.46</v>
      </c>
      <c r="D81" s="60">
        <v>58.96</v>
      </c>
      <c r="E81" s="60">
        <v>10.78</v>
      </c>
      <c r="F81" s="60">
        <v>8.0399999999999991</v>
      </c>
      <c r="G81" s="60">
        <v>76.400000000000006</v>
      </c>
      <c r="H81" s="60">
        <v>34.33</v>
      </c>
      <c r="I81" s="60">
        <v>0.6</v>
      </c>
      <c r="J81" s="60">
        <v>0.96</v>
      </c>
      <c r="K81" s="60">
        <v>18.7</v>
      </c>
      <c r="L81" s="60">
        <v>26.8</v>
      </c>
      <c r="M81" s="60">
        <v>35.340000000000003</v>
      </c>
      <c r="N81" s="60">
        <v>4.8</v>
      </c>
      <c r="O81" s="60">
        <v>0</v>
      </c>
      <c r="P81" s="60">
        <v>1.27</v>
      </c>
      <c r="Q81" s="60">
        <v>27.57</v>
      </c>
      <c r="R81" s="198"/>
      <c r="S81" s="198"/>
      <c r="T81" s="198"/>
      <c r="U81" s="198"/>
    </row>
    <row r="82" spans="1:26" s="12" customFormat="1" x14ac:dyDescent="0.25">
      <c r="A82" s="201" t="s">
        <v>1857</v>
      </c>
      <c r="B82" s="60">
        <v>5.26</v>
      </c>
      <c r="C82" s="60">
        <v>103.31</v>
      </c>
      <c r="D82" s="60">
        <v>61.24</v>
      </c>
      <c r="E82" s="60">
        <v>9.27</v>
      </c>
      <c r="F82" s="60">
        <v>4.38</v>
      </c>
      <c r="G82" s="60">
        <v>80.81</v>
      </c>
      <c r="H82" s="60">
        <v>36.11</v>
      </c>
      <c r="I82" s="60">
        <v>0.61</v>
      </c>
      <c r="J82" s="60">
        <v>0.73</v>
      </c>
      <c r="K82" s="60">
        <v>19.75</v>
      </c>
      <c r="L82" s="60">
        <v>26.57</v>
      </c>
      <c r="M82" s="60">
        <v>34.44</v>
      </c>
      <c r="N82" s="60">
        <v>4.4000000000000004</v>
      </c>
      <c r="O82" s="60">
        <v>0</v>
      </c>
      <c r="P82" s="60">
        <v>1.28</v>
      </c>
      <c r="Q82" s="60">
        <v>28.58</v>
      </c>
      <c r="R82" s="198"/>
      <c r="S82" s="198"/>
      <c r="T82" s="198"/>
      <c r="U82" s="198"/>
    </row>
    <row r="83" spans="1:26" s="12" customFormat="1" x14ac:dyDescent="0.25">
      <c r="A83" s="201" t="s">
        <v>1858</v>
      </c>
      <c r="B83" s="60">
        <v>4.2699999999999996</v>
      </c>
      <c r="C83" s="60">
        <v>105.22</v>
      </c>
      <c r="D83" s="60">
        <v>61.49</v>
      </c>
      <c r="E83" s="60">
        <v>7.91</v>
      </c>
      <c r="F83" s="60">
        <v>4.0999999999999996</v>
      </c>
      <c r="G83" s="60">
        <v>87.14</v>
      </c>
      <c r="H83" s="60">
        <v>38.67</v>
      </c>
      <c r="I83" s="60">
        <v>0.63</v>
      </c>
      <c r="J83" s="60">
        <v>0.64</v>
      </c>
      <c r="K83" s="60">
        <v>18.190000000000001</v>
      </c>
      <c r="L83" s="60">
        <v>26.29</v>
      </c>
      <c r="M83" s="60">
        <v>33.94</v>
      </c>
      <c r="N83" s="60">
        <v>4.2</v>
      </c>
      <c r="O83" s="60">
        <v>0</v>
      </c>
      <c r="P83" s="60">
        <v>1.33</v>
      </c>
      <c r="Q83" s="60">
        <v>29.59</v>
      </c>
      <c r="R83" s="198"/>
      <c r="S83" s="198"/>
      <c r="T83" s="198"/>
      <c r="U83" s="198"/>
    </row>
    <row r="84" spans="1:26" s="12" customFormat="1" x14ac:dyDescent="0.25">
      <c r="A84" s="201" t="s">
        <v>1859</v>
      </c>
      <c r="B84" s="60">
        <v>3.89</v>
      </c>
      <c r="C84" s="60">
        <v>106.86</v>
      </c>
      <c r="D84" s="60">
        <v>62.09</v>
      </c>
      <c r="E84" s="60">
        <v>7.67</v>
      </c>
      <c r="F84" s="60">
        <v>3.37</v>
      </c>
      <c r="G84" s="60">
        <v>87.14</v>
      </c>
      <c r="H84" s="60">
        <v>38.67</v>
      </c>
      <c r="I84" s="60">
        <v>0.64</v>
      </c>
      <c r="J84" s="60">
        <v>0.44</v>
      </c>
      <c r="K84" s="60">
        <v>22.35</v>
      </c>
      <c r="L84" s="60">
        <v>25.86</v>
      </c>
      <c r="M84" s="60">
        <v>34.57</v>
      </c>
      <c r="N84" s="60">
        <v>4.3</v>
      </c>
      <c r="O84" s="60">
        <v>0</v>
      </c>
      <c r="P84" s="60">
        <v>1.41</v>
      </c>
      <c r="Q84" s="60">
        <v>29.82</v>
      </c>
      <c r="R84" s="198"/>
      <c r="S84" s="198"/>
      <c r="T84" s="198"/>
      <c r="U84" s="198"/>
    </row>
    <row r="85" spans="1:26" s="12" customFormat="1" x14ac:dyDescent="0.25">
      <c r="A85" s="201" t="s">
        <v>1860</v>
      </c>
      <c r="B85" s="60">
        <v>6.09</v>
      </c>
      <c r="C85" s="60">
        <v>113.84</v>
      </c>
      <c r="D85" s="60">
        <v>67.709999999999994</v>
      </c>
      <c r="E85" s="60">
        <v>7.44</v>
      </c>
      <c r="F85" s="60">
        <v>2.67</v>
      </c>
      <c r="G85" s="60">
        <v>87.14</v>
      </c>
      <c r="H85" s="60">
        <v>38.67</v>
      </c>
      <c r="I85" s="60">
        <v>0.65</v>
      </c>
      <c r="J85" s="60">
        <v>0.12</v>
      </c>
      <c r="K85" s="60">
        <v>53.54</v>
      </c>
      <c r="L85" s="60">
        <v>25.48</v>
      </c>
      <c r="M85" s="60">
        <v>34.54</v>
      </c>
      <c r="N85" s="60">
        <v>4.5999999999999996</v>
      </c>
      <c r="O85" s="60">
        <v>0</v>
      </c>
      <c r="P85" s="60">
        <v>1.39</v>
      </c>
      <c r="Q85" s="60">
        <v>29.67</v>
      </c>
      <c r="R85" s="198"/>
      <c r="S85" s="198"/>
      <c r="T85" s="198"/>
      <c r="U85" s="198"/>
    </row>
    <row r="86" spans="1:26" s="12" customFormat="1" x14ac:dyDescent="0.25">
      <c r="A86" s="201" t="s">
        <v>1861</v>
      </c>
      <c r="B86" s="60">
        <v>5.56</v>
      </c>
      <c r="C86" s="60">
        <v>116.25</v>
      </c>
      <c r="D86" s="60">
        <v>68.62</v>
      </c>
      <c r="E86" s="60">
        <v>8.23</v>
      </c>
      <c r="F86" s="60">
        <v>3.11</v>
      </c>
      <c r="G86" s="60">
        <v>92.3</v>
      </c>
      <c r="H86" s="60">
        <v>39.119999999999997</v>
      </c>
      <c r="I86" s="60">
        <v>0.67</v>
      </c>
      <c r="J86" s="60">
        <v>0.11</v>
      </c>
      <c r="K86" s="60">
        <v>64.66</v>
      </c>
      <c r="L86" s="60">
        <v>25.27</v>
      </c>
      <c r="M86" s="60">
        <v>34.81</v>
      </c>
      <c r="N86" s="60">
        <v>4.4000000000000004</v>
      </c>
      <c r="O86" s="60">
        <v>0</v>
      </c>
      <c r="P86" s="60">
        <v>1.57</v>
      </c>
      <c r="Q86" s="60">
        <v>29.54</v>
      </c>
      <c r="R86" s="198"/>
      <c r="S86" s="198"/>
      <c r="T86" s="198"/>
      <c r="U86" s="198"/>
    </row>
    <row r="87" spans="1:26" s="12" customFormat="1" x14ac:dyDescent="0.25">
      <c r="A87" s="201" t="s">
        <v>1862</v>
      </c>
      <c r="B87" s="60">
        <v>6.26</v>
      </c>
      <c r="C87" s="60">
        <v>119.08</v>
      </c>
      <c r="D87" s="60">
        <v>70.739999999999995</v>
      </c>
      <c r="E87" s="60">
        <v>7.73</v>
      </c>
      <c r="F87" s="60">
        <v>2.74</v>
      </c>
      <c r="G87" s="60">
        <v>99.7</v>
      </c>
      <c r="H87" s="60">
        <v>39.76</v>
      </c>
      <c r="I87" s="60">
        <v>0.68</v>
      </c>
      <c r="J87" s="60">
        <v>0.1</v>
      </c>
      <c r="K87" s="60">
        <v>74.819999999999993</v>
      </c>
      <c r="L87" s="60">
        <v>24.94</v>
      </c>
      <c r="M87" s="60">
        <v>36.15</v>
      </c>
      <c r="N87" s="60">
        <v>4.5</v>
      </c>
      <c r="O87" s="60">
        <v>0</v>
      </c>
      <c r="P87" s="60">
        <v>1.61</v>
      </c>
      <c r="Q87" s="60">
        <v>29.65</v>
      </c>
      <c r="R87" s="198"/>
      <c r="S87" s="198"/>
      <c r="T87" s="198"/>
      <c r="U87" s="198"/>
    </row>
    <row r="88" spans="1:26" s="12" customFormat="1" x14ac:dyDescent="0.25">
      <c r="A88" s="201" t="s">
        <v>1863</v>
      </c>
      <c r="B88" s="60">
        <v>8.9700000000000006</v>
      </c>
      <c r="C88" s="60">
        <v>122.6</v>
      </c>
      <c r="D88" s="60">
        <v>74.86</v>
      </c>
      <c r="E88" s="60">
        <v>3.6</v>
      </c>
      <c r="F88" s="60">
        <v>1.94</v>
      </c>
      <c r="G88" s="60">
        <v>99.7</v>
      </c>
      <c r="H88" s="60">
        <v>39.76</v>
      </c>
      <c r="I88" s="60">
        <v>0.7</v>
      </c>
      <c r="J88" s="60">
        <v>0.01</v>
      </c>
      <c r="K88" s="60">
        <v>133.74</v>
      </c>
      <c r="L88" s="60">
        <v>24.54</v>
      </c>
      <c r="M88" s="60">
        <v>38.590000000000003</v>
      </c>
      <c r="N88" s="60">
        <v>4.5999999999999996</v>
      </c>
      <c r="O88" s="60">
        <v>0</v>
      </c>
      <c r="P88" s="60">
        <v>1.68</v>
      </c>
      <c r="Q88" s="60">
        <v>29.98</v>
      </c>
      <c r="R88" s="198"/>
      <c r="S88" s="198"/>
      <c r="T88" s="198"/>
      <c r="U88" s="198"/>
    </row>
    <row r="89" spans="1:26" s="12" customFormat="1" x14ac:dyDescent="0.25">
      <c r="A89" s="201" t="s">
        <v>1864</v>
      </c>
      <c r="B89" s="60">
        <v>30.47</v>
      </c>
      <c r="C89" s="60">
        <v>141.61000000000001</v>
      </c>
      <c r="D89" s="60">
        <v>102.59</v>
      </c>
      <c r="E89" s="60">
        <v>14.29</v>
      </c>
      <c r="F89" s="60">
        <v>1.55</v>
      </c>
      <c r="G89" s="60">
        <v>99.7</v>
      </c>
      <c r="H89" s="60">
        <v>39.76</v>
      </c>
      <c r="I89" s="60">
        <v>0.72</v>
      </c>
      <c r="J89" s="60">
        <v>0.04</v>
      </c>
      <c r="K89" s="60">
        <v>338.05</v>
      </c>
      <c r="L89" s="60">
        <v>23.75</v>
      </c>
      <c r="M89" s="60">
        <v>44.86</v>
      </c>
      <c r="N89" s="60">
        <v>4.7</v>
      </c>
      <c r="O89" s="60">
        <v>0</v>
      </c>
      <c r="P89" s="60">
        <v>2.44</v>
      </c>
      <c r="Q89" s="60">
        <v>28.6</v>
      </c>
      <c r="R89" s="198"/>
      <c r="S89" s="198"/>
      <c r="T89" s="198"/>
      <c r="U89" s="198"/>
    </row>
    <row r="90" spans="1:26" s="12" customFormat="1" x14ac:dyDescent="0.25">
      <c r="A90" s="201" t="s">
        <v>1865</v>
      </c>
      <c r="B90" s="60">
        <v>20.23</v>
      </c>
      <c r="C90" s="60">
        <v>136.29</v>
      </c>
      <c r="D90" s="60">
        <v>91.44</v>
      </c>
      <c r="E90" s="60">
        <v>11.95</v>
      </c>
      <c r="F90" s="60">
        <v>1.49</v>
      </c>
      <c r="G90" s="60">
        <v>113.36</v>
      </c>
      <c r="H90" s="60">
        <v>44.37</v>
      </c>
      <c r="I90" s="60">
        <v>0.74</v>
      </c>
      <c r="J90" s="60">
        <v>0.06</v>
      </c>
      <c r="K90" s="60">
        <v>64.55</v>
      </c>
      <c r="L90" s="60">
        <v>23.12</v>
      </c>
      <c r="M90" s="60">
        <v>45.04</v>
      </c>
      <c r="N90" s="60">
        <v>4.4000000000000004</v>
      </c>
      <c r="O90" s="60">
        <v>0</v>
      </c>
      <c r="P90" s="60">
        <v>2.1800000000000002</v>
      </c>
      <c r="Q90" s="60">
        <v>28.43</v>
      </c>
      <c r="R90" s="198"/>
      <c r="S90" s="198"/>
      <c r="T90" s="198"/>
      <c r="U90" s="198"/>
    </row>
    <row r="91" spans="1:26" s="12" customFormat="1" x14ac:dyDescent="0.25">
      <c r="A91" s="201" t="s">
        <v>1866</v>
      </c>
      <c r="B91" s="60">
        <v>24.68</v>
      </c>
      <c r="C91" s="60">
        <v>138.47999999999999</v>
      </c>
      <c r="D91" s="60">
        <v>96.21</v>
      </c>
      <c r="E91" s="60">
        <v>7.87</v>
      </c>
      <c r="F91" s="60">
        <v>1.41</v>
      </c>
      <c r="G91" s="60">
        <v>132.94</v>
      </c>
      <c r="H91" s="60">
        <v>50.96</v>
      </c>
      <c r="I91" s="60">
        <v>0.92</v>
      </c>
      <c r="J91" s="60">
        <v>0.11</v>
      </c>
      <c r="K91" s="60">
        <v>99.86</v>
      </c>
      <c r="L91" s="60">
        <v>22.89</v>
      </c>
      <c r="M91" s="60">
        <v>46.73</v>
      </c>
      <c r="N91" s="60">
        <v>4.4000000000000004</v>
      </c>
      <c r="O91" s="60">
        <v>0</v>
      </c>
      <c r="P91" s="60">
        <v>2.1800000000000002</v>
      </c>
      <c r="Q91" s="60">
        <v>29.01</v>
      </c>
      <c r="R91" s="198"/>
      <c r="S91" s="198"/>
      <c r="T91" s="198"/>
      <c r="U91" s="198"/>
    </row>
    <row r="92" spans="1:26" s="12" customFormat="1" x14ac:dyDescent="0.25">
      <c r="A92" s="201" t="s">
        <v>1867</v>
      </c>
      <c r="B92" s="60">
        <v>33.24</v>
      </c>
      <c r="C92" s="60">
        <v>140.6</v>
      </c>
      <c r="D92" s="60">
        <v>104.25</v>
      </c>
      <c r="E92" s="60">
        <v>8.0500000000000007</v>
      </c>
      <c r="F92" s="60">
        <v>1.51</v>
      </c>
      <c r="G92" s="60">
        <v>132.94</v>
      </c>
      <c r="H92" s="60">
        <v>50.96</v>
      </c>
      <c r="I92" s="60">
        <v>0.93</v>
      </c>
      <c r="J92" s="60">
        <v>0.24</v>
      </c>
      <c r="K92" s="60">
        <v>251.36</v>
      </c>
      <c r="L92" s="60">
        <v>22.84</v>
      </c>
      <c r="M92" s="60">
        <v>47.74</v>
      </c>
      <c r="N92" s="60">
        <v>3.8</v>
      </c>
      <c r="O92" s="60">
        <v>0</v>
      </c>
      <c r="P92" s="60">
        <v>2.34</v>
      </c>
      <c r="Q92" s="60">
        <v>29.04</v>
      </c>
      <c r="R92" s="198"/>
      <c r="S92" s="198"/>
      <c r="T92" s="198"/>
      <c r="U92" s="198"/>
    </row>
    <row r="93" spans="1:26" s="12" customFormat="1" x14ac:dyDescent="0.25">
      <c r="A93" s="201" t="s">
        <v>1868</v>
      </c>
      <c r="B93" s="60">
        <v>27.74</v>
      </c>
      <c r="C93" s="60">
        <v>135.4</v>
      </c>
      <c r="D93" s="60">
        <v>96.97</v>
      </c>
      <c r="E93" s="60">
        <v>6.93</v>
      </c>
      <c r="F93" s="60">
        <v>1.48</v>
      </c>
      <c r="G93" s="60">
        <v>132.94</v>
      </c>
      <c r="H93" s="60">
        <v>50.96</v>
      </c>
      <c r="I93" s="60">
        <v>0.98</v>
      </c>
      <c r="J93" s="60">
        <v>0.21</v>
      </c>
      <c r="K93" s="60">
        <v>228.03</v>
      </c>
      <c r="L93" s="60">
        <v>23.27</v>
      </c>
      <c r="M93" s="60">
        <v>46.86</v>
      </c>
      <c r="N93" s="60">
        <v>3.3</v>
      </c>
      <c r="O93" s="60">
        <v>0</v>
      </c>
      <c r="P93" s="60">
        <v>2.25</v>
      </c>
      <c r="Q93" s="60">
        <v>30.35</v>
      </c>
      <c r="R93" s="198"/>
      <c r="S93" s="198"/>
      <c r="T93" s="198"/>
      <c r="U93" s="198"/>
    </row>
    <row r="94" spans="1:26" s="12" customFormat="1" x14ac:dyDescent="0.25">
      <c r="A94" s="201" t="s">
        <v>1869</v>
      </c>
      <c r="B94" s="60">
        <v>35.659999999999997</v>
      </c>
      <c r="C94" s="60">
        <v>138.56</v>
      </c>
      <c r="D94" s="60">
        <v>105.06</v>
      </c>
      <c r="E94" s="60">
        <v>8.42</v>
      </c>
      <c r="F94" s="60">
        <v>1.42</v>
      </c>
      <c r="G94" s="60">
        <v>173.32</v>
      </c>
      <c r="H94" s="60">
        <v>56.84</v>
      </c>
      <c r="I94" s="60">
        <v>1.03</v>
      </c>
      <c r="J94" s="60">
        <v>0.09</v>
      </c>
      <c r="K94" s="60">
        <v>57.95</v>
      </c>
      <c r="L94" s="60">
        <v>22.9</v>
      </c>
      <c r="M94" s="60">
        <v>49.75</v>
      </c>
      <c r="N94" s="60">
        <v>4.5</v>
      </c>
      <c r="O94" s="60">
        <v>0</v>
      </c>
      <c r="P94" s="60">
        <v>2.4300000000000002</v>
      </c>
      <c r="Q94" s="60">
        <v>31.01</v>
      </c>
      <c r="R94" s="198"/>
      <c r="S94" s="198"/>
      <c r="T94" s="198"/>
      <c r="U94" s="198"/>
    </row>
    <row r="95" spans="1:26" s="12" customFormat="1" x14ac:dyDescent="0.25">
      <c r="A95" s="201" t="s">
        <v>1870</v>
      </c>
      <c r="B95" s="60">
        <v>38.82</v>
      </c>
      <c r="C95" s="60">
        <v>136.18</v>
      </c>
      <c r="D95" s="60">
        <v>106.28</v>
      </c>
      <c r="E95" s="60">
        <v>7.52</v>
      </c>
      <c r="F95" s="60">
        <v>1.45</v>
      </c>
      <c r="G95" s="60">
        <v>231.17</v>
      </c>
      <c r="H95" s="60">
        <v>65.27</v>
      </c>
      <c r="I95" s="60">
        <v>1.04</v>
      </c>
      <c r="J95" s="60">
        <v>0.06</v>
      </c>
      <c r="K95" s="60">
        <v>281.07</v>
      </c>
      <c r="L95" s="60">
        <v>22.33</v>
      </c>
      <c r="M95" s="60">
        <v>54.49</v>
      </c>
      <c r="N95" s="60">
        <v>4.5</v>
      </c>
      <c r="O95" s="60">
        <v>0</v>
      </c>
      <c r="P95" s="60">
        <v>2.5</v>
      </c>
      <c r="Q95" s="60">
        <v>31.21</v>
      </c>
      <c r="R95" s="198"/>
      <c r="S95" s="198"/>
      <c r="T95" s="198"/>
      <c r="U95" s="198"/>
    </row>
    <row r="96" spans="1:26" s="12" customFormat="1" x14ac:dyDescent="0.25">
      <c r="A96" s="201" t="s">
        <v>1871</v>
      </c>
      <c r="B96" s="60">
        <v>38.450000000000003</v>
      </c>
      <c r="C96" s="60">
        <v>135.72</v>
      </c>
      <c r="D96" s="60">
        <v>105.74</v>
      </c>
      <c r="E96" s="60">
        <v>6.65</v>
      </c>
      <c r="F96" s="60">
        <v>1.41</v>
      </c>
      <c r="G96" s="60">
        <v>231.17</v>
      </c>
      <c r="H96" s="60">
        <v>65.27</v>
      </c>
      <c r="I96" s="60">
        <v>1.08</v>
      </c>
      <c r="J96" s="60">
        <v>0.03</v>
      </c>
      <c r="K96" s="60">
        <v>302.16000000000003</v>
      </c>
      <c r="L96" s="60">
        <v>22.09</v>
      </c>
      <c r="M96" s="60">
        <v>53.82</v>
      </c>
      <c r="N96" s="60">
        <v>4.3</v>
      </c>
      <c r="O96" s="60">
        <v>0</v>
      </c>
      <c r="P96" s="60">
        <v>2.5299999999999998</v>
      </c>
      <c r="Q96" s="60">
        <v>32.28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1872</v>
      </c>
      <c r="B97" s="60">
        <v>40.729999999999997</v>
      </c>
      <c r="C97" s="60">
        <v>135.56</v>
      </c>
      <c r="D97" s="60">
        <v>107.48</v>
      </c>
      <c r="E97" s="60">
        <v>6.35</v>
      </c>
      <c r="F97" s="60">
        <v>1.4</v>
      </c>
      <c r="G97" s="60">
        <v>231.17</v>
      </c>
      <c r="H97" s="60">
        <v>65.27</v>
      </c>
      <c r="I97" s="60">
        <v>1.03</v>
      </c>
      <c r="J97" s="60">
        <v>0.17</v>
      </c>
      <c r="K97" s="60">
        <v>81.25</v>
      </c>
      <c r="L97" s="60">
        <v>22.11</v>
      </c>
      <c r="M97" s="60">
        <v>52.93</v>
      </c>
      <c r="N97" s="60">
        <v>4</v>
      </c>
      <c r="O97" s="60">
        <v>0</v>
      </c>
      <c r="P97" s="60">
        <v>2.59</v>
      </c>
      <c r="Q97" s="60">
        <v>33.93</v>
      </c>
      <c r="R97" s="198"/>
      <c r="S97" s="198"/>
      <c r="T97" s="198"/>
      <c r="U97" s="198"/>
    </row>
    <row r="98" spans="1:33" s="12" customFormat="1" x14ac:dyDescent="0.25">
      <c r="A98" s="201" t="s">
        <v>1873</v>
      </c>
      <c r="B98" s="60">
        <v>44.73</v>
      </c>
      <c r="C98" s="60">
        <v>137.47</v>
      </c>
      <c r="D98" s="60">
        <v>111.74</v>
      </c>
      <c r="E98" s="60">
        <v>6.67</v>
      </c>
      <c r="F98" s="60">
        <v>1.44</v>
      </c>
      <c r="G98" s="60">
        <v>231.82</v>
      </c>
      <c r="H98" s="60">
        <v>69.42</v>
      </c>
      <c r="I98" s="60">
        <v>1.1299999999999999</v>
      </c>
      <c r="J98" s="60">
        <v>0.21</v>
      </c>
      <c r="K98" s="60">
        <v>25.81</v>
      </c>
      <c r="L98" s="60">
        <v>22.07</v>
      </c>
      <c r="M98" s="60">
        <v>52.72</v>
      </c>
      <c r="N98" s="60">
        <v>4.3</v>
      </c>
      <c r="O98" s="60">
        <v>0</v>
      </c>
      <c r="P98" s="60">
        <v>2.65</v>
      </c>
      <c r="Q98" s="60">
        <v>34.36</v>
      </c>
      <c r="R98" s="198"/>
      <c r="S98" s="198"/>
      <c r="T98" s="198"/>
      <c r="U98" s="198"/>
    </row>
    <row r="99" spans="1:33" s="12" customFormat="1" x14ac:dyDescent="0.25">
      <c r="A99" s="201" t="s">
        <v>1874</v>
      </c>
      <c r="B99" s="60">
        <v>47.69</v>
      </c>
      <c r="C99" s="60">
        <v>139.96</v>
      </c>
      <c r="D99" s="60">
        <v>115.49</v>
      </c>
      <c r="E99" s="60">
        <v>6.8</v>
      </c>
      <c r="F99" s="60">
        <v>1.51</v>
      </c>
      <c r="G99" s="60">
        <v>232.75</v>
      </c>
      <c r="H99" s="60">
        <v>75.36</v>
      </c>
      <c r="I99" s="60">
        <v>1.17</v>
      </c>
      <c r="J99" s="60">
        <v>0.37</v>
      </c>
      <c r="K99" s="60">
        <v>12.15</v>
      </c>
      <c r="L99" s="60">
        <v>21.83</v>
      </c>
      <c r="M99" s="60">
        <v>50.93</v>
      </c>
      <c r="N99" s="60">
        <v>3.8</v>
      </c>
      <c r="O99" s="60">
        <v>0</v>
      </c>
      <c r="P99" s="60">
        <v>2.69</v>
      </c>
      <c r="Q99" s="60">
        <v>34.39</v>
      </c>
      <c r="R99" s="198"/>
      <c r="S99" s="198"/>
      <c r="T99" s="198"/>
      <c r="U99" s="198"/>
    </row>
    <row r="100" spans="1:33" s="12" customFormat="1" x14ac:dyDescent="0.25">
      <c r="A100" s="201" t="s">
        <v>1875</v>
      </c>
      <c r="B100" s="60">
        <v>47.78</v>
      </c>
      <c r="C100" s="60">
        <v>141.47999999999999</v>
      </c>
      <c r="D100" s="60">
        <v>116.39</v>
      </c>
      <c r="E100" s="60">
        <v>6.36</v>
      </c>
      <c r="F100" s="60">
        <v>1.43</v>
      </c>
      <c r="G100" s="60">
        <v>232.75</v>
      </c>
      <c r="H100" s="60">
        <v>75.36</v>
      </c>
      <c r="I100" s="60">
        <v>1.19</v>
      </c>
      <c r="J100" s="60">
        <v>0.46</v>
      </c>
      <c r="K100" s="60">
        <v>16.54</v>
      </c>
      <c r="L100" s="60">
        <v>22</v>
      </c>
      <c r="M100" s="60">
        <v>49.65</v>
      </c>
      <c r="N100" s="60">
        <v>3.8</v>
      </c>
      <c r="O100" s="60">
        <v>0</v>
      </c>
      <c r="P100" s="60">
        <v>2.69</v>
      </c>
      <c r="Q100" s="60">
        <v>34.299999999999997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1876</v>
      </c>
      <c r="B101" s="60">
        <v>45.65</v>
      </c>
      <c r="C101" s="60">
        <v>141.44</v>
      </c>
      <c r="D101" s="60">
        <v>114.67</v>
      </c>
      <c r="E101" s="60">
        <v>6.53</v>
      </c>
      <c r="F101" s="60">
        <v>1.47</v>
      </c>
      <c r="G101" s="60">
        <v>232.75</v>
      </c>
      <c r="H101" s="60">
        <v>75.36</v>
      </c>
      <c r="I101" s="60">
        <v>1.17</v>
      </c>
      <c r="J101" s="60">
        <v>0.61</v>
      </c>
      <c r="K101" s="60">
        <v>19.010000000000002</v>
      </c>
      <c r="L101" s="60">
        <v>22.03</v>
      </c>
      <c r="M101" s="60">
        <v>50.49</v>
      </c>
      <c r="N101" s="60">
        <v>3.8</v>
      </c>
      <c r="O101" s="60">
        <v>0</v>
      </c>
      <c r="P101" s="60">
        <v>2.65</v>
      </c>
      <c r="Q101" s="60">
        <v>34.04</v>
      </c>
      <c r="R101" s="198"/>
      <c r="S101" s="198"/>
      <c r="T101" s="198"/>
      <c r="U101" s="198"/>
    </row>
    <row r="102" spans="1:33" s="12" customFormat="1" x14ac:dyDescent="0.25">
      <c r="A102" s="201" t="s">
        <v>1877</v>
      </c>
      <c r="B102" s="60">
        <v>42.55</v>
      </c>
      <c r="C102" s="60">
        <v>140.43</v>
      </c>
      <c r="D102" s="60">
        <v>111.62</v>
      </c>
      <c r="E102" s="60">
        <v>6.83</v>
      </c>
      <c r="F102" s="60">
        <v>1.42</v>
      </c>
      <c r="G102" s="60">
        <v>192.19</v>
      </c>
      <c r="H102" s="60">
        <v>72.989999999999995</v>
      </c>
      <c r="I102" s="60">
        <v>1.17</v>
      </c>
      <c r="J102" s="60">
        <v>0.41</v>
      </c>
      <c r="K102" s="60">
        <v>16.73</v>
      </c>
      <c r="L102" s="60">
        <v>22.23</v>
      </c>
      <c r="M102" s="60">
        <v>49.13</v>
      </c>
      <c r="N102" s="60">
        <v>4.2</v>
      </c>
      <c r="O102" s="60">
        <v>0</v>
      </c>
      <c r="P102" s="60">
        <v>2.58</v>
      </c>
      <c r="Q102" s="60">
        <v>33.56</v>
      </c>
      <c r="R102" s="198"/>
      <c r="S102" s="198"/>
      <c r="T102" s="198"/>
      <c r="U102" s="198"/>
    </row>
    <row r="103" spans="1:33" s="12" customFormat="1" x14ac:dyDescent="0.25">
      <c r="A103" s="201" t="s">
        <v>1878</v>
      </c>
      <c r="B103" s="60">
        <v>35.19</v>
      </c>
      <c r="C103" s="60">
        <v>135.76</v>
      </c>
      <c r="D103" s="60">
        <v>103.14</v>
      </c>
      <c r="E103" s="60">
        <v>6.98</v>
      </c>
      <c r="F103" s="60">
        <v>3.42</v>
      </c>
      <c r="G103" s="60">
        <v>134.09</v>
      </c>
      <c r="H103" s="60">
        <v>69.59</v>
      </c>
      <c r="I103" s="60">
        <v>1.06</v>
      </c>
      <c r="J103" s="60">
        <v>0.15</v>
      </c>
      <c r="K103" s="60">
        <v>36.979999999999997</v>
      </c>
      <c r="L103" s="60">
        <v>21.94</v>
      </c>
      <c r="M103" s="60">
        <v>49.69</v>
      </c>
      <c r="N103" s="60">
        <v>4.5</v>
      </c>
      <c r="O103" s="60">
        <v>0</v>
      </c>
      <c r="P103" s="60">
        <v>2.48</v>
      </c>
      <c r="Q103" s="60">
        <v>32.71</v>
      </c>
      <c r="R103" s="198"/>
      <c r="S103" s="198"/>
      <c r="T103" s="198"/>
      <c r="U103" s="198"/>
    </row>
    <row r="104" spans="1:33" s="12" customFormat="1" x14ac:dyDescent="0.25">
      <c r="A104" s="201" t="s">
        <v>1879</v>
      </c>
      <c r="B104" s="60">
        <v>37.17</v>
      </c>
      <c r="C104" s="60">
        <v>134.38999999999999</v>
      </c>
      <c r="D104" s="60">
        <v>103.98</v>
      </c>
      <c r="E104" s="60">
        <v>6.25</v>
      </c>
      <c r="F104" s="60">
        <v>2.67</v>
      </c>
      <c r="G104" s="60">
        <v>134.09</v>
      </c>
      <c r="H104" s="60">
        <v>69.59</v>
      </c>
      <c r="I104" s="60">
        <v>1.1100000000000001</v>
      </c>
      <c r="J104" s="60">
        <v>0.21</v>
      </c>
      <c r="K104" s="60">
        <v>349.81</v>
      </c>
      <c r="L104" s="60">
        <v>21.65</v>
      </c>
      <c r="M104" s="60">
        <v>50.53</v>
      </c>
      <c r="N104" s="60">
        <v>4.2</v>
      </c>
      <c r="O104" s="60">
        <v>0</v>
      </c>
      <c r="P104" s="60">
        <v>2.48</v>
      </c>
      <c r="Q104" s="60">
        <v>32.299999999999997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1.1399999999999999</v>
      </c>
      <c r="C106" s="67">
        <f>MIN(C9:C104)</f>
        <v>86.6</v>
      </c>
      <c r="D106" s="67">
        <f t="shared" ref="D106:Q106" si="0">MIN(D9:D104)</f>
        <v>51.17</v>
      </c>
      <c r="E106" s="67">
        <f t="shared" si="0"/>
        <v>3.42</v>
      </c>
      <c r="F106" s="67">
        <f t="shared" si="0"/>
        <v>1.4</v>
      </c>
      <c r="G106" s="67">
        <f t="shared" si="0"/>
        <v>46.74</v>
      </c>
      <c r="H106" s="67">
        <f t="shared" si="0"/>
        <v>26.5</v>
      </c>
      <c r="I106" s="67">
        <f t="shared" si="0"/>
        <v>0.57999999999999996</v>
      </c>
      <c r="J106" s="67">
        <f t="shared" si="0"/>
        <v>0.01</v>
      </c>
      <c r="K106" s="67">
        <f t="shared" si="0"/>
        <v>0.86</v>
      </c>
      <c r="L106" s="67">
        <f t="shared" si="0"/>
        <v>18.329999999999998</v>
      </c>
      <c r="M106" s="67">
        <f t="shared" si="0"/>
        <v>19.55</v>
      </c>
      <c r="N106" s="67">
        <f t="shared" si="0"/>
        <v>3.3</v>
      </c>
      <c r="O106" s="67">
        <f t="shared" si="0"/>
        <v>0</v>
      </c>
      <c r="P106" s="67">
        <f t="shared" si="0"/>
        <v>0.99</v>
      </c>
      <c r="Q106" s="67">
        <f t="shared" si="0"/>
        <v>25.9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47.78</v>
      </c>
      <c r="C107" s="66">
        <f t="shared" ref="C107:Q107" si="1">MAX(C9:C104)</f>
        <v>141.61000000000001</v>
      </c>
      <c r="D107" s="66">
        <f t="shared" si="1"/>
        <v>116.39</v>
      </c>
      <c r="E107" s="66">
        <f t="shared" si="1"/>
        <v>25.88</v>
      </c>
      <c r="F107" s="66">
        <f t="shared" si="1"/>
        <v>12.33</v>
      </c>
      <c r="G107" s="66">
        <f t="shared" si="1"/>
        <v>232.75</v>
      </c>
      <c r="H107" s="66">
        <f t="shared" si="1"/>
        <v>75.36</v>
      </c>
      <c r="I107" s="66">
        <f t="shared" si="1"/>
        <v>1.19</v>
      </c>
      <c r="J107" s="66">
        <f t="shared" si="1"/>
        <v>1.68</v>
      </c>
      <c r="K107" s="66">
        <f t="shared" si="1"/>
        <v>359.33</v>
      </c>
      <c r="L107" s="66">
        <f t="shared" si="1"/>
        <v>34.78</v>
      </c>
      <c r="M107" s="66">
        <f t="shared" si="1"/>
        <v>57.75</v>
      </c>
      <c r="N107" s="66">
        <f t="shared" si="1"/>
        <v>582.9</v>
      </c>
      <c r="O107" s="66">
        <f t="shared" si="1"/>
        <v>0</v>
      </c>
      <c r="P107" s="66">
        <f t="shared" si="1"/>
        <v>2.69</v>
      </c>
      <c r="Q107" s="66">
        <f t="shared" si="1"/>
        <v>34.39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13.557395833333333</v>
      </c>
      <c r="C108" s="67">
        <f t="shared" ref="C108:Q108" si="2">AVERAGE(C9:C104)</f>
        <v>105.87020833333334</v>
      </c>
      <c r="D108" s="67">
        <f t="shared" si="2"/>
        <v>69.299479166666657</v>
      </c>
      <c r="E108" s="67">
        <f t="shared" si="2"/>
        <v>8.0538541666666656</v>
      </c>
      <c r="F108" s="67">
        <f t="shared" si="2"/>
        <v>3.4765625000000022</v>
      </c>
      <c r="G108" s="67">
        <f t="shared" si="2"/>
        <v>100.88916666666667</v>
      </c>
      <c r="H108" s="67">
        <f t="shared" si="2"/>
        <v>42.108750000000008</v>
      </c>
      <c r="I108" s="67">
        <f t="shared" si="2"/>
        <v>0.72416666666666674</v>
      </c>
      <c r="J108" s="67">
        <f t="shared" si="2"/>
        <v>0.58125000000000004</v>
      </c>
      <c r="K108" s="67">
        <f t="shared" si="2"/>
        <v>78.531770833333312</v>
      </c>
      <c r="L108" s="67">
        <f t="shared" si="2"/>
        <v>25.657604166666669</v>
      </c>
      <c r="M108" s="67">
        <f t="shared" si="2"/>
        <v>37.466250000000009</v>
      </c>
      <c r="N108" s="67">
        <f t="shared" si="2"/>
        <v>157.00937499999995</v>
      </c>
      <c r="O108" s="67">
        <f t="shared" si="2"/>
        <v>0</v>
      </c>
      <c r="P108" s="67">
        <f t="shared" si="2"/>
        <v>1.5213541666666677</v>
      </c>
      <c r="Q108" s="67">
        <f t="shared" si="2"/>
        <v>28.637708333333347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13.102835550472246</v>
      </c>
      <c r="C109" s="67">
        <f t="shared" ref="C109:Q109" si="3">STDEV(C9:C104)</f>
        <v>16.060048631974993</v>
      </c>
      <c r="D109" s="67">
        <f t="shared" si="3"/>
        <v>18.222136703517211</v>
      </c>
      <c r="E109" s="67">
        <f t="shared" si="3"/>
        <v>3.5219424574012628</v>
      </c>
      <c r="F109" s="67">
        <f t="shared" si="3"/>
        <v>2.6247405197566875</v>
      </c>
      <c r="G109" s="67">
        <f t="shared" si="3"/>
        <v>45.044159494449438</v>
      </c>
      <c r="H109" s="67">
        <f t="shared" si="3"/>
        <v>11.841401166202676</v>
      </c>
      <c r="I109" s="67">
        <f t="shared" si="3"/>
        <v>0.17026707606869326</v>
      </c>
      <c r="J109" s="67">
        <f t="shared" si="3"/>
        <v>0.3888207542652119</v>
      </c>
      <c r="K109" s="67">
        <f t="shared" si="3"/>
        <v>108.15545917549757</v>
      </c>
      <c r="L109" s="67">
        <f t="shared" si="3"/>
        <v>5.1822642368576677</v>
      </c>
      <c r="M109" s="67">
        <f t="shared" si="3"/>
        <v>11.548471874303459</v>
      </c>
      <c r="N109" s="67">
        <f t="shared" si="3"/>
        <v>212.54198796479329</v>
      </c>
      <c r="O109" s="67">
        <f t="shared" si="3"/>
        <v>0</v>
      </c>
      <c r="P109" s="67">
        <f t="shared" si="3"/>
        <v>0.47729637662603985</v>
      </c>
      <c r="Q109" s="67">
        <f t="shared" si="3"/>
        <v>2.1276210976317467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</f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215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04" sqref="H104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18-02-2023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340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1880</v>
      </c>
      <c r="B9" s="60">
        <v>32.68</v>
      </c>
      <c r="C9" s="60">
        <v>131.19999999999999</v>
      </c>
      <c r="D9" s="60">
        <v>98.61</v>
      </c>
      <c r="E9" s="60">
        <v>7.95</v>
      </c>
      <c r="F9" s="60">
        <v>2.34</v>
      </c>
      <c r="G9" s="60">
        <v>134.09</v>
      </c>
      <c r="H9" s="60">
        <v>69.59</v>
      </c>
      <c r="I9" s="60">
        <v>0.98</v>
      </c>
      <c r="J9" s="60">
        <v>0.06</v>
      </c>
      <c r="K9" s="60">
        <v>44.45</v>
      </c>
      <c r="L9" s="60">
        <v>21.44</v>
      </c>
      <c r="M9" s="60">
        <v>51.45</v>
      </c>
      <c r="N9" s="60">
        <v>4.7</v>
      </c>
      <c r="O9" s="60">
        <v>0</v>
      </c>
      <c r="P9" s="60">
        <v>2.4300000000000002</v>
      </c>
      <c r="Q9" s="60">
        <v>32.090000000000003</v>
      </c>
      <c r="R9" s="198"/>
      <c r="S9" s="198"/>
      <c r="T9" s="198"/>
      <c r="U9" s="198"/>
    </row>
    <row r="10" spans="1:21" s="12" customFormat="1" x14ac:dyDescent="0.25">
      <c r="A10" s="201" t="s">
        <v>1881</v>
      </c>
      <c r="B10" s="60">
        <v>31.1</v>
      </c>
      <c r="C10" s="60">
        <v>129.13</v>
      </c>
      <c r="D10" s="60">
        <v>96.2</v>
      </c>
      <c r="E10" s="60">
        <v>8.4499999999999993</v>
      </c>
      <c r="F10" s="60">
        <v>2.83</v>
      </c>
      <c r="G10" s="60">
        <v>127.86</v>
      </c>
      <c r="H10" s="60">
        <v>67.349999999999994</v>
      </c>
      <c r="I10" s="60">
        <v>0.98</v>
      </c>
      <c r="J10" s="60">
        <v>0.34</v>
      </c>
      <c r="K10" s="60">
        <v>9.33</v>
      </c>
      <c r="L10" s="60">
        <v>20.91</v>
      </c>
      <c r="M10" s="60">
        <v>57.17</v>
      </c>
      <c r="N10" s="60">
        <v>4.2</v>
      </c>
      <c r="O10" s="60">
        <v>0</v>
      </c>
      <c r="P10" s="60">
        <v>2.39</v>
      </c>
      <c r="Q10" s="60">
        <v>31.99</v>
      </c>
      <c r="R10" s="198"/>
      <c r="S10" s="198"/>
      <c r="T10" s="198"/>
      <c r="U10" s="198"/>
    </row>
    <row r="11" spans="1:21" s="12" customFormat="1" x14ac:dyDescent="0.25">
      <c r="A11" s="201" t="s">
        <v>1882</v>
      </c>
      <c r="B11" s="60">
        <v>29.83</v>
      </c>
      <c r="C11" s="60">
        <v>127.03</v>
      </c>
      <c r="D11" s="60">
        <v>94.03</v>
      </c>
      <c r="E11" s="60">
        <v>9.4499999999999993</v>
      </c>
      <c r="F11" s="60">
        <v>2.75</v>
      </c>
      <c r="G11" s="60">
        <v>118.95</v>
      </c>
      <c r="H11" s="60">
        <v>64.13</v>
      </c>
      <c r="I11" s="60">
        <v>0.96</v>
      </c>
      <c r="J11" s="60">
        <v>0.19</v>
      </c>
      <c r="K11" s="60">
        <v>0.22</v>
      </c>
      <c r="L11" s="60">
        <v>20.91</v>
      </c>
      <c r="M11" s="60">
        <v>54.78</v>
      </c>
      <c r="N11" s="60">
        <v>4.2</v>
      </c>
      <c r="O11" s="60">
        <v>0</v>
      </c>
      <c r="P11" s="60">
        <v>2.38</v>
      </c>
      <c r="Q11" s="60">
        <v>32.03</v>
      </c>
      <c r="R11" s="198"/>
      <c r="S11" s="198"/>
      <c r="T11" s="198"/>
      <c r="U11" s="198"/>
    </row>
    <row r="12" spans="1:21" s="12" customFormat="1" x14ac:dyDescent="0.25">
      <c r="A12" s="201" t="s">
        <v>1883</v>
      </c>
      <c r="B12" s="60">
        <v>28.49</v>
      </c>
      <c r="C12" s="60">
        <v>125.93</v>
      </c>
      <c r="D12" s="60">
        <v>92.34</v>
      </c>
      <c r="E12" s="60">
        <v>8.11</v>
      </c>
      <c r="F12" s="60">
        <v>2.5</v>
      </c>
      <c r="G12" s="60">
        <v>118.95</v>
      </c>
      <c r="H12" s="60">
        <v>64.13</v>
      </c>
      <c r="I12" s="60">
        <v>0.95</v>
      </c>
      <c r="J12" s="60">
        <v>0.13</v>
      </c>
      <c r="K12" s="60">
        <v>15.12</v>
      </c>
      <c r="L12" s="60">
        <v>20.81</v>
      </c>
      <c r="M12" s="60">
        <v>55.87</v>
      </c>
      <c r="N12" s="60">
        <v>4.5</v>
      </c>
      <c r="O12" s="60">
        <v>0</v>
      </c>
      <c r="P12" s="60">
        <v>2.35</v>
      </c>
      <c r="Q12" s="60">
        <v>32.08</v>
      </c>
      <c r="R12" s="198"/>
      <c r="S12" s="198"/>
      <c r="T12" s="198"/>
      <c r="U12" s="198"/>
    </row>
    <row r="13" spans="1:21" s="12" customFormat="1" x14ac:dyDescent="0.25">
      <c r="A13" s="201" t="s">
        <v>1884</v>
      </c>
      <c r="B13" s="60">
        <v>27.19</v>
      </c>
      <c r="C13" s="60">
        <v>121.31</v>
      </c>
      <c r="D13" s="60">
        <v>88.76</v>
      </c>
      <c r="E13" s="60">
        <v>7.48</v>
      </c>
      <c r="F13" s="60">
        <v>3.03</v>
      </c>
      <c r="G13" s="60">
        <v>118.95</v>
      </c>
      <c r="H13" s="60">
        <v>64.13</v>
      </c>
      <c r="I13" s="60">
        <v>0.94</v>
      </c>
      <c r="J13" s="60">
        <v>0.48</v>
      </c>
      <c r="K13" s="60">
        <v>34.119999999999997</v>
      </c>
      <c r="L13" s="60">
        <v>21.16</v>
      </c>
      <c r="M13" s="60">
        <v>52.5</v>
      </c>
      <c r="N13" s="60">
        <v>3.6</v>
      </c>
      <c r="O13" s="60">
        <v>0</v>
      </c>
      <c r="P13" s="60">
        <v>2.21</v>
      </c>
      <c r="Q13" s="60">
        <v>32.130000000000003</v>
      </c>
      <c r="R13" s="198"/>
      <c r="S13" s="198"/>
      <c r="T13" s="198"/>
      <c r="U13" s="198"/>
    </row>
    <row r="14" spans="1:21" s="12" customFormat="1" x14ac:dyDescent="0.25">
      <c r="A14" s="201" t="s">
        <v>1885</v>
      </c>
      <c r="B14" s="60">
        <v>25.94</v>
      </c>
      <c r="C14" s="60">
        <v>119.4</v>
      </c>
      <c r="D14" s="60">
        <v>86.69</v>
      </c>
      <c r="E14" s="60">
        <v>7.46</v>
      </c>
      <c r="F14" s="60">
        <v>2.89</v>
      </c>
      <c r="G14" s="60">
        <v>126.41</v>
      </c>
      <c r="H14" s="60">
        <v>65.459999999999994</v>
      </c>
      <c r="I14" s="60">
        <v>0.94</v>
      </c>
      <c r="J14" s="60">
        <v>0.79</v>
      </c>
      <c r="K14" s="60">
        <v>26.52</v>
      </c>
      <c r="L14" s="60">
        <v>21.12</v>
      </c>
      <c r="M14" s="60">
        <v>53.46</v>
      </c>
      <c r="N14" s="60">
        <v>3.8</v>
      </c>
      <c r="O14" s="60">
        <v>0</v>
      </c>
      <c r="P14" s="60">
        <v>2.25</v>
      </c>
      <c r="Q14" s="60">
        <v>32.03</v>
      </c>
      <c r="R14" s="198"/>
      <c r="S14" s="198"/>
      <c r="T14" s="198"/>
      <c r="U14" s="198"/>
    </row>
    <row r="15" spans="1:21" s="12" customFormat="1" x14ac:dyDescent="0.25">
      <c r="A15" s="201" t="s">
        <v>1886</v>
      </c>
      <c r="B15" s="60">
        <v>25.03</v>
      </c>
      <c r="C15" s="60">
        <v>120.99</v>
      </c>
      <c r="D15" s="60">
        <v>86.84</v>
      </c>
      <c r="E15" s="60">
        <v>7.5</v>
      </c>
      <c r="F15" s="60">
        <v>1.88</v>
      </c>
      <c r="G15" s="60">
        <v>137.09</v>
      </c>
      <c r="H15" s="60">
        <v>67.36</v>
      </c>
      <c r="I15" s="60">
        <v>0.92</v>
      </c>
      <c r="J15" s="60">
        <v>1.03</v>
      </c>
      <c r="K15" s="60">
        <v>20.12</v>
      </c>
      <c r="L15" s="60">
        <v>21.34</v>
      </c>
      <c r="M15" s="60">
        <v>52.6</v>
      </c>
      <c r="N15" s="60">
        <v>3.6</v>
      </c>
      <c r="O15" s="60">
        <v>0</v>
      </c>
      <c r="P15" s="60">
        <v>2.1800000000000002</v>
      </c>
      <c r="Q15" s="60">
        <v>32.700000000000003</v>
      </c>
      <c r="R15" s="198"/>
      <c r="S15" s="198"/>
      <c r="T15" s="198"/>
      <c r="U15" s="198"/>
    </row>
    <row r="16" spans="1:21" s="12" customFormat="1" x14ac:dyDescent="0.25">
      <c r="A16" s="201" t="s">
        <v>1887</v>
      </c>
      <c r="B16" s="60">
        <v>21.88</v>
      </c>
      <c r="C16" s="60">
        <v>119.67</v>
      </c>
      <c r="D16" s="60">
        <v>83.59</v>
      </c>
      <c r="E16" s="60">
        <v>8.75</v>
      </c>
      <c r="F16" s="60">
        <v>1.92</v>
      </c>
      <c r="G16" s="60">
        <v>137.09</v>
      </c>
      <c r="H16" s="60">
        <v>67.36</v>
      </c>
      <c r="I16" s="60">
        <v>0.92</v>
      </c>
      <c r="J16" s="60">
        <v>1.1299999999999999</v>
      </c>
      <c r="K16" s="60">
        <v>20.81</v>
      </c>
      <c r="L16" s="60">
        <v>21.61</v>
      </c>
      <c r="M16" s="60">
        <v>50.31</v>
      </c>
      <c r="N16" s="60">
        <v>3.9</v>
      </c>
      <c r="O16" s="60">
        <v>0</v>
      </c>
      <c r="P16" s="60">
        <v>2.11</v>
      </c>
      <c r="Q16" s="60">
        <v>32.619999999999997</v>
      </c>
      <c r="R16" s="198"/>
      <c r="S16" s="198"/>
      <c r="T16" s="198"/>
      <c r="U16" s="198"/>
    </row>
    <row r="17" spans="1:21" s="12" customFormat="1" x14ac:dyDescent="0.25">
      <c r="A17" s="201" t="s">
        <v>1888</v>
      </c>
      <c r="B17" s="60">
        <v>17.84</v>
      </c>
      <c r="C17" s="60">
        <v>117.51</v>
      </c>
      <c r="D17" s="60">
        <v>79.150000000000006</v>
      </c>
      <c r="E17" s="60">
        <v>7.44</v>
      </c>
      <c r="F17" s="60">
        <v>2.0299999999999998</v>
      </c>
      <c r="G17" s="60">
        <v>137.09</v>
      </c>
      <c r="H17" s="60">
        <v>67.36</v>
      </c>
      <c r="I17" s="60">
        <v>0.89</v>
      </c>
      <c r="J17" s="60">
        <v>0.99</v>
      </c>
      <c r="K17" s="60">
        <v>18.170000000000002</v>
      </c>
      <c r="L17" s="60">
        <v>21.55</v>
      </c>
      <c r="M17" s="60">
        <v>49.59</v>
      </c>
      <c r="N17" s="60">
        <v>4.3</v>
      </c>
      <c r="O17" s="60">
        <v>0</v>
      </c>
      <c r="P17" s="60">
        <v>2.0099999999999998</v>
      </c>
      <c r="Q17" s="60">
        <v>31.87</v>
      </c>
      <c r="R17" s="198"/>
      <c r="S17" s="198"/>
      <c r="T17" s="198"/>
      <c r="U17" s="198"/>
    </row>
    <row r="18" spans="1:21" s="12" customFormat="1" x14ac:dyDescent="0.25">
      <c r="A18" s="201" t="s">
        <v>1889</v>
      </c>
      <c r="B18" s="60">
        <v>14.22</v>
      </c>
      <c r="C18" s="60">
        <v>115.17</v>
      </c>
      <c r="D18" s="60">
        <v>74.959999999999994</v>
      </c>
      <c r="E18" s="60">
        <v>7.2</v>
      </c>
      <c r="F18" s="60">
        <v>1.96</v>
      </c>
      <c r="G18" s="60">
        <v>124.4</v>
      </c>
      <c r="H18" s="60">
        <v>66.67</v>
      </c>
      <c r="I18" s="60">
        <v>0.86</v>
      </c>
      <c r="J18" s="60">
        <v>0.77</v>
      </c>
      <c r="K18" s="60">
        <v>21.49</v>
      </c>
      <c r="L18" s="60">
        <v>21.46</v>
      </c>
      <c r="M18" s="60">
        <v>49.81</v>
      </c>
      <c r="N18" s="60">
        <v>4.3</v>
      </c>
      <c r="O18" s="60">
        <v>0</v>
      </c>
      <c r="P18" s="60">
        <v>1.89</v>
      </c>
      <c r="Q18" s="60">
        <v>31.09</v>
      </c>
      <c r="R18" s="198"/>
      <c r="S18" s="198"/>
      <c r="T18" s="198"/>
      <c r="U18" s="198"/>
    </row>
    <row r="19" spans="1:21" s="12" customFormat="1" x14ac:dyDescent="0.25">
      <c r="A19" s="201" t="s">
        <v>1890</v>
      </c>
      <c r="B19" s="60">
        <v>11.33</v>
      </c>
      <c r="C19" s="60">
        <v>113.4</v>
      </c>
      <c r="D19" s="60">
        <v>71.67</v>
      </c>
      <c r="E19" s="60">
        <v>8.0500000000000007</v>
      </c>
      <c r="F19" s="60">
        <v>1.87</v>
      </c>
      <c r="G19" s="60">
        <v>106.22</v>
      </c>
      <c r="H19" s="60">
        <v>65.66</v>
      </c>
      <c r="I19" s="60">
        <v>0.82</v>
      </c>
      <c r="J19" s="60">
        <v>0.42</v>
      </c>
      <c r="K19" s="60">
        <v>37.31</v>
      </c>
      <c r="L19" s="60">
        <v>21.34</v>
      </c>
      <c r="M19" s="60">
        <v>52.42</v>
      </c>
      <c r="N19" s="60">
        <v>4.5</v>
      </c>
      <c r="O19" s="60">
        <v>0</v>
      </c>
      <c r="P19" s="60">
        <v>1.83</v>
      </c>
      <c r="Q19" s="60">
        <v>30.52</v>
      </c>
      <c r="R19" s="198"/>
      <c r="S19" s="198"/>
      <c r="T19" s="198"/>
      <c r="U19" s="198"/>
    </row>
    <row r="20" spans="1:21" s="12" customFormat="1" x14ac:dyDescent="0.25">
      <c r="A20" s="201" t="s">
        <v>1891</v>
      </c>
      <c r="B20" s="60">
        <v>9.9499999999999993</v>
      </c>
      <c r="C20" s="60">
        <v>112.79</v>
      </c>
      <c r="D20" s="60">
        <v>70.22</v>
      </c>
      <c r="E20" s="60">
        <v>9.93</v>
      </c>
      <c r="F20" s="60">
        <v>1.8</v>
      </c>
      <c r="G20" s="60">
        <v>106.22</v>
      </c>
      <c r="H20" s="60">
        <v>65.66</v>
      </c>
      <c r="I20" s="60">
        <v>0.79</v>
      </c>
      <c r="J20" s="60">
        <v>0.66</v>
      </c>
      <c r="K20" s="60">
        <v>24.48</v>
      </c>
      <c r="L20" s="60">
        <v>21.15</v>
      </c>
      <c r="M20" s="60">
        <v>52.64</v>
      </c>
      <c r="N20" s="60">
        <v>4.0999999999999996</v>
      </c>
      <c r="O20" s="60">
        <v>0</v>
      </c>
      <c r="P20" s="60">
        <v>1.81</v>
      </c>
      <c r="Q20" s="60">
        <v>30.27</v>
      </c>
      <c r="R20" s="198"/>
      <c r="S20" s="198"/>
      <c r="T20" s="198"/>
      <c r="U20" s="198"/>
    </row>
    <row r="21" spans="1:21" s="12" customFormat="1" x14ac:dyDescent="0.25">
      <c r="A21" s="201" t="s">
        <v>1892</v>
      </c>
      <c r="B21" s="60">
        <v>8.26</v>
      </c>
      <c r="C21" s="60">
        <v>108.6</v>
      </c>
      <c r="D21" s="60">
        <v>66.56</v>
      </c>
      <c r="E21" s="60">
        <v>10.44</v>
      </c>
      <c r="F21" s="60">
        <v>2.61</v>
      </c>
      <c r="G21" s="60">
        <v>106.22</v>
      </c>
      <c r="H21" s="60">
        <v>65.66</v>
      </c>
      <c r="I21" s="60">
        <v>0.78</v>
      </c>
      <c r="J21" s="60">
        <v>0.91</v>
      </c>
      <c r="K21" s="60">
        <v>19.16</v>
      </c>
      <c r="L21" s="60">
        <v>21.25</v>
      </c>
      <c r="M21" s="60">
        <v>50.39</v>
      </c>
      <c r="N21" s="60">
        <v>3.9</v>
      </c>
      <c r="O21" s="60">
        <v>0</v>
      </c>
      <c r="P21" s="60">
        <v>1.81</v>
      </c>
      <c r="Q21" s="60">
        <v>29.8</v>
      </c>
      <c r="R21" s="198"/>
      <c r="S21" s="198"/>
      <c r="T21" s="198"/>
      <c r="U21" s="198"/>
    </row>
    <row r="22" spans="1:21" s="12" customFormat="1" x14ac:dyDescent="0.25">
      <c r="A22" s="201" t="s">
        <v>1893</v>
      </c>
      <c r="B22" s="60">
        <v>6.76</v>
      </c>
      <c r="C22" s="60">
        <v>106.07</v>
      </c>
      <c r="D22" s="60">
        <v>63.96</v>
      </c>
      <c r="E22" s="60">
        <v>11.88</v>
      </c>
      <c r="F22" s="60">
        <v>3.08</v>
      </c>
      <c r="G22" s="60">
        <v>126.96</v>
      </c>
      <c r="H22" s="60">
        <v>66.2</v>
      </c>
      <c r="I22" s="60">
        <v>0.75</v>
      </c>
      <c r="J22" s="60">
        <v>0.56000000000000005</v>
      </c>
      <c r="K22" s="60">
        <v>23.36</v>
      </c>
      <c r="L22" s="60">
        <v>21.16</v>
      </c>
      <c r="M22" s="60">
        <v>51.05</v>
      </c>
      <c r="N22" s="60">
        <v>4.4000000000000004</v>
      </c>
      <c r="O22" s="60">
        <v>0</v>
      </c>
      <c r="P22" s="60">
        <v>1.86</v>
      </c>
      <c r="Q22" s="60">
        <v>28.74</v>
      </c>
      <c r="R22" s="198"/>
      <c r="S22" s="198"/>
      <c r="T22" s="198"/>
      <c r="U22" s="198"/>
    </row>
    <row r="23" spans="1:21" s="12" customFormat="1" x14ac:dyDescent="0.25">
      <c r="A23" s="201" t="s">
        <v>1894</v>
      </c>
      <c r="B23" s="60">
        <v>6.53</v>
      </c>
      <c r="C23" s="60">
        <v>107.06</v>
      </c>
      <c r="D23" s="60">
        <v>64.319999999999993</v>
      </c>
      <c r="E23" s="60">
        <v>10.11</v>
      </c>
      <c r="F23" s="60">
        <v>2.75</v>
      </c>
      <c r="G23" s="60">
        <v>156.66999999999999</v>
      </c>
      <c r="H23" s="60">
        <v>66.97</v>
      </c>
      <c r="I23" s="60">
        <v>0.72</v>
      </c>
      <c r="J23" s="60">
        <v>0.38</v>
      </c>
      <c r="K23" s="60">
        <v>24.4</v>
      </c>
      <c r="L23" s="60">
        <v>20.94</v>
      </c>
      <c r="M23" s="60">
        <v>52.16</v>
      </c>
      <c r="N23" s="60">
        <v>4.5</v>
      </c>
      <c r="O23" s="60">
        <v>0</v>
      </c>
      <c r="P23" s="60">
        <v>1.88</v>
      </c>
      <c r="Q23" s="60">
        <v>28.18</v>
      </c>
      <c r="R23" s="198"/>
      <c r="S23" s="198"/>
      <c r="T23" s="198"/>
      <c r="U23" s="198"/>
    </row>
    <row r="24" spans="1:21" s="12" customFormat="1" x14ac:dyDescent="0.25">
      <c r="A24" s="201" t="s">
        <v>1895</v>
      </c>
      <c r="B24" s="60">
        <v>6.27</v>
      </c>
      <c r="C24" s="60">
        <v>105.88</v>
      </c>
      <c r="D24" s="60">
        <v>63.46</v>
      </c>
      <c r="E24" s="60">
        <v>3.78</v>
      </c>
      <c r="F24" s="60">
        <v>2.64</v>
      </c>
      <c r="G24" s="60">
        <v>156.66999999999999</v>
      </c>
      <c r="H24" s="60">
        <v>66.97</v>
      </c>
      <c r="I24" s="60">
        <v>0.7</v>
      </c>
      <c r="J24" s="60">
        <v>0.65</v>
      </c>
      <c r="K24" s="60">
        <v>23.57</v>
      </c>
      <c r="L24" s="60">
        <v>20.86</v>
      </c>
      <c r="M24" s="60">
        <v>50.86</v>
      </c>
      <c r="N24" s="60">
        <v>3.8</v>
      </c>
      <c r="O24" s="60">
        <v>0</v>
      </c>
      <c r="P24" s="60">
        <v>1.86</v>
      </c>
      <c r="Q24" s="60">
        <v>28.21</v>
      </c>
      <c r="R24" s="198"/>
      <c r="S24" s="198"/>
      <c r="T24" s="198"/>
      <c r="U24" s="198"/>
    </row>
    <row r="25" spans="1:21" s="12" customFormat="1" x14ac:dyDescent="0.25">
      <c r="A25" s="201" t="s">
        <v>1896</v>
      </c>
      <c r="B25" s="60">
        <v>5.59</v>
      </c>
      <c r="C25" s="60">
        <v>101.01</v>
      </c>
      <c r="D25" s="60">
        <v>60.23</v>
      </c>
      <c r="E25" s="60">
        <v>7.69</v>
      </c>
      <c r="F25" s="60">
        <v>3.37</v>
      </c>
      <c r="G25" s="60">
        <v>156.66999999999999</v>
      </c>
      <c r="H25" s="60">
        <v>66.97</v>
      </c>
      <c r="I25" s="60">
        <v>0.71</v>
      </c>
      <c r="J25" s="60">
        <v>0.37</v>
      </c>
      <c r="K25" s="60">
        <v>24.8</v>
      </c>
      <c r="L25" s="60">
        <v>21.02</v>
      </c>
      <c r="M25" s="60">
        <v>49.03</v>
      </c>
      <c r="N25" s="60">
        <v>4.0999999999999996</v>
      </c>
      <c r="O25" s="60">
        <v>0</v>
      </c>
      <c r="P25" s="60">
        <v>1.82</v>
      </c>
      <c r="Q25" s="60">
        <v>28.28</v>
      </c>
      <c r="R25" s="198"/>
      <c r="S25" s="198"/>
      <c r="T25" s="198"/>
      <c r="U25" s="198"/>
    </row>
    <row r="26" spans="1:21" s="12" customFormat="1" x14ac:dyDescent="0.25">
      <c r="A26" s="201" t="s">
        <v>1897</v>
      </c>
      <c r="B26" s="60">
        <v>4.97</v>
      </c>
      <c r="C26" s="60">
        <v>98.3</v>
      </c>
      <c r="D26" s="60">
        <v>58.24</v>
      </c>
      <c r="E26" s="60">
        <v>7.59</v>
      </c>
      <c r="F26" s="60">
        <v>4.04</v>
      </c>
      <c r="G26" s="60">
        <v>136.36000000000001</v>
      </c>
      <c r="H26" s="60">
        <v>65.11</v>
      </c>
      <c r="I26" s="60">
        <v>0.71</v>
      </c>
      <c r="J26" s="60">
        <v>0.25</v>
      </c>
      <c r="K26" s="60">
        <v>36.81</v>
      </c>
      <c r="L26" s="60">
        <v>20.86</v>
      </c>
      <c r="M26" s="60">
        <v>49.27</v>
      </c>
      <c r="N26" s="60">
        <v>4.4000000000000004</v>
      </c>
      <c r="O26" s="60">
        <v>0</v>
      </c>
      <c r="P26" s="60">
        <v>1.76</v>
      </c>
      <c r="Q26" s="60">
        <v>28.22</v>
      </c>
      <c r="R26" s="198"/>
      <c r="S26" s="198"/>
      <c r="T26" s="198"/>
      <c r="U26" s="198"/>
    </row>
    <row r="27" spans="1:21" s="12" customFormat="1" x14ac:dyDescent="0.25">
      <c r="A27" s="201" t="s">
        <v>1898</v>
      </c>
      <c r="B27" s="60">
        <v>4.5999999999999996</v>
      </c>
      <c r="C27" s="60">
        <v>98.98</v>
      </c>
      <c r="D27" s="60">
        <v>58.31</v>
      </c>
      <c r="E27" s="60">
        <v>7.19</v>
      </c>
      <c r="F27" s="60">
        <v>3.21</v>
      </c>
      <c r="G27" s="60">
        <v>107.27</v>
      </c>
      <c r="H27" s="60">
        <v>62.46</v>
      </c>
      <c r="I27" s="60">
        <v>0.7</v>
      </c>
      <c r="J27" s="60">
        <v>0.61</v>
      </c>
      <c r="K27" s="60">
        <v>21.95</v>
      </c>
      <c r="L27" s="60">
        <v>20.6</v>
      </c>
      <c r="M27" s="60">
        <v>50.48</v>
      </c>
      <c r="N27" s="60">
        <v>4.0999999999999996</v>
      </c>
      <c r="O27" s="60">
        <v>0</v>
      </c>
      <c r="P27" s="60">
        <v>1.73</v>
      </c>
      <c r="Q27" s="60">
        <v>28.19</v>
      </c>
      <c r="R27" s="198"/>
      <c r="S27" s="198"/>
      <c r="T27" s="198"/>
      <c r="U27" s="198"/>
    </row>
    <row r="28" spans="1:21" s="12" customFormat="1" x14ac:dyDescent="0.25">
      <c r="A28" s="201" t="s">
        <v>1899</v>
      </c>
      <c r="B28" s="60">
        <v>4.21</v>
      </c>
      <c r="C28" s="60">
        <v>98.03</v>
      </c>
      <c r="D28" s="60">
        <v>57.48</v>
      </c>
      <c r="E28" s="60">
        <v>6.98</v>
      </c>
      <c r="F28" s="60">
        <v>2.74</v>
      </c>
      <c r="G28" s="60">
        <v>107.27</v>
      </c>
      <c r="H28" s="60">
        <v>62.46</v>
      </c>
      <c r="I28" s="60">
        <v>0.69</v>
      </c>
      <c r="J28" s="60">
        <v>0.23</v>
      </c>
      <c r="K28" s="60">
        <v>26.44</v>
      </c>
      <c r="L28" s="60">
        <v>20.350000000000001</v>
      </c>
      <c r="M28" s="60">
        <v>51.77</v>
      </c>
      <c r="N28" s="60">
        <v>4.5</v>
      </c>
      <c r="O28" s="60">
        <v>0</v>
      </c>
      <c r="P28" s="60">
        <v>1.68</v>
      </c>
      <c r="Q28" s="60">
        <v>28.29</v>
      </c>
      <c r="R28" s="198"/>
      <c r="S28" s="198"/>
      <c r="T28" s="198"/>
      <c r="U28" s="198"/>
    </row>
    <row r="29" spans="1:21" s="12" customFormat="1" x14ac:dyDescent="0.25">
      <c r="A29" s="201" t="s">
        <v>1900</v>
      </c>
      <c r="B29" s="60">
        <v>3.82</v>
      </c>
      <c r="C29" s="60">
        <v>96.44</v>
      </c>
      <c r="D29" s="60">
        <v>56.29</v>
      </c>
      <c r="E29" s="60">
        <v>6.33</v>
      </c>
      <c r="F29" s="60">
        <v>2.75</v>
      </c>
      <c r="G29" s="60">
        <v>107.27</v>
      </c>
      <c r="H29" s="60">
        <v>62.46</v>
      </c>
      <c r="I29" s="60">
        <v>0.7</v>
      </c>
      <c r="J29" s="60">
        <v>0.08</v>
      </c>
      <c r="K29" s="60">
        <v>58.57</v>
      </c>
      <c r="L29" s="60">
        <v>20.149999999999999</v>
      </c>
      <c r="M29" s="60">
        <v>52.34</v>
      </c>
      <c r="N29" s="60">
        <v>4.4000000000000004</v>
      </c>
      <c r="O29" s="60">
        <v>0</v>
      </c>
      <c r="P29" s="60">
        <v>1.63</v>
      </c>
      <c r="Q29" s="60">
        <v>28.96</v>
      </c>
      <c r="R29" s="198"/>
      <c r="S29" s="198"/>
      <c r="T29" s="198"/>
      <c r="U29" s="198"/>
    </row>
    <row r="30" spans="1:21" s="12" customFormat="1" x14ac:dyDescent="0.25">
      <c r="A30" s="201" t="s">
        <v>1901</v>
      </c>
      <c r="B30" s="60">
        <v>3.3</v>
      </c>
      <c r="C30" s="60">
        <v>94.99</v>
      </c>
      <c r="D30" s="60">
        <v>55.07</v>
      </c>
      <c r="E30" s="60">
        <v>5.88</v>
      </c>
      <c r="F30" s="60">
        <v>2.37</v>
      </c>
      <c r="G30" s="60">
        <v>98.44</v>
      </c>
      <c r="H30" s="60">
        <v>59.36</v>
      </c>
      <c r="I30" s="60">
        <v>0.69</v>
      </c>
      <c r="J30" s="60">
        <v>0.32</v>
      </c>
      <c r="K30" s="60">
        <v>67.62</v>
      </c>
      <c r="L30" s="60">
        <v>19.95</v>
      </c>
      <c r="M30" s="60">
        <v>53.34</v>
      </c>
      <c r="N30" s="60">
        <v>4.3</v>
      </c>
      <c r="O30" s="60">
        <v>0</v>
      </c>
      <c r="P30" s="60">
        <v>1.58</v>
      </c>
      <c r="Q30" s="60">
        <v>29.53</v>
      </c>
      <c r="R30" s="198"/>
      <c r="S30" s="198"/>
      <c r="T30" s="198"/>
      <c r="U30" s="198"/>
    </row>
    <row r="31" spans="1:21" s="12" customFormat="1" x14ac:dyDescent="0.25">
      <c r="A31" s="201" t="s">
        <v>1902</v>
      </c>
      <c r="B31" s="60">
        <v>2.92</v>
      </c>
      <c r="C31" s="60">
        <v>93.74</v>
      </c>
      <c r="D31" s="60">
        <v>54.08</v>
      </c>
      <c r="E31" s="60">
        <v>5.89</v>
      </c>
      <c r="F31" s="60">
        <v>2.31</v>
      </c>
      <c r="G31" s="60">
        <v>85.78</v>
      </c>
      <c r="H31" s="60">
        <v>54.91</v>
      </c>
      <c r="I31" s="60">
        <v>0.69</v>
      </c>
      <c r="J31" s="60">
        <v>0.39</v>
      </c>
      <c r="K31" s="60">
        <v>48.55</v>
      </c>
      <c r="L31" s="60">
        <v>19.899999999999999</v>
      </c>
      <c r="M31" s="60">
        <v>53.82</v>
      </c>
      <c r="N31" s="60">
        <v>4</v>
      </c>
      <c r="O31" s="60">
        <v>0</v>
      </c>
      <c r="P31" s="60">
        <v>1.53</v>
      </c>
      <c r="Q31" s="60">
        <v>29.55</v>
      </c>
      <c r="R31" s="198"/>
      <c r="S31" s="198"/>
      <c r="T31" s="198"/>
      <c r="U31" s="198"/>
    </row>
    <row r="32" spans="1:21" s="12" customFormat="1" x14ac:dyDescent="0.25">
      <c r="A32" s="201" t="s">
        <v>1903</v>
      </c>
      <c r="B32" s="60">
        <v>2.74</v>
      </c>
      <c r="C32" s="60">
        <v>93.02</v>
      </c>
      <c r="D32" s="60">
        <v>53.53</v>
      </c>
      <c r="E32" s="60">
        <v>5.84</v>
      </c>
      <c r="F32" s="60">
        <v>2.31</v>
      </c>
      <c r="G32" s="60">
        <v>85.78</v>
      </c>
      <c r="H32" s="60">
        <v>54.91</v>
      </c>
      <c r="I32" s="60">
        <v>0.67</v>
      </c>
      <c r="J32" s="60">
        <v>0.35</v>
      </c>
      <c r="K32" s="60">
        <v>42.18</v>
      </c>
      <c r="L32" s="60">
        <v>19.850000000000001</v>
      </c>
      <c r="M32" s="60">
        <v>53.75</v>
      </c>
      <c r="N32" s="60">
        <v>4.0999999999999996</v>
      </c>
      <c r="O32" s="60">
        <v>0</v>
      </c>
      <c r="P32" s="60">
        <v>1.47</v>
      </c>
      <c r="Q32" s="60">
        <v>29.28</v>
      </c>
      <c r="R32" s="198"/>
      <c r="S32" s="198"/>
      <c r="T32" s="198"/>
      <c r="U32" s="198"/>
    </row>
    <row r="33" spans="1:21" s="12" customFormat="1" x14ac:dyDescent="0.25">
      <c r="A33" s="201" t="s">
        <v>1904</v>
      </c>
      <c r="B33" s="60">
        <v>2.61</v>
      </c>
      <c r="C33" s="60">
        <v>92.24</v>
      </c>
      <c r="D33" s="60">
        <v>53</v>
      </c>
      <c r="E33" s="60">
        <v>5.25</v>
      </c>
      <c r="F33" s="60">
        <v>2.3199999999999998</v>
      </c>
      <c r="G33" s="60">
        <v>85.78</v>
      </c>
      <c r="H33" s="60">
        <v>54.91</v>
      </c>
      <c r="I33" s="60">
        <v>0.67</v>
      </c>
      <c r="J33" s="60">
        <v>0.34</v>
      </c>
      <c r="K33" s="60">
        <v>87.54</v>
      </c>
      <c r="L33" s="60">
        <v>19.829999999999998</v>
      </c>
      <c r="M33" s="60">
        <v>53.77</v>
      </c>
      <c r="N33" s="60">
        <v>4.2</v>
      </c>
      <c r="O33" s="60">
        <v>0</v>
      </c>
      <c r="P33" s="60">
        <v>1.42</v>
      </c>
      <c r="Q33" s="60">
        <v>29</v>
      </c>
      <c r="R33" s="198"/>
      <c r="S33" s="198"/>
      <c r="T33" s="198"/>
      <c r="U33" s="198"/>
    </row>
    <row r="34" spans="1:21" s="12" customFormat="1" x14ac:dyDescent="0.25">
      <c r="A34" s="201" t="s">
        <v>1905</v>
      </c>
      <c r="B34" s="60">
        <v>2.7</v>
      </c>
      <c r="C34" s="60">
        <v>91.89</v>
      </c>
      <c r="D34" s="60">
        <v>52.87</v>
      </c>
      <c r="E34" s="60">
        <v>5.51</v>
      </c>
      <c r="F34" s="60">
        <v>2.12</v>
      </c>
      <c r="G34" s="60">
        <v>80.709999999999994</v>
      </c>
      <c r="H34" s="60">
        <v>51.49</v>
      </c>
      <c r="I34" s="60">
        <v>0.65</v>
      </c>
      <c r="J34" s="60">
        <v>0.6</v>
      </c>
      <c r="K34" s="60">
        <v>127.28</v>
      </c>
      <c r="L34" s="60">
        <v>19.98</v>
      </c>
      <c r="M34" s="60">
        <v>53.97</v>
      </c>
      <c r="N34" s="60">
        <v>5.6</v>
      </c>
      <c r="O34" s="60">
        <v>0</v>
      </c>
      <c r="P34" s="60">
        <v>1.38</v>
      </c>
      <c r="Q34" s="60">
        <v>28.57</v>
      </c>
      <c r="R34" s="198"/>
      <c r="S34" s="198"/>
      <c r="T34" s="198"/>
      <c r="U34" s="198"/>
    </row>
    <row r="35" spans="1:21" s="12" customFormat="1" x14ac:dyDescent="0.25">
      <c r="A35" s="201" t="s">
        <v>1906</v>
      </c>
      <c r="B35" s="60">
        <v>2.54</v>
      </c>
      <c r="C35" s="60">
        <v>91.41</v>
      </c>
      <c r="D35" s="60">
        <v>52.48</v>
      </c>
      <c r="E35" s="60">
        <v>5.52</v>
      </c>
      <c r="F35" s="60">
        <v>2.08</v>
      </c>
      <c r="G35" s="60">
        <v>73.44</v>
      </c>
      <c r="H35" s="60">
        <v>46.6</v>
      </c>
      <c r="I35" s="60">
        <v>0.65</v>
      </c>
      <c r="J35" s="60">
        <v>0.91</v>
      </c>
      <c r="K35" s="60">
        <v>129.18</v>
      </c>
      <c r="L35" s="60">
        <v>20.12</v>
      </c>
      <c r="M35" s="60">
        <v>53.52</v>
      </c>
      <c r="N35" s="60">
        <v>12.7</v>
      </c>
      <c r="O35" s="60">
        <v>0</v>
      </c>
      <c r="P35" s="60">
        <v>1.33</v>
      </c>
      <c r="Q35" s="60">
        <v>28.36</v>
      </c>
      <c r="R35" s="198"/>
      <c r="S35" s="198"/>
      <c r="T35" s="198"/>
      <c r="U35" s="198"/>
    </row>
    <row r="36" spans="1:21" s="12" customFormat="1" x14ac:dyDescent="0.25">
      <c r="A36" s="201" t="s">
        <v>1907</v>
      </c>
      <c r="B36" s="60">
        <v>2.5</v>
      </c>
      <c r="C36" s="60">
        <v>90.65</v>
      </c>
      <c r="D36" s="60">
        <v>52.03</v>
      </c>
      <c r="E36" s="60">
        <v>4.92</v>
      </c>
      <c r="F36" s="60">
        <v>2.02</v>
      </c>
      <c r="G36" s="60">
        <v>73.44</v>
      </c>
      <c r="H36" s="60">
        <v>46.6</v>
      </c>
      <c r="I36" s="60">
        <v>0.64</v>
      </c>
      <c r="J36" s="60">
        <v>0.55000000000000004</v>
      </c>
      <c r="K36" s="60">
        <v>106.68</v>
      </c>
      <c r="L36" s="60">
        <v>20.07</v>
      </c>
      <c r="M36" s="60">
        <v>54.3</v>
      </c>
      <c r="N36" s="60">
        <v>26.5</v>
      </c>
      <c r="O36" s="60">
        <v>0</v>
      </c>
      <c r="P36" s="60">
        <v>1.31</v>
      </c>
      <c r="Q36" s="60">
        <v>27.68</v>
      </c>
      <c r="R36" s="198"/>
      <c r="S36" s="198"/>
      <c r="T36" s="198"/>
      <c r="U36" s="198"/>
    </row>
    <row r="37" spans="1:21" s="12" customFormat="1" x14ac:dyDescent="0.25">
      <c r="A37" s="201" t="s">
        <v>1908</v>
      </c>
      <c r="B37" s="60">
        <v>2.84</v>
      </c>
      <c r="C37" s="60">
        <v>90.62</v>
      </c>
      <c r="D37" s="60">
        <v>52.29</v>
      </c>
      <c r="E37" s="60">
        <v>5</v>
      </c>
      <c r="F37" s="60">
        <v>1.7</v>
      </c>
      <c r="G37" s="60">
        <v>73.44</v>
      </c>
      <c r="H37" s="60">
        <v>46.6</v>
      </c>
      <c r="I37" s="60">
        <v>0.64</v>
      </c>
      <c r="J37" s="60">
        <v>0.14000000000000001</v>
      </c>
      <c r="K37" s="60">
        <v>192.74</v>
      </c>
      <c r="L37" s="60">
        <v>20.079999999999998</v>
      </c>
      <c r="M37" s="60">
        <v>55.39</v>
      </c>
      <c r="N37" s="60">
        <v>47.3</v>
      </c>
      <c r="O37" s="60">
        <v>0</v>
      </c>
      <c r="P37" s="60">
        <v>1.25</v>
      </c>
      <c r="Q37" s="60">
        <v>27.35</v>
      </c>
      <c r="R37" s="198"/>
      <c r="S37" s="198"/>
      <c r="T37" s="198"/>
      <c r="U37" s="198"/>
    </row>
    <row r="38" spans="1:21" s="12" customFormat="1" x14ac:dyDescent="0.25">
      <c r="A38" s="201" t="s">
        <v>1909</v>
      </c>
      <c r="B38" s="60">
        <v>3.23</v>
      </c>
      <c r="C38" s="60">
        <v>90.8</v>
      </c>
      <c r="D38" s="60">
        <v>52.7</v>
      </c>
      <c r="E38" s="60">
        <v>5.05</v>
      </c>
      <c r="F38" s="60">
        <v>1.64</v>
      </c>
      <c r="G38" s="60">
        <v>78.28</v>
      </c>
      <c r="H38" s="60">
        <v>46.07</v>
      </c>
      <c r="I38" s="60">
        <v>0.63</v>
      </c>
      <c r="J38" s="60">
        <v>0.35</v>
      </c>
      <c r="K38" s="60">
        <v>227.62</v>
      </c>
      <c r="L38" s="60">
        <v>19.98</v>
      </c>
      <c r="M38" s="60">
        <v>57.56</v>
      </c>
      <c r="N38" s="60">
        <v>95.9</v>
      </c>
      <c r="O38" s="60">
        <v>0</v>
      </c>
      <c r="P38" s="60">
        <v>1.28</v>
      </c>
      <c r="Q38" s="60">
        <v>27.21</v>
      </c>
      <c r="R38" s="198"/>
      <c r="S38" s="198"/>
      <c r="T38" s="198"/>
      <c r="U38" s="198"/>
    </row>
    <row r="39" spans="1:21" s="12" customFormat="1" x14ac:dyDescent="0.25">
      <c r="A39" s="201" t="s">
        <v>1910</v>
      </c>
      <c r="B39" s="60">
        <v>3.68</v>
      </c>
      <c r="C39" s="60">
        <v>91.19</v>
      </c>
      <c r="D39" s="60">
        <v>53.28</v>
      </c>
      <c r="E39" s="60">
        <v>5.07</v>
      </c>
      <c r="F39" s="60">
        <v>1.52</v>
      </c>
      <c r="G39" s="60">
        <v>85.22</v>
      </c>
      <c r="H39" s="60">
        <v>45.3</v>
      </c>
      <c r="I39" s="60">
        <v>0.63</v>
      </c>
      <c r="J39" s="60">
        <v>0.18</v>
      </c>
      <c r="K39" s="60">
        <v>190.58</v>
      </c>
      <c r="L39" s="60">
        <v>20.94</v>
      </c>
      <c r="M39" s="60">
        <v>54.81</v>
      </c>
      <c r="N39" s="60">
        <v>132.19999999999999</v>
      </c>
      <c r="O39" s="60">
        <v>0</v>
      </c>
      <c r="P39" s="60">
        <v>1.27</v>
      </c>
      <c r="Q39" s="60">
        <v>27.24</v>
      </c>
      <c r="R39" s="198"/>
      <c r="S39" s="198"/>
      <c r="T39" s="198"/>
      <c r="U39" s="198"/>
    </row>
    <row r="40" spans="1:21" s="12" customFormat="1" x14ac:dyDescent="0.25">
      <c r="A40" s="201" t="s">
        <v>1911</v>
      </c>
      <c r="B40" s="60">
        <v>4.3600000000000003</v>
      </c>
      <c r="C40" s="60">
        <v>91.83</v>
      </c>
      <c r="D40" s="60">
        <v>54.18</v>
      </c>
      <c r="E40" s="60">
        <v>3.26</v>
      </c>
      <c r="F40" s="60">
        <v>1.49</v>
      </c>
      <c r="G40" s="60">
        <v>85.22</v>
      </c>
      <c r="H40" s="60">
        <v>45.3</v>
      </c>
      <c r="I40" s="60">
        <v>0.64</v>
      </c>
      <c r="J40" s="60">
        <v>0.39</v>
      </c>
      <c r="K40" s="60">
        <v>115.36</v>
      </c>
      <c r="L40" s="60">
        <v>22.36</v>
      </c>
      <c r="M40" s="60">
        <v>50.46</v>
      </c>
      <c r="N40" s="60">
        <v>172</v>
      </c>
      <c r="O40" s="60">
        <v>0</v>
      </c>
      <c r="P40" s="60">
        <v>1.28</v>
      </c>
      <c r="Q40" s="60">
        <v>27.49</v>
      </c>
      <c r="R40" s="198"/>
      <c r="S40" s="198"/>
      <c r="T40" s="198"/>
      <c r="U40" s="198"/>
    </row>
    <row r="41" spans="1:21" s="12" customFormat="1" x14ac:dyDescent="0.25">
      <c r="A41" s="201" t="s">
        <v>1912</v>
      </c>
      <c r="B41" s="60">
        <v>4.8099999999999996</v>
      </c>
      <c r="C41" s="60">
        <v>92.03</v>
      </c>
      <c r="D41" s="60">
        <v>54.65</v>
      </c>
      <c r="E41" s="60">
        <v>5.77</v>
      </c>
      <c r="F41" s="60">
        <v>1.6</v>
      </c>
      <c r="G41" s="60">
        <v>85.22</v>
      </c>
      <c r="H41" s="60">
        <v>45.3</v>
      </c>
      <c r="I41" s="60">
        <v>0.64</v>
      </c>
      <c r="J41" s="60">
        <v>0.92</v>
      </c>
      <c r="K41" s="60">
        <v>107.68</v>
      </c>
      <c r="L41" s="60">
        <v>22.48</v>
      </c>
      <c r="M41" s="60">
        <v>49.96</v>
      </c>
      <c r="N41" s="60">
        <v>218.4</v>
      </c>
      <c r="O41" s="60">
        <v>0</v>
      </c>
      <c r="P41" s="60">
        <v>1.27</v>
      </c>
      <c r="Q41" s="60">
        <v>27.84</v>
      </c>
      <c r="R41" s="198"/>
      <c r="S41" s="198"/>
      <c r="T41" s="198"/>
      <c r="U41" s="198"/>
    </row>
    <row r="42" spans="1:21" s="12" customFormat="1" x14ac:dyDescent="0.25">
      <c r="A42" s="201" t="s">
        <v>1913</v>
      </c>
      <c r="B42" s="60">
        <v>5</v>
      </c>
      <c r="C42" s="60">
        <v>90.48</v>
      </c>
      <c r="D42" s="60">
        <v>53.94</v>
      </c>
      <c r="E42" s="60">
        <v>6.55</v>
      </c>
      <c r="F42" s="60">
        <v>2.19</v>
      </c>
      <c r="G42" s="60">
        <v>97.98</v>
      </c>
      <c r="H42" s="60">
        <v>47.51</v>
      </c>
      <c r="I42" s="60">
        <v>0.65</v>
      </c>
      <c r="J42" s="60">
        <v>1.37</v>
      </c>
      <c r="K42" s="60">
        <v>104.84</v>
      </c>
      <c r="L42" s="60">
        <v>22.85</v>
      </c>
      <c r="M42" s="60">
        <v>47.82</v>
      </c>
      <c r="N42" s="60">
        <v>265.89999999999998</v>
      </c>
      <c r="O42" s="60">
        <v>0</v>
      </c>
      <c r="P42" s="60">
        <v>1.25</v>
      </c>
      <c r="Q42" s="60">
        <v>28.06</v>
      </c>
      <c r="R42" s="198"/>
      <c r="S42" s="198"/>
      <c r="T42" s="198"/>
      <c r="U42" s="198"/>
    </row>
    <row r="43" spans="1:21" s="12" customFormat="1" x14ac:dyDescent="0.25">
      <c r="A43" s="201" t="s">
        <v>1914</v>
      </c>
      <c r="B43" s="60">
        <v>4.8600000000000003</v>
      </c>
      <c r="C43" s="60">
        <v>89.66</v>
      </c>
      <c r="D43" s="60">
        <v>53.38</v>
      </c>
      <c r="E43" s="60">
        <v>5.97</v>
      </c>
      <c r="F43" s="60">
        <v>2.14</v>
      </c>
      <c r="G43" s="60">
        <v>116.26</v>
      </c>
      <c r="H43" s="60">
        <v>50.68</v>
      </c>
      <c r="I43" s="60">
        <v>0.65</v>
      </c>
      <c r="J43" s="60">
        <v>1.6</v>
      </c>
      <c r="K43" s="60">
        <v>106.06</v>
      </c>
      <c r="L43" s="60">
        <v>23.12</v>
      </c>
      <c r="M43" s="60">
        <v>47.99</v>
      </c>
      <c r="N43" s="60">
        <v>311.8</v>
      </c>
      <c r="O43" s="60">
        <v>0</v>
      </c>
      <c r="P43" s="60">
        <v>1.24</v>
      </c>
      <c r="Q43" s="60">
        <v>28.31</v>
      </c>
      <c r="R43" s="198"/>
      <c r="S43" s="198"/>
      <c r="T43" s="198"/>
      <c r="U43" s="198"/>
    </row>
    <row r="44" spans="1:21" s="12" customFormat="1" x14ac:dyDescent="0.25">
      <c r="A44" s="201" t="s">
        <v>1915</v>
      </c>
      <c r="B44" s="60">
        <v>4.49</v>
      </c>
      <c r="C44" s="60">
        <v>90.16</v>
      </c>
      <c r="D44" s="60">
        <v>53.36</v>
      </c>
      <c r="E44" s="60">
        <v>5.88</v>
      </c>
      <c r="F44" s="60">
        <v>2.0499999999999998</v>
      </c>
      <c r="G44" s="60">
        <v>116.26</v>
      </c>
      <c r="H44" s="60">
        <v>50.68</v>
      </c>
      <c r="I44" s="60">
        <v>0.65</v>
      </c>
      <c r="J44" s="60">
        <v>0.54</v>
      </c>
      <c r="K44" s="60">
        <v>99.17</v>
      </c>
      <c r="L44" s="60">
        <v>24.66</v>
      </c>
      <c r="M44" s="60">
        <v>45.1</v>
      </c>
      <c r="N44" s="60">
        <v>361.2</v>
      </c>
      <c r="O44" s="60">
        <v>0</v>
      </c>
      <c r="P44" s="60">
        <v>1.23</v>
      </c>
      <c r="Q44" s="60">
        <v>29.08</v>
      </c>
      <c r="R44" s="198"/>
      <c r="S44" s="198"/>
      <c r="T44" s="198"/>
      <c r="U44" s="198"/>
    </row>
    <row r="45" spans="1:21" s="12" customFormat="1" x14ac:dyDescent="0.25">
      <c r="A45" s="201" t="s">
        <v>1916</v>
      </c>
      <c r="B45" s="60">
        <v>4.4800000000000004</v>
      </c>
      <c r="C45" s="60">
        <v>91.21</v>
      </c>
      <c r="D45" s="60">
        <v>53.93</v>
      </c>
      <c r="E45" s="60">
        <v>5.56</v>
      </c>
      <c r="F45" s="60">
        <v>2.0299999999999998</v>
      </c>
      <c r="G45" s="60">
        <v>116.26</v>
      </c>
      <c r="H45" s="60">
        <v>50.68</v>
      </c>
      <c r="I45" s="60">
        <v>0.66</v>
      </c>
      <c r="J45" s="60">
        <v>0.56000000000000005</v>
      </c>
      <c r="K45" s="60">
        <v>89.66</v>
      </c>
      <c r="L45" s="60">
        <v>26.04</v>
      </c>
      <c r="M45" s="60">
        <v>41.25</v>
      </c>
      <c r="N45" s="60">
        <v>414.4</v>
      </c>
      <c r="O45" s="60">
        <v>0</v>
      </c>
      <c r="P45" s="60">
        <v>1.23</v>
      </c>
      <c r="Q45" s="60">
        <v>29.28</v>
      </c>
      <c r="R45" s="198"/>
      <c r="S45" s="198"/>
      <c r="T45" s="198"/>
      <c r="U45" s="198"/>
    </row>
    <row r="46" spans="1:21" s="12" customFormat="1" x14ac:dyDescent="0.25">
      <c r="A46" s="201" t="s">
        <v>1917</v>
      </c>
      <c r="B46" s="60">
        <v>4.2</v>
      </c>
      <c r="C46" s="60">
        <v>92.21</v>
      </c>
      <c r="D46" s="60">
        <v>54.25</v>
      </c>
      <c r="E46" s="60">
        <v>5.75</v>
      </c>
      <c r="F46" s="60">
        <v>2.4</v>
      </c>
      <c r="G46" s="60">
        <v>106.28</v>
      </c>
      <c r="H46" s="60">
        <v>49.4</v>
      </c>
      <c r="I46" s="60">
        <v>0.66</v>
      </c>
      <c r="J46" s="60">
        <v>0.59</v>
      </c>
      <c r="K46" s="60">
        <v>75.17</v>
      </c>
      <c r="L46" s="60">
        <v>27.18</v>
      </c>
      <c r="M46" s="60">
        <v>38.049999999999997</v>
      </c>
      <c r="N46" s="60">
        <v>458.8</v>
      </c>
      <c r="O46" s="60">
        <v>0</v>
      </c>
      <c r="P46" s="60">
        <v>1.23</v>
      </c>
      <c r="Q46" s="60">
        <v>29.09</v>
      </c>
      <c r="R46" s="198"/>
      <c r="S46" s="198"/>
      <c r="T46" s="198"/>
      <c r="U46" s="198"/>
    </row>
    <row r="47" spans="1:21" s="12" customFormat="1" x14ac:dyDescent="0.25">
      <c r="A47" s="201" t="s">
        <v>1918</v>
      </c>
      <c r="B47" s="60">
        <v>3.62</v>
      </c>
      <c r="C47" s="60">
        <v>93.26</v>
      </c>
      <c r="D47" s="60">
        <v>54.37</v>
      </c>
      <c r="E47" s="60">
        <v>5.34</v>
      </c>
      <c r="F47" s="60">
        <v>2.4700000000000002</v>
      </c>
      <c r="G47" s="60">
        <v>92</v>
      </c>
      <c r="H47" s="60">
        <v>47.56</v>
      </c>
      <c r="I47" s="60">
        <v>0.65</v>
      </c>
      <c r="J47" s="60">
        <v>0.84</v>
      </c>
      <c r="K47" s="60">
        <v>104.83</v>
      </c>
      <c r="L47" s="60">
        <v>27.36</v>
      </c>
      <c r="M47" s="60">
        <v>37.94</v>
      </c>
      <c r="N47" s="60">
        <v>495</v>
      </c>
      <c r="O47" s="60">
        <v>0</v>
      </c>
      <c r="P47" s="60">
        <v>1.22</v>
      </c>
      <c r="Q47" s="60">
        <v>28.9</v>
      </c>
      <c r="R47" s="198"/>
      <c r="S47" s="198"/>
      <c r="T47" s="198"/>
      <c r="U47" s="198"/>
    </row>
    <row r="48" spans="1:21" s="12" customFormat="1" x14ac:dyDescent="0.25">
      <c r="A48" s="201" t="s">
        <v>1919</v>
      </c>
      <c r="B48" s="60">
        <v>2.98</v>
      </c>
      <c r="C48" s="60">
        <v>93.28</v>
      </c>
      <c r="D48" s="60">
        <v>53.87</v>
      </c>
      <c r="E48" s="60">
        <v>5.4</v>
      </c>
      <c r="F48" s="60">
        <v>2.59</v>
      </c>
      <c r="G48" s="60">
        <v>92</v>
      </c>
      <c r="H48" s="60">
        <v>47.56</v>
      </c>
      <c r="I48" s="60">
        <v>0.65</v>
      </c>
      <c r="J48" s="60">
        <v>0.89</v>
      </c>
      <c r="K48" s="60">
        <v>101.98</v>
      </c>
      <c r="L48" s="60">
        <v>27.5</v>
      </c>
      <c r="M48" s="60">
        <v>37.15</v>
      </c>
      <c r="N48" s="60">
        <v>520.5</v>
      </c>
      <c r="O48" s="60">
        <v>0</v>
      </c>
      <c r="P48" s="60">
        <v>1.21</v>
      </c>
      <c r="Q48" s="60">
        <v>28.79</v>
      </c>
      <c r="R48" s="198"/>
      <c r="S48" s="198"/>
      <c r="T48" s="198"/>
      <c r="U48" s="198"/>
    </row>
    <row r="49" spans="1:21" s="12" customFormat="1" x14ac:dyDescent="0.25">
      <c r="A49" s="201" t="s">
        <v>1920</v>
      </c>
      <c r="B49" s="60">
        <v>2.5099999999999998</v>
      </c>
      <c r="C49" s="60">
        <v>92.99</v>
      </c>
      <c r="D49" s="60">
        <v>53.33</v>
      </c>
      <c r="E49" s="60">
        <v>5.44</v>
      </c>
      <c r="F49" s="60">
        <v>2.84</v>
      </c>
      <c r="G49" s="60">
        <v>92</v>
      </c>
      <c r="H49" s="60">
        <v>47.56</v>
      </c>
      <c r="I49" s="60">
        <v>0.64</v>
      </c>
      <c r="J49" s="60">
        <v>0.57999999999999996</v>
      </c>
      <c r="K49" s="60">
        <v>85.57</v>
      </c>
      <c r="L49" s="60">
        <v>28.94</v>
      </c>
      <c r="M49" s="60">
        <v>34.380000000000003</v>
      </c>
      <c r="N49" s="60">
        <v>529.79999999999995</v>
      </c>
      <c r="O49" s="60">
        <v>0</v>
      </c>
      <c r="P49" s="60">
        <v>1.2</v>
      </c>
      <c r="Q49" s="60">
        <v>28.65</v>
      </c>
      <c r="R49" s="198"/>
      <c r="S49" s="198"/>
      <c r="T49" s="198"/>
      <c r="U49" s="198"/>
    </row>
    <row r="50" spans="1:21" s="12" customFormat="1" x14ac:dyDescent="0.25">
      <c r="A50" s="201" t="s">
        <v>1921</v>
      </c>
      <c r="B50" s="60">
        <v>3.02</v>
      </c>
      <c r="C50" s="60">
        <v>91.95</v>
      </c>
      <c r="D50" s="60">
        <v>53.17</v>
      </c>
      <c r="E50" s="60">
        <v>7.59</v>
      </c>
      <c r="F50" s="60">
        <v>5.83</v>
      </c>
      <c r="G50" s="60">
        <v>90.53</v>
      </c>
      <c r="H50" s="60">
        <v>46.27</v>
      </c>
      <c r="I50" s="60">
        <v>0.63</v>
      </c>
      <c r="J50" s="60">
        <v>0.39</v>
      </c>
      <c r="K50" s="60">
        <v>71.59</v>
      </c>
      <c r="L50" s="60">
        <v>30.18</v>
      </c>
      <c r="M50" s="60">
        <v>32.28</v>
      </c>
      <c r="N50" s="60">
        <v>528.29999999999995</v>
      </c>
      <c r="O50" s="60">
        <v>0</v>
      </c>
      <c r="P50" s="60">
        <v>1.22</v>
      </c>
      <c r="Q50" s="60">
        <v>28.05</v>
      </c>
      <c r="R50" s="198"/>
      <c r="S50" s="198"/>
      <c r="T50" s="198"/>
      <c r="U50" s="198"/>
    </row>
    <row r="51" spans="1:21" s="12" customFormat="1" x14ac:dyDescent="0.25">
      <c r="A51" s="201" t="s">
        <v>1922</v>
      </c>
      <c r="B51" s="60">
        <v>2.13</v>
      </c>
      <c r="C51" s="60">
        <v>73.03</v>
      </c>
      <c r="D51" s="60">
        <v>42.01</v>
      </c>
      <c r="E51" s="60">
        <v>19.72</v>
      </c>
      <c r="F51" s="60">
        <v>34.71</v>
      </c>
      <c r="G51" s="60">
        <v>88.43</v>
      </c>
      <c r="H51" s="60">
        <v>44.42</v>
      </c>
      <c r="I51" s="60">
        <v>0.63</v>
      </c>
      <c r="J51" s="60">
        <v>0.8</v>
      </c>
      <c r="K51" s="60">
        <v>97.93</v>
      </c>
      <c r="L51" s="60">
        <v>29.8</v>
      </c>
      <c r="M51" s="60">
        <v>31.84</v>
      </c>
      <c r="N51" s="60">
        <v>539.1</v>
      </c>
      <c r="O51" s="60">
        <v>0</v>
      </c>
      <c r="P51" s="60">
        <v>1.04</v>
      </c>
      <c r="Q51" s="60">
        <v>23.23</v>
      </c>
      <c r="R51" s="198"/>
      <c r="S51" s="198"/>
      <c r="T51" s="198"/>
      <c r="U51" s="198"/>
    </row>
    <row r="52" spans="1:21" s="12" customFormat="1" x14ac:dyDescent="0.25">
      <c r="A52" s="201" t="s">
        <v>1923</v>
      </c>
      <c r="B52" s="60">
        <v>1.53</v>
      </c>
      <c r="C52" s="60">
        <v>50.69</v>
      </c>
      <c r="D52" s="60">
        <v>29.2</v>
      </c>
      <c r="E52" s="60">
        <v>23.65</v>
      </c>
      <c r="F52" s="60">
        <v>40.57</v>
      </c>
      <c r="G52" s="60">
        <v>88.43</v>
      </c>
      <c r="H52" s="60">
        <v>44.42</v>
      </c>
      <c r="I52" s="60">
        <v>0.67</v>
      </c>
      <c r="J52" s="60">
        <v>0.7</v>
      </c>
      <c r="K52" s="60">
        <v>132.38</v>
      </c>
      <c r="L52" s="60">
        <v>29.39</v>
      </c>
      <c r="M52" s="60">
        <v>32.06</v>
      </c>
      <c r="N52" s="60">
        <v>538.5</v>
      </c>
      <c r="O52" s="60">
        <v>0</v>
      </c>
      <c r="P52" s="60">
        <v>0.8</v>
      </c>
      <c r="Q52" s="60">
        <v>14.55</v>
      </c>
      <c r="R52" s="198"/>
      <c r="S52" s="198"/>
      <c r="T52" s="198"/>
      <c r="U52" s="198"/>
    </row>
    <row r="53" spans="1:21" s="12" customFormat="1" x14ac:dyDescent="0.25">
      <c r="A53" s="201" t="s">
        <v>1924</v>
      </c>
      <c r="B53" s="60">
        <v>1.98</v>
      </c>
      <c r="C53" s="60">
        <v>60.46</v>
      </c>
      <c r="D53" s="60">
        <v>34.950000000000003</v>
      </c>
      <c r="E53" s="60">
        <v>14.86</v>
      </c>
      <c r="F53" s="60">
        <v>23.16</v>
      </c>
      <c r="G53" s="60">
        <v>88.43</v>
      </c>
      <c r="H53" s="60">
        <v>44.42</v>
      </c>
      <c r="I53" s="60">
        <v>0.54</v>
      </c>
      <c r="J53" s="60">
        <v>0.82</v>
      </c>
      <c r="K53" s="60">
        <v>124.48</v>
      </c>
      <c r="L53" s="60">
        <v>30.03</v>
      </c>
      <c r="M53" s="60">
        <v>30.9</v>
      </c>
      <c r="N53" s="60">
        <v>541</v>
      </c>
      <c r="O53" s="60">
        <v>0</v>
      </c>
      <c r="P53" s="60">
        <v>0.79</v>
      </c>
      <c r="Q53" s="60">
        <v>13.74</v>
      </c>
      <c r="R53" s="198"/>
      <c r="S53" s="198"/>
      <c r="T53" s="198"/>
      <c r="U53" s="198"/>
    </row>
    <row r="54" spans="1:21" s="12" customFormat="1" x14ac:dyDescent="0.25">
      <c r="A54" s="201" t="s">
        <v>1925</v>
      </c>
      <c r="B54" s="60">
        <v>1.02</v>
      </c>
      <c r="C54" s="60">
        <v>58.37</v>
      </c>
      <c r="D54" s="60">
        <v>33.04</v>
      </c>
      <c r="E54" s="60">
        <v>11.7</v>
      </c>
      <c r="F54" s="60">
        <v>14.38</v>
      </c>
      <c r="G54" s="60">
        <v>78.33</v>
      </c>
      <c r="H54" s="60">
        <v>42.92</v>
      </c>
      <c r="I54" s="60">
        <v>0.47</v>
      </c>
      <c r="J54" s="60">
        <v>0.86</v>
      </c>
      <c r="K54" s="60">
        <v>122.91</v>
      </c>
      <c r="L54" s="60">
        <v>30.35</v>
      </c>
      <c r="M54" s="60">
        <v>29.6</v>
      </c>
      <c r="N54" s="60">
        <v>551.5</v>
      </c>
      <c r="O54" s="60">
        <v>0</v>
      </c>
      <c r="P54" s="60">
        <v>0.8</v>
      </c>
      <c r="Q54" s="60">
        <v>14.38</v>
      </c>
      <c r="R54" s="198"/>
      <c r="S54" s="198"/>
      <c r="T54" s="198"/>
      <c r="U54" s="198"/>
    </row>
    <row r="55" spans="1:21" s="12" customFormat="1" x14ac:dyDescent="0.25">
      <c r="A55" s="201" t="s">
        <v>1926</v>
      </c>
      <c r="B55" s="60">
        <v>0.63</v>
      </c>
      <c r="C55" s="60">
        <v>55.16</v>
      </c>
      <c r="D55" s="60">
        <v>30.95</v>
      </c>
      <c r="E55" s="60">
        <v>10.95</v>
      </c>
      <c r="F55" s="60">
        <v>17.77</v>
      </c>
      <c r="G55" s="60">
        <v>63.87</v>
      </c>
      <c r="H55" s="60">
        <v>40.770000000000003</v>
      </c>
      <c r="I55" s="60">
        <v>0.47</v>
      </c>
      <c r="J55" s="60">
        <v>0.85</v>
      </c>
      <c r="K55" s="60">
        <v>151.38999999999999</v>
      </c>
      <c r="L55" s="60">
        <v>30.49</v>
      </c>
      <c r="M55" s="60">
        <v>28.24</v>
      </c>
      <c r="N55" s="60">
        <v>553.20000000000005</v>
      </c>
      <c r="O55" s="60">
        <v>0</v>
      </c>
      <c r="P55" s="60">
        <v>0.72</v>
      </c>
      <c r="Q55" s="60">
        <v>15.19</v>
      </c>
      <c r="R55" s="198"/>
      <c r="S55" s="198"/>
      <c r="T55" s="198"/>
      <c r="U55" s="198"/>
    </row>
    <row r="56" spans="1:21" s="12" customFormat="1" x14ac:dyDescent="0.25">
      <c r="A56" s="201" t="s">
        <v>1927</v>
      </c>
      <c r="B56" s="60">
        <v>0.96</v>
      </c>
      <c r="C56" s="60">
        <v>55.06</v>
      </c>
      <c r="D56" s="60">
        <v>31.16</v>
      </c>
      <c r="E56" s="60">
        <v>10.94</v>
      </c>
      <c r="F56" s="60">
        <v>23.47</v>
      </c>
      <c r="G56" s="60">
        <v>63.87</v>
      </c>
      <c r="H56" s="60">
        <v>40.770000000000003</v>
      </c>
      <c r="I56" s="60">
        <v>0.49</v>
      </c>
      <c r="J56" s="60">
        <v>0.78</v>
      </c>
      <c r="K56" s="60">
        <v>136.68</v>
      </c>
      <c r="L56" s="60">
        <v>31.28</v>
      </c>
      <c r="M56" s="60">
        <v>26.45</v>
      </c>
      <c r="N56" s="60">
        <v>557.6</v>
      </c>
      <c r="O56" s="60">
        <v>0</v>
      </c>
      <c r="P56" s="60">
        <v>0.67</v>
      </c>
      <c r="Q56" s="60">
        <v>15.94</v>
      </c>
      <c r="R56" s="198"/>
      <c r="S56" s="198"/>
      <c r="T56" s="198"/>
      <c r="U56" s="198"/>
    </row>
    <row r="57" spans="1:21" s="12" customFormat="1" x14ac:dyDescent="0.25">
      <c r="A57" s="201" t="s">
        <v>1928</v>
      </c>
      <c r="B57" s="60">
        <v>1.55</v>
      </c>
      <c r="C57" s="60">
        <v>50.48</v>
      </c>
      <c r="D57" s="60">
        <v>29.11</v>
      </c>
      <c r="E57" s="60">
        <v>15.01</v>
      </c>
      <c r="F57" s="60">
        <v>31.96</v>
      </c>
      <c r="G57" s="60">
        <v>63.87</v>
      </c>
      <c r="H57" s="60">
        <v>40.770000000000003</v>
      </c>
      <c r="I57" s="60">
        <v>0.49</v>
      </c>
      <c r="J57" s="60">
        <v>0.79</v>
      </c>
      <c r="K57" s="60">
        <v>113.7</v>
      </c>
      <c r="L57" s="60">
        <v>30.68</v>
      </c>
      <c r="M57" s="60">
        <v>27.54</v>
      </c>
      <c r="N57" s="60">
        <v>544.70000000000005</v>
      </c>
      <c r="O57" s="60">
        <v>0</v>
      </c>
      <c r="P57" s="60">
        <v>0.62</v>
      </c>
      <c r="Q57" s="60">
        <v>15.82</v>
      </c>
      <c r="R57" s="198"/>
      <c r="S57" s="198"/>
      <c r="T57" s="198"/>
      <c r="U57" s="198"/>
    </row>
    <row r="58" spans="1:21" s="12" customFormat="1" x14ac:dyDescent="0.25">
      <c r="A58" s="201" t="s">
        <v>1929</v>
      </c>
      <c r="B58" s="60">
        <v>1.04</v>
      </c>
      <c r="C58" s="60">
        <v>43.53</v>
      </c>
      <c r="D58" s="60">
        <v>24.85</v>
      </c>
      <c r="E58" s="60">
        <v>17</v>
      </c>
      <c r="F58" s="60">
        <v>40.06</v>
      </c>
      <c r="G58" s="60">
        <v>58.55</v>
      </c>
      <c r="H58" s="60">
        <v>38.479999999999997</v>
      </c>
      <c r="I58" s="60">
        <v>0.49</v>
      </c>
      <c r="J58" s="60">
        <v>1.1100000000000001</v>
      </c>
      <c r="K58" s="60">
        <v>116.78</v>
      </c>
      <c r="L58" s="60">
        <v>30.64</v>
      </c>
      <c r="M58" s="60">
        <v>27.97</v>
      </c>
      <c r="N58" s="60">
        <v>536.70000000000005</v>
      </c>
      <c r="O58" s="60">
        <v>0</v>
      </c>
      <c r="P58" s="60">
        <v>0.56999999999999995</v>
      </c>
      <c r="Q58" s="60">
        <v>15.35</v>
      </c>
      <c r="R58" s="198"/>
      <c r="S58" s="198"/>
      <c r="T58" s="198"/>
      <c r="U58" s="198"/>
    </row>
    <row r="59" spans="1:21" s="12" customFormat="1" x14ac:dyDescent="0.25">
      <c r="A59" s="201" t="s">
        <v>1930</v>
      </c>
      <c r="B59" s="60">
        <v>0.9</v>
      </c>
      <c r="C59" s="60">
        <v>37.700000000000003</v>
      </c>
      <c r="D59" s="60">
        <v>21.53</v>
      </c>
      <c r="E59" s="60">
        <v>12.65</v>
      </c>
      <c r="F59" s="60">
        <v>27.17</v>
      </c>
      <c r="G59" s="60">
        <v>50.94</v>
      </c>
      <c r="H59" s="60">
        <v>35.21</v>
      </c>
      <c r="I59" s="60">
        <v>0.47</v>
      </c>
      <c r="J59" s="60">
        <v>0.93</v>
      </c>
      <c r="K59" s="60">
        <v>109.57</v>
      </c>
      <c r="L59" s="60">
        <v>30.8</v>
      </c>
      <c r="M59" s="60">
        <v>27.51</v>
      </c>
      <c r="N59" s="60">
        <v>515.5</v>
      </c>
      <c r="O59" s="60">
        <v>0</v>
      </c>
      <c r="P59" s="60">
        <v>0.55000000000000004</v>
      </c>
      <c r="Q59" s="60">
        <v>14.38</v>
      </c>
      <c r="R59" s="198"/>
      <c r="S59" s="198"/>
      <c r="T59" s="198"/>
      <c r="U59" s="198"/>
    </row>
    <row r="60" spans="1:21" s="12" customFormat="1" x14ac:dyDescent="0.25">
      <c r="A60" s="201" t="s">
        <v>1931</v>
      </c>
      <c r="B60" s="60">
        <v>1.03</v>
      </c>
      <c r="C60" s="60">
        <v>44.5</v>
      </c>
      <c r="D60" s="60">
        <v>25.38</v>
      </c>
      <c r="E60" s="60">
        <v>13.93</v>
      </c>
      <c r="F60" s="60">
        <v>23.25</v>
      </c>
      <c r="G60" s="60">
        <v>50.94</v>
      </c>
      <c r="H60" s="60">
        <v>35.21</v>
      </c>
      <c r="I60" s="60">
        <v>0.46</v>
      </c>
      <c r="J60" s="60">
        <v>0.81</v>
      </c>
      <c r="K60" s="60">
        <v>66.849999999999994</v>
      </c>
      <c r="L60" s="60">
        <v>33.43</v>
      </c>
      <c r="M60" s="60">
        <v>24.02</v>
      </c>
      <c r="N60" s="60">
        <v>485.7</v>
      </c>
      <c r="O60" s="60">
        <v>0</v>
      </c>
      <c r="P60" s="60">
        <v>0.69</v>
      </c>
      <c r="Q60" s="60">
        <v>14.56</v>
      </c>
      <c r="R60" s="198"/>
      <c r="S60" s="198"/>
      <c r="T60" s="198"/>
      <c r="U60" s="198"/>
    </row>
    <row r="61" spans="1:21" s="12" customFormat="1" x14ac:dyDescent="0.25">
      <c r="A61" s="201" t="s">
        <v>1932</v>
      </c>
      <c r="B61" s="60">
        <v>1.04</v>
      </c>
      <c r="C61" s="60">
        <v>50.79</v>
      </c>
      <c r="D61" s="60">
        <v>28.87</v>
      </c>
      <c r="E61" s="60">
        <v>10.56</v>
      </c>
      <c r="F61" s="60">
        <v>14.97</v>
      </c>
      <c r="G61" s="60">
        <v>50.94</v>
      </c>
      <c r="H61" s="60">
        <v>35.21</v>
      </c>
      <c r="I61" s="60">
        <v>0.47</v>
      </c>
      <c r="J61" s="60">
        <v>0.51</v>
      </c>
      <c r="K61" s="60">
        <v>100.02</v>
      </c>
      <c r="L61" s="60">
        <v>31.82</v>
      </c>
      <c r="M61" s="60">
        <v>26.04</v>
      </c>
      <c r="N61" s="60">
        <v>474.4</v>
      </c>
      <c r="O61" s="60">
        <v>0</v>
      </c>
      <c r="P61" s="60">
        <v>0.72</v>
      </c>
      <c r="Q61" s="60">
        <v>15.21</v>
      </c>
      <c r="R61" s="198"/>
      <c r="S61" s="198"/>
      <c r="T61" s="198"/>
      <c r="U61" s="198"/>
    </row>
    <row r="62" spans="1:21" s="12" customFormat="1" x14ac:dyDescent="0.25">
      <c r="A62" s="201" t="s">
        <v>1933</v>
      </c>
      <c r="B62" s="60">
        <v>1.38</v>
      </c>
      <c r="C62" s="60">
        <v>53.88</v>
      </c>
      <c r="D62" s="60">
        <v>30.84</v>
      </c>
      <c r="E62" s="60">
        <v>9.36</v>
      </c>
      <c r="F62" s="60">
        <v>15.82</v>
      </c>
      <c r="G62" s="60">
        <v>49.8</v>
      </c>
      <c r="H62" s="60">
        <v>34.51</v>
      </c>
      <c r="I62" s="60">
        <v>0.48</v>
      </c>
      <c r="J62" s="60">
        <v>0.68</v>
      </c>
      <c r="K62" s="60">
        <v>48.42</v>
      </c>
      <c r="L62" s="60">
        <v>32.5</v>
      </c>
      <c r="M62" s="60">
        <v>24.77</v>
      </c>
      <c r="N62" s="60">
        <v>443.4</v>
      </c>
      <c r="O62" s="60">
        <v>0</v>
      </c>
      <c r="P62" s="60">
        <v>0.77</v>
      </c>
      <c r="Q62" s="60">
        <v>15.74</v>
      </c>
      <c r="R62" s="198"/>
      <c r="S62" s="198"/>
      <c r="T62" s="198"/>
      <c r="U62" s="198"/>
    </row>
    <row r="63" spans="1:21" s="12" customFormat="1" x14ac:dyDescent="0.25">
      <c r="A63" s="201" t="s">
        <v>1934</v>
      </c>
      <c r="B63" s="60">
        <v>2.46</v>
      </c>
      <c r="C63" s="60">
        <v>53.04</v>
      </c>
      <c r="D63" s="60">
        <v>31.25</v>
      </c>
      <c r="E63" s="60">
        <v>10.43</v>
      </c>
      <c r="F63" s="60">
        <v>20.399999999999999</v>
      </c>
      <c r="G63" s="60">
        <v>48.18</v>
      </c>
      <c r="H63" s="60">
        <v>33.520000000000003</v>
      </c>
      <c r="I63" s="60">
        <v>0.49</v>
      </c>
      <c r="J63" s="60">
        <v>0.75</v>
      </c>
      <c r="K63" s="60">
        <v>69.41</v>
      </c>
      <c r="L63" s="60">
        <v>33.6</v>
      </c>
      <c r="M63" s="60">
        <v>23.22</v>
      </c>
      <c r="N63" s="60">
        <v>413.8</v>
      </c>
      <c r="O63" s="60">
        <v>0</v>
      </c>
      <c r="P63" s="60">
        <v>0.79</v>
      </c>
      <c r="Q63" s="60">
        <v>16.489999999999998</v>
      </c>
      <c r="R63" s="198"/>
      <c r="S63" s="198"/>
      <c r="T63" s="198"/>
      <c r="U63" s="198"/>
    </row>
    <row r="64" spans="1:21" s="12" customFormat="1" x14ac:dyDescent="0.25">
      <c r="A64" s="201" t="s">
        <v>1935</v>
      </c>
      <c r="B64" s="60">
        <v>0.92</v>
      </c>
      <c r="C64" s="60">
        <v>56.23</v>
      </c>
      <c r="D64" s="60">
        <v>31.77</v>
      </c>
      <c r="E64" s="60">
        <v>8.98</v>
      </c>
      <c r="F64" s="60">
        <v>17.149999999999999</v>
      </c>
      <c r="G64" s="60">
        <v>48.18</v>
      </c>
      <c r="H64" s="60">
        <v>33.520000000000003</v>
      </c>
      <c r="I64" s="60">
        <v>0.5</v>
      </c>
      <c r="J64" s="60">
        <v>0.79</v>
      </c>
      <c r="K64" s="60">
        <v>92.52</v>
      </c>
      <c r="L64" s="60">
        <v>31.77</v>
      </c>
      <c r="M64" s="60">
        <v>26.38</v>
      </c>
      <c r="N64" s="60">
        <v>414.2</v>
      </c>
      <c r="O64" s="60">
        <v>0</v>
      </c>
      <c r="P64" s="60">
        <v>0.78</v>
      </c>
      <c r="Q64" s="60">
        <v>16.940000000000001</v>
      </c>
      <c r="R64" s="198"/>
      <c r="S64" s="198"/>
      <c r="T64" s="198"/>
      <c r="U64" s="198"/>
    </row>
    <row r="65" spans="1:21" s="12" customFormat="1" x14ac:dyDescent="0.25">
      <c r="A65" s="201" t="s">
        <v>1936</v>
      </c>
      <c r="B65" s="60">
        <v>1.49</v>
      </c>
      <c r="C65" s="60">
        <v>58.59</v>
      </c>
      <c r="D65" s="60">
        <v>33.53</v>
      </c>
      <c r="E65" s="60">
        <v>19.309999999999999</v>
      </c>
      <c r="F65" s="60">
        <v>21.7</v>
      </c>
      <c r="G65" s="60">
        <v>48.18</v>
      </c>
      <c r="H65" s="60">
        <v>33.520000000000003</v>
      </c>
      <c r="I65" s="60">
        <v>0.5</v>
      </c>
      <c r="J65" s="60">
        <v>0.8</v>
      </c>
      <c r="K65" s="60">
        <v>23.23</v>
      </c>
      <c r="L65" s="60">
        <v>33.700000000000003</v>
      </c>
      <c r="M65" s="60">
        <v>23.05</v>
      </c>
      <c r="N65" s="60">
        <v>384.1</v>
      </c>
      <c r="O65" s="60">
        <v>0</v>
      </c>
      <c r="P65" s="60">
        <v>0.81</v>
      </c>
      <c r="Q65" s="60">
        <v>17.68</v>
      </c>
      <c r="R65" s="198"/>
      <c r="S65" s="198"/>
      <c r="T65" s="198"/>
      <c r="U65" s="198"/>
    </row>
    <row r="66" spans="1:21" s="12" customFormat="1" x14ac:dyDescent="0.25">
      <c r="A66" s="201" t="s">
        <v>1937</v>
      </c>
      <c r="B66" s="60">
        <v>1.96</v>
      </c>
      <c r="C66" s="60">
        <v>63.12</v>
      </c>
      <c r="D66" s="60">
        <v>36.409999999999997</v>
      </c>
      <c r="E66" s="60">
        <v>13.36</v>
      </c>
      <c r="F66" s="60">
        <v>17.78</v>
      </c>
      <c r="G66" s="60">
        <v>50.37</v>
      </c>
      <c r="H66" s="60">
        <v>32.770000000000003</v>
      </c>
      <c r="I66" s="60">
        <v>0.52</v>
      </c>
      <c r="J66" s="60">
        <v>0.88</v>
      </c>
      <c r="K66" s="60">
        <v>91.95</v>
      </c>
      <c r="L66" s="60">
        <v>33.369999999999997</v>
      </c>
      <c r="M66" s="60">
        <v>23.61</v>
      </c>
      <c r="N66" s="60">
        <v>363.3</v>
      </c>
      <c r="O66" s="60">
        <v>0</v>
      </c>
      <c r="P66" s="60">
        <v>0.85</v>
      </c>
      <c r="Q66" s="60">
        <v>17.93</v>
      </c>
      <c r="R66" s="198"/>
      <c r="S66" s="198"/>
      <c r="T66" s="198"/>
      <c r="U66" s="198"/>
    </row>
    <row r="67" spans="1:21" s="12" customFormat="1" x14ac:dyDescent="0.25">
      <c r="A67" s="201" t="s">
        <v>1938</v>
      </c>
      <c r="B67" s="60">
        <v>1.1599999999999999</v>
      </c>
      <c r="C67" s="60">
        <v>60.56</v>
      </c>
      <c r="D67" s="60">
        <v>34.35</v>
      </c>
      <c r="E67" s="60">
        <v>9.67</v>
      </c>
      <c r="F67" s="60">
        <v>11.67</v>
      </c>
      <c r="G67" s="60">
        <v>53.51</v>
      </c>
      <c r="H67" s="60">
        <v>31.69</v>
      </c>
      <c r="I67" s="60">
        <v>0.51</v>
      </c>
      <c r="J67" s="60">
        <v>1.06</v>
      </c>
      <c r="K67" s="60">
        <v>125.31</v>
      </c>
      <c r="L67" s="60">
        <v>31.26</v>
      </c>
      <c r="M67" s="60">
        <v>25.89</v>
      </c>
      <c r="N67" s="60">
        <v>341.5</v>
      </c>
      <c r="O67" s="60">
        <v>0</v>
      </c>
      <c r="P67" s="60">
        <v>0.81</v>
      </c>
      <c r="Q67" s="60">
        <v>17.940000000000001</v>
      </c>
      <c r="R67" s="198"/>
      <c r="S67" s="198"/>
      <c r="T67" s="198"/>
      <c r="U67" s="198"/>
    </row>
    <row r="68" spans="1:21" s="12" customFormat="1" x14ac:dyDescent="0.25">
      <c r="A68" s="201" t="s">
        <v>1939</v>
      </c>
      <c r="B68" s="60">
        <v>1.1499999999999999</v>
      </c>
      <c r="C68" s="60">
        <v>57.42</v>
      </c>
      <c r="D68" s="60">
        <v>32.61</v>
      </c>
      <c r="E68" s="60">
        <v>13.31</v>
      </c>
      <c r="F68" s="60">
        <v>18.41</v>
      </c>
      <c r="G68" s="60">
        <v>53.51</v>
      </c>
      <c r="H68" s="60">
        <v>31.69</v>
      </c>
      <c r="I68" s="60">
        <v>0.53</v>
      </c>
      <c r="J68" s="60">
        <v>0.59</v>
      </c>
      <c r="K68" s="60">
        <v>176.52</v>
      </c>
      <c r="L68" s="60">
        <v>31.92</v>
      </c>
      <c r="M68" s="60">
        <v>23.97</v>
      </c>
      <c r="N68" s="60">
        <v>316.10000000000002</v>
      </c>
      <c r="O68" s="60">
        <v>0</v>
      </c>
      <c r="P68" s="60">
        <v>0.8</v>
      </c>
      <c r="Q68" s="60">
        <v>19.02</v>
      </c>
      <c r="R68" s="198"/>
      <c r="S68" s="198"/>
      <c r="T68" s="198"/>
      <c r="U68" s="198"/>
    </row>
    <row r="69" spans="1:21" s="12" customFormat="1" x14ac:dyDescent="0.25">
      <c r="A69" s="201" t="s">
        <v>1940</v>
      </c>
      <c r="B69" s="60">
        <v>1.22</v>
      </c>
      <c r="C69" s="60">
        <v>57.67</v>
      </c>
      <c r="D69" s="60">
        <v>32.81</v>
      </c>
      <c r="E69" s="60">
        <v>14.02</v>
      </c>
      <c r="F69" s="60">
        <v>14.38</v>
      </c>
      <c r="G69" s="60">
        <v>53.51</v>
      </c>
      <c r="H69" s="60">
        <v>31.69</v>
      </c>
      <c r="I69" s="60">
        <v>0.55000000000000004</v>
      </c>
      <c r="J69" s="60">
        <v>1.01</v>
      </c>
      <c r="K69" s="60">
        <v>121.78</v>
      </c>
      <c r="L69" s="60">
        <v>31.95</v>
      </c>
      <c r="M69" s="60">
        <v>25.51</v>
      </c>
      <c r="N69" s="60">
        <v>294.7</v>
      </c>
      <c r="O69" s="60">
        <v>0</v>
      </c>
      <c r="P69" s="60">
        <v>0.79</v>
      </c>
      <c r="Q69" s="60">
        <v>19.72</v>
      </c>
      <c r="R69" s="198"/>
      <c r="S69" s="198"/>
      <c r="T69" s="198"/>
      <c r="U69" s="198"/>
    </row>
    <row r="70" spans="1:21" s="12" customFormat="1" x14ac:dyDescent="0.25">
      <c r="A70" s="201" t="s">
        <v>1941</v>
      </c>
      <c r="B70" s="60">
        <v>2.64</v>
      </c>
      <c r="C70" s="60">
        <v>62.9</v>
      </c>
      <c r="D70" s="60">
        <v>36.83</v>
      </c>
      <c r="E70" s="60">
        <v>12.69</v>
      </c>
      <c r="F70" s="60">
        <v>18.690000000000001</v>
      </c>
      <c r="G70" s="60">
        <v>55.66</v>
      </c>
      <c r="H70" s="60">
        <v>32.19</v>
      </c>
      <c r="I70" s="60">
        <v>0.54</v>
      </c>
      <c r="J70" s="60">
        <v>0.72</v>
      </c>
      <c r="K70" s="60">
        <v>34.93</v>
      </c>
      <c r="L70" s="60">
        <v>31.99</v>
      </c>
      <c r="M70" s="60">
        <v>26.01</v>
      </c>
      <c r="N70" s="60">
        <v>258.2</v>
      </c>
      <c r="O70" s="60">
        <v>0</v>
      </c>
      <c r="P70" s="60">
        <v>0.83</v>
      </c>
      <c r="Q70" s="60">
        <v>20.170000000000002</v>
      </c>
      <c r="R70" s="198"/>
      <c r="S70" s="198"/>
      <c r="T70" s="198"/>
      <c r="U70" s="198"/>
    </row>
    <row r="71" spans="1:21" s="12" customFormat="1" x14ac:dyDescent="0.25">
      <c r="A71" s="201" t="s">
        <v>1942</v>
      </c>
      <c r="B71" s="60">
        <v>2.17</v>
      </c>
      <c r="C71" s="60">
        <v>62.69</v>
      </c>
      <c r="D71" s="60">
        <v>36.340000000000003</v>
      </c>
      <c r="E71" s="60">
        <v>15.77</v>
      </c>
      <c r="F71" s="60">
        <v>24.97</v>
      </c>
      <c r="G71" s="60">
        <v>58.73</v>
      </c>
      <c r="H71" s="60">
        <v>32.9</v>
      </c>
      <c r="I71" s="60">
        <v>0.55000000000000004</v>
      </c>
      <c r="J71" s="60">
        <v>0.65</v>
      </c>
      <c r="K71" s="60">
        <v>52.31</v>
      </c>
      <c r="L71" s="60">
        <v>32.01</v>
      </c>
      <c r="M71" s="60">
        <v>25.02</v>
      </c>
      <c r="N71" s="60">
        <v>220.7</v>
      </c>
      <c r="O71" s="60">
        <v>0</v>
      </c>
      <c r="P71" s="60">
        <v>0.85</v>
      </c>
      <c r="Q71" s="60">
        <v>20.53</v>
      </c>
      <c r="R71" s="198"/>
      <c r="S71" s="198"/>
      <c r="T71" s="198"/>
      <c r="U71" s="198"/>
    </row>
    <row r="72" spans="1:21" s="12" customFormat="1" x14ac:dyDescent="0.25">
      <c r="A72" s="201" t="s">
        <v>1943</v>
      </c>
      <c r="B72" s="60">
        <v>1.56</v>
      </c>
      <c r="C72" s="60">
        <v>63.32</v>
      </c>
      <c r="D72" s="60">
        <v>36.200000000000003</v>
      </c>
      <c r="E72" s="60">
        <v>9.34</v>
      </c>
      <c r="F72" s="60">
        <v>14.14</v>
      </c>
      <c r="G72" s="60">
        <v>58.73</v>
      </c>
      <c r="H72" s="60">
        <v>32.9</v>
      </c>
      <c r="I72" s="60">
        <v>0.56000000000000005</v>
      </c>
      <c r="J72" s="60">
        <v>0.63</v>
      </c>
      <c r="K72" s="60">
        <v>118.43</v>
      </c>
      <c r="L72" s="60">
        <v>31.38</v>
      </c>
      <c r="M72" s="60">
        <v>26.38</v>
      </c>
      <c r="N72" s="60">
        <v>149.30000000000001</v>
      </c>
      <c r="O72" s="60">
        <v>0</v>
      </c>
      <c r="P72" s="60">
        <v>0.8</v>
      </c>
      <c r="Q72" s="60">
        <v>22.01</v>
      </c>
      <c r="R72" s="198"/>
      <c r="S72" s="198"/>
      <c r="T72" s="198"/>
      <c r="U72" s="198"/>
    </row>
    <row r="73" spans="1:21" s="12" customFormat="1" x14ac:dyDescent="0.25">
      <c r="A73" s="201" t="s">
        <v>1944</v>
      </c>
      <c r="B73" s="60">
        <v>1.06</v>
      </c>
      <c r="C73" s="60">
        <v>63.56</v>
      </c>
      <c r="D73" s="60">
        <v>35.92</v>
      </c>
      <c r="E73" s="60">
        <v>10.72</v>
      </c>
      <c r="F73" s="60">
        <v>13.76</v>
      </c>
      <c r="G73" s="60">
        <v>58.73</v>
      </c>
      <c r="H73" s="60">
        <v>32.9</v>
      </c>
      <c r="I73" s="60">
        <v>0.56000000000000005</v>
      </c>
      <c r="J73" s="60">
        <v>0.52</v>
      </c>
      <c r="K73" s="60">
        <v>73.989999999999995</v>
      </c>
      <c r="L73" s="60">
        <v>30.83</v>
      </c>
      <c r="M73" s="60">
        <v>27.05</v>
      </c>
      <c r="N73" s="60">
        <v>134.5</v>
      </c>
      <c r="O73" s="60">
        <v>0</v>
      </c>
      <c r="P73" s="60">
        <v>0.79</v>
      </c>
      <c r="Q73" s="60">
        <v>23.28</v>
      </c>
      <c r="R73" s="198"/>
      <c r="S73" s="198"/>
      <c r="T73" s="198"/>
      <c r="U73" s="198"/>
    </row>
    <row r="74" spans="1:21" s="12" customFormat="1" x14ac:dyDescent="0.25">
      <c r="A74" s="201" t="s">
        <v>1945</v>
      </c>
      <c r="B74" s="60">
        <v>1.84</v>
      </c>
      <c r="C74" s="60">
        <v>67.72</v>
      </c>
      <c r="D74" s="60">
        <v>38.85</v>
      </c>
      <c r="E74" s="60">
        <v>10.039999999999999</v>
      </c>
      <c r="F74" s="60">
        <v>11.65</v>
      </c>
      <c r="G74" s="60">
        <v>58.97</v>
      </c>
      <c r="H74" s="60">
        <v>33.32</v>
      </c>
      <c r="I74" s="60">
        <v>0.56000000000000005</v>
      </c>
      <c r="J74" s="60">
        <v>1.04</v>
      </c>
      <c r="K74" s="60">
        <v>20.49</v>
      </c>
      <c r="L74" s="60">
        <v>31.54</v>
      </c>
      <c r="M74" s="60">
        <v>26.62</v>
      </c>
      <c r="N74" s="60">
        <v>85.9</v>
      </c>
      <c r="O74" s="60">
        <v>0</v>
      </c>
      <c r="P74" s="60">
        <v>0.86</v>
      </c>
      <c r="Q74" s="60">
        <v>23.09</v>
      </c>
      <c r="R74" s="198"/>
      <c r="S74" s="198"/>
      <c r="T74" s="198"/>
      <c r="U74" s="198"/>
    </row>
    <row r="75" spans="1:21" s="12" customFormat="1" x14ac:dyDescent="0.25">
      <c r="A75" s="201" t="s">
        <v>1946</v>
      </c>
      <c r="B75" s="60">
        <v>2.54</v>
      </c>
      <c r="C75" s="60">
        <v>75.19</v>
      </c>
      <c r="D75" s="60">
        <v>43.53</v>
      </c>
      <c r="E75" s="60">
        <v>11.7</v>
      </c>
      <c r="F75" s="60">
        <v>12.83</v>
      </c>
      <c r="G75" s="60">
        <v>59.33</v>
      </c>
      <c r="H75" s="60">
        <v>33.92</v>
      </c>
      <c r="I75" s="60">
        <v>0.56000000000000005</v>
      </c>
      <c r="J75" s="60">
        <v>0.47</v>
      </c>
      <c r="K75" s="60">
        <v>105.74</v>
      </c>
      <c r="L75" s="60">
        <v>30.84</v>
      </c>
      <c r="M75" s="60">
        <v>27.97</v>
      </c>
      <c r="N75" s="60">
        <v>70.2</v>
      </c>
      <c r="O75" s="60">
        <v>0</v>
      </c>
      <c r="P75" s="60">
        <v>0.93</v>
      </c>
      <c r="Q75" s="60">
        <v>23.24</v>
      </c>
      <c r="R75" s="198"/>
      <c r="S75" s="198"/>
      <c r="T75" s="198"/>
      <c r="U75" s="198"/>
    </row>
    <row r="76" spans="1:21" s="12" customFormat="1" x14ac:dyDescent="0.25">
      <c r="A76" s="201" t="s">
        <v>1947</v>
      </c>
      <c r="B76" s="60">
        <v>1.39</v>
      </c>
      <c r="C76" s="60">
        <v>70.260000000000005</v>
      </c>
      <c r="D76" s="60">
        <v>39.89</v>
      </c>
      <c r="E76" s="60">
        <v>16.059999999999999</v>
      </c>
      <c r="F76" s="60">
        <v>20.51</v>
      </c>
      <c r="G76" s="60">
        <v>59.33</v>
      </c>
      <c r="H76" s="60">
        <v>33.92</v>
      </c>
      <c r="I76" s="60">
        <v>0.56999999999999995</v>
      </c>
      <c r="J76" s="60">
        <v>0.55000000000000004</v>
      </c>
      <c r="K76" s="60">
        <v>66.040000000000006</v>
      </c>
      <c r="L76" s="60">
        <v>30.18</v>
      </c>
      <c r="M76" s="60">
        <v>29.54</v>
      </c>
      <c r="N76" s="60">
        <v>51.4</v>
      </c>
      <c r="O76" s="60">
        <v>0</v>
      </c>
      <c r="P76" s="60">
        <v>0.91</v>
      </c>
      <c r="Q76" s="60">
        <v>23.34</v>
      </c>
      <c r="R76" s="198"/>
      <c r="S76" s="198"/>
      <c r="T76" s="198"/>
      <c r="U76" s="198"/>
    </row>
    <row r="77" spans="1:21" s="12" customFormat="1" x14ac:dyDescent="0.25">
      <c r="A77" s="201" t="s">
        <v>1948</v>
      </c>
      <c r="B77" s="60">
        <v>1.03</v>
      </c>
      <c r="C77" s="60">
        <v>76.98</v>
      </c>
      <c r="D77" s="60">
        <v>43.31</v>
      </c>
      <c r="E77" s="60">
        <v>8.98</v>
      </c>
      <c r="F77" s="60">
        <v>10.23</v>
      </c>
      <c r="G77" s="60">
        <v>59.33</v>
      </c>
      <c r="H77" s="60">
        <v>33.92</v>
      </c>
      <c r="I77" s="60">
        <v>0.56999999999999995</v>
      </c>
      <c r="J77" s="60">
        <v>1.23</v>
      </c>
      <c r="K77" s="60">
        <v>22.97</v>
      </c>
      <c r="L77" s="60">
        <v>30.12</v>
      </c>
      <c r="M77" s="60">
        <v>31.58</v>
      </c>
      <c r="N77" s="60">
        <v>38</v>
      </c>
      <c r="O77" s="60">
        <v>0</v>
      </c>
      <c r="P77" s="60">
        <v>0.93</v>
      </c>
      <c r="Q77" s="60">
        <v>23.01</v>
      </c>
      <c r="R77" s="198"/>
      <c r="S77" s="198"/>
      <c r="T77" s="198"/>
      <c r="U77" s="198"/>
    </row>
    <row r="78" spans="1:21" s="12" customFormat="1" x14ac:dyDescent="0.25">
      <c r="A78" s="201" t="s">
        <v>1949</v>
      </c>
      <c r="B78" s="60">
        <v>1.07</v>
      </c>
      <c r="C78" s="60">
        <v>78.849999999999994</v>
      </c>
      <c r="D78" s="60">
        <v>44.37</v>
      </c>
      <c r="E78" s="60">
        <v>7.61</v>
      </c>
      <c r="F78" s="60">
        <v>7.86</v>
      </c>
      <c r="G78" s="60">
        <v>67.14</v>
      </c>
      <c r="H78" s="60">
        <v>35.479999999999997</v>
      </c>
      <c r="I78" s="60">
        <v>0.56000000000000005</v>
      </c>
      <c r="J78" s="60">
        <v>1.23</v>
      </c>
      <c r="K78" s="60">
        <v>21.88</v>
      </c>
      <c r="L78" s="60">
        <v>29.44</v>
      </c>
      <c r="M78" s="60">
        <v>34.69</v>
      </c>
      <c r="N78" s="60">
        <v>26</v>
      </c>
      <c r="O78" s="60">
        <v>0</v>
      </c>
      <c r="P78" s="60">
        <v>0.98</v>
      </c>
      <c r="Q78" s="60">
        <v>23.47</v>
      </c>
      <c r="R78" s="198"/>
      <c r="S78" s="198"/>
      <c r="T78" s="198"/>
      <c r="U78" s="198"/>
    </row>
    <row r="79" spans="1:21" s="12" customFormat="1" x14ac:dyDescent="0.25">
      <c r="A79" s="201" t="s">
        <v>1950</v>
      </c>
      <c r="B79" s="60">
        <v>2.98</v>
      </c>
      <c r="C79" s="60">
        <v>81.3</v>
      </c>
      <c r="D79" s="60">
        <v>47.25</v>
      </c>
      <c r="E79" s="60">
        <v>18.850000000000001</v>
      </c>
      <c r="F79" s="60">
        <v>21.62</v>
      </c>
      <c r="G79" s="60">
        <v>78.319999999999993</v>
      </c>
      <c r="H79" s="60">
        <v>37.72</v>
      </c>
      <c r="I79" s="60">
        <v>0.56000000000000005</v>
      </c>
      <c r="J79" s="60">
        <v>1.25</v>
      </c>
      <c r="K79" s="60">
        <v>20.329999999999998</v>
      </c>
      <c r="L79" s="60">
        <v>29.14</v>
      </c>
      <c r="M79" s="60">
        <v>34.15</v>
      </c>
      <c r="N79" s="60">
        <v>15.3</v>
      </c>
      <c r="O79" s="60">
        <v>0</v>
      </c>
      <c r="P79" s="60">
        <v>1.1100000000000001</v>
      </c>
      <c r="Q79" s="60">
        <v>23.77</v>
      </c>
      <c r="R79" s="198"/>
      <c r="S79" s="198"/>
      <c r="T79" s="198"/>
      <c r="U79" s="198"/>
    </row>
    <row r="80" spans="1:21" s="12" customFormat="1" x14ac:dyDescent="0.25">
      <c r="A80" s="201" t="s">
        <v>1951</v>
      </c>
      <c r="B80" s="60">
        <v>2.99</v>
      </c>
      <c r="C80" s="60">
        <v>83.71</v>
      </c>
      <c r="D80" s="60">
        <v>48.59</v>
      </c>
      <c r="E80" s="60">
        <v>15.22</v>
      </c>
      <c r="F80" s="60">
        <v>18.72</v>
      </c>
      <c r="G80" s="60">
        <v>78.319999999999993</v>
      </c>
      <c r="H80" s="60">
        <v>37.72</v>
      </c>
      <c r="I80" s="60">
        <v>0.56999999999999995</v>
      </c>
      <c r="J80" s="60">
        <v>1.1200000000000001</v>
      </c>
      <c r="K80" s="60">
        <v>20.7</v>
      </c>
      <c r="L80" s="60">
        <v>28.72</v>
      </c>
      <c r="M80" s="60">
        <v>35.01</v>
      </c>
      <c r="N80" s="60">
        <v>7.7</v>
      </c>
      <c r="O80" s="60">
        <v>0</v>
      </c>
      <c r="P80" s="60">
        <v>1.18</v>
      </c>
      <c r="Q80" s="60">
        <v>23.81</v>
      </c>
      <c r="R80" s="198"/>
      <c r="S80" s="198"/>
      <c r="T80" s="198"/>
      <c r="U80" s="198"/>
    </row>
    <row r="81" spans="1:26" s="12" customFormat="1" x14ac:dyDescent="0.25">
      <c r="A81" s="201" t="s">
        <v>1952</v>
      </c>
      <c r="B81" s="60">
        <v>3.92</v>
      </c>
      <c r="C81" s="60">
        <v>89.78</v>
      </c>
      <c r="D81" s="60">
        <v>52.69</v>
      </c>
      <c r="E81" s="60">
        <v>15.64</v>
      </c>
      <c r="F81" s="60">
        <v>13.55</v>
      </c>
      <c r="G81" s="60">
        <v>78.319999999999993</v>
      </c>
      <c r="H81" s="60">
        <v>37.72</v>
      </c>
      <c r="I81" s="60">
        <v>0.59</v>
      </c>
      <c r="J81" s="60">
        <v>0.77</v>
      </c>
      <c r="K81" s="60">
        <v>20.2</v>
      </c>
      <c r="L81" s="60">
        <v>28.25</v>
      </c>
      <c r="M81" s="60">
        <v>36.54</v>
      </c>
      <c r="N81" s="60">
        <v>5.0999999999999996</v>
      </c>
      <c r="O81" s="60">
        <v>0</v>
      </c>
      <c r="P81" s="60">
        <v>1.3</v>
      </c>
      <c r="Q81" s="60">
        <v>23.77</v>
      </c>
      <c r="R81" s="198"/>
      <c r="S81" s="198"/>
      <c r="T81" s="198"/>
      <c r="U81" s="198"/>
    </row>
    <row r="82" spans="1:26" s="12" customFormat="1" x14ac:dyDescent="0.25">
      <c r="A82" s="201" t="s">
        <v>1953</v>
      </c>
      <c r="B82" s="60">
        <v>4.29</v>
      </c>
      <c r="C82" s="60">
        <v>89.14</v>
      </c>
      <c r="D82" s="60">
        <v>52.64</v>
      </c>
      <c r="E82" s="60">
        <v>17.11</v>
      </c>
      <c r="F82" s="60">
        <v>14.87</v>
      </c>
      <c r="G82" s="60">
        <v>84.25</v>
      </c>
      <c r="H82" s="60">
        <v>38.69</v>
      </c>
      <c r="I82" s="60">
        <v>0.56999999999999995</v>
      </c>
      <c r="J82" s="60">
        <v>0.8</v>
      </c>
      <c r="K82" s="60">
        <v>20.81</v>
      </c>
      <c r="L82" s="60">
        <v>27.81</v>
      </c>
      <c r="M82" s="60">
        <v>37.1</v>
      </c>
      <c r="N82" s="60">
        <v>4.4000000000000004</v>
      </c>
      <c r="O82" s="60">
        <v>0</v>
      </c>
      <c r="P82" s="60">
        <v>1.41</v>
      </c>
      <c r="Q82" s="60">
        <v>24.33</v>
      </c>
      <c r="R82" s="198"/>
      <c r="S82" s="198"/>
      <c r="T82" s="198"/>
      <c r="U82" s="198"/>
    </row>
    <row r="83" spans="1:26" s="12" customFormat="1" x14ac:dyDescent="0.25">
      <c r="A83" s="201" t="s">
        <v>1954</v>
      </c>
      <c r="B83" s="60">
        <v>6.7</v>
      </c>
      <c r="C83" s="60">
        <v>101.25</v>
      </c>
      <c r="D83" s="60">
        <v>61.26</v>
      </c>
      <c r="E83" s="60">
        <v>21.45</v>
      </c>
      <c r="F83" s="60">
        <v>13.99</v>
      </c>
      <c r="G83" s="60">
        <v>92.75</v>
      </c>
      <c r="H83" s="60">
        <v>40.06</v>
      </c>
      <c r="I83" s="60">
        <v>0.6</v>
      </c>
      <c r="J83" s="60">
        <v>0.57999999999999996</v>
      </c>
      <c r="K83" s="60">
        <v>19.23</v>
      </c>
      <c r="L83" s="60">
        <v>27.45</v>
      </c>
      <c r="M83" s="60">
        <v>36.880000000000003</v>
      </c>
      <c r="N83" s="60">
        <v>4.4000000000000004</v>
      </c>
      <c r="O83" s="60">
        <v>0</v>
      </c>
      <c r="P83" s="60">
        <v>1.73</v>
      </c>
      <c r="Q83" s="60">
        <v>24.93</v>
      </c>
      <c r="R83" s="198"/>
      <c r="S83" s="198"/>
      <c r="T83" s="198"/>
      <c r="U83" s="198"/>
    </row>
    <row r="84" spans="1:26" s="12" customFormat="1" x14ac:dyDescent="0.25">
      <c r="A84" s="201" t="s">
        <v>1955</v>
      </c>
      <c r="B84" s="60">
        <v>7.33</v>
      </c>
      <c r="C84" s="60">
        <v>116.41</v>
      </c>
      <c r="D84" s="60">
        <v>70.12</v>
      </c>
      <c r="E84" s="60">
        <v>28.42</v>
      </c>
      <c r="F84" s="60">
        <v>6.45</v>
      </c>
      <c r="G84" s="60">
        <v>92.75</v>
      </c>
      <c r="H84" s="60">
        <v>40.06</v>
      </c>
      <c r="I84" s="60">
        <v>0.65</v>
      </c>
      <c r="J84" s="60">
        <v>0.14000000000000001</v>
      </c>
      <c r="K84" s="60">
        <v>66.45</v>
      </c>
      <c r="L84" s="60">
        <v>27.09</v>
      </c>
      <c r="M84" s="60">
        <v>37.93</v>
      </c>
      <c r="N84" s="60">
        <v>4.7</v>
      </c>
      <c r="O84" s="60">
        <v>0</v>
      </c>
      <c r="P84" s="60">
        <v>2.19</v>
      </c>
      <c r="Q84" s="60">
        <v>25.5</v>
      </c>
      <c r="R84" s="198"/>
      <c r="S84" s="198"/>
      <c r="T84" s="198"/>
      <c r="U84" s="198"/>
    </row>
    <row r="85" spans="1:26" s="12" customFormat="1" x14ac:dyDescent="0.25">
      <c r="A85" s="201" t="s">
        <v>1956</v>
      </c>
      <c r="B85" s="60">
        <v>5.99</v>
      </c>
      <c r="C85" s="60">
        <v>114.43</v>
      </c>
      <c r="D85" s="60">
        <v>67.959999999999994</v>
      </c>
      <c r="E85" s="60">
        <v>33.090000000000003</v>
      </c>
      <c r="F85" s="60">
        <v>5.57</v>
      </c>
      <c r="G85" s="60">
        <v>92.75</v>
      </c>
      <c r="H85" s="60">
        <v>40.06</v>
      </c>
      <c r="I85" s="60">
        <v>0.75</v>
      </c>
      <c r="J85" s="60">
        <v>0.3</v>
      </c>
      <c r="K85" s="60">
        <v>95.84</v>
      </c>
      <c r="L85" s="60">
        <v>26.79</v>
      </c>
      <c r="M85" s="60">
        <v>38.42</v>
      </c>
      <c r="N85" s="60">
        <v>4.3</v>
      </c>
      <c r="O85" s="60">
        <v>0</v>
      </c>
      <c r="P85" s="60">
        <v>1.76</v>
      </c>
      <c r="Q85" s="60">
        <v>26.58</v>
      </c>
      <c r="R85" s="198"/>
      <c r="S85" s="198"/>
      <c r="T85" s="198"/>
      <c r="U85" s="198"/>
    </row>
    <row r="86" spans="1:26" s="12" customFormat="1" x14ac:dyDescent="0.25">
      <c r="A86" s="201" t="s">
        <v>1957</v>
      </c>
      <c r="B86" s="60">
        <v>6.9</v>
      </c>
      <c r="C86" s="60">
        <v>111.12</v>
      </c>
      <c r="D86" s="60">
        <v>66.86</v>
      </c>
      <c r="E86" s="60">
        <v>21.71</v>
      </c>
      <c r="F86" s="60">
        <v>3.93</v>
      </c>
      <c r="G86" s="60">
        <v>104.16</v>
      </c>
      <c r="H86" s="60">
        <v>42.44</v>
      </c>
      <c r="I86" s="60">
        <v>0.93</v>
      </c>
      <c r="J86" s="60">
        <v>0.54</v>
      </c>
      <c r="K86" s="60">
        <v>112.92</v>
      </c>
      <c r="L86" s="60">
        <v>26.63</v>
      </c>
      <c r="M86" s="60">
        <v>38.61</v>
      </c>
      <c r="N86" s="60">
        <v>3.9</v>
      </c>
      <c r="O86" s="60">
        <v>0</v>
      </c>
      <c r="P86" s="60">
        <v>1.81</v>
      </c>
      <c r="Q86" s="60">
        <v>28.09</v>
      </c>
      <c r="R86" s="198"/>
      <c r="S86" s="198"/>
      <c r="T86" s="198"/>
      <c r="U86" s="198"/>
    </row>
    <row r="87" spans="1:26" s="12" customFormat="1" x14ac:dyDescent="0.25">
      <c r="A87" s="201" t="s">
        <v>1958</v>
      </c>
      <c r="B87" s="60">
        <v>5.6</v>
      </c>
      <c r="C87" s="60">
        <v>105.54</v>
      </c>
      <c r="D87" s="60">
        <v>62.74</v>
      </c>
      <c r="E87" s="60">
        <v>9.89</v>
      </c>
      <c r="F87" s="60">
        <v>3.11</v>
      </c>
      <c r="G87" s="60">
        <v>120.5</v>
      </c>
      <c r="H87" s="60">
        <v>45.85</v>
      </c>
      <c r="I87" s="60">
        <v>0.86</v>
      </c>
      <c r="J87" s="60">
        <v>0.28000000000000003</v>
      </c>
      <c r="K87" s="60">
        <v>64.98</v>
      </c>
      <c r="L87" s="60">
        <v>26.33</v>
      </c>
      <c r="M87" s="60">
        <v>39.94</v>
      </c>
      <c r="N87" s="60">
        <v>4.4000000000000004</v>
      </c>
      <c r="O87" s="60">
        <v>0</v>
      </c>
      <c r="P87" s="60">
        <v>1.9</v>
      </c>
      <c r="Q87" s="60">
        <v>30.45</v>
      </c>
      <c r="R87" s="198"/>
      <c r="S87" s="198"/>
      <c r="T87" s="198"/>
      <c r="U87" s="198"/>
    </row>
    <row r="88" spans="1:26" s="12" customFormat="1" x14ac:dyDescent="0.25">
      <c r="A88" s="201" t="s">
        <v>1959</v>
      </c>
      <c r="B88" s="60">
        <v>9.01</v>
      </c>
      <c r="C88" s="60">
        <v>110.9</v>
      </c>
      <c r="D88" s="60">
        <v>68.430000000000007</v>
      </c>
      <c r="E88" s="60">
        <v>5.05</v>
      </c>
      <c r="F88" s="60">
        <v>2.09</v>
      </c>
      <c r="G88" s="60">
        <v>120.5</v>
      </c>
      <c r="H88" s="60">
        <v>45.85</v>
      </c>
      <c r="I88" s="60">
        <v>0.78</v>
      </c>
      <c r="J88" s="60">
        <v>0.28000000000000003</v>
      </c>
      <c r="K88" s="60">
        <v>47.74</v>
      </c>
      <c r="L88" s="60">
        <v>25.75</v>
      </c>
      <c r="M88" s="60">
        <v>42.4</v>
      </c>
      <c r="N88" s="60">
        <v>4.5</v>
      </c>
      <c r="O88" s="60">
        <v>0</v>
      </c>
      <c r="P88" s="60">
        <v>2.2400000000000002</v>
      </c>
      <c r="Q88" s="60">
        <v>32.340000000000003</v>
      </c>
      <c r="R88" s="198"/>
      <c r="S88" s="198"/>
      <c r="T88" s="198"/>
      <c r="U88" s="198"/>
    </row>
    <row r="89" spans="1:26" s="12" customFormat="1" x14ac:dyDescent="0.25">
      <c r="A89" s="201" t="s">
        <v>1960</v>
      </c>
      <c r="B89" s="60">
        <v>12.52</v>
      </c>
      <c r="C89" s="60">
        <v>115.82</v>
      </c>
      <c r="D89" s="60">
        <v>73.95</v>
      </c>
      <c r="E89" s="60">
        <v>7.67</v>
      </c>
      <c r="F89" s="60">
        <v>1.63</v>
      </c>
      <c r="G89" s="60">
        <v>120.5</v>
      </c>
      <c r="H89" s="60">
        <v>45.85</v>
      </c>
      <c r="I89" s="60">
        <v>0.76</v>
      </c>
      <c r="J89" s="60">
        <v>0.31</v>
      </c>
      <c r="K89" s="60">
        <v>24.05</v>
      </c>
      <c r="L89" s="60">
        <v>25.63</v>
      </c>
      <c r="M89" s="60">
        <v>41.35</v>
      </c>
      <c r="N89" s="60">
        <v>4.3</v>
      </c>
      <c r="O89" s="60">
        <v>0</v>
      </c>
      <c r="P89" s="60">
        <v>2.6</v>
      </c>
      <c r="Q89" s="60">
        <v>33.51</v>
      </c>
      <c r="R89" s="198"/>
      <c r="S89" s="198"/>
      <c r="T89" s="198"/>
      <c r="U89" s="198"/>
    </row>
    <row r="90" spans="1:26" s="12" customFormat="1" x14ac:dyDescent="0.25">
      <c r="A90" s="201" t="s">
        <v>1961</v>
      </c>
      <c r="B90" s="60">
        <v>15.95</v>
      </c>
      <c r="C90" s="60">
        <v>121.66</v>
      </c>
      <c r="D90" s="60">
        <v>79.94</v>
      </c>
      <c r="E90" s="60">
        <v>7.95</v>
      </c>
      <c r="F90" s="60">
        <v>1.77</v>
      </c>
      <c r="G90" s="60">
        <v>161.71</v>
      </c>
      <c r="H90" s="60">
        <v>74.56</v>
      </c>
      <c r="I90" s="60">
        <v>0.83</v>
      </c>
      <c r="J90" s="60">
        <v>0.27</v>
      </c>
      <c r="K90" s="60">
        <v>23.03</v>
      </c>
      <c r="L90" s="60">
        <v>25.43</v>
      </c>
      <c r="M90" s="60">
        <v>41.69</v>
      </c>
      <c r="N90" s="60">
        <v>4.4000000000000004</v>
      </c>
      <c r="O90" s="60">
        <v>0</v>
      </c>
      <c r="P90" s="60">
        <v>2.88</v>
      </c>
      <c r="Q90" s="60">
        <v>34.36</v>
      </c>
      <c r="R90" s="198"/>
      <c r="S90" s="198"/>
      <c r="T90" s="198"/>
      <c r="U90" s="198"/>
    </row>
    <row r="91" spans="1:26" s="12" customFormat="1" x14ac:dyDescent="0.25">
      <c r="A91" s="201" t="s">
        <v>1962</v>
      </c>
      <c r="B91" s="60">
        <v>16.86</v>
      </c>
      <c r="C91" s="60">
        <v>122.63</v>
      </c>
      <c r="D91" s="60">
        <v>81.2</v>
      </c>
      <c r="E91" s="60">
        <v>7.07</v>
      </c>
      <c r="F91" s="60">
        <v>1.82</v>
      </c>
      <c r="G91" s="60">
        <v>220.74</v>
      </c>
      <c r="H91" s="60">
        <v>115.7</v>
      </c>
      <c r="I91" s="60">
        <v>1</v>
      </c>
      <c r="J91" s="60">
        <v>0.21</v>
      </c>
      <c r="K91" s="60">
        <v>28.23</v>
      </c>
      <c r="L91" s="60">
        <v>25.21</v>
      </c>
      <c r="M91" s="60">
        <v>41.7</v>
      </c>
      <c r="N91" s="60">
        <v>4.5</v>
      </c>
      <c r="O91" s="60">
        <v>0</v>
      </c>
      <c r="P91" s="60">
        <v>3.04</v>
      </c>
      <c r="Q91" s="60">
        <v>34.909999999999997</v>
      </c>
      <c r="R91" s="198"/>
      <c r="S91" s="198"/>
      <c r="T91" s="198"/>
      <c r="U91" s="198"/>
    </row>
    <row r="92" spans="1:26" s="12" customFormat="1" x14ac:dyDescent="0.25">
      <c r="A92" s="201" t="s">
        <v>1963</v>
      </c>
      <c r="B92" s="60">
        <v>18.72</v>
      </c>
      <c r="C92" s="60">
        <v>130.13999999999999</v>
      </c>
      <c r="D92" s="60">
        <v>86.83</v>
      </c>
      <c r="E92" s="60">
        <v>6.52</v>
      </c>
      <c r="F92" s="60">
        <v>1.78</v>
      </c>
      <c r="G92" s="60">
        <v>220.74</v>
      </c>
      <c r="H92" s="60">
        <v>115.7</v>
      </c>
      <c r="I92" s="60">
        <v>1.1000000000000001</v>
      </c>
      <c r="J92" s="60">
        <v>0.22</v>
      </c>
      <c r="K92" s="60">
        <v>76</v>
      </c>
      <c r="L92" s="60">
        <v>25.33</v>
      </c>
      <c r="M92" s="60">
        <v>40.96</v>
      </c>
      <c r="N92" s="60">
        <v>4.2</v>
      </c>
      <c r="O92" s="60">
        <v>0</v>
      </c>
      <c r="P92" s="60">
        <v>3.14</v>
      </c>
      <c r="Q92" s="60">
        <v>35.200000000000003</v>
      </c>
      <c r="R92" s="198"/>
      <c r="S92" s="198"/>
      <c r="T92" s="198"/>
      <c r="U92" s="198"/>
    </row>
    <row r="93" spans="1:26" s="12" customFormat="1" x14ac:dyDescent="0.25">
      <c r="A93" s="201" t="s">
        <v>1964</v>
      </c>
      <c r="B93" s="60">
        <v>15.67</v>
      </c>
      <c r="C93" s="60">
        <v>137.55000000000001</v>
      </c>
      <c r="D93" s="60">
        <v>88.47</v>
      </c>
      <c r="E93" s="60">
        <v>14.29</v>
      </c>
      <c r="F93" s="60">
        <v>2.5299999999999998</v>
      </c>
      <c r="G93" s="60">
        <v>220.74</v>
      </c>
      <c r="H93" s="60">
        <v>115.7</v>
      </c>
      <c r="I93" s="60">
        <v>1.1599999999999999</v>
      </c>
      <c r="J93" s="60">
        <v>0.1</v>
      </c>
      <c r="K93" s="60">
        <v>129.80000000000001</v>
      </c>
      <c r="L93" s="60">
        <v>25.1</v>
      </c>
      <c r="M93" s="60">
        <v>42.38</v>
      </c>
      <c r="N93" s="60">
        <v>4.5</v>
      </c>
      <c r="O93" s="60">
        <v>0</v>
      </c>
      <c r="P93" s="60">
        <v>3.19</v>
      </c>
      <c r="Q93" s="60">
        <v>34.67</v>
      </c>
      <c r="R93" s="198"/>
      <c r="S93" s="198"/>
      <c r="T93" s="198"/>
      <c r="U93" s="198"/>
    </row>
    <row r="94" spans="1:26" s="12" customFormat="1" x14ac:dyDescent="0.25">
      <c r="A94" s="201" t="s">
        <v>1965</v>
      </c>
      <c r="B94" s="60">
        <v>24.34</v>
      </c>
      <c r="C94" s="60">
        <v>140.91999999999999</v>
      </c>
      <c r="D94" s="60">
        <v>97.29</v>
      </c>
      <c r="E94" s="60">
        <v>11.52</v>
      </c>
      <c r="F94" s="60">
        <v>2.38</v>
      </c>
      <c r="G94" s="60">
        <v>195.99</v>
      </c>
      <c r="H94" s="60">
        <v>96.69</v>
      </c>
      <c r="I94" s="60">
        <v>1.19</v>
      </c>
      <c r="J94" s="60">
        <v>0.06</v>
      </c>
      <c r="K94" s="60">
        <v>336.51</v>
      </c>
      <c r="L94" s="60">
        <v>24.43</v>
      </c>
      <c r="M94" s="60">
        <v>45.69</v>
      </c>
      <c r="N94" s="60">
        <v>4.7</v>
      </c>
      <c r="O94" s="60">
        <v>0</v>
      </c>
      <c r="P94" s="60">
        <v>3.47</v>
      </c>
      <c r="Q94" s="60">
        <v>33.840000000000003</v>
      </c>
      <c r="R94" s="198"/>
      <c r="S94" s="198"/>
      <c r="T94" s="198"/>
      <c r="U94" s="198"/>
    </row>
    <row r="95" spans="1:26" s="12" customFormat="1" x14ac:dyDescent="0.25">
      <c r="A95" s="201" t="s">
        <v>1966</v>
      </c>
      <c r="B95" s="60">
        <v>29.04</v>
      </c>
      <c r="C95" s="60">
        <v>141.41999999999999</v>
      </c>
      <c r="D95" s="60">
        <v>101.33</v>
      </c>
      <c r="E95" s="60">
        <v>12.6</v>
      </c>
      <c r="F95" s="60">
        <v>1.71</v>
      </c>
      <c r="G95" s="60">
        <v>160.55000000000001</v>
      </c>
      <c r="H95" s="60">
        <v>69.459999999999994</v>
      </c>
      <c r="I95" s="60">
        <v>1.23</v>
      </c>
      <c r="J95" s="60">
        <v>0.06</v>
      </c>
      <c r="K95" s="60">
        <v>309.98</v>
      </c>
      <c r="L95" s="60">
        <v>24.01</v>
      </c>
      <c r="M95" s="60">
        <v>47.12</v>
      </c>
      <c r="N95" s="60">
        <v>4.5999999999999996</v>
      </c>
      <c r="O95" s="60">
        <v>0</v>
      </c>
      <c r="P95" s="60">
        <v>3.6</v>
      </c>
      <c r="Q95" s="60">
        <v>33.17</v>
      </c>
      <c r="R95" s="198"/>
      <c r="S95" s="198"/>
      <c r="T95" s="198"/>
      <c r="U95" s="198"/>
    </row>
    <row r="96" spans="1:26" s="12" customFormat="1" x14ac:dyDescent="0.25">
      <c r="A96" s="201" t="s">
        <v>1967</v>
      </c>
      <c r="B96" s="60">
        <v>21.12</v>
      </c>
      <c r="C96" s="60">
        <v>134.86000000000001</v>
      </c>
      <c r="D96" s="60">
        <v>91.37</v>
      </c>
      <c r="E96" s="60">
        <v>8.34</v>
      </c>
      <c r="F96" s="60">
        <v>1.71</v>
      </c>
      <c r="G96" s="60">
        <v>160.55000000000001</v>
      </c>
      <c r="H96" s="60">
        <v>69.459999999999994</v>
      </c>
      <c r="I96" s="60">
        <v>1.31</v>
      </c>
      <c r="J96" s="60">
        <v>0.36</v>
      </c>
      <c r="K96" s="60">
        <v>255.16</v>
      </c>
      <c r="L96" s="60">
        <v>24.13</v>
      </c>
      <c r="M96" s="60">
        <v>46.14</v>
      </c>
      <c r="N96" s="60">
        <v>4</v>
      </c>
      <c r="O96" s="60">
        <v>0</v>
      </c>
      <c r="P96" s="60">
        <v>3.39</v>
      </c>
      <c r="Q96" s="60">
        <v>34.03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1968</v>
      </c>
      <c r="B97" s="60">
        <v>26.14</v>
      </c>
      <c r="C97" s="60">
        <v>133.30000000000001</v>
      </c>
      <c r="D97" s="60">
        <v>94.53</v>
      </c>
      <c r="E97" s="60">
        <v>9.4700000000000006</v>
      </c>
      <c r="F97" s="60">
        <v>2.76</v>
      </c>
      <c r="G97" s="60">
        <v>160.55000000000001</v>
      </c>
      <c r="H97" s="60">
        <v>69.459999999999994</v>
      </c>
      <c r="I97" s="60">
        <v>1.36</v>
      </c>
      <c r="J97" s="60">
        <v>0.11</v>
      </c>
      <c r="K97" s="60">
        <v>301.61</v>
      </c>
      <c r="L97" s="60">
        <v>23.75</v>
      </c>
      <c r="M97" s="60">
        <v>49.08</v>
      </c>
      <c r="N97" s="60">
        <v>4.7</v>
      </c>
      <c r="O97" s="60">
        <v>0</v>
      </c>
      <c r="P97" s="60">
        <v>3.43</v>
      </c>
      <c r="Q97" s="60">
        <v>34.64</v>
      </c>
      <c r="R97" s="198"/>
      <c r="S97" s="198"/>
      <c r="T97" s="198"/>
      <c r="U97" s="198"/>
    </row>
    <row r="98" spans="1:33" s="12" customFormat="1" x14ac:dyDescent="0.25">
      <c r="A98" s="201" t="s">
        <v>1969</v>
      </c>
      <c r="B98" s="60">
        <v>26.67</v>
      </c>
      <c r="C98" s="60">
        <v>132.71</v>
      </c>
      <c r="D98" s="60">
        <v>94.63</v>
      </c>
      <c r="E98" s="60">
        <v>8.83</v>
      </c>
      <c r="F98" s="60">
        <v>1.88</v>
      </c>
      <c r="G98" s="60">
        <v>164.84</v>
      </c>
      <c r="H98" s="60">
        <v>72.069999999999993</v>
      </c>
      <c r="I98" s="60">
        <v>1.31</v>
      </c>
      <c r="J98" s="60">
        <v>0.11</v>
      </c>
      <c r="K98" s="60">
        <v>66.91</v>
      </c>
      <c r="L98" s="60">
        <v>23.17</v>
      </c>
      <c r="M98" s="60">
        <v>52.68</v>
      </c>
      <c r="N98" s="60">
        <v>4.8</v>
      </c>
      <c r="O98" s="60">
        <v>0</v>
      </c>
      <c r="P98" s="60">
        <v>3.48</v>
      </c>
      <c r="Q98" s="60">
        <v>34.64</v>
      </c>
      <c r="R98" s="198"/>
      <c r="S98" s="198"/>
      <c r="T98" s="198"/>
      <c r="U98" s="198"/>
    </row>
    <row r="99" spans="1:33" s="12" customFormat="1" x14ac:dyDescent="0.25">
      <c r="A99" s="201" t="s">
        <v>1970</v>
      </c>
      <c r="B99" s="60">
        <v>31.98</v>
      </c>
      <c r="C99" s="60">
        <v>135.04</v>
      </c>
      <c r="D99" s="60">
        <v>100.17</v>
      </c>
      <c r="E99" s="60">
        <v>8.26</v>
      </c>
      <c r="F99" s="60">
        <v>1.5</v>
      </c>
      <c r="G99" s="60">
        <v>170.98</v>
      </c>
      <c r="H99" s="60">
        <v>75.819999999999993</v>
      </c>
      <c r="I99" s="60">
        <v>1.33</v>
      </c>
      <c r="J99" s="60">
        <v>0.1</v>
      </c>
      <c r="K99" s="60">
        <v>71.78</v>
      </c>
      <c r="L99" s="60">
        <v>23.28</v>
      </c>
      <c r="M99" s="60">
        <v>51.68</v>
      </c>
      <c r="N99" s="60">
        <v>4.2</v>
      </c>
      <c r="O99" s="60">
        <v>0</v>
      </c>
      <c r="P99" s="60">
        <v>3.53</v>
      </c>
      <c r="Q99" s="60">
        <v>35.090000000000003</v>
      </c>
      <c r="R99" s="198"/>
      <c r="S99" s="198"/>
      <c r="T99" s="198"/>
      <c r="U99" s="198"/>
    </row>
    <row r="100" spans="1:33" s="12" customFormat="1" x14ac:dyDescent="0.25">
      <c r="A100" s="201" t="s">
        <v>1971</v>
      </c>
      <c r="B100" s="60">
        <v>32.840000000000003</v>
      </c>
      <c r="C100" s="60">
        <v>131.25</v>
      </c>
      <c r="D100" s="60">
        <v>98.77</v>
      </c>
      <c r="E100" s="60">
        <v>7.52</v>
      </c>
      <c r="F100" s="60">
        <v>1.59</v>
      </c>
      <c r="G100" s="60">
        <v>170.98</v>
      </c>
      <c r="H100" s="60">
        <v>75.819999999999993</v>
      </c>
      <c r="I100" s="60">
        <v>1.35</v>
      </c>
      <c r="J100" s="60">
        <v>0.1</v>
      </c>
      <c r="K100" s="60">
        <v>355.04</v>
      </c>
      <c r="L100" s="60">
        <v>22.82</v>
      </c>
      <c r="M100" s="60">
        <v>54.12</v>
      </c>
      <c r="N100" s="60">
        <v>4.7</v>
      </c>
      <c r="O100" s="60">
        <v>0</v>
      </c>
      <c r="P100" s="60">
        <v>3.54</v>
      </c>
      <c r="Q100" s="60">
        <v>35.880000000000003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1972</v>
      </c>
      <c r="B101" s="60">
        <v>30.73</v>
      </c>
      <c r="C101" s="60">
        <v>127.33</v>
      </c>
      <c r="D101" s="60">
        <v>94.91</v>
      </c>
      <c r="E101" s="60">
        <v>6.31</v>
      </c>
      <c r="F101" s="60">
        <v>1.49</v>
      </c>
      <c r="G101" s="60">
        <v>170.98</v>
      </c>
      <c r="H101" s="60">
        <v>75.819999999999993</v>
      </c>
      <c r="I101" s="60">
        <v>1.4</v>
      </c>
      <c r="J101" s="60">
        <v>0.08</v>
      </c>
      <c r="K101" s="60">
        <v>225.52</v>
      </c>
      <c r="L101" s="60">
        <v>22.6</v>
      </c>
      <c r="M101" s="60">
        <v>54.05</v>
      </c>
      <c r="N101" s="60">
        <v>4.4000000000000004</v>
      </c>
      <c r="O101" s="60">
        <v>0</v>
      </c>
      <c r="P101" s="60">
        <v>3.49</v>
      </c>
      <c r="Q101" s="60">
        <v>37.54</v>
      </c>
      <c r="R101" s="198"/>
      <c r="S101" s="198"/>
      <c r="T101" s="198"/>
      <c r="U101" s="198"/>
    </row>
    <row r="102" spans="1:33" s="12" customFormat="1" x14ac:dyDescent="0.25">
      <c r="A102" s="201" t="s">
        <v>1973</v>
      </c>
      <c r="B102" s="60">
        <v>30.25</v>
      </c>
      <c r="C102" s="60">
        <v>126.39</v>
      </c>
      <c r="D102" s="60">
        <v>94.01</v>
      </c>
      <c r="E102" s="60">
        <v>6.55</v>
      </c>
      <c r="F102" s="60">
        <v>1.4</v>
      </c>
      <c r="G102" s="60">
        <v>173.56</v>
      </c>
      <c r="H102" s="60">
        <v>78.98</v>
      </c>
      <c r="I102" s="60">
        <v>1.4</v>
      </c>
      <c r="J102" s="60">
        <v>0.19</v>
      </c>
      <c r="K102" s="60">
        <v>226.94</v>
      </c>
      <c r="L102" s="60">
        <v>22.66</v>
      </c>
      <c r="M102" s="60">
        <v>54.12</v>
      </c>
      <c r="N102" s="60">
        <v>4.0999999999999996</v>
      </c>
      <c r="O102" s="60">
        <v>0</v>
      </c>
      <c r="P102" s="60">
        <v>3.48</v>
      </c>
      <c r="Q102" s="60">
        <v>37.74</v>
      </c>
      <c r="R102" s="198"/>
      <c r="S102" s="198"/>
      <c r="T102" s="198"/>
      <c r="U102" s="198"/>
    </row>
    <row r="103" spans="1:33" s="12" customFormat="1" x14ac:dyDescent="0.25">
      <c r="A103" s="201" t="s">
        <v>1974</v>
      </c>
      <c r="B103" s="60">
        <v>29.98</v>
      </c>
      <c r="C103" s="60">
        <v>125.75</v>
      </c>
      <c r="D103" s="60">
        <v>93.44</v>
      </c>
      <c r="E103" s="60">
        <v>6.23</v>
      </c>
      <c r="F103" s="60">
        <v>1.4</v>
      </c>
      <c r="G103" s="60">
        <v>177.27</v>
      </c>
      <c r="H103" s="60">
        <v>83.5</v>
      </c>
      <c r="I103" s="60">
        <v>1.38</v>
      </c>
      <c r="J103" s="60">
        <v>0.16</v>
      </c>
      <c r="K103" s="60">
        <v>283.17</v>
      </c>
      <c r="L103" s="60">
        <v>22.71</v>
      </c>
      <c r="M103" s="60">
        <v>56.02</v>
      </c>
      <c r="N103" s="60">
        <v>4.3</v>
      </c>
      <c r="O103" s="60">
        <v>0</v>
      </c>
      <c r="P103" s="60">
        <v>3.46</v>
      </c>
      <c r="Q103" s="60">
        <v>37.43</v>
      </c>
      <c r="R103" s="198"/>
      <c r="S103" s="198"/>
      <c r="T103" s="198"/>
      <c r="U103" s="198"/>
    </row>
    <row r="104" spans="1:33" s="12" customFormat="1" x14ac:dyDescent="0.25">
      <c r="A104" s="201" t="s">
        <v>1975</v>
      </c>
      <c r="B104" s="60">
        <v>30.91</v>
      </c>
      <c r="C104" s="60">
        <v>125.46</v>
      </c>
      <c r="D104" s="60">
        <v>94.03</v>
      </c>
      <c r="E104" s="60">
        <v>3.21</v>
      </c>
      <c r="F104" s="60">
        <v>1.68</v>
      </c>
      <c r="G104" s="60">
        <v>177.27</v>
      </c>
      <c r="H104" s="60">
        <v>83.5</v>
      </c>
      <c r="I104" s="60">
        <v>1.36</v>
      </c>
      <c r="J104" s="60">
        <v>0.2</v>
      </c>
      <c r="K104" s="60">
        <v>21.17</v>
      </c>
      <c r="L104" s="60">
        <v>22.01</v>
      </c>
      <c r="M104" s="60">
        <v>60.8</v>
      </c>
      <c r="N104" s="60">
        <v>4.8</v>
      </c>
      <c r="O104" s="60">
        <v>0</v>
      </c>
      <c r="P104" s="60">
        <v>3.47</v>
      </c>
      <c r="Q104" s="60">
        <v>37.22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0.63</v>
      </c>
      <c r="C106" s="67">
        <f>MIN(C9:C104)</f>
        <v>37.700000000000003</v>
      </c>
      <c r="D106" s="67">
        <f t="shared" ref="D106:Q106" si="0">MIN(D9:D104)</f>
        <v>21.53</v>
      </c>
      <c r="E106" s="67">
        <f t="shared" si="0"/>
        <v>3.21</v>
      </c>
      <c r="F106" s="67">
        <f t="shared" si="0"/>
        <v>1.4</v>
      </c>
      <c r="G106" s="67">
        <f t="shared" si="0"/>
        <v>48.18</v>
      </c>
      <c r="H106" s="67">
        <f t="shared" si="0"/>
        <v>31.69</v>
      </c>
      <c r="I106" s="67">
        <f t="shared" si="0"/>
        <v>0.46</v>
      </c>
      <c r="J106" s="67">
        <f t="shared" si="0"/>
        <v>0.06</v>
      </c>
      <c r="K106" s="67">
        <f t="shared" si="0"/>
        <v>0.22</v>
      </c>
      <c r="L106" s="67">
        <f t="shared" si="0"/>
        <v>19.829999999999998</v>
      </c>
      <c r="M106" s="67">
        <f t="shared" si="0"/>
        <v>23.05</v>
      </c>
      <c r="N106" s="67">
        <f t="shared" si="0"/>
        <v>3.6</v>
      </c>
      <c r="O106" s="67">
        <f t="shared" si="0"/>
        <v>0</v>
      </c>
      <c r="P106" s="67">
        <f t="shared" si="0"/>
        <v>0.55000000000000004</v>
      </c>
      <c r="Q106" s="67">
        <f t="shared" si="0"/>
        <v>13.74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32.840000000000003</v>
      </c>
      <c r="C107" s="66">
        <f t="shared" ref="C107:Q107" si="1">MAX(C9:C104)</f>
        <v>141.41999999999999</v>
      </c>
      <c r="D107" s="66">
        <f t="shared" si="1"/>
        <v>101.33</v>
      </c>
      <c r="E107" s="66">
        <f t="shared" si="1"/>
        <v>33.090000000000003</v>
      </c>
      <c r="F107" s="66">
        <f t="shared" si="1"/>
        <v>40.57</v>
      </c>
      <c r="G107" s="66">
        <f t="shared" si="1"/>
        <v>220.74</v>
      </c>
      <c r="H107" s="66">
        <f t="shared" si="1"/>
        <v>115.7</v>
      </c>
      <c r="I107" s="66">
        <f t="shared" si="1"/>
        <v>1.4</v>
      </c>
      <c r="J107" s="66">
        <f t="shared" si="1"/>
        <v>1.6</v>
      </c>
      <c r="K107" s="66">
        <f t="shared" si="1"/>
        <v>355.04</v>
      </c>
      <c r="L107" s="66">
        <f t="shared" si="1"/>
        <v>33.700000000000003</v>
      </c>
      <c r="M107" s="66">
        <f t="shared" si="1"/>
        <v>60.8</v>
      </c>
      <c r="N107" s="66">
        <f t="shared" si="1"/>
        <v>557.6</v>
      </c>
      <c r="O107" s="66">
        <f t="shared" si="1"/>
        <v>0</v>
      </c>
      <c r="P107" s="66">
        <f t="shared" si="1"/>
        <v>3.6</v>
      </c>
      <c r="Q107" s="66">
        <f t="shared" si="1"/>
        <v>37.74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9.2724999999999991</v>
      </c>
      <c r="C108" s="67">
        <f t="shared" ref="C108:Q108" si="2">AVERAGE(C9:C104)</f>
        <v>94.28197916666663</v>
      </c>
      <c r="D108" s="67">
        <f t="shared" si="2"/>
        <v>59.468124999999986</v>
      </c>
      <c r="E108" s="67">
        <f t="shared" si="2"/>
        <v>10.0759375</v>
      </c>
      <c r="F108" s="67">
        <f t="shared" si="2"/>
        <v>8.326666666666668</v>
      </c>
      <c r="G108" s="67">
        <f t="shared" si="2"/>
        <v>104.40999999999997</v>
      </c>
      <c r="H108" s="67">
        <f t="shared" si="2"/>
        <v>53.610312499999971</v>
      </c>
      <c r="I108" s="67">
        <f t="shared" si="2"/>
        <v>0.75187500000000007</v>
      </c>
      <c r="J108" s="67">
        <f t="shared" si="2"/>
        <v>0.57385416666666667</v>
      </c>
      <c r="K108" s="67">
        <f t="shared" si="2"/>
        <v>89.331145833333323</v>
      </c>
      <c r="L108" s="67">
        <f t="shared" si="2"/>
        <v>25.611458333333342</v>
      </c>
      <c r="M108" s="67">
        <f t="shared" si="2"/>
        <v>41.839062499999997</v>
      </c>
      <c r="N108" s="67">
        <f t="shared" si="2"/>
        <v>152.85208333333335</v>
      </c>
      <c r="O108" s="67">
        <f t="shared" si="2"/>
        <v>0</v>
      </c>
      <c r="P108" s="67">
        <f t="shared" si="2"/>
        <v>1.680625</v>
      </c>
      <c r="Q108" s="67">
        <f t="shared" si="2"/>
        <v>26.864479166666666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10.322047124582665</v>
      </c>
      <c r="C109" s="67">
        <f t="shared" ref="C109:Q109" si="3">STDEV(C9:C104)</f>
        <v>27.163308558258283</v>
      </c>
      <c r="D109" s="67">
        <f t="shared" si="3"/>
        <v>22.255039373139795</v>
      </c>
      <c r="E109" s="67">
        <f t="shared" si="3"/>
        <v>5.324287069275341</v>
      </c>
      <c r="F109" s="67">
        <f t="shared" si="3"/>
        <v>9.4391621691832519</v>
      </c>
      <c r="G109" s="67">
        <f t="shared" si="3"/>
        <v>43.460820662196312</v>
      </c>
      <c r="H109" s="67">
        <f t="shared" si="3"/>
        <v>18.850706112874125</v>
      </c>
      <c r="I109" s="67">
        <f t="shared" si="3"/>
        <v>0.25834824518365429</v>
      </c>
      <c r="J109" s="67">
        <f t="shared" si="3"/>
        <v>0.34969270657977364</v>
      </c>
      <c r="K109" s="67">
        <f t="shared" si="3"/>
        <v>77.014976231486344</v>
      </c>
      <c r="L109" s="67">
        <f t="shared" si="3"/>
        <v>4.4604396713108025</v>
      </c>
      <c r="M109" s="67">
        <f t="shared" si="3"/>
        <v>11.230753836827798</v>
      </c>
      <c r="N109" s="67">
        <f t="shared" si="3"/>
        <v>205.77685562619402</v>
      </c>
      <c r="O109" s="67">
        <f t="shared" si="3"/>
        <v>0</v>
      </c>
      <c r="P109" s="67">
        <f t="shared" si="3"/>
        <v>0.88701843866196839</v>
      </c>
      <c r="Q109" s="67">
        <f t="shared" si="3"/>
        <v>6.4480647230968513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215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01" sqref="H10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19-02-2023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340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1976</v>
      </c>
      <c r="B9" s="60">
        <v>34.03</v>
      </c>
      <c r="C9" s="60">
        <v>126.76</v>
      </c>
      <c r="D9" s="60">
        <v>97.25</v>
      </c>
      <c r="E9" s="60">
        <v>5.25</v>
      </c>
      <c r="F9" s="60">
        <v>1.64</v>
      </c>
      <c r="G9" s="60">
        <v>177.27</v>
      </c>
      <c r="H9" s="60">
        <v>83.5</v>
      </c>
      <c r="I9" s="60">
        <v>1.35</v>
      </c>
      <c r="J9" s="60">
        <v>0.14000000000000001</v>
      </c>
      <c r="K9" s="60">
        <v>27.93</v>
      </c>
      <c r="L9" s="60">
        <v>21.64</v>
      </c>
      <c r="M9" s="60">
        <v>62.76</v>
      </c>
      <c r="N9" s="60">
        <v>4.7</v>
      </c>
      <c r="O9" s="60">
        <v>0</v>
      </c>
      <c r="P9" s="60">
        <v>3.53</v>
      </c>
      <c r="Q9" s="60">
        <v>36.979999999999997</v>
      </c>
      <c r="R9" s="198"/>
      <c r="S9" s="198"/>
      <c r="T9" s="198"/>
      <c r="U9" s="198"/>
    </row>
    <row r="10" spans="1:21" s="12" customFormat="1" x14ac:dyDescent="0.25">
      <c r="A10" s="201" t="s">
        <v>1977</v>
      </c>
      <c r="B10" s="60">
        <v>37.409999999999997</v>
      </c>
      <c r="C10" s="60">
        <v>128.35</v>
      </c>
      <c r="D10" s="60">
        <v>100.84</v>
      </c>
      <c r="E10" s="60">
        <v>5.56</v>
      </c>
      <c r="F10" s="60">
        <v>1.4</v>
      </c>
      <c r="G10" s="60">
        <v>177.27</v>
      </c>
      <c r="H10" s="60">
        <v>96.48</v>
      </c>
      <c r="I10" s="60">
        <v>1.33</v>
      </c>
      <c r="J10" s="60">
        <v>0.12</v>
      </c>
      <c r="K10" s="60">
        <v>16.61</v>
      </c>
      <c r="L10" s="60">
        <v>21.31</v>
      </c>
      <c r="M10" s="60">
        <v>63.08</v>
      </c>
      <c r="N10" s="60">
        <v>4.5999999999999996</v>
      </c>
      <c r="O10" s="60">
        <v>0</v>
      </c>
      <c r="P10" s="60">
        <v>3.58</v>
      </c>
      <c r="Q10" s="60">
        <v>36.880000000000003</v>
      </c>
      <c r="R10" s="198"/>
      <c r="S10" s="198"/>
      <c r="T10" s="198"/>
      <c r="U10" s="198"/>
    </row>
    <row r="11" spans="1:21" s="12" customFormat="1" x14ac:dyDescent="0.25">
      <c r="A11" s="201" t="s">
        <v>1978</v>
      </c>
      <c r="B11" s="60">
        <v>40.119999999999997</v>
      </c>
      <c r="C11" s="60">
        <v>129.91</v>
      </c>
      <c r="D11" s="60">
        <v>103.87</v>
      </c>
      <c r="E11" s="60">
        <v>5.32</v>
      </c>
      <c r="F11" s="60">
        <v>1.4</v>
      </c>
      <c r="G11" s="60">
        <v>275.93</v>
      </c>
      <c r="H11" s="60">
        <v>115.07</v>
      </c>
      <c r="I11" s="60">
        <v>1.34</v>
      </c>
      <c r="J11" s="60">
        <v>0.13</v>
      </c>
      <c r="K11" s="60">
        <v>79.36</v>
      </c>
      <c r="L11" s="60">
        <v>21.41</v>
      </c>
      <c r="M11" s="60">
        <v>64.61</v>
      </c>
      <c r="N11" s="60">
        <v>4.3</v>
      </c>
      <c r="O11" s="60">
        <v>0</v>
      </c>
      <c r="P11" s="60">
        <v>3.62</v>
      </c>
      <c r="Q11" s="60">
        <v>36.450000000000003</v>
      </c>
      <c r="R11" s="198"/>
      <c r="S11" s="198"/>
      <c r="T11" s="198"/>
      <c r="U11" s="198"/>
    </row>
    <row r="12" spans="1:21" s="12" customFormat="1" x14ac:dyDescent="0.25">
      <c r="A12" s="201" t="s">
        <v>1979</v>
      </c>
      <c r="B12" s="60">
        <v>43.72</v>
      </c>
      <c r="C12" s="60">
        <v>131.22</v>
      </c>
      <c r="D12" s="60">
        <v>107.48</v>
      </c>
      <c r="E12" s="60">
        <v>5.47</v>
      </c>
      <c r="F12" s="60">
        <v>1.4</v>
      </c>
      <c r="G12" s="60">
        <v>275.93</v>
      </c>
      <c r="H12" s="60">
        <v>115.07</v>
      </c>
      <c r="I12" s="60">
        <v>1.33</v>
      </c>
      <c r="J12" s="60">
        <v>0.08</v>
      </c>
      <c r="K12" s="60">
        <v>142.56</v>
      </c>
      <c r="L12" s="60">
        <v>21.28</v>
      </c>
      <c r="M12" s="60">
        <v>64.44</v>
      </c>
      <c r="N12" s="60">
        <v>4.5999999999999996</v>
      </c>
      <c r="O12" s="60">
        <v>0</v>
      </c>
      <c r="P12" s="60">
        <v>3.65</v>
      </c>
      <c r="Q12" s="60">
        <v>35.67</v>
      </c>
      <c r="R12" s="198"/>
      <c r="S12" s="198"/>
      <c r="T12" s="198"/>
      <c r="U12" s="198"/>
    </row>
    <row r="13" spans="1:21" s="12" customFormat="1" x14ac:dyDescent="0.25">
      <c r="A13" s="201" t="s">
        <v>1980</v>
      </c>
      <c r="B13" s="60">
        <v>42.06</v>
      </c>
      <c r="C13" s="60">
        <v>127.76</v>
      </c>
      <c r="D13" s="60">
        <v>104.24</v>
      </c>
      <c r="E13" s="60">
        <v>5.22</v>
      </c>
      <c r="F13" s="60">
        <v>1.4</v>
      </c>
      <c r="G13" s="60">
        <v>275.93</v>
      </c>
      <c r="H13" s="60">
        <v>115.07</v>
      </c>
      <c r="I13" s="60">
        <v>1.34</v>
      </c>
      <c r="J13" s="60">
        <v>0.21</v>
      </c>
      <c r="K13" s="60">
        <v>239.92</v>
      </c>
      <c r="L13" s="60">
        <v>21.5</v>
      </c>
      <c r="M13" s="60">
        <v>63.4</v>
      </c>
      <c r="N13" s="60">
        <v>3.8</v>
      </c>
      <c r="O13" s="60">
        <v>0</v>
      </c>
      <c r="P13" s="60">
        <v>3.33</v>
      </c>
      <c r="Q13" s="60">
        <v>35.53</v>
      </c>
      <c r="R13" s="198"/>
      <c r="S13" s="198"/>
      <c r="T13" s="198"/>
      <c r="U13" s="198"/>
    </row>
    <row r="14" spans="1:21" s="12" customFormat="1" x14ac:dyDescent="0.25">
      <c r="A14" s="201" t="s">
        <v>1981</v>
      </c>
      <c r="B14" s="60">
        <v>39.380000000000003</v>
      </c>
      <c r="C14" s="60">
        <v>126.21</v>
      </c>
      <c r="D14" s="60">
        <v>101.23</v>
      </c>
      <c r="E14" s="60">
        <v>5.51</v>
      </c>
      <c r="F14" s="60">
        <v>1.4</v>
      </c>
      <c r="G14" s="60">
        <v>249.45</v>
      </c>
      <c r="H14" s="60">
        <v>115.9</v>
      </c>
      <c r="I14" s="60">
        <v>1.35</v>
      </c>
      <c r="J14" s="60">
        <v>0.11</v>
      </c>
      <c r="K14" s="60">
        <v>85.42</v>
      </c>
      <c r="L14" s="60">
        <v>21.6</v>
      </c>
      <c r="M14" s="60">
        <v>62.25</v>
      </c>
      <c r="N14" s="60">
        <v>4.4000000000000004</v>
      </c>
      <c r="O14" s="60">
        <v>0</v>
      </c>
      <c r="P14" s="60">
        <v>3.48</v>
      </c>
      <c r="Q14" s="60">
        <v>35.44</v>
      </c>
      <c r="R14" s="198"/>
      <c r="S14" s="198"/>
      <c r="T14" s="198"/>
      <c r="U14" s="198"/>
    </row>
    <row r="15" spans="1:21" s="12" customFormat="1" x14ac:dyDescent="0.25">
      <c r="A15" s="201" t="s">
        <v>1982</v>
      </c>
      <c r="B15" s="60">
        <v>39.22</v>
      </c>
      <c r="C15" s="60">
        <v>122.56</v>
      </c>
      <c r="D15" s="60">
        <v>99.09</v>
      </c>
      <c r="E15" s="60">
        <v>5.97</v>
      </c>
      <c r="F15" s="60">
        <v>1.46</v>
      </c>
      <c r="G15" s="60">
        <v>249.45</v>
      </c>
      <c r="H15" s="60">
        <v>117.09</v>
      </c>
      <c r="I15" s="60">
        <v>1.35</v>
      </c>
      <c r="J15" s="60">
        <v>0.34</v>
      </c>
      <c r="K15" s="60">
        <v>104.6</v>
      </c>
      <c r="L15" s="60">
        <v>22.59</v>
      </c>
      <c r="M15" s="60">
        <v>53.74</v>
      </c>
      <c r="N15" s="60">
        <v>3.2</v>
      </c>
      <c r="O15" s="60">
        <v>0</v>
      </c>
      <c r="P15" s="60">
        <v>3.43</v>
      </c>
      <c r="Q15" s="60">
        <v>35.29</v>
      </c>
      <c r="R15" s="198"/>
      <c r="S15" s="198"/>
      <c r="T15" s="198"/>
      <c r="U15" s="198"/>
    </row>
    <row r="16" spans="1:21" s="12" customFormat="1" x14ac:dyDescent="0.25">
      <c r="A16" s="201" t="s">
        <v>1983</v>
      </c>
      <c r="B16" s="60">
        <v>37.17</v>
      </c>
      <c r="C16" s="60">
        <v>120.27</v>
      </c>
      <c r="D16" s="60">
        <v>96.18</v>
      </c>
      <c r="E16" s="60">
        <v>6.2</v>
      </c>
      <c r="F16" s="60">
        <v>2.0499999999999998</v>
      </c>
      <c r="G16" s="60">
        <v>249.45</v>
      </c>
      <c r="H16" s="60">
        <v>117.09</v>
      </c>
      <c r="I16" s="60">
        <v>1.35</v>
      </c>
      <c r="J16" s="60">
        <v>0.06</v>
      </c>
      <c r="K16" s="60">
        <v>313.31</v>
      </c>
      <c r="L16" s="60">
        <v>21.67</v>
      </c>
      <c r="M16" s="60">
        <v>59.23</v>
      </c>
      <c r="N16" s="60">
        <v>4.8</v>
      </c>
      <c r="O16" s="60">
        <v>0</v>
      </c>
      <c r="P16" s="60">
        <v>3.36</v>
      </c>
      <c r="Q16" s="60">
        <v>35.450000000000003</v>
      </c>
      <c r="R16" s="198"/>
      <c r="S16" s="198"/>
      <c r="T16" s="198"/>
      <c r="U16" s="198"/>
    </row>
    <row r="17" spans="1:21" s="12" customFormat="1" x14ac:dyDescent="0.25">
      <c r="A17" s="201" t="s">
        <v>1984</v>
      </c>
      <c r="B17" s="60">
        <v>37.56</v>
      </c>
      <c r="C17" s="60">
        <v>119.04</v>
      </c>
      <c r="D17" s="60">
        <v>95.81</v>
      </c>
      <c r="E17" s="60">
        <v>5.48</v>
      </c>
      <c r="F17" s="60">
        <v>1.96</v>
      </c>
      <c r="G17" s="60">
        <v>249.45</v>
      </c>
      <c r="H17" s="60">
        <v>117.09</v>
      </c>
      <c r="I17" s="60">
        <v>1.36</v>
      </c>
      <c r="J17" s="60">
        <v>0.14000000000000001</v>
      </c>
      <c r="K17" s="60">
        <v>355.66</v>
      </c>
      <c r="L17" s="60">
        <v>21.06</v>
      </c>
      <c r="M17" s="60">
        <v>63.35</v>
      </c>
      <c r="N17" s="60">
        <v>4.7</v>
      </c>
      <c r="O17" s="60">
        <v>0</v>
      </c>
      <c r="P17" s="60">
        <v>3.3</v>
      </c>
      <c r="Q17" s="60">
        <v>35.590000000000003</v>
      </c>
      <c r="R17" s="198"/>
      <c r="S17" s="198"/>
      <c r="T17" s="198"/>
      <c r="U17" s="198"/>
    </row>
    <row r="18" spans="1:21" s="12" customFormat="1" x14ac:dyDescent="0.25">
      <c r="A18" s="201" t="s">
        <v>1985</v>
      </c>
      <c r="B18" s="60">
        <v>37.659999999999997</v>
      </c>
      <c r="C18" s="60">
        <v>117.95</v>
      </c>
      <c r="D18" s="60">
        <v>95.3</v>
      </c>
      <c r="E18" s="60">
        <v>4.9800000000000004</v>
      </c>
      <c r="F18" s="60">
        <v>1.72</v>
      </c>
      <c r="G18" s="60">
        <v>225.88</v>
      </c>
      <c r="H18" s="60">
        <v>105.03</v>
      </c>
      <c r="I18" s="60">
        <v>1.34</v>
      </c>
      <c r="J18" s="60">
        <v>0.09</v>
      </c>
      <c r="K18" s="60">
        <v>85.38</v>
      </c>
      <c r="L18" s="60">
        <v>20.62</v>
      </c>
      <c r="M18" s="60">
        <v>68.14</v>
      </c>
      <c r="N18" s="60">
        <v>4.5999999999999996</v>
      </c>
      <c r="O18" s="60">
        <v>0</v>
      </c>
      <c r="P18" s="60">
        <v>3.26</v>
      </c>
      <c r="Q18" s="60">
        <v>35.46</v>
      </c>
      <c r="R18" s="198"/>
      <c r="S18" s="198"/>
      <c r="T18" s="198"/>
      <c r="U18" s="198"/>
    </row>
    <row r="19" spans="1:21" s="12" customFormat="1" x14ac:dyDescent="0.25">
      <c r="A19" s="201" t="s">
        <v>1986</v>
      </c>
      <c r="B19" s="60">
        <v>35.29</v>
      </c>
      <c r="C19" s="60">
        <v>115.58</v>
      </c>
      <c r="D19" s="60">
        <v>92.09</v>
      </c>
      <c r="E19" s="60">
        <v>5</v>
      </c>
      <c r="F19" s="60">
        <v>1.58</v>
      </c>
      <c r="G19" s="60">
        <v>192.12</v>
      </c>
      <c r="H19" s="60">
        <v>87.75</v>
      </c>
      <c r="I19" s="60">
        <v>1.32</v>
      </c>
      <c r="J19" s="60">
        <v>0.09</v>
      </c>
      <c r="K19" s="60">
        <v>190.62</v>
      </c>
      <c r="L19" s="60">
        <v>20.99</v>
      </c>
      <c r="M19" s="60">
        <v>64.41</v>
      </c>
      <c r="N19" s="60">
        <v>4.3</v>
      </c>
      <c r="O19" s="60">
        <v>0</v>
      </c>
      <c r="P19" s="60">
        <v>3.21</v>
      </c>
      <c r="Q19" s="60">
        <v>36.049999999999997</v>
      </c>
      <c r="R19" s="198"/>
      <c r="S19" s="198"/>
      <c r="T19" s="198"/>
      <c r="U19" s="198"/>
    </row>
    <row r="20" spans="1:21" s="12" customFormat="1" x14ac:dyDescent="0.25">
      <c r="A20" s="201" t="s">
        <v>1987</v>
      </c>
      <c r="B20" s="60">
        <v>36.380000000000003</v>
      </c>
      <c r="C20" s="60">
        <v>114.86</v>
      </c>
      <c r="D20" s="60">
        <v>92.56</v>
      </c>
      <c r="E20" s="60">
        <v>4.82</v>
      </c>
      <c r="F20" s="60">
        <v>1.47</v>
      </c>
      <c r="G20" s="60">
        <v>192.12</v>
      </c>
      <c r="H20" s="60">
        <v>87.75</v>
      </c>
      <c r="I20" s="60">
        <v>1.31</v>
      </c>
      <c r="J20" s="60">
        <v>0.04</v>
      </c>
      <c r="K20" s="60">
        <v>347.18</v>
      </c>
      <c r="L20" s="60">
        <v>20.52</v>
      </c>
      <c r="M20" s="60">
        <v>67.400000000000006</v>
      </c>
      <c r="N20" s="60">
        <v>4.7</v>
      </c>
      <c r="O20" s="60">
        <v>0</v>
      </c>
      <c r="P20" s="60">
        <v>3.15</v>
      </c>
      <c r="Q20" s="60">
        <v>36.39</v>
      </c>
      <c r="R20" s="198"/>
      <c r="S20" s="198"/>
      <c r="T20" s="198"/>
      <c r="U20" s="198"/>
    </row>
    <row r="21" spans="1:21" s="12" customFormat="1" x14ac:dyDescent="0.25">
      <c r="A21" s="201" t="s">
        <v>1988</v>
      </c>
      <c r="B21" s="60">
        <v>35.6</v>
      </c>
      <c r="C21" s="60">
        <v>113.96</v>
      </c>
      <c r="D21" s="60">
        <v>91.44</v>
      </c>
      <c r="E21" s="60">
        <v>4.76</v>
      </c>
      <c r="F21" s="60">
        <v>1.4</v>
      </c>
      <c r="G21" s="60">
        <v>192.12</v>
      </c>
      <c r="H21" s="60">
        <v>87.75</v>
      </c>
      <c r="I21" s="60">
        <v>1.31</v>
      </c>
      <c r="J21" s="60">
        <v>7.0000000000000007E-2</v>
      </c>
      <c r="K21" s="60">
        <v>340.76</v>
      </c>
      <c r="L21" s="60">
        <v>20.309999999999999</v>
      </c>
      <c r="M21" s="60">
        <v>67.48</v>
      </c>
      <c r="N21" s="60">
        <v>4.5999999999999996</v>
      </c>
      <c r="O21" s="60">
        <v>0</v>
      </c>
      <c r="P21" s="60">
        <v>3.08</v>
      </c>
      <c r="Q21" s="60">
        <v>36.01</v>
      </c>
      <c r="R21" s="198"/>
      <c r="S21" s="198"/>
      <c r="T21" s="198"/>
      <c r="U21" s="198"/>
    </row>
    <row r="22" spans="1:21" s="12" customFormat="1" x14ac:dyDescent="0.25">
      <c r="A22" s="201" t="s">
        <v>1989</v>
      </c>
      <c r="B22" s="60">
        <v>34.799999999999997</v>
      </c>
      <c r="C22" s="60">
        <v>113.05</v>
      </c>
      <c r="D22" s="60">
        <v>90.29</v>
      </c>
      <c r="E22" s="60">
        <v>4.6399999999999997</v>
      </c>
      <c r="F22" s="60">
        <v>1.4</v>
      </c>
      <c r="G22" s="60">
        <v>191.45</v>
      </c>
      <c r="H22" s="60">
        <v>94.21</v>
      </c>
      <c r="I22" s="60">
        <v>1.29</v>
      </c>
      <c r="J22" s="60">
        <v>0.06</v>
      </c>
      <c r="K22" s="60">
        <v>319.89</v>
      </c>
      <c r="L22" s="60">
        <v>20.23</v>
      </c>
      <c r="M22" s="60">
        <v>68.650000000000006</v>
      </c>
      <c r="N22" s="60">
        <v>4.5</v>
      </c>
      <c r="O22" s="60">
        <v>0</v>
      </c>
      <c r="P22" s="60">
        <v>3.01</v>
      </c>
      <c r="Q22" s="60">
        <v>35.619999999999997</v>
      </c>
      <c r="R22" s="198"/>
      <c r="S22" s="198"/>
      <c r="T22" s="198"/>
      <c r="U22" s="198"/>
    </row>
    <row r="23" spans="1:21" s="12" customFormat="1" x14ac:dyDescent="0.25">
      <c r="A23" s="201" t="s">
        <v>1990</v>
      </c>
      <c r="B23" s="60">
        <v>33.96</v>
      </c>
      <c r="C23" s="60">
        <v>112.15</v>
      </c>
      <c r="D23" s="60">
        <v>89.13</v>
      </c>
      <c r="E23" s="60">
        <v>4.87</v>
      </c>
      <c r="F23" s="60">
        <v>1.4</v>
      </c>
      <c r="G23" s="60">
        <v>190.48</v>
      </c>
      <c r="H23" s="60">
        <v>103.46</v>
      </c>
      <c r="I23" s="60">
        <v>1.18</v>
      </c>
      <c r="J23" s="60">
        <v>0.1</v>
      </c>
      <c r="K23" s="60">
        <v>275.89</v>
      </c>
      <c r="L23" s="60">
        <v>20.21</v>
      </c>
      <c r="M23" s="60">
        <v>70.14</v>
      </c>
      <c r="N23" s="60">
        <v>4.5999999999999996</v>
      </c>
      <c r="O23" s="60">
        <v>0</v>
      </c>
      <c r="P23" s="60">
        <v>2.95</v>
      </c>
      <c r="Q23" s="60">
        <v>35.1</v>
      </c>
      <c r="R23" s="198"/>
      <c r="S23" s="198"/>
      <c r="T23" s="198"/>
      <c r="U23" s="198"/>
    </row>
    <row r="24" spans="1:21" s="12" customFormat="1" x14ac:dyDescent="0.25">
      <c r="A24" s="201" t="s">
        <v>1991</v>
      </c>
      <c r="B24" s="60">
        <v>33.21</v>
      </c>
      <c r="C24" s="60">
        <v>110.83</v>
      </c>
      <c r="D24" s="60">
        <v>87.8</v>
      </c>
      <c r="E24" s="60">
        <v>3.45</v>
      </c>
      <c r="F24" s="60">
        <v>1.56</v>
      </c>
      <c r="G24" s="60">
        <v>190.48</v>
      </c>
      <c r="H24" s="60">
        <v>103.46</v>
      </c>
      <c r="I24" s="60">
        <v>1.1399999999999999</v>
      </c>
      <c r="J24" s="60">
        <v>0.1</v>
      </c>
      <c r="K24" s="60">
        <v>280.64999999999998</v>
      </c>
      <c r="L24" s="60">
        <v>20.07</v>
      </c>
      <c r="M24" s="60">
        <v>70.44</v>
      </c>
      <c r="N24" s="60">
        <v>4.5</v>
      </c>
      <c r="O24" s="60">
        <v>0</v>
      </c>
      <c r="P24" s="60">
        <v>2.89</v>
      </c>
      <c r="Q24" s="60">
        <v>34.880000000000003</v>
      </c>
      <c r="R24" s="198"/>
      <c r="S24" s="198"/>
      <c r="T24" s="198"/>
      <c r="U24" s="198"/>
    </row>
    <row r="25" spans="1:21" s="12" customFormat="1" x14ac:dyDescent="0.25">
      <c r="A25" s="201" t="s">
        <v>1992</v>
      </c>
      <c r="B25" s="60">
        <v>32.31</v>
      </c>
      <c r="C25" s="60">
        <v>109.8</v>
      </c>
      <c r="D25" s="60">
        <v>86.51</v>
      </c>
      <c r="E25" s="60">
        <v>5.65</v>
      </c>
      <c r="F25" s="60">
        <v>1.69</v>
      </c>
      <c r="G25" s="60">
        <v>190.48</v>
      </c>
      <c r="H25" s="60">
        <v>103.46</v>
      </c>
      <c r="I25" s="60">
        <v>1.1399999999999999</v>
      </c>
      <c r="J25" s="60">
        <v>0.11</v>
      </c>
      <c r="K25" s="60">
        <v>9.36</v>
      </c>
      <c r="L25" s="60">
        <v>19.850000000000001</v>
      </c>
      <c r="M25" s="60">
        <v>72.010000000000005</v>
      </c>
      <c r="N25" s="60">
        <v>4.5999999999999996</v>
      </c>
      <c r="O25" s="60">
        <v>0</v>
      </c>
      <c r="P25" s="60">
        <v>2.83</v>
      </c>
      <c r="Q25" s="60">
        <v>34.51</v>
      </c>
      <c r="R25" s="198"/>
      <c r="S25" s="198"/>
      <c r="T25" s="198"/>
      <c r="U25" s="198"/>
    </row>
    <row r="26" spans="1:21" s="12" customFormat="1" x14ac:dyDescent="0.25">
      <c r="A26" s="201" t="s">
        <v>1993</v>
      </c>
      <c r="B26" s="60">
        <v>31.32</v>
      </c>
      <c r="C26" s="60">
        <v>108.57</v>
      </c>
      <c r="D26" s="60">
        <v>85.04</v>
      </c>
      <c r="E26" s="60">
        <v>5.13</v>
      </c>
      <c r="F26" s="60">
        <v>1.43</v>
      </c>
      <c r="G26" s="60">
        <v>186.38</v>
      </c>
      <c r="H26" s="60">
        <v>97.28</v>
      </c>
      <c r="I26" s="60">
        <v>1.1100000000000001</v>
      </c>
      <c r="J26" s="60">
        <v>0.1</v>
      </c>
      <c r="K26" s="60">
        <v>75.8</v>
      </c>
      <c r="L26" s="60">
        <v>19.88</v>
      </c>
      <c r="M26" s="60">
        <v>70.27</v>
      </c>
      <c r="N26" s="60">
        <v>4.3</v>
      </c>
      <c r="O26" s="60">
        <v>0</v>
      </c>
      <c r="P26" s="60">
        <v>2.77</v>
      </c>
      <c r="Q26" s="60">
        <v>33.65</v>
      </c>
      <c r="R26" s="198"/>
      <c r="S26" s="198"/>
      <c r="T26" s="198"/>
      <c r="U26" s="198"/>
    </row>
    <row r="27" spans="1:21" s="12" customFormat="1" x14ac:dyDescent="0.25">
      <c r="A27" s="201" t="s">
        <v>1994</v>
      </c>
      <c r="B27" s="60">
        <v>31.87</v>
      </c>
      <c r="C27" s="60">
        <v>107.6</v>
      </c>
      <c r="D27" s="60">
        <v>84.94</v>
      </c>
      <c r="E27" s="60">
        <v>5.17</v>
      </c>
      <c r="F27" s="60">
        <v>1.4</v>
      </c>
      <c r="G27" s="60">
        <v>180.51</v>
      </c>
      <c r="H27" s="60">
        <v>88.45</v>
      </c>
      <c r="I27" s="60">
        <v>1.1000000000000001</v>
      </c>
      <c r="J27" s="60">
        <v>0.13</v>
      </c>
      <c r="K27" s="60">
        <v>356.08</v>
      </c>
      <c r="L27" s="60">
        <v>19.850000000000001</v>
      </c>
      <c r="M27" s="60">
        <v>70.83</v>
      </c>
      <c r="N27" s="60">
        <v>4.5</v>
      </c>
      <c r="O27" s="60">
        <v>0</v>
      </c>
      <c r="P27" s="60">
        <v>2.75</v>
      </c>
      <c r="Q27" s="60">
        <v>33.29</v>
      </c>
      <c r="R27" s="198"/>
      <c r="S27" s="198"/>
      <c r="T27" s="198"/>
      <c r="U27" s="198"/>
    </row>
    <row r="28" spans="1:21" s="12" customFormat="1" x14ac:dyDescent="0.25">
      <c r="A28" s="201" t="s">
        <v>1995</v>
      </c>
      <c r="B28" s="60">
        <v>32.299999999999997</v>
      </c>
      <c r="C28" s="60">
        <v>106.68</v>
      </c>
      <c r="D28" s="60">
        <v>84.77</v>
      </c>
      <c r="E28" s="60">
        <v>5.28</v>
      </c>
      <c r="F28" s="60">
        <v>1.4</v>
      </c>
      <c r="G28" s="60">
        <v>180.51</v>
      </c>
      <c r="H28" s="60">
        <v>88.45</v>
      </c>
      <c r="I28" s="60">
        <v>1.0900000000000001</v>
      </c>
      <c r="J28" s="60">
        <v>0.03</v>
      </c>
      <c r="K28" s="60">
        <v>92.88</v>
      </c>
      <c r="L28" s="60">
        <v>19.55</v>
      </c>
      <c r="M28" s="60">
        <v>72.66</v>
      </c>
      <c r="N28" s="60">
        <v>4.5999999999999996</v>
      </c>
      <c r="O28" s="60">
        <v>0</v>
      </c>
      <c r="P28" s="60">
        <v>2.72</v>
      </c>
      <c r="Q28" s="60">
        <v>33.119999999999997</v>
      </c>
      <c r="R28" s="198"/>
      <c r="S28" s="198"/>
      <c r="T28" s="198"/>
      <c r="U28" s="198"/>
    </row>
    <row r="29" spans="1:21" s="12" customFormat="1" x14ac:dyDescent="0.25">
      <c r="A29" s="201" t="s">
        <v>1996</v>
      </c>
      <c r="B29" s="60">
        <v>32.94</v>
      </c>
      <c r="C29" s="60">
        <v>106.18</v>
      </c>
      <c r="D29" s="60">
        <v>85.01</v>
      </c>
      <c r="E29" s="60">
        <v>4.7300000000000004</v>
      </c>
      <c r="F29" s="60">
        <v>1.4</v>
      </c>
      <c r="G29" s="60">
        <v>180.51</v>
      </c>
      <c r="H29" s="60">
        <v>88.45</v>
      </c>
      <c r="I29" s="60">
        <v>1.0900000000000001</v>
      </c>
      <c r="J29" s="60">
        <v>7.0000000000000007E-2</v>
      </c>
      <c r="K29" s="60">
        <v>3.51</v>
      </c>
      <c r="L29" s="60">
        <v>19.62</v>
      </c>
      <c r="M29" s="60">
        <v>73.569999999999993</v>
      </c>
      <c r="N29" s="60">
        <v>4.5999999999999996</v>
      </c>
      <c r="O29" s="60">
        <v>0</v>
      </c>
      <c r="P29" s="60">
        <v>2.68</v>
      </c>
      <c r="Q29" s="60">
        <v>33.11</v>
      </c>
      <c r="R29" s="198"/>
      <c r="S29" s="198"/>
      <c r="T29" s="198"/>
      <c r="U29" s="198"/>
    </row>
    <row r="30" spans="1:21" s="12" customFormat="1" x14ac:dyDescent="0.25">
      <c r="A30" s="201" t="s">
        <v>1997</v>
      </c>
      <c r="B30" s="60">
        <v>34.31</v>
      </c>
      <c r="C30" s="60">
        <v>105.9</v>
      </c>
      <c r="D30" s="60">
        <v>85.96</v>
      </c>
      <c r="E30" s="60">
        <v>5.45</v>
      </c>
      <c r="F30" s="60">
        <v>1.4</v>
      </c>
      <c r="G30" s="60">
        <v>196.12</v>
      </c>
      <c r="H30" s="60">
        <v>94.31</v>
      </c>
      <c r="I30" s="60">
        <v>1.0900000000000001</v>
      </c>
      <c r="J30" s="60">
        <v>0.02</v>
      </c>
      <c r="K30" s="60">
        <v>3.7</v>
      </c>
      <c r="L30" s="60">
        <v>19.57</v>
      </c>
      <c r="M30" s="60">
        <v>73.28</v>
      </c>
      <c r="N30" s="60">
        <v>4.5999999999999996</v>
      </c>
      <c r="O30" s="60">
        <v>0</v>
      </c>
      <c r="P30" s="60">
        <v>2.65</v>
      </c>
      <c r="Q30" s="60">
        <v>33.32</v>
      </c>
      <c r="R30" s="198"/>
      <c r="S30" s="198"/>
      <c r="T30" s="198"/>
      <c r="U30" s="198"/>
    </row>
    <row r="31" spans="1:21" s="12" customFormat="1" x14ac:dyDescent="0.25">
      <c r="A31" s="201" t="s">
        <v>1998</v>
      </c>
      <c r="B31" s="60">
        <v>34.82</v>
      </c>
      <c r="C31" s="60">
        <v>105.31</v>
      </c>
      <c r="D31" s="60">
        <v>86.04</v>
      </c>
      <c r="E31" s="60">
        <v>5.0999999999999996</v>
      </c>
      <c r="F31" s="60">
        <v>1.4</v>
      </c>
      <c r="G31" s="60">
        <v>218.47</v>
      </c>
      <c r="H31" s="60">
        <v>102.71</v>
      </c>
      <c r="I31" s="60">
        <v>1.0900000000000001</v>
      </c>
      <c r="J31" s="60">
        <v>0.1</v>
      </c>
      <c r="K31" s="60">
        <v>27.84</v>
      </c>
      <c r="L31" s="60">
        <v>19.690000000000001</v>
      </c>
      <c r="M31" s="60">
        <v>70.28</v>
      </c>
      <c r="N31" s="60">
        <v>4.5</v>
      </c>
      <c r="O31" s="60">
        <v>0</v>
      </c>
      <c r="P31" s="60">
        <v>2.65</v>
      </c>
      <c r="Q31" s="60">
        <v>33.19</v>
      </c>
      <c r="R31" s="198"/>
      <c r="S31" s="198"/>
      <c r="T31" s="198"/>
      <c r="U31" s="198"/>
    </row>
    <row r="32" spans="1:21" s="12" customFormat="1" x14ac:dyDescent="0.25">
      <c r="A32" s="201" t="s">
        <v>1999</v>
      </c>
      <c r="B32" s="60">
        <v>35.96</v>
      </c>
      <c r="C32" s="60">
        <v>105.02</v>
      </c>
      <c r="D32" s="60">
        <v>86.79</v>
      </c>
      <c r="E32" s="60">
        <v>5.3</v>
      </c>
      <c r="F32" s="60">
        <v>1.49</v>
      </c>
      <c r="G32" s="60">
        <v>218.47</v>
      </c>
      <c r="H32" s="60">
        <v>102.71</v>
      </c>
      <c r="I32" s="60">
        <v>1.08</v>
      </c>
      <c r="J32" s="60">
        <v>0.03</v>
      </c>
      <c r="K32" s="60">
        <v>159.32</v>
      </c>
      <c r="L32" s="60">
        <v>19.75</v>
      </c>
      <c r="M32" s="60">
        <v>69.06</v>
      </c>
      <c r="N32" s="60">
        <v>4.5</v>
      </c>
      <c r="O32" s="60">
        <v>0</v>
      </c>
      <c r="P32" s="60">
        <v>2.64</v>
      </c>
      <c r="Q32" s="60">
        <v>33.270000000000003</v>
      </c>
      <c r="R32" s="198"/>
      <c r="S32" s="198"/>
      <c r="T32" s="198"/>
      <c r="U32" s="198"/>
    </row>
    <row r="33" spans="1:21" s="12" customFormat="1" x14ac:dyDescent="0.25">
      <c r="A33" s="201" t="s">
        <v>2000</v>
      </c>
      <c r="B33" s="60">
        <v>37.1</v>
      </c>
      <c r="C33" s="60">
        <v>106.1</v>
      </c>
      <c r="D33" s="60">
        <v>88.31</v>
      </c>
      <c r="E33" s="60">
        <v>5.58</v>
      </c>
      <c r="F33" s="60">
        <v>1.47</v>
      </c>
      <c r="G33" s="60">
        <v>218.47</v>
      </c>
      <c r="H33" s="60">
        <v>102.71</v>
      </c>
      <c r="I33" s="60">
        <v>1.07</v>
      </c>
      <c r="J33" s="60">
        <v>0.04</v>
      </c>
      <c r="K33" s="60">
        <v>249.41</v>
      </c>
      <c r="L33" s="60">
        <v>19.899999999999999</v>
      </c>
      <c r="M33" s="60">
        <v>68.36</v>
      </c>
      <c r="N33" s="60">
        <v>4.4000000000000004</v>
      </c>
      <c r="O33" s="60">
        <v>0</v>
      </c>
      <c r="P33" s="60">
        <v>2.63</v>
      </c>
      <c r="Q33" s="60">
        <v>33.799999999999997</v>
      </c>
      <c r="R33" s="198"/>
      <c r="S33" s="198"/>
      <c r="T33" s="198"/>
      <c r="U33" s="198"/>
    </row>
    <row r="34" spans="1:21" s="12" customFormat="1" x14ac:dyDescent="0.25">
      <c r="A34" s="201" t="s">
        <v>2001</v>
      </c>
      <c r="B34" s="60">
        <v>37.61</v>
      </c>
      <c r="C34" s="60">
        <v>106.1</v>
      </c>
      <c r="D34" s="60">
        <v>88.71</v>
      </c>
      <c r="E34" s="60">
        <v>5.57</v>
      </c>
      <c r="F34" s="60">
        <v>1.42</v>
      </c>
      <c r="G34" s="60">
        <v>218.47</v>
      </c>
      <c r="H34" s="60">
        <v>114.48</v>
      </c>
      <c r="I34" s="60">
        <v>1.06</v>
      </c>
      <c r="J34" s="60">
        <v>0.09</v>
      </c>
      <c r="K34" s="60">
        <v>273.7</v>
      </c>
      <c r="L34" s="60">
        <v>19.91</v>
      </c>
      <c r="M34" s="60">
        <v>69.040000000000006</v>
      </c>
      <c r="N34" s="60">
        <v>6.1</v>
      </c>
      <c r="O34" s="60">
        <v>0</v>
      </c>
      <c r="P34" s="60">
        <v>2.63</v>
      </c>
      <c r="Q34" s="60">
        <v>34.53</v>
      </c>
      <c r="R34" s="198"/>
      <c r="S34" s="198"/>
      <c r="T34" s="198"/>
      <c r="U34" s="198"/>
    </row>
    <row r="35" spans="1:21" s="12" customFormat="1" x14ac:dyDescent="0.25">
      <c r="A35" s="201" t="s">
        <v>2002</v>
      </c>
      <c r="B35" s="60">
        <v>39.15</v>
      </c>
      <c r="C35" s="60">
        <v>107.09</v>
      </c>
      <c r="D35" s="60">
        <v>90.5</v>
      </c>
      <c r="E35" s="60">
        <v>5.53</v>
      </c>
      <c r="F35" s="60">
        <v>1.69</v>
      </c>
      <c r="G35" s="60">
        <v>264.94</v>
      </c>
      <c r="H35" s="60">
        <v>131.33000000000001</v>
      </c>
      <c r="I35" s="60">
        <v>1.05</v>
      </c>
      <c r="J35" s="60">
        <v>0.14000000000000001</v>
      </c>
      <c r="K35" s="60">
        <v>98.15</v>
      </c>
      <c r="L35" s="60">
        <v>20.03</v>
      </c>
      <c r="M35" s="60">
        <v>68.08</v>
      </c>
      <c r="N35" s="60">
        <v>12.2</v>
      </c>
      <c r="O35" s="60">
        <v>0</v>
      </c>
      <c r="P35" s="60">
        <v>2.63</v>
      </c>
      <c r="Q35" s="60">
        <v>34.57</v>
      </c>
      <c r="R35" s="198"/>
      <c r="S35" s="198"/>
      <c r="T35" s="198"/>
      <c r="U35" s="198"/>
    </row>
    <row r="36" spans="1:21" s="12" customFormat="1" x14ac:dyDescent="0.25">
      <c r="A36" s="201" t="s">
        <v>2003</v>
      </c>
      <c r="B36" s="60">
        <v>42.17</v>
      </c>
      <c r="C36" s="60">
        <v>109.86</v>
      </c>
      <c r="D36" s="60">
        <v>94.44</v>
      </c>
      <c r="E36" s="60">
        <v>5.76</v>
      </c>
      <c r="F36" s="60">
        <v>1.46</v>
      </c>
      <c r="G36" s="60">
        <v>264.94</v>
      </c>
      <c r="H36" s="60">
        <v>131.33000000000001</v>
      </c>
      <c r="I36" s="60">
        <v>1.04</v>
      </c>
      <c r="J36" s="60">
        <v>0.4</v>
      </c>
      <c r="K36" s="60">
        <v>115.27</v>
      </c>
      <c r="L36" s="60">
        <v>20.53</v>
      </c>
      <c r="M36" s="60">
        <v>65.650000000000006</v>
      </c>
      <c r="N36" s="60">
        <v>23.8</v>
      </c>
      <c r="O36" s="60">
        <v>0</v>
      </c>
      <c r="P36" s="60">
        <v>2.64</v>
      </c>
      <c r="Q36" s="60">
        <v>34.58</v>
      </c>
      <c r="R36" s="198"/>
      <c r="S36" s="198"/>
      <c r="T36" s="198"/>
      <c r="U36" s="198"/>
    </row>
    <row r="37" spans="1:21" s="12" customFormat="1" x14ac:dyDescent="0.25">
      <c r="A37" s="201" t="s">
        <v>2004</v>
      </c>
      <c r="B37" s="60">
        <v>43.26</v>
      </c>
      <c r="C37" s="60">
        <v>111.28</v>
      </c>
      <c r="D37" s="60">
        <v>96.1</v>
      </c>
      <c r="E37" s="60">
        <v>5.71</v>
      </c>
      <c r="F37" s="60">
        <v>1.4</v>
      </c>
      <c r="G37" s="60">
        <v>264.94</v>
      </c>
      <c r="H37" s="60">
        <v>131.33000000000001</v>
      </c>
      <c r="I37" s="60">
        <v>1.01</v>
      </c>
      <c r="J37" s="60">
        <v>0.22</v>
      </c>
      <c r="K37" s="60">
        <v>86.6</v>
      </c>
      <c r="L37" s="60">
        <v>20.84</v>
      </c>
      <c r="M37" s="60">
        <v>64.06</v>
      </c>
      <c r="N37" s="60">
        <v>45</v>
      </c>
      <c r="O37" s="60">
        <v>0</v>
      </c>
      <c r="P37" s="60">
        <v>2.52</v>
      </c>
      <c r="Q37" s="60">
        <v>34.549999999999997</v>
      </c>
      <c r="R37" s="198"/>
      <c r="S37" s="198"/>
      <c r="T37" s="198"/>
      <c r="U37" s="198"/>
    </row>
    <row r="38" spans="1:21" s="12" customFormat="1" x14ac:dyDescent="0.25">
      <c r="A38" s="201" t="s">
        <v>2005</v>
      </c>
      <c r="B38" s="60">
        <v>41.47</v>
      </c>
      <c r="C38" s="60">
        <v>111.27</v>
      </c>
      <c r="D38" s="60">
        <v>94.66</v>
      </c>
      <c r="E38" s="60">
        <v>6.07</v>
      </c>
      <c r="F38" s="60">
        <v>1.42</v>
      </c>
      <c r="G38" s="60">
        <v>270.54000000000002</v>
      </c>
      <c r="H38" s="60">
        <v>129.81</v>
      </c>
      <c r="I38" s="60">
        <v>0.99</v>
      </c>
      <c r="J38" s="60">
        <v>0.27</v>
      </c>
      <c r="K38" s="60">
        <v>85.82</v>
      </c>
      <c r="L38" s="60">
        <v>21.49</v>
      </c>
      <c r="M38" s="60">
        <v>61.32</v>
      </c>
      <c r="N38" s="60">
        <v>77.400000000000006</v>
      </c>
      <c r="O38" s="60">
        <v>0</v>
      </c>
      <c r="P38" s="60">
        <v>2.56</v>
      </c>
      <c r="Q38" s="60">
        <v>34.020000000000003</v>
      </c>
      <c r="R38" s="198"/>
      <c r="S38" s="198"/>
      <c r="T38" s="198"/>
      <c r="U38" s="198"/>
    </row>
    <row r="39" spans="1:21" s="12" customFormat="1" x14ac:dyDescent="0.25">
      <c r="A39" s="201" t="s">
        <v>2006</v>
      </c>
      <c r="B39" s="60">
        <v>39.04</v>
      </c>
      <c r="C39" s="60">
        <v>111.12</v>
      </c>
      <c r="D39" s="60">
        <v>92.63</v>
      </c>
      <c r="E39" s="60">
        <v>6.14</v>
      </c>
      <c r="F39" s="60">
        <v>1.44</v>
      </c>
      <c r="G39" s="60">
        <v>278.55</v>
      </c>
      <c r="H39" s="60">
        <v>127.62</v>
      </c>
      <c r="I39" s="60">
        <v>0.96</v>
      </c>
      <c r="J39" s="60">
        <v>0.57999999999999996</v>
      </c>
      <c r="K39" s="60">
        <v>114.96</v>
      </c>
      <c r="L39" s="60">
        <v>22.12</v>
      </c>
      <c r="M39" s="60">
        <v>58.37</v>
      </c>
      <c r="N39" s="60">
        <v>114.4</v>
      </c>
      <c r="O39" s="60">
        <v>0</v>
      </c>
      <c r="P39" s="60">
        <v>2.5099999999999998</v>
      </c>
      <c r="Q39" s="60">
        <v>33.479999999999997</v>
      </c>
      <c r="R39" s="198"/>
      <c r="S39" s="198"/>
      <c r="T39" s="198"/>
      <c r="U39" s="198"/>
    </row>
    <row r="40" spans="1:21" s="12" customFormat="1" x14ac:dyDescent="0.25">
      <c r="A40" s="201" t="s">
        <v>2007</v>
      </c>
      <c r="B40" s="60">
        <v>35.08</v>
      </c>
      <c r="C40" s="60">
        <v>109.88</v>
      </c>
      <c r="D40" s="60">
        <v>88.77</v>
      </c>
      <c r="E40" s="60">
        <v>2.4300000000000002</v>
      </c>
      <c r="F40" s="60">
        <v>1.59</v>
      </c>
      <c r="G40" s="60">
        <v>278.55</v>
      </c>
      <c r="H40" s="60">
        <v>127.62</v>
      </c>
      <c r="I40" s="60">
        <v>0.94</v>
      </c>
      <c r="J40" s="60">
        <v>0.65</v>
      </c>
      <c r="K40" s="60">
        <v>105.14</v>
      </c>
      <c r="L40" s="60">
        <v>22.78</v>
      </c>
      <c r="M40" s="60">
        <v>56.31</v>
      </c>
      <c r="N40" s="60">
        <v>151.5</v>
      </c>
      <c r="O40" s="60">
        <v>0</v>
      </c>
      <c r="P40" s="60">
        <v>2.46</v>
      </c>
      <c r="Q40" s="60">
        <v>33.130000000000003</v>
      </c>
      <c r="R40" s="198"/>
      <c r="S40" s="198"/>
      <c r="T40" s="198"/>
      <c r="U40" s="198"/>
    </row>
    <row r="41" spans="1:21" s="12" customFormat="1" x14ac:dyDescent="0.25">
      <c r="A41" s="201" t="s">
        <v>2008</v>
      </c>
      <c r="B41" s="60">
        <v>33.67</v>
      </c>
      <c r="C41" s="60">
        <v>109.25</v>
      </c>
      <c r="D41" s="60">
        <v>87.29</v>
      </c>
      <c r="E41" s="60">
        <v>5.13</v>
      </c>
      <c r="F41" s="60">
        <v>1.49</v>
      </c>
      <c r="G41" s="60">
        <v>278.55</v>
      </c>
      <c r="H41" s="60">
        <v>127.62</v>
      </c>
      <c r="I41" s="60">
        <v>0.92</v>
      </c>
      <c r="J41" s="60">
        <v>0.56000000000000005</v>
      </c>
      <c r="K41" s="60">
        <v>108.36</v>
      </c>
      <c r="L41" s="60">
        <v>23.58</v>
      </c>
      <c r="M41" s="60">
        <v>54.65</v>
      </c>
      <c r="N41" s="60">
        <v>192.3</v>
      </c>
      <c r="O41" s="60">
        <v>0</v>
      </c>
      <c r="P41" s="60">
        <v>2.42</v>
      </c>
      <c r="Q41" s="60">
        <v>32.79</v>
      </c>
      <c r="R41" s="198"/>
      <c r="S41" s="198"/>
      <c r="T41" s="198"/>
      <c r="U41" s="198"/>
    </row>
    <row r="42" spans="1:21" s="12" customFormat="1" x14ac:dyDescent="0.25">
      <c r="A42" s="201" t="s">
        <v>2009</v>
      </c>
      <c r="B42" s="60">
        <v>32.35</v>
      </c>
      <c r="C42" s="60">
        <v>108.98</v>
      </c>
      <c r="D42" s="60">
        <v>86.09</v>
      </c>
      <c r="E42" s="60">
        <v>5.48</v>
      </c>
      <c r="F42" s="60">
        <v>1.57</v>
      </c>
      <c r="G42" s="60">
        <v>143.82</v>
      </c>
      <c r="H42" s="60">
        <v>113.03</v>
      </c>
      <c r="I42" s="60">
        <v>0.9</v>
      </c>
      <c r="J42" s="60">
        <v>0.8</v>
      </c>
      <c r="K42" s="60">
        <v>114.82</v>
      </c>
      <c r="L42" s="60">
        <v>24.34</v>
      </c>
      <c r="M42" s="60">
        <v>52.34</v>
      </c>
      <c r="N42" s="60">
        <v>238.1</v>
      </c>
      <c r="O42" s="60">
        <v>0</v>
      </c>
      <c r="P42" s="60">
        <v>2.39</v>
      </c>
      <c r="Q42" s="60">
        <v>32.68</v>
      </c>
      <c r="R42" s="198"/>
      <c r="S42" s="198"/>
      <c r="T42" s="198"/>
      <c r="U42" s="198"/>
    </row>
    <row r="43" spans="1:21" s="12" customFormat="1" x14ac:dyDescent="0.25">
      <c r="A43" s="201" t="s">
        <v>2010</v>
      </c>
      <c r="B43" s="60">
        <v>30.57</v>
      </c>
      <c r="C43" s="60">
        <v>108.26</v>
      </c>
      <c r="D43" s="60">
        <v>84.26</v>
      </c>
      <c r="E43" s="60">
        <v>5.3</v>
      </c>
      <c r="F43" s="60">
        <v>1.43</v>
      </c>
      <c r="G43" s="60">
        <v>143.82</v>
      </c>
      <c r="H43" s="60">
        <v>92.11</v>
      </c>
      <c r="I43" s="60">
        <v>0.9</v>
      </c>
      <c r="J43" s="60">
        <v>1.03</v>
      </c>
      <c r="K43" s="60">
        <v>112.47</v>
      </c>
      <c r="L43" s="60">
        <v>24.55</v>
      </c>
      <c r="M43" s="60">
        <v>50.55</v>
      </c>
      <c r="N43" s="60">
        <v>283.8</v>
      </c>
      <c r="O43" s="60">
        <v>0</v>
      </c>
      <c r="P43" s="60">
        <v>2.34</v>
      </c>
      <c r="Q43" s="60">
        <v>32.770000000000003</v>
      </c>
      <c r="R43" s="198"/>
      <c r="S43" s="198"/>
      <c r="T43" s="198"/>
      <c r="U43" s="198"/>
    </row>
    <row r="44" spans="1:21" s="12" customFormat="1" x14ac:dyDescent="0.25">
      <c r="A44" s="201" t="s">
        <v>2011</v>
      </c>
      <c r="B44" s="60">
        <v>28.36</v>
      </c>
      <c r="C44" s="60">
        <v>107.32</v>
      </c>
      <c r="D44" s="60">
        <v>81.97</v>
      </c>
      <c r="E44" s="60">
        <v>5.39</v>
      </c>
      <c r="F44" s="60">
        <v>1.63</v>
      </c>
      <c r="G44" s="60">
        <v>143.82</v>
      </c>
      <c r="H44" s="60">
        <v>92.11</v>
      </c>
      <c r="I44" s="60">
        <v>0.9</v>
      </c>
      <c r="J44" s="60">
        <v>0.28999999999999998</v>
      </c>
      <c r="K44" s="60">
        <v>84.24</v>
      </c>
      <c r="L44" s="60">
        <v>26.31</v>
      </c>
      <c r="M44" s="60">
        <v>46.28</v>
      </c>
      <c r="N44" s="60">
        <v>317.8</v>
      </c>
      <c r="O44" s="60">
        <v>0</v>
      </c>
      <c r="P44" s="60">
        <v>2.2799999999999998</v>
      </c>
      <c r="Q44" s="60">
        <v>32.85</v>
      </c>
      <c r="R44" s="198"/>
      <c r="S44" s="198"/>
      <c r="T44" s="198"/>
      <c r="U44" s="198"/>
    </row>
    <row r="45" spans="1:21" s="12" customFormat="1" x14ac:dyDescent="0.25">
      <c r="A45" s="201" t="s">
        <v>2012</v>
      </c>
      <c r="B45" s="60">
        <v>25.94</v>
      </c>
      <c r="C45" s="60">
        <v>105.66</v>
      </c>
      <c r="D45" s="60">
        <v>79.11</v>
      </c>
      <c r="E45" s="60">
        <v>5.49</v>
      </c>
      <c r="F45" s="60">
        <v>2.52</v>
      </c>
      <c r="G45" s="60">
        <v>143.82</v>
      </c>
      <c r="H45" s="60">
        <v>92.11</v>
      </c>
      <c r="I45" s="60">
        <v>0.89</v>
      </c>
      <c r="J45" s="60">
        <v>0.35</v>
      </c>
      <c r="K45" s="60">
        <v>127.07</v>
      </c>
      <c r="L45" s="60">
        <v>27.15</v>
      </c>
      <c r="M45" s="60">
        <v>44.57</v>
      </c>
      <c r="N45" s="60">
        <v>374.2</v>
      </c>
      <c r="O45" s="60">
        <v>0</v>
      </c>
      <c r="P45" s="60">
        <v>2.2200000000000002</v>
      </c>
      <c r="Q45" s="60">
        <v>32.96</v>
      </c>
      <c r="R45" s="198"/>
      <c r="S45" s="198"/>
      <c r="T45" s="198"/>
      <c r="U45" s="198"/>
    </row>
    <row r="46" spans="1:21" s="12" customFormat="1" x14ac:dyDescent="0.25">
      <c r="A46" s="201" t="s">
        <v>2013</v>
      </c>
      <c r="B46" s="60">
        <v>22.78</v>
      </c>
      <c r="C46" s="60">
        <v>102.44</v>
      </c>
      <c r="D46" s="60">
        <v>74.8</v>
      </c>
      <c r="E46" s="60">
        <v>6.06</v>
      </c>
      <c r="F46" s="60">
        <v>3.36</v>
      </c>
      <c r="G46" s="60">
        <v>128.57</v>
      </c>
      <c r="H46" s="60">
        <v>83.28</v>
      </c>
      <c r="I46" s="60">
        <v>0.88</v>
      </c>
      <c r="J46" s="60">
        <v>0.24</v>
      </c>
      <c r="K46" s="60">
        <v>103.59</v>
      </c>
      <c r="L46" s="60">
        <v>28.15</v>
      </c>
      <c r="M46" s="60">
        <v>41.88</v>
      </c>
      <c r="N46" s="60">
        <v>431.1</v>
      </c>
      <c r="O46" s="60">
        <v>0</v>
      </c>
      <c r="P46" s="60">
        <v>2.16</v>
      </c>
      <c r="Q46" s="60">
        <v>33.07</v>
      </c>
      <c r="R46" s="198"/>
      <c r="S46" s="198"/>
      <c r="T46" s="198"/>
      <c r="U46" s="198"/>
    </row>
    <row r="47" spans="1:21" s="12" customFormat="1" x14ac:dyDescent="0.25">
      <c r="A47" s="201" t="s">
        <v>2014</v>
      </c>
      <c r="B47" s="60">
        <v>22.08</v>
      </c>
      <c r="C47" s="60">
        <v>105.96</v>
      </c>
      <c r="D47" s="60">
        <v>76.180000000000007</v>
      </c>
      <c r="E47" s="60">
        <v>5.83</v>
      </c>
      <c r="F47" s="60">
        <v>2.78</v>
      </c>
      <c r="G47" s="60">
        <v>106.72</v>
      </c>
      <c r="H47" s="60">
        <v>70.63</v>
      </c>
      <c r="I47" s="60">
        <v>0.86</v>
      </c>
      <c r="J47" s="60">
        <v>0.64</v>
      </c>
      <c r="K47" s="60">
        <v>99.71</v>
      </c>
      <c r="L47" s="60">
        <v>28.2</v>
      </c>
      <c r="M47" s="60">
        <v>41.64</v>
      </c>
      <c r="N47" s="60">
        <v>474.6</v>
      </c>
      <c r="O47" s="60">
        <v>0</v>
      </c>
      <c r="P47" s="60">
        <v>2.12</v>
      </c>
      <c r="Q47" s="60">
        <v>33.299999999999997</v>
      </c>
      <c r="R47" s="198"/>
      <c r="S47" s="198"/>
      <c r="T47" s="198"/>
      <c r="U47" s="198"/>
    </row>
    <row r="48" spans="1:21" s="12" customFormat="1" x14ac:dyDescent="0.25">
      <c r="A48" s="201" t="s">
        <v>2015</v>
      </c>
      <c r="B48" s="60">
        <v>20.440000000000001</v>
      </c>
      <c r="C48" s="60">
        <v>107.09</v>
      </c>
      <c r="D48" s="60">
        <v>75.489999999999995</v>
      </c>
      <c r="E48" s="60">
        <v>5.39</v>
      </c>
      <c r="F48" s="60">
        <v>2.0099999999999998</v>
      </c>
      <c r="G48" s="60">
        <v>106.72</v>
      </c>
      <c r="H48" s="60">
        <v>70.63</v>
      </c>
      <c r="I48" s="60">
        <v>0.86</v>
      </c>
      <c r="J48" s="60">
        <v>0.28999999999999998</v>
      </c>
      <c r="K48" s="60">
        <v>129.88999999999999</v>
      </c>
      <c r="L48" s="60">
        <v>29.03</v>
      </c>
      <c r="M48" s="60">
        <v>38.92</v>
      </c>
      <c r="N48" s="60">
        <v>502.5</v>
      </c>
      <c r="O48" s="60">
        <v>0</v>
      </c>
      <c r="P48" s="60">
        <v>2.0699999999999998</v>
      </c>
      <c r="Q48" s="60">
        <v>34.06</v>
      </c>
      <c r="R48" s="198"/>
      <c r="S48" s="198"/>
      <c r="T48" s="198"/>
      <c r="U48" s="198"/>
    </row>
    <row r="49" spans="1:21" s="12" customFormat="1" x14ac:dyDescent="0.25">
      <c r="A49" s="201" t="s">
        <v>2016</v>
      </c>
      <c r="B49" s="60">
        <v>16.62</v>
      </c>
      <c r="C49" s="60">
        <v>106.8</v>
      </c>
      <c r="D49" s="60">
        <v>72.27</v>
      </c>
      <c r="E49" s="60">
        <v>5.43</v>
      </c>
      <c r="F49" s="60">
        <v>2.21</v>
      </c>
      <c r="G49" s="60">
        <v>106.72</v>
      </c>
      <c r="H49" s="60">
        <v>70.63</v>
      </c>
      <c r="I49" s="60">
        <v>0.86</v>
      </c>
      <c r="J49" s="60">
        <v>0.43</v>
      </c>
      <c r="K49" s="60">
        <v>162.15</v>
      </c>
      <c r="L49" s="60">
        <v>29.34</v>
      </c>
      <c r="M49" s="60">
        <v>37.97</v>
      </c>
      <c r="N49" s="60">
        <v>514.5</v>
      </c>
      <c r="O49" s="60">
        <v>0</v>
      </c>
      <c r="P49" s="60">
        <v>1.96</v>
      </c>
      <c r="Q49" s="60">
        <v>33.979999999999997</v>
      </c>
      <c r="R49" s="198"/>
      <c r="S49" s="198"/>
      <c r="T49" s="198"/>
      <c r="U49" s="198"/>
    </row>
    <row r="50" spans="1:21" s="12" customFormat="1" x14ac:dyDescent="0.25">
      <c r="A50" s="201" t="s">
        <v>2017</v>
      </c>
      <c r="B50" s="60">
        <v>12.87</v>
      </c>
      <c r="C50" s="60">
        <v>107.3</v>
      </c>
      <c r="D50" s="60">
        <v>69.540000000000006</v>
      </c>
      <c r="E50" s="60">
        <v>5.09</v>
      </c>
      <c r="F50" s="60">
        <v>2.0299999999999998</v>
      </c>
      <c r="G50" s="60">
        <v>94.29</v>
      </c>
      <c r="H50" s="60">
        <v>59.47</v>
      </c>
      <c r="I50" s="60">
        <v>0.85</v>
      </c>
      <c r="J50" s="60">
        <v>0.53</v>
      </c>
      <c r="K50" s="60">
        <v>156.13</v>
      </c>
      <c r="L50" s="60">
        <v>29.66</v>
      </c>
      <c r="M50" s="60">
        <v>37.42</v>
      </c>
      <c r="N50" s="60">
        <v>511.7</v>
      </c>
      <c r="O50" s="60">
        <v>0</v>
      </c>
      <c r="P50" s="60">
        <v>1.86</v>
      </c>
      <c r="Q50" s="60">
        <v>33.380000000000003</v>
      </c>
      <c r="R50" s="198"/>
      <c r="S50" s="198"/>
      <c r="T50" s="198"/>
      <c r="U50" s="198"/>
    </row>
    <row r="51" spans="1:21" s="12" customFormat="1" x14ac:dyDescent="0.25">
      <c r="A51" s="201" t="s">
        <v>2018</v>
      </c>
      <c r="B51" s="60">
        <v>9.8699999999999992</v>
      </c>
      <c r="C51" s="60">
        <v>107.64</v>
      </c>
      <c r="D51" s="60">
        <v>67.319999999999993</v>
      </c>
      <c r="E51" s="60">
        <v>5.09</v>
      </c>
      <c r="F51" s="60">
        <v>2.09</v>
      </c>
      <c r="G51" s="60">
        <v>76.48</v>
      </c>
      <c r="H51" s="60">
        <v>43.48</v>
      </c>
      <c r="I51" s="60">
        <v>0.82</v>
      </c>
      <c r="J51" s="60">
        <v>0.33</v>
      </c>
      <c r="K51" s="60">
        <v>174.18</v>
      </c>
      <c r="L51" s="60">
        <v>30.44</v>
      </c>
      <c r="M51" s="60">
        <v>36.29</v>
      </c>
      <c r="N51" s="60">
        <v>512.6</v>
      </c>
      <c r="O51" s="60">
        <v>0</v>
      </c>
      <c r="P51" s="60">
        <v>1.77</v>
      </c>
      <c r="Q51" s="60">
        <v>32.99</v>
      </c>
      <c r="R51" s="198"/>
      <c r="S51" s="198"/>
      <c r="T51" s="198"/>
      <c r="U51" s="198"/>
    </row>
    <row r="52" spans="1:21" s="12" customFormat="1" x14ac:dyDescent="0.25">
      <c r="A52" s="201" t="s">
        <v>2019</v>
      </c>
      <c r="B52" s="60">
        <v>7.11</v>
      </c>
      <c r="C52" s="60">
        <v>107.71</v>
      </c>
      <c r="D52" s="60">
        <v>65.150000000000006</v>
      </c>
      <c r="E52" s="60">
        <v>5.23</v>
      </c>
      <c r="F52" s="60">
        <v>2.23</v>
      </c>
      <c r="G52" s="60">
        <v>76.48</v>
      </c>
      <c r="H52" s="60">
        <v>43.48</v>
      </c>
      <c r="I52" s="60">
        <v>0.8</v>
      </c>
      <c r="J52" s="60">
        <v>0.51</v>
      </c>
      <c r="K52" s="60">
        <v>160.63999999999999</v>
      </c>
      <c r="L52" s="60">
        <v>31.28</v>
      </c>
      <c r="M52" s="60">
        <v>34.5</v>
      </c>
      <c r="N52" s="60">
        <v>528.29999999999995</v>
      </c>
      <c r="O52" s="60">
        <v>0</v>
      </c>
      <c r="P52" s="60">
        <v>1.7</v>
      </c>
      <c r="Q52" s="60">
        <v>32.64</v>
      </c>
      <c r="R52" s="198"/>
      <c r="S52" s="198"/>
      <c r="T52" s="198"/>
      <c r="U52" s="198"/>
    </row>
    <row r="53" spans="1:21" s="12" customFormat="1" x14ac:dyDescent="0.25">
      <c r="A53" s="201" t="s">
        <v>2020</v>
      </c>
      <c r="B53" s="60">
        <v>4.83</v>
      </c>
      <c r="C53" s="60">
        <v>106.44</v>
      </c>
      <c r="D53" s="60">
        <v>62.62</v>
      </c>
      <c r="E53" s="60">
        <v>4.8499999999999996</v>
      </c>
      <c r="F53" s="60">
        <v>2.62</v>
      </c>
      <c r="G53" s="60">
        <v>76.48</v>
      </c>
      <c r="H53" s="60">
        <v>43.48</v>
      </c>
      <c r="I53" s="60">
        <v>0.77</v>
      </c>
      <c r="J53" s="60">
        <v>0.2</v>
      </c>
      <c r="K53" s="60">
        <v>193.96</v>
      </c>
      <c r="L53" s="60">
        <v>31</v>
      </c>
      <c r="M53" s="60">
        <v>34.299999999999997</v>
      </c>
      <c r="N53" s="60">
        <v>524.1</v>
      </c>
      <c r="O53" s="60">
        <v>0</v>
      </c>
      <c r="P53" s="60">
        <v>1.62</v>
      </c>
      <c r="Q53" s="60">
        <v>32.270000000000003</v>
      </c>
      <c r="R53" s="198"/>
      <c r="S53" s="198"/>
      <c r="T53" s="198"/>
      <c r="U53" s="198"/>
    </row>
    <row r="54" spans="1:21" s="12" customFormat="1" x14ac:dyDescent="0.25">
      <c r="A54" s="201" t="s">
        <v>2021</v>
      </c>
      <c r="B54" s="60">
        <v>3.26</v>
      </c>
      <c r="C54" s="60">
        <v>99.96</v>
      </c>
      <c r="D54" s="60">
        <v>57.77</v>
      </c>
      <c r="E54" s="60">
        <v>5.35</v>
      </c>
      <c r="F54" s="60">
        <v>8.1199999999999992</v>
      </c>
      <c r="G54" s="60">
        <v>75.81</v>
      </c>
      <c r="H54" s="60">
        <v>44</v>
      </c>
      <c r="I54" s="60">
        <v>0.76</v>
      </c>
      <c r="J54" s="60">
        <v>0.45</v>
      </c>
      <c r="K54" s="60">
        <v>108.91</v>
      </c>
      <c r="L54" s="60">
        <v>30.93</v>
      </c>
      <c r="M54" s="60">
        <v>34.869999999999997</v>
      </c>
      <c r="N54" s="60">
        <v>535.6</v>
      </c>
      <c r="O54" s="60">
        <v>0</v>
      </c>
      <c r="P54" s="60">
        <v>1.5</v>
      </c>
      <c r="Q54" s="60">
        <v>31.33</v>
      </c>
      <c r="R54" s="198"/>
      <c r="S54" s="198"/>
      <c r="T54" s="198"/>
      <c r="U54" s="198"/>
    </row>
    <row r="55" spans="1:21" s="12" customFormat="1" x14ac:dyDescent="0.25">
      <c r="A55" s="201" t="s">
        <v>2022</v>
      </c>
      <c r="B55" s="60">
        <v>2.5</v>
      </c>
      <c r="C55" s="60">
        <v>95.05</v>
      </c>
      <c r="D55" s="60">
        <v>54.46</v>
      </c>
      <c r="E55" s="60">
        <v>6.88</v>
      </c>
      <c r="F55" s="60">
        <v>5.55</v>
      </c>
      <c r="G55" s="60">
        <v>74.84</v>
      </c>
      <c r="H55" s="60">
        <v>44.73</v>
      </c>
      <c r="I55" s="60">
        <v>0.74</v>
      </c>
      <c r="J55" s="60">
        <v>0.52</v>
      </c>
      <c r="K55" s="60">
        <v>174.21</v>
      </c>
      <c r="L55" s="60">
        <v>31.7</v>
      </c>
      <c r="M55" s="60">
        <v>32.83</v>
      </c>
      <c r="N55" s="60">
        <v>524.4</v>
      </c>
      <c r="O55" s="60">
        <v>0</v>
      </c>
      <c r="P55" s="60">
        <v>1.46</v>
      </c>
      <c r="Q55" s="60">
        <v>30.26</v>
      </c>
      <c r="R55" s="198"/>
      <c r="S55" s="198"/>
      <c r="T55" s="198"/>
      <c r="U55" s="198"/>
    </row>
    <row r="56" spans="1:21" s="12" customFormat="1" x14ac:dyDescent="0.25">
      <c r="A56" s="201" t="s">
        <v>2023</v>
      </c>
      <c r="B56" s="60">
        <v>2.17</v>
      </c>
      <c r="C56" s="60">
        <v>95.32</v>
      </c>
      <c r="D56" s="60">
        <v>54.34</v>
      </c>
      <c r="E56" s="60">
        <v>3.86</v>
      </c>
      <c r="F56" s="60">
        <v>5.64</v>
      </c>
      <c r="G56" s="60">
        <v>74.84</v>
      </c>
      <c r="H56" s="60">
        <v>44.73</v>
      </c>
      <c r="I56" s="60">
        <v>0.7</v>
      </c>
      <c r="J56" s="60">
        <v>0.18</v>
      </c>
      <c r="K56" s="60">
        <v>248.83</v>
      </c>
      <c r="L56" s="60">
        <v>32.08</v>
      </c>
      <c r="M56" s="60">
        <v>33.36</v>
      </c>
      <c r="N56" s="60">
        <v>527.70000000000005</v>
      </c>
      <c r="O56" s="60">
        <v>0</v>
      </c>
      <c r="P56" s="60">
        <v>1.43</v>
      </c>
      <c r="Q56" s="60">
        <v>30.06</v>
      </c>
      <c r="R56" s="198"/>
      <c r="S56" s="198"/>
      <c r="T56" s="198"/>
      <c r="U56" s="198"/>
    </row>
    <row r="57" spans="1:21" s="12" customFormat="1" x14ac:dyDescent="0.25">
      <c r="A57" s="201" t="s">
        <v>2024</v>
      </c>
      <c r="B57" s="60">
        <v>2.0099999999999998</v>
      </c>
      <c r="C57" s="60">
        <v>93.62</v>
      </c>
      <c r="D57" s="60">
        <v>53.28</v>
      </c>
      <c r="E57" s="60">
        <v>5.68</v>
      </c>
      <c r="F57" s="60">
        <v>7.3</v>
      </c>
      <c r="G57" s="60">
        <v>74.84</v>
      </c>
      <c r="H57" s="60">
        <v>44.73</v>
      </c>
      <c r="I57" s="60">
        <v>0.71</v>
      </c>
      <c r="J57" s="60">
        <v>0.3</v>
      </c>
      <c r="K57" s="60">
        <v>10.6</v>
      </c>
      <c r="L57" s="60">
        <v>34.01</v>
      </c>
      <c r="M57" s="60">
        <v>31.38</v>
      </c>
      <c r="N57" s="60">
        <v>511.2</v>
      </c>
      <c r="O57" s="60">
        <v>0</v>
      </c>
      <c r="P57" s="60">
        <v>1.38</v>
      </c>
      <c r="Q57" s="60">
        <v>30.24</v>
      </c>
      <c r="R57" s="198"/>
      <c r="S57" s="198"/>
      <c r="T57" s="198"/>
      <c r="U57" s="198"/>
    </row>
    <row r="58" spans="1:21" s="12" customFormat="1" x14ac:dyDescent="0.25">
      <c r="A58" s="201" t="s">
        <v>2025</v>
      </c>
      <c r="B58" s="60">
        <v>2.06</v>
      </c>
      <c r="C58" s="60">
        <v>96.38</v>
      </c>
      <c r="D58" s="60">
        <v>54.85</v>
      </c>
      <c r="E58" s="60">
        <v>4.91</v>
      </c>
      <c r="F58" s="60">
        <v>7.92</v>
      </c>
      <c r="G58" s="60">
        <v>70.099999999999994</v>
      </c>
      <c r="H58" s="60">
        <v>40.4</v>
      </c>
      <c r="I58" s="60">
        <v>0.71</v>
      </c>
      <c r="J58" s="60">
        <v>0.57999999999999996</v>
      </c>
      <c r="K58" s="60">
        <v>351.63</v>
      </c>
      <c r="L58" s="60">
        <v>34.299999999999997</v>
      </c>
      <c r="M58" s="60">
        <v>29.11</v>
      </c>
      <c r="N58" s="60">
        <v>505.2</v>
      </c>
      <c r="O58" s="60">
        <v>0</v>
      </c>
      <c r="P58" s="60">
        <v>1.35</v>
      </c>
      <c r="Q58" s="60">
        <v>30.38</v>
      </c>
      <c r="R58" s="198"/>
      <c r="S58" s="198"/>
      <c r="T58" s="198"/>
      <c r="U58" s="198"/>
    </row>
    <row r="59" spans="1:21" s="12" customFormat="1" x14ac:dyDescent="0.25">
      <c r="A59" s="201" t="s">
        <v>2026</v>
      </c>
      <c r="B59" s="60">
        <v>2.04</v>
      </c>
      <c r="C59" s="60">
        <v>93.59</v>
      </c>
      <c r="D59" s="60">
        <v>53.29</v>
      </c>
      <c r="E59" s="60">
        <v>6.53</v>
      </c>
      <c r="F59" s="60">
        <v>8.5299999999999994</v>
      </c>
      <c r="G59" s="60">
        <v>63.31</v>
      </c>
      <c r="H59" s="60">
        <v>34.18</v>
      </c>
      <c r="I59" s="60">
        <v>0.75</v>
      </c>
      <c r="J59" s="60">
        <v>1.18</v>
      </c>
      <c r="K59" s="60">
        <v>10.14</v>
      </c>
      <c r="L59" s="60">
        <v>36.29</v>
      </c>
      <c r="M59" s="60">
        <v>24.19</v>
      </c>
      <c r="N59" s="60">
        <v>495.4</v>
      </c>
      <c r="O59" s="60">
        <v>0</v>
      </c>
      <c r="P59" s="60">
        <v>1.31</v>
      </c>
      <c r="Q59" s="60">
        <v>30.46</v>
      </c>
      <c r="R59" s="198"/>
      <c r="S59" s="198"/>
      <c r="T59" s="198"/>
      <c r="U59" s="198"/>
    </row>
    <row r="60" spans="1:21" s="12" customFormat="1" x14ac:dyDescent="0.25">
      <c r="A60" s="201" t="s">
        <v>2027</v>
      </c>
      <c r="B60" s="60">
        <v>2.41</v>
      </c>
      <c r="C60" s="60">
        <v>91.78</v>
      </c>
      <c r="D60" s="60">
        <v>52.59</v>
      </c>
      <c r="E60" s="60">
        <v>6.2</v>
      </c>
      <c r="F60" s="60">
        <v>7.33</v>
      </c>
      <c r="G60" s="60">
        <v>63.31</v>
      </c>
      <c r="H60" s="60">
        <v>34.18</v>
      </c>
      <c r="I60" s="60">
        <v>0.76</v>
      </c>
      <c r="J60" s="60">
        <v>0.87</v>
      </c>
      <c r="K60" s="60">
        <v>358.53</v>
      </c>
      <c r="L60" s="60">
        <v>36.82</v>
      </c>
      <c r="M60" s="60">
        <v>22.09</v>
      </c>
      <c r="N60" s="60">
        <v>493.7</v>
      </c>
      <c r="O60" s="60">
        <v>0</v>
      </c>
      <c r="P60" s="60">
        <v>1.27</v>
      </c>
      <c r="Q60" s="60">
        <v>30.53</v>
      </c>
      <c r="R60" s="198"/>
      <c r="S60" s="198"/>
      <c r="T60" s="198"/>
      <c r="U60" s="198"/>
    </row>
    <row r="61" spans="1:21" s="12" customFormat="1" x14ac:dyDescent="0.25">
      <c r="A61" s="201" t="s">
        <v>2028</v>
      </c>
      <c r="B61" s="60">
        <v>2.48</v>
      </c>
      <c r="C61" s="60">
        <v>87.21</v>
      </c>
      <c r="D61" s="60">
        <v>50.12</v>
      </c>
      <c r="E61" s="60">
        <v>6.3</v>
      </c>
      <c r="F61" s="60">
        <v>10.61</v>
      </c>
      <c r="G61" s="60">
        <v>63.31</v>
      </c>
      <c r="H61" s="60">
        <v>34.18</v>
      </c>
      <c r="I61" s="60">
        <v>0.74</v>
      </c>
      <c r="J61" s="60">
        <v>1.0900000000000001</v>
      </c>
      <c r="K61" s="60">
        <v>14.12</v>
      </c>
      <c r="L61" s="60">
        <v>36.39</v>
      </c>
      <c r="M61" s="60">
        <v>20.16</v>
      </c>
      <c r="N61" s="60">
        <v>487.4</v>
      </c>
      <c r="O61" s="60">
        <v>0</v>
      </c>
      <c r="P61" s="60">
        <v>1.24</v>
      </c>
      <c r="Q61" s="60">
        <v>30.52</v>
      </c>
      <c r="R61" s="198"/>
      <c r="S61" s="198"/>
      <c r="T61" s="198"/>
      <c r="U61" s="198"/>
    </row>
    <row r="62" spans="1:21" s="12" customFormat="1" x14ac:dyDescent="0.25">
      <c r="A62" s="201" t="s">
        <v>2029</v>
      </c>
      <c r="B62" s="60">
        <v>2.0499999999999998</v>
      </c>
      <c r="C62" s="60">
        <v>90.51</v>
      </c>
      <c r="D62" s="60">
        <v>51.59</v>
      </c>
      <c r="E62" s="60">
        <v>7.33</v>
      </c>
      <c r="F62" s="60">
        <v>3.92</v>
      </c>
      <c r="G62" s="60">
        <v>66.8</v>
      </c>
      <c r="H62" s="60">
        <v>36.39</v>
      </c>
      <c r="I62" s="60">
        <v>0.75</v>
      </c>
      <c r="J62" s="60">
        <v>0.67</v>
      </c>
      <c r="K62" s="60">
        <v>352.26</v>
      </c>
      <c r="L62" s="60">
        <v>35.57</v>
      </c>
      <c r="M62" s="60">
        <v>21.34</v>
      </c>
      <c r="N62" s="60">
        <v>470.3</v>
      </c>
      <c r="O62" s="60">
        <v>0</v>
      </c>
      <c r="P62" s="60">
        <v>1.32</v>
      </c>
      <c r="Q62" s="60">
        <v>31.27</v>
      </c>
      <c r="R62" s="198"/>
      <c r="S62" s="198"/>
      <c r="T62" s="198"/>
      <c r="U62" s="198"/>
    </row>
    <row r="63" spans="1:21" s="12" customFormat="1" x14ac:dyDescent="0.25">
      <c r="A63" s="201" t="s">
        <v>2030</v>
      </c>
      <c r="B63" s="60">
        <v>1.46</v>
      </c>
      <c r="C63" s="60">
        <v>90.93</v>
      </c>
      <c r="D63" s="60">
        <v>51.35</v>
      </c>
      <c r="E63" s="60">
        <v>4.9400000000000004</v>
      </c>
      <c r="F63" s="60">
        <v>5.29</v>
      </c>
      <c r="G63" s="60">
        <v>71.8</v>
      </c>
      <c r="H63" s="60">
        <v>39.56</v>
      </c>
      <c r="I63" s="60">
        <v>0.72</v>
      </c>
      <c r="J63" s="60">
        <v>0.09</v>
      </c>
      <c r="K63" s="60">
        <v>303.33999999999997</v>
      </c>
      <c r="L63" s="60">
        <v>34.61</v>
      </c>
      <c r="M63" s="60">
        <v>21.06</v>
      </c>
      <c r="N63" s="60">
        <v>457.3</v>
      </c>
      <c r="O63" s="60">
        <v>0</v>
      </c>
      <c r="P63" s="60">
        <v>1.27</v>
      </c>
      <c r="Q63" s="60">
        <v>32</v>
      </c>
      <c r="R63" s="198"/>
      <c r="S63" s="198"/>
      <c r="T63" s="198"/>
      <c r="U63" s="198"/>
    </row>
    <row r="64" spans="1:21" s="12" customFormat="1" x14ac:dyDescent="0.25">
      <c r="A64" s="201" t="s">
        <v>2031</v>
      </c>
      <c r="B64" s="60">
        <v>1.1399999999999999</v>
      </c>
      <c r="C64" s="60">
        <v>89.11</v>
      </c>
      <c r="D64" s="60">
        <v>50.09</v>
      </c>
      <c r="E64" s="60">
        <v>5.01</v>
      </c>
      <c r="F64" s="60">
        <v>5.46</v>
      </c>
      <c r="G64" s="60">
        <v>71.8</v>
      </c>
      <c r="H64" s="60">
        <v>39.56</v>
      </c>
      <c r="I64" s="60">
        <v>0.74</v>
      </c>
      <c r="J64" s="60">
        <v>1</v>
      </c>
      <c r="K64" s="60">
        <v>178.13</v>
      </c>
      <c r="L64" s="60">
        <v>32.93</v>
      </c>
      <c r="M64" s="60">
        <v>22.66</v>
      </c>
      <c r="N64" s="60">
        <v>437.2</v>
      </c>
      <c r="O64" s="60">
        <v>0</v>
      </c>
      <c r="P64" s="60">
        <v>1.21</v>
      </c>
      <c r="Q64" s="60">
        <v>31.54</v>
      </c>
      <c r="R64" s="198"/>
      <c r="S64" s="198"/>
      <c r="T64" s="198"/>
      <c r="U64" s="198"/>
    </row>
    <row r="65" spans="1:21" s="12" customFormat="1" x14ac:dyDescent="0.25">
      <c r="A65" s="201" t="s">
        <v>2032</v>
      </c>
      <c r="B65" s="60">
        <v>0.93</v>
      </c>
      <c r="C65" s="60">
        <v>86.65</v>
      </c>
      <c r="D65" s="60">
        <v>48.56</v>
      </c>
      <c r="E65" s="60">
        <v>5.14</v>
      </c>
      <c r="F65" s="60">
        <v>6.71</v>
      </c>
      <c r="G65" s="60">
        <v>71.8</v>
      </c>
      <c r="H65" s="60">
        <v>39.56</v>
      </c>
      <c r="I65" s="60">
        <v>0.71</v>
      </c>
      <c r="J65" s="60">
        <v>0.6</v>
      </c>
      <c r="K65" s="60">
        <v>148.13999999999999</v>
      </c>
      <c r="L65" s="60">
        <v>32.39</v>
      </c>
      <c r="M65" s="60">
        <v>24.24</v>
      </c>
      <c r="N65" s="60">
        <v>408.5</v>
      </c>
      <c r="O65" s="60">
        <v>0</v>
      </c>
      <c r="P65" s="60">
        <v>1.1399999999999999</v>
      </c>
      <c r="Q65" s="60">
        <v>31.01</v>
      </c>
      <c r="R65" s="198"/>
      <c r="S65" s="198"/>
      <c r="T65" s="198"/>
      <c r="U65" s="198"/>
    </row>
    <row r="66" spans="1:21" s="12" customFormat="1" x14ac:dyDescent="0.25">
      <c r="A66" s="201" t="s">
        <v>2033</v>
      </c>
      <c r="B66" s="60">
        <v>0.91</v>
      </c>
      <c r="C66" s="60">
        <v>82.08</v>
      </c>
      <c r="D66" s="60">
        <v>46.03</v>
      </c>
      <c r="E66" s="60">
        <v>5.89</v>
      </c>
      <c r="F66" s="60">
        <v>7.95</v>
      </c>
      <c r="G66" s="60">
        <v>62.61</v>
      </c>
      <c r="H66" s="60">
        <v>36.97</v>
      </c>
      <c r="I66" s="60">
        <v>0.7</v>
      </c>
      <c r="J66" s="60">
        <v>0.13</v>
      </c>
      <c r="K66" s="60">
        <v>20.03</v>
      </c>
      <c r="L66" s="60">
        <v>33.979999999999997</v>
      </c>
      <c r="M66" s="60">
        <v>22.46</v>
      </c>
      <c r="N66" s="60">
        <v>385.5</v>
      </c>
      <c r="O66" s="60">
        <v>0</v>
      </c>
      <c r="P66" s="60">
        <v>1.0900000000000001</v>
      </c>
      <c r="Q66" s="60">
        <v>30.66</v>
      </c>
      <c r="R66" s="198"/>
      <c r="S66" s="198"/>
      <c r="T66" s="198"/>
      <c r="U66" s="198"/>
    </row>
    <row r="67" spans="1:21" s="12" customFormat="1" x14ac:dyDescent="0.25">
      <c r="A67" s="201" t="s">
        <v>2034</v>
      </c>
      <c r="B67" s="60">
        <v>1.02</v>
      </c>
      <c r="C67" s="60">
        <v>82.95</v>
      </c>
      <c r="D67" s="60">
        <v>46.6</v>
      </c>
      <c r="E67" s="60">
        <v>5.37</v>
      </c>
      <c r="F67" s="60">
        <v>6.96</v>
      </c>
      <c r="G67" s="60">
        <v>49.44</v>
      </c>
      <c r="H67" s="60">
        <v>33.270000000000003</v>
      </c>
      <c r="I67" s="60">
        <v>0.67</v>
      </c>
      <c r="J67" s="60">
        <v>0.37</v>
      </c>
      <c r="K67" s="60">
        <v>8.82</v>
      </c>
      <c r="L67" s="60">
        <v>35.340000000000003</v>
      </c>
      <c r="M67" s="60">
        <v>21.37</v>
      </c>
      <c r="N67" s="60">
        <v>355.1</v>
      </c>
      <c r="O67" s="60">
        <v>0</v>
      </c>
      <c r="P67" s="60">
        <v>1.08</v>
      </c>
      <c r="Q67" s="60">
        <v>30.37</v>
      </c>
      <c r="R67" s="198"/>
      <c r="S67" s="198"/>
      <c r="T67" s="198"/>
      <c r="U67" s="198"/>
    </row>
    <row r="68" spans="1:21" s="12" customFormat="1" x14ac:dyDescent="0.25">
      <c r="A68" s="201" t="s">
        <v>2035</v>
      </c>
      <c r="B68" s="60">
        <v>1.1399999999999999</v>
      </c>
      <c r="C68" s="60">
        <v>82.73</v>
      </c>
      <c r="D68" s="60">
        <v>46.57</v>
      </c>
      <c r="E68" s="60">
        <v>5.78</v>
      </c>
      <c r="F68" s="60">
        <v>7.82</v>
      </c>
      <c r="G68" s="60">
        <v>49.44</v>
      </c>
      <c r="H68" s="60">
        <v>33.270000000000003</v>
      </c>
      <c r="I68" s="60">
        <v>0.67</v>
      </c>
      <c r="J68" s="60">
        <v>0.78</v>
      </c>
      <c r="K68" s="60">
        <v>116.22</v>
      </c>
      <c r="L68" s="60">
        <v>33.56</v>
      </c>
      <c r="M68" s="60">
        <v>23.01</v>
      </c>
      <c r="N68" s="60">
        <v>328.5</v>
      </c>
      <c r="O68" s="60">
        <v>0</v>
      </c>
      <c r="P68" s="60">
        <v>1.05</v>
      </c>
      <c r="Q68" s="60">
        <v>30.38</v>
      </c>
      <c r="R68" s="198"/>
      <c r="S68" s="198"/>
      <c r="T68" s="198"/>
      <c r="U68" s="198"/>
    </row>
    <row r="69" spans="1:21" s="12" customFormat="1" x14ac:dyDescent="0.25">
      <c r="A69" s="201" t="s">
        <v>2036</v>
      </c>
      <c r="B69" s="60">
        <v>0.88</v>
      </c>
      <c r="C69" s="60">
        <v>67.8</v>
      </c>
      <c r="D69" s="60">
        <v>38.119999999999997</v>
      </c>
      <c r="E69" s="60">
        <v>12.49</v>
      </c>
      <c r="F69" s="60">
        <v>32.5</v>
      </c>
      <c r="G69" s="60">
        <v>49.44</v>
      </c>
      <c r="H69" s="60">
        <v>33.270000000000003</v>
      </c>
      <c r="I69" s="60">
        <v>0.66</v>
      </c>
      <c r="J69" s="60">
        <v>0.52</v>
      </c>
      <c r="K69" s="60">
        <v>129.5</v>
      </c>
      <c r="L69" s="60">
        <v>32.47</v>
      </c>
      <c r="M69" s="60">
        <v>23.8</v>
      </c>
      <c r="N69" s="60">
        <v>283.89999999999998</v>
      </c>
      <c r="O69" s="60">
        <v>0</v>
      </c>
      <c r="P69" s="60">
        <v>0.89</v>
      </c>
      <c r="Q69" s="60">
        <v>29.81</v>
      </c>
      <c r="R69" s="198"/>
      <c r="S69" s="198"/>
      <c r="T69" s="198"/>
      <c r="U69" s="198"/>
    </row>
    <row r="70" spans="1:21" s="12" customFormat="1" x14ac:dyDescent="0.25">
      <c r="A70" s="201" t="s">
        <v>2037</v>
      </c>
      <c r="B70" s="60">
        <v>2.4500000000000002</v>
      </c>
      <c r="C70" s="60">
        <v>72.11</v>
      </c>
      <c r="D70" s="60">
        <v>41.76</v>
      </c>
      <c r="E70" s="60">
        <v>14.94</v>
      </c>
      <c r="F70" s="60">
        <v>31.32</v>
      </c>
      <c r="G70" s="60">
        <v>54.06</v>
      </c>
      <c r="H70" s="60">
        <v>31.93</v>
      </c>
      <c r="I70" s="60">
        <v>0.64</v>
      </c>
      <c r="J70" s="60">
        <v>0.34</v>
      </c>
      <c r="K70" s="60">
        <v>14.45</v>
      </c>
      <c r="L70" s="60">
        <v>33.299999999999997</v>
      </c>
      <c r="M70" s="60">
        <v>23.94</v>
      </c>
      <c r="N70" s="60">
        <v>247.1</v>
      </c>
      <c r="O70" s="60">
        <v>0</v>
      </c>
      <c r="P70" s="60">
        <v>0.91</v>
      </c>
      <c r="Q70" s="60">
        <v>29.31</v>
      </c>
      <c r="R70" s="198"/>
      <c r="S70" s="198"/>
      <c r="T70" s="198"/>
      <c r="U70" s="198"/>
    </row>
    <row r="71" spans="1:21" s="12" customFormat="1" x14ac:dyDescent="0.25">
      <c r="A71" s="201" t="s">
        <v>2038</v>
      </c>
      <c r="B71" s="60">
        <v>2.31</v>
      </c>
      <c r="C71" s="60">
        <v>74.91</v>
      </c>
      <c r="D71" s="60">
        <v>43.19</v>
      </c>
      <c r="E71" s="60">
        <v>15.68</v>
      </c>
      <c r="F71" s="60">
        <v>30.57</v>
      </c>
      <c r="G71" s="60">
        <v>60.68</v>
      </c>
      <c r="H71" s="60">
        <v>29.99</v>
      </c>
      <c r="I71" s="60">
        <v>0.59</v>
      </c>
      <c r="J71" s="60">
        <v>0.06</v>
      </c>
      <c r="K71" s="60">
        <v>55.3</v>
      </c>
      <c r="L71" s="60">
        <v>33.69</v>
      </c>
      <c r="M71" s="60">
        <v>23.86</v>
      </c>
      <c r="N71" s="60">
        <v>209.9</v>
      </c>
      <c r="O71" s="60">
        <v>0</v>
      </c>
      <c r="P71" s="60">
        <v>0.97</v>
      </c>
      <c r="Q71" s="60">
        <v>29.13</v>
      </c>
      <c r="R71" s="198"/>
      <c r="S71" s="198"/>
      <c r="T71" s="198"/>
      <c r="U71" s="198"/>
    </row>
    <row r="72" spans="1:21" s="12" customFormat="1" x14ac:dyDescent="0.25">
      <c r="A72" s="201" t="s">
        <v>2039</v>
      </c>
      <c r="B72" s="60">
        <v>2.35</v>
      </c>
      <c r="C72" s="60">
        <v>70.239999999999995</v>
      </c>
      <c r="D72" s="60">
        <v>40.65</v>
      </c>
      <c r="E72" s="60">
        <v>17.79</v>
      </c>
      <c r="F72" s="60">
        <v>43.78</v>
      </c>
      <c r="G72" s="60">
        <v>60.68</v>
      </c>
      <c r="H72" s="60">
        <v>29.99</v>
      </c>
      <c r="I72" s="60">
        <v>0.6</v>
      </c>
      <c r="J72" s="60">
        <v>0.49</v>
      </c>
      <c r="K72" s="60">
        <v>25.13</v>
      </c>
      <c r="L72" s="60">
        <v>33.25</v>
      </c>
      <c r="M72" s="60">
        <v>25.43</v>
      </c>
      <c r="N72" s="60">
        <v>138.6</v>
      </c>
      <c r="O72" s="60">
        <v>0</v>
      </c>
      <c r="P72" s="60">
        <v>0.97</v>
      </c>
      <c r="Q72" s="60">
        <v>29.67</v>
      </c>
      <c r="R72" s="198"/>
      <c r="S72" s="198"/>
      <c r="T72" s="198"/>
      <c r="U72" s="198"/>
    </row>
    <row r="73" spans="1:21" s="12" customFormat="1" x14ac:dyDescent="0.25">
      <c r="A73" s="201" t="s">
        <v>2040</v>
      </c>
      <c r="B73" s="60">
        <v>1.27</v>
      </c>
      <c r="C73" s="60">
        <v>68.81</v>
      </c>
      <c r="D73" s="60">
        <v>39</v>
      </c>
      <c r="E73" s="60">
        <v>25.89</v>
      </c>
      <c r="F73" s="60">
        <v>40.159999999999997</v>
      </c>
      <c r="G73" s="60">
        <v>60.68</v>
      </c>
      <c r="H73" s="60">
        <v>29.99</v>
      </c>
      <c r="I73" s="60">
        <v>0.61</v>
      </c>
      <c r="J73" s="60">
        <v>0.73</v>
      </c>
      <c r="K73" s="60">
        <v>164.28</v>
      </c>
      <c r="L73" s="60">
        <v>32.299999999999997</v>
      </c>
      <c r="M73" s="60">
        <v>25.3</v>
      </c>
      <c r="N73" s="60">
        <v>122.2</v>
      </c>
      <c r="O73" s="60">
        <v>0</v>
      </c>
      <c r="P73" s="60">
        <v>0.93</v>
      </c>
      <c r="Q73" s="60">
        <v>30.04</v>
      </c>
      <c r="R73" s="198"/>
      <c r="S73" s="198"/>
      <c r="T73" s="198"/>
      <c r="U73" s="198"/>
    </row>
    <row r="74" spans="1:21" s="12" customFormat="1" x14ac:dyDescent="0.25">
      <c r="A74" s="201" t="s">
        <v>2041</v>
      </c>
      <c r="B74" s="60">
        <v>1.84</v>
      </c>
      <c r="C74" s="60">
        <v>72.38</v>
      </c>
      <c r="D74" s="60">
        <v>41.42</v>
      </c>
      <c r="E74" s="60">
        <v>13.28</v>
      </c>
      <c r="F74" s="60">
        <v>28.6</v>
      </c>
      <c r="G74" s="60">
        <v>64.02</v>
      </c>
      <c r="H74" s="60">
        <v>31.23</v>
      </c>
      <c r="I74" s="60">
        <v>0.59</v>
      </c>
      <c r="J74" s="60">
        <v>0.25</v>
      </c>
      <c r="K74" s="60">
        <v>31.81</v>
      </c>
      <c r="L74" s="60">
        <v>31.82</v>
      </c>
      <c r="M74" s="60">
        <v>25.35</v>
      </c>
      <c r="N74" s="60">
        <v>91.8</v>
      </c>
      <c r="O74" s="60">
        <v>0</v>
      </c>
      <c r="P74" s="60">
        <v>0.95</v>
      </c>
      <c r="Q74" s="60">
        <v>30.41</v>
      </c>
      <c r="R74" s="198"/>
      <c r="S74" s="198"/>
      <c r="T74" s="198"/>
      <c r="U74" s="198"/>
    </row>
    <row r="75" spans="1:21" s="12" customFormat="1" x14ac:dyDescent="0.25">
      <c r="A75" s="201" t="s">
        <v>2042</v>
      </c>
      <c r="B75" s="60">
        <v>2.77</v>
      </c>
      <c r="C75" s="60">
        <v>80.67</v>
      </c>
      <c r="D75" s="60">
        <v>46.74</v>
      </c>
      <c r="E75" s="60">
        <v>8.24</v>
      </c>
      <c r="F75" s="60">
        <v>10.25</v>
      </c>
      <c r="G75" s="60">
        <v>68.8</v>
      </c>
      <c r="H75" s="60">
        <v>33.01</v>
      </c>
      <c r="I75" s="60">
        <v>0.59</v>
      </c>
      <c r="J75" s="60">
        <v>0.64</v>
      </c>
      <c r="K75" s="60">
        <v>358.68</v>
      </c>
      <c r="L75" s="60">
        <v>31.99</v>
      </c>
      <c r="M75" s="60">
        <v>27.06</v>
      </c>
      <c r="N75" s="60">
        <v>77.2</v>
      </c>
      <c r="O75" s="60">
        <v>0</v>
      </c>
      <c r="P75" s="60">
        <v>0.98</v>
      </c>
      <c r="Q75" s="60">
        <v>30.45</v>
      </c>
      <c r="R75" s="198"/>
      <c r="S75" s="198"/>
      <c r="T75" s="198"/>
      <c r="U75" s="198"/>
    </row>
    <row r="76" spans="1:21" s="12" customFormat="1" x14ac:dyDescent="0.25">
      <c r="A76" s="201" t="s">
        <v>2043</v>
      </c>
      <c r="B76" s="60">
        <v>2.19</v>
      </c>
      <c r="C76" s="60">
        <v>83.96</v>
      </c>
      <c r="D76" s="60">
        <v>48.09</v>
      </c>
      <c r="E76" s="60">
        <v>6.34</v>
      </c>
      <c r="F76" s="60">
        <v>5.79</v>
      </c>
      <c r="G76" s="60">
        <v>68.8</v>
      </c>
      <c r="H76" s="60">
        <v>33.01</v>
      </c>
      <c r="I76" s="60">
        <v>0.61</v>
      </c>
      <c r="J76" s="60">
        <v>0.85</v>
      </c>
      <c r="K76" s="60">
        <v>349.78</v>
      </c>
      <c r="L76" s="60">
        <v>31.61</v>
      </c>
      <c r="M76" s="60">
        <v>27.66</v>
      </c>
      <c r="N76" s="60">
        <v>53.2</v>
      </c>
      <c r="O76" s="60">
        <v>0</v>
      </c>
      <c r="P76" s="60">
        <v>1</v>
      </c>
      <c r="Q76" s="60">
        <v>30.89</v>
      </c>
      <c r="R76" s="198"/>
      <c r="S76" s="198"/>
      <c r="T76" s="198"/>
      <c r="U76" s="198"/>
    </row>
    <row r="77" spans="1:21" s="12" customFormat="1" x14ac:dyDescent="0.25">
      <c r="A77" s="201" t="s">
        <v>2044</v>
      </c>
      <c r="B77" s="60">
        <v>2.0499999999999998</v>
      </c>
      <c r="C77" s="60">
        <v>87.01</v>
      </c>
      <c r="D77" s="60">
        <v>49.66</v>
      </c>
      <c r="E77" s="60">
        <v>5.29</v>
      </c>
      <c r="F77" s="60">
        <v>5.53</v>
      </c>
      <c r="G77" s="60">
        <v>68.8</v>
      </c>
      <c r="H77" s="60">
        <v>33.01</v>
      </c>
      <c r="I77" s="60">
        <v>0.66</v>
      </c>
      <c r="J77" s="60">
        <v>1.29</v>
      </c>
      <c r="K77" s="60">
        <v>1.05</v>
      </c>
      <c r="L77" s="60">
        <v>31.07</v>
      </c>
      <c r="M77" s="60">
        <v>27.19</v>
      </c>
      <c r="N77" s="60">
        <v>41</v>
      </c>
      <c r="O77" s="60">
        <v>0</v>
      </c>
      <c r="P77" s="60">
        <v>1.01</v>
      </c>
      <c r="Q77" s="60">
        <v>31.95</v>
      </c>
      <c r="R77" s="198"/>
      <c r="S77" s="198"/>
      <c r="T77" s="198"/>
      <c r="U77" s="198"/>
    </row>
    <row r="78" spans="1:21" s="12" customFormat="1" x14ac:dyDescent="0.25">
      <c r="A78" s="201" t="s">
        <v>2045</v>
      </c>
      <c r="B78" s="60">
        <v>1.93</v>
      </c>
      <c r="C78" s="60">
        <v>88.29</v>
      </c>
      <c r="D78" s="60">
        <v>50.27</v>
      </c>
      <c r="E78" s="60">
        <v>5.83</v>
      </c>
      <c r="F78" s="60">
        <v>8.07</v>
      </c>
      <c r="G78" s="60">
        <v>69.099999999999994</v>
      </c>
      <c r="H78" s="60">
        <v>33.79</v>
      </c>
      <c r="I78" s="60">
        <v>0.67</v>
      </c>
      <c r="J78" s="60">
        <v>0.92</v>
      </c>
      <c r="K78" s="60">
        <v>17.22</v>
      </c>
      <c r="L78" s="60">
        <v>30.59</v>
      </c>
      <c r="M78" s="60">
        <v>27.96</v>
      </c>
      <c r="N78" s="60">
        <v>28.7</v>
      </c>
      <c r="O78" s="60">
        <v>0</v>
      </c>
      <c r="P78" s="60">
        <v>1.05</v>
      </c>
      <c r="Q78" s="60">
        <v>31.97</v>
      </c>
      <c r="R78" s="198"/>
      <c r="S78" s="198"/>
      <c r="T78" s="198"/>
      <c r="U78" s="198"/>
    </row>
    <row r="79" spans="1:21" s="12" customFormat="1" x14ac:dyDescent="0.25">
      <c r="A79" s="201" t="s">
        <v>2046</v>
      </c>
      <c r="B79" s="60">
        <v>2.2400000000000002</v>
      </c>
      <c r="C79" s="60">
        <v>90.84</v>
      </c>
      <c r="D79" s="60">
        <v>51.93</v>
      </c>
      <c r="E79" s="60">
        <v>7.34</v>
      </c>
      <c r="F79" s="60">
        <v>10.71</v>
      </c>
      <c r="G79" s="60">
        <v>69.53</v>
      </c>
      <c r="H79" s="60">
        <v>34.909999999999997</v>
      </c>
      <c r="I79" s="60">
        <v>0.67</v>
      </c>
      <c r="J79" s="60">
        <v>0.57999999999999996</v>
      </c>
      <c r="K79" s="60">
        <v>12.47</v>
      </c>
      <c r="L79" s="60">
        <v>29.96</v>
      </c>
      <c r="M79" s="60">
        <v>29.51</v>
      </c>
      <c r="N79" s="60">
        <v>15.7</v>
      </c>
      <c r="O79" s="60">
        <v>0</v>
      </c>
      <c r="P79" s="60">
        <v>1.17</v>
      </c>
      <c r="Q79" s="60">
        <v>31.6</v>
      </c>
      <c r="R79" s="198"/>
      <c r="S79" s="198"/>
      <c r="T79" s="198"/>
      <c r="U79" s="198"/>
    </row>
    <row r="80" spans="1:21" s="12" customFormat="1" x14ac:dyDescent="0.25">
      <c r="A80" s="201" t="s">
        <v>2047</v>
      </c>
      <c r="B80" s="60">
        <v>2.98</v>
      </c>
      <c r="C80" s="60">
        <v>98.18</v>
      </c>
      <c r="D80" s="60">
        <v>56.58</v>
      </c>
      <c r="E80" s="60">
        <v>9.24</v>
      </c>
      <c r="F80" s="60">
        <v>10.7</v>
      </c>
      <c r="G80" s="60">
        <v>69.53</v>
      </c>
      <c r="H80" s="60">
        <v>34.909999999999997</v>
      </c>
      <c r="I80" s="60">
        <v>0.65</v>
      </c>
      <c r="J80" s="60">
        <v>7.0000000000000007E-2</v>
      </c>
      <c r="K80" s="60">
        <v>79.14</v>
      </c>
      <c r="L80" s="60">
        <v>28.96</v>
      </c>
      <c r="M80" s="60">
        <v>31.51</v>
      </c>
      <c r="N80" s="60">
        <v>8.3000000000000007</v>
      </c>
      <c r="O80" s="60">
        <v>0</v>
      </c>
      <c r="P80" s="60">
        <v>1.35</v>
      </c>
      <c r="Q80" s="60">
        <v>31.45</v>
      </c>
      <c r="R80" s="198"/>
      <c r="S80" s="198"/>
      <c r="T80" s="198"/>
      <c r="U80" s="198"/>
    </row>
    <row r="81" spans="1:26" s="12" customFormat="1" x14ac:dyDescent="0.25">
      <c r="A81" s="201" t="s">
        <v>2048</v>
      </c>
      <c r="B81" s="60">
        <v>3.84</v>
      </c>
      <c r="C81" s="60">
        <v>109.23</v>
      </c>
      <c r="D81" s="60">
        <v>63.36</v>
      </c>
      <c r="E81" s="60">
        <v>8.4700000000000006</v>
      </c>
      <c r="F81" s="60">
        <v>5.79</v>
      </c>
      <c r="G81" s="60">
        <v>69.53</v>
      </c>
      <c r="H81" s="60">
        <v>34.909999999999997</v>
      </c>
      <c r="I81" s="60">
        <v>0.66</v>
      </c>
      <c r="J81" s="60">
        <v>0.13</v>
      </c>
      <c r="K81" s="60">
        <v>108.72</v>
      </c>
      <c r="L81" s="60">
        <v>27.98</v>
      </c>
      <c r="M81" s="60">
        <v>33.76</v>
      </c>
      <c r="N81" s="60">
        <v>5.3</v>
      </c>
      <c r="O81" s="60">
        <v>0</v>
      </c>
      <c r="P81" s="60">
        <v>1.35</v>
      </c>
      <c r="Q81" s="60">
        <v>31.11</v>
      </c>
      <c r="R81" s="198"/>
      <c r="S81" s="198"/>
      <c r="T81" s="198"/>
      <c r="U81" s="198"/>
    </row>
    <row r="82" spans="1:26" s="12" customFormat="1" x14ac:dyDescent="0.25">
      <c r="A82" s="201" t="s">
        <v>2049</v>
      </c>
      <c r="B82" s="60">
        <v>2.69</v>
      </c>
      <c r="C82" s="60">
        <v>108.39</v>
      </c>
      <c r="D82" s="60">
        <v>61.97</v>
      </c>
      <c r="E82" s="60">
        <v>6.39</v>
      </c>
      <c r="F82" s="60">
        <v>4.47</v>
      </c>
      <c r="G82" s="60">
        <v>78.03</v>
      </c>
      <c r="H82" s="60">
        <v>37.86</v>
      </c>
      <c r="I82" s="60">
        <v>0.66</v>
      </c>
      <c r="J82" s="60">
        <v>0.12</v>
      </c>
      <c r="K82" s="60">
        <v>95.31</v>
      </c>
      <c r="L82" s="60">
        <v>26.82</v>
      </c>
      <c r="M82" s="60">
        <v>38.21</v>
      </c>
      <c r="N82" s="60">
        <v>4.8</v>
      </c>
      <c r="O82" s="60">
        <v>0</v>
      </c>
      <c r="P82" s="60">
        <v>1.29</v>
      </c>
      <c r="Q82" s="60">
        <v>31.04</v>
      </c>
      <c r="R82" s="198"/>
      <c r="S82" s="198"/>
      <c r="T82" s="198"/>
      <c r="U82" s="198"/>
    </row>
    <row r="83" spans="1:26" s="12" customFormat="1" x14ac:dyDescent="0.25">
      <c r="A83" s="201" t="s">
        <v>2050</v>
      </c>
      <c r="B83" s="60">
        <v>17.350000000000001</v>
      </c>
      <c r="C83" s="60">
        <v>129.75</v>
      </c>
      <c r="D83" s="60">
        <v>85.52</v>
      </c>
      <c r="E83" s="60">
        <v>7.56</v>
      </c>
      <c r="F83" s="60">
        <v>2.71</v>
      </c>
      <c r="G83" s="60">
        <v>90.2</v>
      </c>
      <c r="H83" s="60">
        <v>42.09</v>
      </c>
      <c r="I83" s="60">
        <v>0.68</v>
      </c>
      <c r="J83" s="60">
        <v>0.06</v>
      </c>
      <c r="K83" s="60">
        <v>67.650000000000006</v>
      </c>
      <c r="L83" s="60">
        <v>26.03</v>
      </c>
      <c r="M83" s="60">
        <v>41.88</v>
      </c>
      <c r="N83" s="60">
        <v>4.5999999999999996</v>
      </c>
      <c r="O83" s="60">
        <v>0</v>
      </c>
      <c r="P83" s="60">
        <v>1.77</v>
      </c>
      <c r="Q83" s="60">
        <v>30.13</v>
      </c>
      <c r="R83" s="198"/>
      <c r="S83" s="198"/>
      <c r="T83" s="198"/>
      <c r="U83" s="198"/>
    </row>
    <row r="84" spans="1:26" s="12" customFormat="1" x14ac:dyDescent="0.25">
      <c r="A84" s="201" t="s">
        <v>2051</v>
      </c>
      <c r="B84" s="60">
        <v>10.24</v>
      </c>
      <c r="C84" s="60">
        <v>124.09</v>
      </c>
      <c r="D84" s="60">
        <v>76.69</v>
      </c>
      <c r="E84" s="60">
        <v>9.41</v>
      </c>
      <c r="F84" s="60">
        <v>2</v>
      </c>
      <c r="G84" s="60">
        <v>90.2</v>
      </c>
      <c r="H84" s="60">
        <v>42.09</v>
      </c>
      <c r="I84" s="60">
        <v>0.7</v>
      </c>
      <c r="J84" s="60">
        <v>0.11</v>
      </c>
      <c r="K84" s="60">
        <v>109.63</v>
      </c>
      <c r="L84" s="60">
        <v>25.5</v>
      </c>
      <c r="M84" s="60">
        <v>43.43</v>
      </c>
      <c r="N84" s="60">
        <v>4.2</v>
      </c>
      <c r="O84" s="60">
        <v>0</v>
      </c>
      <c r="P84" s="60">
        <v>1.59</v>
      </c>
      <c r="Q84" s="60">
        <v>29.37</v>
      </c>
      <c r="R84" s="198"/>
      <c r="S84" s="198"/>
      <c r="T84" s="198"/>
      <c r="U84" s="198"/>
    </row>
    <row r="85" spans="1:26" s="12" customFormat="1" x14ac:dyDescent="0.25">
      <c r="A85" s="201" t="s">
        <v>2052</v>
      </c>
      <c r="B85" s="60">
        <v>5.9</v>
      </c>
      <c r="C85" s="60">
        <v>114.13</v>
      </c>
      <c r="D85" s="60">
        <v>67.709999999999994</v>
      </c>
      <c r="E85" s="60">
        <v>9.61</v>
      </c>
      <c r="F85" s="60">
        <v>5.77</v>
      </c>
      <c r="G85" s="60">
        <v>90.2</v>
      </c>
      <c r="H85" s="60">
        <v>42.09</v>
      </c>
      <c r="I85" s="60">
        <v>0.81</v>
      </c>
      <c r="J85" s="60">
        <v>0.26</v>
      </c>
      <c r="K85" s="60">
        <v>106.17</v>
      </c>
      <c r="L85" s="60">
        <v>25.65</v>
      </c>
      <c r="M85" s="60">
        <v>40.68</v>
      </c>
      <c r="N85" s="60">
        <v>3.8</v>
      </c>
      <c r="O85" s="60">
        <v>0</v>
      </c>
      <c r="P85" s="60">
        <v>1.34</v>
      </c>
      <c r="Q85" s="60">
        <v>30.36</v>
      </c>
      <c r="R85" s="198"/>
      <c r="S85" s="198"/>
      <c r="T85" s="198"/>
      <c r="U85" s="198"/>
    </row>
    <row r="86" spans="1:26" s="12" customFormat="1" x14ac:dyDescent="0.25">
      <c r="A86" s="201" t="s">
        <v>2053</v>
      </c>
      <c r="B86" s="60">
        <v>33.58</v>
      </c>
      <c r="C86" s="60">
        <v>134.24</v>
      </c>
      <c r="D86" s="60">
        <v>101.01</v>
      </c>
      <c r="E86" s="60">
        <v>8.44</v>
      </c>
      <c r="F86" s="60">
        <v>2.61</v>
      </c>
      <c r="G86" s="60">
        <v>106.39</v>
      </c>
      <c r="H86" s="60">
        <v>43.63</v>
      </c>
      <c r="I86" s="60">
        <v>0.81</v>
      </c>
      <c r="J86" s="60">
        <v>0.16</v>
      </c>
      <c r="K86" s="60">
        <v>96.57</v>
      </c>
      <c r="L86" s="60">
        <v>25.41</v>
      </c>
      <c r="M86" s="60">
        <v>49.06</v>
      </c>
      <c r="N86" s="60">
        <v>4.2</v>
      </c>
      <c r="O86" s="60">
        <v>0</v>
      </c>
      <c r="P86" s="60">
        <v>1.97</v>
      </c>
      <c r="Q86" s="60">
        <v>29.69</v>
      </c>
      <c r="R86" s="198"/>
      <c r="S86" s="198"/>
      <c r="T86" s="198"/>
      <c r="U86" s="198"/>
    </row>
    <row r="87" spans="1:26" s="12" customFormat="1" x14ac:dyDescent="0.25">
      <c r="A87" s="201" t="s">
        <v>2054</v>
      </c>
      <c r="B87" s="60">
        <v>20.34</v>
      </c>
      <c r="C87" s="60">
        <v>128.22999999999999</v>
      </c>
      <c r="D87" s="60">
        <v>87.08</v>
      </c>
      <c r="E87" s="60">
        <v>7.75</v>
      </c>
      <c r="F87" s="60">
        <v>1.78</v>
      </c>
      <c r="G87" s="60">
        <v>129.59</v>
      </c>
      <c r="H87" s="60">
        <v>45.83</v>
      </c>
      <c r="I87" s="60">
        <v>0.75</v>
      </c>
      <c r="J87" s="60">
        <v>0.12</v>
      </c>
      <c r="K87" s="60">
        <v>236.32</v>
      </c>
      <c r="L87" s="60">
        <v>25.15</v>
      </c>
      <c r="M87" s="60">
        <v>45.7</v>
      </c>
      <c r="N87" s="60">
        <v>4.0999999999999996</v>
      </c>
      <c r="O87" s="60">
        <v>0</v>
      </c>
      <c r="P87" s="60">
        <v>1.8</v>
      </c>
      <c r="Q87" s="60">
        <v>30.17</v>
      </c>
      <c r="R87" s="198"/>
      <c r="S87" s="198"/>
      <c r="T87" s="198"/>
      <c r="U87" s="198"/>
    </row>
    <row r="88" spans="1:26" s="12" customFormat="1" x14ac:dyDescent="0.25">
      <c r="A88" s="201" t="s">
        <v>2055</v>
      </c>
      <c r="B88" s="60">
        <v>33.08</v>
      </c>
      <c r="C88" s="60">
        <v>133</v>
      </c>
      <c r="D88" s="60">
        <v>99.93</v>
      </c>
      <c r="E88" s="60">
        <v>3.81</v>
      </c>
      <c r="F88" s="60">
        <v>1.61</v>
      </c>
      <c r="G88" s="60">
        <v>129.59</v>
      </c>
      <c r="H88" s="60">
        <v>45.83</v>
      </c>
      <c r="I88" s="60">
        <v>0.87</v>
      </c>
      <c r="J88" s="60">
        <v>0.11</v>
      </c>
      <c r="K88" s="60">
        <v>8.77</v>
      </c>
      <c r="L88" s="60">
        <v>24.98</v>
      </c>
      <c r="M88" s="60">
        <v>49.97</v>
      </c>
      <c r="N88" s="60">
        <v>4.4000000000000004</v>
      </c>
      <c r="O88" s="60">
        <v>0</v>
      </c>
      <c r="P88" s="60">
        <v>2.2400000000000002</v>
      </c>
      <c r="Q88" s="60">
        <v>30.82</v>
      </c>
      <c r="R88" s="198"/>
      <c r="S88" s="198"/>
      <c r="T88" s="198"/>
      <c r="U88" s="198"/>
    </row>
    <row r="89" spans="1:26" s="12" customFormat="1" x14ac:dyDescent="0.25">
      <c r="A89" s="201" t="s">
        <v>2056</v>
      </c>
      <c r="B89" s="60">
        <v>38.89</v>
      </c>
      <c r="C89" s="60">
        <v>133.08000000000001</v>
      </c>
      <c r="D89" s="60">
        <v>104.63</v>
      </c>
      <c r="E89" s="60">
        <v>6.66</v>
      </c>
      <c r="F89" s="60">
        <v>1.58</v>
      </c>
      <c r="G89" s="60">
        <v>129.59</v>
      </c>
      <c r="H89" s="60">
        <v>45.83</v>
      </c>
      <c r="I89" s="60">
        <v>0.85</v>
      </c>
      <c r="J89" s="60">
        <v>0.12</v>
      </c>
      <c r="K89" s="60">
        <v>353.67</v>
      </c>
      <c r="L89" s="60">
        <v>24.4</v>
      </c>
      <c r="M89" s="60">
        <v>55.74</v>
      </c>
      <c r="N89" s="60">
        <v>4.5</v>
      </c>
      <c r="O89" s="60">
        <v>0</v>
      </c>
      <c r="P89" s="60">
        <v>2.61</v>
      </c>
      <c r="Q89" s="60">
        <v>31.09</v>
      </c>
      <c r="R89" s="198"/>
      <c r="S89" s="198"/>
      <c r="T89" s="198"/>
      <c r="U89" s="198"/>
    </row>
    <row r="90" spans="1:26" s="12" customFormat="1" x14ac:dyDescent="0.25">
      <c r="A90" s="201" t="s">
        <v>2057</v>
      </c>
      <c r="B90" s="60">
        <v>40.409999999999997</v>
      </c>
      <c r="C90" s="60">
        <v>135.24</v>
      </c>
      <c r="D90" s="60">
        <v>107.04</v>
      </c>
      <c r="E90" s="60">
        <v>6.73</v>
      </c>
      <c r="F90" s="60">
        <v>1.63</v>
      </c>
      <c r="G90" s="60">
        <v>129.59</v>
      </c>
      <c r="H90" s="60">
        <v>51.66</v>
      </c>
      <c r="I90" s="60">
        <v>0.93</v>
      </c>
      <c r="J90" s="60">
        <v>0.12</v>
      </c>
      <c r="K90" s="60">
        <v>75.099999999999994</v>
      </c>
      <c r="L90" s="60">
        <v>24.16</v>
      </c>
      <c r="M90" s="60">
        <v>53.23</v>
      </c>
      <c r="N90" s="60">
        <v>4.3</v>
      </c>
      <c r="O90" s="60">
        <v>0</v>
      </c>
      <c r="P90" s="60">
        <v>2.54</v>
      </c>
      <c r="Q90" s="60">
        <v>31.85</v>
      </c>
      <c r="R90" s="198"/>
      <c r="S90" s="198"/>
      <c r="T90" s="198"/>
      <c r="U90" s="198"/>
    </row>
    <row r="91" spans="1:26" s="12" customFormat="1" x14ac:dyDescent="0.25">
      <c r="A91" s="201" t="s">
        <v>2058</v>
      </c>
      <c r="B91" s="60">
        <v>32.729999999999997</v>
      </c>
      <c r="C91" s="60">
        <v>125.24</v>
      </c>
      <c r="D91" s="60">
        <v>95.36</v>
      </c>
      <c r="E91" s="60">
        <v>5.05</v>
      </c>
      <c r="F91" s="60">
        <v>1.5</v>
      </c>
      <c r="G91" s="60">
        <v>252.01</v>
      </c>
      <c r="H91" s="60">
        <v>60.03</v>
      </c>
      <c r="I91" s="60">
        <v>1.1200000000000001</v>
      </c>
      <c r="J91" s="60">
        <v>0.25</v>
      </c>
      <c r="K91" s="60">
        <v>93.79</v>
      </c>
      <c r="L91" s="60">
        <v>24.18</v>
      </c>
      <c r="M91" s="60">
        <v>57.18</v>
      </c>
      <c r="N91" s="60">
        <v>3.8</v>
      </c>
      <c r="O91" s="60">
        <v>0</v>
      </c>
      <c r="P91" s="60">
        <v>2.12</v>
      </c>
      <c r="Q91" s="60">
        <v>34.26</v>
      </c>
      <c r="R91" s="198"/>
      <c r="S91" s="198"/>
      <c r="T91" s="198"/>
      <c r="U91" s="198"/>
    </row>
    <row r="92" spans="1:26" s="12" customFormat="1" x14ac:dyDescent="0.25">
      <c r="A92" s="201" t="s">
        <v>2059</v>
      </c>
      <c r="B92" s="60">
        <v>34.32</v>
      </c>
      <c r="C92" s="60">
        <v>126.48</v>
      </c>
      <c r="D92" s="60">
        <v>97.32</v>
      </c>
      <c r="E92" s="60">
        <v>5.15</v>
      </c>
      <c r="F92" s="60">
        <v>1.52</v>
      </c>
      <c r="G92" s="60">
        <v>252.01</v>
      </c>
      <c r="H92" s="60">
        <v>60.03</v>
      </c>
      <c r="I92" s="60">
        <v>1.03</v>
      </c>
      <c r="J92" s="60">
        <v>0.02</v>
      </c>
      <c r="K92" s="60">
        <v>158.6</v>
      </c>
      <c r="L92" s="60">
        <v>24.04</v>
      </c>
      <c r="M92" s="60">
        <v>56.4</v>
      </c>
      <c r="N92" s="60">
        <v>4.5999999999999996</v>
      </c>
      <c r="O92" s="60">
        <v>0</v>
      </c>
      <c r="P92" s="60">
        <v>2.2200000000000002</v>
      </c>
      <c r="Q92" s="60">
        <v>35.72</v>
      </c>
      <c r="R92" s="198"/>
      <c r="S92" s="198"/>
      <c r="T92" s="198"/>
      <c r="U92" s="198"/>
    </row>
    <row r="93" spans="1:26" s="12" customFormat="1" x14ac:dyDescent="0.25">
      <c r="A93" s="201" t="s">
        <v>2060</v>
      </c>
      <c r="B93" s="60">
        <v>38.479999999999997</v>
      </c>
      <c r="C93" s="60">
        <v>130.88</v>
      </c>
      <c r="D93" s="60">
        <v>103.09</v>
      </c>
      <c r="E93" s="60">
        <v>4.93</v>
      </c>
      <c r="F93" s="60">
        <v>1.46</v>
      </c>
      <c r="G93" s="60">
        <v>252.01</v>
      </c>
      <c r="H93" s="60">
        <v>60.03</v>
      </c>
      <c r="I93" s="60">
        <v>1.1100000000000001</v>
      </c>
      <c r="J93" s="60">
        <v>0.02</v>
      </c>
      <c r="K93" s="60">
        <v>140.78</v>
      </c>
      <c r="L93" s="60">
        <v>23.76</v>
      </c>
      <c r="M93" s="60">
        <v>55.69</v>
      </c>
      <c r="N93" s="60">
        <v>4.4000000000000004</v>
      </c>
      <c r="O93" s="60">
        <v>0</v>
      </c>
      <c r="P93" s="60">
        <v>2.31</v>
      </c>
      <c r="Q93" s="60">
        <v>36.06</v>
      </c>
      <c r="R93" s="198"/>
      <c r="S93" s="198"/>
      <c r="T93" s="198"/>
      <c r="U93" s="198"/>
    </row>
    <row r="94" spans="1:26" s="12" customFormat="1" x14ac:dyDescent="0.25">
      <c r="A94" s="201" t="s">
        <v>2061</v>
      </c>
      <c r="B94" s="60">
        <v>47.82</v>
      </c>
      <c r="C94" s="60">
        <v>138.24</v>
      </c>
      <c r="D94" s="60">
        <v>114.64</v>
      </c>
      <c r="E94" s="60">
        <v>5.15</v>
      </c>
      <c r="F94" s="60">
        <v>1.41</v>
      </c>
      <c r="G94" s="60">
        <v>196.34</v>
      </c>
      <c r="H94" s="60">
        <v>65.23</v>
      </c>
      <c r="I94" s="60">
        <v>1.02</v>
      </c>
      <c r="J94" s="60">
        <v>0.05</v>
      </c>
      <c r="K94" s="60">
        <v>301.88</v>
      </c>
      <c r="L94" s="60">
        <v>23.59</v>
      </c>
      <c r="M94" s="60">
        <v>55.47</v>
      </c>
      <c r="N94" s="60">
        <v>4.3</v>
      </c>
      <c r="O94" s="60">
        <v>0</v>
      </c>
      <c r="P94" s="60">
        <v>2.48</v>
      </c>
      <c r="Q94" s="60">
        <v>36.11</v>
      </c>
      <c r="R94" s="198"/>
      <c r="S94" s="198"/>
      <c r="T94" s="198"/>
      <c r="U94" s="198"/>
    </row>
    <row r="95" spans="1:26" s="12" customFormat="1" x14ac:dyDescent="0.25">
      <c r="A95" s="201" t="s">
        <v>2062</v>
      </c>
      <c r="B95" s="60">
        <v>51.56</v>
      </c>
      <c r="C95" s="60">
        <v>140.43</v>
      </c>
      <c r="D95" s="60">
        <v>118.84</v>
      </c>
      <c r="E95" s="60">
        <v>4.75</v>
      </c>
      <c r="F95" s="60">
        <v>1.4</v>
      </c>
      <c r="G95" s="60">
        <v>196.34</v>
      </c>
      <c r="H95" s="60">
        <v>72.69</v>
      </c>
      <c r="I95" s="60">
        <v>1.03</v>
      </c>
      <c r="J95" s="60">
        <v>0.3</v>
      </c>
      <c r="K95" s="60">
        <v>2.15</v>
      </c>
      <c r="L95" s="60">
        <v>23.34</v>
      </c>
      <c r="M95" s="60">
        <v>62.89</v>
      </c>
      <c r="N95" s="60">
        <v>4.0999999999999996</v>
      </c>
      <c r="O95" s="60">
        <v>0</v>
      </c>
      <c r="P95" s="60">
        <v>2.59</v>
      </c>
      <c r="Q95" s="60">
        <v>36.299999999999997</v>
      </c>
      <c r="R95" s="198"/>
      <c r="S95" s="198"/>
      <c r="T95" s="198"/>
      <c r="U95" s="198"/>
    </row>
    <row r="96" spans="1:26" s="12" customFormat="1" x14ac:dyDescent="0.25">
      <c r="A96" s="201" t="s">
        <v>2063</v>
      </c>
      <c r="B96" s="60">
        <v>52.98</v>
      </c>
      <c r="C96" s="60">
        <v>141.41</v>
      </c>
      <c r="D96" s="60">
        <v>120.53</v>
      </c>
      <c r="E96" s="60">
        <v>4.96</v>
      </c>
      <c r="F96" s="60">
        <v>1.41</v>
      </c>
      <c r="G96" s="60">
        <v>196.34</v>
      </c>
      <c r="H96" s="60">
        <v>72.69</v>
      </c>
      <c r="I96" s="60">
        <v>1.2</v>
      </c>
      <c r="J96" s="60">
        <v>0.09</v>
      </c>
      <c r="K96" s="60">
        <v>315.02</v>
      </c>
      <c r="L96" s="60">
        <v>23.69</v>
      </c>
      <c r="M96" s="60">
        <v>52.42</v>
      </c>
      <c r="N96" s="60">
        <v>4</v>
      </c>
      <c r="O96" s="60">
        <v>0</v>
      </c>
      <c r="P96" s="60">
        <v>2.66</v>
      </c>
      <c r="Q96" s="60">
        <v>36.380000000000003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2064</v>
      </c>
      <c r="B97" s="60">
        <v>47.52</v>
      </c>
      <c r="C97" s="60">
        <v>139.91999999999999</v>
      </c>
      <c r="D97" s="60">
        <v>115.33</v>
      </c>
      <c r="E97" s="60">
        <v>5.38</v>
      </c>
      <c r="F97" s="60">
        <v>1.52</v>
      </c>
      <c r="G97" s="60">
        <v>196.34</v>
      </c>
      <c r="H97" s="60">
        <v>72.69</v>
      </c>
      <c r="I97" s="60">
        <v>1.1200000000000001</v>
      </c>
      <c r="J97" s="60">
        <v>0.15</v>
      </c>
      <c r="K97" s="60">
        <v>129.63</v>
      </c>
      <c r="L97" s="60">
        <v>23.87</v>
      </c>
      <c r="M97" s="60">
        <v>51.6</v>
      </c>
      <c r="N97" s="60">
        <v>4</v>
      </c>
      <c r="O97" s="60">
        <v>0</v>
      </c>
      <c r="P97" s="60">
        <v>2.65</v>
      </c>
      <c r="Q97" s="60">
        <v>36.049999999999997</v>
      </c>
      <c r="R97" s="198"/>
      <c r="S97" s="198"/>
      <c r="T97" s="198"/>
      <c r="U97" s="198"/>
    </row>
    <row r="98" spans="1:33" s="12" customFormat="1" x14ac:dyDescent="0.25">
      <c r="A98" s="201" t="s">
        <v>2065</v>
      </c>
      <c r="B98" s="60">
        <v>46.66</v>
      </c>
      <c r="C98" s="60">
        <v>143.74</v>
      </c>
      <c r="D98" s="60">
        <v>116.75</v>
      </c>
      <c r="E98" s="60">
        <v>5.28</v>
      </c>
      <c r="F98" s="60">
        <v>1.51</v>
      </c>
      <c r="G98" s="60">
        <v>179.98</v>
      </c>
      <c r="H98" s="60">
        <v>72.02</v>
      </c>
      <c r="I98" s="60">
        <v>1.23</v>
      </c>
      <c r="J98" s="60">
        <v>0.22</v>
      </c>
      <c r="K98" s="60">
        <v>105.87</v>
      </c>
      <c r="L98" s="60">
        <v>23.61</v>
      </c>
      <c r="M98" s="60">
        <v>58.72</v>
      </c>
      <c r="N98" s="60">
        <v>4.2</v>
      </c>
      <c r="O98" s="60">
        <v>0</v>
      </c>
      <c r="P98" s="60">
        <v>2.65</v>
      </c>
      <c r="Q98" s="60">
        <v>35.26</v>
      </c>
      <c r="R98" s="198"/>
      <c r="S98" s="198"/>
      <c r="T98" s="198"/>
      <c r="U98" s="198"/>
    </row>
    <row r="99" spans="1:33" s="12" customFormat="1" x14ac:dyDescent="0.25">
      <c r="A99" s="201" t="s">
        <v>2066</v>
      </c>
      <c r="B99" s="60">
        <v>53.69</v>
      </c>
      <c r="C99" s="60">
        <v>144.02000000000001</v>
      </c>
      <c r="D99" s="60">
        <v>122.54</v>
      </c>
      <c r="E99" s="60">
        <v>5.58</v>
      </c>
      <c r="F99" s="60">
        <v>1.41</v>
      </c>
      <c r="G99" s="60">
        <v>156.54</v>
      </c>
      <c r="H99" s="60">
        <v>71.06</v>
      </c>
      <c r="I99" s="60">
        <v>1.22</v>
      </c>
      <c r="J99" s="60">
        <v>0.11</v>
      </c>
      <c r="K99" s="60">
        <v>351.24</v>
      </c>
      <c r="L99" s="60">
        <v>22.99</v>
      </c>
      <c r="M99" s="60">
        <v>61.69</v>
      </c>
      <c r="N99" s="60">
        <v>4.7</v>
      </c>
      <c r="O99" s="60">
        <v>0</v>
      </c>
      <c r="P99" s="60">
        <v>2.72</v>
      </c>
      <c r="Q99" s="60">
        <v>34.880000000000003</v>
      </c>
      <c r="R99" s="198"/>
      <c r="S99" s="198"/>
      <c r="T99" s="198"/>
      <c r="U99" s="198"/>
    </row>
    <row r="100" spans="1:33" s="12" customFormat="1" x14ac:dyDescent="0.25">
      <c r="A100" s="201" t="s">
        <v>2067</v>
      </c>
      <c r="B100" s="60">
        <v>65.28</v>
      </c>
      <c r="C100" s="60">
        <v>147.02000000000001</v>
      </c>
      <c r="D100" s="60">
        <v>133.49</v>
      </c>
      <c r="E100" s="60">
        <v>5.03</v>
      </c>
      <c r="F100" s="60">
        <v>1.4</v>
      </c>
      <c r="G100" s="60">
        <v>156.54</v>
      </c>
      <c r="H100" s="60">
        <v>71.06</v>
      </c>
      <c r="I100" s="60">
        <v>1.22</v>
      </c>
      <c r="J100" s="60">
        <v>0.15</v>
      </c>
      <c r="K100" s="60">
        <v>11</v>
      </c>
      <c r="L100" s="60">
        <v>22.52</v>
      </c>
      <c r="M100" s="60">
        <v>64.39</v>
      </c>
      <c r="N100" s="60">
        <v>4.5999999999999996</v>
      </c>
      <c r="O100" s="60">
        <v>0</v>
      </c>
      <c r="P100" s="60">
        <v>2.81</v>
      </c>
      <c r="Q100" s="60">
        <v>34.71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2068</v>
      </c>
      <c r="B101" s="60">
        <v>61.73</v>
      </c>
      <c r="C101" s="60">
        <v>144.96</v>
      </c>
      <c r="D101" s="60">
        <v>129.5</v>
      </c>
      <c r="E101" s="60">
        <v>4.66</v>
      </c>
      <c r="F101" s="60">
        <v>1.46</v>
      </c>
      <c r="G101" s="60">
        <v>156.54</v>
      </c>
      <c r="H101" s="60">
        <v>71.06</v>
      </c>
      <c r="I101" s="60">
        <v>1.25</v>
      </c>
      <c r="J101" s="60">
        <v>0.1</v>
      </c>
      <c r="K101" s="60">
        <v>280.70999999999998</v>
      </c>
      <c r="L101" s="60">
        <v>22.34</v>
      </c>
      <c r="M101" s="60">
        <v>64.430000000000007</v>
      </c>
      <c r="N101" s="60">
        <v>4.5</v>
      </c>
      <c r="O101" s="60">
        <v>0</v>
      </c>
      <c r="P101" s="60">
        <v>2.81</v>
      </c>
      <c r="Q101" s="60">
        <v>35.33</v>
      </c>
      <c r="R101" s="198"/>
      <c r="S101" s="198"/>
      <c r="T101" s="198"/>
      <c r="U101" s="198"/>
    </row>
    <row r="102" spans="1:33" s="12" customFormat="1" x14ac:dyDescent="0.25">
      <c r="A102" s="201" t="s">
        <v>2069</v>
      </c>
      <c r="B102" s="60">
        <v>59.85</v>
      </c>
      <c r="C102" s="60">
        <v>142.47999999999999</v>
      </c>
      <c r="D102" s="60">
        <v>126.63</v>
      </c>
      <c r="E102" s="60">
        <v>5.14</v>
      </c>
      <c r="F102" s="60">
        <v>1.41</v>
      </c>
      <c r="G102" s="60">
        <v>157.57</v>
      </c>
      <c r="H102" s="60">
        <v>68.349999999999994</v>
      </c>
      <c r="I102" s="60">
        <v>1.29</v>
      </c>
      <c r="J102" s="60">
        <v>0.16</v>
      </c>
      <c r="K102" s="60">
        <v>130.55000000000001</v>
      </c>
      <c r="L102" s="60">
        <v>22.47</v>
      </c>
      <c r="M102" s="60">
        <v>61.08</v>
      </c>
      <c r="N102" s="60">
        <v>4.2</v>
      </c>
      <c r="O102" s="60">
        <v>0</v>
      </c>
      <c r="P102" s="60">
        <v>2.73</v>
      </c>
      <c r="Q102" s="60">
        <v>36.01</v>
      </c>
      <c r="R102" s="198"/>
      <c r="S102" s="198"/>
      <c r="T102" s="198"/>
      <c r="U102" s="198"/>
    </row>
    <row r="103" spans="1:33" s="12" customFormat="1" x14ac:dyDescent="0.25">
      <c r="A103" s="201" t="s">
        <v>2070</v>
      </c>
      <c r="B103" s="60">
        <v>65.73</v>
      </c>
      <c r="C103" s="60">
        <v>144.24</v>
      </c>
      <c r="D103" s="60">
        <v>132.32</v>
      </c>
      <c r="E103" s="60">
        <v>5</v>
      </c>
      <c r="F103" s="60">
        <v>1.4</v>
      </c>
      <c r="G103" s="60">
        <v>159.06</v>
      </c>
      <c r="H103" s="60">
        <v>64.459999999999994</v>
      </c>
      <c r="I103" s="60">
        <v>1.28</v>
      </c>
      <c r="J103" s="60">
        <v>0.1</v>
      </c>
      <c r="K103" s="60">
        <v>341.43</v>
      </c>
      <c r="L103" s="60">
        <v>22.26</v>
      </c>
      <c r="M103" s="60">
        <v>61.54</v>
      </c>
      <c r="N103" s="60">
        <v>4.5</v>
      </c>
      <c r="O103" s="60">
        <v>0</v>
      </c>
      <c r="P103" s="60">
        <v>2.78</v>
      </c>
      <c r="Q103" s="60">
        <v>36.08</v>
      </c>
      <c r="R103" s="198"/>
      <c r="S103" s="198"/>
      <c r="T103" s="198"/>
      <c r="U103" s="198"/>
    </row>
    <row r="104" spans="1:33" s="12" customFormat="1" x14ac:dyDescent="0.25">
      <c r="A104" s="201" t="s">
        <v>2071</v>
      </c>
      <c r="B104" s="60">
        <v>64.23</v>
      </c>
      <c r="C104" s="60">
        <v>142.22</v>
      </c>
      <c r="D104" s="60">
        <v>130</v>
      </c>
      <c r="E104" s="60">
        <v>2.48</v>
      </c>
      <c r="F104" s="60">
        <v>1.4</v>
      </c>
      <c r="G104" s="60">
        <v>159.06</v>
      </c>
      <c r="H104" s="60">
        <v>64.459999999999994</v>
      </c>
      <c r="I104" s="60">
        <v>1.29</v>
      </c>
      <c r="J104" s="60">
        <v>0.21</v>
      </c>
      <c r="K104" s="60">
        <v>252.09</v>
      </c>
      <c r="L104" s="60">
        <v>22.63</v>
      </c>
      <c r="M104" s="60">
        <v>59.17</v>
      </c>
      <c r="N104" s="60">
        <v>3.6</v>
      </c>
      <c r="O104" s="60">
        <v>0</v>
      </c>
      <c r="P104" s="60">
        <v>2.75</v>
      </c>
      <c r="Q104" s="60">
        <v>36.590000000000003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0.88</v>
      </c>
      <c r="C106" s="67">
        <f>MIN(C9:C104)</f>
        <v>67.8</v>
      </c>
      <c r="D106" s="67">
        <f t="shared" ref="D106:Q106" si="0">MIN(D9:D104)</f>
        <v>38.119999999999997</v>
      </c>
      <c r="E106" s="67">
        <f t="shared" si="0"/>
        <v>2.4300000000000002</v>
      </c>
      <c r="F106" s="67">
        <f t="shared" si="0"/>
        <v>1.4</v>
      </c>
      <c r="G106" s="67">
        <f t="shared" si="0"/>
        <v>49.44</v>
      </c>
      <c r="H106" s="67">
        <f t="shared" si="0"/>
        <v>29.99</v>
      </c>
      <c r="I106" s="67">
        <f t="shared" si="0"/>
        <v>0.59</v>
      </c>
      <c r="J106" s="67">
        <f t="shared" si="0"/>
        <v>0.02</v>
      </c>
      <c r="K106" s="67">
        <f t="shared" si="0"/>
        <v>1.05</v>
      </c>
      <c r="L106" s="67">
        <f t="shared" si="0"/>
        <v>19.55</v>
      </c>
      <c r="M106" s="67">
        <f t="shared" si="0"/>
        <v>20.16</v>
      </c>
      <c r="N106" s="67">
        <f t="shared" si="0"/>
        <v>3.2</v>
      </c>
      <c r="O106" s="67">
        <f t="shared" si="0"/>
        <v>0</v>
      </c>
      <c r="P106" s="67">
        <f t="shared" si="0"/>
        <v>0.89</v>
      </c>
      <c r="Q106" s="67">
        <f t="shared" si="0"/>
        <v>29.13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65.73</v>
      </c>
      <c r="C107" s="66">
        <f t="shared" ref="C107:Q107" si="1">MAX(C9:C104)</f>
        <v>147.02000000000001</v>
      </c>
      <c r="D107" s="66">
        <f t="shared" si="1"/>
        <v>133.49</v>
      </c>
      <c r="E107" s="66">
        <f t="shared" si="1"/>
        <v>25.89</v>
      </c>
      <c r="F107" s="66">
        <f t="shared" si="1"/>
        <v>43.78</v>
      </c>
      <c r="G107" s="66">
        <f t="shared" si="1"/>
        <v>278.55</v>
      </c>
      <c r="H107" s="66">
        <f t="shared" si="1"/>
        <v>131.33000000000001</v>
      </c>
      <c r="I107" s="66">
        <f t="shared" si="1"/>
        <v>1.36</v>
      </c>
      <c r="J107" s="66">
        <f t="shared" si="1"/>
        <v>1.29</v>
      </c>
      <c r="K107" s="66">
        <f t="shared" si="1"/>
        <v>358.68</v>
      </c>
      <c r="L107" s="66">
        <f t="shared" si="1"/>
        <v>36.82</v>
      </c>
      <c r="M107" s="66">
        <f t="shared" si="1"/>
        <v>73.569999999999993</v>
      </c>
      <c r="N107" s="66">
        <f t="shared" si="1"/>
        <v>535.6</v>
      </c>
      <c r="O107" s="66">
        <f t="shared" si="1"/>
        <v>0</v>
      </c>
      <c r="P107" s="66">
        <f t="shared" si="1"/>
        <v>3.65</v>
      </c>
      <c r="Q107" s="66">
        <f t="shared" si="1"/>
        <v>36.979999999999997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25.286562499999999</v>
      </c>
      <c r="C108" s="67">
        <f t="shared" ref="C108:Q108" si="2">AVERAGE(C9:C104)</f>
        <v>110.02916666666664</v>
      </c>
      <c r="D108" s="67">
        <f t="shared" si="2"/>
        <v>81.00052083333334</v>
      </c>
      <c r="E108" s="67">
        <f t="shared" si="2"/>
        <v>6.3307291666666643</v>
      </c>
      <c r="F108" s="67">
        <f t="shared" si="2"/>
        <v>5.0974999999999984</v>
      </c>
      <c r="G108" s="67">
        <f t="shared" si="2"/>
        <v>148.64250000000001</v>
      </c>
      <c r="H108" s="67">
        <f t="shared" si="2"/>
        <v>70.544895833333342</v>
      </c>
      <c r="I108" s="67">
        <f t="shared" si="2"/>
        <v>0.95427083333333396</v>
      </c>
      <c r="J108" s="67">
        <f t="shared" si="2"/>
        <v>0.31093750000000003</v>
      </c>
      <c r="K108" s="67">
        <f t="shared" si="2"/>
        <v>149.01937499999994</v>
      </c>
      <c r="L108" s="67">
        <f t="shared" si="2"/>
        <v>26.027916666666666</v>
      </c>
      <c r="M108" s="67">
        <f t="shared" si="2"/>
        <v>48.385520833333345</v>
      </c>
      <c r="N108" s="67">
        <f t="shared" si="2"/>
        <v>148.8729166666667</v>
      </c>
      <c r="O108" s="67">
        <f t="shared" si="2"/>
        <v>0</v>
      </c>
      <c r="P108" s="67">
        <f t="shared" si="2"/>
        <v>2.1673958333333334</v>
      </c>
      <c r="Q108" s="67">
        <f t="shared" si="2"/>
        <v>33.080312500000012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18.988717693360915</v>
      </c>
      <c r="C109" s="67">
        <f t="shared" ref="C109:Q109" si="3">STDEV(C9:C104)</f>
        <v>19.744692273683626</v>
      </c>
      <c r="D109" s="67">
        <f t="shared" si="3"/>
        <v>25.086849243957158</v>
      </c>
      <c r="E109" s="67">
        <f t="shared" si="3"/>
        <v>3.1423779948821164</v>
      </c>
      <c r="F109" s="67">
        <f t="shared" si="3"/>
        <v>8.1725545835468552</v>
      </c>
      <c r="G109" s="67">
        <f t="shared" si="3"/>
        <v>74.11821094497769</v>
      </c>
      <c r="H109" s="67">
        <f t="shared" si="3"/>
        <v>32.396522132859005</v>
      </c>
      <c r="I109" s="67">
        <f t="shared" si="3"/>
        <v>0.24640037932159067</v>
      </c>
      <c r="J109" s="67">
        <f t="shared" si="3"/>
        <v>0.29738891114781701</v>
      </c>
      <c r="K109" s="67">
        <f t="shared" si="3"/>
        <v>112.68986717454155</v>
      </c>
      <c r="L109" s="67">
        <f t="shared" si="3"/>
        <v>5.2498394795844412</v>
      </c>
      <c r="M109" s="67">
        <f t="shared" si="3"/>
        <v>17.191127936405888</v>
      </c>
      <c r="N109" s="67">
        <f t="shared" si="3"/>
        <v>200.90471398371216</v>
      </c>
      <c r="O109" s="67">
        <f t="shared" si="3"/>
        <v>0</v>
      </c>
      <c r="P109" s="67">
        <f t="shared" si="3"/>
        <v>0.80046597585954282</v>
      </c>
      <c r="Q109" s="67">
        <f t="shared" si="3"/>
        <v>2.2595427824067231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215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33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N110" sqref="N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20-02-2023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340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2072</v>
      </c>
      <c r="B9" s="60">
        <v>60.52</v>
      </c>
      <c r="C9" s="60">
        <v>136.41999999999999</v>
      </c>
      <c r="D9" s="60">
        <v>123.82</v>
      </c>
      <c r="E9" s="60">
        <v>4.6500000000000004</v>
      </c>
      <c r="F9" s="60">
        <v>1.4</v>
      </c>
      <c r="G9" s="60">
        <v>159.06</v>
      </c>
      <c r="H9" s="60">
        <v>64.459999999999994</v>
      </c>
      <c r="I9" s="60">
        <v>1.29</v>
      </c>
      <c r="J9" s="60">
        <v>0.08</v>
      </c>
      <c r="K9" s="60">
        <v>234.67</v>
      </c>
      <c r="L9" s="60">
        <v>22.91</v>
      </c>
      <c r="M9" s="60">
        <v>57.99</v>
      </c>
      <c r="N9" s="60">
        <v>3.6</v>
      </c>
      <c r="O9" s="60">
        <v>0</v>
      </c>
      <c r="P9" s="60">
        <v>2.73</v>
      </c>
      <c r="Q9" s="60">
        <v>37.630000000000003</v>
      </c>
      <c r="R9" s="198"/>
      <c r="S9" s="198"/>
      <c r="T9" s="198"/>
      <c r="U9" s="198"/>
    </row>
    <row r="10" spans="1:21" s="12" customFormat="1" x14ac:dyDescent="0.25">
      <c r="A10" s="201" t="s">
        <v>2073</v>
      </c>
      <c r="B10" s="60">
        <v>60.87</v>
      </c>
      <c r="C10" s="60">
        <v>135.56</v>
      </c>
      <c r="D10" s="60">
        <v>123.63</v>
      </c>
      <c r="E10" s="60">
        <v>4.57</v>
      </c>
      <c r="F10" s="60">
        <v>1.4</v>
      </c>
      <c r="G10" s="60">
        <v>149.66</v>
      </c>
      <c r="H10" s="60">
        <v>64.150000000000006</v>
      </c>
      <c r="I10" s="60">
        <v>1.31</v>
      </c>
      <c r="J10" s="60">
        <v>0.26</v>
      </c>
      <c r="K10" s="60">
        <v>41.28</v>
      </c>
      <c r="L10" s="60">
        <v>22.03</v>
      </c>
      <c r="M10" s="60">
        <v>62.55</v>
      </c>
      <c r="N10" s="60">
        <v>4.7</v>
      </c>
      <c r="O10" s="60">
        <v>0</v>
      </c>
      <c r="P10" s="60">
        <v>2.69</v>
      </c>
      <c r="Q10" s="60">
        <v>37.869999999999997</v>
      </c>
      <c r="R10" s="198"/>
      <c r="S10" s="198"/>
      <c r="T10" s="198"/>
      <c r="U10" s="198"/>
    </row>
    <row r="11" spans="1:21" s="12" customFormat="1" x14ac:dyDescent="0.25">
      <c r="A11" s="201" t="s">
        <v>2074</v>
      </c>
      <c r="B11" s="60">
        <v>58.22</v>
      </c>
      <c r="C11" s="60">
        <v>133.76</v>
      </c>
      <c r="D11" s="60">
        <v>120.51</v>
      </c>
      <c r="E11" s="60">
        <v>4.67</v>
      </c>
      <c r="F11" s="60">
        <v>1.4</v>
      </c>
      <c r="G11" s="60">
        <v>136.19999999999999</v>
      </c>
      <c r="H11" s="60">
        <v>63.7</v>
      </c>
      <c r="I11" s="60">
        <v>1.32</v>
      </c>
      <c r="J11" s="60">
        <v>0.11</v>
      </c>
      <c r="K11" s="60">
        <v>277.76</v>
      </c>
      <c r="L11" s="60">
        <v>21.89</v>
      </c>
      <c r="M11" s="60">
        <v>60.93</v>
      </c>
      <c r="N11" s="60">
        <v>4.5999999999999996</v>
      </c>
      <c r="O11" s="60">
        <v>0</v>
      </c>
      <c r="P11" s="60">
        <v>2.62</v>
      </c>
      <c r="Q11" s="60">
        <v>37.46</v>
      </c>
      <c r="R11" s="198"/>
      <c r="S11" s="198"/>
      <c r="T11" s="198"/>
      <c r="U11" s="198"/>
    </row>
    <row r="12" spans="1:21" s="12" customFormat="1" x14ac:dyDescent="0.25">
      <c r="A12" s="201" t="s">
        <v>2075</v>
      </c>
      <c r="B12" s="60">
        <v>54.98</v>
      </c>
      <c r="C12" s="60">
        <v>131.41</v>
      </c>
      <c r="D12" s="60">
        <v>116.61</v>
      </c>
      <c r="E12" s="60">
        <v>4.28</v>
      </c>
      <c r="F12" s="60">
        <v>1.4</v>
      </c>
      <c r="G12" s="60">
        <v>136.19999999999999</v>
      </c>
      <c r="H12" s="60">
        <v>63.7</v>
      </c>
      <c r="I12" s="60">
        <v>1.29</v>
      </c>
      <c r="J12" s="60">
        <v>0.12</v>
      </c>
      <c r="K12" s="60">
        <v>259.7</v>
      </c>
      <c r="L12" s="60">
        <v>21.57</v>
      </c>
      <c r="M12" s="60">
        <v>62.63</v>
      </c>
      <c r="N12" s="60">
        <v>4.3</v>
      </c>
      <c r="O12" s="60">
        <v>0</v>
      </c>
      <c r="P12" s="60">
        <v>2.54</v>
      </c>
      <c r="Q12" s="60">
        <v>37.130000000000003</v>
      </c>
      <c r="R12" s="198"/>
      <c r="S12" s="198"/>
      <c r="T12" s="198"/>
      <c r="U12" s="198"/>
    </row>
    <row r="13" spans="1:21" s="12" customFormat="1" x14ac:dyDescent="0.25">
      <c r="A13" s="201" t="s">
        <v>2076</v>
      </c>
      <c r="B13" s="60">
        <v>51.36</v>
      </c>
      <c r="C13" s="60">
        <v>128.88999999999999</v>
      </c>
      <c r="D13" s="60">
        <v>112.31</v>
      </c>
      <c r="E13" s="60">
        <v>4.5199999999999996</v>
      </c>
      <c r="F13" s="60">
        <v>1.4</v>
      </c>
      <c r="G13" s="60">
        <v>136.19999999999999</v>
      </c>
      <c r="H13" s="60">
        <v>63.7</v>
      </c>
      <c r="I13" s="60">
        <v>1.1599999999999999</v>
      </c>
      <c r="J13" s="60">
        <v>0.08</v>
      </c>
      <c r="K13" s="60">
        <v>304.43</v>
      </c>
      <c r="L13" s="60">
        <v>21.61</v>
      </c>
      <c r="M13" s="60">
        <v>61.15</v>
      </c>
      <c r="N13" s="60">
        <v>4.3</v>
      </c>
      <c r="O13" s="60">
        <v>0</v>
      </c>
      <c r="P13" s="60">
        <v>2.23</v>
      </c>
      <c r="Q13" s="60">
        <v>36.65</v>
      </c>
      <c r="R13" s="198"/>
      <c r="S13" s="198"/>
      <c r="T13" s="198"/>
      <c r="U13" s="198"/>
    </row>
    <row r="14" spans="1:21" s="12" customFormat="1" x14ac:dyDescent="0.25">
      <c r="A14" s="201" t="s">
        <v>2077</v>
      </c>
      <c r="B14" s="60">
        <v>47.56</v>
      </c>
      <c r="C14" s="60">
        <v>125.99</v>
      </c>
      <c r="D14" s="60">
        <v>107.67</v>
      </c>
      <c r="E14" s="60">
        <v>4.08</v>
      </c>
      <c r="F14" s="60">
        <v>1.45</v>
      </c>
      <c r="G14" s="60">
        <v>120.02</v>
      </c>
      <c r="H14" s="60">
        <v>59.26</v>
      </c>
      <c r="I14" s="60">
        <v>1.1200000000000001</v>
      </c>
      <c r="J14" s="60">
        <v>0.09</v>
      </c>
      <c r="K14" s="60">
        <v>27.7</v>
      </c>
      <c r="L14" s="60">
        <v>21.17</v>
      </c>
      <c r="M14" s="60">
        <v>61.99</v>
      </c>
      <c r="N14" s="60">
        <v>4.5</v>
      </c>
      <c r="O14" s="60">
        <v>0</v>
      </c>
      <c r="P14" s="60">
        <v>2.2799999999999998</v>
      </c>
      <c r="Q14" s="60">
        <v>36.119999999999997</v>
      </c>
      <c r="R14" s="198"/>
      <c r="S14" s="198"/>
      <c r="T14" s="198"/>
      <c r="U14" s="198"/>
    </row>
    <row r="15" spans="1:21" s="12" customFormat="1" x14ac:dyDescent="0.25">
      <c r="A15" s="201" t="s">
        <v>2078</v>
      </c>
      <c r="B15" s="60">
        <v>43.67</v>
      </c>
      <c r="C15" s="60">
        <v>123.09</v>
      </c>
      <c r="D15" s="60">
        <v>102.95</v>
      </c>
      <c r="E15" s="60">
        <v>4.32</v>
      </c>
      <c r="F15" s="60">
        <v>1.44</v>
      </c>
      <c r="G15" s="60">
        <v>96.84</v>
      </c>
      <c r="H15" s="60">
        <v>52.89</v>
      </c>
      <c r="I15" s="60">
        <v>1.08</v>
      </c>
      <c r="J15" s="60">
        <v>0.04</v>
      </c>
      <c r="K15" s="60">
        <v>174.82</v>
      </c>
      <c r="L15" s="60">
        <v>20.94</v>
      </c>
      <c r="M15" s="60">
        <v>59.68</v>
      </c>
      <c r="N15" s="60">
        <v>4.3</v>
      </c>
      <c r="O15" s="60">
        <v>0</v>
      </c>
      <c r="P15" s="60">
        <v>2.19</v>
      </c>
      <c r="Q15" s="60">
        <v>35.47</v>
      </c>
      <c r="R15" s="198"/>
      <c r="S15" s="198"/>
      <c r="T15" s="198"/>
      <c r="U15" s="198"/>
    </row>
    <row r="16" spans="1:21" s="12" customFormat="1" x14ac:dyDescent="0.25">
      <c r="A16" s="201" t="s">
        <v>2079</v>
      </c>
      <c r="B16" s="60">
        <v>36.93</v>
      </c>
      <c r="C16" s="60">
        <v>114.72</v>
      </c>
      <c r="D16" s="60">
        <v>92.93</v>
      </c>
      <c r="E16" s="60">
        <v>4.2699999999999996</v>
      </c>
      <c r="F16" s="60">
        <v>2.35</v>
      </c>
      <c r="G16" s="60">
        <v>96.84</v>
      </c>
      <c r="H16" s="60">
        <v>52.89</v>
      </c>
      <c r="I16" s="60">
        <v>1.05</v>
      </c>
      <c r="J16" s="60">
        <v>0.1</v>
      </c>
      <c r="K16" s="60">
        <v>258.39</v>
      </c>
      <c r="L16" s="60">
        <v>20.99</v>
      </c>
      <c r="M16" s="60">
        <v>56.68</v>
      </c>
      <c r="N16" s="60">
        <v>4.3</v>
      </c>
      <c r="O16" s="60">
        <v>0</v>
      </c>
      <c r="P16" s="60">
        <v>2.08</v>
      </c>
      <c r="Q16" s="60">
        <v>34.590000000000003</v>
      </c>
      <c r="R16" s="198"/>
      <c r="S16" s="198"/>
      <c r="T16" s="198"/>
      <c r="U16" s="198"/>
    </row>
    <row r="17" spans="1:21" s="12" customFormat="1" x14ac:dyDescent="0.25">
      <c r="A17" s="201" t="s">
        <v>2080</v>
      </c>
      <c r="B17" s="60">
        <v>35.159999999999997</v>
      </c>
      <c r="C17" s="60">
        <v>112.87</v>
      </c>
      <c r="D17" s="60">
        <v>90.49</v>
      </c>
      <c r="E17" s="60">
        <v>4.03</v>
      </c>
      <c r="F17" s="60">
        <v>1.91</v>
      </c>
      <c r="G17" s="60">
        <v>96.84</v>
      </c>
      <c r="H17" s="60">
        <v>52.89</v>
      </c>
      <c r="I17" s="60">
        <v>1.02</v>
      </c>
      <c r="J17" s="60">
        <v>0.01</v>
      </c>
      <c r="K17" s="60">
        <v>192.77</v>
      </c>
      <c r="L17" s="60">
        <v>20.81</v>
      </c>
      <c r="M17" s="60">
        <v>55.06</v>
      </c>
      <c r="N17" s="60">
        <v>4.4000000000000004</v>
      </c>
      <c r="O17" s="60">
        <v>0</v>
      </c>
      <c r="P17" s="60">
        <v>2.04</v>
      </c>
      <c r="Q17" s="60">
        <v>33.909999999999997</v>
      </c>
      <c r="R17" s="198"/>
      <c r="S17" s="198"/>
      <c r="T17" s="198"/>
      <c r="U17" s="198"/>
    </row>
    <row r="18" spans="1:21" s="12" customFormat="1" x14ac:dyDescent="0.25">
      <c r="A18" s="201" t="s">
        <v>2081</v>
      </c>
      <c r="B18" s="60">
        <v>32.22</v>
      </c>
      <c r="C18" s="60">
        <v>110.01</v>
      </c>
      <c r="D18" s="60">
        <v>86.55</v>
      </c>
      <c r="E18" s="60">
        <v>3.7</v>
      </c>
      <c r="F18" s="60">
        <v>1.86</v>
      </c>
      <c r="G18" s="60">
        <v>90.82</v>
      </c>
      <c r="H18" s="60">
        <v>50.08</v>
      </c>
      <c r="I18" s="60">
        <v>0.99</v>
      </c>
      <c r="J18" s="60">
        <v>0.05</v>
      </c>
      <c r="K18" s="60">
        <v>225.41</v>
      </c>
      <c r="L18" s="60">
        <v>20.72</v>
      </c>
      <c r="M18" s="60">
        <v>54.19</v>
      </c>
      <c r="N18" s="60">
        <v>4.5</v>
      </c>
      <c r="O18" s="60">
        <v>0</v>
      </c>
      <c r="P18" s="60">
        <v>1.96</v>
      </c>
      <c r="Q18" s="60">
        <v>33.72</v>
      </c>
      <c r="R18" s="198"/>
      <c r="S18" s="198"/>
      <c r="T18" s="198"/>
      <c r="U18" s="198"/>
    </row>
    <row r="19" spans="1:21" s="12" customFormat="1" x14ac:dyDescent="0.25">
      <c r="A19" s="201" t="s">
        <v>2082</v>
      </c>
      <c r="B19" s="60">
        <v>32.65</v>
      </c>
      <c r="C19" s="60">
        <v>110.63</v>
      </c>
      <c r="D19" s="60">
        <v>87.24</v>
      </c>
      <c r="E19" s="60">
        <v>3.83</v>
      </c>
      <c r="F19" s="60">
        <v>1.71</v>
      </c>
      <c r="G19" s="60">
        <v>82.2</v>
      </c>
      <c r="H19" s="60">
        <v>46.05</v>
      </c>
      <c r="I19" s="60">
        <v>0.97</v>
      </c>
      <c r="J19" s="60">
        <v>7.0000000000000007E-2</v>
      </c>
      <c r="K19" s="60">
        <v>282.42</v>
      </c>
      <c r="L19" s="60">
        <v>20.49</v>
      </c>
      <c r="M19" s="60">
        <v>54.03</v>
      </c>
      <c r="N19" s="60">
        <v>4.5</v>
      </c>
      <c r="O19" s="60">
        <v>0</v>
      </c>
      <c r="P19" s="60">
        <v>1.95</v>
      </c>
      <c r="Q19" s="60">
        <v>33.71</v>
      </c>
      <c r="R19" s="198"/>
      <c r="S19" s="198"/>
      <c r="T19" s="198"/>
      <c r="U19" s="198"/>
    </row>
    <row r="20" spans="1:21" s="12" customFormat="1" x14ac:dyDescent="0.25">
      <c r="A20" s="201" t="s">
        <v>2083</v>
      </c>
      <c r="B20" s="60">
        <v>32.369999999999997</v>
      </c>
      <c r="C20" s="60">
        <v>109.3</v>
      </c>
      <c r="D20" s="60">
        <v>86.27</v>
      </c>
      <c r="E20" s="60">
        <v>3.6</v>
      </c>
      <c r="F20" s="60">
        <v>1.65</v>
      </c>
      <c r="G20" s="60">
        <v>82.2</v>
      </c>
      <c r="H20" s="60">
        <v>46.05</v>
      </c>
      <c r="I20" s="60">
        <v>0.95</v>
      </c>
      <c r="J20" s="60">
        <v>0.11</v>
      </c>
      <c r="K20" s="60">
        <v>328.24</v>
      </c>
      <c r="L20" s="60">
        <v>20.68</v>
      </c>
      <c r="M20" s="60">
        <v>51.99</v>
      </c>
      <c r="N20" s="60">
        <v>4.3</v>
      </c>
      <c r="O20" s="60">
        <v>0</v>
      </c>
      <c r="P20" s="60">
        <v>1.9</v>
      </c>
      <c r="Q20" s="60">
        <v>33.61</v>
      </c>
      <c r="R20" s="198"/>
      <c r="S20" s="198"/>
      <c r="T20" s="198"/>
      <c r="U20" s="198"/>
    </row>
    <row r="21" spans="1:21" s="12" customFormat="1" x14ac:dyDescent="0.25">
      <c r="A21" s="201" t="s">
        <v>2084</v>
      </c>
      <c r="B21" s="60">
        <v>31.13</v>
      </c>
      <c r="C21" s="60">
        <v>107.62</v>
      </c>
      <c r="D21" s="60">
        <v>84.35</v>
      </c>
      <c r="E21" s="60">
        <v>3.56</v>
      </c>
      <c r="F21" s="60">
        <v>1.51</v>
      </c>
      <c r="G21" s="60">
        <v>82.2</v>
      </c>
      <c r="H21" s="60">
        <v>46.05</v>
      </c>
      <c r="I21" s="60">
        <v>0.95</v>
      </c>
      <c r="J21" s="60">
        <v>0.1</v>
      </c>
      <c r="K21" s="60">
        <v>298.79000000000002</v>
      </c>
      <c r="L21" s="60">
        <v>20.34</v>
      </c>
      <c r="M21" s="60">
        <v>53.37</v>
      </c>
      <c r="N21" s="60">
        <v>4.4000000000000004</v>
      </c>
      <c r="O21" s="60">
        <v>0</v>
      </c>
      <c r="P21" s="60">
        <v>1.83</v>
      </c>
      <c r="Q21" s="60">
        <v>33.590000000000003</v>
      </c>
      <c r="R21" s="198"/>
      <c r="S21" s="198"/>
      <c r="T21" s="198"/>
      <c r="U21" s="198"/>
    </row>
    <row r="22" spans="1:21" s="12" customFormat="1" x14ac:dyDescent="0.25">
      <c r="A22" s="201" t="s">
        <v>2085</v>
      </c>
      <c r="B22" s="60">
        <v>29.82</v>
      </c>
      <c r="C22" s="60">
        <v>106.26</v>
      </c>
      <c r="D22" s="60">
        <v>82.55</v>
      </c>
      <c r="E22" s="60">
        <v>3.64</v>
      </c>
      <c r="F22" s="60">
        <v>1.49</v>
      </c>
      <c r="G22" s="60">
        <v>73.31</v>
      </c>
      <c r="H22" s="60">
        <v>44.45</v>
      </c>
      <c r="I22" s="60">
        <v>0.94</v>
      </c>
      <c r="J22" s="60">
        <v>0.22</v>
      </c>
      <c r="K22" s="60">
        <v>346.13</v>
      </c>
      <c r="L22" s="60">
        <v>20.16</v>
      </c>
      <c r="M22" s="60">
        <v>53.29</v>
      </c>
      <c r="N22" s="60">
        <v>3.9</v>
      </c>
      <c r="O22" s="60">
        <v>0</v>
      </c>
      <c r="P22" s="60">
        <v>1.78</v>
      </c>
      <c r="Q22" s="60">
        <v>33.35</v>
      </c>
      <c r="R22" s="198"/>
      <c r="S22" s="198"/>
      <c r="T22" s="198"/>
      <c r="U22" s="198"/>
    </row>
    <row r="23" spans="1:21" s="12" customFormat="1" x14ac:dyDescent="0.25">
      <c r="A23" s="201" t="s">
        <v>2086</v>
      </c>
      <c r="B23" s="60">
        <v>28.78</v>
      </c>
      <c r="C23" s="60">
        <v>105.93</v>
      </c>
      <c r="D23" s="60">
        <v>81.540000000000006</v>
      </c>
      <c r="E23" s="60">
        <v>3.95</v>
      </c>
      <c r="F23" s="60">
        <v>1.42</v>
      </c>
      <c r="G23" s="60">
        <v>60.58</v>
      </c>
      <c r="H23" s="60">
        <v>42.15</v>
      </c>
      <c r="I23" s="60">
        <v>0.92</v>
      </c>
      <c r="J23" s="60">
        <v>0.14000000000000001</v>
      </c>
      <c r="K23" s="60">
        <v>358.76</v>
      </c>
      <c r="L23" s="60">
        <v>20.059999999999999</v>
      </c>
      <c r="M23" s="60">
        <v>53.51</v>
      </c>
      <c r="N23" s="60">
        <v>4.5</v>
      </c>
      <c r="O23" s="60">
        <v>0</v>
      </c>
      <c r="P23" s="60">
        <v>1.74</v>
      </c>
      <c r="Q23" s="60">
        <v>33.5</v>
      </c>
      <c r="R23" s="198"/>
      <c r="S23" s="198"/>
      <c r="T23" s="198"/>
      <c r="U23" s="198"/>
    </row>
    <row r="24" spans="1:21" s="12" customFormat="1" x14ac:dyDescent="0.25">
      <c r="A24" s="201" t="s">
        <v>2087</v>
      </c>
      <c r="B24" s="60">
        <v>27.22</v>
      </c>
      <c r="C24" s="60">
        <v>105.22</v>
      </c>
      <c r="D24" s="60">
        <v>79.89</v>
      </c>
      <c r="E24" s="60">
        <v>3</v>
      </c>
      <c r="F24" s="60">
        <v>1.52</v>
      </c>
      <c r="G24" s="60">
        <v>60.58</v>
      </c>
      <c r="H24" s="60">
        <v>42.15</v>
      </c>
      <c r="I24" s="60">
        <v>0.92</v>
      </c>
      <c r="J24" s="60">
        <v>0.55000000000000004</v>
      </c>
      <c r="K24" s="60">
        <v>10.69</v>
      </c>
      <c r="L24" s="60">
        <v>19.899999999999999</v>
      </c>
      <c r="M24" s="60">
        <v>56.18</v>
      </c>
      <c r="N24" s="60">
        <v>3.4</v>
      </c>
      <c r="O24" s="60">
        <v>0</v>
      </c>
      <c r="P24" s="60">
        <v>1.67</v>
      </c>
      <c r="Q24" s="60">
        <v>34.15</v>
      </c>
      <c r="R24" s="198"/>
      <c r="S24" s="198"/>
      <c r="T24" s="198"/>
      <c r="U24" s="198"/>
    </row>
    <row r="25" spans="1:21" s="12" customFormat="1" x14ac:dyDescent="0.25">
      <c r="A25" s="201" t="s">
        <v>2088</v>
      </c>
      <c r="B25" s="60">
        <v>25.05</v>
      </c>
      <c r="C25" s="60">
        <v>103.94</v>
      </c>
      <c r="D25" s="60">
        <v>77.45</v>
      </c>
      <c r="E25" s="60">
        <v>5.34</v>
      </c>
      <c r="F25" s="60">
        <v>1.5</v>
      </c>
      <c r="G25" s="60">
        <v>60.58</v>
      </c>
      <c r="H25" s="60">
        <v>42.15</v>
      </c>
      <c r="I25" s="60">
        <v>0.91</v>
      </c>
      <c r="J25" s="60">
        <v>0.48</v>
      </c>
      <c r="K25" s="60">
        <v>16.5</v>
      </c>
      <c r="L25" s="60">
        <v>19.87</v>
      </c>
      <c r="M25" s="60">
        <v>56.65</v>
      </c>
      <c r="N25" s="60">
        <v>4</v>
      </c>
      <c r="O25" s="60">
        <v>0</v>
      </c>
      <c r="P25" s="60">
        <v>1.6</v>
      </c>
      <c r="Q25" s="60">
        <v>33.840000000000003</v>
      </c>
      <c r="R25" s="198"/>
      <c r="S25" s="198"/>
      <c r="T25" s="198"/>
      <c r="U25" s="198"/>
    </row>
    <row r="26" spans="1:21" s="12" customFormat="1" x14ac:dyDescent="0.25">
      <c r="A26" s="201" t="s">
        <v>2089</v>
      </c>
      <c r="B26" s="60">
        <v>23.09</v>
      </c>
      <c r="C26" s="60">
        <v>102.97</v>
      </c>
      <c r="D26" s="60">
        <v>75.34</v>
      </c>
      <c r="E26" s="60">
        <v>4.84</v>
      </c>
      <c r="F26" s="60">
        <v>1.42</v>
      </c>
      <c r="G26" s="60">
        <v>60.87</v>
      </c>
      <c r="H26" s="60">
        <v>40.92</v>
      </c>
      <c r="I26" s="60">
        <v>0.87</v>
      </c>
      <c r="J26" s="60">
        <v>0.33</v>
      </c>
      <c r="K26" s="60">
        <v>13.66</v>
      </c>
      <c r="L26" s="60">
        <v>19.600000000000001</v>
      </c>
      <c r="M26" s="60">
        <v>58.68</v>
      </c>
      <c r="N26" s="60">
        <v>4.4000000000000004</v>
      </c>
      <c r="O26" s="60">
        <v>0</v>
      </c>
      <c r="P26" s="60">
        <v>1.56</v>
      </c>
      <c r="Q26" s="60">
        <v>33.19</v>
      </c>
      <c r="R26" s="198"/>
      <c r="S26" s="198"/>
      <c r="T26" s="198"/>
      <c r="U26" s="198"/>
    </row>
    <row r="27" spans="1:21" s="12" customFormat="1" x14ac:dyDescent="0.25">
      <c r="A27" s="201" t="s">
        <v>2090</v>
      </c>
      <c r="B27" s="60">
        <v>21.5</v>
      </c>
      <c r="C27" s="60">
        <v>102.05</v>
      </c>
      <c r="D27" s="60">
        <v>73.56</v>
      </c>
      <c r="E27" s="60">
        <v>4.8099999999999996</v>
      </c>
      <c r="F27" s="60">
        <v>1.51</v>
      </c>
      <c r="G27" s="60">
        <v>61.28</v>
      </c>
      <c r="H27" s="60">
        <v>39.15</v>
      </c>
      <c r="I27" s="60">
        <v>0.85</v>
      </c>
      <c r="J27" s="60">
        <v>0.8</v>
      </c>
      <c r="K27" s="60">
        <v>14.52</v>
      </c>
      <c r="L27" s="60">
        <v>19.399999999999999</v>
      </c>
      <c r="M27" s="60">
        <v>60.69</v>
      </c>
      <c r="N27" s="60">
        <v>3.6</v>
      </c>
      <c r="O27" s="60">
        <v>0</v>
      </c>
      <c r="P27" s="60">
        <v>1.51</v>
      </c>
      <c r="Q27" s="60">
        <v>32.85</v>
      </c>
      <c r="R27" s="198"/>
      <c r="S27" s="198"/>
      <c r="T27" s="198"/>
      <c r="U27" s="198"/>
    </row>
    <row r="28" spans="1:21" s="12" customFormat="1" x14ac:dyDescent="0.25">
      <c r="A28" s="201" t="s">
        <v>2091</v>
      </c>
      <c r="B28" s="60">
        <v>19.68</v>
      </c>
      <c r="C28" s="60">
        <v>101.08</v>
      </c>
      <c r="D28" s="60">
        <v>71.569999999999993</v>
      </c>
      <c r="E28" s="60">
        <v>5.4</v>
      </c>
      <c r="F28" s="60">
        <v>1.42</v>
      </c>
      <c r="G28" s="60">
        <v>61.28</v>
      </c>
      <c r="H28" s="60">
        <v>39.15</v>
      </c>
      <c r="I28" s="60">
        <v>0.83</v>
      </c>
      <c r="J28" s="60">
        <v>0.43</v>
      </c>
      <c r="K28" s="60">
        <v>358.56</v>
      </c>
      <c r="L28" s="60">
        <v>19.149999999999999</v>
      </c>
      <c r="M28" s="60">
        <v>62.45</v>
      </c>
      <c r="N28" s="60">
        <v>4.4000000000000004</v>
      </c>
      <c r="O28" s="60">
        <v>0</v>
      </c>
      <c r="P28" s="60">
        <v>1.48</v>
      </c>
      <c r="Q28" s="60">
        <v>32.479999999999997</v>
      </c>
      <c r="R28" s="198"/>
      <c r="S28" s="198"/>
      <c r="T28" s="198"/>
      <c r="U28" s="198"/>
    </row>
    <row r="29" spans="1:21" s="12" customFormat="1" x14ac:dyDescent="0.25">
      <c r="A29" s="201" t="s">
        <v>2092</v>
      </c>
      <c r="B29" s="60">
        <v>18.329999999999998</v>
      </c>
      <c r="C29" s="60">
        <v>100.26</v>
      </c>
      <c r="D29" s="60">
        <v>70.03</v>
      </c>
      <c r="E29" s="60">
        <v>5.14</v>
      </c>
      <c r="F29" s="60">
        <v>1.43</v>
      </c>
      <c r="G29" s="60">
        <v>61.28</v>
      </c>
      <c r="H29" s="60">
        <v>39.15</v>
      </c>
      <c r="I29" s="60">
        <v>0.8</v>
      </c>
      <c r="J29" s="60">
        <v>0.53</v>
      </c>
      <c r="K29" s="60">
        <v>13.13</v>
      </c>
      <c r="L29" s="60">
        <v>19.059999999999999</v>
      </c>
      <c r="M29" s="60">
        <v>63.73</v>
      </c>
      <c r="N29" s="60">
        <v>4.0999999999999996</v>
      </c>
      <c r="O29" s="60">
        <v>0</v>
      </c>
      <c r="P29" s="60">
        <v>1.48</v>
      </c>
      <c r="Q29" s="60">
        <v>32</v>
      </c>
      <c r="R29" s="198"/>
      <c r="S29" s="198"/>
      <c r="T29" s="198"/>
      <c r="U29" s="198"/>
    </row>
    <row r="30" spans="1:21" s="12" customFormat="1" x14ac:dyDescent="0.25">
      <c r="A30" s="201" t="s">
        <v>2093</v>
      </c>
      <c r="B30" s="60">
        <v>17.7</v>
      </c>
      <c r="C30" s="60">
        <v>99.36</v>
      </c>
      <c r="D30" s="60">
        <v>69.03</v>
      </c>
      <c r="E30" s="60">
        <v>5.0199999999999996</v>
      </c>
      <c r="F30" s="60">
        <v>1.4</v>
      </c>
      <c r="G30" s="60">
        <v>73.180000000000007</v>
      </c>
      <c r="H30" s="60">
        <v>42.04</v>
      </c>
      <c r="I30" s="60">
        <v>0.77</v>
      </c>
      <c r="J30" s="60">
        <v>0.41</v>
      </c>
      <c r="K30" s="60">
        <v>3.27</v>
      </c>
      <c r="L30" s="60">
        <v>19.03</v>
      </c>
      <c r="M30" s="60">
        <v>64.739999999999995</v>
      </c>
      <c r="N30" s="60">
        <v>4.3</v>
      </c>
      <c r="O30" s="60">
        <v>0</v>
      </c>
      <c r="P30" s="60">
        <v>1.49</v>
      </c>
      <c r="Q30" s="60">
        <v>31.19</v>
      </c>
      <c r="R30" s="198"/>
      <c r="S30" s="198"/>
      <c r="T30" s="198"/>
      <c r="U30" s="198"/>
    </row>
    <row r="31" spans="1:21" s="12" customFormat="1" x14ac:dyDescent="0.25">
      <c r="A31" s="201" t="s">
        <v>2094</v>
      </c>
      <c r="B31" s="60">
        <v>18.010000000000002</v>
      </c>
      <c r="C31" s="60">
        <v>99.74</v>
      </c>
      <c r="D31" s="60">
        <v>69.489999999999995</v>
      </c>
      <c r="E31" s="60">
        <v>5.24</v>
      </c>
      <c r="F31" s="60">
        <v>1.4</v>
      </c>
      <c r="G31" s="60">
        <v>90.23</v>
      </c>
      <c r="H31" s="60">
        <v>46.17</v>
      </c>
      <c r="I31" s="60">
        <v>0.76</v>
      </c>
      <c r="J31" s="60">
        <v>0.14000000000000001</v>
      </c>
      <c r="K31" s="60">
        <v>4.79</v>
      </c>
      <c r="L31" s="60">
        <v>18.8</v>
      </c>
      <c r="M31" s="60">
        <v>66.290000000000006</v>
      </c>
      <c r="N31" s="60">
        <v>4.7</v>
      </c>
      <c r="O31" s="60">
        <v>0</v>
      </c>
      <c r="P31" s="60">
        <v>1.51</v>
      </c>
      <c r="Q31" s="60">
        <v>30.49</v>
      </c>
      <c r="R31" s="198"/>
      <c r="S31" s="198"/>
      <c r="T31" s="198"/>
      <c r="U31" s="198"/>
    </row>
    <row r="32" spans="1:21" s="12" customFormat="1" x14ac:dyDescent="0.25">
      <c r="A32" s="201" t="s">
        <v>2095</v>
      </c>
      <c r="B32" s="60">
        <v>18.739999999999998</v>
      </c>
      <c r="C32" s="60">
        <v>100.52</v>
      </c>
      <c r="D32" s="60">
        <v>70.5</v>
      </c>
      <c r="E32" s="60">
        <v>5</v>
      </c>
      <c r="F32" s="60">
        <v>1.4</v>
      </c>
      <c r="G32" s="60">
        <v>90.23</v>
      </c>
      <c r="H32" s="60">
        <v>46.17</v>
      </c>
      <c r="I32" s="60">
        <v>0.74</v>
      </c>
      <c r="J32" s="60">
        <v>0.06</v>
      </c>
      <c r="K32" s="60">
        <v>174.06</v>
      </c>
      <c r="L32" s="60">
        <v>18.559999999999999</v>
      </c>
      <c r="M32" s="60">
        <v>66.930000000000007</v>
      </c>
      <c r="N32" s="60">
        <v>4.5999999999999996</v>
      </c>
      <c r="O32" s="60">
        <v>0</v>
      </c>
      <c r="P32" s="60">
        <v>1.52</v>
      </c>
      <c r="Q32" s="60">
        <v>30.33</v>
      </c>
      <c r="R32" s="198"/>
      <c r="S32" s="198"/>
      <c r="T32" s="198"/>
      <c r="U32" s="198"/>
    </row>
    <row r="33" spans="1:21" s="12" customFormat="1" x14ac:dyDescent="0.25">
      <c r="A33" s="201" t="s">
        <v>2096</v>
      </c>
      <c r="B33" s="60">
        <v>18.899999999999999</v>
      </c>
      <c r="C33" s="60">
        <v>100.65</v>
      </c>
      <c r="D33" s="60">
        <v>70.7</v>
      </c>
      <c r="E33" s="60">
        <v>4.87</v>
      </c>
      <c r="F33" s="60">
        <v>1.4</v>
      </c>
      <c r="G33" s="60">
        <v>90.23</v>
      </c>
      <c r="H33" s="60">
        <v>46.17</v>
      </c>
      <c r="I33" s="60">
        <v>0.75</v>
      </c>
      <c r="J33" s="60">
        <v>7.0000000000000007E-2</v>
      </c>
      <c r="K33" s="60">
        <v>225.72</v>
      </c>
      <c r="L33" s="60">
        <v>18.399999999999999</v>
      </c>
      <c r="M33" s="60">
        <v>67.53</v>
      </c>
      <c r="N33" s="60">
        <v>4.9000000000000004</v>
      </c>
      <c r="O33" s="60">
        <v>0</v>
      </c>
      <c r="P33" s="60">
        <v>1.53</v>
      </c>
      <c r="Q33" s="60">
        <v>30.4</v>
      </c>
      <c r="R33" s="198"/>
      <c r="S33" s="198"/>
      <c r="T33" s="198"/>
      <c r="U33" s="198"/>
    </row>
    <row r="34" spans="1:21" s="12" customFormat="1" x14ac:dyDescent="0.25">
      <c r="A34" s="201" t="s">
        <v>2097</v>
      </c>
      <c r="B34" s="60">
        <v>19.29</v>
      </c>
      <c r="C34" s="60">
        <v>100.39</v>
      </c>
      <c r="D34" s="60">
        <v>70.87</v>
      </c>
      <c r="E34" s="60">
        <v>5.32</v>
      </c>
      <c r="F34" s="60">
        <v>1.41</v>
      </c>
      <c r="G34" s="60">
        <v>120.19</v>
      </c>
      <c r="H34" s="60">
        <v>51.34</v>
      </c>
      <c r="I34" s="60">
        <v>0.75</v>
      </c>
      <c r="J34" s="60">
        <v>0.08</v>
      </c>
      <c r="K34" s="60">
        <v>332.38</v>
      </c>
      <c r="L34" s="60">
        <v>18.02</v>
      </c>
      <c r="M34" s="60">
        <v>71</v>
      </c>
      <c r="N34" s="60">
        <v>6.7</v>
      </c>
      <c r="O34" s="60">
        <v>0</v>
      </c>
      <c r="P34" s="60">
        <v>1.56</v>
      </c>
      <c r="Q34" s="60">
        <v>30.38</v>
      </c>
      <c r="R34" s="198"/>
      <c r="S34" s="198"/>
      <c r="T34" s="198"/>
      <c r="U34" s="198"/>
    </row>
    <row r="35" spans="1:21" s="12" customFormat="1" x14ac:dyDescent="0.25">
      <c r="A35" s="201" t="s">
        <v>2098</v>
      </c>
      <c r="B35" s="60">
        <v>22.53</v>
      </c>
      <c r="C35" s="60">
        <v>101.86</v>
      </c>
      <c r="D35" s="60">
        <v>74.28</v>
      </c>
      <c r="E35" s="60">
        <v>5.23</v>
      </c>
      <c r="F35" s="60">
        <v>1.4</v>
      </c>
      <c r="G35" s="60">
        <v>163.11000000000001</v>
      </c>
      <c r="H35" s="60">
        <v>59.09</v>
      </c>
      <c r="I35" s="60">
        <v>0.74</v>
      </c>
      <c r="J35" s="60">
        <v>0.03</v>
      </c>
      <c r="K35" s="60">
        <v>315.17</v>
      </c>
      <c r="L35" s="60">
        <v>17.88</v>
      </c>
      <c r="M35" s="60">
        <v>73.17</v>
      </c>
      <c r="N35" s="60">
        <v>14.3</v>
      </c>
      <c r="O35" s="60">
        <v>0</v>
      </c>
      <c r="P35" s="60">
        <v>1.6</v>
      </c>
      <c r="Q35" s="60">
        <v>30.46</v>
      </c>
      <c r="R35" s="198"/>
      <c r="S35" s="198"/>
      <c r="T35" s="198"/>
      <c r="U35" s="198"/>
    </row>
    <row r="36" spans="1:21" s="12" customFormat="1" x14ac:dyDescent="0.25">
      <c r="A36" s="201" t="s">
        <v>2099</v>
      </c>
      <c r="B36" s="60">
        <v>26.16</v>
      </c>
      <c r="C36" s="60">
        <v>103.79</v>
      </c>
      <c r="D36" s="60">
        <v>78.260000000000005</v>
      </c>
      <c r="E36" s="60">
        <v>4.71</v>
      </c>
      <c r="F36" s="60">
        <v>1.4</v>
      </c>
      <c r="G36" s="60">
        <v>163.11000000000001</v>
      </c>
      <c r="H36" s="60">
        <v>59.09</v>
      </c>
      <c r="I36" s="60">
        <v>0.75</v>
      </c>
      <c r="J36" s="60">
        <v>0.16</v>
      </c>
      <c r="K36" s="60">
        <v>266.83</v>
      </c>
      <c r="L36" s="60">
        <v>18.440000000000001</v>
      </c>
      <c r="M36" s="60">
        <v>71.05</v>
      </c>
      <c r="N36" s="60">
        <v>27.1</v>
      </c>
      <c r="O36" s="60">
        <v>0</v>
      </c>
      <c r="P36" s="60">
        <v>1.65</v>
      </c>
      <c r="Q36" s="60">
        <v>30.81</v>
      </c>
      <c r="R36" s="198"/>
      <c r="S36" s="198"/>
      <c r="T36" s="198"/>
      <c r="U36" s="198"/>
    </row>
    <row r="37" spans="1:21" s="12" customFormat="1" x14ac:dyDescent="0.25">
      <c r="A37" s="201" t="s">
        <v>2100</v>
      </c>
      <c r="B37" s="60">
        <v>28.58</v>
      </c>
      <c r="C37" s="60">
        <v>104.96</v>
      </c>
      <c r="D37" s="60">
        <v>80.849999999999994</v>
      </c>
      <c r="E37" s="60">
        <v>5.1100000000000003</v>
      </c>
      <c r="F37" s="60">
        <v>1.4</v>
      </c>
      <c r="G37" s="60">
        <v>163.11000000000001</v>
      </c>
      <c r="H37" s="60">
        <v>59.09</v>
      </c>
      <c r="I37" s="60">
        <v>0.76</v>
      </c>
      <c r="J37" s="60">
        <v>0.11</v>
      </c>
      <c r="K37" s="60">
        <v>303.91000000000003</v>
      </c>
      <c r="L37" s="60">
        <v>19.34</v>
      </c>
      <c r="M37" s="60">
        <v>68.739999999999995</v>
      </c>
      <c r="N37" s="60">
        <v>59.9</v>
      </c>
      <c r="O37" s="60">
        <v>0</v>
      </c>
      <c r="P37" s="60">
        <v>1.63</v>
      </c>
      <c r="Q37" s="60">
        <v>31.14</v>
      </c>
      <c r="R37" s="198"/>
      <c r="S37" s="198"/>
      <c r="T37" s="198"/>
      <c r="U37" s="198"/>
    </row>
    <row r="38" spans="1:21" s="12" customFormat="1" x14ac:dyDescent="0.25">
      <c r="A38" s="201" t="s">
        <v>2101</v>
      </c>
      <c r="B38" s="60">
        <v>32.82</v>
      </c>
      <c r="C38" s="60">
        <v>107.01</v>
      </c>
      <c r="D38" s="60">
        <v>85.38</v>
      </c>
      <c r="E38" s="60">
        <v>5.59</v>
      </c>
      <c r="F38" s="60">
        <v>1.4</v>
      </c>
      <c r="G38" s="60">
        <v>179.82</v>
      </c>
      <c r="H38" s="60">
        <v>66.14</v>
      </c>
      <c r="I38" s="60">
        <v>0.76</v>
      </c>
      <c r="J38" s="60">
        <v>0.06</v>
      </c>
      <c r="K38" s="60">
        <v>225.49</v>
      </c>
      <c r="L38" s="60">
        <v>20.77</v>
      </c>
      <c r="M38" s="60">
        <v>64.28</v>
      </c>
      <c r="N38" s="60">
        <v>101.7</v>
      </c>
      <c r="O38" s="60">
        <v>0</v>
      </c>
      <c r="P38" s="60">
        <v>1.78</v>
      </c>
      <c r="Q38" s="60">
        <v>32.090000000000003</v>
      </c>
      <c r="R38" s="198"/>
      <c r="S38" s="198"/>
      <c r="T38" s="198"/>
      <c r="U38" s="198"/>
    </row>
    <row r="39" spans="1:21" s="12" customFormat="1" x14ac:dyDescent="0.25">
      <c r="A39" s="201" t="s">
        <v>2102</v>
      </c>
      <c r="B39" s="60">
        <v>38.18</v>
      </c>
      <c r="C39" s="60">
        <v>110.63</v>
      </c>
      <c r="D39" s="60">
        <v>91.67</v>
      </c>
      <c r="E39" s="60">
        <v>5.86</v>
      </c>
      <c r="F39" s="60">
        <v>1.4</v>
      </c>
      <c r="G39" s="60">
        <v>203.77</v>
      </c>
      <c r="H39" s="60">
        <v>76.239999999999995</v>
      </c>
      <c r="I39" s="60">
        <v>0.77</v>
      </c>
      <c r="J39" s="60">
        <v>0.15</v>
      </c>
      <c r="K39" s="60">
        <v>19.940000000000001</v>
      </c>
      <c r="L39" s="60">
        <v>22.96</v>
      </c>
      <c r="M39" s="60">
        <v>58.05</v>
      </c>
      <c r="N39" s="60">
        <v>142.19999999999999</v>
      </c>
      <c r="O39" s="60">
        <v>0</v>
      </c>
      <c r="P39" s="60">
        <v>1.86</v>
      </c>
      <c r="Q39" s="60">
        <v>32.42</v>
      </c>
      <c r="R39" s="198"/>
      <c r="S39" s="198"/>
      <c r="T39" s="198"/>
      <c r="U39" s="198"/>
    </row>
    <row r="40" spans="1:21" s="12" customFormat="1" x14ac:dyDescent="0.25">
      <c r="A40" s="201" t="s">
        <v>2103</v>
      </c>
      <c r="B40" s="60">
        <v>44.45</v>
      </c>
      <c r="C40" s="60">
        <v>115.65</v>
      </c>
      <c r="D40" s="60">
        <v>99.47</v>
      </c>
      <c r="E40" s="60">
        <v>2.91</v>
      </c>
      <c r="F40" s="60">
        <v>1.4</v>
      </c>
      <c r="G40" s="60">
        <v>203.77</v>
      </c>
      <c r="H40" s="60">
        <v>76.239999999999995</v>
      </c>
      <c r="I40" s="60">
        <v>0.77</v>
      </c>
      <c r="J40" s="60">
        <v>0.23</v>
      </c>
      <c r="K40" s="60">
        <v>21.36</v>
      </c>
      <c r="L40" s="60">
        <v>24.81</v>
      </c>
      <c r="M40" s="60">
        <v>52.01</v>
      </c>
      <c r="N40" s="60">
        <v>181.1</v>
      </c>
      <c r="O40" s="60">
        <v>0</v>
      </c>
      <c r="P40" s="60">
        <v>1.95</v>
      </c>
      <c r="Q40" s="60">
        <v>32.94</v>
      </c>
      <c r="R40" s="198"/>
      <c r="S40" s="198"/>
      <c r="T40" s="198"/>
      <c r="U40" s="198"/>
    </row>
    <row r="41" spans="1:21" s="12" customFormat="1" x14ac:dyDescent="0.25">
      <c r="A41" s="201" t="s">
        <v>2104</v>
      </c>
      <c r="B41" s="60">
        <v>47.59</v>
      </c>
      <c r="C41" s="60">
        <v>119.5</v>
      </c>
      <c r="D41" s="60">
        <v>104.11</v>
      </c>
      <c r="E41" s="60">
        <v>5.41</v>
      </c>
      <c r="F41" s="60">
        <v>1.44</v>
      </c>
      <c r="G41" s="60">
        <v>203.77</v>
      </c>
      <c r="H41" s="60">
        <v>76.239999999999995</v>
      </c>
      <c r="I41" s="60">
        <v>0.78</v>
      </c>
      <c r="J41" s="60">
        <v>0.16</v>
      </c>
      <c r="K41" s="60">
        <v>21.44</v>
      </c>
      <c r="L41" s="60">
        <v>26.14</v>
      </c>
      <c r="M41" s="60">
        <v>48.13</v>
      </c>
      <c r="N41" s="60">
        <v>226.6</v>
      </c>
      <c r="O41" s="60">
        <v>0</v>
      </c>
      <c r="P41" s="60">
        <v>2.0099999999999998</v>
      </c>
      <c r="Q41" s="60">
        <v>33.21</v>
      </c>
      <c r="R41" s="198"/>
      <c r="S41" s="198"/>
      <c r="T41" s="198"/>
      <c r="U41" s="198"/>
    </row>
    <row r="42" spans="1:21" s="12" customFormat="1" x14ac:dyDescent="0.25">
      <c r="A42" s="201" t="s">
        <v>2105</v>
      </c>
      <c r="B42" s="60">
        <v>47.12</v>
      </c>
      <c r="C42" s="60">
        <v>121.84</v>
      </c>
      <c r="D42" s="60">
        <v>105.03</v>
      </c>
      <c r="E42" s="60">
        <v>5.32</v>
      </c>
      <c r="F42" s="60">
        <v>1.49</v>
      </c>
      <c r="G42" s="60">
        <v>204.85</v>
      </c>
      <c r="H42" s="60">
        <v>79.64</v>
      </c>
      <c r="I42" s="60">
        <v>0.8</v>
      </c>
      <c r="J42" s="60">
        <v>0.73</v>
      </c>
      <c r="K42" s="60">
        <v>22.39</v>
      </c>
      <c r="L42" s="60">
        <v>27.61</v>
      </c>
      <c r="M42" s="60">
        <v>38.82</v>
      </c>
      <c r="N42" s="60">
        <v>274.5</v>
      </c>
      <c r="O42" s="60">
        <v>0</v>
      </c>
      <c r="P42" s="60">
        <v>2.0099999999999998</v>
      </c>
      <c r="Q42" s="60">
        <v>33.31</v>
      </c>
      <c r="R42" s="198"/>
      <c r="S42" s="198"/>
      <c r="T42" s="198"/>
      <c r="U42" s="198"/>
    </row>
    <row r="43" spans="1:21" s="12" customFormat="1" x14ac:dyDescent="0.25">
      <c r="A43" s="201" t="s">
        <v>2106</v>
      </c>
      <c r="B43" s="60">
        <v>43.49</v>
      </c>
      <c r="C43" s="60">
        <v>123.11</v>
      </c>
      <c r="D43" s="60">
        <v>102.82</v>
      </c>
      <c r="E43" s="60">
        <v>6.06</v>
      </c>
      <c r="F43" s="60">
        <v>1.59</v>
      </c>
      <c r="G43" s="60">
        <v>206.41</v>
      </c>
      <c r="H43" s="60">
        <v>84.52</v>
      </c>
      <c r="I43" s="60">
        <v>0.8</v>
      </c>
      <c r="J43" s="60">
        <v>0.73</v>
      </c>
      <c r="K43" s="60">
        <v>19.72</v>
      </c>
      <c r="L43" s="60">
        <v>29.09</v>
      </c>
      <c r="M43" s="60">
        <v>34.46</v>
      </c>
      <c r="N43" s="60">
        <v>325.5</v>
      </c>
      <c r="O43" s="60">
        <v>0</v>
      </c>
      <c r="P43" s="60">
        <v>1.98</v>
      </c>
      <c r="Q43" s="60">
        <v>33.11</v>
      </c>
      <c r="R43" s="198"/>
      <c r="S43" s="198"/>
      <c r="T43" s="198"/>
      <c r="U43" s="198"/>
    </row>
    <row r="44" spans="1:21" s="12" customFormat="1" x14ac:dyDescent="0.25">
      <c r="A44" s="201" t="s">
        <v>2107</v>
      </c>
      <c r="B44" s="60">
        <v>38.33</v>
      </c>
      <c r="C44" s="60">
        <v>121.73</v>
      </c>
      <c r="D44" s="60">
        <v>97.92</v>
      </c>
      <c r="E44" s="60">
        <v>9.85</v>
      </c>
      <c r="F44" s="60">
        <v>2.96</v>
      </c>
      <c r="G44" s="60">
        <v>206.41</v>
      </c>
      <c r="H44" s="60">
        <v>84.52</v>
      </c>
      <c r="I44" s="60">
        <v>0.78</v>
      </c>
      <c r="J44" s="60">
        <v>0.57999999999999996</v>
      </c>
      <c r="K44" s="60">
        <v>25.31</v>
      </c>
      <c r="L44" s="60">
        <v>30.22</v>
      </c>
      <c r="M44" s="60">
        <v>32.97</v>
      </c>
      <c r="N44" s="60">
        <v>374</v>
      </c>
      <c r="O44" s="60">
        <v>0</v>
      </c>
      <c r="P44" s="60">
        <v>1.91</v>
      </c>
      <c r="Q44" s="60">
        <v>32.590000000000003</v>
      </c>
      <c r="R44" s="198"/>
      <c r="S44" s="198"/>
      <c r="T44" s="198"/>
      <c r="U44" s="198"/>
    </row>
    <row r="45" spans="1:21" s="12" customFormat="1" x14ac:dyDescent="0.25">
      <c r="A45" s="201" t="s">
        <v>2108</v>
      </c>
      <c r="B45" s="60">
        <v>34.03</v>
      </c>
      <c r="C45" s="60">
        <v>121.27</v>
      </c>
      <c r="D45" s="60">
        <v>94.21</v>
      </c>
      <c r="E45" s="60">
        <v>9.99</v>
      </c>
      <c r="F45" s="60">
        <v>4.1500000000000004</v>
      </c>
      <c r="G45" s="60">
        <v>206.41</v>
      </c>
      <c r="H45" s="60">
        <v>84.52</v>
      </c>
      <c r="I45" s="60">
        <v>0.77</v>
      </c>
      <c r="J45" s="60">
        <v>0.54</v>
      </c>
      <c r="K45" s="60">
        <v>21.45</v>
      </c>
      <c r="L45" s="60">
        <v>31.15</v>
      </c>
      <c r="M45" s="60">
        <v>32.11</v>
      </c>
      <c r="N45" s="60">
        <v>425.5</v>
      </c>
      <c r="O45" s="60">
        <v>0</v>
      </c>
      <c r="P45" s="60">
        <v>1.9</v>
      </c>
      <c r="Q45" s="60">
        <v>31.68</v>
      </c>
      <c r="R45" s="198"/>
      <c r="S45" s="198"/>
      <c r="T45" s="198"/>
      <c r="U45" s="198"/>
    </row>
    <row r="46" spans="1:21" s="12" customFormat="1" x14ac:dyDescent="0.25">
      <c r="A46" s="201" t="s">
        <v>2109</v>
      </c>
      <c r="B46" s="60">
        <v>31.68</v>
      </c>
      <c r="C46" s="60">
        <v>120.47</v>
      </c>
      <c r="D46" s="60">
        <v>91.89</v>
      </c>
      <c r="E46" s="60">
        <v>8.17</v>
      </c>
      <c r="F46" s="60">
        <v>5.05</v>
      </c>
      <c r="G46" s="60">
        <v>183.47</v>
      </c>
      <c r="H46" s="60">
        <v>80.08</v>
      </c>
      <c r="I46" s="60">
        <v>0.74</v>
      </c>
      <c r="J46" s="60">
        <v>0.57999999999999996</v>
      </c>
      <c r="K46" s="60">
        <v>50.41</v>
      </c>
      <c r="L46" s="60">
        <v>31.06</v>
      </c>
      <c r="M46" s="60">
        <v>31.43</v>
      </c>
      <c r="N46" s="60">
        <v>487.1</v>
      </c>
      <c r="O46" s="60">
        <v>0</v>
      </c>
      <c r="P46" s="60">
        <v>1.87</v>
      </c>
      <c r="Q46" s="60">
        <v>31.45</v>
      </c>
      <c r="R46" s="198"/>
      <c r="S46" s="198"/>
      <c r="T46" s="198"/>
      <c r="U46" s="198"/>
    </row>
    <row r="47" spans="1:21" s="12" customFormat="1" x14ac:dyDescent="0.25">
      <c r="A47" s="201" t="s">
        <v>2110</v>
      </c>
      <c r="B47" s="60">
        <v>29.9</v>
      </c>
      <c r="C47" s="60">
        <v>118.18</v>
      </c>
      <c r="D47" s="60">
        <v>89.2</v>
      </c>
      <c r="E47" s="60">
        <v>7.34</v>
      </c>
      <c r="F47" s="60">
        <v>6.59</v>
      </c>
      <c r="G47" s="60">
        <v>150.61000000000001</v>
      </c>
      <c r="H47" s="60">
        <v>73.73</v>
      </c>
      <c r="I47" s="60">
        <v>0.73</v>
      </c>
      <c r="J47" s="60">
        <v>0.99</v>
      </c>
      <c r="K47" s="60">
        <v>20.190000000000001</v>
      </c>
      <c r="L47" s="60">
        <v>31.65</v>
      </c>
      <c r="M47" s="60">
        <v>29.9</v>
      </c>
      <c r="N47" s="60">
        <v>527</v>
      </c>
      <c r="O47" s="60">
        <v>0</v>
      </c>
      <c r="P47" s="60">
        <v>1.82</v>
      </c>
      <c r="Q47" s="60">
        <v>31.39</v>
      </c>
      <c r="R47" s="198"/>
      <c r="S47" s="198"/>
      <c r="T47" s="198"/>
      <c r="U47" s="198"/>
    </row>
    <row r="48" spans="1:21" s="12" customFormat="1" x14ac:dyDescent="0.25">
      <c r="A48" s="201" t="s">
        <v>2111</v>
      </c>
      <c r="B48" s="60">
        <v>26.65</v>
      </c>
      <c r="C48" s="60">
        <v>117.98</v>
      </c>
      <c r="D48" s="60">
        <v>86.48</v>
      </c>
      <c r="E48" s="60">
        <v>6.81</v>
      </c>
      <c r="F48" s="60">
        <v>4.8600000000000003</v>
      </c>
      <c r="G48" s="60">
        <v>150.61000000000001</v>
      </c>
      <c r="H48" s="60">
        <v>73.73</v>
      </c>
      <c r="I48" s="60">
        <v>0.74</v>
      </c>
      <c r="J48" s="60">
        <v>0.93</v>
      </c>
      <c r="K48" s="60">
        <v>21.57</v>
      </c>
      <c r="L48" s="60">
        <v>32.94</v>
      </c>
      <c r="M48" s="60">
        <v>28.52</v>
      </c>
      <c r="N48" s="60">
        <v>552.6</v>
      </c>
      <c r="O48" s="60">
        <v>0</v>
      </c>
      <c r="P48" s="60">
        <v>1.79</v>
      </c>
      <c r="Q48" s="60">
        <v>31.25</v>
      </c>
      <c r="R48" s="198"/>
      <c r="S48" s="198"/>
      <c r="T48" s="198"/>
      <c r="U48" s="198"/>
    </row>
    <row r="49" spans="1:21" s="12" customFormat="1" x14ac:dyDescent="0.25">
      <c r="A49" s="201" t="s">
        <v>2112</v>
      </c>
      <c r="B49" s="60">
        <v>23.79</v>
      </c>
      <c r="C49" s="60">
        <v>118.86</v>
      </c>
      <c r="D49" s="60">
        <v>84.67</v>
      </c>
      <c r="E49" s="60">
        <v>8.35</v>
      </c>
      <c r="F49" s="60">
        <v>6.74</v>
      </c>
      <c r="G49" s="60">
        <v>150.61000000000001</v>
      </c>
      <c r="H49" s="60">
        <v>73.73</v>
      </c>
      <c r="I49" s="60">
        <v>0.73</v>
      </c>
      <c r="J49" s="60">
        <v>0.93</v>
      </c>
      <c r="K49" s="60">
        <v>32.369999999999997</v>
      </c>
      <c r="L49" s="60">
        <v>32.86</v>
      </c>
      <c r="M49" s="60">
        <v>28.27</v>
      </c>
      <c r="N49" s="60">
        <v>565.20000000000005</v>
      </c>
      <c r="O49" s="60">
        <v>0</v>
      </c>
      <c r="P49" s="60">
        <v>1.73</v>
      </c>
      <c r="Q49" s="60">
        <v>30.99</v>
      </c>
      <c r="R49" s="198"/>
      <c r="S49" s="198"/>
      <c r="T49" s="198"/>
      <c r="U49" s="198"/>
    </row>
    <row r="50" spans="1:21" s="12" customFormat="1" x14ac:dyDescent="0.25">
      <c r="A50" s="201" t="s">
        <v>2113</v>
      </c>
      <c r="B50" s="60">
        <v>20.7</v>
      </c>
      <c r="C50" s="60">
        <v>120.12</v>
      </c>
      <c r="D50" s="60">
        <v>82.89</v>
      </c>
      <c r="E50" s="60">
        <v>6.89</v>
      </c>
      <c r="F50" s="60">
        <v>5.91</v>
      </c>
      <c r="G50" s="60">
        <v>124.78</v>
      </c>
      <c r="H50" s="60">
        <v>66.31</v>
      </c>
      <c r="I50" s="60">
        <v>0.73</v>
      </c>
      <c r="J50" s="60">
        <v>0.82</v>
      </c>
      <c r="K50" s="60">
        <v>29.13</v>
      </c>
      <c r="L50" s="60">
        <v>33.1</v>
      </c>
      <c r="M50" s="60">
        <v>27.43</v>
      </c>
      <c r="N50" s="60">
        <v>565.6</v>
      </c>
      <c r="O50" s="60">
        <v>0</v>
      </c>
      <c r="P50" s="60">
        <v>1.7</v>
      </c>
      <c r="Q50" s="60">
        <v>30.52</v>
      </c>
      <c r="R50" s="198"/>
      <c r="S50" s="198"/>
      <c r="T50" s="198"/>
      <c r="U50" s="198"/>
    </row>
    <row r="51" spans="1:21" s="12" customFormat="1" x14ac:dyDescent="0.25">
      <c r="A51" s="201" t="s">
        <v>2114</v>
      </c>
      <c r="B51" s="60">
        <v>17.989999999999998</v>
      </c>
      <c r="C51" s="60">
        <v>118.06</v>
      </c>
      <c r="D51" s="60">
        <v>79.58</v>
      </c>
      <c r="E51" s="60">
        <v>5.8</v>
      </c>
      <c r="F51" s="60">
        <v>3.78</v>
      </c>
      <c r="G51" s="60">
        <v>87.78</v>
      </c>
      <c r="H51" s="60">
        <v>55.68</v>
      </c>
      <c r="I51" s="60">
        <v>0.71</v>
      </c>
      <c r="J51" s="60">
        <v>1.57</v>
      </c>
      <c r="K51" s="60">
        <v>118.51</v>
      </c>
      <c r="L51" s="60">
        <v>31.01</v>
      </c>
      <c r="M51" s="60">
        <v>30.68</v>
      </c>
      <c r="N51" s="60">
        <v>581</v>
      </c>
      <c r="O51" s="60">
        <v>0</v>
      </c>
      <c r="P51" s="60">
        <v>1.66</v>
      </c>
      <c r="Q51" s="60">
        <v>30.17</v>
      </c>
      <c r="R51" s="198"/>
      <c r="S51" s="198"/>
      <c r="T51" s="198"/>
      <c r="U51" s="198"/>
    </row>
    <row r="52" spans="1:21" s="12" customFormat="1" x14ac:dyDescent="0.25">
      <c r="A52" s="201" t="s">
        <v>2115</v>
      </c>
      <c r="B52" s="60">
        <v>16.36</v>
      </c>
      <c r="C52" s="60">
        <v>117.94</v>
      </c>
      <c r="D52" s="60">
        <v>78.209999999999994</v>
      </c>
      <c r="E52" s="60">
        <v>4.46</v>
      </c>
      <c r="F52" s="60">
        <v>3.41</v>
      </c>
      <c r="G52" s="60">
        <v>87.78</v>
      </c>
      <c r="H52" s="60">
        <v>55.68</v>
      </c>
      <c r="I52" s="60">
        <v>0.71</v>
      </c>
      <c r="J52" s="60">
        <v>1.21</v>
      </c>
      <c r="K52" s="60">
        <v>112.55</v>
      </c>
      <c r="L52" s="60">
        <v>30.04</v>
      </c>
      <c r="M52" s="60">
        <v>31.16</v>
      </c>
      <c r="N52" s="60">
        <v>577.29999999999995</v>
      </c>
      <c r="O52" s="60">
        <v>0</v>
      </c>
      <c r="P52" s="60">
        <v>1.61</v>
      </c>
      <c r="Q52" s="60">
        <v>30.65</v>
      </c>
      <c r="R52" s="198"/>
      <c r="S52" s="198"/>
      <c r="T52" s="198"/>
      <c r="U52" s="198"/>
    </row>
    <row r="53" spans="1:21" s="12" customFormat="1" x14ac:dyDescent="0.25">
      <c r="A53" s="201" t="s">
        <v>2116</v>
      </c>
      <c r="B53" s="60">
        <v>13.15</v>
      </c>
      <c r="C53" s="60">
        <v>117.52</v>
      </c>
      <c r="D53" s="60">
        <v>75.400000000000006</v>
      </c>
      <c r="E53" s="60">
        <v>4.45</v>
      </c>
      <c r="F53" s="60">
        <v>3.15</v>
      </c>
      <c r="G53" s="60">
        <v>87.78</v>
      </c>
      <c r="H53" s="60">
        <v>55.68</v>
      </c>
      <c r="I53" s="60">
        <v>0.73</v>
      </c>
      <c r="J53" s="60">
        <v>1.38</v>
      </c>
      <c r="K53" s="60">
        <v>116.91</v>
      </c>
      <c r="L53" s="60">
        <v>30.74</v>
      </c>
      <c r="M53" s="60">
        <v>29.44</v>
      </c>
      <c r="N53" s="60">
        <v>579.79999999999995</v>
      </c>
      <c r="O53" s="60">
        <v>0</v>
      </c>
      <c r="P53" s="60">
        <v>1.53</v>
      </c>
      <c r="Q53" s="60">
        <v>30.9</v>
      </c>
      <c r="R53" s="198"/>
      <c r="S53" s="198"/>
      <c r="T53" s="198"/>
      <c r="U53" s="198"/>
    </row>
    <row r="54" spans="1:21" s="12" customFormat="1" x14ac:dyDescent="0.25">
      <c r="A54" s="201" t="s">
        <v>2117</v>
      </c>
      <c r="B54" s="60">
        <v>8.6300000000000008</v>
      </c>
      <c r="C54" s="60">
        <v>111.14</v>
      </c>
      <c r="D54" s="60">
        <v>68.25</v>
      </c>
      <c r="E54" s="60">
        <v>5.28</v>
      </c>
      <c r="F54" s="60">
        <v>5.72</v>
      </c>
      <c r="G54" s="60">
        <v>75.72</v>
      </c>
      <c r="H54" s="60">
        <v>50.91</v>
      </c>
      <c r="I54" s="60">
        <v>0.72</v>
      </c>
      <c r="J54" s="60">
        <v>0.82</v>
      </c>
      <c r="K54" s="60">
        <v>117.32</v>
      </c>
      <c r="L54" s="60">
        <v>31.4</v>
      </c>
      <c r="M54" s="60">
        <v>27.55</v>
      </c>
      <c r="N54" s="60">
        <v>578.9</v>
      </c>
      <c r="O54" s="60">
        <v>0</v>
      </c>
      <c r="P54" s="60">
        <v>1.43</v>
      </c>
      <c r="Q54" s="60">
        <v>30.35</v>
      </c>
      <c r="R54" s="198"/>
      <c r="S54" s="198"/>
      <c r="T54" s="198"/>
      <c r="U54" s="198"/>
    </row>
    <row r="55" spans="1:21" s="12" customFormat="1" x14ac:dyDescent="0.25">
      <c r="A55" s="201" t="s">
        <v>2118</v>
      </c>
      <c r="B55" s="60">
        <v>6.51</v>
      </c>
      <c r="C55" s="60">
        <v>110.3</v>
      </c>
      <c r="D55" s="60">
        <v>66.09</v>
      </c>
      <c r="E55" s="60">
        <v>5.18</v>
      </c>
      <c r="F55" s="60">
        <v>3.93</v>
      </c>
      <c r="G55" s="60">
        <v>58.44</v>
      </c>
      <c r="H55" s="60">
        <v>44.08</v>
      </c>
      <c r="I55" s="60">
        <v>0.7</v>
      </c>
      <c r="J55" s="60">
        <v>0.31</v>
      </c>
      <c r="K55" s="60">
        <v>104.96</v>
      </c>
      <c r="L55" s="60">
        <v>32.5</v>
      </c>
      <c r="M55" s="60">
        <v>25.12</v>
      </c>
      <c r="N55" s="60">
        <v>555.79999999999995</v>
      </c>
      <c r="O55" s="60">
        <v>0</v>
      </c>
      <c r="P55" s="60">
        <v>1.39</v>
      </c>
      <c r="Q55" s="60">
        <v>30.03</v>
      </c>
      <c r="R55" s="198"/>
      <c r="S55" s="198"/>
      <c r="T55" s="198"/>
      <c r="U55" s="198"/>
    </row>
    <row r="56" spans="1:21" s="12" customFormat="1" x14ac:dyDescent="0.25">
      <c r="A56" s="201" t="s">
        <v>2119</v>
      </c>
      <c r="B56" s="60">
        <v>4.6900000000000004</v>
      </c>
      <c r="C56" s="60">
        <v>110.98</v>
      </c>
      <c r="D56" s="60">
        <v>65.010000000000005</v>
      </c>
      <c r="E56" s="60">
        <v>3.06</v>
      </c>
      <c r="F56" s="60">
        <v>3.49</v>
      </c>
      <c r="G56" s="60">
        <v>58.44</v>
      </c>
      <c r="H56" s="60">
        <v>44.08</v>
      </c>
      <c r="I56" s="60">
        <v>0.68</v>
      </c>
      <c r="J56" s="60">
        <v>1.1599999999999999</v>
      </c>
      <c r="K56" s="60">
        <v>125.34</v>
      </c>
      <c r="L56" s="60">
        <v>32.299999999999997</v>
      </c>
      <c r="M56" s="60">
        <v>24.65</v>
      </c>
      <c r="N56" s="60">
        <v>535</v>
      </c>
      <c r="O56" s="60">
        <v>0</v>
      </c>
      <c r="P56" s="60">
        <v>1.33</v>
      </c>
      <c r="Q56" s="60">
        <v>30.01</v>
      </c>
      <c r="R56" s="198"/>
      <c r="S56" s="198"/>
      <c r="T56" s="198"/>
      <c r="U56" s="198"/>
    </row>
    <row r="57" spans="1:21" s="12" customFormat="1" x14ac:dyDescent="0.25">
      <c r="A57" s="201" t="s">
        <v>2120</v>
      </c>
      <c r="B57" s="60">
        <v>2.99</v>
      </c>
      <c r="C57" s="60">
        <v>106.09</v>
      </c>
      <c r="D57" s="60">
        <v>60.95</v>
      </c>
      <c r="E57" s="60">
        <v>4.72</v>
      </c>
      <c r="F57" s="60">
        <v>5.24</v>
      </c>
      <c r="G57" s="60">
        <v>58.44</v>
      </c>
      <c r="H57" s="60">
        <v>44.08</v>
      </c>
      <c r="I57" s="60">
        <v>0.68</v>
      </c>
      <c r="J57" s="60">
        <v>0.71</v>
      </c>
      <c r="K57" s="60">
        <v>139.91</v>
      </c>
      <c r="L57" s="60">
        <v>32.200000000000003</v>
      </c>
      <c r="M57" s="60">
        <v>24.32</v>
      </c>
      <c r="N57" s="60">
        <v>526.79999999999995</v>
      </c>
      <c r="O57" s="60">
        <v>0</v>
      </c>
      <c r="P57" s="60">
        <v>1.25</v>
      </c>
      <c r="Q57" s="60">
        <v>29.56</v>
      </c>
      <c r="R57" s="198"/>
      <c r="S57" s="198"/>
      <c r="T57" s="198"/>
      <c r="U57" s="198"/>
    </row>
    <row r="58" spans="1:21" s="12" customFormat="1" x14ac:dyDescent="0.25">
      <c r="A58" s="201" t="s">
        <v>2121</v>
      </c>
      <c r="B58" s="60">
        <v>1.67</v>
      </c>
      <c r="C58" s="60">
        <v>98.05</v>
      </c>
      <c r="D58" s="60">
        <v>55.46</v>
      </c>
      <c r="E58" s="60">
        <v>7.29</v>
      </c>
      <c r="F58" s="60">
        <v>9.5399999999999991</v>
      </c>
      <c r="G58" s="60">
        <v>55.21</v>
      </c>
      <c r="H58" s="60">
        <v>38.71</v>
      </c>
      <c r="I58" s="60">
        <v>0.67</v>
      </c>
      <c r="J58" s="60">
        <v>0.16</v>
      </c>
      <c r="K58" s="60">
        <v>156.11000000000001</v>
      </c>
      <c r="L58" s="60">
        <v>33.92</v>
      </c>
      <c r="M58" s="60">
        <v>22.49</v>
      </c>
      <c r="N58" s="60">
        <v>501.7</v>
      </c>
      <c r="O58" s="60">
        <v>0</v>
      </c>
      <c r="P58" s="60">
        <v>1.18</v>
      </c>
      <c r="Q58" s="60">
        <v>29.1</v>
      </c>
      <c r="R58" s="198"/>
      <c r="S58" s="198"/>
      <c r="T58" s="198"/>
      <c r="U58" s="198"/>
    </row>
    <row r="59" spans="1:21" s="12" customFormat="1" x14ac:dyDescent="0.25">
      <c r="A59" s="201" t="s">
        <v>2122</v>
      </c>
      <c r="B59" s="60">
        <v>1.44</v>
      </c>
      <c r="C59" s="60">
        <v>89.74</v>
      </c>
      <c r="D59" s="60">
        <v>50.68</v>
      </c>
      <c r="E59" s="60">
        <v>13.45</v>
      </c>
      <c r="F59" s="60">
        <v>20.21</v>
      </c>
      <c r="G59" s="60">
        <v>50.6</v>
      </c>
      <c r="H59" s="60">
        <v>31.03</v>
      </c>
      <c r="I59" s="60">
        <v>0.66</v>
      </c>
      <c r="J59" s="60">
        <v>0.28000000000000003</v>
      </c>
      <c r="K59" s="60">
        <v>9.5399999999999991</v>
      </c>
      <c r="L59" s="60">
        <v>34.96</v>
      </c>
      <c r="M59" s="60">
        <v>21.08</v>
      </c>
      <c r="N59" s="60">
        <v>469.4</v>
      </c>
      <c r="O59" s="60">
        <v>0</v>
      </c>
      <c r="P59" s="60">
        <v>1.1000000000000001</v>
      </c>
      <c r="Q59" s="60">
        <v>28.84</v>
      </c>
      <c r="R59" s="198"/>
      <c r="S59" s="198"/>
      <c r="T59" s="198"/>
      <c r="U59" s="198"/>
    </row>
    <row r="60" spans="1:21" s="12" customFormat="1" x14ac:dyDescent="0.25">
      <c r="A60" s="201" t="s">
        <v>2123</v>
      </c>
      <c r="B60" s="60">
        <v>1.81</v>
      </c>
      <c r="C60" s="60">
        <v>98.81</v>
      </c>
      <c r="D60" s="60">
        <v>55.98</v>
      </c>
      <c r="E60" s="60">
        <v>5.73</v>
      </c>
      <c r="F60" s="60">
        <v>5.39</v>
      </c>
      <c r="G60" s="60">
        <v>50.6</v>
      </c>
      <c r="H60" s="60">
        <v>31.03</v>
      </c>
      <c r="I60" s="60">
        <v>0.63</v>
      </c>
      <c r="J60" s="60">
        <v>1.65</v>
      </c>
      <c r="K60" s="60">
        <v>4.7</v>
      </c>
      <c r="L60" s="60">
        <v>36.770000000000003</v>
      </c>
      <c r="M60" s="60">
        <v>15.52</v>
      </c>
      <c r="N60" s="60">
        <v>503</v>
      </c>
      <c r="O60" s="60">
        <v>0</v>
      </c>
      <c r="P60" s="60">
        <v>1.1499999999999999</v>
      </c>
      <c r="Q60" s="60">
        <v>28.51</v>
      </c>
      <c r="R60" s="198"/>
      <c r="S60" s="198"/>
      <c r="T60" s="198"/>
      <c r="U60" s="198"/>
    </row>
    <row r="61" spans="1:21" s="12" customFormat="1" x14ac:dyDescent="0.25">
      <c r="A61" s="201" t="s">
        <v>2124</v>
      </c>
      <c r="B61" s="60">
        <v>2</v>
      </c>
      <c r="C61" s="60">
        <v>97.14</v>
      </c>
      <c r="D61" s="60">
        <v>55.21</v>
      </c>
      <c r="E61" s="60">
        <v>5.69</v>
      </c>
      <c r="F61" s="60">
        <v>7.97</v>
      </c>
      <c r="G61" s="60">
        <v>50.6</v>
      </c>
      <c r="H61" s="60">
        <v>31.03</v>
      </c>
      <c r="I61" s="60">
        <v>0.62</v>
      </c>
      <c r="J61" s="60">
        <v>1.39</v>
      </c>
      <c r="K61" s="60">
        <v>2.06</v>
      </c>
      <c r="L61" s="60">
        <v>37.68</v>
      </c>
      <c r="M61" s="60">
        <v>15.13</v>
      </c>
      <c r="N61" s="60">
        <v>489</v>
      </c>
      <c r="O61" s="60">
        <v>0</v>
      </c>
      <c r="P61" s="60">
        <v>1.06</v>
      </c>
      <c r="Q61" s="60">
        <v>27.89</v>
      </c>
      <c r="R61" s="198"/>
      <c r="S61" s="198"/>
      <c r="T61" s="198"/>
      <c r="U61" s="198"/>
    </row>
    <row r="62" spans="1:21" s="12" customFormat="1" x14ac:dyDescent="0.25">
      <c r="A62" s="201" t="s">
        <v>2125</v>
      </c>
      <c r="B62" s="60">
        <v>2.11</v>
      </c>
      <c r="C62" s="60">
        <v>74.19</v>
      </c>
      <c r="D62" s="60">
        <v>42.64</v>
      </c>
      <c r="E62" s="60">
        <v>5.01</v>
      </c>
      <c r="F62" s="60">
        <v>32.85</v>
      </c>
      <c r="G62" s="60">
        <v>55.9</v>
      </c>
      <c r="H62" s="60">
        <v>32.19</v>
      </c>
      <c r="I62" s="60">
        <v>0.65</v>
      </c>
      <c r="J62" s="60">
        <v>0.59</v>
      </c>
      <c r="K62" s="60">
        <v>356.16</v>
      </c>
      <c r="L62" s="60">
        <v>36.729999999999997</v>
      </c>
      <c r="M62" s="60">
        <v>15.34</v>
      </c>
      <c r="N62" s="60">
        <v>472.5</v>
      </c>
      <c r="O62" s="60">
        <v>0</v>
      </c>
      <c r="P62" s="60">
        <v>0.86</v>
      </c>
      <c r="Q62" s="60">
        <v>26.16</v>
      </c>
      <c r="R62" s="198"/>
      <c r="S62" s="198"/>
      <c r="T62" s="198"/>
      <c r="U62" s="198"/>
    </row>
    <row r="63" spans="1:21" s="12" customFormat="1" x14ac:dyDescent="0.25">
      <c r="A63" s="201" t="s">
        <v>2126</v>
      </c>
      <c r="B63" s="60">
        <v>439.21</v>
      </c>
      <c r="C63" s="60">
        <v>195.1</v>
      </c>
      <c r="D63" s="60">
        <v>459.89</v>
      </c>
      <c r="E63" s="60">
        <v>8.0299999999999994</v>
      </c>
      <c r="F63" s="60">
        <v>29.02</v>
      </c>
      <c r="G63" s="60">
        <v>63.5</v>
      </c>
      <c r="H63" s="60">
        <v>33.85</v>
      </c>
      <c r="I63" s="60">
        <v>0.64</v>
      </c>
      <c r="J63" s="60">
        <v>0.67</v>
      </c>
      <c r="K63" s="60">
        <v>3.12</v>
      </c>
      <c r="L63" s="60">
        <v>37.549999999999997</v>
      </c>
      <c r="M63" s="60">
        <v>14.33</v>
      </c>
      <c r="N63" s="60">
        <v>443.1</v>
      </c>
      <c r="O63" s="60">
        <v>0</v>
      </c>
      <c r="P63" s="60">
        <v>0.67</v>
      </c>
      <c r="Q63" s="60">
        <v>19.79</v>
      </c>
      <c r="R63" s="198"/>
      <c r="S63" s="198"/>
      <c r="T63" s="198"/>
      <c r="U63" s="198"/>
    </row>
    <row r="64" spans="1:21" s="12" customFormat="1" x14ac:dyDescent="0.25">
      <c r="A64" s="201" t="s">
        <v>2127</v>
      </c>
      <c r="B64" s="60">
        <v>354.57</v>
      </c>
      <c r="C64" s="60">
        <v>141.68</v>
      </c>
      <c r="D64" s="60">
        <v>391.17</v>
      </c>
      <c r="E64" s="60">
        <v>9.26</v>
      </c>
      <c r="F64" s="60">
        <v>26.66</v>
      </c>
      <c r="G64" s="60">
        <v>63.5</v>
      </c>
      <c r="H64" s="60">
        <v>33.85</v>
      </c>
      <c r="I64" s="60">
        <v>0.56000000000000005</v>
      </c>
      <c r="J64" s="60">
        <v>0.61</v>
      </c>
      <c r="K64" s="60">
        <v>12.8</v>
      </c>
      <c r="L64" s="60">
        <v>36.770000000000003</v>
      </c>
      <c r="M64" s="60">
        <v>15.55</v>
      </c>
      <c r="N64" s="60">
        <v>434.5</v>
      </c>
      <c r="O64" s="60">
        <v>0</v>
      </c>
      <c r="P64" s="60">
        <v>0.64</v>
      </c>
      <c r="Q64" s="60">
        <v>19.260000000000002</v>
      </c>
      <c r="R64" s="198"/>
      <c r="S64" s="198"/>
      <c r="T64" s="198"/>
      <c r="U64" s="198"/>
    </row>
    <row r="65" spans="1:21" s="12" customFormat="1" x14ac:dyDescent="0.25">
      <c r="A65" s="201" t="s">
        <v>2128</v>
      </c>
      <c r="B65" s="60">
        <v>3.26</v>
      </c>
      <c r="C65" s="60">
        <v>71.069999999999993</v>
      </c>
      <c r="D65" s="60">
        <v>41.84</v>
      </c>
      <c r="E65" s="60">
        <v>5.2</v>
      </c>
      <c r="F65" s="60">
        <v>17.170000000000002</v>
      </c>
      <c r="G65" s="60">
        <v>63.5</v>
      </c>
      <c r="H65" s="60">
        <v>33.85</v>
      </c>
      <c r="I65" s="60">
        <v>0.51</v>
      </c>
      <c r="J65" s="60">
        <v>0.56999999999999995</v>
      </c>
      <c r="K65" s="60">
        <v>356.51</v>
      </c>
      <c r="L65" s="60">
        <v>36.96</v>
      </c>
      <c r="M65" s="60">
        <v>13.74</v>
      </c>
      <c r="N65" s="60">
        <v>436.6</v>
      </c>
      <c r="O65" s="60">
        <v>0</v>
      </c>
      <c r="P65" s="60">
        <v>0.65</v>
      </c>
      <c r="Q65" s="60">
        <v>19.7</v>
      </c>
      <c r="R65" s="198"/>
      <c r="S65" s="198"/>
      <c r="T65" s="198"/>
      <c r="U65" s="198"/>
    </row>
    <row r="66" spans="1:21" s="12" customFormat="1" x14ac:dyDescent="0.25">
      <c r="A66" s="201" t="s">
        <v>2129</v>
      </c>
      <c r="B66" s="60">
        <v>2.3199999999999998</v>
      </c>
      <c r="C66" s="60">
        <v>65.260000000000005</v>
      </c>
      <c r="D66" s="60">
        <v>37.880000000000003</v>
      </c>
      <c r="E66" s="60">
        <v>7.53</v>
      </c>
      <c r="F66" s="60">
        <v>38.71</v>
      </c>
      <c r="G66" s="60">
        <v>56.25</v>
      </c>
      <c r="H66" s="60">
        <v>32.729999999999997</v>
      </c>
      <c r="I66" s="60">
        <v>0.52</v>
      </c>
      <c r="J66" s="60">
        <v>0.6</v>
      </c>
      <c r="K66" s="60">
        <v>354.77</v>
      </c>
      <c r="L66" s="60">
        <v>37.08</v>
      </c>
      <c r="M66" s="60">
        <v>12.91</v>
      </c>
      <c r="N66" s="60">
        <v>418.4</v>
      </c>
      <c r="O66" s="60">
        <v>0</v>
      </c>
      <c r="P66" s="60">
        <v>0.6</v>
      </c>
      <c r="Q66" s="60">
        <v>17.93</v>
      </c>
      <c r="R66" s="198"/>
      <c r="S66" s="198"/>
      <c r="T66" s="198"/>
      <c r="U66" s="198"/>
    </row>
    <row r="67" spans="1:21" s="12" customFormat="1" x14ac:dyDescent="0.25">
      <c r="A67" s="201" t="s">
        <v>2130</v>
      </c>
      <c r="B67" s="60">
        <v>1.88</v>
      </c>
      <c r="C67" s="60">
        <v>66.17</v>
      </c>
      <c r="D67" s="60">
        <v>38.03</v>
      </c>
      <c r="E67" s="60">
        <v>11.32</v>
      </c>
      <c r="F67" s="60">
        <v>43.78</v>
      </c>
      <c r="G67" s="60">
        <v>45.86</v>
      </c>
      <c r="H67" s="60">
        <v>31.13</v>
      </c>
      <c r="I67" s="60">
        <v>0.54</v>
      </c>
      <c r="J67" s="60">
        <v>0.14000000000000001</v>
      </c>
      <c r="K67" s="60">
        <v>45.13</v>
      </c>
      <c r="L67" s="60">
        <v>36.46</v>
      </c>
      <c r="M67" s="60">
        <v>15.46</v>
      </c>
      <c r="N67" s="60">
        <v>378.7</v>
      </c>
      <c r="O67" s="60">
        <v>0</v>
      </c>
      <c r="P67" s="60">
        <v>0.55000000000000004</v>
      </c>
      <c r="Q67" s="60">
        <v>12.2</v>
      </c>
      <c r="R67" s="198"/>
      <c r="S67" s="198"/>
      <c r="T67" s="198"/>
      <c r="U67" s="198"/>
    </row>
    <row r="68" spans="1:21" s="12" customFormat="1" x14ac:dyDescent="0.25">
      <c r="A68" s="201" t="s">
        <v>2131</v>
      </c>
      <c r="B68" s="60">
        <v>1.68</v>
      </c>
      <c r="C68" s="60">
        <v>80.489999999999995</v>
      </c>
      <c r="D68" s="60">
        <v>45.77</v>
      </c>
      <c r="E68" s="60">
        <v>5.0199999999999996</v>
      </c>
      <c r="F68" s="60">
        <v>14.68</v>
      </c>
      <c r="G68" s="60">
        <v>45.86</v>
      </c>
      <c r="H68" s="60">
        <v>31.13</v>
      </c>
      <c r="I68" s="60">
        <v>0.48</v>
      </c>
      <c r="J68" s="60">
        <v>0.76</v>
      </c>
      <c r="K68" s="60">
        <v>1.3</v>
      </c>
      <c r="L68" s="60">
        <v>37.18</v>
      </c>
      <c r="M68" s="60">
        <v>14.17</v>
      </c>
      <c r="N68" s="60">
        <v>383.3</v>
      </c>
      <c r="O68" s="60">
        <v>0</v>
      </c>
      <c r="P68" s="60">
        <v>0.56999999999999995</v>
      </c>
      <c r="Q68" s="60">
        <v>14.34</v>
      </c>
      <c r="R68" s="198"/>
      <c r="S68" s="198"/>
      <c r="T68" s="198"/>
      <c r="U68" s="198"/>
    </row>
    <row r="69" spans="1:21" s="12" customFormat="1" x14ac:dyDescent="0.25">
      <c r="A69" s="201" t="s">
        <v>2132</v>
      </c>
      <c r="B69" s="60">
        <v>1.05</v>
      </c>
      <c r="C69" s="60">
        <v>76.319999999999993</v>
      </c>
      <c r="D69" s="60">
        <v>42.96</v>
      </c>
      <c r="E69" s="60">
        <v>3.64</v>
      </c>
      <c r="F69" s="60">
        <v>14.02</v>
      </c>
      <c r="G69" s="60">
        <v>45.86</v>
      </c>
      <c r="H69" s="60">
        <v>31.13</v>
      </c>
      <c r="I69" s="60">
        <v>0.45</v>
      </c>
      <c r="J69" s="60">
        <v>0.67</v>
      </c>
      <c r="K69" s="60">
        <v>3.41</v>
      </c>
      <c r="L69" s="60">
        <v>36.4</v>
      </c>
      <c r="M69" s="60">
        <v>12.8</v>
      </c>
      <c r="N69" s="60">
        <v>373.1</v>
      </c>
      <c r="O69" s="60">
        <v>0</v>
      </c>
      <c r="P69" s="60">
        <v>0.56000000000000005</v>
      </c>
      <c r="Q69" s="60">
        <v>15.52</v>
      </c>
      <c r="R69" s="198"/>
      <c r="S69" s="198"/>
      <c r="T69" s="198"/>
      <c r="U69" s="198"/>
    </row>
    <row r="70" spans="1:21" s="12" customFormat="1" x14ac:dyDescent="0.25">
      <c r="A70" s="201" t="s">
        <v>2133</v>
      </c>
      <c r="B70" s="60">
        <v>1.0900000000000001</v>
      </c>
      <c r="C70" s="60">
        <v>76.47</v>
      </c>
      <c r="D70" s="60">
        <v>43.07</v>
      </c>
      <c r="E70" s="60">
        <v>3.84</v>
      </c>
      <c r="F70" s="60">
        <v>11.63</v>
      </c>
      <c r="G70" s="60">
        <v>43.56</v>
      </c>
      <c r="H70" s="60">
        <v>27.54</v>
      </c>
      <c r="I70" s="60">
        <v>0.47</v>
      </c>
      <c r="J70" s="60">
        <v>0.32</v>
      </c>
      <c r="K70" s="60">
        <v>358.88</v>
      </c>
      <c r="L70" s="60">
        <v>37.299999999999997</v>
      </c>
      <c r="M70" s="60">
        <v>10.56</v>
      </c>
      <c r="N70" s="60">
        <v>362</v>
      </c>
      <c r="O70" s="60">
        <v>0</v>
      </c>
      <c r="P70" s="60">
        <v>0.56000000000000005</v>
      </c>
      <c r="Q70" s="60">
        <v>16.48</v>
      </c>
      <c r="R70" s="198"/>
      <c r="S70" s="198"/>
      <c r="T70" s="198"/>
      <c r="U70" s="198"/>
    </row>
    <row r="71" spans="1:21" s="12" customFormat="1" x14ac:dyDescent="0.25">
      <c r="A71" s="201" t="s">
        <v>2134</v>
      </c>
      <c r="B71" s="60">
        <v>1.6</v>
      </c>
      <c r="C71" s="60">
        <v>71.349999999999994</v>
      </c>
      <c r="D71" s="60">
        <v>40.659999999999997</v>
      </c>
      <c r="E71" s="60">
        <v>3.4</v>
      </c>
      <c r="F71" s="60">
        <v>13.36</v>
      </c>
      <c r="G71" s="60">
        <v>40.270000000000003</v>
      </c>
      <c r="H71" s="60">
        <v>22.41</v>
      </c>
      <c r="I71" s="60">
        <v>0.47</v>
      </c>
      <c r="J71" s="60">
        <v>0.66</v>
      </c>
      <c r="K71" s="60">
        <v>9.57</v>
      </c>
      <c r="L71" s="60">
        <v>36.69</v>
      </c>
      <c r="M71" s="60">
        <v>9.9499999999999993</v>
      </c>
      <c r="N71" s="60">
        <v>261.10000000000002</v>
      </c>
      <c r="O71" s="60">
        <v>0</v>
      </c>
      <c r="P71" s="60">
        <v>0.55000000000000004</v>
      </c>
      <c r="Q71" s="60">
        <v>17.09</v>
      </c>
      <c r="R71" s="198"/>
      <c r="S71" s="198"/>
      <c r="T71" s="198"/>
      <c r="U71" s="198"/>
    </row>
    <row r="72" spans="1:21" s="12" customFormat="1" x14ac:dyDescent="0.25">
      <c r="A72" s="201" t="s">
        <v>2135</v>
      </c>
      <c r="B72" s="60">
        <v>3.16</v>
      </c>
      <c r="C72" s="60">
        <v>78.2</v>
      </c>
      <c r="D72" s="60">
        <v>45.69</v>
      </c>
      <c r="E72" s="60">
        <v>2.37</v>
      </c>
      <c r="F72" s="60">
        <v>10.78</v>
      </c>
      <c r="G72" s="60">
        <v>40.270000000000003</v>
      </c>
      <c r="H72" s="60">
        <v>22.41</v>
      </c>
      <c r="I72" s="60">
        <v>0.48</v>
      </c>
      <c r="J72" s="60">
        <v>0.4</v>
      </c>
      <c r="K72" s="60">
        <v>1.47</v>
      </c>
      <c r="L72" s="60">
        <v>35.770000000000003</v>
      </c>
      <c r="M72" s="60">
        <v>8.43</v>
      </c>
      <c r="N72" s="60">
        <v>184.7</v>
      </c>
      <c r="O72" s="60">
        <v>0</v>
      </c>
      <c r="P72" s="60">
        <v>0.56999999999999995</v>
      </c>
      <c r="Q72" s="60">
        <v>17.95</v>
      </c>
      <c r="R72" s="198"/>
      <c r="S72" s="198"/>
      <c r="T72" s="198"/>
      <c r="U72" s="198"/>
    </row>
    <row r="73" spans="1:21" s="12" customFormat="1" x14ac:dyDescent="0.25">
      <c r="A73" s="201" t="s">
        <v>2136</v>
      </c>
      <c r="B73" s="60">
        <v>4.6100000000000003</v>
      </c>
      <c r="C73" s="60">
        <v>74.31</v>
      </c>
      <c r="D73" s="60">
        <v>44.7</v>
      </c>
      <c r="E73" s="60">
        <v>4.51</v>
      </c>
      <c r="F73" s="60">
        <v>16.059999999999999</v>
      </c>
      <c r="G73" s="60">
        <v>40.270000000000003</v>
      </c>
      <c r="H73" s="60">
        <v>22.41</v>
      </c>
      <c r="I73" s="60">
        <v>0.48</v>
      </c>
      <c r="J73" s="60">
        <v>0.59</v>
      </c>
      <c r="K73" s="60">
        <v>358.29</v>
      </c>
      <c r="L73" s="60">
        <v>34.950000000000003</v>
      </c>
      <c r="M73" s="60">
        <v>8.43</v>
      </c>
      <c r="N73" s="60">
        <v>124.2</v>
      </c>
      <c r="O73" s="60">
        <v>0</v>
      </c>
      <c r="P73" s="60">
        <v>0.56999999999999995</v>
      </c>
      <c r="Q73" s="60">
        <v>18.07</v>
      </c>
      <c r="R73" s="198"/>
      <c r="S73" s="198"/>
      <c r="T73" s="198"/>
      <c r="U73" s="198"/>
    </row>
    <row r="74" spans="1:21" s="12" customFormat="1" x14ac:dyDescent="0.25">
      <c r="A74" s="201" t="s">
        <v>2137</v>
      </c>
      <c r="B74" s="60">
        <v>5.52</v>
      </c>
      <c r="C74" s="60">
        <v>67.349999999999994</v>
      </c>
      <c r="D74" s="60">
        <v>41.6</v>
      </c>
      <c r="E74" s="60">
        <v>4.7699999999999996</v>
      </c>
      <c r="F74" s="60">
        <v>17.260000000000002</v>
      </c>
      <c r="G74" s="60">
        <v>33.86</v>
      </c>
      <c r="H74" s="60">
        <v>20.41</v>
      </c>
      <c r="I74" s="60">
        <v>0.49</v>
      </c>
      <c r="J74" s="60">
        <v>1.05</v>
      </c>
      <c r="K74" s="60">
        <v>14.4</v>
      </c>
      <c r="L74" s="60">
        <v>34.08</v>
      </c>
      <c r="M74" s="60">
        <v>7.9</v>
      </c>
      <c r="N74" s="60">
        <v>106</v>
      </c>
      <c r="O74" s="60">
        <v>0</v>
      </c>
      <c r="P74" s="60">
        <v>0.56000000000000005</v>
      </c>
      <c r="Q74" s="60">
        <v>18.47</v>
      </c>
      <c r="R74" s="198"/>
      <c r="S74" s="198"/>
      <c r="T74" s="198"/>
      <c r="U74" s="198"/>
    </row>
    <row r="75" spans="1:21" s="12" customFormat="1" x14ac:dyDescent="0.25">
      <c r="A75" s="201" t="s">
        <v>2138</v>
      </c>
      <c r="B75" s="60">
        <v>9.01</v>
      </c>
      <c r="C75" s="60">
        <v>76.930000000000007</v>
      </c>
      <c r="D75" s="60">
        <v>49.68</v>
      </c>
      <c r="E75" s="60">
        <v>4.59</v>
      </c>
      <c r="F75" s="60">
        <v>15.12</v>
      </c>
      <c r="G75" s="60">
        <v>24.69</v>
      </c>
      <c r="H75" s="60">
        <v>17.559999999999999</v>
      </c>
      <c r="I75" s="60">
        <v>0.5</v>
      </c>
      <c r="J75" s="60">
        <v>0.98</v>
      </c>
      <c r="K75" s="60">
        <v>15.99</v>
      </c>
      <c r="L75" s="60">
        <v>33.1</v>
      </c>
      <c r="M75" s="60">
        <v>9.3800000000000008</v>
      </c>
      <c r="N75" s="60">
        <v>130.69999999999999</v>
      </c>
      <c r="O75" s="60">
        <v>0</v>
      </c>
      <c r="P75" s="60">
        <v>0.57999999999999996</v>
      </c>
      <c r="Q75" s="60">
        <v>22.53</v>
      </c>
      <c r="R75" s="198"/>
      <c r="S75" s="198"/>
      <c r="T75" s="198"/>
      <c r="U75" s="198"/>
    </row>
    <row r="76" spans="1:21" s="12" customFormat="1" x14ac:dyDescent="0.25">
      <c r="A76" s="201" t="s">
        <v>2139</v>
      </c>
      <c r="B76" s="60">
        <v>6.81</v>
      </c>
      <c r="C76" s="60">
        <v>82.17</v>
      </c>
      <c r="D76" s="60">
        <v>50.81</v>
      </c>
      <c r="E76" s="60">
        <v>3.94</v>
      </c>
      <c r="F76" s="60">
        <v>14.55</v>
      </c>
      <c r="G76" s="60">
        <v>24.69</v>
      </c>
      <c r="H76" s="60">
        <v>17.559999999999999</v>
      </c>
      <c r="I76" s="60">
        <v>0.51</v>
      </c>
      <c r="J76" s="60">
        <v>0.23</v>
      </c>
      <c r="K76" s="60">
        <v>1.98</v>
      </c>
      <c r="L76" s="60">
        <v>32.33</v>
      </c>
      <c r="M76" s="60">
        <v>8.81</v>
      </c>
      <c r="N76" s="60">
        <v>42.4</v>
      </c>
      <c r="O76" s="60">
        <v>0</v>
      </c>
      <c r="P76" s="60">
        <v>0.62</v>
      </c>
      <c r="Q76" s="60">
        <v>27.94</v>
      </c>
      <c r="R76" s="198"/>
      <c r="S76" s="198"/>
      <c r="T76" s="198"/>
      <c r="U76" s="198"/>
    </row>
    <row r="77" spans="1:21" s="12" customFormat="1" x14ac:dyDescent="0.25">
      <c r="A77" s="201" t="s">
        <v>2140</v>
      </c>
      <c r="B77" s="60">
        <v>10.59</v>
      </c>
      <c r="C77" s="60">
        <v>76.86</v>
      </c>
      <c r="D77" s="60">
        <v>50.91</v>
      </c>
      <c r="E77" s="60">
        <v>4.74</v>
      </c>
      <c r="F77" s="60">
        <v>25.59</v>
      </c>
      <c r="G77" s="60">
        <v>24.69</v>
      </c>
      <c r="H77" s="60">
        <v>17.559999999999999</v>
      </c>
      <c r="I77" s="60">
        <v>0.52</v>
      </c>
      <c r="J77" s="60">
        <v>0.1</v>
      </c>
      <c r="K77" s="60">
        <v>294.51</v>
      </c>
      <c r="L77" s="60">
        <v>31.97</v>
      </c>
      <c r="M77" s="60">
        <v>8.1300000000000008</v>
      </c>
      <c r="N77" s="60">
        <v>35.799999999999997</v>
      </c>
      <c r="O77" s="60">
        <v>0</v>
      </c>
      <c r="P77" s="60">
        <v>0.7</v>
      </c>
      <c r="Q77" s="60">
        <v>28</v>
      </c>
      <c r="R77" s="198"/>
      <c r="S77" s="198"/>
      <c r="T77" s="198"/>
      <c r="U77" s="198"/>
    </row>
    <row r="78" spans="1:21" s="12" customFormat="1" x14ac:dyDescent="0.25">
      <c r="A78" s="201" t="s">
        <v>2141</v>
      </c>
      <c r="B78" s="60">
        <v>11.32</v>
      </c>
      <c r="C78" s="60">
        <v>89.52</v>
      </c>
      <c r="D78" s="60">
        <v>58.49</v>
      </c>
      <c r="E78" s="60">
        <v>4.9400000000000004</v>
      </c>
      <c r="F78" s="60">
        <v>19.579999999999998</v>
      </c>
      <c r="G78" s="60">
        <v>28.96</v>
      </c>
      <c r="H78" s="60">
        <v>16.63</v>
      </c>
      <c r="I78" s="60">
        <v>0.53</v>
      </c>
      <c r="J78" s="60">
        <v>0.1</v>
      </c>
      <c r="K78" s="60">
        <v>290.08999999999997</v>
      </c>
      <c r="L78" s="60">
        <v>31.46</v>
      </c>
      <c r="M78" s="60">
        <v>9.2100000000000009</v>
      </c>
      <c r="N78" s="60">
        <v>27.9</v>
      </c>
      <c r="O78" s="60">
        <v>0</v>
      </c>
      <c r="P78" s="60">
        <v>0.82</v>
      </c>
      <c r="Q78" s="60">
        <v>24.68</v>
      </c>
      <c r="R78" s="198"/>
      <c r="S78" s="198"/>
      <c r="T78" s="198"/>
      <c r="U78" s="198"/>
    </row>
    <row r="79" spans="1:21" s="12" customFormat="1" x14ac:dyDescent="0.25">
      <c r="A79" s="201" t="s">
        <v>2142</v>
      </c>
      <c r="B79" s="60">
        <v>8.25</v>
      </c>
      <c r="C79" s="60">
        <v>94.05</v>
      </c>
      <c r="D79" s="60">
        <v>58.52</v>
      </c>
      <c r="E79" s="60">
        <v>4.99</v>
      </c>
      <c r="F79" s="60">
        <v>16.829999999999998</v>
      </c>
      <c r="G79" s="60">
        <v>35.090000000000003</v>
      </c>
      <c r="H79" s="60">
        <v>15.28</v>
      </c>
      <c r="I79" s="60">
        <v>0.55000000000000004</v>
      </c>
      <c r="J79" s="60">
        <v>0.1</v>
      </c>
      <c r="K79" s="60">
        <v>287.18</v>
      </c>
      <c r="L79" s="60">
        <v>30.91</v>
      </c>
      <c r="M79" s="60">
        <v>10.210000000000001</v>
      </c>
      <c r="N79" s="60">
        <v>16.8</v>
      </c>
      <c r="O79" s="60">
        <v>0</v>
      </c>
      <c r="P79" s="60">
        <v>0.64</v>
      </c>
      <c r="Q79" s="60">
        <v>23.36</v>
      </c>
      <c r="R79" s="198"/>
      <c r="S79" s="198"/>
      <c r="T79" s="198"/>
      <c r="U79" s="198"/>
    </row>
    <row r="80" spans="1:21" s="12" customFormat="1" x14ac:dyDescent="0.25">
      <c r="A80" s="201" t="s">
        <v>2143</v>
      </c>
      <c r="B80" s="60">
        <v>39.159999999999997</v>
      </c>
      <c r="C80" s="60">
        <v>104.24</v>
      </c>
      <c r="D80" s="60">
        <v>88.93</v>
      </c>
      <c r="E80" s="60">
        <v>4.8099999999999996</v>
      </c>
      <c r="F80" s="60">
        <v>6.25</v>
      </c>
      <c r="G80" s="60">
        <v>35.090000000000003</v>
      </c>
      <c r="H80" s="60">
        <v>15.28</v>
      </c>
      <c r="I80" s="60">
        <v>0.56999999999999995</v>
      </c>
      <c r="J80" s="60">
        <v>0.04</v>
      </c>
      <c r="K80" s="60">
        <v>24.85</v>
      </c>
      <c r="L80" s="60">
        <v>29.12</v>
      </c>
      <c r="M80" s="60">
        <v>17.21</v>
      </c>
      <c r="N80" s="60">
        <v>9.1</v>
      </c>
      <c r="O80" s="60">
        <v>0</v>
      </c>
      <c r="P80" s="60">
        <v>1.07</v>
      </c>
      <c r="Q80" s="60">
        <v>22.3</v>
      </c>
      <c r="R80" s="198"/>
      <c r="S80" s="198"/>
      <c r="T80" s="198"/>
      <c r="U80" s="198"/>
    </row>
    <row r="81" spans="1:26" s="12" customFormat="1" x14ac:dyDescent="0.25">
      <c r="A81" s="201" t="s">
        <v>2144</v>
      </c>
      <c r="B81" s="60">
        <v>28.96</v>
      </c>
      <c r="C81" s="60">
        <v>104.42</v>
      </c>
      <c r="D81" s="60">
        <v>80.849999999999994</v>
      </c>
      <c r="E81" s="60">
        <v>3.73</v>
      </c>
      <c r="F81" s="60">
        <v>2.0499999999999998</v>
      </c>
      <c r="G81" s="60">
        <v>35.090000000000003</v>
      </c>
      <c r="H81" s="60">
        <v>15.28</v>
      </c>
      <c r="I81" s="60">
        <v>0.56000000000000005</v>
      </c>
      <c r="J81" s="60">
        <v>0.2</v>
      </c>
      <c r="K81" s="60">
        <v>100.03</v>
      </c>
      <c r="L81" s="60">
        <v>27.63</v>
      </c>
      <c r="M81" s="60">
        <v>20.14</v>
      </c>
      <c r="N81" s="60">
        <v>5.2</v>
      </c>
      <c r="O81" s="60">
        <v>0</v>
      </c>
      <c r="P81" s="60">
        <v>0.87</v>
      </c>
      <c r="Q81" s="60">
        <v>23.18</v>
      </c>
      <c r="R81" s="198"/>
      <c r="S81" s="198"/>
      <c r="T81" s="198"/>
      <c r="U81" s="198"/>
    </row>
    <row r="82" spans="1:26" s="12" customFormat="1" x14ac:dyDescent="0.25">
      <c r="A82" s="201" t="s">
        <v>2145</v>
      </c>
      <c r="B82" s="60">
        <v>34.549999999999997</v>
      </c>
      <c r="C82" s="60">
        <v>108.01</v>
      </c>
      <c r="D82" s="60">
        <v>87.31</v>
      </c>
      <c r="E82" s="60">
        <v>4.2699999999999996</v>
      </c>
      <c r="F82" s="60">
        <v>1.84</v>
      </c>
      <c r="G82" s="60">
        <v>54.59</v>
      </c>
      <c r="H82" s="60">
        <v>21.44</v>
      </c>
      <c r="I82" s="60">
        <v>0.69</v>
      </c>
      <c r="J82" s="60">
        <v>0.16</v>
      </c>
      <c r="K82" s="60">
        <v>99.49</v>
      </c>
      <c r="L82" s="60">
        <v>26.71</v>
      </c>
      <c r="M82" s="60">
        <v>22.22</v>
      </c>
      <c r="N82" s="60">
        <v>4.5</v>
      </c>
      <c r="O82" s="60">
        <v>0</v>
      </c>
      <c r="P82" s="60">
        <v>0.89</v>
      </c>
      <c r="Q82" s="60">
        <v>24.39</v>
      </c>
      <c r="R82" s="198"/>
      <c r="S82" s="198"/>
      <c r="T82" s="198"/>
      <c r="U82" s="198"/>
    </row>
    <row r="83" spans="1:26" s="12" customFormat="1" x14ac:dyDescent="0.25">
      <c r="A83" s="201" t="s">
        <v>2146</v>
      </c>
      <c r="B83" s="60">
        <v>39.729999999999997</v>
      </c>
      <c r="C83" s="60">
        <v>105.73</v>
      </c>
      <c r="D83" s="60">
        <v>90.21</v>
      </c>
      <c r="E83" s="60">
        <v>3.77</v>
      </c>
      <c r="F83" s="60">
        <v>1.72</v>
      </c>
      <c r="G83" s="60">
        <v>82.54</v>
      </c>
      <c r="H83" s="60">
        <v>30.25</v>
      </c>
      <c r="I83" s="60">
        <v>0.72</v>
      </c>
      <c r="J83" s="60">
        <v>0.26</v>
      </c>
      <c r="K83" s="60">
        <v>100.36</v>
      </c>
      <c r="L83" s="60">
        <v>25.85</v>
      </c>
      <c r="M83" s="60">
        <v>28.12</v>
      </c>
      <c r="N83" s="60">
        <v>4</v>
      </c>
      <c r="O83" s="60">
        <v>0</v>
      </c>
      <c r="P83" s="60">
        <v>0.94</v>
      </c>
      <c r="Q83" s="60">
        <v>25.08</v>
      </c>
      <c r="R83" s="198"/>
      <c r="S83" s="198"/>
      <c r="T83" s="198"/>
      <c r="U83" s="198"/>
    </row>
    <row r="84" spans="1:26" s="12" customFormat="1" x14ac:dyDescent="0.25">
      <c r="A84" s="201" t="s">
        <v>2147</v>
      </c>
      <c r="B84" s="60">
        <v>50.25</v>
      </c>
      <c r="C84" s="60">
        <v>114.77</v>
      </c>
      <c r="D84" s="60">
        <v>103.64</v>
      </c>
      <c r="E84" s="60">
        <v>3.76</v>
      </c>
      <c r="F84" s="60">
        <v>1.53</v>
      </c>
      <c r="G84" s="60">
        <v>82.54</v>
      </c>
      <c r="H84" s="60">
        <v>30.25</v>
      </c>
      <c r="I84" s="60">
        <v>0.7</v>
      </c>
      <c r="J84" s="60">
        <v>0.08</v>
      </c>
      <c r="K84" s="60">
        <v>113.56</v>
      </c>
      <c r="L84" s="60">
        <v>25.37</v>
      </c>
      <c r="M84" s="60">
        <v>28.92</v>
      </c>
      <c r="N84" s="60">
        <v>4.3</v>
      </c>
      <c r="O84" s="60">
        <v>0</v>
      </c>
      <c r="P84" s="60">
        <v>0.97</v>
      </c>
      <c r="Q84" s="60">
        <v>26.03</v>
      </c>
      <c r="R84" s="198"/>
      <c r="S84" s="198"/>
      <c r="T84" s="198"/>
      <c r="U84" s="198"/>
    </row>
    <row r="85" spans="1:26" s="12" customFormat="1" x14ac:dyDescent="0.25">
      <c r="A85" s="201" t="s">
        <v>2148</v>
      </c>
      <c r="B85" s="60">
        <v>63.43</v>
      </c>
      <c r="C85" s="60">
        <v>117.11</v>
      </c>
      <c r="D85" s="60">
        <v>115.49</v>
      </c>
      <c r="E85" s="60">
        <v>4.28</v>
      </c>
      <c r="F85" s="60">
        <v>1.4</v>
      </c>
      <c r="G85" s="60">
        <v>82.54</v>
      </c>
      <c r="H85" s="60">
        <v>30.25</v>
      </c>
      <c r="I85" s="60">
        <v>0.76</v>
      </c>
      <c r="J85" s="60">
        <v>0.05</v>
      </c>
      <c r="K85" s="60">
        <v>76.349999999999994</v>
      </c>
      <c r="L85" s="60">
        <v>24.97</v>
      </c>
      <c r="M85" s="60">
        <v>29.21</v>
      </c>
      <c r="N85" s="60">
        <v>4.3</v>
      </c>
      <c r="O85" s="60">
        <v>0</v>
      </c>
      <c r="P85" s="60">
        <v>1.05</v>
      </c>
      <c r="Q85" s="60">
        <v>26.91</v>
      </c>
      <c r="R85" s="198"/>
      <c r="S85" s="198"/>
      <c r="T85" s="198"/>
      <c r="U85" s="198"/>
    </row>
    <row r="86" spans="1:26" s="12" customFormat="1" x14ac:dyDescent="0.25">
      <c r="A86" s="201" t="s">
        <v>2149</v>
      </c>
      <c r="B86" s="60">
        <v>77.44</v>
      </c>
      <c r="C86" s="60">
        <v>118.65</v>
      </c>
      <c r="D86" s="60">
        <v>127.58</v>
      </c>
      <c r="E86" s="60">
        <v>4.07</v>
      </c>
      <c r="F86" s="60">
        <v>1.4</v>
      </c>
      <c r="G86" s="60">
        <v>102.57</v>
      </c>
      <c r="H86" s="60">
        <v>33.83</v>
      </c>
      <c r="I86" s="60">
        <v>0.77</v>
      </c>
      <c r="J86" s="60">
        <v>7.0000000000000007E-2</v>
      </c>
      <c r="K86" s="60">
        <v>32.86</v>
      </c>
      <c r="L86" s="60">
        <v>24.49</v>
      </c>
      <c r="M86" s="60">
        <v>33.159999999999997</v>
      </c>
      <c r="N86" s="60">
        <v>4</v>
      </c>
      <c r="O86" s="60">
        <v>0</v>
      </c>
      <c r="P86" s="60">
        <v>1.31</v>
      </c>
      <c r="Q86" s="60">
        <v>27.6</v>
      </c>
      <c r="R86" s="198"/>
      <c r="S86" s="198"/>
      <c r="T86" s="198"/>
      <c r="U86" s="198"/>
    </row>
    <row r="87" spans="1:26" s="12" customFormat="1" x14ac:dyDescent="0.25">
      <c r="A87" s="201" t="s">
        <v>2150</v>
      </c>
      <c r="B87" s="60">
        <v>109.06</v>
      </c>
      <c r="C87" s="60">
        <v>125.57</v>
      </c>
      <c r="D87" s="60">
        <v>156.76</v>
      </c>
      <c r="E87" s="60">
        <v>3.7</v>
      </c>
      <c r="F87" s="60">
        <v>1.69</v>
      </c>
      <c r="G87" s="60">
        <v>131.26</v>
      </c>
      <c r="H87" s="60">
        <v>38.96</v>
      </c>
      <c r="I87" s="60">
        <v>0.82</v>
      </c>
      <c r="J87" s="60">
        <v>0.01</v>
      </c>
      <c r="K87" s="60">
        <v>343.61</v>
      </c>
      <c r="L87" s="60">
        <v>24.53</v>
      </c>
      <c r="M87" s="60">
        <v>32.42</v>
      </c>
      <c r="N87" s="60">
        <v>3.8</v>
      </c>
      <c r="O87" s="60">
        <v>0</v>
      </c>
      <c r="P87" s="60">
        <v>1.77</v>
      </c>
      <c r="Q87" s="60">
        <v>27.36</v>
      </c>
      <c r="R87" s="198"/>
      <c r="S87" s="198"/>
      <c r="T87" s="198"/>
      <c r="U87" s="198"/>
    </row>
    <row r="88" spans="1:26" s="12" customFormat="1" x14ac:dyDescent="0.25">
      <c r="A88" s="201" t="s">
        <v>2151</v>
      </c>
      <c r="B88" s="60">
        <v>105.74</v>
      </c>
      <c r="C88" s="60">
        <v>124.81</v>
      </c>
      <c r="D88" s="60">
        <v>153.68</v>
      </c>
      <c r="E88" s="60">
        <v>3.04</v>
      </c>
      <c r="F88" s="60">
        <v>1.55</v>
      </c>
      <c r="G88" s="60">
        <v>131.26</v>
      </c>
      <c r="H88" s="60">
        <v>38.96</v>
      </c>
      <c r="I88" s="60">
        <v>0.89</v>
      </c>
      <c r="J88" s="60">
        <v>0.03</v>
      </c>
      <c r="K88" s="60">
        <v>231.85</v>
      </c>
      <c r="L88" s="60">
        <v>24.22</v>
      </c>
      <c r="M88" s="60">
        <v>30.15</v>
      </c>
      <c r="N88" s="60">
        <v>3.8</v>
      </c>
      <c r="O88" s="60">
        <v>0</v>
      </c>
      <c r="P88" s="60">
        <v>1.82</v>
      </c>
      <c r="Q88" s="60">
        <v>26.49</v>
      </c>
      <c r="R88" s="198"/>
      <c r="S88" s="198"/>
      <c r="T88" s="198"/>
      <c r="U88" s="198"/>
    </row>
    <row r="89" spans="1:26" s="12" customFormat="1" x14ac:dyDescent="0.25">
      <c r="A89" s="201" t="s">
        <v>2152</v>
      </c>
      <c r="B89" s="60">
        <v>131.13999999999999</v>
      </c>
      <c r="C89" s="60">
        <v>132.05000000000001</v>
      </c>
      <c r="D89" s="60">
        <v>178.04</v>
      </c>
      <c r="E89" s="60">
        <v>5.59</v>
      </c>
      <c r="F89" s="60">
        <v>1.53</v>
      </c>
      <c r="G89" s="60">
        <v>131.26</v>
      </c>
      <c r="H89" s="60">
        <v>38.96</v>
      </c>
      <c r="I89" s="60">
        <v>1.04</v>
      </c>
      <c r="J89" s="60">
        <v>0.13</v>
      </c>
      <c r="K89" s="60">
        <v>82.32</v>
      </c>
      <c r="L89" s="60">
        <v>24.08</v>
      </c>
      <c r="M89" s="60">
        <v>33.01</v>
      </c>
      <c r="N89" s="60">
        <v>3.9</v>
      </c>
      <c r="O89" s="60">
        <v>0</v>
      </c>
      <c r="P89" s="60">
        <v>1.87</v>
      </c>
      <c r="Q89" s="60">
        <v>26.85</v>
      </c>
      <c r="R89" s="198"/>
      <c r="S89" s="198"/>
      <c r="T89" s="198"/>
      <c r="U89" s="198"/>
    </row>
    <row r="90" spans="1:26" s="12" customFormat="1" x14ac:dyDescent="0.25">
      <c r="A90" s="201" t="s">
        <v>2153</v>
      </c>
      <c r="B90" s="60">
        <v>144.91999999999999</v>
      </c>
      <c r="C90" s="60">
        <v>132.24</v>
      </c>
      <c r="D90" s="60">
        <v>189.19</v>
      </c>
      <c r="E90" s="60">
        <v>6.49</v>
      </c>
      <c r="F90" s="60">
        <v>1.53</v>
      </c>
      <c r="G90" s="60">
        <v>147.91999999999999</v>
      </c>
      <c r="H90" s="60">
        <v>43.81</v>
      </c>
      <c r="I90" s="60">
        <v>1.06</v>
      </c>
      <c r="J90" s="60">
        <v>0.02</v>
      </c>
      <c r="K90" s="60">
        <v>89.77</v>
      </c>
      <c r="L90" s="60">
        <v>23.61</v>
      </c>
      <c r="M90" s="60">
        <v>36.99</v>
      </c>
      <c r="N90" s="60">
        <v>4.2</v>
      </c>
      <c r="O90" s="60">
        <v>0</v>
      </c>
      <c r="P90" s="60">
        <v>2.19</v>
      </c>
      <c r="Q90" s="60">
        <v>27.47</v>
      </c>
      <c r="R90" s="198"/>
      <c r="S90" s="198"/>
      <c r="T90" s="198"/>
      <c r="U90" s="198"/>
    </row>
    <row r="91" spans="1:26" s="12" customFormat="1" x14ac:dyDescent="0.25">
      <c r="A91" s="201" t="s">
        <v>2154</v>
      </c>
      <c r="B91" s="60">
        <v>127.36</v>
      </c>
      <c r="C91" s="60">
        <v>127.89</v>
      </c>
      <c r="D91" s="60">
        <v>172.71</v>
      </c>
      <c r="E91" s="60">
        <v>6.01</v>
      </c>
      <c r="F91" s="60">
        <v>1.54</v>
      </c>
      <c r="G91" s="60">
        <v>171.78</v>
      </c>
      <c r="H91" s="60">
        <v>50.77</v>
      </c>
      <c r="I91" s="60">
        <v>1.1100000000000001</v>
      </c>
      <c r="J91" s="60">
        <v>0.09</v>
      </c>
      <c r="K91" s="60">
        <v>164.5</v>
      </c>
      <c r="L91" s="60">
        <v>23.28</v>
      </c>
      <c r="M91" s="60">
        <v>36.31</v>
      </c>
      <c r="N91" s="60">
        <v>4.2</v>
      </c>
      <c r="O91" s="60">
        <v>0</v>
      </c>
      <c r="P91" s="60">
        <v>2.0499999999999998</v>
      </c>
      <c r="Q91" s="60">
        <v>28.49</v>
      </c>
      <c r="R91" s="198"/>
      <c r="S91" s="198"/>
      <c r="T91" s="198"/>
      <c r="U91" s="198"/>
    </row>
    <row r="92" spans="1:26" s="12" customFormat="1" x14ac:dyDescent="0.25">
      <c r="A92" s="201" t="s">
        <v>2155</v>
      </c>
      <c r="B92" s="60">
        <v>145.24</v>
      </c>
      <c r="C92" s="60">
        <v>127.39</v>
      </c>
      <c r="D92" s="60">
        <v>186.77</v>
      </c>
      <c r="E92" s="60">
        <v>6.28</v>
      </c>
      <c r="F92" s="60">
        <v>1.47</v>
      </c>
      <c r="G92" s="60">
        <v>171.78</v>
      </c>
      <c r="H92" s="60">
        <v>50.77</v>
      </c>
      <c r="I92" s="60">
        <v>1.21</v>
      </c>
      <c r="J92" s="60">
        <v>0.2</v>
      </c>
      <c r="K92" s="60">
        <v>2.68</v>
      </c>
      <c r="L92" s="60">
        <v>23.3</v>
      </c>
      <c r="M92" s="60">
        <v>36.020000000000003</v>
      </c>
      <c r="N92" s="60">
        <v>3.6</v>
      </c>
      <c r="O92" s="60">
        <v>0</v>
      </c>
      <c r="P92" s="60">
        <v>2.4900000000000002</v>
      </c>
      <c r="Q92" s="60">
        <v>29.02</v>
      </c>
      <c r="R92" s="198"/>
      <c r="S92" s="198"/>
      <c r="T92" s="198"/>
      <c r="U92" s="198"/>
    </row>
    <row r="93" spans="1:26" s="12" customFormat="1" x14ac:dyDescent="0.25">
      <c r="A93" s="201" t="s">
        <v>2156</v>
      </c>
      <c r="B93" s="60">
        <v>131.34</v>
      </c>
      <c r="C93" s="60">
        <v>124.82</v>
      </c>
      <c r="D93" s="60">
        <v>174.21</v>
      </c>
      <c r="E93" s="60">
        <v>6.48</v>
      </c>
      <c r="F93" s="60">
        <v>1.55</v>
      </c>
      <c r="G93" s="60">
        <v>171.78</v>
      </c>
      <c r="H93" s="60">
        <v>50.77</v>
      </c>
      <c r="I93" s="60">
        <v>1.17</v>
      </c>
      <c r="J93" s="60">
        <v>0.18</v>
      </c>
      <c r="K93" s="60">
        <v>350.35</v>
      </c>
      <c r="L93" s="60">
        <v>23.16</v>
      </c>
      <c r="M93" s="60">
        <v>41.96</v>
      </c>
      <c r="N93" s="60">
        <v>4.2</v>
      </c>
      <c r="O93" s="60">
        <v>0</v>
      </c>
      <c r="P93" s="60">
        <v>2.2000000000000002</v>
      </c>
      <c r="Q93" s="60">
        <v>30.48</v>
      </c>
      <c r="R93" s="198"/>
      <c r="S93" s="198"/>
      <c r="T93" s="198"/>
      <c r="U93" s="198"/>
    </row>
    <row r="94" spans="1:26" s="12" customFormat="1" x14ac:dyDescent="0.25">
      <c r="A94" s="201" t="s">
        <v>2157</v>
      </c>
      <c r="B94" s="60">
        <v>120.54</v>
      </c>
      <c r="C94" s="60">
        <v>122.06</v>
      </c>
      <c r="D94" s="60">
        <v>164.02</v>
      </c>
      <c r="E94" s="60">
        <v>6.37</v>
      </c>
      <c r="F94" s="60">
        <v>1.49</v>
      </c>
      <c r="G94" s="60">
        <v>182.94</v>
      </c>
      <c r="H94" s="60">
        <v>54.42</v>
      </c>
      <c r="I94" s="60">
        <v>1.25</v>
      </c>
      <c r="J94" s="60">
        <v>0.16</v>
      </c>
      <c r="K94" s="60">
        <v>314.61</v>
      </c>
      <c r="L94" s="60">
        <v>23.08</v>
      </c>
      <c r="M94" s="60">
        <v>35.1</v>
      </c>
      <c r="N94" s="60">
        <v>4</v>
      </c>
      <c r="O94" s="60">
        <v>0</v>
      </c>
      <c r="P94" s="60">
        <v>2.14</v>
      </c>
      <c r="Q94" s="60">
        <v>31.86</v>
      </c>
      <c r="R94" s="198"/>
      <c r="S94" s="198"/>
      <c r="T94" s="198"/>
      <c r="U94" s="198"/>
    </row>
    <row r="95" spans="1:26" s="12" customFormat="1" x14ac:dyDescent="0.25">
      <c r="A95" s="201" t="s">
        <v>2158</v>
      </c>
      <c r="B95" s="60">
        <v>126.46</v>
      </c>
      <c r="C95" s="60">
        <v>120.07</v>
      </c>
      <c r="D95" s="60">
        <v>167.68</v>
      </c>
      <c r="E95" s="60">
        <v>5.43</v>
      </c>
      <c r="F95" s="60">
        <v>1.58</v>
      </c>
      <c r="G95" s="60">
        <v>198.94</v>
      </c>
      <c r="H95" s="60">
        <v>59.65</v>
      </c>
      <c r="I95" s="60">
        <v>1.21</v>
      </c>
      <c r="J95" s="60">
        <v>0.15</v>
      </c>
      <c r="K95" s="60">
        <v>4.01</v>
      </c>
      <c r="L95" s="60">
        <v>22.56</v>
      </c>
      <c r="M95" s="60">
        <v>38.94</v>
      </c>
      <c r="N95" s="60">
        <v>4.5999999999999996</v>
      </c>
      <c r="O95" s="60">
        <v>0</v>
      </c>
      <c r="P95" s="60">
        <v>2.11</v>
      </c>
      <c r="Q95" s="60">
        <v>33.43</v>
      </c>
      <c r="R95" s="198"/>
      <c r="S95" s="198"/>
      <c r="T95" s="198"/>
      <c r="U95" s="198"/>
    </row>
    <row r="96" spans="1:26" s="12" customFormat="1" x14ac:dyDescent="0.25">
      <c r="A96" s="201" t="s">
        <v>2159</v>
      </c>
      <c r="B96" s="60">
        <v>127.8</v>
      </c>
      <c r="C96" s="60">
        <v>120.38</v>
      </c>
      <c r="D96" s="60">
        <v>168.92</v>
      </c>
      <c r="E96" s="60">
        <v>5.35</v>
      </c>
      <c r="F96" s="60">
        <v>1.45</v>
      </c>
      <c r="G96" s="60">
        <v>198.94</v>
      </c>
      <c r="H96" s="60">
        <v>59.65</v>
      </c>
      <c r="I96" s="60">
        <v>1.1599999999999999</v>
      </c>
      <c r="J96" s="60">
        <v>0.12</v>
      </c>
      <c r="K96" s="60">
        <v>27.46</v>
      </c>
      <c r="L96" s="60">
        <v>22.43</v>
      </c>
      <c r="M96" s="60">
        <v>40.39</v>
      </c>
      <c r="N96" s="60">
        <v>3.9</v>
      </c>
      <c r="O96" s="60">
        <v>0</v>
      </c>
      <c r="P96" s="60">
        <v>2.16</v>
      </c>
      <c r="Q96" s="60">
        <v>34.31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2160</v>
      </c>
      <c r="B97" s="60">
        <v>127.54</v>
      </c>
      <c r="C97" s="60">
        <v>120.84</v>
      </c>
      <c r="D97" s="60">
        <v>168.96</v>
      </c>
      <c r="E97" s="60">
        <v>5.32</v>
      </c>
      <c r="F97" s="60">
        <v>1.4</v>
      </c>
      <c r="G97" s="60">
        <v>198.94</v>
      </c>
      <c r="H97" s="60">
        <v>59.65</v>
      </c>
      <c r="I97" s="60">
        <v>1.2</v>
      </c>
      <c r="J97" s="60">
        <v>0.1</v>
      </c>
      <c r="K97" s="60">
        <v>83.13</v>
      </c>
      <c r="L97" s="60">
        <v>22.21</v>
      </c>
      <c r="M97" s="60">
        <v>45.27</v>
      </c>
      <c r="N97" s="60">
        <v>4.2</v>
      </c>
      <c r="O97" s="60">
        <v>0</v>
      </c>
      <c r="P97" s="60">
        <v>2.21</v>
      </c>
      <c r="Q97" s="60">
        <v>34.380000000000003</v>
      </c>
      <c r="R97" s="198"/>
      <c r="S97" s="198"/>
      <c r="T97" s="198"/>
      <c r="U97" s="198"/>
    </row>
    <row r="98" spans="1:33" s="12" customFormat="1" x14ac:dyDescent="0.25">
      <c r="A98" s="201" t="s">
        <v>2161</v>
      </c>
      <c r="B98" s="60">
        <v>129.24</v>
      </c>
      <c r="C98" s="60">
        <v>121.34</v>
      </c>
      <c r="D98" s="60">
        <v>170.61</v>
      </c>
      <c r="E98" s="60">
        <v>5.53</v>
      </c>
      <c r="F98" s="60">
        <v>1.4</v>
      </c>
      <c r="G98" s="60">
        <v>173.52</v>
      </c>
      <c r="H98" s="60">
        <v>57.62</v>
      </c>
      <c r="I98" s="60">
        <v>1.2</v>
      </c>
      <c r="J98" s="60">
        <v>0.16</v>
      </c>
      <c r="K98" s="60">
        <v>101.2</v>
      </c>
      <c r="L98" s="60">
        <v>21.97</v>
      </c>
      <c r="M98" s="60">
        <v>44.11</v>
      </c>
      <c r="N98" s="60">
        <v>4.2</v>
      </c>
      <c r="O98" s="60">
        <v>0</v>
      </c>
      <c r="P98" s="60">
        <v>2.2599999999999998</v>
      </c>
      <c r="Q98" s="60">
        <v>34.35</v>
      </c>
      <c r="R98" s="198"/>
      <c r="S98" s="198"/>
      <c r="T98" s="198"/>
      <c r="U98" s="198"/>
    </row>
    <row r="99" spans="1:33" s="12" customFormat="1" x14ac:dyDescent="0.25">
      <c r="A99" s="201" t="s">
        <v>2162</v>
      </c>
      <c r="B99" s="60">
        <v>130.22999999999999</v>
      </c>
      <c r="C99" s="60">
        <v>121.86</v>
      </c>
      <c r="D99" s="60">
        <v>171.68</v>
      </c>
      <c r="E99" s="60">
        <v>5.33</v>
      </c>
      <c r="F99" s="60">
        <v>1.4</v>
      </c>
      <c r="G99" s="60">
        <v>137.12</v>
      </c>
      <c r="H99" s="60">
        <v>54.72</v>
      </c>
      <c r="I99" s="60">
        <v>1.19</v>
      </c>
      <c r="J99" s="60">
        <v>0.14000000000000001</v>
      </c>
      <c r="K99" s="60">
        <v>48.48</v>
      </c>
      <c r="L99" s="60">
        <v>21.68</v>
      </c>
      <c r="M99" s="60">
        <v>46.03</v>
      </c>
      <c r="N99" s="60">
        <v>4.3</v>
      </c>
      <c r="O99" s="60">
        <v>0</v>
      </c>
      <c r="P99" s="60">
        <v>2.2799999999999998</v>
      </c>
      <c r="Q99" s="60">
        <v>34.369999999999997</v>
      </c>
      <c r="R99" s="198"/>
      <c r="S99" s="198"/>
      <c r="T99" s="198"/>
      <c r="U99" s="198"/>
    </row>
    <row r="100" spans="1:33" s="12" customFormat="1" x14ac:dyDescent="0.25">
      <c r="A100" s="201" t="s">
        <v>2163</v>
      </c>
      <c r="B100" s="60">
        <v>135.63999999999999</v>
      </c>
      <c r="C100" s="60">
        <v>123.1</v>
      </c>
      <c r="D100" s="60">
        <v>176.71</v>
      </c>
      <c r="E100" s="60">
        <v>5.16</v>
      </c>
      <c r="F100" s="60">
        <v>1.4</v>
      </c>
      <c r="G100" s="60">
        <v>137.12</v>
      </c>
      <c r="H100" s="60">
        <v>54.72</v>
      </c>
      <c r="I100" s="60">
        <v>1.18</v>
      </c>
      <c r="J100" s="60">
        <v>0.09</v>
      </c>
      <c r="K100" s="60">
        <v>120.57</v>
      </c>
      <c r="L100" s="60">
        <v>21.17</v>
      </c>
      <c r="M100" s="60">
        <v>50.9</v>
      </c>
      <c r="N100" s="60">
        <v>4.5</v>
      </c>
      <c r="O100" s="60">
        <v>0</v>
      </c>
      <c r="P100" s="60">
        <v>2.2999999999999998</v>
      </c>
      <c r="Q100" s="60">
        <v>34.51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2164</v>
      </c>
      <c r="B101" s="60">
        <v>143.59</v>
      </c>
      <c r="C101" s="60">
        <v>124.29</v>
      </c>
      <c r="D101" s="60">
        <v>183.74</v>
      </c>
      <c r="E101" s="60">
        <v>5.59</v>
      </c>
      <c r="F101" s="60">
        <v>1.52</v>
      </c>
      <c r="G101" s="60">
        <v>137.12</v>
      </c>
      <c r="H101" s="60">
        <v>54.72</v>
      </c>
      <c r="I101" s="60">
        <v>1.2</v>
      </c>
      <c r="J101" s="60">
        <v>0.06</v>
      </c>
      <c r="K101" s="60">
        <v>27.29</v>
      </c>
      <c r="L101" s="60">
        <v>20.97</v>
      </c>
      <c r="M101" s="60">
        <v>52.21</v>
      </c>
      <c r="N101" s="60">
        <v>4.3</v>
      </c>
      <c r="O101" s="60">
        <v>0</v>
      </c>
      <c r="P101" s="60">
        <v>2.27</v>
      </c>
      <c r="Q101" s="60">
        <v>34.6</v>
      </c>
      <c r="R101" s="198"/>
      <c r="S101" s="198"/>
      <c r="T101" s="198"/>
      <c r="U101" s="198"/>
    </row>
    <row r="102" spans="1:33" s="12" customFormat="1" x14ac:dyDescent="0.25">
      <c r="A102" s="201" t="s">
        <v>2165</v>
      </c>
      <c r="B102" s="60">
        <v>157.4</v>
      </c>
      <c r="C102" s="60">
        <v>124.46</v>
      </c>
      <c r="D102" s="60">
        <v>194.91</v>
      </c>
      <c r="E102" s="60">
        <v>5.43</v>
      </c>
      <c r="F102" s="60">
        <v>1.4</v>
      </c>
      <c r="G102" s="60">
        <v>144.25</v>
      </c>
      <c r="H102" s="60">
        <v>55.91</v>
      </c>
      <c r="I102" s="60">
        <v>1.19</v>
      </c>
      <c r="J102" s="60">
        <v>0.06</v>
      </c>
      <c r="K102" s="60">
        <v>113.01</v>
      </c>
      <c r="L102" s="60">
        <v>20.65</v>
      </c>
      <c r="M102" s="60">
        <v>54.42</v>
      </c>
      <c r="N102" s="60">
        <v>4.4000000000000004</v>
      </c>
      <c r="O102" s="60">
        <v>0</v>
      </c>
      <c r="P102" s="60">
        <v>2.29</v>
      </c>
      <c r="Q102" s="60">
        <v>33.380000000000003</v>
      </c>
      <c r="R102" s="198"/>
      <c r="S102" s="198"/>
      <c r="T102" s="198"/>
      <c r="U102" s="198"/>
    </row>
    <row r="103" spans="1:33" s="12" customFormat="1" x14ac:dyDescent="0.25">
      <c r="A103" s="201" t="s">
        <v>2166</v>
      </c>
      <c r="B103" s="60">
        <v>157.06</v>
      </c>
      <c r="C103" s="60">
        <v>126.56</v>
      </c>
      <c r="D103" s="60">
        <v>195.8</v>
      </c>
      <c r="E103" s="60">
        <v>5.85</v>
      </c>
      <c r="F103" s="60">
        <v>1.44</v>
      </c>
      <c r="G103" s="60">
        <v>154.47</v>
      </c>
      <c r="H103" s="60">
        <v>57.61</v>
      </c>
      <c r="I103" s="60">
        <v>1.17</v>
      </c>
      <c r="J103" s="60">
        <v>0.05</v>
      </c>
      <c r="K103" s="60">
        <v>9.69</v>
      </c>
      <c r="L103" s="60">
        <v>20.48</v>
      </c>
      <c r="M103" s="60">
        <v>54.44</v>
      </c>
      <c r="N103" s="60">
        <v>4.4000000000000004</v>
      </c>
      <c r="O103" s="60">
        <v>0</v>
      </c>
      <c r="P103" s="60">
        <v>2.25</v>
      </c>
      <c r="Q103" s="60">
        <v>33.53</v>
      </c>
      <c r="R103" s="198"/>
      <c r="S103" s="198"/>
      <c r="T103" s="198"/>
      <c r="U103" s="198"/>
    </row>
    <row r="104" spans="1:33" s="12" customFormat="1" x14ac:dyDescent="0.25">
      <c r="A104" s="201" t="s">
        <v>2167</v>
      </c>
      <c r="B104" s="60">
        <v>152.72999999999999</v>
      </c>
      <c r="C104" s="60">
        <v>124.9</v>
      </c>
      <c r="D104" s="60">
        <v>191.41</v>
      </c>
      <c r="E104" s="60">
        <v>2.98</v>
      </c>
      <c r="F104" s="60">
        <v>1.42</v>
      </c>
      <c r="G104" s="60">
        <v>154.47</v>
      </c>
      <c r="H104" s="60">
        <v>57.61</v>
      </c>
      <c r="I104" s="60">
        <v>1.17</v>
      </c>
      <c r="J104" s="60">
        <v>0.11</v>
      </c>
      <c r="K104" s="60">
        <v>89.13</v>
      </c>
      <c r="L104" s="60">
        <v>20.23</v>
      </c>
      <c r="M104" s="60">
        <v>53.63</v>
      </c>
      <c r="N104" s="60">
        <v>4.2</v>
      </c>
      <c r="O104" s="60">
        <v>0</v>
      </c>
      <c r="P104" s="60">
        <v>2.2200000000000002</v>
      </c>
      <c r="Q104" s="60">
        <v>33.92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1.05</v>
      </c>
      <c r="C106" s="67">
        <f>MIN(C9:C104)</f>
        <v>65.260000000000005</v>
      </c>
      <c r="D106" s="67">
        <f t="shared" ref="D106:Q106" si="0">MIN(D9:D104)</f>
        <v>37.880000000000003</v>
      </c>
      <c r="E106" s="67">
        <f t="shared" si="0"/>
        <v>2.37</v>
      </c>
      <c r="F106" s="67">
        <f t="shared" si="0"/>
        <v>1.4</v>
      </c>
      <c r="G106" s="67">
        <f t="shared" si="0"/>
        <v>24.69</v>
      </c>
      <c r="H106" s="67">
        <f t="shared" si="0"/>
        <v>15.28</v>
      </c>
      <c r="I106" s="67">
        <f t="shared" si="0"/>
        <v>0.45</v>
      </c>
      <c r="J106" s="67">
        <f t="shared" si="0"/>
        <v>0.01</v>
      </c>
      <c r="K106" s="67">
        <f t="shared" si="0"/>
        <v>1.3</v>
      </c>
      <c r="L106" s="67">
        <f t="shared" si="0"/>
        <v>17.88</v>
      </c>
      <c r="M106" s="67">
        <f t="shared" si="0"/>
        <v>7.9</v>
      </c>
      <c r="N106" s="67">
        <f t="shared" si="0"/>
        <v>3.4</v>
      </c>
      <c r="O106" s="67">
        <f t="shared" si="0"/>
        <v>0</v>
      </c>
      <c r="P106" s="67">
        <f t="shared" si="0"/>
        <v>0.55000000000000004</v>
      </c>
      <c r="Q106" s="67">
        <f t="shared" si="0"/>
        <v>12.2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439.21</v>
      </c>
      <c r="C107" s="66">
        <f t="shared" ref="C107:Q107" si="1">MAX(C9:C104)</f>
        <v>195.1</v>
      </c>
      <c r="D107" s="66">
        <f t="shared" si="1"/>
        <v>459.89</v>
      </c>
      <c r="E107" s="66">
        <f t="shared" si="1"/>
        <v>13.45</v>
      </c>
      <c r="F107" s="66">
        <f t="shared" si="1"/>
        <v>43.78</v>
      </c>
      <c r="G107" s="66">
        <f t="shared" si="1"/>
        <v>206.41</v>
      </c>
      <c r="H107" s="66">
        <f t="shared" si="1"/>
        <v>84.52</v>
      </c>
      <c r="I107" s="66">
        <f t="shared" si="1"/>
        <v>1.32</v>
      </c>
      <c r="J107" s="66">
        <f t="shared" si="1"/>
        <v>1.65</v>
      </c>
      <c r="K107" s="66">
        <f t="shared" si="1"/>
        <v>358.88</v>
      </c>
      <c r="L107" s="66">
        <f t="shared" si="1"/>
        <v>37.68</v>
      </c>
      <c r="M107" s="66">
        <f t="shared" si="1"/>
        <v>73.17</v>
      </c>
      <c r="N107" s="66">
        <f t="shared" si="1"/>
        <v>581</v>
      </c>
      <c r="O107" s="66">
        <f t="shared" si="1"/>
        <v>0</v>
      </c>
      <c r="P107" s="66">
        <f t="shared" si="1"/>
        <v>2.73</v>
      </c>
      <c r="Q107" s="66">
        <f t="shared" si="1"/>
        <v>37.869999999999997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52.933125000000011</v>
      </c>
      <c r="C108" s="67">
        <f t="shared" ref="C108:Q108" si="2">AVERAGE(C9:C104)</f>
        <v>109.441875</v>
      </c>
      <c r="D108" s="67">
        <f t="shared" si="2"/>
        <v>103.14500000000002</v>
      </c>
      <c r="E108" s="67">
        <f t="shared" si="2"/>
        <v>5.2716666666666647</v>
      </c>
      <c r="F108" s="67">
        <f t="shared" si="2"/>
        <v>6.054270833333331</v>
      </c>
      <c r="G108" s="67">
        <f t="shared" si="2"/>
        <v>105.64083333333333</v>
      </c>
      <c r="H108" s="67">
        <f t="shared" si="2"/>
        <v>47.056458333333332</v>
      </c>
      <c r="I108" s="67">
        <f t="shared" si="2"/>
        <v>0.82822916666666668</v>
      </c>
      <c r="J108" s="67">
        <f t="shared" si="2"/>
        <v>0.37177083333333338</v>
      </c>
      <c r="K108" s="67">
        <f t="shared" si="2"/>
        <v>132.49854166666668</v>
      </c>
      <c r="L108" s="67">
        <f t="shared" si="2"/>
        <v>26.470208333333328</v>
      </c>
      <c r="M108" s="67">
        <f t="shared" si="2"/>
        <v>38.40604166666666</v>
      </c>
      <c r="N108" s="67">
        <f t="shared" si="2"/>
        <v>162.5385416666667</v>
      </c>
      <c r="O108" s="67">
        <f t="shared" si="2"/>
        <v>0</v>
      </c>
      <c r="P108" s="67">
        <f t="shared" si="2"/>
        <v>1.5687500000000003</v>
      </c>
      <c r="Q108" s="67">
        <f t="shared" si="2"/>
        <v>29.361874999999998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68.529704774260978</v>
      </c>
      <c r="C109" s="67">
        <f t="shared" ref="C109:Q109" si="3">STDEV(C9:C104)</f>
        <v>20.0031013023114</v>
      </c>
      <c r="D109" s="67">
        <f t="shared" si="3"/>
        <v>64.759373424360589</v>
      </c>
      <c r="E109" s="67">
        <f t="shared" si="3"/>
        <v>1.7739148894712329</v>
      </c>
      <c r="F109" s="67">
        <f t="shared" si="3"/>
        <v>8.6287508085093538</v>
      </c>
      <c r="G109" s="67">
        <f t="shared" si="3"/>
        <v>55.674888937883139</v>
      </c>
      <c r="H109" s="67">
        <f t="shared" si="3"/>
        <v>17.651752021536655</v>
      </c>
      <c r="I109" s="67">
        <f t="shared" si="3"/>
        <v>0.24258257320871476</v>
      </c>
      <c r="J109" s="67">
        <f t="shared" si="3"/>
        <v>0.38605697641033199</v>
      </c>
      <c r="K109" s="67">
        <f t="shared" si="3"/>
        <v>126.65490762390257</v>
      </c>
      <c r="L109" s="67">
        <f t="shared" si="3"/>
        <v>6.3616657830389212</v>
      </c>
      <c r="M109" s="67">
        <f t="shared" si="3"/>
        <v>19.489031650982106</v>
      </c>
      <c r="N109" s="67">
        <f t="shared" si="3"/>
        <v>215.44974325193465</v>
      </c>
      <c r="O109" s="67">
        <f t="shared" si="3"/>
        <v>0</v>
      </c>
      <c r="P109" s="67">
        <f t="shared" si="3"/>
        <v>0.60421022831461613</v>
      </c>
      <c r="Q109" s="67">
        <f t="shared" si="3"/>
        <v>5.732043139460095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215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10" sqref="I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21-02-2023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340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2168</v>
      </c>
      <c r="B9" s="60">
        <v>146.09</v>
      </c>
      <c r="C9" s="60">
        <v>124.04</v>
      </c>
      <c r="D9" s="60">
        <v>185.6</v>
      </c>
      <c r="E9" s="60">
        <v>4.2699999999999996</v>
      </c>
      <c r="F9" s="60">
        <v>1.44</v>
      </c>
      <c r="G9" s="60">
        <v>154.47</v>
      </c>
      <c r="H9" s="60">
        <v>57.61</v>
      </c>
      <c r="I9" s="60">
        <v>1.18</v>
      </c>
      <c r="J9" s="60">
        <v>0.02</v>
      </c>
      <c r="K9" s="60">
        <v>113.88</v>
      </c>
      <c r="L9" s="60">
        <v>20.170000000000002</v>
      </c>
      <c r="M9" s="60">
        <v>52.58</v>
      </c>
      <c r="N9" s="60">
        <v>4.0999999999999996</v>
      </c>
      <c r="O9" s="60">
        <v>0</v>
      </c>
      <c r="P9" s="60">
        <v>2.1800000000000002</v>
      </c>
      <c r="Q9" s="60">
        <v>34.21</v>
      </c>
      <c r="R9" s="198"/>
      <c r="S9" s="198"/>
      <c r="T9" s="198"/>
      <c r="U9" s="198"/>
    </row>
    <row r="10" spans="1:21" s="12" customFormat="1" x14ac:dyDescent="0.25">
      <c r="A10" s="201" t="s">
        <v>2169</v>
      </c>
      <c r="B10" s="60">
        <v>142.34</v>
      </c>
      <c r="C10" s="60">
        <v>122.25</v>
      </c>
      <c r="D10" s="60">
        <v>181.61</v>
      </c>
      <c r="E10" s="60">
        <v>4.5</v>
      </c>
      <c r="F10" s="60">
        <v>1.4</v>
      </c>
      <c r="G10" s="60">
        <v>140.22999999999999</v>
      </c>
      <c r="H10" s="60">
        <v>54.04</v>
      </c>
      <c r="I10" s="60">
        <v>1.19</v>
      </c>
      <c r="J10" s="60">
        <v>0.06</v>
      </c>
      <c r="K10" s="60">
        <v>318.07</v>
      </c>
      <c r="L10" s="60">
        <v>20.010000000000002</v>
      </c>
      <c r="M10" s="60">
        <v>53.64</v>
      </c>
      <c r="N10" s="60">
        <v>4.3</v>
      </c>
      <c r="O10" s="60">
        <v>0</v>
      </c>
      <c r="P10" s="60">
        <v>2.13</v>
      </c>
      <c r="Q10" s="60">
        <v>34.24</v>
      </c>
      <c r="R10" s="198"/>
      <c r="S10" s="198"/>
      <c r="T10" s="198"/>
      <c r="U10" s="198"/>
    </row>
    <row r="11" spans="1:21" s="12" customFormat="1" x14ac:dyDescent="0.25">
      <c r="A11" s="201" t="s">
        <v>2170</v>
      </c>
      <c r="B11" s="60">
        <v>138.13999999999999</v>
      </c>
      <c r="C11" s="60">
        <v>120.89</v>
      </c>
      <c r="D11" s="60">
        <v>177.49</v>
      </c>
      <c r="E11" s="60">
        <v>4.22</v>
      </c>
      <c r="F11" s="60">
        <v>1.43</v>
      </c>
      <c r="G11" s="60">
        <v>119.84</v>
      </c>
      <c r="H11" s="60">
        <v>48.92</v>
      </c>
      <c r="I11" s="60">
        <v>1.18</v>
      </c>
      <c r="J11" s="60">
        <v>0.05</v>
      </c>
      <c r="K11" s="60">
        <v>328.43</v>
      </c>
      <c r="L11" s="60">
        <v>19.68</v>
      </c>
      <c r="M11" s="60">
        <v>53.98</v>
      </c>
      <c r="N11" s="60">
        <v>4.3</v>
      </c>
      <c r="O11" s="60">
        <v>0</v>
      </c>
      <c r="P11" s="60">
        <v>2.08</v>
      </c>
      <c r="Q11" s="60">
        <v>34.21</v>
      </c>
      <c r="R11" s="198"/>
      <c r="S11" s="198"/>
      <c r="T11" s="198"/>
      <c r="U11" s="198"/>
    </row>
    <row r="12" spans="1:21" s="12" customFormat="1" x14ac:dyDescent="0.25">
      <c r="A12" s="201" t="s">
        <v>2171</v>
      </c>
      <c r="B12" s="60">
        <v>131.53</v>
      </c>
      <c r="C12" s="60">
        <v>118.53</v>
      </c>
      <c r="D12" s="60">
        <v>170.89</v>
      </c>
      <c r="E12" s="60">
        <v>4.26</v>
      </c>
      <c r="F12" s="60">
        <v>1.41</v>
      </c>
      <c r="G12" s="60">
        <v>119.84</v>
      </c>
      <c r="H12" s="60">
        <v>48.92</v>
      </c>
      <c r="I12" s="60">
        <v>1.1499999999999999</v>
      </c>
      <c r="J12" s="60">
        <v>0.09</v>
      </c>
      <c r="K12" s="60">
        <v>342.85</v>
      </c>
      <c r="L12" s="60">
        <v>19.53</v>
      </c>
      <c r="M12" s="60">
        <v>54.82</v>
      </c>
      <c r="N12" s="60">
        <v>4.4000000000000004</v>
      </c>
      <c r="O12" s="60">
        <v>0</v>
      </c>
      <c r="P12" s="60">
        <v>2.0299999999999998</v>
      </c>
      <c r="Q12" s="60">
        <v>34.15</v>
      </c>
      <c r="R12" s="198"/>
      <c r="S12" s="198"/>
      <c r="T12" s="198"/>
      <c r="U12" s="198"/>
    </row>
    <row r="13" spans="1:21" s="12" customFormat="1" x14ac:dyDescent="0.25">
      <c r="A13" s="201" t="s">
        <v>2172</v>
      </c>
      <c r="B13" s="60">
        <v>128.37</v>
      </c>
      <c r="C13" s="60">
        <v>117.67</v>
      </c>
      <c r="D13" s="60">
        <v>167.88</v>
      </c>
      <c r="E13" s="60">
        <v>4.12</v>
      </c>
      <c r="F13" s="60">
        <v>1.4</v>
      </c>
      <c r="G13" s="60">
        <v>119.84</v>
      </c>
      <c r="H13" s="60">
        <v>48.92</v>
      </c>
      <c r="I13" s="60">
        <v>1.1499999999999999</v>
      </c>
      <c r="J13" s="60">
        <v>0.08</v>
      </c>
      <c r="K13" s="60">
        <v>6.82</v>
      </c>
      <c r="L13" s="60">
        <v>19.34</v>
      </c>
      <c r="M13" s="60">
        <v>56.41</v>
      </c>
      <c r="N13" s="60">
        <v>4.3</v>
      </c>
      <c r="O13" s="60">
        <v>0</v>
      </c>
      <c r="P13" s="60">
        <v>1.93</v>
      </c>
      <c r="Q13" s="60">
        <v>34.32</v>
      </c>
      <c r="R13" s="198"/>
      <c r="S13" s="198"/>
      <c r="T13" s="198"/>
      <c r="U13" s="198"/>
    </row>
    <row r="14" spans="1:21" s="12" customFormat="1" x14ac:dyDescent="0.25">
      <c r="A14" s="201" t="s">
        <v>2173</v>
      </c>
      <c r="B14" s="60">
        <v>126.21</v>
      </c>
      <c r="C14" s="60">
        <v>118.48</v>
      </c>
      <c r="D14" s="60">
        <v>166.6</v>
      </c>
      <c r="E14" s="60">
        <v>4.7</v>
      </c>
      <c r="F14" s="60">
        <v>1.4</v>
      </c>
      <c r="G14" s="60">
        <v>115.69</v>
      </c>
      <c r="H14" s="60">
        <v>46.93</v>
      </c>
      <c r="I14" s="60">
        <v>1.1399999999999999</v>
      </c>
      <c r="J14" s="60">
        <v>7.0000000000000007E-2</v>
      </c>
      <c r="K14" s="60">
        <v>298.62</v>
      </c>
      <c r="L14" s="60">
        <v>19.329999999999998</v>
      </c>
      <c r="M14" s="60">
        <v>55.27</v>
      </c>
      <c r="N14" s="60">
        <v>4.2</v>
      </c>
      <c r="O14" s="60">
        <v>0</v>
      </c>
      <c r="P14" s="60">
        <v>1.93</v>
      </c>
      <c r="Q14" s="60">
        <v>34.85</v>
      </c>
      <c r="R14" s="198"/>
      <c r="S14" s="198"/>
      <c r="T14" s="198"/>
      <c r="U14" s="198"/>
    </row>
    <row r="15" spans="1:21" s="12" customFormat="1" x14ac:dyDescent="0.25">
      <c r="A15" s="201" t="s">
        <v>2174</v>
      </c>
      <c r="B15" s="60">
        <v>119.01</v>
      </c>
      <c r="C15" s="60">
        <v>117.33</v>
      </c>
      <c r="D15" s="60">
        <v>160.19</v>
      </c>
      <c r="E15" s="60">
        <v>4.41</v>
      </c>
      <c r="F15" s="60">
        <v>1.45</v>
      </c>
      <c r="G15" s="60">
        <v>109.74</v>
      </c>
      <c r="H15" s="60">
        <v>44.07</v>
      </c>
      <c r="I15" s="60">
        <v>1.1299999999999999</v>
      </c>
      <c r="J15" s="60">
        <v>7.0000000000000007E-2</v>
      </c>
      <c r="K15" s="60">
        <v>19.46</v>
      </c>
      <c r="L15" s="60">
        <v>19.05</v>
      </c>
      <c r="M15" s="60">
        <v>57.71</v>
      </c>
      <c r="N15" s="60">
        <v>4.4000000000000004</v>
      </c>
      <c r="O15" s="60">
        <v>0</v>
      </c>
      <c r="P15" s="60">
        <v>1.87</v>
      </c>
      <c r="Q15" s="60">
        <v>34.44</v>
      </c>
      <c r="R15" s="198"/>
      <c r="S15" s="198"/>
      <c r="T15" s="198"/>
      <c r="U15" s="198"/>
    </row>
    <row r="16" spans="1:21" s="12" customFormat="1" x14ac:dyDescent="0.25">
      <c r="A16" s="201" t="s">
        <v>2175</v>
      </c>
      <c r="B16" s="60">
        <v>111.24</v>
      </c>
      <c r="C16" s="60">
        <v>115.61</v>
      </c>
      <c r="D16" s="60">
        <v>153.01</v>
      </c>
      <c r="E16" s="60">
        <v>4.5199999999999996</v>
      </c>
      <c r="F16" s="60">
        <v>1.4</v>
      </c>
      <c r="G16" s="60">
        <v>109.74</v>
      </c>
      <c r="H16" s="60">
        <v>44.07</v>
      </c>
      <c r="I16" s="60">
        <v>1.02</v>
      </c>
      <c r="J16" s="60">
        <v>0.1</v>
      </c>
      <c r="K16" s="60">
        <v>86.5</v>
      </c>
      <c r="L16" s="60">
        <v>18.96</v>
      </c>
      <c r="M16" s="60">
        <v>59.08</v>
      </c>
      <c r="N16" s="60">
        <v>4</v>
      </c>
      <c r="O16" s="60">
        <v>0</v>
      </c>
      <c r="P16" s="60">
        <v>1.81</v>
      </c>
      <c r="Q16" s="60">
        <v>34.020000000000003</v>
      </c>
      <c r="R16" s="198"/>
      <c r="S16" s="198"/>
      <c r="T16" s="198"/>
      <c r="U16" s="198"/>
    </row>
    <row r="17" spans="1:21" s="12" customFormat="1" x14ac:dyDescent="0.25">
      <c r="A17" s="201" t="s">
        <v>2176</v>
      </c>
      <c r="B17" s="60">
        <v>103.56</v>
      </c>
      <c r="C17" s="60">
        <v>113.75</v>
      </c>
      <c r="D17" s="60">
        <v>145.82</v>
      </c>
      <c r="E17" s="60">
        <v>4.13</v>
      </c>
      <c r="F17" s="60">
        <v>1.4</v>
      </c>
      <c r="G17" s="60">
        <v>109.74</v>
      </c>
      <c r="H17" s="60">
        <v>44.07</v>
      </c>
      <c r="I17" s="60">
        <v>1.07</v>
      </c>
      <c r="J17" s="60">
        <v>0.14000000000000001</v>
      </c>
      <c r="K17" s="60">
        <v>30.6</v>
      </c>
      <c r="L17" s="60">
        <v>18.73</v>
      </c>
      <c r="M17" s="60">
        <v>61.33</v>
      </c>
      <c r="N17" s="60">
        <v>4.4000000000000004</v>
      </c>
      <c r="O17" s="60">
        <v>0</v>
      </c>
      <c r="P17" s="60">
        <v>1.75</v>
      </c>
      <c r="Q17" s="60">
        <v>33.57</v>
      </c>
      <c r="R17" s="198"/>
      <c r="S17" s="198"/>
      <c r="T17" s="198"/>
      <c r="U17" s="198"/>
    </row>
    <row r="18" spans="1:21" s="12" customFormat="1" x14ac:dyDescent="0.25">
      <c r="A18" s="201" t="s">
        <v>2177</v>
      </c>
      <c r="B18" s="60">
        <v>96.71</v>
      </c>
      <c r="C18" s="60">
        <v>112.33</v>
      </c>
      <c r="D18" s="60">
        <v>139.55000000000001</v>
      </c>
      <c r="E18" s="60">
        <v>3.64</v>
      </c>
      <c r="F18" s="60">
        <v>1.4</v>
      </c>
      <c r="G18" s="60">
        <v>97.71</v>
      </c>
      <c r="H18" s="60">
        <v>43.68</v>
      </c>
      <c r="I18" s="60">
        <v>0.96</v>
      </c>
      <c r="J18" s="60">
        <v>0.1</v>
      </c>
      <c r="K18" s="60">
        <v>129.32</v>
      </c>
      <c r="L18" s="60">
        <v>18.739999999999998</v>
      </c>
      <c r="M18" s="60">
        <v>61.37</v>
      </c>
      <c r="N18" s="60">
        <v>3.8</v>
      </c>
      <c r="O18" s="60">
        <v>0</v>
      </c>
      <c r="P18" s="60">
        <v>1.7</v>
      </c>
      <c r="Q18" s="60">
        <v>32.89</v>
      </c>
      <c r="R18" s="198"/>
      <c r="S18" s="198"/>
      <c r="T18" s="198"/>
      <c r="U18" s="198"/>
    </row>
    <row r="19" spans="1:21" s="12" customFormat="1" x14ac:dyDescent="0.25">
      <c r="A19" s="201" t="s">
        <v>2178</v>
      </c>
      <c r="B19" s="60">
        <v>90.59</v>
      </c>
      <c r="C19" s="60">
        <v>111.3</v>
      </c>
      <c r="D19" s="60">
        <v>134.07</v>
      </c>
      <c r="E19" s="60">
        <v>3.71</v>
      </c>
      <c r="F19" s="60">
        <v>1.4</v>
      </c>
      <c r="G19" s="60">
        <v>80.489999999999995</v>
      </c>
      <c r="H19" s="60">
        <v>43.11</v>
      </c>
      <c r="I19" s="60">
        <v>1.01</v>
      </c>
      <c r="J19" s="60">
        <v>0.13</v>
      </c>
      <c r="K19" s="60">
        <v>319.3</v>
      </c>
      <c r="L19" s="60">
        <v>19.12</v>
      </c>
      <c r="M19" s="60">
        <v>60.33</v>
      </c>
      <c r="N19" s="60">
        <v>3.9</v>
      </c>
      <c r="O19" s="60">
        <v>0</v>
      </c>
      <c r="P19" s="60">
        <v>1.65</v>
      </c>
      <c r="Q19" s="60">
        <v>32.46</v>
      </c>
      <c r="R19" s="198"/>
      <c r="S19" s="198"/>
      <c r="T19" s="198"/>
      <c r="U19" s="198"/>
    </row>
    <row r="20" spans="1:21" s="12" customFormat="1" x14ac:dyDescent="0.25">
      <c r="A20" s="201" t="s">
        <v>2179</v>
      </c>
      <c r="B20" s="60">
        <v>80.819999999999993</v>
      </c>
      <c r="C20" s="60">
        <v>108.79</v>
      </c>
      <c r="D20" s="60">
        <v>124.85</v>
      </c>
      <c r="E20" s="60">
        <v>3.95</v>
      </c>
      <c r="F20" s="60">
        <v>1.4</v>
      </c>
      <c r="G20" s="60">
        <v>80.489999999999995</v>
      </c>
      <c r="H20" s="60">
        <v>43.11</v>
      </c>
      <c r="I20" s="60">
        <v>0.91</v>
      </c>
      <c r="J20" s="60">
        <v>0.09</v>
      </c>
      <c r="K20" s="60">
        <v>294.95999999999998</v>
      </c>
      <c r="L20" s="60">
        <v>18.7</v>
      </c>
      <c r="M20" s="60">
        <v>62.16</v>
      </c>
      <c r="N20" s="60">
        <v>4.4000000000000004</v>
      </c>
      <c r="O20" s="60">
        <v>0</v>
      </c>
      <c r="P20" s="60">
        <v>1.6</v>
      </c>
      <c r="Q20" s="60">
        <v>31.58</v>
      </c>
      <c r="R20" s="198"/>
      <c r="S20" s="198"/>
      <c r="T20" s="198"/>
      <c r="U20" s="198"/>
    </row>
    <row r="21" spans="1:21" s="12" customFormat="1" x14ac:dyDescent="0.25">
      <c r="A21" s="201" t="s">
        <v>2180</v>
      </c>
      <c r="B21" s="60">
        <v>77.150000000000006</v>
      </c>
      <c r="C21" s="60">
        <v>107.55</v>
      </c>
      <c r="D21" s="60">
        <v>121.22</v>
      </c>
      <c r="E21" s="60">
        <v>3.69</v>
      </c>
      <c r="F21" s="60">
        <v>1.4</v>
      </c>
      <c r="G21" s="60">
        <v>80.489999999999995</v>
      </c>
      <c r="H21" s="60">
        <v>43.11</v>
      </c>
      <c r="I21" s="60">
        <v>0.97</v>
      </c>
      <c r="J21" s="60">
        <v>0.13</v>
      </c>
      <c r="K21" s="60">
        <v>14.45</v>
      </c>
      <c r="L21" s="60">
        <v>18.399999999999999</v>
      </c>
      <c r="M21" s="60">
        <v>65.39</v>
      </c>
      <c r="N21" s="60">
        <v>4.5</v>
      </c>
      <c r="O21" s="60">
        <v>0</v>
      </c>
      <c r="P21" s="60">
        <v>1.57</v>
      </c>
      <c r="Q21" s="60">
        <v>30.75</v>
      </c>
      <c r="R21" s="198"/>
      <c r="S21" s="198"/>
      <c r="T21" s="198"/>
      <c r="U21" s="198"/>
    </row>
    <row r="22" spans="1:21" s="12" customFormat="1" x14ac:dyDescent="0.25">
      <c r="A22" s="201" t="s">
        <v>2181</v>
      </c>
      <c r="B22" s="60">
        <v>71.14</v>
      </c>
      <c r="C22" s="60">
        <v>106.22</v>
      </c>
      <c r="D22" s="60">
        <v>115.67</v>
      </c>
      <c r="E22" s="60">
        <v>3.61</v>
      </c>
      <c r="F22" s="60">
        <v>1.4</v>
      </c>
      <c r="G22" s="60">
        <v>77.930000000000007</v>
      </c>
      <c r="H22" s="60">
        <v>41.2</v>
      </c>
      <c r="I22" s="60">
        <v>0.88</v>
      </c>
      <c r="J22" s="60">
        <v>0</v>
      </c>
      <c r="K22" s="60">
        <v>89.37</v>
      </c>
      <c r="L22" s="60">
        <v>18.05</v>
      </c>
      <c r="M22" s="60">
        <v>65.41</v>
      </c>
      <c r="N22" s="60">
        <v>4.5999999999999996</v>
      </c>
      <c r="O22" s="60">
        <v>0</v>
      </c>
      <c r="P22" s="60">
        <v>1.54</v>
      </c>
      <c r="Q22" s="60">
        <v>30.34</v>
      </c>
      <c r="R22" s="198"/>
      <c r="S22" s="198"/>
      <c r="T22" s="198"/>
      <c r="U22" s="198"/>
    </row>
    <row r="23" spans="1:21" s="12" customFormat="1" x14ac:dyDescent="0.25">
      <c r="A23" s="201" t="s">
        <v>2182</v>
      </c>
      <c r="B23" s="60">
        <v>69.92</v>
      </c>
      <c r="C23" s="60">
        <v>105.39</v>
      </c>
      <c r="D23" s="60">
        <v>114.24</v>
      </c>
      <c r="E23" s="60">
        <v>3.94</v>
      </c>
      <c r="F23" s="60">
        <v>1.4</v>
      </c>
      <c r="G23" s="60">
        <v>74.260000000000005</v>
      </c>
      <c r="H23" s="60">
        <v>38.46</v>
      </c>
      <c r="I23" s="60">
        <v>0.86</v>
      </c>
      <c r="J23" s="60">
        <v>0.09</v>
      </c>
      <c r="K23" s="60">
        <v>341.85</v>
      </c>
      <c r="L23" s="60">
        <v>17.82</v>
      </c>
      <c r="M23" s="60">
        <v>66.25</v>
      </c>
      <c r="N23" s="60">
        <v>4.2</v>
      </c>
      <c r="O23" s="60">
        <v>0</v>
      </c>
      <c r="P23" s="60">
        <v>1.51</v>
      </c>
      <c r="Q23" s="60">
        <v>29.97</v>
      </c>
      <c r="R23" s="198"/>
      <c r="S23" s="198"/>
      <c r="T23" s="198"/>
      <c r="U23" s="198"/>
    </row>
    <row r="24" spans="1:21" s="12" customFormat="1" x14ac:dyDescent="0.25">
      <c r="A24" s="201" t="s">
        <v>2183</v>
      </c>
      <c r="B24" s="60">
        <v>66.989999999999995</v>
      </c>
      <c r="C24" s="60">
        <v>104.74</v>
      </c>
      <c r="D24" s="60">
        <v>111.52</v>
      </c>
      <c r="E24" s="60">
        <v>2.56</v>
      </c>
      <c r="F24" s="60">
        <v>1.43</v>
      </c>
      <c r="G24" s="60">
        <v>74.260000000000005</v>
      </c>
      <c r="H24" s="60">
        <v>38.46</v>
      </c>
      <c r="I24" s="60">
        <v>0.86</v>
      </c>
      <c r="J24" s="60">
        <v>0.14000000000000001</v>
      </c>
      <c r="K24" s="60">
        <v>257.52</v>
      </c>
      <c r="L24" s="60">
        <v>18.16</v>
      </c>
      <c r="M24" s="60">
        <v>62.44</v>
      </c>
      <c r="N24" s="60">
        <v>3.8</v>
      </c>
      <c r="O24" s="60">
        <v>0</v>
      </c>
      <c r="P24" s="60">
        <v>1.47</v>
      </c>
      <c r="Q24" s="60">
        <v>29.97</v>
      </c>
      <c r="R24" s="198"/>
      <c r="S24" s="198"/>
      <c r="T24" s="198"/>
      <c r="U24" s="198"/>
    </row>
    <row r="25" spans="1:21" s="12" customFormat="1" x14ac:dyDescent="0.25">
      <c r="A25" s="201" t="s">
        <v>2184</v>
      </c>
      <c r="B25" s="60">
        <v>63.29</v>
      </c>
      <c r="C25" s="60">
        <v>104.11</v>
      </c>
      <c r="D25" s="60">
        <v>108.21</v>
      </c>
      <c r="E25" s="60">
        <v>4.33</v>
      </c>
      <c r="F25" s="60">
        <v>1.4</v>
      </c>
      <c r="G25" s="60">
        <v>74.260000000000005</v>
      </c>
      <c r="H25" s="60">
        <v>38.46</v>
      </c>
      <c r="I25" s="60">
        <v>0.86</v>
      </c>
      <c r="J25" s="60">
        <v>0.03</v>
      </c>
      <c r="K25" s="60">
        <v>232.67</v>
      </c>
      <c r="L25" s="60">
        <v>18.8</v>
      </c>
      <c r="M25" s="60">
        <v>59.84</v>
      </c>
      <c r="N25" s="60">
        <v>3.6</v>
      </c>
      <c r="O25" s="60">
        <v>0</v>
      </c>
      <c r="P25" s="60">
        <v>1.43</v>
      </c>
      <c r="Q25" s="60">
        <v>29.83</v>
      </c>
      <c r="R25" s="198"/>
      <c r="S25" s="198"/>
      <c r="T25" s="198"/>
      <c r="U25" s="198"/>
    </row>
    <row r="26" spans="1:21" s="12" customFormat="1" x14ac:dyDescent="0.25">
      <c r="A26" s="201" t="s">
        <v>2185</v>
      </c>
      <c r="B26" s="60">
        <v>61.82</v>
      </c>
      <c r="C26" s="60">
        <v>103.36</v>
      </c>
      <c r="D26" s="60">
        <v>106.62</v>
      </c>
      <c r="E26" s="60">
        <v>4.43</v>
      </c>
      <c r="F26" s="60">
        <v>1.45</v>
      </c>
      <c r="G26" s="60">
        <v>82.26</v>
      </c>
      <c r="H26" s="60">
        <v>39.47</v>
      </c>
      <c r="I26" s="60">
        <v>0.85</v>
      </c>
      <c r="J26" s="60">
        <v>0.06</v>
      </c>
      <c r="K26" s="60">
        <v>304.33999999999997</v>
      </c>
      <c r="L26" s="60">
        <v>18.309999999999999</v>
      </c>
      <c r="M26" s="60">
        <v>62.51</v>
      </c>
      <c r="N26" s="60">
        <v>4.4000000000000004</v>
      </c>
      <c r="O26" s="60">
        <v>0</v>
      </c>
      <c r="P26" s="60">
        <v>1.41</v>
      </c>
      <c r="Q26" s="60">
        <v>29.71</v>
      </c>
      <c r="R26" s="198"/>
      <c r="S26" s="198"/>
      <c r="T26" s="198"/>
      <c r="U26" s="198"/>
    </row>
    <row r="27" spans="1:21" s="12" customFormat="1" x14ac:dyDescent="0.25">
      <c r="A27" s="201" t="s">
        <v>2186</v>
      </c>
      <c r="B27" s="60">
        <v>62.51</v>
      </c>
      <c r="C27" s="60">
        <v>102.98</v>
      </c>
      <c r="D27" s="60">
        <v>106.96</v>
      </c>
      <c r="E27" s="60">
        <v>4.32</v>
      </c>
      <c r="F27" s="60">
        <v>1.4</v>
      </c>
      <c r="G27" s="60">
        <v>93.72</v>
      </c>
      <c r="H27" s="60">
        <v>40.92</v>
      </c>
      <c r="I27" s="60">
        <v>0.84</v>
      </c>
      <c r="J27" s="60">
        <v>0.1</v>
      </c>
      <c r="K27" s="60">
        <v>318.01</v>
      </c>
      <c r="L27" s="60">
        <v>18</v>
      </c>
      <c r="M27" s="60">
        <v>63.51</v>
      </c>
      <c r="N27" s="60">
        <v>4.3</v>
      </c>
      <c r="O27" s="60">
        <v>0</v>
      </c>
      <c r="P27" s="60">
        <v>1.4</v>
      </c>
      <c r="Q27" s="60">
        <v>29.76</v>
      </c>
      <c r="R27" s="198"/>
      <c r="S27" s="198"/>
      <c r="T27" s="198"/>
      <c r="U27" s="198"/>
    </row>
    <row r="28" spans="1:21" s="12" customFormat="1" x14ac:dyDescent="0.25">
      <c r="A28" s="201" t="s">
        <v>2187</v>
      </c>
      <c r="B28" s="60">
        <v>65.39</v>
      </c>
      <c r="C28" s="60">
        <v>102.72</v>
      </c>
      <c r="D28" s="60">
        <v>109.13</v>
      </c>
      <c r="E28" s="60">
        <v>4.28</v>
      </c>
      <c r="F28" s="60">
        <v>1.45</v>
      </c>
      <c r="G28" s="60">
        <v>93.72</v>
      </c>
      <c r="H28" s="60">
        <v>40.92</v>
      </c>
      <c r="I28" s="60">
        <v>0.85</v>
      </c>
      <c r="J28" s="60">
        <v>0.13</v>
      </c>
      <c r="K28" s="60">
        <v>1.89</v>
      </c>
      <c r="L28" s="60">
        <v>17.64</v>
      </c>
      <c r="M28" s="60">
        <v>67.13</v>
      </c>
      <c r="N28" s="60">
        <v>4.5</v>
      </c>
      <c r="O28" s="60">
        <v>0</v>
      </c>
      <c r="P28" s="60">
        <v>1.38</v>
      </c>
      <c r="Q28" s="60">
        <v>30.79</v>
      </c>
      <c r="R28" s="198"/>
      <c r="S28" s="198"/>
      <c r="T28" s="198"/>
      <c r="U28" s="198"/>
    </row>
    <row r="29" spans="1:21" s="12" customFormat="1" x14ac:dyDescent="0.25">
      <c r="A29" s="201" t="s">
        <v>2188</v>
      </c>
      <c r="B29" s="60">
        <v>69.58</v>
      </c>
      <c r="C29" s="60">
        <v>103.66</v>
      </c>
      <c r="D29" s="60">
        <v>113</v>
      </c>
      <c r="E29" s="60">
        <v>4.16</v>
      </c>
      <c r="F29" s="60">
        <v>1.47</v>
      </c>
      <c r="G29" s="60">
        <v>93.72</v>
      </c>
      <c r="H29" s="60">
        <v>40.92</v>
      </c>
      <c r="I29" s="60">
        <v>0.84</v>
      </c>
      <c r="J29" s="60">
        <v>0.11</v>
      </c>
      <c r="K29" s="60">
        <v>332.29</v>
      </c>
      <c r="L29" s="60">
        <v>17.43</v>
      </c>
      <c r="M29" s="60">
        <v>67.36</v>
      </c>
      <c r="N29" s="60">
        <v>4.4000000000000004</v>
      </c>
      <c r="O29" s="60">
        <v>0</v>
      </c>
      <c r="P29" s="60">
        <v>1.37</v>
      </c>
      <c r="Q29" s="60">
        <v>31.29</v>
      </c>
      <c r="R29" s="198"/>
      <c r="S29" s="198"/>
      <c r="T29" s="198"/>
      <c r="U29" s="198"/>
    </row>
    <row r="30" spans="1:21" s="12" customFormat="1" x14ac:dyDescent="0.25">
      <c r="A30" s="201" t="s">
        <v>2189</v>
      </c>
      <c r="B30" s="60">
        <v>74.56</v>
      </c>
      <c r="C30" s="60">
        <v>104.15</v>
      </c>
      <c r="D30" s="60">
        <v>117.27</v>
      </c>
      <c r="E30" s="60">
        <v>4.26</v>
      </c>
      <c r="F30" s="60">
        <v>1.42</v>
      </c>
      <c r="G30" s="60">
        <v>110.18</v>
      </c>
      <c r="H30" s="60">
        <v>41.56</v>
      </c>
      <c r="I30" s="60">
        <v>0.84</v>
      </c>
      <c r="J30" s="60">
        <v>0.11</v>
      </c>
      <c r="K30" s="60">
        <v>350.28</v>
      </c>
      <c r="L30" s="60">
        <v>17.399999999999999</v>
      </c>
      <c r="M30" s="60">
        <v>66.680000000000007</v>
      </c>
      <c r="N30" s="60">
        <v>4.2</v>
      </c>
      <c r="O30" s="60">
        <v>0</v>
      </c>
      <c r="P30" s="60">
        <v>1.35</v>
      </c>
      <c r="Q30" s="60">
        <v>31.22</v>
      </c>
      <c r="R30" s="198"/>
      <c r="S30" s="198"/>
      <c r="T30" s="198"/>
      <c r="U30" s="198"/>
    </row>
    <row r="31" spans="1:21" s="12" customFormat="1" x14ac:dyDescent="0.25">
      <c r="A31" s="201" t="s">
        <v>2190</v>
      </c>
      <c r="B31" s="60">
        <v>81.290000000000006</v>
      </c>
      <c r="C31" s="60">
        <v>104.94</v>
      </c>
      <c r="D31" s="60">
        <v>123.1</v>
      </c>
      <c r="E31" s="60">
        <v>4.59</v>
      </c>
      <c r="F31" s="60">
        <v>1.4</v>
      </c>
      <c r="G31" s="60">
        <v>133.77000000000001</v>
      </c>
      <c r="H31" s="60">
        <v>42.49</v>
      </c>
      <c r="I31" s="60">
        <v>0.83</v>
      </c>
      <c r="J31" s="60">
        <v>0.13</v>
      </c>
      <c r="K31" s="60">
        <v>277.01</v>
      </c>
      <c r="L31" s="60">
        <v>17.79</v>
      </c>
      <c r="M31" s="60">
        <v>62.35</v>
      </c>
      <c r="N31" s="60">
        <v>4.0999999999999996</v>
      </c>
      <c r="O31" s="60">
        <v>0</v>
      </c>
      <c r="P31" s="60">
        <v>1.36</v>
      </c>
      <c r="Q31" s="60">
        <v>31.36</v>
      </c>
      <c r="R31" s="198"/>
      <c r="S31" s="198"/>
      <c r="T31" s="198"/>
      <c r="U31" s="198"/>
    </row>
    <row r="32" spans="1:21" s="12" customFormat="1" x14ac:dyDescent="0.25">
      <c r="A32" s="201" t="s">
        <v>2191</v>
      </c>
      <c r="B32" s="60">
        <v>85.25</v>
      </c>
      <c r="C32" s="60">
        <v>105.16</v>
      </c>
      <c r="D32" s="60">
        <v>126.4</v>
      </c>
      <c r="E32" s="60">
        <v>4.1399999999999997</v>
      </c>
      <c r="F32" s="60">
        <v>1.4</v>
      </c>
      <c r="G32" s="60">
        <v>133.77000000000001</v>
      </c>
      <c r="H32" s="60">
        <v>42.49</v>
      </c>
      <c r="I32" s="60">
        <v>0.83</v>
      </c>
      <c r="J32" s="60">
        <v>7.0000000000000007E-2</v>
      </c>
      <c r="K32" s="60">
        <v>295.81</v>
      </c>
      <c r="L32" s="60">
        <v>17.38</v>
      </c>
      <c r="M32" s="60">
        <v>63.03</v>
      </c>
      <c r="N32" s="60">
        <v>4.5</v>
      </c>
      <c r="O32" s="60">
        <v>0</v>
      </c>
      <c r="P32" s="60">
        <v>1.35</v>
      </c>
      <c r="Q32" s="60">
        <v>31.56</v>
      </c>
      <c r="R32" s="198"/>
      <c r="S32" s="198"/>
      <c r="T32" s="198"/>
      <c r="U32" s="198"/>
    </row>
    <row r="33" spans="1:21" s="12" customFormat="1" x14ac:dyDescent="0.25">
      <c r="A33" s="201" t="s">
        <v>2192</v>
      </c>
      <c r="B33" s="60">
        <v>87.07</v>
      </c>
      <c r="C33" s="60">
        <v>105.23</v>
      </c>
      <c r="D33" s="60">
        <v>127.9</v>
      </c>
      <c r="E33" s="60">
        <v>4.33</v>
      </c>
      <c r="F33" s="60">
        <v>1.4</v>
      </c>
      <c r="G33" s="60">
        <v>133.77000000000001</v>
      </c>
      <c r="H33" s="60">
        <v>42.49</v>
      </c>
      <c r="I33" s="60">
        <v>0.83</v>
      </c>
      <c r="J33" s="60">
        <v>0.09</v>
      </c>
      <c r="K33" s="60">
        <v>298.51</v>
      </c>
      <c r="L33" s="60">
        <v>17.18</v>
      </c>
      <c r="M33" s="60">
        <v>63.78</v>
      </c>
      <c r="N33" s="60">
        <v>4.3</v>
      </c>
      <c r="O33" s="60">
        <v>0</v>
      </c>
      <c r="P33" s="60">
        <v>1.34</v>
      </c>
      <c r="Q33" s="60">
        <v>31.42</v>
      </c>
      <c r="R33" s="198"/>
      <c r="S33" s="198"/>
      <c r="T33" s="198"/>
      <c r="U33" s="198"/>
    </row>
    <row r="34" spans="1:21" s="12" customFormat="1" x14ac:dyDescent="0.25">
      <c r="A34" s="201" t="s">
        <v>2193</v>
      </c>
      <c r="B34" s="60">
        <v>89.55</v>
      </c>
      <c r="C34" s="60">
        <v>105.21</v>
      </c>
      <c r="D34" s="60">
        <v>129.88</v>
      </c>
      <c r="E34" s="60">
        <v>4.58</v>
      </c>
      <c r="F34" s="60">
        <v>1.4</v>
      </c>
      <c r="G34" s="60">
        <v>122.75</v>
      </c>
      <c r="H34" s="60">
        <v>42</v>
      </c>
      <c r="I34" s="60">
        <v>0.82</v>
      </c>
      <c r="J34" s="60">
        <v>0.2</v>
      </c>
      <c r="K34" s="60">
        <v>267.56</v>
      </c>
      <c r="L34" s="60">
        <v>17.5</v>
      </c>
      <c r="M34" s="60">
        <v>62.67</v>
      </c>
      <c r="N34" s="60">
        <v>6.6</v>
      </c>
      <c r="O34" s="60">
        <v>0</v>
      </c>
      <c r="P34" s="60">
        <v>1.35</v>
      </c>
      <c r="Q34" s="60">
        <v>31.13</v>
      </c>
      <c r="R34" s="198"/>
      <c r="S34" s="198"/>
      <c r="T34" s="198"/>
      <c r="U34" s="198"/>
    </row>
    <row r="35" spans="1:21" s="12" customFormat="1" x14ac:dyDescent="0.25">
      <c r="A35" s="201" t="s">
        <v>2194</v>
      </c>
      <c r="B35" s="60">
        <v>90.45</v>
      </c>
      <c r="C35" s="60">
        <v>105.05</v>
      </c>
      <c r="D35" s="60">
        <v>130.51</v>
      </c>
      <c r="E35" s="60">
        <v>4.72</v>
      </c>
      <c r="F35" s="60">
        <v>1.4</v>
      </c>
      <c r="G35" s="60">
        <v>106.96</v>
      </c>
      <c r="H35" s="60">
        <v>41.3</v>
      </c>
      <c r="I35" s="60">
        <v>0.82</v>
      </c>
      <c r="J35" s="60">
        <v>0.18</v>
      </c>
      <c r="K35" s="60">
        <v>271.76</v>
      </c>
      <c r="L35" s="60">
        <v>18.079999999999998</v>
      </c>
      <c r="M35" s="60">
        <v>62.03</v>
      </c>
      <c r="N35" s="60">
        <v>15.4</v>
      </c>
      <c r="O35" s="60">
        <v>0</v>
      </c>
      <c r="P35" s="60">
        <v>1.33</v>
      </c>
      <c r="Q35" s="60">
        <v>30.27</v>
      </c>
      <c r="R35" s="198"/>
      <c r="S35" s="198"/>
      <c r="T35" s="198"/>
      <c r="U35" s="198"/>
    </row>
    <row r="36" spans="1:21" s="12" customFormat="1" x14ac:dyDescent="0.25">
      <c r="A36" s="201" t="s">
        <v>2195</v>
      </c>
      <c r="B36" s="60">
        <v>87.72</v>
      </c>
      <c r="C36" s="60">
        <v>104.77</v>
      </c>
      <c r="D36" s="60">
        <v>128.16999999999999</v>
      </c>
      <c r="E36" s="60">
        <v>4.1900000000000004</v>
      </c>
      <c r="F36" s="60">
        <v>1.41</v>
      </c>
      <c r="G36" s="60">
        <v>106.96</v>
      </c>
      <c r="H36" s="60">
        <v>41.3</v>
      </c>
      <c r="I36" s="60">
        <v>0.81</v>
      </c>
      <c r="J36" s="60">
        <v>0.11</v>
      </c>
      <c r="K36" s="60">
        <v>326.01</v>
      </c>
      <c r="L36" s="60">
        <v>18.010000000000002</v>
      </c>
      <c r="M36" s="60">
        <v>63.69</v>
      </c>
      <c r="N36" s="60">
        <v>28</v>
      </c>
      <c r="O36" s="60">
        <v>0</v>
      </c>
      <c r="P36" s="60">
        <v>1.31</v>
      </c>
      <c r="Q36" s="60">
        <v>29.85</v>
      </c>
      <c r="R36" s="198"/>
      <c r="S36" s="198"/>
      <c r="T36" s="198"/>
      <c r="U36" s="198"/>
    </row>
    <row r="37" spans="1:21" s="12" customFormat="1" x14ac:dyDescent="0.25">
      <c r="A37" s="201" t="s">
        <v>2196</v>
      </c>
      <c r="B37" s="60">
        <v>84.16</v>
      </c>
      <c r="C37" s="60">
        <v>104.01</v>
      </c>
      <c r="D37" s="60">
        <v>124.89</v>
      </c>
      <c r="E37" s="60">
        <v>4.5999999999999996</v>
      </c>
      <c r="F37" s="60">
        <v>1.53</v>
      </c>
      <c r="G37" s="60">
        <v>106.96</v>
      </c>
      <c r="H37" s="60">
        <v>41.3</v>
      </c>
      <c r="I37" s="60">
        <v>0.82</v>
      </c>
      <c r="J37" s="60">
        <v>0.14000000000000001</v>
      </c>
      <c r="K37" s="60">
        <v>234.05</v>
      </c>
      <c r="L37" s="60">
        <v>18.579999999999998</v>
      </c>
      <c r="M37" s="60">
        <v>59.96</v>
      </c>
      <c r="N37" s="60">
        <v>88.1</v>
      </c>
      <c r="O37" s="60">
        <v>0</v>
      </c>
      <c r="P37" s="60">
        <v>1.27</v>
      </c>
      <c r="Q37" s="60">
        <v>29.69</v>
      </c>
      <c r="R37" s="198"/>
      <c r="S37" s="198"/>
      <c r="T37" s="198"/>
      <c r="U37" s="198"/>
    </row>
    <row r="38" spans="1:21" s="12" customFormat="1" x14ac:dyDescent="0.25">
      <c r="A38" s="201" t="s">
        <v>2197</v>
      </c>
      <c r="B38" s="60">
        <v>81.150000000000006</v>
      </c>
      <c r="C38" s="60">
        <v>103.72</v>
      </c>
      <c r="D38" s="60">
        <v>122.31</v>
      </c>
      <c r="E38" s="60">
        <v>4.71</v>
      </c>
      <c r="F38" s="60">
        <v>1.56</v>
      </c>
      <c r="G38" s="60">
        <v>98.37</v>
      </c>
      <c r="H38" s="60">
        <v>41.99</v>
      </c>
      <c r="I38" s="60">
        <v>0.81</v>
      </c>
      <c r="J38" s="60">
        <v>0.21</v>
      </c>
      <c r="K38" s="60">
        <v>172.15</v>
      </c>
      <c r="L38" s="60">
        <v>21.36</v>
      </c>
      <c r="M38" s="60">
        <v>51.35</v>
      </c>
      <c r="N38" s="60">
        <v>143.19999999999999</v>
      </c>
      <c r="O38" s="60">
        <v>0</v>
      </c>
      <c r="P38" s="60">
        <v>1.29</v>
      </c>
      <c r="Q38" s="60">
        <v>29.49</v>
      </c>
      <c r="R38" s="198"/>
      <c r="S38" s="198"/>
      <c r="T38" s="198"/>
      <c r="U38" s="198"/>
    </row>
    <row r="39" spans="1:21" s="12" customFormat="1" x14ac:dyDescent="0.25">
      <c r="A39" s="201" t="s">
        <v>2198</v>
      </c>
      <c r="B39" s="60">
        <v>80.5</v>
      </c>
      <c r="C39" s="60">
        <v>103.62</v>
      </c>
      <c r="D39" s="60">
        <v>121.74</v>
      </c>
      <c r="E39" s="60">
        <v>4.68</v>
      </c>
      <c r="F39" s="60">
        <v>1.45</v>
      </c>
      <c r="G39" s="60">
        <v>86.06</v>
      </c>
      <c r="H39" s="60">
        <v>42.98</v>
      </c>
      <c r="I39" s="60">
        <v>0.8</v>
      </c>
      <c r="J39" s="60">
        <v>0.66</v>
      </c>
      <c r="K39" s="60">
        <v>171.78</v>
      </c>
      <c r="L39" s="60">
        <v>22.77</v>
      </c>
      <c r="M39" s="60">
        <v>45.59</v>
      </c>
      <c r="N39" s="60">
        <v>190.6</v>
      </c>
      <c r="O39" s="60">
        <v>0</v>
      </c>
      <c r="P39" s="60">
        <v>1.3</v>
      </c>
      <c r="Q39" s="60">
        <v>29.36</v>
      </c>
      <c r="R39" s="198"/>
      <c r="S39" s="198"/>
      <c r="T39" s="198"/>
      <c r="U39" s="198"/>
    </row>
    <row r="40" spans="1:21" s="12" customFormat="1" x14ac:dyDescent="0.25">
      <c r="A40" s="201" t="s">
        <v>2199</v>
      </c>
      <c r="B40" s="60">
        <v>78.239999999999995</v>
      </c>
      <c r="C40" s="60">
        <v>104.26</v>
      </c>
      <c r="D40" s="60">
        <v>120.28</v>
      </c>
      <c r="E40" s="60">
        <v>2.83</v>
      </c>
      <c r="F40" s="60">
        <v>1.4</v>
      </c>
      <c r="G40" s="60">
        <v>86.06</v>
      </c>
      <c r="H40" s="60">
        <v>42.98</v>
      </c>
      <c r="I40" s="60">
        <v>0.8</v>
      </c>
      <c r="J40" s="60">
        <v>0.74</v>
      </c>
      <c r="K40" s="60">
        <v>174.88</v>
      </c>
      <c r="L40" s="60">
        <v>23.75</v>
      </c>
      <c r="M40" s="60">
        <v>42.37</v>
      </c>
      <c r="N40" s="60">
        <v>242.5</v>
      </c>
      <c r="O40" s="60">
        <v>0</v>
      </c>
      <c r="P40" s="60">
        <v>1.31</v>
      </c>
      <c r="Q40" s="60">
        <v>29.74</v>
      </c>
      <c r="R40" s="198"/>
      <c r="S40" s="198"/>
      <c r="T40" s="198"/>
      <c r="U40" s="198"/>
    </row>
    <row r="41" spans="1:21" s="12" customFormat="1" x14ac:dyDescent="0.25">
      <c r="A41" s="201" t="s">
        <v>2200</v>
      </c>
      <c r="B41" s="60">
        <v>74.510000000000005</v>
      </c>
      <c r="C41" s="60">
        <v>105.33</v>
      </c>
      <c r="D41" s="60">
        <v>117.88</v>
      </c>
      <c r="E41" s="60">
        <v>5.82</v>
      </c>
      <c r="F41" s="60">
        <v>1.43</v>
      </c>
      <c r="G41" s="60">
        <v>86.06</v>
      </c>
      <c r="H41" s="60">
        <v>42.98</v>
      </c>
      <c r="I41" s="60">
        <v>0.8</v>
      </c>
      <c r="J41" s="60">
        <v>0.62</v>
      </c>
      <c r="K41" s="60">
        <v>182.13</v>
      </c>
      <c r="L41" s="60">
        <v>24.16</v>
      </c>
      <c r="M41" s="60">
        <v>43.91</v>
      </c>
      <c r="N41" s="60">
        <v>289.7</v>
      </c>
      <c r="O41" s="60">
        <v>0</v>
      </c>
      <c r="P41" s="60">
        <v>1.3</v>
      </c>
      <c r="Q41" s="60">
        <v>29.83</v>
      </c>
      <c r="R41" s="198"/>
      <c r="S41" s="198"/>
      <c r="T41" s="198"/>
      <c r="U41" s="198"/>
    </row>
    <row r="42" spans="1:21" s="12" customFormat="1" x14ac:dyDescent="0.25">
      <c r="A42" s="201" t="s">
        <v>2201</v>
      </c>
      <c r="B42" s="60">
        <v>70.3</v>
      </c>
      <c r="C42" s="60">
        <v>106.18</v>
      </c>
      <c r="D42" s="60">
        <v>114.97</v>
      </c>
      <c r="E42" s="60">
        <v>5.59</v>
      </c>
      <c r="F42" s="60">
        <v>1.46</v>
      </c>
      <c r="G42" s="60">
        <v>85.43</v>
      </c>
      <c r="H42" s="60">
        <v>42.08</v>
      </c>
      <c r="I42" s="60">
        <v>0.8</v>
      </c>
      <c r="J42" s="60">
        <v>0.33</v>
      </c>
      <c r="K42" s="60">
        <v>232.01</v>
      </c>
      <c r="L42" s="60">
        <v>24.86</v>
      </c>
      <c r="M42" s="60">
        <v>41.35</v>
      </c>
      <c r="N42" s="60">
        <v>334.9</v>
      </c>
      <c r="O42" s="60">
        <v>0</v>
      </c>
      <c r="P42" s="60">
        <v>1.3</v>
      </c>
      <c r="Q42" s="60">
        <v>30.53</v>
      </c>
      <c r="R42" s="198"/>
      <c r="S42" s="198"/>
      <c r="T42" s="198"/>
      <c r="U42" s="198"/>
    </row>
    <row r="43" spans="1:21" s="12" customFormat="1" x14ac:dyDescent="0.25">
      <c r="A43" s="201" t="s">
        <v>2202</v>
      </c>
      <c r="B43" s="60">
        <v>64.62</v>
      </c>
      <c r="C43" s="60">
        <v>107.34</v>
      </c>
      <c r="D43" s="60">
        <v>111.06</v>
      </c>
      <c r="E43" s="60">
        <v>5.95</v>
      </c>
      <c r="F43" s="60">
        <v>1.43</v>
      </c>
      <c r="G43" s="60">
        <v>84.51</v>
      </c>
      <c r="H43" s="60">
        <v>40.79</v>
      </c>
      <c r="I43" s="60">
        <v>0.8</v>
      </c>
      <c r="J43" s="60">
        <v>1.31</v>
      </c>
      <c r="K43" s="60">
        <v>170.83</v>
      </c>
      <c r="L43" s="60">
        <v>24.95</v>
      </c>
      <c r="M43" s="60">
        <v>42.19</v>
      </c>
      <c r="N43" s="60">
        <v>389.8</v>
      </c>
      <c r="O43" s="60">
        <v>0</v>
      </c>
      <c r="P43" s="60">
        <v>1.28</v>
      </c>
      <c r="Q43" s="60">
        <v>30.97</v>
      </c>
      <c r="R43" s="198"/>
      <c r="S43" s="198"/>
      <c r="T43" s="198"/>
      <c r="U43" s="198"/>
    </row>
    <row r="44" spans="1:21" s="12" customFormat="1" x14ac:dyDescent="0.25">
      <c r="A44" s="201" t="s">
        <v>2203</v>
      </c>
      <c r="B44" s="60">
        <v>58.05</v>
      </c>
      <c r="C44" s="60">
        <v>108.93</v>
      </c>
      <c r="D44" s="60">
        <v>106.67</v>
      </c>
      <c r="E44" s="60">
        <v>5.8</v>
      </c>
      <c r="F44" s="60">
        <v>1.46</v>
      </c>
      <c r="G44" s="60">
        <v>84.51</v>
      </c>
      <c r="H44" s="60">
        <v>40.79</v>
      </c>
      <c r="I44" s="60">
        <v>0.79</v>
      </c>
      <c r="J44" s="60">
        <v>1.26</v>
      </c>
      <c r="K44" s="60">
        <v>168.36</v>
      </c>
      <c r="L44" s="60">
        <v>25.77</v>
      </c>
      <c r="M44" s="60">
        <v>40.31</v>
      </c>
      <c r="N44" s="60">
        <v>443</v>
      </c>
      <c r="O44" s="60">
        <v>0</v>
      </c>
      <c r="P44" s="60">
        <v>1.26</v>
      </c>
      <c r="Q44" s="60">
        <v>30.8</v>
      </c>
      <c r="R44" s="198"/>
      <c r="S44" s="198"/>
      <c r="T44" s="198"/>
      <c r="U44" s="198"/>
    </row>
    <row r="45" spans="1:21" s="12" customFormat="1" x14ac:dyDescent="0.25">
      <c r="A45" s="201" t="s">
        <v>2204</v>
      </c>
      <c r="B45" s="60">
        <v>51.43</v>
      </c>
      <c r="C45" s="60">
        <v>111.03</v>
      </c>
      <c r="D45" s="60">
        <v>102.52</v>
      </c>
      <c r="E45" s="60">
        <v>6.5</v>
      </c>
      <c r="F45" s="60">
        <v>1.48</v>
      </c>
      <c r="G45" s="60">
        <v>84.51</v>
      </c>
      <c r="H45" s="60">
        <v>40.79</v>
      </c>
      <c r="I45" s="60">
        <v>0.77</v>
      </c>
      <c r="J45" s="60">
        <v>0.99</v>
      </c>
      <c r="K45" s="60">
        <v>167.88</v>
      </c>
      <c r="L45" s="60">
        <v>27.31</v>
      </c>
      <c r="M45" s="60">
        <v>35.9</v>
      </c>
      <c r="N45" s="60">
        <v>497.5</v>
      </c>
      <c r="O45" s="60">
        <v>0</v>
      </c>
      <c r="P45" s="60">
        <v>1.24</v>
      </c>
      <c r="Q45" s="60">
        <v>30.53</v>
      </c>
      <c r="R45" s="198"/>
      <c r="S45" s="198"/>
      <c r="T45" s="198"/>
      <c r="U45" s="198"/>
    </row>
    <row r="46" spans="1:21" s="12" customFormat="1" x14ac:dyDescent="0.25">
      <c r="A46" s="201" t="s">
        <v>2205</v>
      </c>
      <c r="B46" s="60">
        <v>44.82</v>
      </c>
      <c r="C46" s="60">
        <v>113.65</v>
      </c>
      <c r="D46" s="60">
        <v>98.66</v>
      </c>
      <c r="E46" s="60">
        <v>6.24</v>
      </c>
      <c r="F46" s="60">
        <v>1.46</v>
      </c>
      <c r="G46" s="60">
        <v>79.900000000000006</v>
      </c>
      <c r="H46" s="60">
        <v>41.15</v>
      </c>
      <c r="I46" s="60">
        <v>0.76</v>
      </c>
      <c r="J46" s="60">
        <v>0.66</v>
      </c>
      <c r="K46" s="60">
        <v>161.13</v>
      </c>
      <c r="L46" s="60">
        <v>28.45</v>
      </c>
      <c r="M46" s="60">
        <v>35.24</v>
      </c>
      <c r="N46" s="60">
        <v>544.29999999999995</v>
      </c>
      <c r="O46" s="60">
        <v>0</v>
      </c>
      <c r="P46" s="60">
        <v>1.23</v>
      </c>
      <c r="Q46" s="60">
        <v>30.26</v>
      </c>
      <c r="R46" s="198"/>
      <c r="S46" s="198"/>
      <c r="T46" s="198"/>
      <c r="U46" s="198"/>
    </row>
    <row r="47" spans="1:21" s="12" customFormat="1" x14ac:dyDescent="0.25">
      <c r="A47" s="201" t="s">
        <v>2206</v>
      </c>
      <c r="B47" s="60">
        <v>38.409999999999997</v>
      </c>
      <c r="C47" s="60">
        <v>116.31</v>
      </c>
      <c r="D47" s="60">
        <v>94.99</v>
      </c>
      <c r="E47" s="60">
        <v>6.39</v>
      </c>
      <c r="F47" s="60">
        <v>1.68</v>
      </c>
      <c r="G47" s="60">
        <v>73.290000000000006</v>
      </c>
      <c r="H47" s="60">
        <v>41.67</v>
      </c>
      <c r="I47" s="60">
        <v>0.75</v>
      </c>
      <c r="J47" s="60">
        <v>0.14000000000000001</v>
      </c>
      <c r="K47" s="60">
        <v>188</v>
      </c>
      <c r="L47" s="60">
        <v>30.26</v>
      </c>
      <c r="M47" s="60">
        <v>32.200000000000003</v>
      </c>
      <c r="N47" s="60">
        <v>574.6</v>
      </c>
      <c r="O47" s="60">
        <v>0</v>
      </c>
      <c r="P47" s="60">
        <v>1.22</v>
      </c>
      <c r="Q47" s="60">
        <v>30.02</v>
      </c>
      <c r="R47" s="198"/>
      <c r="S47" s="198"/>
      <c r="T47" s="198"/>
      <c r="U47" s="198"/>
    </row>
    <row r="48" spans="1:21" s="12" customFormat="1" x14ac:dyDescent="0.25">
      <c r="A48" s="201" t="s">
        <v>2207</v>
      </c>
      <c r="B48" s="60">
        <v>33</v>
      </c>
      <c r="C48" s="60">
        <v>119.2</v>
      </c>
      <c r="D48" s="60">
        <v>92.24</v>
      </c>
      <c r="E48" s="60">
        <v>5.75</v>
      </c>
      <c r="F48" s="60">
        <v>1.57</v>
      </c>
      <c r="G48" s="60">
        <v>73.290000000000006</v>
      </c>
      <c r="H48" s="60">
        <v>41.67</v>
      </c>
      <c r="I48" s="60">
        <v>0.73</v>
      </c>
      <c r="J48" s="60">
        <v>0.43</v>
      </c>
      <c r="K48" s="60">
        <v>194.35</v>
      </c>
      <c r="L48" s="60">
        <v>29.47</v>
      </c>
      <c r="M48" s="60">
        <v>31.16</v>
      </c>
      <c r="N48" s="60">
        <v>595.70000000000005</v>
      </c>
      <c r="O48" s="60">
        <v>0</v>
      </c>
      <c r="P48" s="60">
        <v>1.21</v>
      </c>
      <c r="Q48" s="60">
        <v>29.92</v>
      </c>
      <c r="R48" s="198"/>
      <c r="S48" s="198"/>
      <c r="T48" s="198"/>
      <c r="U48" s="198"/>
    </row>
    <row r="49" spans="1:21" s="12" customFormat="1" x14ac:dyDescent="0.25">
      <c r="A49" s="201" t="s">
        <v>2208</v>
      </c>
      <c r="B49" s="60">
        <v>16.98</v>
      </c>
      <c r="C49" s="60">
        <v>101.65</v>
      </c>
      <c r="D49" s="60">
        <v>69.72</v>
      </c>
      <c r="E49" s="60">
        <v>8.6999999999999993</v>
      </c>
      <c r="F49" s="60">
        <v>14.28</v>
      </c>
      <c r="G49" s="60">
        <v>73.290000000000006</v>
      </c>
      <c r="H49" s="60">
        <v>41.67</v>
      </c>
      <c r="I49" s="60">
        <v>0.73</v>
      </c>
      <c r="J49" s="60">
        <v>0.43</v>
      </c>
      <c r="K49" s="60">
        <v>207.71</v>
      </c>
      <c r="L49" s="60">
        <v>30.23</v>
      </c>
      <c r="M49" s="60">
        <v>28.07</v>
      </c>
      <c r="N49" s="60">
        <v>603.29999999999995</v>
      </c>
      <c r="O49" s="60">
        <v>0</v>
      </c>
      <c r="P49" s="60">
        <v>1.1599999999999999</v>
      </c>
      <c r="Q49" s="60">
        <v>28.02</v>
      </c>
      <c r="R49" s="198"/>
      <c r="S49" s="198"/>
      <c r="T49" s="198"/>
      <c r="U49" s="198"/>
    </row>
    <row r="50" spans="1:21" s="12" customFormat="1" x14ac:dyDescent="0.25">
      <c r="A50" s="201" t="s">
        <v>2209</v>
      </c>
      <c r="B50" s="60">
        <v>0.87</v>
      </c>
      <c r="C50" s="60">
        <v>57.7</v>
      </c>
      <c r="D50" s="60">
        <v>32.54</v>
      </c>
      <c r="E50" s="60">
        <v>25.65</v>
      </c>
      <c r="F50" s="60">
        <v>54.45</v>
      </c>
      <c r="G50" s="60">
        <v>70.08</v>
      </c>
      <c r="H50" s="60">
        <v>40.380000000000003</v>
      </c>
      <c r="I50" s="60">
        <v>0.71</v>
      </c>
      <c r="J50" s="60">
        <v>0.44</v>
      </c>
      <c r="K50" s="60">
        <v>179.45</v>
      </c>
      <c r="L50" s="60">
        <v>31.32</v>
      </c>
      <c r="M50" s="60">
        <v>24.88</v>
      </c>
      <c r="N50" s="60">
        <v>598.6</v>
      </c>
      <c r="O50" s="60">
        <v>0</v>
      </c>
      <c r="P50" s="60">
        <v>1.33</v>
      </c>
      <c r="Q50" s="60">
        <v>15.71</v>
      </c>
      <c r="R50" s="198"/>
      <c r="S50" s="198"/>
      <c r="T50" s="198"/>
      <c r="U50" s="198"/>
    </row>
    <row r="51" spans="1:21" s="12" customFormat="1" x14ac:dyDescent="0.25">
      <c r="A51" s="201" t="s">
        <v>2210</v>
      </c>
      <c r="B51" s="60">
        <v>0.93</v>
      </c>
      <c r="C51" s="60">
        <v>51.59</v>
      </c>
      <c r="D51" s="60">
        <v>29.22</v>
      </c>
      <c r="E51" s="60">
        <v>1.72</v>
      </c>
      <c r="F51" s="60">
        <v>78.87</v>
      </c>
      <c r="G51" s="60">
        <v>56.96</v>
      </c>
      <c r="H51" s="210" t="s">
        <v>36</v>
      </c>
      <c r="I51" s="60">
        <v>0.63</v>
      </c>
      <c r="J51" s="60">
        <v>0.02</v>
      </c>
      <c r="K51" s="60">
        <v>292.58999999999997</v>
      </c>
      <c r="L51" s="60">
        <v>32.590000000000003</v>
      </c>
      <c r="M51" s="60">
        <v>22.38</v>
      </c>
      <c r="N51" s="60">
        <v>584.6</v>
      </c>
      <c r="O51" s="60">
        <v>0</v>
      </c>
      <c r="P51" s="60">
        <v>0</v>
      </c>
      <c r="Q51" s="60">
        <v>11.07</v>
      </c>
      <c r="R51" s="198"/>
      <c r="S51" s="198"/>
      <c r="T51" s="198"/>
      <c r="U51" s="198"/>
    </row>
    <row r="52" spans="1:21" s="12" customFormat="1" x14ac:dyDescent="0.25">
      <c r="A52" s="201" t="s">
        <v>2211</v>
      </c>
      <c r="B52" s="60">
        <v>1.85</v>
      </c>
      <c r="C52" s="60">
        <v>64.180000000000007</v>
      </c>
      <c r="D52" s="60">
        <v>36.9</v>
      </c>
      <c r="E52" s="60">
        <v>15.13</v>
      </c>
      <c r="F52" s="60">
        <v>58.21</v>
      </c>
      <c r="G52" s="60">
        <v>56.96</v>
      </c>
      <c r="H52" s="210" t="s">
        <v>36</v>
      </c>
      <c r="I52" s="60">
        <v>0.49</v>
      </c>
      <c r="J52" s="60">
        <v>0.2</v>
      </c>
      <c r="K52" s="60">
        <v>153.19</v>
      </c>
      <c r="L52" s="60">
        <v>34.299999999999997</v>
      </c>
      <c r="M52" s="60">
        <v>21.33</v>
      </c>
      <c r="N52" s="60">
        <v>575</v>
      </c>
      <c r="O52" s="60">
        <v>0</v>
      </c>
      <c r="P52" s="60">
        <v>0.01</v>
      </c>
      <c r="Q52" s="60">
        <v>10.11</v>
      </c>
      <c r="R52" s="198"/>
      <c r="S52" s="198"/>
      <c r="T52" s="198"/>
      <c r="U52" s="198"/>
    </row>
    <row r="53" spans="1:21" s="12" customFormat="1" x14ac:dyDescent="0.25">
      <c r="A53" s="201" t="s">
        <v>2212</v>
      </c>
      <c r="B53" s="60">
        <v>1.6</v>
      </c>
      <c r="C53" s="60">
        <v>69.47</v>
      </c>
      <c r="D53" s="60">
        <v>39.619999999999997</v>
      </c>
      <c r="E53" s="60">
        <v>24.62</v>
      </c>
      <c r="F53" s="60">
        <v>53.2</v>
      </c>
      <c r="G53" s="60">
        <v>56.96</v>
      </c>
      <c r="H53" s="210" t="s">
        <v>36</v>
      </c>
      <c r="I53" s="60">
        <v>0.45</v>
      </c>
      <c r="J53" s="60">
        <v>0.08</v>
      </c>
      <c r="K53" s="60">
        <v>354.4</v>
      </c>
      <c r="L53" s="60">
        <v>34.17</v>
      </c>
      <c r="M53" s="60">
        <v>19.72</v>
      </c>
      <c r="N53" s="60">
        <v>580.5</v>
      </c>
      <c r="O53" s="60">
        <v>0</v>
      </c>
      <c r="P53" s="60">
        <v>0.01</v>
      </c>
      <c r="Q53" s="60">
        <v>10.79</v>
      </c>
      <c r="R53" s="198"/>
      <c r="S53" s="198"/>
      <c r="T53" s="198"/>
      <c r="U53" s="198"/>
    </row>
    <row r="54" spans="1:21" s="12" customFormat="1" x14ac:dyDescent="0.25">
      <c r="A54" s="201" t="s">
        <v>2213</v>
      </c>
      <c r="B54" s="60">
        <v>1.93</v>
      </c>
      <c r="C54" s="60">
        <v>72.84</v>
      </c>
      <c r="D54" s="60">
        <v>41.74</v>
      </c>
      <c r="E54" s="60">
        <v>291.2</v>
      </c>
      <c r="F54" s="60">
        <v>55.97</v>
      </c>
      <c r="G54" s="60">
        <v>56.96</v>
      </c>
      <c r="H54" s="210" t="s">
        <v>36</v>
      </c>
      <c r="I54" s="60">
        <v>0.47</v>
      </c>
      <c r="J54" s="60">
        <v>0.61</v>
      </c>
      <c r="K54" s="60">
        <v>2.2999999999999998</v>
      </c>
      <c r="L54" s="60">
        <v>35.39</v>
      </c>
      <c r="M54" s="60">
        <v>19.940000000000001</v>
      </c>
      <c r="N54" s="60">
        <v>574.6</v>
      </c>
      <c r="O54" s="60">
        <v>0</v>
      </c>
      <c r="P54" s="60">
        <v>0.01</v>
      </c>
      <c r="Q54" s="60">
        <v>11</v>
      </c>
      <c r="R54" s="198"/>
      <c r="S54" s="198"/>
      <c r="T54" s="198"/>
      <c r="U54" s="198"/>
    </row>
    <row r="55" spans="1:21" s="12" customFormat="1" x14ac:dyDescent="0.25">
      <c r="A55" s="201" t="s">
        <v>2214</v>
      </c>
      <c r="B55" s="60">
        <v>1.04</v>
      </c>
      <c r="C55" s="60">
        <v>58.52</v>
      </c>
      <c r="D55" s="60">
        <v>33.130000000000003</v>
      </c>
      <c r="E55" s="60">
        <v>19.95</v>
      </c>
      <c r="F55" s="60">
        <v>72.67</v>
      </c>
      <c r="G55" s="60">
        <v>19.62</v>
      </c>
      <c r="H55" s="210" t="s">
        <v>36</v>
      </c>
      <c r="I55" s="60">
        <v>0.49</v>
      </c>
      <c r="J55" s="60">
        <v>0.38</v>
      </c>
      <c r="K55" s="60">
        <v>3.28</v>
      </c>
      <c r="L55" s="60">
        <v>36.159999999999997</v>
      </c>
      <c r="M55" s="60">
        <v>18.98</v>
      </c>
      <c r="N55" s="60">
        <v>552.70000000000005</v>
      </c>
      <c r="O55" s="60">
        <v>0</v>
      </c>
      <c r="P55" s="60">
        <v>0.32</v>
      </c>
      <c r="Q55" s="60">
        <v>11.28</v>
      </c>
      <c r="R55" s="198"/>
      <c r="S55" s="198"/>
      <c r="T55" s="198"/>
      <c r="U55" s="198"/>
    </row>
    <row r="56" spans="1:21" s="12" customFormat="1" x14ac:dyDescent="0.25">
      <c r="A56" s="201" t="s">
        <v>2215</v>
      </c>
      <c r="B56" s="60">
        <v>1.1499999999999999</v>
      </c>
      <c r="C56" s="60">
        <v>70.8</v>
      </c>
      <c r="D56" s="60">
        <v>39.99</v>
      </c>
      <c r="E56" s="60">
        <v>27.61</v>
      </c>
      <c r="F56" s="60">
        <v>68.69</v>
      </c>
      <c r="G56" s="214" t="s">
        <v>40</v>
      </c>
      <c r="H56" s="214" t="s">
        <v>40</v>
      </c>
      <c r="I56" s="210" t="s">
        <v>36</v>
      </c>
      <c r="J56" s="60">
        <v>0.31</v>
      </c>
      <c r="K56" s="60">
        <v>8.1999999999999993</v>
      </c>
      <c r="L56" s="60">
        <v>36.96</v>
      </c>
      <c r="M56" s="60">
        <v>16.850000000000001</v>
      </c>
      <c r="N56" s="60">
        <v>538.20000000000005</v>
      </c>
      <c r="O56" s="60">
        <v>0</v>
      </c>
      <c r="P56" s="60">
        <v>4.71</v>
      </c>
      <c r="Q56" s="60">
        <v>12</v>
      </c>
      <c r="R56" s="198"/>
      <c r="S56" s="198"/>
      <c r="T56" s="198"/>
      <c r="U56" s="198"/>
    </row>
    <row r="57" spans="1:21" s="12" customFormat="1" x14ac:dyDescent="0.25">
      <c r="A57" s="201" t="s">
        <v>2216</v>
      </c>
      <c r="B57" s="60">
        <v>0.19</v>
      </c>
      <c r="C57" s="60">
        <v>40.880000000000003</v>
      </c>
      <c r="D57" s="60">
        <v>22.72</v>
      </c>
      <c r="E57" s="60">
        <v>30.83</v>
      </c>
      <c r="F57" s="60">
        <v>72.91</v>
      </c>
      <c r="G57" s="214" t="s">
        <v>40</v>
      </c>
      <c r="H57" s="214" t="s">
        <v>40</v>
      </c>
      <c r="I57" s="60">
        <v>0.05</v>
      </c>
      <c r="J57" s="60">
        <v>0.26</v>
      </c>
      <c r="K57" s="60">
        <v>207.48</v>
      </c>
      <c r="L57" s="60">
        <v>34.43</v>
      </c>
      <c r="M57" s="60">
        <v>17.399999999999999</v>
      </c>
      <c r="N57" s="60">
        <v>541.6</v>
      </c>
      <c r="O57" s="60">
        <v>0</v>
      </c>
      <c r="P57" s="60">
        <v>5.07</v>
      </c>
      <c r="Q57" s="60">
        <v>9.75</v>
      </c>
      <c r="R57" s="198"/>
      <c r="S57" s="198"/>
      <c r="T57" s="198"/>
      <c r="U57" s="198"/>
    </row>
    <row r="58" spans="1:21" s="12" customFormat="1" x14ac:dyDescent="0.25">
      <c r="A58" s="201" t="s">
        <v>2217</v>
      </c>
      <c r="B58" s="60">
        <v>1.04</v>
      </c>
      <c r="C58" s="60">
        <v>56.18</v>
      </c>
      <c r="D58" s="60">
        <v>31.84</v>
      </c>
      <c r="E58" s="60">
        <v>31.16</v>
      </c>
      <c r="F58" s="60">
        <v>52.81</v>
      </c>
      <c r="G58" s="214" t="s">
        <v>40</v>
      </c>
      <c r="H58" s="214" t="s">
        <v>40</v>
      </c>
      <c r="I58" s="60">
        <v>0.5</v>
      </c>
      <c r="J58" s="60">
        <v>0.14000000000000001</v>
      </c>
      <c r="K58" s="60">
        <v>22.14</v>
      </c>
      <c r="L58" s="60">
        <v>35.83</v>
      </c>
      <c r="M58" s="60">
        <v>15.19</v>
      </c>
      <c r="N58" s="60">
        <v>503</v>
      </c>
      <c r="O58" s="60">
        <v>0</v>
      </c>
      <c r="P58" s="60">
        <v>1.21</v>
      </c>
      <c r="Q58" s="60">
        <v>10.25</v>
      </c>
      <c r="R58" s="198"/>
      <c r="S58" s="198"/>
      <c r="T58" s="198"/>
      <c r="U58" s="198"/>
    </row>
    <row r="59" spans="1:21" s="12" customFormat="1" x14ac:dyDescent="0.25">
      <c r="A59" s="201" t="s">
        <v>2218</v>
      </c>
      <c r="B59" s="60">
        <v>0.81</v>
      </c>
      <c r="C59" s="60">
        <v>68.19</v>
      </c>
      <c r="D59" s="60">
        <v>38.28</v>
      </c>
      <c r="E59" s="60">
        <v>17.91</v>
      </c>
      <c r="F59" s="60">
        <v>23.19</v>
      </c>
      <c r="G59" s="60">
        <v>66.28</v>
      </c>
      <c r="H59" s="60">
        <v>45.44</v>
      </c>
      <c r="I59" s="60">
        <v>0.5</v>
      </c>
      <c r="J59" s="60">
        <v>0.24</v>
      </c>
      <c r="K59" s="60">
        <v>179.32</v>
      </c>
      <c r="L59" s="60">
        <v>36.53</v>
      </c>
      <c r="M59" s="60">
        <v>14.77</v>
      </c>
      <c r="N59" s="60">
        <v>485.2</v>
      </c>
      <c r="O59" s="60">
        <v>0</v>
      </c>
      <c r="P59" s="60">
        <v>1.28</v>
      </c>
      <c r="Q59" s="60">
        <v>12.74</v>
      </c>
      <c r="R59" s="198"/>
      <c r="S59" s="198"/>
      <c r="T59" s="198"/>
      <c r="U59" s="198"/>
    </row>
    <row r="60" spans="1:21" s="12" customFormat="1" x14ac:dyDescent="0.25">
      <c r="A60" s="201" t="s">
        <v>2219</v>
      </c>
      <c r="B60" s="60">
        <v>0.53</v>
      </c>
      <c r="C60" s="60">
        <v>70.260000000000005</v>
      </c>
      <c r="D60" s="60">
        <v>39.200000000000003</v>
      </c>
      <c r="E60" s="60">
        <v>34.82</v>
      </c>
      <c r="F60" s="60">
        <v>27.87</v>
      </c>
      <c r="G60" s="60">
        <v>66.28</v>
      </c>
      <c r="H60" s="60">
        <v>45.44</v>
      </c>
      <c r="I60" s="60">
        <v>0.51</v>
      </c>
      <c r="J60" s="60">
        <v>0.15</v>
      </c>
      <c r="K60" s="60">
        <v>220.96</v>
      </c>
      <c r="L60" s="60">
        <v>35.18</v>
      </c>
      <c r="M60" s="60">
        <v>15.51</v>
      </c>
      <c r="N60" s="60">
        <v>452.1</v>
      </c>
      <c r="O60" s="60">
        <v>0</v>
      </c>
      <c r="P60" s="60">
        <v>1.31</v>
      </c>
      <c r="Q60" s="60">
        <v>13.87</v>
      </c>
      <c r="R60" s="198"/>
      <c r="S60" s="198"/>
      <c r="T60" s="198"/>
      <c r="U60" s="198"/>
    </row>
    <row r="61" spans="1:21" s="12" customFormat="1" x14ac:dyDescent="0.25">
      <c r="A61" s="201" t="s">
        <v>2220</v>
      </c>
      <c r="B61" s="60">
        <v>0.41</v>
      </c>
      <c r="C61" s="60">
        <v>75.599999999999994</v>
      </c>
      <c r="D61" s="60">
        <v>42.05</v>
      </c>
      <c r="E61" s="60">
        <v>25.64</v>
      </c>
      <c r="F61" s="60">
        <v>16.36</v>
      </c>
      <c r="G61" s="60">
        <v>66.28</v>
      </c>
      <c r="H61" s="60">
        <v>45.44</v>
      </c>
      <c r="I61" s="60">
        <v>0.51</v>
      </c>
      <c r="J61" s="60">
        <v>0.1</v>
      </c>
      <c r="K61" s="60">
        <v>175.96</v>
      </c>
      <c r="L61" s="60">
        <v>34.97</v>
      </c>
      <c r="M61" s="60">
        <v>15.92</v>
      </c>
      <c r="N61" s="60">
        <v>443.5</v>
      </c>
      <c r="O61" s="60">
        <v>0</v>
      </c>
      <c r="P61" s="60">
        <v>1.36</v>
      </c>
      <c r="Q61" s="60">
        <v>14.09</v>
      </c>
      <c r="R61" s="198"/>
      <c r="S61" s="198"/>
      <c r="T61" s="198"/>
      <c r="U61" s="198"/>
    </row>
    <row r="62" spans="1:21" s="12" customFormat="1" x14ac:dyDescent="0.25">
      <c r="A62" s="201" t="s">
        <v>2221</v>
      </c>
      <c r="B62" s="60">
        <v>0.52</v>
      </c>
      <c r="C62" s="60">
        <v>77.430000000000007</v>
      </c>
      <c r="D62" s="60">
        <v>43.14</v>
      </c>
      <c r="E62" s="60">
        <v>22.03</v>
      </c>
      <c r="F62" s="60">
        <v>11.17</v>
      </c>
      <c r="G62" s="60">
        <v>66.28</v>
      </c>
      <c r="H62" s="60">
        <v>45.44</v>
      </c>
      <c r="I62" s="60">
        <v>0.48</v>
      </c>
      <c r="J62" s="60">
        <v>0.33</v>
      </c>
      <c r="K62" s="60">
        <v>358.21</v>
      </c>
      <c r="L62" s="60">
        <v>36.69</v>
      </c>
      <c r="M62" s="60">
        <v>14.48</v>
      </c>
      <c r="N62" s="60">
        <v>450.1</v>
      </c>
      <c r="O62" s="60">
        <v>0</v>
      </c>
      <c r="P62" s="60">
        <v>1.43</v>
      </c>
      <c r="Q62" s="60">
        <v>14.83</v>
      </c>
      <c r="R62" s="198"/>
      <c r="S62" s="198"/>
      <c r="T62" s="198"/>
      <c r="U62" s="198"/>
    </row>
    <row r="63" spans="1:21" s="12" customFormat="1" x14ac:dyDescent="0.25">
      <c r="A63" s="201" t="s">
        <v>2222</v>
      </c>
      <c r="B63" s="60">
        <v>1.57</v>
      </c>
      <c r="C63" s="60">
        <v>72.59</v>
      </c>
      <c r="D63" s="60">
        <v>41.32</v>
      </c>
      <c r="E63" s="60">
        <v>0.9</v>
      </c>
      <c r="F63" s="60">
        <v>17.329999999999998</v>
      </c>
      <c r="G63" s="60">
        <v>68.12</v>
      </c>
      <c r="H63" s="60">
        <v>42.69</v>
      </c>
      <c r="I63" s="60">
        <v>0.47</v>
      </c>
      <c r="J63" s="60">
        <v>0.91</v>
      </c>
      <c r="K63" s="60">
        <v>5.01</v>
      </c>
      <c r="L63" s="60">
        <v>38.33</v>
      </c>
      <c r="M63" s="60">
        <v>11.97</v>
      </c>
      <c r="N63" s="60">
        <v>456.3</v>
      </c>
      <c r="O63" s="60">
        <v>0</v>
      </c>
      <c r="P63" s="60">
        <v>1.26</v>
      </c>
      <c r="Q63" s="60">
        <v>14.94</v>
      </c>
      <c r="R63" s="198"/>
      <c r="S63" s="198"/>
      <c r="T63" s="198"/>
      <c r="U63" s="198"/>
    </row>
    <row r="64" spans="1:21" s="12" customFormat="1" x14ac:dyDescent="0.25">
      <c r="A64" s="201" t="s">
        <v>2223</v>
      </c>
      <c r="B64" s="60">
        <v>4.78</v>
      </c>
      <c r="C64" s="60">
        <v>76.84</v>
      </c>
      <c r="D64" s="60">
        <v>46.24</v>
      </c>
      <c r="E64" s="60">
        <v>12.17</v>
      </c>
      <c r="F64" s="60">
        <v>28.97</v>
      </c>
      <c r="G64" s="60">
        <v>68.989999999999995</v>
      </c>
      <c r="H64" s="60">
        <v>41.39</v>
      </c>
      <c r="I64" s="60">
        <v>0.49</v>
      </c>
      <c r="J64" s="60">
        <v>0.82</v>
      </c>
      <c r="K64" s="60">
        <v>18.87</v>
      </c>
      <c r="L64" s="60">
        <v>38.54</v>
      </c>
      <c r="M64" s="60">
        <v>11.74</v>
      </c>
      <c r="N64" s="60">
        <v>434.7</v>
      </c>
      <c r="O64" s="60">
        <v>0</v>
      </c>
      <c r="P64" s="60">
        <v>1.1100000000000001</v>
      </c>
      <c r="Q64" s="60">
        <v>15.09</v>
      </c>
      <c r="R64" s="198"/>
      <c r="S64" s="198"/>
      <c r="T64" s="198"/>
      <c r="U64" s="198"/>
    </row>
    <row r="65" spans="1:21" s="12" customFormat="1" x14ac:dyDescent="0.25">
      <c r="A65" s="201" t="s">
        <v>2224</v>
      </c>
      <c r="B65" s="60">
        <v>1.41</v>
      </c>
      <c r="C65" s="60">
        <v>67.87</v>
      </c>
      <c r="D65" s="60">
        <v>38.590000000000003</v>
      </c>
      <c r="E65" s="60">
        <v>25.03</v>
      </c>
      <c r="F65" s="60">
        <v>56.5</v>
      </c>
      <c r="G65" s="60">
        <v>68.989999999999995</v>
      </c>
      <c r="H65" s="60">
        <v>41.39</v>
      </c>
      <c r="I65" s="60">
        <v>0.5</v>
      </c>
      <c r="J65" s="60">
        <v>0.67</v>
      </c>
      <c r="K65" s="60">
        <v>348.68</v>
      </c>
      <c r="L65" s="60">
        <v>37.69</v>
      </c>
      <c r="M65" s="60">
        <v>12.02</v>
      </c>
      <c r="N65" s="60">
        <v>430.2</v>
      </c>
      <c r="O65" s="60">
        <v>0</v>
      </c>
      <c r="P65" s="60">
        <v>0.67</v>
      </c>
      <c r="Q65" s="60">
        <v>12.56</v>
      </c>
      <c r="R65" s="198"/>
      <c r="S65" s="198"/>
      <c r="T65" s="198"/>
      <c r="U65" s="198"/>
    </row>
    <row r="66" spans="1:21" s="12" customFormat="1" x14ac:dyDescent="0.25">
      <c r="A66" s="201" t="s">
        <v>2225</v>
      </c>
      <c r="B66" s="60">
        <v>1.75</v>
      </c>
      <c r="C66" s="60">
        <v>56.74</v>
      </c>
      <c r="D66" s="60">
        <v>32.72</v>
      </c>
      <c r="E66" s="60">
        <v>28.4</v>
      </c>
      <c r="F66" s="60">
        <v>72.430000000000007</v>
      </c>
      <c r="G66" s="60">
        <v>68.989999999999995</v>
      </c>
      <c r="H66" s="60">
        <v>41.39</v>
      </c>
      <c r="I66" s="60">
        <v>0.51</v>
      </c>
      <c r="J66" s="60">
        <v>0.56000000000000005</v>
      </c>
      <c r="K66" s="60">
        <v>7.47</v>
      </c>
      <c r="L66" s="60">
        <v>38.15</v>
      </c>
      <c r="M66" s="60">
        <v>11.79</v>
      </c>
      <c r="N66" s="60">
        <v>407.3</v>
      </c>
      <c r="O66" s="60">
        <v>0</v>
      </c>
      <c r="P66" s="60">
        <v>0.61</v>
      </c>
      <c r="Q66" s="60">
        <v>7.75</v>
      </c>
      <c r="R66" s="198"/>
      <c r="S66" s="198"/>
      <c r="T66" s="198"/>
      <c r="U66" s="198"/>
    </row>
    <row r="67" spans="1:21" s="12" customFormat="1" x14ac:dyDescent="0.25">
      <c r="A67" s="201" t="s">
        <v>2226</v>
      </c>
      <c r="B67" s="60">
        <v>2.52</v>
      </c>
      <c r="C67" s="60">
        <v>60.55</v>
      </c>
      <c r="D67" s="60">
        <v>35.44</v>
      </c>
      <c r="E67" s="60">
        <v>31.55</v>
      </c>
      <c r="F67" s="60">
        <v>70.77</v>
      </c>
      <c r="G67" s="60">
        <v>64.22</v>
      </c>
      <c r="H67" s="60">
        <v>36.18</v>
      </c>
      <c r="I67" s="60">
        <v>0.49</v>
      </c>
      <c r="J67" s="60">
        <v>0.64</v>
      </c>
      <c r="K67" s="60">
        <v>350.15</v>
      </c>
      <c r="L67" s="60">
        <v>38.14</v>
      </c>
      <c r="M67" s="60">
        <v>11.94</v>
      </c>
      <c r="N67" s="60">
        <v>407.2</v>
      </c>
      <c r="O67" s="60">
        <v>0</v>
      </c>
      <c r="P67" s="60">
        <v>0.56000000000000005</v>
      </c>
      <c r="Q67" s="60">
        <v>6.73</v>
      </c>
      <c r="R67" s="198"/>
      <c r="S67" s="198"/>
      <c r="T67" s="198"/>
      <c r="U67" s="198"/>
    </row>
    <row r="68" spans="1:21" s="12" customFormat="1" x14ac:dyDescent="0.25">
      <c r="A68" s="201" t="s">
        <v>2227</v>
      </c>
      <c r="B68" s="60">
        <v>2.31</v>
      </c>
      <c r="C68" s="60">
        <v>64.89</v>
      </c>
      <c r="D68" s="60">
        <v>37.659999999999997</v>
      </c>
      <c r="E68" s="60">
        <v>32.46</v>
      </c>
      <c r="F68" s="60">
        <v>72.83</v>
      </c>
      <c r="G68" s="60">
        <v>61.95</v>
      </c>
      <c r="H68" s="60">
        <v>33.71</v>
      </c>
      <c r="I68" s="60">
        <v>0.48</v>
      </c>
      <c r="J68" s="60">
        <v>0.27</v>
      </c>
      <c r="K68" s="60">
        <v>7.39</v>
      </c>
      <c r="L68" s="60">
        <v>36.94</v>
      </c>
      <c r="M68" s="60">
        <v>12.53</v>
      </c>
      <c r="N68" s="60">
        <v>369.1</v>
      </c>
      <c r="O68" s="60">
        <v>0</v>
      </c>
      <c r="P68" s="60">
        <v>0.62</v>
      </c>
      <c r="Q68" s="60">
        <v>6.34</v>
      </c>
      <c r="R68" s="198"/>
      <c r="S68" s="198"/>
      <c r="T68" s="198"/>
      <c r="U68" s="198"/>
    </row>
    <row r="69" spans="1:21" s="12" customFormat="1" x14ac:dyDescent="0.25">
      <c r="A69" s="201" t="s">
        <v>2228</v>
      </c>
      <c r="B69" s="60">
        <v>1.79</v>
      </c>
      <c r="C69" s="60">
        <v>61.09</v>
      </c>
      <c r="D69" s="60">
        <v>35.15</v>
      </c>
      <c r="E69" s="60">
        <v>30.4</v>
      </c>
      <c r="F69" s="60">
        <v>69.73</v>
      </c>
      <c r="G69" s="60">
        <v>61.95</v>
      </c>
      <c r="H69" s="60">
        <v>33.71</v>
      </c>
      <c r="I69" s="60">
        <v>0.47</v>
      </c>
      <c r="J69" s="60">
        <v>0.42</v>
      </c>
      <c r="K69" s="60">
        <v>355.08</v>
      </c>
      <c r="L69" s="60">
        <v>37.28</v>
      </c>
      <c r="M69" s="60">
        <v>12.53</v>
      </c>
      <c r="N69" s="60">
        <v>352.7</v>
      </c>
      <c r="O69" s="60">
        <v>0</v>
      </c>
      <c r="P69" s="60">
        <v>0.66</v>
      </c>
      <c r="Q69" s="60">
        <v>7.77</v>
      </c>
      <c r="R69" s="198"/>
      <c r="S69" s="198"/>
      <c r="T69" s="198"/>
      <c r="U69" s="198"/>
    </row>
    <row r="70" spans="1:21" s="12" customFormat="1" x14ac:dyDescent="0.25">
      <c r="A70" s="201" t="s">
        <v>2229</v>
      </c>
      <c r="B70" s="60">
        <v>1.04</v>
      </c>
      <c r="C70" s="60">
        <v>73.2</v>
      </c>
      <c r="D70" s="60">
        <v>41.23</v>
      </c>
      <c r="E70" s="60">
        <v>24.08</v>
      </c>
      <c r="F70" s="60">
        <v>37.42</v>
      </c>
      <c r="G70" s="60">
        <v>61.95</v>
      </c>
      <c r="H70" s="60">
        <v>33.71</v>
      </c>
      <c r="I70" s="60">
        <v>0.48</v>
      </c>
      <c r="J70" s="60">
        <v>0.28999999999999998</v>
      </c>
      <c r="K70" s="60">
        <v>237.85</v>
      </c>
      <c r="L70" s="60">
        <v>35.64</v>
      </c>
      <c r="M70" s="60">
        <v>13</v>
      </c>
      <c r="N70" s="60">
        <v>327.7</v>
      </c>
      <c r="O70" s="60">
        <v>0</v>
      </c>
      <c r="P70" s="60">
        <v>0.7</v>
      </c>
      <c r="Q70" s="60">
        <v>10.37</v>
      </c>
      <c r="R70" s="198"/>
      <c r="S70" s="198"/>
      <c r="T70" s="198"/>
      <c r="U70" s="198"/>
    </row>
    <row r="71" spans="1:21" s="12" customFormat="1" x14ac:dyDescent="0.25">
      <c r="A71" s="201" t="s">
        <v>2230</v>
      </c>
      <c r="B71" s="60">
        <v>0.17</v>
      </c>
      <c r="C71" s="60">
        <v>48.4</v>
      </c>
      <c r="D71" s="60">
        <v>26.85</v>
      </c>
      <c r="E71" s="60">
        <v>29.43</v>
      </c>
      <c r="F71" s="60">
        <v>74.88</v>
      </c>
      <c r="G71" s="60">
        <v>59.89</v>
      </c>
      <c r="H71" s="60">
        <v>32.090000000000003</v>
      </c>
      <c r="I71" s="60">
        <v>0.48</v>
      </c>
      <c r="J71" s="60">
        <v>0.5</v>
      </c>
      <c r="K71" s="60">
        <v>224.36</v>
      </c>
      <c r="L71" s="60">
        <v>34.85</v>
      </c>
      <c r="M71" s="60">
        <v>13.82</v>
      </c>
      <c r="N71" s="60">
        <v>243.3</v>
      </c>
      <c r="O71" s="60">
        <v>0</v>
      </c>
      <c r="P71" s="60">
        <v>0.63</v>
      </c>
      <c r="Q71" s="60">
        <v>9.44</v>
      </c>
      <c r="R71" s="198"/>
      <c r="S71" s="198"/>
      <c r="T71" s="198"/>
      <c r="U71" s="198"/>
    </row>
    <row r="72" spans="1:21" s="12" customFormat="1" x14ac:dyDescent="0.25">
      <c r="A72" s="201" t="s">
        <v>2231</v>
      </c>
      <c r="B72" s="60">
        <v>0.93</v>
      </c>
      <c r="C72" s="60">
        <v>36.42</v>
      </c>
      <c r="D72" s="60">
        <v>20.84</v>
      </c>
      <c r="E72" s="60">
        <v>35.729999999999997</v>
      </c>
      <c r="F72" s="60">
        <v>81.3</v>
      </c>
      <c r="G72" s="60">
        <v>58.92</v>
      </c>
      <c r="H72" s="60">
        <v>31.32</v>
      </c>
      <c r="I72" s="60">
        <v>0.48</v>
      </c>
      <c r="J72" s="60">
        <v>0.25</v>
      </c>
      <c r="K72" s="60">
        <v>234.11</v>
      </c>
      <c r="L72" s="60">
        <v>34.869999999999997</v>
      </c>
      <c r="M72" s="60">
        <v>13.6</v>
      </c>
      <c r="N72" s="60">
        <v>187</v>
      </c>
      <c r="O72" s="60">
        <v>0</v>
      </c>
      <c r="P72" s="60">
        <v>0.59</v>
      </c>
      <c r="Q72" s="60">
        <v>4.5999999999999996</v>
      </c>
      <c r="R72" s="198"/>
      <c r="S72" s="198"/>
      <c r="T72" s="198"/>
      <c r="U72" s="198"/>
    </row>
    <row r="73" spans="1:21" s="12" customFormat="1" x14ac:dyDescent="0.25">
      <c r="A73" s="201" t="s">
        <v>2232</v>
      </c>
      <c r="B73" s="60">
        <v>3.68</v>
      </c>
      <c r="C73" s="60">
        <v>91.53</v>
      </c>
      <c r="D73" s="60">
        <v>53.47</v>
      </c>
      <c r="E73" s="60">
        <v>46.07</v>
      </c>
      <c r="F73" s="60">
        <v>58.45</v>
      </c>
      <c r="G73" s="60">
        <v>58.92</v>
      </c>
      <c r="H73" s="60">
        <v>31.32</v>
      </c>
      <c r="I73" s="60">
        <v>0.46</v>
      </c>
      <c r="J73" s="60">
        <v>0.1</v>
      </c>
      <c r="K73" s="60">
        <v>8.61</v>
      </c>
      <c r="L73" s="60">
        <v>34.979999999999997</v>
      </c>
      <c r="M73" s="60">
        <v>14.45</v>
      </c>
      <c r="N73" s="60">
        <v>103.4</v>
      </c>
      <c r="O73" s="60">
        <v>0</v>
      </c>
      <c r="P73" s="60">
        <v>0.84</v>
      </c>
      <c r="Q73" s="60">
        <v>11.82</v>
      </c>
      <c r="R73" s="198"/>
      <c r="S73" s="198"/>
      <c r="T73" s="198"/>
      <c r="U73" s="198"/>
    </row>
    <row r="74" spans="1:21" s="12" customFormat="1" x14ac:dyDescent="0.25">
      <c r="A74" s="201" t="s">
        <v>2233</v>
      </c>
      <c r="B74" s="60">
        <v>0.63</v>
      </c>
      <c r="C74" s="60">
        <v>71.599999999999994</v>
      </c>
      <c r="D74" s="60">
        <v>40.020000000000003</v>
      </c>
      <c r="E74" s="60">
        <v>45.22</v>
      </c>
      <c r="F74" s="60">
        <v>65.63</v>
      </c>
      <c r="G74" s="60">
        <v>58.92</v>
      </c>
      <c r="H74" s="60">
        <v>31.32</v>
      </c>
      <c r="I74" s="60">
        <v>0.47</v>
      </c>
      <c r="J74" s="60">
        <v>7.0000000000000007E-2</v>
      </c>
      <c r="K74" s="60">
        <v>317.98</v>
      </c>
      <c r="L74" s="60">
        <v>34.409999999999997</v>
      </c>
      <c r="M74" s="60">
        <v>15.23</v>
      </c>
      <c r="N74" s="60">
        <v>100.2</v>
      </c>
      <c r="O74" s="60">
        <v>0</v>
      </c>
      <c r="P74" s="60">
        <v>0.86</v>
      </c>
      <c r="Q74" s="60">
        <v>9.7899999999999991</v>
      </c>
      <c r="R74" s="198"/>
      <c r="S74" s="198"/>
      <c r="T74" s="198"/>
      <c r="U74" s="198"/>
    </row>
    <row r="75" spans="1:21" s="12" customFormat="1" x14ac:dyDescent="0.25">
      <c r="A75" s="201" t="s">
        <v>2234</v>
      </c>
      <c r="B75" s="60">
        <v>1.24</v>
      </c>
      <c r="C75" s="60">
        <v>50.95</v>
      </c>
      <c r="D75" s="60">
        <v>29.11</v>
      </c>
      <c r="E75" s="60">
        <v>30.67</v>
      </c>
      <c r="F75" s="60">
        <v>42.1</v>
      </c>
      <c r="G75" s="60">
        <v>57.53</v>
      </c>
      <c r="H75" s="60">
        <v>29.05</v>
      </c>
      <c r="I75" s="60">
        <v>0.48</v>
      </c>
      <c r="J75" s="60">
        <v>0.18</v>
      </c>
      <c r="K75" s="60">
        <v>235.08</v>
      </c>
      <c r="L75" s="60">
        <v>33.82</v>
      </c>
      <c r="M75" s="60">
        <v>16.149999999999999</v>
      </c>
      <c r="N75" s="60">
        <v>97.7</v>
      </c>
      <c r="O75" s="60">
        <v>0</v>
      </c>
      <c r="P75" s="60">
        <v>0.69</v>
      </c>
      <c r="Q75" s="60">
        <v>8.1999999999999993</v>
      </c>
      <c r="R75" s="198"/>
      <c r="S75" s="198"/>
      <c r="T75" s="198"/>
      <c r="U75" s="198"/>
    </row>
    <row r="76" spans="1:21" s="12" customFormat="1" x14ac:dyDescent="0.25">
      <c r="A76" s="201" t="s">
        <v>2235</v>
      </c>
      <c r="B76" s="60">
        <v>0.71</v>
      </c>
      <c r="C76" s="60">
        <v>51.58</v>
      </c>
      <c r="D76" s="60">
        <v>29.04</v>
      </c>
      <c r="E76" s="60">
        <v>20.65</v>
      </c>
      <c r="F76" s="60">
        <v>28.1</v>
      </c>
      <c r="G76" s="60">
        <v>56.87</v>
      </c>
      <c r="H76" s="60">
        <v>27.97</v>
      </c>
      <c r="I76" s="60">
        <v>0.49</v>
      </c>
      <c r="J76" s="60">
        <v>0.22</v>
      </c>
      <c r="K76" s="60">
        <v>195.5</v>
      </c>
      <c r="L76" s="60">
        <v>33.450000000000003</v>
      </c>
      <c r="M76" s="60">
        <v>16.71</v>
      </c>
      <c r="N76" s="60">
        <v>50.9</v>
      </c>
      <c r="O76" s="60">
        <v>0</v>
      </c>
      <c r="P76" s="60">
        <v>0.68</v>
      </c>
      <c r="Q76" s="60">
        <v>9.76</v>
      </c>
      <c r="R76" s="198"/>
      <c r="S76" s="198"/>
      <c r="T76" s="198"/>
      <c r="U76" s="198"/>
    </row>
    <row r="77" spans="1:21" s="12" customFormat="1" x14ac:dyDescent="0.25">
      <c r="A77" s="201" t="s">
        <v>2236</v>
      </c>
      <c r="B77" s="60">
        <v>1.84</v>
      </c>
      <c r="C77" s="60">
        <v>78.33</v>
      </c>
      <c r="D77" s="60">
        <v>44.71</v>
      </c>
      <c r="E77" s="60">
        <v>25.89</v>
      </c>
      <c r="F77" s="60">
        <v>34.57</v>
      </c>
      <c r="G77" s="60">
        <v>56.87</v>
      </c>
      <c r="H77" s="60">
        <v>27.97</v>
      </c>
      <c r="I77" s="60">
        <v>0.49</v>
      </c>
      <c r="J77" s="60">
        <v>0.56999999999999995</v>
      </c>
      <c r="K77" s="60">
        <v>180.05</v>
      </c>
      <c r="L77" s="60">
        <v>32.93</v>
      </c>
      <c r="M77" s="60">
        <v>17.8</v>
      </c>
      <c r="N77" s="60">
        <v>41</v>
      </c>
      <c r="O77" s="60">
        <v>0</v>
      </c>
      <c r="P77" s="60">
        <v>0.68</v>
      </c>
      <c r="Q77" s="60">
        <v>11.79</v>
      </c>
      <c r="R77" s="198"/>
      <c r="S77" s="198"/>
      <c r="T77" s="198"/>
      <c r="U77" s="198"/>
    </row>
    <row r="78" spans="1:21" s="12" customFormat="1" x14ac:dyDescent="0.25">
      <c r="A78" s="201" t="s">
        <v>2237</v>
      </c>
      <c r="B78" s="60">
        <v>5.51</v>
      </c>
      <c r="C78" s="60">
        <v>103.26</v>
      </c>
      <c r="D78" s="60">
        <v>61.4</v>
      </c>
      <c r="E78" s="60">
        <v>29.71</v>
      </c>
      <c r="F78" s="60">
        <v>23.66</v>
      </c>
      <c r="G78" s="60">
        <v>56.87</v>
      </c>
      <c r="H78" s="60">
        <v>27.97</v>
      </c>
      <c r="I78" s="60">
        <v>0.48</v>
      </c>
      <c r="J78" s="60">
        <v>0.37</v>
      </c>
      <c r="K78" s="60">
        <v>166.7</v>
      </c>
      <c r="L78" s="60">
        <v>32.33</v>
      </c>
      <c r="M78" s="60">
        <v>19.87</v>
      </c>
      <c r="N78" s="60">
        <v>28.7</v>
      </c>
      <c r="O78" s="60">
        <v>0</v>
      </c>
      <c r="P78" s="60">
        <v>0.72</v>
      </c>
      <c r="Q78" s="60">
        <v>12.82</v>
      </c>
      <c r="R78" s="198"/>
      <c r="S78" s="198"/>
      <c r="T78" s="198"/>
      <c r="U78" s="198"/>
    </row>
    <row r="79" spans="1:21" s="12" customFormat="1" x14ac:dyDescent="0.25">
      <c r="A79" s="201" t="s">
        <v>2238</v>
      </c>
      <c r="B79" s="60">
        <v>2.2999999999999998</v>
      </c>
      <c r="C79" s="60">
        <v>95.57</v>
      </c>
      <c r="D79" s="60">
        <v>54.59</v>
      </c>
      <c r="E79" s="60">
        <v>28.6</v>
      </c>
      <c r="F79" s="60">
        <v>26.04</v>
      </c>
      <c r="G79" s="60">
        <v>56.84</v>
      </c>
      <c r="H79" s="60">
        <v>28.83</v>
      </c>
      <c r="I79" s="60">
        <v>0.49</v>
      </c>
      <c r="J79" s="60">
        <v>0.02</v>
      </c>
      <c r="K79" s="60">
        <v>316.32</v>
      </c>
      <c r="L79" s="60">
        <v>31.57</v>
      </c>
      <c r="M79" s="60">
        <v>22.2</v>
      </c>
      <c r="N79" s="60">
        <v>18.3</v>
      </c>
      <c r="O79" s="60">
        <v>0</v>
      </c>
      <c r="P79" s="60">
        <v>0.86</v>
      </c>
      <c r="Q79" s="60">
        <v>13.13</v>
      </c>
      <c r="R79" s="198"/>
      <c r="S79" s="198"/>
      <c r="T79" s="198"/>
      <c r="U79" s="198"/>
    </row>
    <row r="80" spans="1:21" s="12" customFormat="1" x14ac:dyDescent="0.25">
      <c r="A80" s="201" t="s">
        <v>2239</v>
      </c>
      <c r="B80" s="60">
        <v>31.42</v>
      </c>
      <c r="C80" s="60">
        <v>126.37</v>
      </c>
      <c r="D80" s="60">
        <v>94.94</v>
      </c>
      <c r="E80" s="60">
        <v>25.93</v>
      </c>
      <c r="F80" s="60">
        <v>8.65</v>
      </c>
      <c r="G80" s="60">
        <v>56.82</v>
      </c>
      <c r="H80" s="60">
        <v>29.24</v>
      </c>
      <c r="I80" s="60">
        <v>0.52</v>
      </c>
      <c r="J80" s="60">
        <v>0.14000000000000001</v>
      </c>
      <c r="K80" s="60">
        <v>346.98</v>
      </c>
      <c r="L80" s="60">
        <v>30.43</v>
      </c>
      <c r="M80" s="60">
        <v>27.54</v>
      </c>
      <c r="N80" s="60">
        <v>8.8000000000000007</v>
      </c>
      <c r="O80" s="60">
        <v>0</v>
      </c>
      <c r="P80" s="60">
        <v>1.67</v>
      </c>
      <c r="Q80" s="60">
        <v>13.16</v>
      </c>
      <c r="R80" s="198"/>
      <c r="S80" s="198"/>
      <c r="T80" s="198"/>
      <c r="U80" s="198"/>
    </row>
    <row r="81" spans="1:26" s="12" customFormat="1" x14ac:dyDescent="0.25">
      <c r="A81" s="201" t="s">
        <v>2240</v>
      </c>
      <c r="B81" s="60">
        <v>86.32</v>
      </c>
      <c r="C81" s="60">
        <v>140.65</v>
      </c>
      <c r="D81" s="60">
        <v>146.85</v>
      </c>
      <c r="E81" s="60">
        <v>20.329999999999998</v>
      </c>
      <c r="F81" s="60">
        <v>1.96</v>
      </c>
      <c r="G81" s="60">
        <v>56.82</v>
      </c>
      <c r="H81" s="60">
        <v>29.24</v>
      </c>
      <c r="I81" s="60">
        <v>0.52</v>
      </c>
      <c r="J81" s="60">
        <v>0.19</v>
      </c>
      <c r="K81" s="60">
        <v>24.87</v>
      </c>
      <c r="L81" s="60">
        <v>29.07</v>
      </c>
      <c r="M81" s="60">
        <v>34.229999999999997</v>
      </c>
      <c r="N81" s="60">
        <v>5.5</v>
      </c>
      <c r="O81" s="60">
        <v>0</v>
      </c>
      <c r="P81" s="60">
        <v>2.33</v>
      </c>
      <c r="Q81" s="60">
        <v>10.61</v>
      </c>
      <c r="R81" s="198"/>
      <c r="S81" s="198"/>
      <c r="T81" s="198"/>
      <c r="U81" s="198"/>
    </row>
    <row r="82" spans="1:26" s="12" customFormat="1" x14ac:dyDescent="0.25">
      <c r="A82" s="201" t="s">
        <v>2241</v>
      </c>
      <c r="B82" s="60">
        <v>19.75</v>
      </c>
      <c r="C82" s="60">
        <v>120.13</v>
      </c>
      <c r="D82" s="60">
        <v>82.14</v>
      </c>
      <c r="E82" s="60">
        <v>19.600000000000001</v>
      </c>
      <c r="F82" s="60">
        <v>4.71</v>
      </c>
      <c r="G82" s="60">
        <v>56.82</v>
      </c>
      <c r="H82" s="60">
        <v>29.24</v>
      </c>
      <c r="I82" s="60">
        <v>0.72</v>
      </c>
      <c r="J82" s="60">
        <v>0.03</v>
      </c>
      <c r="K82" s="60">
        <v>69.39</v>
      </c>
      <c r="L82" s="60">
        <v>28.03</v>
      </c>
      <c r="M82" s="60">
        <v>35</v>
      </c>
      <c r="N82" s="60">
        <v>4.5</v>
      </c>
      <c r="O82" s="60">
        <v>0</v>
      </c>
      <c r="P82" s="60">
        <v>1.57</v>
      </c>
      <c r="Q82" s="60">
        <v>14.15</v>
      </c>
      <c r="R82" s="198"/>
      <c r="S82" s="198"/>
      <c r="T82" s="198"/>
      <c r="U82" s="198"/>
    </row>
    <row r="83" spans="1:26" s="12" customFormat="1" x14ac:dyDescent="0.25">
      <c r="A83" s="201" t="s">
        <v>2242</v>
      </c>
      <c r="B83" s="60">
        <v>100.49</v>
      </c>
      <c r="C83" s="60">
        <v>148.56</v>
      </c>
      <c r="D83" s="60">
        <v>162.57</v>
      </c>
      <c r="E83" s="60">
        <v>17.87</v>
      </c>
      <c r="F83" s="60">
        <v>1.83</v>
      </c>
      <c r="G83" s="60">
        <v>136.09</v>
      </c>
      <c r="H83" s="60">
        <v>39.799999999999997</v>
      </c>
      <c r="I83" s="60">
        <v>0.8</v>
      </c>
      <c r="J83" s="60">
        <v>0.02</v>
      </c>
      <c r="K83" s="60">
        <v>251.96</v>
      </c>
      <c r="L83" s="60">
        <v>27.96</v>
      </c>
      <c r="M83" s="60">
        <v>34.950000000000003</v>
      </c>
      <c r="N83" s="60">
        <v>4.2</v>
      </c>
      <c r="O83" s="60">
        <v>0</v>
      </c>
      <c r="P83" s="60">
        <v>1.99</v>
      </c>
      <c r="Q83" s="60">
        <v>13.41</v>
      </c>
      <c r="R83" s="198"/>
      <c r="S83" s="198"/>
      <c r="T83" s="198"/>
      <c r="U83" s="198"/>
    </row>
    <row r="84" spans="1:26" s="12" customFormat="1" x14ac:dyDescent="0.25">
      <c r="A84" s="201" t="s">
        <v>2243</v>
      </c>
      <c r="B84" s="60">
        <v>100.34</v>
      </c>
      <c r="C84" s="60">
        <v>144.66999999999999</v>
      </c>
      <c r="D84" s="60">
        <v>160.31</v>
      </c>
      <c r="E84" s="60">
        <v>13.79</v>
      </c>
      <c r="F84" s="60">
        <v>0.68</v>
      </c>
      <c r="G84" s="60">
        <v>175.72</v>
      </c>
      <c r="H84" s="60">
        <v>44.83</v>
      </c>
      <c r="I84" s="60">
        <v>0.79</v>
      </c>
      <c r="J84" s="60">
        <v>0.17</v>
      </c>
      <c r="K84" s="60">
        <v>84.89</v>
      </c>
      <c r="L84" s="60">
        <v>27.06</v>
      </c>
      <c r="M84" s="60">
        <v>39.17</v>
      </c>
      <c r="N84" s="60">
        <v>4.2</v>
      </c>
      <c r="O84" s="60">
        <v>0</v>
      </c>
      <c r="P84" s="60">
        <v>2.16</v>
      </c>
      <c r="Q84" s="60">
        <v>13.76</v>
      </c>
      <c r="R84" s="198"/>
      <c r="S84" s="198"/>
      <c r="T84" s="198"/>
      <c r="U84" s="198"/>
    </row>
    <row r="85" spans="1:26" s="12" customFormat="1" x14ac:dyDescent="0.25">
      <c r="A85" s="201" t="s">
        <v>2244</v>
      </c>
      <c r="B85" s="60">
        <v>68.5</v>
      </c>
      <c r="C85" s="60">
        <v>123.24</v>
      </c>
      <c r="D85" s="60">
        <v>122.95</v>
      </c>
      <c r="E85" s="60">
        <v>8.65</v>
      </c>
      <c r="F85" s="60">
        <v>0.2</v>
      </c>
      <c r="G85" s="60">
        <v>175.72</v>
      </c>
      <c r="H85" s="60">
        <v>44.83</v>
      </c>
      <c r="I85" s="60">
        <v>0.95</v>
      </c>
      <c r="J85" s="60">
        <v>0.04</v>
      </c>
      <c r="K85" s="60">
        <v>239.45</v>
      </c>
      <c r="L85" s="60">
        <v>26.49</v>
      </c>
      <c r="M85" s="60">
        <v>39.340000000000003</v>
      </c>
      <c r="N85" s="60">
        <v>4.2</v>
      </c>
      <c r="O85" s="60">
        <v>0</v>
      </c>
      <c r="P85" s="60">
        <v>1.66</v>
      </c>
      <c r="Q85" s="60">
        <v>18.13</v>
      </c>
      <c r="R85" s="198"/>
      <c r="S85" s="198"/>
      <c r="T85" s="198"/>
      <c r="U85" s="198"/>
    </row>
    <row r="86" spans="1:26" s="12" customFormat="1" x14ac:dyDescent="0.25">
      <c r="A86" s="201" t="s">
        <v>2245</v>
      </c>
      <c r="B86" s="60">
        <v>95.22</v>
      </c>
      <c r="C86" s="60">
        <v>129.41</v>
      </c>
      <c r="D86" s="60">
        <v>147.78</v>
      </c>
      <c r="E86" s="60">
        <v>8.6199999999999992</v>
      </c>
      <c r="F86" s="60">
        <v>0.37</v>
      </c>
      <c r="G86" s="60">
        <v>175.72</v>
      </c>
      <c r="H86" s="60">
        <v>44.83</v>
      </c>
      <c r="I86" s="60">
        <v>0.96</v>
      </c>
      <c r="J86" s="60">
        <v>0.16</v>
      </c>
      <c r="K86" s="60">
        <v>51.27</v>
      </c>
      <c r="L86" s="60">
        <v>26.28</v>
      </c>
      <c r="M86" s="60">
        <v>41.83</v>
      </c>
      <c r="N86" s="60">
        <v>4.0999999999999996</v>
      </c>
      <c r="O86" s="60">
        <v>0</v>
      </c>
      <c r="P86" s="60">
        <v>1.86</v>
      </c>
      <c r="Q86" s="60">
        <v>20.36</v>
      </c>
      <c r="R86" s="198"/>
      <c r="S86" s="198"/>
      <c r="T86" s="198"/>
      <c r="U86" s="198"/>
    </row>
    <row r="87" spans="1:26" s="12" customFormat="1" x14ac:dyDescent="0.25">
      <c r="A87" s="201" t="s">
        <v>2246</v>
      </c>
      <c r="B87" s="60">
        <v>101.06</v>
      </c>
      <c r="C87" s="60">
        <v>128.86000000000001</v>
      </c>
      <c r="D87" s="60">
        <v>152.16</v>
      </c>
      <c r="E87" s="60">
        <v>7.7</v>
      </c>
      <c r="F87" s="60">
        <v>0.35</v>
      </c>
      <c r="G87" s="60">
        <v>220.93</v>
      </c>
      <c r="H87" s="60">
        <v>54.03</v>
      </c>
      <c r="I87" s="60">
        <v>0.89</v>
      </c>
      <c r="J87" s="60">
        <v>0.14000000000000001</v>
      </c>
      <c r="K87" s="60">
        <v>61.04</v>
      </c>
      <c r="L87" s="60">
        <v>25.81</v>
      </c>
      <c r="M87" s="60">
        <v>43.1</v>
      </c>
      <c r="N87" s="60">
        <v>4.2</v>
      </c>
      <c r="O87" s="60">
        <v>0</v>
      </c>
      <c r="P87" s="60">
        <v>2.0099999999999998</v>
      </c>
      <c r="Q87" s="60">
        <v>21.77</v>
      </c>
      <c r="R87" s="198"/>
      <c r="S87" s="198"/>
      <c r="T87" s="198"/>
      <c r="U87" s="198"/>
    </row>
    <row r="88" spans="1:26" s="12" customFormat="1" x14ac:dyDescent="0.25">
      <c r="A88" s="201" t="s">
        <v>2247</v>
      </c>
      <c r="B88" s="60">
        <v>116.6</v>
      </c>
      <c r="C88" s="60">
        <v>134.91</v>
      </c>
      <c r="D88" s="60">
        <v>167.96</v>
      </c>
      <c r="E88" s="60">
        <v>2.66</v>
      </c>
      <c r="F88" s="60">
        <v>0.26</v>
      </c>
      <c r="G88" s="60">
        <v>243.53</v>
      </c>
      <c r="H88" s="60">
        <v>58.4</v>
      </c>
      <c r="I88" s="60">
        <v>0.92</v>
      </c>
      <c r="J88" s="60">
        <v>0.09</v>
      </c>
      <c r="K88" s="60">
        <v>82.09</v>
      </c>
      <c r="L88" s="60">
        <v>25.23</v>
      </c>
      <c r="M88" s="60">
        <v>43.91</v>
      </c>
      <c r="N88" s="60">
        <v>4.2</v>
      </c>
      <c r="O88" s="60">
        <v>0</v>
      </c>
      <c r="P88" s="60">
        <v>2.2400000000000002</v>
      </c>
      <c r="Q88" s="60">
        <v>24.09</v>
      </c>
      <c r="R88" s="198"/>
      <c r="S88" s="198"/>
      <c r="T88" s="198"/>
      <c r="U88" s="198"/>
    </row>
    <row r="89" spans="1:26" s="12" customFormat="1" x14ac:dyDescent="0.25">
      <c r="A89" s="201" t="s">
        <v>2248</v>
      </c>
      <c r="B89" s="60">
        <v>123.68</v>
      </c>
      <c r="C89" s="60">
        <v>136.44</v>
      </c>
      <c r="D89" s="60">
        <v>174.48</v>
      </c>
      <c r="E89" s="60">
        <v>5.9</v>
      </c>
      <c r="F89" s="60">
        <v>0.15</v>
      </c>
      <c r="G89" s="60">
        <v>243.53</v>
      </c>
      <c r="H89" s="60">
        <v>58.4</v>
      </c>
      <c r="I89" s="60">
        <v>1</v>
      </c>
      <c r="J89" s="60">
        <v>0.02</v>
      </c>
      <c r="K89" s="60">
        <v>133.11000000000001</v>
      </c>
      <c r="L89" s="60">
        <v>24.85</v>
      </c>
      <c r="M89" s="60">
        <v>47.92</v>
      </c>
      <c r="N89" s="60">
        <v>4.0999999999999996</v>
      </c>
      <c r="O89" s="60">
        <v>0</v>
      </c>
      <c r="P89" s="60">
        <v>2.25</v>
      </c>
      <c r="Q89" s="60">
        <v>25.51</v>
      </c>
      <c r="R89" s="198"/>
      <c r="S89" s="198"/>
      <c r="T89" s="198"/>
      <c r="U89" s="198"/>
    </row>
    <row r="90" spans="1:26" s="12" customFormat="1" x14ac:dyDescent="0.25">
      <c r="A90" s="201" t="s">
        <v>2249</v>
      </c>
      <c r="B90" s="60">
        <v>141.47999999999999</v>
      </c>
      <c r="C90" s="60">
        <v>139.36000000000001</v>
      </c>
      <c r="D90" s="60">
        <v>190.36</v>
      </c>
      <c r="E90" s="60">
        <v>6.53</v>
      </c>
      <c r="F90" s="60">
        <v>0.17</v>
      </c>
      <c r="G90" s="60">
        <v>243.53</v>
      </c>
      <c r="H90" s="60">
        <v>58.4</v>
      </c>
      <c r="I90" s="60">
        <v>1.05</v>
      </c>
      <c r="J90" s="60">
        <v>0.1</v>
      </c>
      <c r="K90" s="60">
        <v>115.17</v>
      </c>
      <c r="L90" s="60">
        <v>24.65</v>
      </c>
      <c r="M90" s="60">
        <v>46.76</v>
      </c>
      <c r="N90" s="60">
        <v>4</v>
      </c>
      <c r="O90" s="60">
        <v>0</v>
      </c>
      <c r="P90" s="60">
        <v>2.35</v>
      </c>
      <c r="Q90" s="60">
        <v>27.41</v>
      </c>
      <c r="R90" s="198"/>
      <c r="S90" s="198"/>
      <c r="T90" s="198"/>
      <c r="U90" s="198"/>
    </row>
    <row r="91" spans="1:26" s="12" customFormat="1" x14ac:dyDescent="0.25">
      <c r="A91" s="201" t="s">
        <v>2250</v>
      </c>
      <c r="B91" s="60">
        <v>171.71</v>
      </c>
      <c r="C91" s="60">
        <v>147.15</v>
      </c>
      <c r="D91" s="60">
        <v>218.91</v>
      </c>
      <c r="E91" s="60">
        <v>6.48</v>
      </c>
      <c r="F91" s="60">
        <v>0.12</v>
      </c>
      <c r="G91" s="60">
        <v>244.32</v>
      </c>
      <c r="H91" s="60">
        <v>64.180000000000007</v>
      </c>
      <c r="I91" s="60">
        <v>1.1100000000000001</v>
      </c>
      <c r="J91" s="60">
        <v>0</v>
      </c>
      <c r="K91" s="60">
        <v>350.17</v>
      </c>
      <c r="L91" s="60">
        <v>24.37</v>
      </c>
      <c r="M91" s="60">
        <v>45.56</v>
      </c>
      <c r="N91" s="60">
        <v>4.3</v>
      </c>
      <c r="O91" s="60">
        <v>0</v>
      </c>
      <c r="P91" s="60">
        <v>2.52</v>
      </c>
      <c r="Q91" s="60">
        <v>27.68</v>
      </c>
      <c r="R91" s="198"/>
      <c r="S91" s="198"/>
      <c r="T91" s="198"/>
      <c r="U91" s="198"/>
    </row>
    <row r="92" spans="1:26" s="12" customFormat="1" x14ac:dyDescent="0.25">
      <c r="A92" s="201" t="s">
        <v>2251</v>
      </c>
      <c r="B92" s="60">
        <v>209.65</v>
      </c>
      <c r="C92" s="60">
        <v>156.97999999999999</v>
      </c>
      <c r="D92" s="60">
        <v>254.76</v>
      </c>
      <c r="E92" s="60">
        <v>7.94</v>
      </c>
      <c r="F92" s="60">
        <v>0.18</v>
      </c>
      <c r="G92" s="60">
        <v>244.7</v>
      </c>
      <c r="H92" s="60">
        <v>66.930000000000007</v>
      </c>
      <c r="I92" s="60">
        <v>1.17</v>
      </c>
      <c r="J92" s="60">
        <v>0.02</v>
      </c>
      <c r="K92" s="60">
        <v>293.89</v>
      </c>
      <c r="L92" s="60">
        <v>24.18</v>
      </c>
      <c r="M92" s="60">
        <v>44.05</v>
      </c>
      <c r="N92" s="60">
        <v>4</v>
      </c>
      <c r="O92" s="60">
        <v>0</v>
      </c>
      <c r="P92" s="60">
        <v>2.89</v>
      </c>
      <c r="Q92" s="60">
        <v>27.19</v>
      </c>
      <c r="R92" s="198"/>
      <c r="S92" s="198"/>
      <c r="T92" s="198"/>
      <c r="U92" s="198"/>
    </row>
    <row r="93" spans="1:26" s="12" customFormat="1" x14ac:dyDescent="0.25">
      <c r="A93" s="201" t="s">
        <v>2252</v>
      </c>
      <c r="B93" s="60">
        <v>187.55</v>
      </c>
      <c r="C93" s="60">
        <v>145.5</v>
      </c>
      <c r="D93" s="60">
        <v>230.7</v>
      </c>
      <c r="E93" s="60">
        <v>7.67</v>
      </c>
      <c r="F93" s="60">
        <v>0.08</v>
      </c>
      <c r="G93" s="60">
        <v>244.7</v>
      </c>
      <c r="H93" s="60">
        <v>66.930000000000007</v>
      </c>
      <c r="I93" s="60">
        <v>1.25</v>
      </c>
      <c r="J93" s="60">
        <v>0.03</v>
      </c>
      <c r="K93" s="60">
        <v>249.96</v>
      </c>
      <c r="L93" s="60">
        <v>23.86</v>
      </c>
      <c r="M93" s="60">
        <v>47.77</v>
      </c>
      <c r="N93" s="60">
        <v>4.4000000000000004</v>
      </c>
      <c r="O93" s="60">
        <v>0</v>
      </c>
      <c r="P93" s="60">
        <v>2.87</v>
      </c>
      <c r="Q93" s="60">
        <v>30.13</v>
      </c>
      <c r="R93" s="198"/>
      <c r="S93" s="198"/>
      <c r="T93" s="198"/>
      <c r="U93" s="198"/>
    </row>
    <row r="94" spans="1:26" s="12" customFormat="1" x14ac:dyDescent="0.25">
      <c r="A94" s="201" t="s">
        <v>2253</v>
      </c>
      <c r="B94" s="60">
        <v>199.62</v>
      </c>
      <c r="C94" s="60">
        <v>145.43</v>
      </c>
      <c r="D94" s="60">
        <v>240.34</v>
      </c>
      <c r="E94" s="60">
        <v>7.2</v>
      </c>
      <c r="F94" s="60">
        <v>0.16</v>
      </c>
      <c r="G94" s="60">
        <v>244.7</v>
      </c>
      <c r="H94" s="60">
        <v>66.930000000000007</v>
      </c>
      <c r="I94" s="60">
        <v>1.34</v>
      </c>
      <c r="J94" s="60">
        <v>0.05</v>
      </c>
      <c r="K94" s="60">
        <v>14.35</v>
      </c>
      <c r="L94" s="60">
        <v>23.56</v>
      </c>
      <c r="M94" s="60">
        <v>49.72</v>
      </c>
      <c r="N94" s="60">
        <v>4.2</v>
      </c>
      <c r="O94" s="60">
        <v>0</v>
      </c>
      <c r="P94" s="60">
        <v>3</v>
      </c>
      <c r="Q94" s="60">
        <v>32.81</v>
      </c>
      <c r="R94" s="198"/>
      <c r="S94" s="198"/>
      <c r="T94" s="198"/>
      <c r="U94" s="198"/>
    </row>
    <row r="95" spans="1:26" s="12" customFormat="1" x14ac:dyDescent="0.25">
      <c r="A95" s="201" t="s">
        <v>2254</v>
      </c>
      <c r="B95" s="60">
        <v>183.25</v>
      </c>
      <c r="C95" s="60">
        <v>139.47</v>
      </c>
      <c r="D95" s="60">
        <v>223.93</v>
      </c>
      <c r="E95" s="60">
        <v>6.79</v>
      </c>
      <c r="F95" s="60">
        <v>0.14000000000000001</v>
      </c>
      <c r="G95" s="60">
        <v>236.16</v>
      </c>
      <c r="H95" s="60">
        <v>72.739999999999995</v>
      </c>
      <c r="I95" s="60">
        <v>1.37</v>
      </c>
      <c r="J95" s="60">
        <v>0.13</v>
      </c>
      <c r="K95" s="60">
        <v>280.39</v>
      </c>
      <c r="L95" s="60">
        <v>23.42</v>
      </c>
      <c r="M95" s="60">
        <v>49.4</v>
      </c>
      <c r="N95" s="60">
        <v>4.0999999999999996</v>
      </c>
      <c r="O95" s="60">
        <v>0</v>
      </c>
      <c r="P95" s="60">
        <v>2.85</v>
      </c>
      <c r="Q95" s="60">
        <v>33.43</v>
      </c>
      <c r="R95" s="198"/>
      <c r="S95" s="198"/>
      <c r="T95" s="198"/>
      <c r="U95" s="198"/>
    </row>
    <row r="96" spans="1:26" s="12" customFormat="1" x14ac:dyDescent="0.25">
      <c r="A96" s="201" t="s">
        <v>2255</v>
      </c>
      <c r="B96" s="60">
        <v>182.07</v>
      </c>
      <c r="C96" s="60">
        <v>137.93</v>
      </c>
      <c r="D96" s="60">
        <v>222.13</v>
      </c>
      <c r="E96" s="60">
        <v>6.98</v>
      </c>
      <c r="F96" s="60">
        <v>0.14000000000000001</v>
      </c>
      <c r="G96" s="60">
        <v>232.1</v>
      </c>
      <c r="H96" s="60">
        <v>75.510000000000005</v>
      </c>
      <c r="I96" s="60">
        <v>1.4</v>
      </c>
      <c r="J96" s="60">
        <v>7.0000000000000007E-2</v>
      </c>
      <c r="K96" s="60">
        <v>313.54000000000002</v>
      </c>
      <c r="L96" s="60">
        <v>23.16</v>
      </c>
      <c r="M96" s="60">
        <v>50.65</v>
      </c>
      <c r="N96" s="60">
        <v>4.4000000000000004</v>
      </c>
      <c r="O96" s="60">
        <v>0</v>
      </c>
      <c r="P96" s="60">
        <v>2.87</v>
      </c>
      <c r="Q96" s="60">
        <v>34.17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2256</v>
      </c>
      <c r="B97" s="60">
        <v>208.6</v>
      </c>
      <c r="C97" s="60">
        <v>143.16</v>
      </c>
      <c r="D97" s="60">
        <v>246.29</v>
      </c>
      <c r="E97" s="60">
        <v>6.8</v>
      </c>
      <c r="F97" s="60">
        <v>0.16</v>
      </c>
      <c r="G97" s="60">
        <v>232.1</v>
      </c>
      <c r="H97" s="60">
        <v>75.510000000000005</v>
      </c>
      <c r="I97" s="60">
        <v>1.41</v>
      </c>
      <c r="J97" s="60">
        <v>0.08</v>
      </c>
      <c r="K97" s="60">
        <v>325.54000000000002</v>
      </c>
      <c r="L97" s="60">
        <v>22.72</v>
      </c>
      <c r="M97" s="60">
        <v>52.51</v>
      </c>
      <c r="N97" s="60">
        <v>4.4000000000000004</v>
      </c>
      <c r="O97" s="60">
        <v>0</v>
      </c>
      <c r="P97" s="60">
        <v>3.04</v>
      </c>
      <c r="Q97" s="60">
        <v>32.94</v>
      </c>
      <c r="R97" s="198"/>
      <c r="S97" s="198"/>
      <c r="T97" s="198"/>
      <c r="U97" s="198"/>
    </row>
    <row r="98" spans="1:33" s="12" customFormat="1" x14ac:dyDescent="0.25">
      <c r="A98" s="201" t="s">
        <v>2257</v>
      </c>
      <c r="B98" s="60">
        <v>194.05</v>
      </c>
      <c r="C98" s="60">
        <v>136.19</v>
      </c>
      <c r="D98" s="60">
        <v>230.78</v>
      </c>
      <c r="E98" s="60">
        <v>6.89</v>
      </c>
      <c r="F98" s="60">
        <v>0.13</v>
      </c>
      <c r="G98" s="60">
        <v>232.1</v>
      </c>
      <c r="H98" s="60">
        <v>75.510000000000005</v>
      </c>
      <c r="I98" s="60">
        <v>1.41</v>
      </c>
      <c r="J98" s="60">
        <v>0.11</v>
      </c>
      <c r="K98" s="60">
        <v>324.66000000000003</v>
      </c>
      <c r="L98" s="60">
        <v>22.37</v>
      </c>
      <c r="M98" s="60">
        <v>53.96</v>
      </c>
      <c r="N98" s="60">
        <v>4.2</v>
      </c>
      <c r="O98" s="60">
        <v>0</v>
      </c>
      <c r="P98" s="60">
        <v>2.95</v>
      </c>
      <c r="Q98" s="60">
        <v>33.5</v>
      </c>
      <c r="R98" s="198"/>
      <c r="S98" s="198"/>
      <c r="T98" s="198"/>
      <c r="U98" s="198"/>
    </row>
    <row r="99" spans="1:33" s="12" customFormat="1" x14ac:dyDescent="0.25">
      <c r="A99" s="201" t="s">
        <v>2258</v>
      </c>
      <c r="B99" s="60">
        <v>198.8</v>
      </c>
      <c r="C99" s="60">
        <v>133.72999999999999</v>
      </c>
      <c r="D99" s="60">
        <v>233.23</v>
      </c>
      <c r="E99" s="60">
        <v>6.18</v>
      </c>
      <c r="F99" s="60">
        <v>0.16</v>
      </c>
      <c r="G99" s="60">
        <v>210.14</v>
      </c>
      <c r="H99" s="60">
        <v>76.25</v>
      </c>
      <c r="I99" s="60">
        <v>1.43</v>
      </c>
      <c r="J99" s="60">
        <v>0.08</v>
      </c>
      <c r="K99" s="60">
        <v>344.45</v>
      </c>
      <c r="L99" s="60">
        <v>22.04</v>
      </c>
      <c r="M99" s="60">
        <v>57.66</v>
      </c>
      <c r="N99" s="60">
        <v>4.4000000000000004</v>
      </c>
      <c r="O99" s="60">
        <v>0</v>
      </c>
      <c r="P99" s="60">
        <v>3.02</v>
      </c>
      <c r="Q99" s="60">
        <v>34.380000000000003</v>
      </c>
      <c r="R99" s="198"/>
      <c r="S99" s="198"/>
      <c r="T99" s="198"/>
      <c r="U99" s="198"/>
    </row>
    <row r="100" spans="1:33" s="12" customFormat="1" x14ac:dyDescent="0.25">
      <c r="A100" s="201" t="s">
        <v>2259</v>
      </c>
      <c r="B100" s="60">
        <v>194.34</v>
      </c>
      <c r="C100" s="60">
        <v>131.91999999999999</v>
      </c>
      <c r="D100" s="60">
        <v>228.64</v>
      </c>
      <c r="E100" s="60">
        <v>6.18</v>
      </c>
      <c r="F100" s="60">
        <v>0.23</v>
      </c>
      <c r="G100" s="60">
        <v>199.7</v>
      </c>
      <c r="H100" s="60">
        <v>76.599999999999994</v>
      </c>
      <c r="I100" s="60">
        <v>1.44</v>
      </c>
      <c r="J100" s="60">
        <v>0.11</v>
      </c>
      <c r="K100" s="60">
        <v>309.44</v>
      </c>
      <c r="L100" s="60">
        <v>22.36</v>
      </c>
      <c r="M100" s="60">
        <v>49.63</v>
      </c>
      <c r="N100" s="60">
        <v>3.6</v>
      </c>
      <c r="O100" s="60">
        <v>0</v>
      </c>
      <c r="P100" s="60">
        <v>2.96</v>
      </c>
      <c r="Q100" s="60">
        <v>35.520000000000003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2260</v>
      </c>
      <c r="B101" s="60">
        <v>190.79</v>
      </c>
      <c r="C101" s="60">
        <v>130.78</v>
      </c>
      <c r="D101" s="60">
        <v>225.18</v>
      </c>
      <c r="E101" s="60">
        <v>6</v>
      </c>
      <c r="F101" s="60">
        <v>0.14000000000000001</v>
      </c>
      <c r="G101" s="60">
        <v>199.7</v>
      </c>
      <c r="H101" s="60">
        <v>76.599999999999994</v>
      </c>
      <c r="I101" s="60">
        <v>1.46</v>
      </c>
      <c r="J101" s="60">
        <v>0.04</v>
      </c>
      <c r="K101" s="60">
        <v>258.77999999999997</v>
      </c>
      <c r="L101" s="60">
        <v>22.21</v>
      </c>
      <c r="M101" s="60">
        <v>49.25</v>
      </c>
      <c r="N101" s="60">
        <v>4.5</v>
      </c>
      <c r="O101" s="60">
        <v>0</v>
      </c>
      <c r="P101" s="60">
        <v>2.94</v>
      </c>
      <c r="Q101" s="60">
        <v>35.75</v>
      </c>
      <c r="R101" s="198"/>
      <c r="S101" s="198"/>
      <c r="T101" s="198"/>
      <c r="U101" s="198"/>
    </row>
    <row r="102" spans="1:33" s="12" customFormat="1" x14ac:dyDescent="0.25">
      <c r="A102" s="201" t="s">
        <v>2261</v>
      </c>
      <c r="B102" s="60">
        <v>185.64</v>
      </c>
      <c r="C102" s="60">
        <v>129.29</v>
      </c>
      <c r="D102" s="60">
        <v>220.23</v>
      </c>
      <c r="E102" s="60">
        <v>5.91</v>
      </c>
      <c r="F102" s="60">
        <v>0.18</v>
      </c>
      <c r="G102" s="60">
        <v>199.7</v>
      </c>
      <c r="H102" s="60">
        <v>76.599999999999994</v>
      </c>
      <c r="I102" s="60">
        <v>1.45</v>
      </c>
      <c r="J102" s="60">
        <v>0.11</v>
      </c>
      <c r="K102" s="60">
        <v>284.60000000000002</v>
      </c>
      <c r="L102" s="60">
        <v>21.88</v>
      </c>
      <c r="M102" s="60">
        <v>51.61</v>
      </c>
      <c r="N102" s="60">
        <v>3.9</v>
      </c>
      <c r="O102" s="60">
        <v>0</v>
      </c>
      <c r="P102" s="60">
        <v>2.89</v>
      </c>
      <c r="Q102" s="60">
        <v>35.619999999999997</v>
      </c>
      <c r="R102" s="198"/>
      <c r="S102" s="198"/>
      <c r="T102" s="198"/>
      <c r="U102" s="198"/>
    </row>
    <row r="103" spans="1:33" s="12" customFormat="1" x14ac:dyDescent="0.25">
      <c r="A103" s="201" t="s">
        <v>2262</v>
      </c>
      <c r="B103" s="60">
        <v>177.7</v>
      </c>
      <c r="C103" s="60">
        <v>128.35</v>
      </c>
      <c r="D103" s="60">
        <v>213.34</v>
      </c>
      <c r="E103" s="60">
        <v>6.28</v>
      </c>
      <c r="F103" s="60">
        <v>0.03</v>
      </c>
      <c r="G103" s="60">
        <v>165.61</v>
      </c>
      <c r="H103" s="60">
        <v>71.62</v>
      </c>
      <c r="I103" s="60">
        <v>1.43</v>
      </c>
      <c r="J103" s="60">
        <v>7.0000000000000007E-2</v>
      </c>
      <c r="K103" s="60">
        <v>139.72</v>
      </c>
      <c r="L103" s="60">
        <v>22.09</v>
      </c>
      <c r="M103" s="60">
        <v>50.72</v>
      </c>
      <c r="N103" s="60">
        <v>3.6</v>
      </c>
      <c r="O103" s="60">
        <v>0</v>
      </c>
      <c r="P103" s="60">
        <v>2.82</v>
      </c>
      <c r="Q103" s="60">
        <v>35.29</v>
      </c>
      <c r="R103" s="198"/>
      <c r="S103" s="198"/>
      <c r="T103" s="198"/>
      <c r="U103" s="198"/>
    </row>
    <row r="104" spans="1:33" s="12" customFormat="1" x14ac:dyDescent="0.25">
      <c r="A104" s="201" t="s">
        <v>2263</v>
      </c>
      <c r="B104" s="60">
        <v>170.74</v>
      </c>
      <c r="C104" s="60">
        <v>127.81</v>
      </c>
      <c r="D104" s="60">
        <v>207.45</v>
      </c>
      <c r="E104" s="60">
        <v>3.34</v>
      </c>
      <c r="F104" s="215" t="s">
        <v>42</v>
      </c>
      <c r="G104" s="60">
        <v>149.4</v>
      </c>
      <c r="H104" s="60">
        <v>69.260000000000005</v>
      </c>
      <c r="I104" s="60">
        <v>1.4</v>
      </c>
      <c r="J104" s="60">
        <v>0.1</v>
      </c>
      <c r="K104" s="60">
        <v>314.33</v>
      </c>
      <c r="L104" s="60">
        <v>21.66</v>
      </c>
      <c r="M104" s="60">
        <v>52.29</v>
      </c>
      <c r="N104" s="60">
        <v>4.0999999999999996</v>
      </c>
      <c r="O104" s="60">
        <v>0</v>
      </c>
      <c r="P104" s="60">
        <v>2.74</v>
      </c>
      <c r="Q104" s="60">
        <v>35.020000000000003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0.17</v>
      </c>
      <c r="C106" s="67">
        <f>MIN(C9:C104)</f>
        <v>36.42</v>
      </c>
      <c r="D106" s="67">
        <f t="shared" ref="D106:Q106" si="0">MIN(D9:D104)</f>
        <v>20.84</v>
      </c>
      <c r="E106" s="67">
        <f t="shared" si="0"/>
        <v>0.9</v>
      </c>
      <c r="F106" s="67">
        <f t="shared" si="0"/>
        <v>0.03</v>
      </c>
      <c r="G106" s="67">
        <f t="shared" si="0"/>
        <v>19.62</v>
      </c>
      <c r="H106" s="67">
        <f t="shared" si="0"/>
        <v>27.97</v>
      </c>
      <c r="I106" s="67">
        <f t="shared" si="0"/>
        <v>0.05</v>
      </c>
      <c r="J106" s="67">
        <f t="shared" si="0"/>
        <v>0</v>
      </c>
      <c r="K106" s="67">
        <f t="shared" si="0"/>
        <v>1.89</v>
      </c>
      <c r="L106" s="67">
        <f t="shared" si="0"/>
        <v>17.18</v>
      </c>
      <c r="M106" s="67">
        <f t="shared" si="0"/>
        <v>11.74</v>
      </c>
      <c r="N106" s="67">
        <f t="shared" si="0"/>
        <v>3.6</v>
      </c>
      <c r="O106" s="67">
        <f t="shared" si="0"/>
        <v>0</v>
      </c>
      <c r="P106" s="67">
        <f t="shared" si="0"/>
        <v>0</v>
      </c>
      <c r="Q106" s="67">
        <f t="shared" si="0"/>
        <v>4.5999999999999996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209.65</v>
      </c>
      <c r="C107" s="66">
        <f t="shared" ref="C107:Q107" si="1">MAX(C9:C104)</f>
        <v>156.97999999999999</v>
      </c>
      <c r="D107" s="66">
        <f t="shared" si="1"/>
        <v>254.76</v>
      </c>
      <c r="E107" s="66">
        <f t="shared" si="1"/>
        <v>291.2</v>
      </c>
      <c r="F107" s="66">
        <f t="shared" si="1"/>
        <v>81.3</v>
      </c>
      <c r="G107" s="66">
        <f t="shared" si="1"/>
        <v>244.7</v>
      </c>
      <c r="H107" s="66">
        <f t="shared" si="1"/>
        <v>76.599999999999994</v>
      </c>
      <c r="I107" s="66">
        <f t="shared" si="1"/>
        <v>1.46</v>
      </c>
      <c r="J107" s="66">
        <f t="shared" si="1"/>
        <v>1.31</v>
      </c>
      <c r="K107" s="66">
        <f t="shared" si="1"/>
        <v>358.21</v>
      </c>
      <c r="L107" s="66">
        <f t="shared" si="1"/>
        <v>38.54</v>
      </c>
      <c r="M107" s="66">
        <f t="shared" si="1"/>
        <v>67.36</v>
      </c>
      <c r="N107" s="66">
        <f t="shared" si="1"/>
        <v>603.29999999999995</v>
      </c>
      <c r="O107" s="66">
        <f t="shared" si="1"/>
        <v>0</v>
      </c>
      <c r="P107" s="66">
        <f t="shared" si="1"/>
        <v>5.07</v>
      </c>
      <c r="Q107" s="66">
        <f t="shared" si="1"/>
        <v>35.75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73.759166666666673</v>
      </c>
      <c r="C108" s="67">
        <f t="shared" ref="C108:Q108" si="2">AVERAGE(C9:C104)</f>
        <v>102.94562500000001</v>
      </c>
      <c r="D108" s="67">
        <f t="shared" si="2"/>
        <v>115.96302083333332</v>
      </c>
      <c r="E108" s="67">
        <f t="shared" si="2"/>
        <v>15.245520833333337</v>
      </c>
      <c r="F108" s="67">
        <f t="shared" si="2"/>
        <v>16.842210526315796</v>
      </c>
      <c r="G108" s="67">
        <f t="shared" si="2"/>
        <v>112.93172043010755</v>
      </c>
      <c r="H108" s="67">
        <f t="shared" si="2"/>
        <v>46.163636363636357</v>
      </c>
      <c r="I108" s="67">
        <f t="shared" si="2"/>
        <v>0.83189473684210524</v>
      </c>
      <c r="J108" s="67">
        <f t="shared" si="2"/>
        <v>0.23770833333333338</v>
      </c>
      <c r="K108" s="67">
        <f t="shared" si="2"/>
        <v>201.29302083333332</v>
      </c>
      <c r="L108" s="67">
        <f t="shared" si="2"/>
        <v>26.285520833333333</v>
      </c>
      <c r="M108" s="67">
        <f t="shared" si="2"/>
        <v>40.266458333333333</v>
      </c>
      <c r="N108" s="67">
        <f t="shared" si="2"/>
        <v>168.11041666666679</v>
      </c>
      <c r="O108" s="67">
        <f t="shared" si="2"/>
        <v>0</v>
      </c>
      <c r="P108" s="67">
        <f t="shared" si="2"/>
        <v>1.6118749999999997</v>
      </c>
      <c r="Q108" s="67">
        <f t="shared" si="2"/>
        <v>23.744791666666661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64.94308187566071</v>
      </c>
      <c r="C109" s="67">
        <f t="shared" ref="C109:Q109" si="3">STDEV(C9:C104)</f>
        <v>28.877282377329031</v>
      </c>
      <c r="D109" s="67">
        <f t="shared" si="3"/>
        <v>66.153146468029888</v>
      </c>
      <c r="E109" s="67">
        <f t="shared" si="3"/>
        <v>30.56042249190563</v>
      </c>
      <c r="F109" s="67">
        <f t="shared" si="3"/>
        <v>25.863852503797364</v>
      </c>
      <c r="G109" s="67">
        <f t="shared" si="3"/>
        <v>61.816661969148321</v>
      </c>
      <c r="H109" s="67">
        <f t="shared" si="3"/>
        <v>13.260007297185858</v>
      </c>
      <c r="I109" s="67">
        <f t="shared" si="3"/>
        <v>0.31269009447817603</v>
      </c>
      <c r="J109" s="67">
        <f t="shared" si="3"/>
        <v>0.26739475712951222</v>
      </c>
      <c r="K109" s="67">
        <f t="shared" si="3"/>
        <v>115.48912356280499</v>
      </c>
      <c r="L109" s="67">
        <f t="shared" si="3"/>
        <v>6.991405531423891</v>
      </c>
      <c r="M109" s="67">
        <f t="shared" si="3"/>
        <v>18.751338252826891</v>
      </c>
      <c r="N109" s="67">
        <f t="shared" si="3"/>
        <v>220.99444502624058</v>
      </c>
      <c r="O109" s="67">
        <f t="shared" si="3"/>
        <v>0</v>
      </c>
      <c r="P109" s="67">
        <f t="shared" si="3"/>
        <v>0.89674301018507618</v>
      </c>
      <c r="Q109" s="67">
        <f t="shared" si="3"/>
        <v>10.01552605015851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>COUNT(F9:F104)+1</f>
        <v>96</v>
      </c>
      <c r="G110" s="66">
        <f>COUNT(G9:G104)+3</f>
        <v>96</v>
      </c>
      <c r="H110" s="66">
        <f>COUNT(H9:H104)+8</f>
        <v>96</v>
      </c>
      <c r="I110" s="66">
        <f>COUNT(I9:I104)+1</f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215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16" sqref="B11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22-02-2023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340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2264</v>
      </c>
      <c r="B9" s="60">
        <v>162.37</v>
      </c>
      <c r="C9" s="60">
        <v>126.48</v>
      </c>
      <c r="D9" s="60">
        <v>200.01</v>
      </c>
      <c r="E9" s="60">
        <v>5.32</v>
      </c>
      <c r="F9" s="60">
        <v>0.02</v>
      </c>
      <c r="G9" s="60">
        <v>149.4</v>
      </c>
      <c r="H9" s="60">
        <v>69.260000000000005</v>
      </c>
      <c r="I9" s="60">
        <v>1.38</v>
      </c>
      <c r="J9" s="60">
        <v>0.18</v>
      </c>
      <c r="K9" s="60">
        <v>19.559999999999999</v>
      </c>
      <c r="L9" s="60">
        <v>21.11</v>
      </c>
      <c r="M9" s="60">
        <v>54.35</v>
      </c>
      <c r="N9" s="60">
        <v>4.4000000000000004</v>
      </c>
      <c r="O9" s="60">
        <v>0</v>
      </c>
      <c r="P9" s="60">
        <v>2.65</v>
      </c>
      <c r="Q9" s="60">
        <v>34.75</v>
      </c>
      <c r="R9" s="198"/>
      <c r="S9" s="198"/>
      <c r="T9" s="198"/>
      <c r="U9" s="198"/>
    </row>
    <row r="10" spans="1:21" s="12" customFormat="1" x14ac:dyDescent="0.25">
      <c r="A10" s="201" t="s">
        <v>2265</v>
      </c>
      <c r="B10" s="60">
        <v>147.09</v>
      </c>
      <c r="C10" s="60">
        <v>122.95</v>
      </c>
      <c r="D10" s="60">
        <v>185.81</v>
      </c>
      <c r="E10" s="60">
        <v>5.6</v>
      </c>
      <c r="F10" s="60">
        <v>0.03</v>
      </c>
      <c r="G10" s="60">
        <v>149.4</v>
      </c>
      <c r="H10" s="60">
        <v>69.260000000000005</v>
      </c>
      <c r="I10" s="60">
        <v>1.35</v>
      </c>
      <c r="J10" s="60">
        <v>0.09</v>
      </c>
      <c r="K10" s="60">
        <v>7.83</v>
      </c>
      <c r="L10" s="60">
        <v>20.88</v>
      </c>
      <c r="M10" s="60">
        <v>55.89</v>
      </c>
      <c r="N10" s="60">
        <v>4.3</v>
      </c>
      <c r="O10" s="60">
        <v>0</v>
      </c>
      <c r="P10" s="60">
        <v>2.5499999999999998</v>
      </c>
      <c r="Q10" s="60">
        <v>33.97</v>
      </c>
      <c r="R10" s="198"/>
      <c r="S10" s="198"/>
      <c r="T10" s="198"/>
      <c r="U10" s="198"/>
    </row>
    <row r="11" spans="1:21" s="12" customFormat="1" x14ac:dyDescent="0.25">
      <c r="A11" s="201" t="s">
        <v>2266</v>
      </c>
      <c r="B11" s="60">
        <v>138.38</v>
      </c>
      <c r="C11" s="60">
        <v>121.14</v>
      </c>
      <c r="D11" s="60">
        <v>177.82</v>
      </c>
      <c r="E11" s="60">
        <v>5.44</v>
      </c>
      <c r="F11" s="60">
        <v>0.06</v>
      </c>
      <c r="G11" s="60">
        <v>129.34</v>
      </c>
      <c r="H11" s="60">
        <v>62.11</v>
      </c>
      <c r="I11" s="60">
        <v>1.3</v>
      </c>
      <c r="J11" s="60">
        <v>0.15</v>
      </c>
      <c r="K11" s="60">
        <v>345.36</v>
      </c>
      <c r="L11" s="60">
        <v>20.6</v>
      </c>
      <c r="M11" s="60">
        <v>57.14</v>
      </c>
      <c r="N11" s="60">
        <v>4.3</v>
      </c>
      <c r="O11" s="60">
        <v>0</v>
      </c>
      <c r="P11" s="60">
        <v>2.4700000000000002</v>
      </c>
      <c r="Q11" s="60">
        <v>33.33</v>
      </c>
      <c r="R11" s="198"/>
      <c r="S11" s="198"/>
      <c r="T11" s="198"/>
      <c r="U11" s="198"/>
    </row>
    <row r="12" spans="1:21" s="12" customFormat="1" x14ac:dyDescent="0.25">
      <c r="A12" s="201" t="s">
        <v>2267</v>
      </c>
      <c r="B12" s="60">
        <v>131.12</v>
      </c>
      <c r="C12" s="60">
        <v>118.31</v>
      </c>
      <c r="D12" s="60">
        <v>170.44</v>
      </c>
      <c r="E12" s="60">
        <v>5.19</v>
      </c>
      <c r="F12" s="60">
        <v>0.12</v>
      </c>
      <c r="G12" s="60">
        <v>119.8</v>
      </c>
      <c r="H12" s="60">
        <v>58.72</v>
      </c>
      <c r="I12" s="60">
        <v>1.25</v>
      </c>
      <c r="J12" s="60">
        <v>0.28000000000000003</v>
      </c>
      <c r="K12" s="60">
        <v>351.1</v>
      </c>
      <c r="L12" s="60">
        <v>20.36</v>
      </c>
      <c r="M12" s="60">
        <v>56.66</v>
      </c>
      <c r="N12" s="60">
        <v>3.7</v>
      </c>
      <c r="O12" s="60">
        <v>0</v>
      </c>
      <c r="P12" s="60">
        <v>2.4</v>
      </c>
      <c r="Q12" s="60">
        <v>33.01</v>
      </c>
      <c r="R12" s="198"/>
      <c r="S12" s="198"/>
      <c r="T12" s="198"/>
      <c r="U12" s="198"/>
    </row>
    <row r="13" spans="1:21" s="12" customFormat="1" x14ac:dyDescent="0.25">
      <c r="A13" s="201" t="s">
        <v>2268</v>
      </c>
      <c r="B13" s="60">
        <v>127.75</v>
      </c>
      <c r="C13" s="60">
        <v>115.76</v>
      </c>
      <c r="D13" s="60">
        <v>166.33</v>
      </c>
      <c r="E13" s="60">
        <v>5.41</v>
      </c>
      <c r="F13" s="60">
        <v>0.51</v>
      </c>
      <c r="G13" s="60">
        <v>119.8</v>
      </c>
      <c r="H13" s="60">
        <v>58.72</v>
      </c>
      <c r="I13" s="60">
        <v>1.24</v>
      </c>
      <c r="J13" s="60">
        <v>0.25</v>
      </c>
      <c r="K13" s="60">
        <v>7.48</v>
      </c>
      <c r="L13" s="60">
        <v>20.239999999999998</v>
      </c>
      <c r="M13" s="60">
        <v>56.23</v>
      </c>
      <c r="N13" s="60">
        <v>4.2</v>
      </c>
      <c r="O13" s="60">
        <v>0</v>
      </c>
      <c r="P13" s="60">
        <v>2.16</v>
      </c>
      <c r="Q13" s="60">
        <v>33.01</v>
      </c>
      <c r="R13" s="198"/>
      <c r="S13" s="198"/>
      <c r="T13" s="198"/>
      <c r="U13" s="198"/>
    </row>
    <row r="14" spans="1:21" s="12" customFormat="1" x14ac:dyDescent="0.25">
      <c r="A14" s="201" t="s">
        <v>2269</v>
      </c>
      <c r="B14" s="60">
        <v>122.2</v>
      </c>
      <c r="C14" s="60">
        <v>115.84</v>
      </c>
      <c r="D14" s="60">
        <v>161.93</v>
      </c>
      <c r="E14" s="60">
        <v>5.45</v>
      </c>
      <c r="F14" s="60">
        <v>0.38</v>
      </c>
      <c r="G14" s="60">
        <v>119.8</v>
      </c>
      <c r="H14" s="60">
        <v>58.72</v>
      </c>
      <c r="I14" s="60">
        <v>1.23</v>
      </c>
      <c r="J14" s="60">
        <v>0.12</v>
      </c>
      <c r="K14" s="60">
        <v>325.14999999999998</v>
      </c>
      <c r="L14" s="60">
        <v>20.440000000000001</v>
      </c>
      <c r="M14" s="60">
        <v>54.87</v>
      </c>
      <c r="N14" s="60">
        <v>4.0999999999999996</v>
      </c>
      <c r="O14" s="60">
        <v>0</v>
      </c>
      <c r="P14" s="60">
        <v>2.2599999999999998</v>
      </c>
      <c r="Q14" s="60">
        <v>32.840000000000003</v>
      </c>
      <c r="R14" s="198"/>
      <c r="S14" s="198"/>
      <c r="T14" s="198"/>
      <c r="U14" s="198"/>
    </row>
    <row r="15" spans="1:21" s="12" customFormat="1" x14ac:dyDescent="0.25">
      <c r="A15" s="201" t="s">
        <v>2270</v>
      </c>
      <c r="B15" s="60">
        <v>114.87</v>
      </c>
      <c r="C15" s="60">
        <v>111.53</v>
      </c>
      <c r="D15" s="60">
        <v>153.66999999999999</v>
      </c>
      <c r="E15" s="60">
        <v>5.32</v>
      </c>
      <c r="F15" s="60">
        <v>0.57999999999999996</v>
      </c>
      <c r="G15" s="60">
        <v>105.73</v>
      </c>
      <c r="H15" s="60">
        <v>49.34</v>
      </c>
      <c r="I15" s="60">
        <v>1.2</v>
      </c>
      <c r="J15" s="60">
        <v>0.12</v>
      </c>
      <c r="K15" s="60">
        <v>359.51</v>
      </c>
      <c r="L15" s="60">
        <v>21.24</v>
      </c>
      <c r="M15" s="60">
        <v>53.26</v>
      </c>
      <c r="N15" s="60">
        <v>4</v>
      </c>
      <c r="O15" s="60">
        <v>0</v>
      </c>
      <c r="P15" s="60">
        <v>2.16</v>
      </c>
      <c r="Q15" s="60">
        <v>32.67</v>
      </c>
      <c r="R15" s="198"/>
      <c r="S15" s="198"/>
      <c r="T15" s="198"/>
      <c r="U15" s="198"/>
    </row>
    <row r="16" spans="1:21" s="12" customFormat="1" x14ac:dyDescent="0.25">
      <c r="A16" s="201" t="s">
        <v>2271</v>
      </c>
      <c r="B16" s="60">
        <v>110.36</v>
      </c>
      <c r="C16" s="60">
        <v>110.79</v>
      </c>
      <c r="D16" s="60">
        <v>149.63999999999999</v>
      </c>
      <c r="E16" s="60">
        <v>5.31</v>
      </c>
      <c r="F16" s="60">
        <v>0.41</v>
      </c>
      <c r="G16" s="60">
        <v>98.7</v>
      </c>
      <c r="H16" s="60">
        <v>44.64</v>
      </c>
      <c r="I16" s="60">
        <v>1.18</v>
      </c>
      <c r="J16" s="60">
        <v>0.18</v>
      </c>
      <c r="K16" s="60">
        <v>24.63</v>
      </c>
      <c r="L16" s="60">
        <v>20.309999999999999</v>
      </c>
      <c r="M16" s="60">
        <v>58.37</v>
      </c>
      <c r="N16" s="60">
        <v>4.5999999999999996</v>
      </c>
      <c r="O16" s="60">
        <v>0</v>
      </c>
      <c r="P16" s="60">
        <v>2.11</v>
      </c>
      <c r="Q16" s="60">
        <v>32.58</v>
      </c>
      <c r="R16" s="198"/>
      <c r="S16" s="198"/>
      <c r="T16" s="198"/>
      <c r="U16" s="198"/>
    </row>
    <row r="17" spans="1:21" s="12" customFormat="1" x14ac:dyDescent="0.25">
      <c r="A17" s="201" t="s">
        <v>2272</v>
      </c>
      <c r="B17" s="60">
        <v>102.99</v>
      </c>
      <c r="C17" s="60">
        <v>108.25</v>
      </c>
      <c r="D17" s="60">
        <v>142.33000000000001</v>
      </c>
      <c r="E17" s="60">
        <v>4.96</v>
      </c>
      <c r="F17" s="60">
        <v>0.2</v>
      </c>
      <c r="G17" s="60">
        <v>98.7</v>
      </c>
      <c r="H17" s="60">
        <v>44.64</v>
      </c>
      <c r="I17" s="60">
        <v>1.1499999999999999</v>
      </c>
      <c r="J17" s="60">
        <v>0.04</v>
      </c>
      <c r="K17" s="60">
        <v>8.3699999999999992</v>
      </c>
      <c r="L17" s="60">
        <v>19.850000000000001</v>
      </c>
      <c r="M17" s="60">
        <v>60.1</v>
      </c>
      <c r="N17" s="60">
        <v>4.5999999999999996</v>
      </c>
      <c r="O17" s="60">
        <v>0</v>
      </c>
      <c r="P17" s="60">
        <v>2.0499999999999998</v>
      </c>
      <c r="Q17" s="60">
        <v>32.67</v>
      </c>
      <c r="R17" s="198"/>
      <c r="S17" s="198"/>
      <c r="T17" s="198"/>
      <c r="U17" s="198"/>
    </row>
    <row r="18" spans="1:21" s="12" customFormat="1" x14ac:dyDescent="0.25">
      <c r="A18" s="201" t="s">
        <v>2273</v>
      </c>
      <c r="B18" s="60">
        <v>102.2</v>
      </c>
      <c r="C18" s="60">
        <v>108.87</v>
      </c>
      <c r="D18" s="60">
        <v>142.03</v>
      </c>
      <c r="E18" s="60">
        <v>4.42</v>
      </c>
      <c r="F18" s="60">
        <v>0.13</v>
      </c>
      <c r="G18" s="60">
        <v>98.7</v>
      </c>
      <c r="H18" s="60">
        <v>44.64</v>
      </c>
      <c r="I18" s="60">
        <v>1.1399999999999999</v>
      </c>
      <c r="J18" s="60">
        <v>0.13</v>
      </c>
      <c r="K18" s="60">
        <v>349.67</v>
      </c>
      <c r="L18" s="60">
        <v>19.63</v>
      </c>
      <c r="M18" s="60">
        <v>62.73</v>
      </c>
      <c r="N18" s="60">
        <v>4.0999999999999996</v>
      </c>
      <c r="O18" s="60">
        <v>0</v>
      </c>
      <c r="P18" s="60">
        <v>1.99</v>
      </c>
      <c r="Q18" s="60">
        <v>33.31</v>
      </c>
      <c r="R18" s="198"/>
      <c r="S18" s="198"/>
      <c r="T18" s="198"/>
      <c r="U18" s="198"/>
    </row>
    <row r="19" spans="1:21" s="12" customFormat="1" x14ac:dyDescent="0.25">
      <c r="A19" s="201" t="s">
        <v>2274</v>
      </c>
      <c r="B19" s="60">
        <v>96.59</v>
      </c>
      <c r="C19" s="60">
        <v>107.86</v>
      </c>
      <c r="D19" s="60">
        <v>136.97999999999999</v>
      </c>
      <c r="E19" s="60">
        <v>4.4800000000000004</v>
      </c>
      <c r="F19" s="215" t="s">
        <v>42</v>
      </c>
      <c r="G19" s="60">
        <v>100.42</v>
      </c>
      <c r="H19" s="60">
        <v>43</v>
      </c>
      <c r="I19" s="60">
        <v>1.05</v>
      </c>
      <c r="J19" s="60">
        <v>0.17</v>
      </c>
      <c r="K19" s="60">
        <v>5.94</v>
      </c>
      <c r="L19" s="60">
        <v>19.38</v>
      </c>
      <c r="M19" s="60">
        <v>66.040000000000006</v>
      </c>
      <c r="N19" s="60">
        <v>4.2</v>
      </c>
      <c r="O19" s="60">
        <v>0</v>
      </c>
      <c r="P19" s="60">
        <v>1.91</v>
      </c>
      <c r="Q19" s="60">
        <v>33.07</v>
      </c>
      <c r="R19" s="198"/>
      <c r="S19" s="198"/>
      <c r="T19" s="198"/>
      <c r="U19" s="198"/>
    </row>
    <row r="20" spans="1:21" s="12" customFormat="1" x14ac:dyDescent="0.25">
      <c r="A20" s="201" t="s">
        <v>2275</v>
      </c>
      <c r="B20" s="60">
        <v>89.9</v>
      </c>
      <c r="C20" s="60">
        <v>106.08</v>
      </c>
      <c r="D20" s="60">
        <v>130.63999999999999</v>
      </c>
      <c r="E20" s="60">
        <v>4.59</v>
      </c>
      <c r="F20" s="215" t="s">
        <v>42</v>
      </c>
      <c r="G20" s="60">
        <v>101.28</v>
      </c>
      <c r="H20" s="60">
        <v>42.17</v>
      </c>
      <c r="I20" s="60">
        <v>0.98</v>
      </c>
      <c r="J20" s="60">
        <v>0.1</v>
      </c>
      <c r="K20" s="60">
        <v>51.19</v>
      </c>
      <c r="L20" s="60">
        <v>19.600000000000001</v>
      </c>
      <c r="M20" s="60">
        <v>64.040000000000006</v>
      </c>
      <c r="N20" s="60">
        <v>4</v>
      </c>
      <c r="O20" s="60">
        <v>0</v>
      </c>
      <c r="P20" s="60">
        <v>1.82</v>
      </c>
      <c r="Q20" s="60">
        <v>32.65</v>
      </c>
      <c r="R20" s="198"/>
      <c r="S20" s="198"/>
      <c r="T20" s="198"/>
      <c r="U20" s="198"/>
    </row>
    <row r="21" spans="1:21" s="12" customFormat="1" x14ac:dyDescent="0.25">
      <c r="A21" s="201" t="s">
        <v>2276</v>
      </c>
      <c r="B21" s="60">
        <v>82.61</v>
      </c>
      <c r="C21" s="60">
        <v>104.35</v>
      </c>
      <c r="D21" s="60">
        <v>123.83</v>
      </c>
      <c r="E21" s="60">
        <v>4.6900000000000004</v>
      </c>
      <c r="F21" s="215" t="s">
        <v>42</v>
      </c>
      <c r="G21" s="60">
        <v>101.28</v>
      </c>
      <c r="H21" s="60">
        <v>42.17</v>
      </c>
      <c r="I21" s="60">
        <v>0.95</v>
      </c>
      <c r="J21" s="60">
        <v>0.33</v>
      </c>
      <c r="K21" s="60">
        <v>99.59</v>
      </c>
      <c r="L21" s="60">
        <v>20.2</v>
      </c>
      <c r="M21" s="60">
        <v>58.49</v>
      </c>
      <c r="N21" s="60">
        <v>3.2</v>
      </c>
      <c r="O21" s="60">
        <v>0</v>
      </c>
      <c r="P21" s="60">
        <v>1.74</v>
      </c>
      <c r="Q21" s="60">
        <v>32.15</v>
      </c>
      <c r="R21" s="198"/>
      <c r="S21" s="198"/>
      <c r="T21" s="198"/>
      <c r="U21" s="198"/>
    </row>
    <row r="22" spans="1:21" s="12" customFormat="1" x14ac:dyDescent="0.25">
      <c r="A22" s="201" t="s">
        <v>2277</v>
      </c>
      <c r="B22" s="60">
        <v>75.290000000000006</v>
      </c>
      <c r="C22" s="60">
        <v>103.29</v>
      </c>
      <c r="D22" s="60">
        <v>117.38</v>
      </c>
      <c r="E22" s="60">
        <v>4.28</v>
      </c>
      <c r="F22" s="60">
        <v>0.01</v>
      </c>
      <c r="G22" s="60">
        <v>101.28</v>
      </c>
      <c r="H22" s="60">
        <v>42.17</v>
      </c>
      <c r="I22" s="60">
        <v>0.92</v>
      </c>
      <c r="J22" s="60">
        <v>0.05</v>
      </c>
      <c r="K22" s="60">
        <v>184.39</v>
      </c>
      <c r="L22" s="60">
        <v>20.11</v>
      </c>
      <c r="M22" s="60">
        <v>60.09</v>
      </c>
      <c r="N22" s="60">
        <v>4.3</v>
      </c>
      <c r="O22" s="60">
        <v>0</v>
      </c>
      <c r="P22" s="60">
        <v>1.66</v>
      </c>
      <c r="Q22" s="60">
        <v>31.63</v>
      </c>
      <c r="R22" s="198"/>
      <c r="S22" s="198"/>
      <c r="T22" s="198"/>
      <c r="U22" s="198"/>
    </row>
    <row r="23" spans="1:21" s="12" customFormat="1" x14ac:dyDescent="0.25">
      <c r="A23" s="201" t="s">
        <v>2278</v>
      </c>
      <c r="B23" s="60">
        <v>69.319999999999993</v>
      </c>
      <c r="C23" s="60">
        <v>102.24</v>
      </c>
      <c r="D23" s="60">
        <v>112.01</v>
      </c>
      <c r="E23" s="60">
        <v>3.51</v>
      </c>
      <c r="F23" s="215" t="s">
        <v>42</v>
      </c>
      <c r="G23" s="60">
        <v>83.8</v>
      </c>
      <c r="H23" s="60">
        <v>40.57</v>
      </c>
      <c r="I23" s="60">
        <v>0.88</v>
      </c>
      <c r="J23" s="60">
        <v>0.02</v>
      </c>
      <c r="K23" s="60">
        <v>26.76</v>
      </c>
      <c r="L23" s="60">
        <v>19.489999999999998</v>
      </c>
      <c r="M23" s="60">
        <v>63.28</v>
      </c>
      <c r="N23" s="60">
        <v>4.5</v>
      </c>
      <c r="O23" s="60">
        <v>0</v>
      </c>
      <c r="P23" s="60">
        <v>1.62</v>
      </c>
      <c r="Q23" s="60">
        <v>31.06</v>
      </c>
      <c r="R23" s="198"/>
      <c r="S23" s="198"/>
      <c r="T23" s="198"/>
      <c r="U23" s="198"/>
    </row>
    <row r="24" spans="1:21" s="12" customFormat="1" x14ac:dyDescent="0.25">
      <c r="A24" s="201" t="s">
        <v>2279</v>
      </c>
      <c r="B24" s="60">
        <v>64.2</v>
      </c>
      <c r="C24" s="60">
        <v>101.19</v>
      </c>
      <c r="D24" s="60">
        <v>107.33</v>
      </c>
      <c r="E24" s="60">
        <v>2.97</v>
      </c>
      <c r="F24" s="215" t="s">
        <v>42</v>
      </c>
      <c r="G24" s="60">
        <v>75.489999999999995</v>
      </c>
      <c r="H24" s="60">
        <v>39.770000000000003</v>
      </c>
      <c r="I24" s="60">
        <v>0.86</v>
      </c>
      <c r="J24" s="60">
        <v>0.1</v>
      </c>
      <c r="K24" s="60">
        <v>10.01</v>
      </c>
      <c r="L24" s="60">
        <v>19.05</v>
      </c>
      <c r="M24" s="60">
        <v>65.08</v>
      </c>
      <c r="N24" s="60">
        <v>4.5999999999999996</v>
      </c>
      <c r="O24" s="60">
        <v>0</v>
      </c>
      <c r="P24" s="60">
        <v>1.57</v>
      </c>
      <c r="Q24" s="60">
        <v>30.5</v>
      </c>
      <c r="R24" s="198"/>
      <c r="S24" s="198"/>
      <c r="T24" s="198"/>
      <c r="U24" s="198"/>
    </row>
    <row r="25" spans="1:21" s="12" customFormat="1" x14ac:dyDescent="0.25">
      <c r="A25" s="201" t="s">
        <v>2280</v>
      </c>
      <c r="B25" s="60">
        <v>61.16</v>
      </c>
      <c r="C25" s="60">
        <v>99.85</v>
      </c>
      <c r="D25" s="60">
        <v>104.15</v>
      </c>
      <c r="E25" s="60">
        <v>4.72</v>
      </c>
      <c r="F25" s="215" t="s">
        <v>42</v>
      </c>
      <c r="G25" s="60">
        <v>75.489999999999995</v>
      </c>
      <c r="H25" s="60">
        <v>39.770000000000003</v>
      </c>
      <c r="I25" s="60">
        <v>0.84</v>
      </c>
      <c r="J25" s="60">
        <v>0.06</v>
      </c>
      <c r="K25" s="60">
        <v>347.46</v>
      </c>
      <c r="L25" s="60">
        <v>18.98</v>
      </c>
      <c r="M25" s="60">
        <v>66.97</v>
      </c>
      <c r="N25" s="60">
        <v>4.2</v>
      </c>
      <c r="O25" s="60">
        <v>0</v>
      </c>
      <c r="P25" s="60">
        <v>1.52</v>
      </c>
      <c r="Q25" s="60">
        <v>29.98</v>
      </c>
      <c r="R25" s="198"/>
      <c r="S25" s="198"/>
      <c r="T25" s="198"/>
      <c r="U25" s="198"/>
    </row>
    <row r="26" spans="1:21" s="12" customFormat="1" x14ac:dyDescent="0.25">
      <c r="A26" s="201" t="s">
        <v>2281</v>
      </c>
      <c r="B26" s="60">
        <v>59.86</v>
      </c>
      <c r="C26" s="60">
        <v>100.1</v>
      </c>
      <c r="D26" s="60">
        <v>103.24</v>
      </c>
      <c r="E26" s="60">
        <v>4.8499999999999996</v>
      </c>
      <c r="F26" s="60">
        <v>0.01</v>
      </c>
      <c r="G26" s="60">
        <v>75.489999999999995</v>
      </c>
      <c r="H26" s="60">
        <v>39.770000000000003</v>
      </c>
      <c r="I26" s="60">
        <v>0.83</v>
      </c>
      <c r="J26" s="60">
        <v>0.04</v>
      </c>
      <c r="K26" s="60">
        <v>287.45</v>
      </c>
      <c r="L26" s="60">
        <v>18.95</v>
      </c>
      <c r="M26" s="60">
        <v>67.930000000000007</v>
      </c>
      <c r="N26" s="60">
        <v>4.3</v>
      </c>
      <c r="O26" s="60">
        <v>0</v>
      </c>
      <c r="P26" s="60">
        <v>1.49</v>
      </c>
      <c r="Q26" s="60">
        <v>29.81</v>
      </c>
      <c r="R26" s="198"/>
      <c r="S26" s="198"/>
      <c r="T26" s="198"/>
      <c r="U26" s="198"/>
    </row>
    <row r="27" spans="1:21" s="12" customFormat="1" x14ac:dyDescent="0.25">
      <c r="A27" s="201" t="s">
        <v>2282</v>
      </c>
      <c r="B27" s="60">
        <v>56.06</v>
      </c>
      <c r="C27" s="60">
        <v>97.92</v>
      </c>
      <c r="D27" s="60">
        <v>99</v>
      </c>
      <c r="E27" s="60">
        <v>4.93</v>
      </c>
      <c r="F27" s="60">
        <v>0.05</v>
      </c>
      <c r="G27" s="60">
        <v>86.18</v>
      </c>
      <c r="H27" s="60">
        <v>37.909999999999997</v>
      </c>
      <c r="I27" s="60">
        <v>0.82</v>
      </c>
      <c r="J27" s="60">
        <v>0.17</v>
      </c>
      <c r="K27" s="60">
        <v>251.2</v>
      </c>
      <c r="L27" s="60">
        <v>19.440000000000001</v>
      </c>
      <c r="M27" s="60">
        <v>65.03</v>
      </c>
      <c r="N27" s="60">
        <v>3.7</v>
      </c>
      <c r="O27" s="60">
        <v>0</v>
      </c>
      <c r="P27" s="60">
        <v>1.46</v>
      </c>
      <c r="Q27" s="60">
        <v>29.81</v>
      </c>
      <c r="R27" s="198"/>
      <c r="S27" s="198"/>
      <c r="T27" s="198"/>
      <c r="U27" s="198"/>
    </row>
    <row r="28" spans="1:21" s="12" customFormat="1" x14ac:dyDescent="0.25">
      <c r="A28" s="201" t="s">
        <v>2283</v>
      </c>
      <c r="B28" s="60">
        <v>56.63</v>
      </c>
      <c r="C28" s="60">
        <v>99.76</v>
      </c>
      <c r="D28" s="60">
        <v>100.47</v>
      </c>
      <c r="E28" s="60">
        <v>5.25</v>
      </c>
      <c r="F28" s="215" t="s">
        <v>42</v>
      </c>
      <c r="G28" s="60">
        <v>91.53</v>
      </c>
      <c r="H28" s="60">
        <v>36.979999999999997</v>
      </c>
      <c r="I28" s="60">
        <v>0.82</v>
      </c>
      <c r="J28" s="60">
        <v>0.09</v>
      </c>
      <c r="K28" s="60">
        <v>189.78</v>
      </c>
      <c r="L28" s="60">
        <v>19.45</v>
      </c>
      <c r="M28" s="60">
        <v>65.34</v>
      </c>
      <c r="N28" s="60">
        <v>3.8</v>
      </c>
      <c r="O28" s="60">
        <v>0</v>
      </c>
      <c r="P28" s="60">
        <v>1.43</v>
      </c>
      <c r="Q28" s="60">
        <v>29.78</v>
      </c>
      <c r="R28" s="198"/>
      <c r="S28" s="198"/>
      <c r="T28" s="198"/>
      <c r="U28" s="198"/>
    </row>
    <row r="29" spans="1:21" s="12" customFormat="1" x14ac:dyDescent="0.25">
      <c r="A29" s="201" t="s">
        <v>2284</v>
      </c>
      <c r="B29" s="60">
        <v>57.72</v>
      </c>
      <c r="C29" s="60">
        <v>100.55</v>
      </c>
      <c r="D29" s="60">
        <v>101.77</v>
      </c>
      <c r="E29" s="60">
        <v>4.7300000000000004</v>
      </c>
      <c r="F29" s="215" t="s">
        <v>42</v>
      </c>
      <c r="G29" s="60">
        <v>91.53</v>
      </c>
      <c r="H29" s="60">
        <v>36.979999999999997</v>
      </c>
      <c r="I29" s="60">
        <v>0.81</v>
      </c>
      <c r="J29" s="60">
        <v>0.06</v>
      </c>
      <c r="K29" s="60">
        <v>36.79</v>
      </c>
      <c r="L29" s="60">
        <v>19.34</v>
      </c>
      <c r="M29" s="60">
        <v>65.75</v>
      </c>
      <c r="N29" s="60">
        <v>4.3</v>
      </c>
      <c r="O29" s="60">
        <v>0</v>
      </c>
      <c r="P29" s="60">
        <v>1.41</v>
      </c>
      <c r="Q29" s="60">
        <v>29.94</v>
      </c>
      <c r="R29" s="198"/>
      <c r="S29" s="198"/>
      <c r="T29" s="198"/>
      <c r="U29" s="198"/>
    </row>
    <row r="30" spans="1:21" s="12" customFormat="1" x14ac:dyDescent="0.25">
      <c r="A30" s="201" t="s">
        <v>2285</v>
      </c>
      <c r="B30" s="60">
        <v>60.47</v>
      </c>
      <c r="C30" s="60">
        <v>100.82</v>
      </c>
      <c r="D30" s="60">
        <v>104.14</v>
      </c>
      <c r="E30" s="60">
        <v>4.6900000000000004</v>
      </c>
      <c r="F30" s="215" t="s">
        <v>42</v>
      </c>
      <c r="G30" s="60">
        <v>91.53</v>
      </c>
      <c r="H30" s="60">
        <v>36.979999999999997</v>
      </c>
      <c r="I30" s="60">
        <v>0.81</v>
      </c>
      <c r="J30" s="60">
        <v>0.04</v>
      </c>
      <c r="K30" s="60">
        <v>84.12</v>
      </c>
      <c r="L30" s="60">
        <v>19.02</v>
      </c>
      <c r="M30" s="60">
        <v>67.400000000000006</v>
      </c>
      <c r="N30" s="60">
        <v>4.4000000000000004</v>
      </c>
      <c r="O30" s="60">
        <v>0</v>
      </c>
      <c r="P30" s="60">
        <v>1.39</v>
      </c>
      <c r="Q30" s="60">
        <v>30.14</v>
      </c>
      <c r="R30" s="198"/>
      <c r="S30" s="198"/>
      <c r="T30" s="198"/>
      <c r="U30" s="198"/>
    </row>
    <row r="31" spans="1:21" s="12" customFormat="1" x14ac:dyDescent="0.25">
      <c r="A31" s="201" t="s">
        <v>2286</v>
      </c>
      <c r="B31" s="60">
        <v>66.39</v>
      </c>
      <c r="C31" s="60">
        <v>101.61</v>
      </c>
      <c r="D31" s="60">
        <v>109.31</v>
      </c>
      <c r="E31" s="60">
        <v>4.99</v>
      </c>
      <c r="F31" s="60">
        <v>0.02</v>
      </c>
      <c r="G31" s="60">
        <v>91.2</v>
      </c>
      <c r="H31" s="60">
        <v>40.03</v>
      </c>
      <c r="I31" s="60">
        <v>0.81</v>
      </c>
      <c r="J31" s="60">
        <v>0.09</v>
      </c>
      <c r="K31" s="60">
        <v>330.63</v>
      </c>
      <c r="L31" s="60">
        <v>18.73</v>
      </c>
      <c r="M31" s="60">
        <v>69.3</v>
      </c>
      <c r="N31" s="60">
        <v>4.5999999999999996</v>
      </c>
      <c r="O31" s="60">
        <v>0</v>
      </c>
      <c r="P31" s="60">
        <v>1.39</v>
      </c>
      <c r="Q31" s="60">
        <v>30.43</v>
      </c>
      <c r="R31" s="198"/>
      <c r="S31" s="198"/>
      <c r="T31" s="198"/>
      <c r="U31" s="198"/>
    </row>
    <row r="32" spans="1:21" s="12" customFormat="1" x14ac:dyDescent="0.25">
      <c r="A32" s="201" t="s">
        <v>2287</v>
      </c>
      <c r="B32" s="60">
        <v>71.61</v>
      </c>
      <c r="C32" s="60">
        <v>101.7</v>
      </c>
      <c r="D32" s="60">
        <v>113.55</v>
      </c>
      <c r="E32" s="60">
        <v>5.51</v>
      </c>
      <c r="F32" s="60">
        <v>0.04</v>
      </c>
      <c r="G32" s="60">
        <v>91.05</v>
      </c>
      <c r="H32" s="60">
        <v>41.56</v>
      </c>
      <c r="I32" s="60">
        <v>0.82</v>
      </c>
      <c r="J32" s="60">
        <v>0.01</v>
      </c>
      <c r="K32" s="60">
        <v>77.11</v>
      </c>
      <c r="L32" s="60">
        <v>18.399999999999999</v>
      </c>
      <c r="M32" s="60">
        <v>70.81</v>
      </c>
      <c r="N32" s="60">
        <v>4.4000000000000004</v>
      </c>
      <c r="O32" s="60">
        <v>0</v>
      </c>
      <c r="P32" s="60">
        <v>1.39</v>
      </c>
      <c r="Q32" s="60">
        <v>31.31</v>
      </c>
      <c r="R32" s="198"/>
      <c r="S32" s="198"/>
      <c r="T32" s="198"/>
      <c r="U32" s="198"/>
    </row>
    <row r="33" spans="1:21" s="12" customFormat="1" x14ac:dyDescent="0.25">
      <c r="A33" s="201" t="s">
        <v>2288</v>
      </c>
      <c r="B33" s="60">
        <v>77.31</v>
      </c>
      <c r="C33" s="60">
        <v>102.09</v>
      </c>
      <c r="D33" s="60">
        <v>118.33</v>
      </c>
      <c r="E33" s="60">
        <v>5.03</v>
      </c>
      <c r="F33" s="60">
        <v>0.08</v>
      </c>
      <c r="G33" s="60">
        <v>91.05</v>
      </c>
      <c r="H33" s="60">
        <v>41.56</v>
      </c>
      <c r="I33" s="60">
        <v>0.83</v>
      </c>
      <c r="J33" s="60">
        <v>0.1</v>
      </c>
      <c r="K33" s="60">
        <v>298.38</v>
      </c>
      <c r="L33" s="60">
        <v>18.420000000000002</v>
      </c>
      <c r="M33" s="60">
        <v>70.95</v>
      </c>
      <c r="N33" s="60">
        <v>4.5</v>
      </c>
      <c r="O33" s="60">
        <v>0</v>
      </c>
      <c r="P33" s="60">
        <v>1.38</v>
      </c>
      <c r="Q33" s="60">
        <v>31.99</v>
      </c>
      <c r="R33" s="198"/>
      <c r="S33" s="198"/>
      <c r="T33" s="198"/>
      <c r="U33" s="198"/>
    </row>
    <row r="34" spans="1:21" s="12" customFormat="1" x14ac:dyDescent="0.25">
      <c r="A34" s="201" t="s">
        <v>2289</v>
      </c>
      <c r="B34" s="60">
        <v>85.75</v>
      </c>
      <c r="C34" s="60">
        <v>102.8</v>
      </c>
      <c r="D34" s="60">
        <v>125.5</v>
      </c>
      <c r="E34" s="60">
        <v>5.3</v>
      </c>
      <c r="F34" s="60">
        <v>0.09</v>
      </c>
      <c r="G34" s="60">
        <v>91.05</v>
      </c>
      <c r="H34" s="60">
        <v>41.56</v>
      </c>
      <c r="I34" s="60">
        <v>0.84</v>
      </c>
      <c r="J34" s="60">
        <v>0.15</v>
      </c>
      <c r="K34" s="60">
        <v>334.81</v>
      </c>
      <c r="L34" s="60">
        <v>18.309999999999999</v>
      </c>
      <c r="M34" s="60">
        <v>72.760000000000005</v>
      </c>
      <c r="N34" s="60">
        <v>7.1</v>
      </c>
      <c r="O34" s="60">
        <v>0</v>
      </c>
      <c r="P34" s="60">
        <v>1.41</v>
      </c>
      <c r="Q34" s="60">
        <v>32.200000000000003</v>
      </c>
      <c r="R34" s="198"/>
      <c r="S34" s="198"/>
      <c r="T34" s="198"/>
      <c r="U34" s="198"/>
    </row>
    <row r="35" spans="1:21" s="12" customFormat="1" x14ac:dyDescent="0.25">
      <c r="A35" s="201" t="s">
        <v>2290</v>
      </c>
      <c r="B35" s="60">
        <v>94.5</v>
      </c>
      <c r="C35" s="60">
        <v>104.04</v>
      </c>
      <c r="D35" s="60">
        <v>133.19999999999999</v>
      </c>
      <c r="E35" s="60">
        <v>5.2</v>
      </c>
      <c r="F35" s="60">
        <v>0.01</v>
      </c>
      <c r="G35" s="60">
        <v>104.65</v>
      </c>
      <c r="H35" s="60">
        <v>45.17</v>
      </c>
      <c r="I35" s="60">
        <v>0.85</v>
      </c>
      <c r="J35" s="60">
        <v>0.1</v>
      </c>
      <c r="K35" s="60">
        <v>325.33</v>
      </c>
      <c r="L35" s="60">
        <v>18.37</v>
      </c>
      <c r="M35" s="60">
        <v>68.47</v>
      </c>
      <c r="N35" s="60">
        <v>15.5</v>
      </c>
      <c r="O35" s="60">
        <v>0</v>
      </c>
      <c r="P35" s="60">
        <v>1.45</v>
      </c>
      <c r="Q35" s="60">
        <v>32.25</v>
      </c>
      <c r="R35" s="198"/>
      <c r="S35" s="198"/>
      <c r="T35" s="198"/>
      <c r="U35" s="198"/>
    </row>
    <row r="36" spans="1:21" s="12" customFormat="1" x14ac:dyDescent="0.25">
      <c r="A36" s="201" t="s">
        <v>2291</v>
      </c>
      <c r="B36" s="60">
        <v>99.56</v>
      </c>
      <c r="C36" s="60">
        <v>104.72</v>
      </c>
      <c r="D36" s="60">
        <v>137.63</v>
      </c>
      <c r="E36" s="60">
        <v>5.54</v>
      </c>
      <c r="F36" s="60">
        <v>0.04</v>
      </c>
      <c r="G36" s="60">
        <v>111.11</v>
      </c>
      <c r="H36" s="60">
        <v>46.97</v>
      </c>
      <c r="I36" s="60">
        <v>0.86</v>
      </c>
      <c r="J36" s="60">
        <v>0.19</v>
      </c>
      <c r="K36" s="60">
        <v>201.19</v>
      </c>
      <c r="L36" s="60">
        <v>19.09</v>
      </c>
      <c r="M36" s="60">
        <v>62.77</v>
      </c>
      <c r="N36" s="60">
        <v>28.4</v>
      </c>
      <c r="O36" s="60">
        <v>0</v>
      </c>
      <c r="P36" s="60">
        <v>1.46</v>
      </c>
      <c r="Q36" s="60">
        <v>32.35</v>
      </c>
      <c r="R36" s="198"/>
      <c r="S36" s="198"/>
      <c r="T36" s="198"/>
      <c r="U36" s="198"/>
    </row>
    <row r="37" spans="1:21" s="12" customFormat="1" x14ac:dyDescent="0.25">
      <c r="A37" s="201" t="s">
        <v>2292</v>
      </c>
      <c r="B37" s="60">
        <v>97.44</v>
      </c>
      <c r="C37" s="60">
        <v>104.11</v>
      </c>
      <c r="D37" s="60">
        <v>135.6</v>
      </c>
      <c r="E37" s="60">
        <v>5.31</v>
      </c>
      <c r="F37" s="60">
        <v>0.05</v>
      </c>
      <c r="G37" s="60">
        <v>111.11</v>
      </c>
      <c r="H37" s="60">
        <v>46.97</v>
      </c>
      <c r="I37" s="60">
        <v>0.87</v>
      </c>
      <c r="J37" s="60">
        <v>0.26</v>
      </c>
      <c r="K37" s="60">
        <v>195.05</v>
      </c>
      <c r="L37" s="60">
        <v>19.48</v>
      </c>
      <c r="M37" s="60">
        <v>61.73</v>
      </c>
      <c r="N37" s="60">
        <v>84.5</v>
      </c>
      <c r="O37" s="60">
        <v>0</v>
      </c>
      <c r="P37" s="60">
        <v>1.41</v>
      </c>
      <c r="Q37" s="60">
        <v>32.14</v>
      </c>
      <c r="R37" s="198"/>
      <c r="S37" s="198"/>
      <c r="T37" s="198"/>
      <c r="U37" s="198"/>
    </row>
    <row r="38" spans="1:21" s="12" customFormat="1" x14ac:dyDescent="0.25">
      <c r="A38" s="201" t="s">
        <v>2293</v>
      </c>
      <c r="B38" s="60">
        <v>92.96</v>
      </c>
      <c r="C38" s="60">
        <v>103.59</v>
      </c>
      <c r="D38" s="60">
        <v>131.71</v>
      </c>
      <c r="E38" s="60">
        <v>5.44</v>
      </c>
      <c r="F38" s="215" t="s">
        <v>42</v>
      </c>
      <c r="G38" s="60">
        <v>111.11</v>
      </c>
      <c r="H38" s="60">
        <v>46.97</v>
      </c>
      <c r="I38" s="60">
        <v>0.86</v>
      </c>
      <c r="J38" s="60">
        <v>0.28999999999999998</v>
      </c>
      <c r="K38" s="60">
        <v>225.27</v>
      </c>
      <c r="L38" s="60">
        <v>20.6</v>
      </c>
      <c r="M38" s="60">
        <v>58.73</v>
      </c>
      <c r="N38" s="60">
        <v>133.9</v>
      </c>
      <c r="O38" s="60">
        <v>0</v>
      </c>
      <c r="P38" s="60">
        <v>1.43</v>
      </c>
      <c r="Q38" s="60">
        <v>31.82</v>
      </c>
      <c r="R38" s="198"/>
      <c r="S38" s="198"/>
      <c r="T38" s="198"/>
      <c r="U38" s="198"/>
    </row>
    <row r="39" spans="1:21" s="12" customFormat="1" x14ac:dyDescent="0.25">
      <c r="A39" s="201" t="s">
        <v>2294</v>
      </c>
      <c r="B39" s="60">
        <v>88.19</v>
      </c>
      <c r="C39" s="60">
        <v>103.3</v>
      </c>
      <c r="D39" s="60">
        <v>127.73</v>
      </c>
      <c r="E39" s="60">
        <v>5.1100000000000003</v>
      </c>
      <c r="F39" s="215" t="s">
        <v>42</v>
      </c>
      <c r="G39" s="60">
        <v>104.02</v>
      </c>
      <c r="H39" s="60">
        <v>47.76</v>
      </c>
      <c r="I39" s="60">
        <v>0.85</v>
      </c>
      <c r="J39" s="60">
        <v>0.67</v>
      </c>
      <c r="K39" s="60">
        <v>188.43</v>
      </c>
      <c r="L39" s="60">
        <v>21.81</v>
      </c>
      <c r="M39" s="60">
        <v>53.46</v>
      </c>
      <c r="N39" s="60">
        <v>186.2</v>
      </c>
      <c r="O39" s="60">
        <v>0</v>
      </c>
      <c r="P39" s="60">
        <v>1.41</v>
      </c>
      <c r="Q39" s="60">
        <v>31</v>
      </c>
      <c r="R39" s="198"/>
      <c r="S39" s="198"/>
      <c r="T39" s="198"/>
      <c r="U39" s="198"/>
    </row>
    <row r="40" spans="1:21" s="12" customFormat="1" x14ac:dyDescent="0.25">
      <c r="A40" s="201" t="s">
        <v>2295</v>
      </c>
      <c r="B40" s="60">
        <v>83.08</v>
      </c>
      <c r="C40" s="60">
        <v>103.36</v>
      </c>
      <c r="D40" s="60">
        <v>123.67</v>
      </c>
      <c r="E40" s="60">
        <v>3.8</v>
      </c>
      <c r="F40" s="215" t="s">
        <v>42</v>
      </c>
      <c r="G40" s="60">
        <v>100.65</v>
      </c>
      <c r="H40" s="60">
        <v>48.16</v>
      </c>
      <c r="I40" s="60">
        <v>0.83</v>
      </c>
      <c r="J40" s="60">
        <v>1.38</v>
      </c>
      <c r="K40" s="60">
        <v>179.05</v>
      </c>
      <c r="L40" s="60">
        <v>22.53</v>
      </c>
      <c r="M40" s="60">
        <v>50.21</v>
      </c>
      <c r="N40" s="60">
        <v>234.7</v>
      </c>
      <c r="O40" s="60">
        <v>0</v>
      </c>
      <c r="P40" s="60">
        <v>1.39</v>
      </c>
      <c r="Q40" s="60">
        <v>30.51</v>
      </c>
      <c r="R40" s="198"/>
      <c r="S40" s="198"/>
      <c r="T40" s="198"/>
      <c r="U40" s="198"/>
    </row>
    <row r="41" spans="1:21" s="12" customFormat="1" x14ac:dyDescent="0.25">
      <c r="A41" s="201" t="s">
        <v>2296</v>
      </c>
      <c r="B41" s="60">
        <v>77.08</v>
      </c>
      <c r="C41" s="60">
        <v>103.54</v>
      </c>
      <c r="D41" s="60">
        <v>118.95</v>
      </c>
      <c r="E41" s="60">
        <v>5.24</v>
      </c>
      <c r="F41" s="215" t="s">
        <v>42</v>
      </c>
      <c r="G41" s="60">
        <v>100.65</v>
      </c>
      <c r="H41" s="60">
        <v>48.16</v>
      </c>
      <c r="I41" s="60">
        <v>0.81</v>
      </c>
      <c r="J41" s="60">
        <v>1.45</v>
      </c>
      <c r="K41" s="60">
        <v>176.06</v>
      </c>
      <c r="L41" s="60">
        <v>22.96</v>
      </c>
      <c r="M41" s="60">
        <v>50.3</v>
      </c>
      <c r="N41" s="60">
        <v>281.10000000000002</v>
      </c>
      <c r="O41" s="60">
        <v>0</v>
      </c>
      <c r="P41" s="60">
        <v>1.35</v>
      </c>
      <c r="Q41" s="60">
        <v>30.35</v>
      </c>
      <c r="R41" s="198"/>
      <c r="S41" s="198"/>
      <c r="T41" s="198"/>
      <c r="U41" s="198"/>
    </row>
    <row r="42" spans="1:21" s="12" customFormat="1" x14ac:dyDescent="0.25">
      <c r="A42" s="201" t="s">
        <v>2297</v>
      </c>
      <c r="B42" s="60">
        <v>71.099999999999994</v>
      </c>
      <c r="C42" s="60">
        <v>104.23</v>
      </c>
      <c r="D42" s="60">
        <v>114.54</v>
      </c>
      <c r="E42" s="60">
        <v>5.1100000000000003</v>
      </c>
      <c r="F42" s="60">
        <v>0.02</v>
      </c>
      <c r="G42" s="60">
        <v>100.65</v>
      </c>
      <c r="H42" s="60">
        <v>48.16</v>
      </c>
      <c r="I42" s="60">
        <v>0.8</v>
      </c>
      <c r="J42" s="60">
        <v>1.2</v>
      </c>
      <c r="K42" s="60">
        <v>178.69</v>
      </c>
      <c r="L42" s="60">
        <v>23.94</v>
      </c>
      <c r="M42" s="60">
        <v>48.53</v>
      </c>
      <c r="N42" s="60">
        <v>323.5</v>
      </c>
      <c r="O42" s="60">
        <v>0</v>
      </c>
      <c r="P42" s="60">
        <v>1.33</v>
      </c>
      <c r="Q42" s="60">
        <v>30.19</v>
      </c>
      <c r="R42" s="198"/>
      <c r="S42" s="198"/>
      <c r="T42" s="198"/>
      <c r="U42" s="198"/>
    </row>
    <row r="43" spans="1:21" s="12" customFormat="1" x14ac:dyDescent="0.25">
      <c r="A43" s="201" t="s">
        <v>2298</v>
      </c>
      <c r="B43" s="60">
        <v>65.42</v>
      </c>
      <c r="C43" s="60">
        <v>103.18</v>
      </c>
      <c r="D43" s="60">
        <v>109.4</v>
      </c>
      <c r="E43" s="60">
        <v>5.42</v>
      </c>
      <c r="F43" s="60">
        <v>0.09</v>
      </c>
      <c r="G43" s="60">
        <v>81.8</v>
      </c>
      <c r="H43" s="60">
        <v>44.25</v>
      </c>
      <c r="I43" s="60">
        <v>0.8</v>
      </c>
      <c r="J43" s="60">
        <v>1.62</v>
      </c>
      <c r="K43" s="60">
        <v>176.04</v>
      </c>
      <c r="L43" s="60">
        <v>24.73</v>
      </c>
      <c r="M43" s="60">
        <v>46.45</v>
      </c>
      <c r="N43" s="60">
        <v>373.1</v>
      </c>
      <c r="O43" s="60">
        <v>0</v>
      </c>
      <c r="P43" s="60">
        <v>1.3</v>
      </c>
      <c r="Q43" s="60">
        <v>30.02</v>
      </c>
      <c r="R43" s="198"/>
      <c r="S43" s="198"/>
      <c r="T43" s="198"/>
      <c r="U43" s="198"/>
    </row>
    <row r="44" spans="1:21" s="12" customFormat="1" x14ac:dyDescent="0.25">
      <c r="A44" s="201" t="s">
        <v>2299</v>
      </c>
      <c r="B44" s="60">
        <v>59.38</v>
      </c>
      <c r="C44" s="60">
        <v>102.28</v>
      </c>
      <c r="D44" s="60">
        <v>104.06</v>
      </c>
      <c r="E44" s="60">
        <v>5.39</v>
      </c>
      <c r="F44" s="60">
        <v>0.2</v>
      </c>
      <c r="G44" s="60">
        <v>72.37</v>
      </c>
      <c r="H44" s="60">
        <v>42.29</v>
      </c>
      <c r="I44" s="60">
        <v>0.78</v>
      </c>
      <c r="J44" s="60">
        <v>1.19</v>
      </c>
      <c r="K44" s="60">
        <v>184.36</v>
      </c>
      <c r="L44" s="60">
        <v>25.67</v>
      </c>
      <c r="M44" s="60">
        <v>44.26</v>
      </c>
      <c r="N44" s="60">
        <v>422.1</v>
      </c>
      <c r="O44" s="60">
        <v>0</v>
      </c>
      <c r="P44" s="60">
        <v>1.28</v>
      </c>
      <c r="Q44" s="60">
        <v>29.99</v>
      </c>
      <c r="R44" s="198"/>
      <c r="S44" s="198"/>
      <c r="T44" s="198"/>
      <c r="U44" s="198"/>
    </row>
    <row r="45" spans="1:21" s="12" customFormat="1" x14ac:dyDescent="0.25">
      <c r="A45" s="201" t="s">
        <v>2300</v>
      </c>
      <c r="B45" s="60">
        <v>54.36</v>
      </c>
      <c r="C45" s="60">
        <v>104.38</v>
      </c>
      <c r="D45" s="60">
        <v>101.2</v>
      </c>
      <c r="E45" s="60">
        <v>5.5</v>
      </c>
      <c r="F45" s="60">
        <v>0.19</v>
      </c>
      <c r="G45" s="60">
        <v>72.37</v>
      </c>
      <c r="H45" s="60">
        <v>42.29</v>
      </c>
      <c r="I45" s="60">
        <v>0.77</v>
      </c>
      <c r="J45" s="60">
        <v>1.82</v>
      </c>
      <c r="K45" s="60">
        <v>175.78</v>
      </c>
      <c r="L45" s="60">
        <v>26.4</v>
      </c>
      <c r="M45" s="60">
        <v>42.38</v>
      </c>
      <c r="N45" s="60">
        <v>471.6</v>
      </c>
      <c r="O45" s="60">
        <v>0</v>
      </c>
      <c r="P45" s="60">
        <v>1.27</v>
      </c>
      <c r="Q45" s="60">
        <v>29.99</v>
      </c>
      <c r="R45" s="198"/>
      <c r="S45" s="198"/>
      <c r="T45" s="198"/>
      <c r="U45" s="198"/>
    </row>
    <row r="46" spans="1:21" s="12" customFormat="1" x14ac:dyDescent="0.25">
      <c r="A46" s="201" t="s">
        <v>2301</v>
      </c>
      <c r="B46" s="60">
        <v>47.88</v>
      </c>
      <c r="C46" s="60">
        <v>105.92</v>
      </c>
      <c r="D46" s="60">
        <v>96.85</v>
      </c>
      <c r="E46" s="60">
        <v>5.69</v>
      </c>
      <c r="F46" s="60">
        <v>0.56000000000000005</v>
      </c>
      <c r="G46" s="60">
        <v>72.37</v>
      </c>
      <c r="H46" s="60">
        <v>42.29</v>
      </c>
      <c r="I46" s="60">
        <v>0.76</v>
      </c>
      <c r="J46" s="60">
        <v>1.48</v>
      </c>
      <c r="K46" s="60">
        <v>176.8</v>
      </c>
      <c r="L46" s="60">
        <v>27.59</v>
      </c>
      <c r="M46" s="60">
        <v>38.869999999999997</v>
      </c>
      <c r="N46" s="60">
        <v>505.3</v>
      </c>
      <c r="O46" s="60">
        <v>0</v>
      </c>
      <c r="P46" s="60">
        <v>1.3</v>
      </c>
      <c r="Q46" s="60">
        <v>30.27</v>
      </c>
      <c r="R46" s="198"/>
      <c r="S46" s="198"/>
      <c r="T46" s="198"/>
      <c r="U46" s="198"/>
    </row>
    <row r="47" spans="1:21" s="12" customFormat="1" x14ac:dyDescent="0.25">
      <c r="A47" s="201" t="s">
        <v>2302</v>
      </c>
      <c r="B47" s="60">
        <v>42.65</v>
      </c>
      <c r="C47" s="60">
        <v>108.7</v>
      </c>
      <c r="D47" s="60">
        <v>94.19</v>
      </c>
      <c r="E47" s="60">
        <v>5.72</v>
      </c>
      <c r="F47" s="60">
        <v>0.47</v>
      </c>
      <c r="G47" s="60">
        <v>70.14</v>
      </c>
      <c r="H47" s="60">
        <v>41.29</v>
      </c>
      <c r="I47" s="60">
        <v>0.75</v>
      </c>
      <c r="J47" s="60">
        <v>0.53</v>
      </c>
      <c r="K47" s="60">
        <v>195.4</v>
      </c>
      <c r="L47" s="60">
        <v>29.09</v>
      </c>
      <c r="M47" s="60">
        <v>35.299999999999997</v>
      </c>
      <c r="N47" s="60">
        <v>536.79999999999995</v>
      </c>
      <c r="O47" s="60">
        <v>0</v>
      </c>
      <c r="P47" s="60">
        <v>1.34</v>
      </c>
      <c r="Q47" s="60">
        <v>30.57</v>
      </c>
      <c r="R47" s="198"/>
      <c r="S47" s="198"/>
      <c r="T47" s="198"/>
      <c r="U47" s="198"/>
    </row>
    <row r="48" spans="1:21" s="12" customFormat="1" x14ac:dyDescent="0.25">
      <c r="A48" s="201" t="s">
        <v>2303</v>
      </c>
      <c r="B48" s="60">
        <v>35.46</v>
      </c>
      <c r="C48" s="60">
        <v>110.59</v>
      </c>
      <c r="D48" s="60">
        <v>89.47</v>
      </c>
      <c r="E48" s="60">
        <v>5.84</v>
      </c>
      <c r="F48" s="60">
        <v>0.36</v>
      </c>
      <c r="G48" s="60">
        <v>69.08</v>
      </c>
      <c r="H48" s="60">
        <v>40.799999999999997</v>
      </c>
      <c r="I48" s="60">
        <v>0.74</v>
      </c>
      <c r="J48" s="60">
        <v>1.0900000000000001</v>
      </c>
      <c r="K48" s="60">
        <v>176.6</v>
      </c>
      <c r="L48" s="60">
        <v>30.03</v>
      </c>
      <c r="M48" s="60">
        <v>33.130000000000003</v>
      </c>
      <c r="N48" s="60">
        <v>559.6</v>
      </c>
      <c r="O48" s="60">
        <v>0</v>
      </c>
      <c r="P48" s="60">
        <v>1.37</v>
      </c>
      <c r="Q48" s="60">
        <v>30.43</v>
      </c>
      <c r="R48" s="198"/>
      <c r="S48" s="198"/>
      <c r="T48" s="198"/>
      <c r="U48" s="198"/>
    </row>
    <row r="49" spans="1:21" s="12" customFormat="1" x14ac:dyDescent="0.25">
      <c r="A49" s="201" t="s">
        <v>2304</v>
      </c>
      <c r="B49" s="60">
        <v>29.34</v>
      </c>
      <c r="C49" s="60">
        <v>113.81</v>
      </c>
      <c r="D49" s="60">
        <v>86.34</v>
      </c>
      <c r="E49" s="60">
        <v>5.65</v>
      </c>
      <c r="F49" s="60">
        <v>0.31</v>
      </c>
      <c r="G49" s="60">
        <v>69.08</v>
      </c>
      <c r="H49" s="60">
        <v>40.799999999999997</v>
      </c>
      <c r="I49" s="60">
        <v>0.72</v>
      </c>
      <c r="J49" s="60">
        <v>0.98</v>
      </c>
      <c r="K49" s="60">
        <v>159.47999999999999</v>
      </c>
      <c r="L49" s="60">
        <v>30.27</v>
      </c>
      <c r="M49" s="60">
        <v>31.81</v>
      </c>
      <c r="N49" s="60">
        <v>563.29999999999995</v>
      </c>
      <c r="O49" s="60">
        <v>0</v>
      </c>
      <c r="P49" s="60">
        <v>1.4</v>
      </c>
      <c r="Q49" s="60">
        <v>30.07</v>
      </c>
      <c r="R49" s="198"/>
      <c r="S49" s="198"/>
      <c r="T49" s="198"/>
      <c r="U49" s="198"/>
    </row>
    <row r="50" spans="1:21" s="12" customFormat="1" x14ac:dyDescent="0.25">
      <c r="A50" s="201" t="s">
        <v>2305</v>
      </c>
      <c r="B50" s="60">
        <v>23.19</v>
      </c>
      <c r="C50" s="60">
        <v>116.28</v>
      </c>
      <c r="D50" s="60">
        <v>82.77</v>
      </c>
      <c r="E50" s="60">
        <v>5.86</v>
      </c>
      <c r="F50" s="60">
        <v>0.48</v>
      </c>
      <c r="G50" s="60">
        <v>69.08</v>
      </c>
      <c r="H50" s="60">
        <v>40.799999999999997</v>
      </c>
      <c r="I50" s="60">
        <v>0.71</v>
      </c>
      <c r="J50" s="60">
        <v>0.05</v>
      </c>
      <c r="K50" s="60">
        <v>33.130000000000003</v>
      </c>
      <c r="L50" s="60">
        <v>32.229999999999997</v>
      </c>
      <c r="M50" s="60">
        <v>26.44</v>
      </c>
      <c r="N50" s="60">
        <v>553</v>
      </c>
      <c r="O50" s="60">
        <v>0</v>
      </c>
      <c r="P50" s="60">
        <v>1.41</v>
      </c>
      <c r="Q50" s="60">
        <v>29.65</v>
      </c>
      <c r="R50" s="198"/>
      <c r="S50" s="198"/>
      <c r="T50" s="198"/>
      <c r="U50" s="198"/>
    </row>
    <row r="51" spans="1:21" s="12" customFormat="1" x14ac:dyDescent="0.25">
      <c r="A51" s="201" t="s">
        <v>2306</v>
      </c>
      <c r="B51" s="60">
        <v>17.38</v>
      </c>
      <c r="C51" s="60">
        <v>118.29</v>
      </c>
      <c r="D51" s="60">
        <v>79.209999999999994</v>
      </c>
      <c r="E51" s="60">
        <v>6.23</v>
      </c>
      <c r="F51" s="60">
        <v>1.57</v>
      </c>
      <c r="G51" s="60">
        <v>72.91</v>
      </c>
      <c r="H51" s="60">
        <v>38.46</v>
      </c>
      <c r="I51" s="60">
        <v>0.7</v>
      </c>
      <c r="J51" s="60">
        <v>0.31</v>
      </c>
      <c r="K51" s="60">
        <v>10.39</v>
      </c>
      <c r="L51" s="60">
        <v>34.4</v>
      </c>
      <c r="M51" s="60">
        <v>22.6</v>
      </c>
      <c r="N51" s="60">
        <v>459.2</v>
      </c>
      <c r="O51" s="60">
        <v>0</v>
      </c>
      <c r="P51" s="60">
        <v>1.49</v>
      </c>
      <c r="Q51" s="60">
        <v>29.29</v>
      </c>
      <c r="R51" s="198"/>
      <c r="S51" s="198"/>
      <c r="T51" s="198"/>
      <c r="U51" s="198"/>
    </row>
    <row r="52" spans="1:21" s="12" customFormat="1" x14ac:dyDescent="0.25">
      <c r="A52" s="201" t="s">
        <v>2307</v>
      </c>
      <c r="B52" s="60">
        <v>11.13</v>
      </c>
      <c r="C52" s="60">
        <v>119.44</v>
      </c>
      <c r="D52" s="60">
        <v>74.84</v>
      </c>
      <c r="E52" s="60">
        <v>13.25</v>
      </c>
      <c r="F52" s="60">
        <v>10.25</v>
      </c>
      <c r="G52" s="60">
        <v>74.72</v>
      </c>
      <c r="H52" s="60">
        <v>37.29</v>
      </c>
      <c r="I52" s="60">
        <v>0.68</v>
      </c>
      <c r="J52" s="60">
        <v>0.4</v>
      </c>
      <c r="K52" s="60">
        <v>15.37</v>
      </c>
      <c r="L52" s="60">
        <v>35.979999999999997</v>
      </c>
      <c r="M52" s="60">
        <v>22.11</v>
      </c>
      <c r="N52" s="60">
        <v>424.9</v>
      </c>
      <c r="O52" s="60">
        <v>0</v>
      </c>
      <c r="P52" s="60">
        <v>1.62</v>
      </c>
      <c r="Q52" s="60">
        <v>28.69</v>
      </c>
      <c r="R52" s="198"/>
      <c r="S52" s="198"/>
      <c r="T52" s="198"/>
      <c r="U52" s="198"/>
    </row>
    <row r="53" spans="1:21" s="12" customFormat="1" x14ac:dyDescent="0.25">
      <c r="A53" s="201" t="s">
        <v>2308</v>
      </c>
      <c r="B53" s="60">
        <v>2.0499999999999998</v>
      </c>
      <c r="C53" s="60">
        <v>106.02</v>
      </c>
      <c r="D53" s="60">
        <v>60.15</v>
      </c>
      <c r="E53" s="60">
        <v>29.71</v>
      </c>
      <c r="F53" s="60">
        <v>32.58</v>
      </c>
      <c r="G53" s="60">
        <v>74.72</v>
      </c>
      <c r="H53" s="60">
        <v>37.29</v>
      </c>
      <c r="I53" s="60">
        <v>0.67</v>
      </c>
      <c r="J53" s="60">
        <v>0.22</v>
      </c>
      <c r="K53" s="60">
        <v>15.3</v>
      </c>
      <c r="L53" s="60">
        <v>34.96</v>
      </c>
      <c r="M53" s="60">
        <v>23.85</v>
      </c>
      <c r="N53" s="60">
        <v>420</v>
      </c>
      <c r="O53" s="60">
        <v>0</v>
      </c>
      <c r="P53" s="60">
        <v>1.71</v>
      </c>
      <c r="Q53" s="60">
        <v>18.66</v>
      </c>
      <c r="R53" s="198"/>
      <c r="S53" s="198"/>
      <c r="T53" s="198"/>
      <c r="U53" s="198"/>
    </row>
    <row r="54" spans="1:21" s="12" customFormat="1" x14ac:dyDescent="0.25">
      <c r="A54" s="201" t="s">
        <v>2309</v>
      </c>
      <c r="B54" s="60">
        <v>1.98</v>
      </c>
      <c r="C54" s="60">
        <v>97.8</v>
      </c>
      <c r="D54" s="60">
        <v>55.56</v>
      </c>
      <c r="E54" s="60">
        <v>20.37</v>
      </c>
      <c r="F54" s="60">
        <v>22.23</v>
      </c>
      <c r="G54" s="60">
        <v>74.72</v>
      </c>
      <c r="H54" s="60">
        <v>37.29</v>
      </c>
      <c r="I54" s="60">
        <v>0.6</v>
      </c>
      <c r="J54" s="60">
        <v>0.1</v>
      </c>
      <c r="K54" s="60">
        <v>282.49</v>
      </c>
      <c r="L54" s="60">
        <v>32.64</v>
      </c>
      <c r="M54" s="60">
        <v>25.25</v>
      </c>
      <c r="N54" s="60">
        <v>276.5</v>
      </c>
      <c r="O54" s="60">
        <v>0</v>
      </c>
      <c r="P54" s="60">
        <v>1.64</v>
      </c>
      <c r="Q54" s="60">
        <v>15.72</v>
      </c>
      <c r="R54" s="198"/>
      <c r="S54" s="198"/>
      <c r="T54" s="198"/>
      <c r="U54" s="198"/>
    </row>
    <row r="55" spans="1:21" s="12" customFormat="1" x14ac:dyDescent="0.25">
      <c r="A55" s="201" t="s">
        <v>2310</v>
      </c>
      <c r="B55" s="60">
        <v>1.19</v>
      </c>
      <c r="C55" s="60">
        <v>90.24</v>
      </c>
      <c r="D55" s="60">
        <v>50.76</v>
      </c>
      <c r="E55" s="60">
        <v>19.14</v>
      </c>
      <c r="F55" s="60">
        <v>15.32</v>
      </c>
      <c r="G55" s="60">
        <v>72.63</v>
      </c>
      <c r="H55" s="60">
        <v>38.42</v>
      </c>
      <c r="I55" s="60">
        <v>0.55000000000000004</v>
      </c>
      <c r="J55" s="60">
        <v>0.25</v>
      </c>
      <c r="K55" s="60">
        <v>16.16</v>
      </c>
      <c r="L55" s="60">
        <v>34.24</v>
      </c>
      <c r="M55" s="60">
        <v>22.54</v>
      </c>
      <c r="N55" s="60">
        <v>559.6</v>
      </c>
      <c r="O55" s="60">
        <v>0</v>
      </c>
      <c r="P55" s="60">
        <v>1.58</v>
      </c>
      <c r="Q55" s="60">
        <v>15.57</v>
      </c>
      <c r="R55" s="198"/>
      <c r="S55" s="198"/>
      <c r="T55" s="198"/>
      <c r="U55" s="198"/>
    </row>
    <row r="56" spans="1:21" s="12" customFormat="1" x14ac:dyDescent="0.25">
      <c r="A56" s="201" t="s">
        <v>2311</v>
      </c>
      <c r="B56" s="60">
        <v>1.34</v>
      </c>
      <c r="C56" s="60">
        <v>87.92</v>
      </c>
      <c r="D56" s="60">
        <v>49.59</v>
      </c>
      <c r="E56" s="60">
        <v>10.11</v>
      </c>
      <c r="F56" s="60">
        <v>10.89</v>
      </c>
      <c r="G56" s="60">
        <v>71.58</v>
      </c>
      <c r="H56" s="60">
        <v>38.99</v>
      </c>
      <c r="I56" s="60">
        <v>0.53</v>
      </c>
      <c r="J56" s="60">
        <v>0.25</v>
      </c>
      <c r="K56" s="60">
        <v>351.41</v>
      </c>
      <c r="L56" s="60">
        <v>36.020000000000003</v>
      </c>
      <c r="M56" s="60">
        <v>18.22</v>
      </c>
      <c r="N56" s="60">
        <v>560.70000000000005</v>
      </c>
      <c r="O56" s="60">
        <v>0</v>
      </c>
      <c r="P56" s="60">
        <v>1.55</v>
      </c>
      <c r="Q56" s="60">
        <v>16.010000000000002</v>
      </c>
      <c r="R56" s="198"/>
      <c r="S56" s="198"/>
      <c r="T56" s="198"/>
      <c r="U56" s="198"/>
    </row>
    <row r="57" spans="1:21" s="12" customFormat="1" x14ac:dyDescent="0.25">
      <c r="A57" s="201" t="s">
        <v>2312</v>
      </c>
      <c r="B57" s="60">
        <v>1.4</v>
      </c>
      <c r="C57" s="60">
        <v>87.95</v>
      </c>
      <c r="D57" s="60">
        <v>49.66</v>
      </c>
      <c r="E57" s="60">
        <v>8.1300000000000008</v>
      </c>
      <c r="F57" s="60">
        <v>9.9</v>
      </c>
      <c r="G57" s="60">
        <v>71.58</v>
      </c>
      <c r="H57" s="60">
        <v>38.99</v>
      </c>
      <c r="I57" s="60">
        <v>0.53</v>
      </c>
      <c r="J57" s="60">
        <v>0.25</v>
      </c>
      <c r="K57" s="60">
        <v>4.66</v>
      </c>
      <c r="L57" s="60">
        <v>36.369999999999997</v>
      </c>
      <c r="M57" s="60">
        <v>16.059999999999999</v>
      </c>
      <c r="N57" s="60">
        <v>559.29999999999995</v>
      </c>
      <c r="O57" s="60">
        <v>0</v>
      </c>
      <c r="P57" s="60">
        <v>1.5</v>
      </c>
      <c r="Q57" s="60">
        <v>16.760000000000002</v>
      </c>
      <c r="R57" s="198"/>
      <c r="S57" s="198"/>
      <c r="T57" s="198"/>
      <c r="U57" s="198"/>
    </row>
    <row r="58" spans="1:21" s="12" customFormat="1" x14ac:dyDescent="0.25">
      <c r="A58" s="201" t="s">
        <v>2313</v>
      </c>
      <c r="B58" s="60">
        <v>2.78</v>
      </c>
      <c r="C58" s="60">
        <v>90.8</v>
      </c>
      <c r="D58" s="60">
        <v>52.33</v>
      </c>
      <c r="E58" s="60">
        <v>8.24</v>
      </c>
      <c r="F58" s="60">
        <v>8.4</v>
      </c>
      <c r="G58" s="60">
        <v>71.58</v>
      </c>
      <c r="H58" s="60">
        <v>38.99</v>
      </c>
      <c r="I58" s="60">
        <v>0.52</v>
      </c>
      <c r="J58" s="60">
        <v>0.74</v>
      </c>
      <c r="K58" s="60">
        <v>355.03</v>
      </c>
      <c r="L58" s="60">
        <v>37.6</v>
      </c>
      <c r="M58" s="60">
        <v>15.68</v>
      </c>
      <c r="N58" s="60">
        <v>532.6</v>
      </c>
      <c r="O58" s="60">
        <v>0</v>
      </c>
      <c r="P58" s="60">
        <v>1.5</v>
      </c>
      <c r="Q58" s="60">
        <v>17.38</v>
      </c>
      <c r="R58" s="198"/>
      <c r="S58" s="198"/>
      <c r="T58" s="198"/>
      <c r="U58" s="198"/>
    </row>
    <row r="59" spans="1:21" s="12" customFormat="1" x14ac:dyDescent="0.25">
      <c r="A59" s="201" t="s">
        <v>2314</v>
      </c>
      <c r="B59" s="60">
        <v>2.17</v>
      </c>
      <c r="C59" s="60">
        <v>81.93</v>
      </c>
      <c r="D59" s="60">
        <v>46.96</v>
      </c>
      <c r="E59" s="60">
        <v>14</v>
      </c>
      <c r="F59" s="60">
        <v>23.66</v>
      </c>
      <c r="G59" s="60">
        <v>69.48</v>
      </c>
      <c r="H59" s="60">
        <v>37.92</v>
      </c>
      <c r="I59" s="60">
        <v>0.53</v>
      </c>
      <c r="J59" s="60">
        <v>0.3</v>
      </c>
      <c r="K59" s="60">
        <v>23.21</v>
      </c>
      <c r="L59" s="60">
        <v>38</v>
      </c>
      <c r="M59" s="60">
        <v>14.18</v>
      </c>
      <c r="N59" s="60">
        <v>516.20000000000005</v>
      </c>
      <c r="O59" s="60">
        <v>0</v>
      </c>
      <c r="P59" s="60">
        <v>1.5</v>
      </c>
      <c r="Q59" s="60">
        <v>18.11</v>
      </c>
      <c r="R59" s="198"/>
      <c r="S59" s="198"/>
      <c r="T59" s="198"/>
      <c r="U59" s="198"/>
    </row>
    <row r="60" spans="1:21" s="12" customFormat="1" x14ac:dyDescent="0.25">
      <c r="A60" s="201" t="s">
        <v>2315</v>
      </c>
      <c r="B60" s="60">
        <v>2.11</v>
      </c>
      <c r="C60" s="60">
        <v>82.8</v>
      </c>
      <c r="D60" s="60">
        <v>47.39</v>
      </c>
      <c r="E60" s="60">
        <v>12.81</v>
      </c>
      <c r="F60" s="60">
        <v>15.19</v>
      </c>
      <c r="G60" s="60">
        <v>68.489999999999995</v>
      </c>
      <c r="H60" s="60">
        <v>37.39</v>
      </c>
      <c r="I60" s="60">
        <v>0.53</v>
      </c>
      <c r="J60" s="60">
        <v>0.91</v>
      </c>
      <c r="K60" s="60">
        <v>2.74</v>
      </c>
      <c r="L60" s="60">
        <v>39.15</v>
      </c>
      <c r="M60" s="60">
        <v>12.22</v>
      </c>
      <c r="N60" s="60">
        <v>509.6</v>
      </c>
      <c r="O60" s="60">
        <v>0</v>
      </c>
      <c r="P60" s="60">
        <v>1.48</v>
      </c>
      <c r="Q60" s="60">
        <v>18.63</v>
      </c>
      <c r="R60" s="198"/>
      <c r="S60" s="198"/>
      <c r="T60" s="198"/>
      <c r="U60" s="198"/>
    </row>
    <row r="61" spans="1:21" s="12" customFormat="1" x14ac:dyDescent="0.25">
      <c r="A61" s="201" t="s">
        <v>2316</v>
      </c>
      <c r="B61" s="60">
        <v>2.85</v>
      </c>
      <c r="C61" s="60">
        <v>89.78</v>
      </c>
      <c r="D61" s="60">
        <v>51.83</v>
      </c>
      <c r="E61" s="60">
        <v>6</v>
      </c>
      <c r="F61" s="60">
        <v>6.63</v>
      </c>
      <c r="G61" s="60">
        <v>68.489999999999995</v>
      </c>
      <c r="H61" s="60">
        <v>37.39</v>
      </c>
      <c r="I61" s="60">
        <v>0.53</v>
      </c>
      <c r="J61" s="60">
        <v>1.39</v>
      </c>
      <c r="K61" s="60">
        <v>352.64</v>
      </c>
      <c r="L61" s="60">
        <v>39.22</v>
      </c>
      <c r="M61" s="60">
        <v>10.8</v>
      </c>
      <c r="N61" s="60">
        <v>492.4</v>
      </c>
      <c r="O61" s="60">
        <v>0</v>
      </c>
      <c r="P61" s="60">
        <v>1.35</v>
      </c>
      <c r="Q61" s="60">
        <v>20.22</v>
      </c>
      <c r="R61" s="198"/>
      <c r="S61" s="198"/>
      <c r="T61" s="198"/>
      <c r="U61" s="198"/>
    </row>
    <row r="62" spans="1:21" s="12" customFormat="1" x14ac:dyDescent="0.25">
      <c r="A62" s="201" t="s">
        <v>2317</v>
      </c>
      <c r="B62" s="60">
        <v>2</v>
      </c>
      <c r="C62" s="60">
        <v>87.18</v>
      </c>
      <c r="D62" s="60">
        <v>49.71</v>
      </c>
      <c r="E62" s="60">
        <v>4.68</v>
      </c>
      <c r="F62" s="60">
        <v>5.88</v>
      </c>
      <c r="G62" s="60">
        <v>68.489999999999995</v>
      </c>
      <c r="H62" s="60">
        <v>37.39</v>
      </c>
      <c r="I62" s="60">
        <v>0.54</v>
      </c>
      <c r="J62" s="60">
        <v>0.43</v>
      </c>
      <c r="K62" s="60">
        <v>6.49</v>
      </c>
      <c r="L62" s="60">
        <v>38.18</v>
      </c>
      <c r="M62" s="60">
        <v>10.25</v>
      </c>
      <c r="N62" s="60">
        <v>456.7</v>
      </c>
      <c r="O62" s="60">
        <v>0</v>
      </c>
      <c r="P62" s="60">
        <v>1.29</v>
      </c>
      <c r="Q62" s="60">
        <v>20.71</v>
      </c>
      <c r="R62" s="198"/>
      <c r="S62" s="198"/>
      <c r="T62" s="198"/>
      <c r="U62" s="198"/>
    </row>
    <row r="63" spans="1:21" s="12" customFormat="1" x14ac:dyDescent="0.25">
      <c r="A63" s="201" t="s">
        <v>2318</v>
      </c>
      <c r="B63" s="60">
        <v>1.36</v>
      </c>
      <c r="C63" s="60">
        <v>87.32</v>
      </c>
      <c r="D63" s="60">
        <v>49.28</v>
      </c>
      <c r="E63" s="60">
        <v>4.45</v>
      </c>
      <c r="F63" s="60">
        <v>4.28</v>
      </c>
      <c r="G63" s="60">
        <v>61.6</v>
      </c>
      <c r="H63" s="60">
        <v>33.19</v>
      </c>
      <c r="I63" s="60">
        <v>0.55000000000000004</v>
      </c>
      <c r="J63" s="60">
        <v>0.64</v>
      </c>
      <c r="K63" s="60">
        <v>357.35</v>
      </c>
      <c r="L63" s="60">
        <v>37.729999999999997</v>
      </c>
      <c r="M63" s="60">
        <v>10.93</v>
      </c>
      <c r="N63" s="60">
        <v>452.1</v>
      </c>
      <c r="O63" s="60">
        <v>0</v>
      </c>
      <c r="P63" s="60">
        <v>1.22</v>
      </c>
      <c r="Q63" s="60">
        <v>20.88</v>
      </c>
      <c r="R63" s="198"/>
      <c r="S63" s="198"/>
      <c r="T63" s="198"/>
      <c r="U63" s="198"/>
    </row>
    <row r="64" spans="1:21" s="12" customFormat="1" x14ac:dyDescent="0.25">
      <c r="A64" s="201" t="s">
        <v>2319</v>
      </c>
      <c r="B64" s="60">
        <v>1.35</v>
      </c>
      <c r="C64" s="60">
        <v>85.97</v>
      </c>
      <c r="D64" s="60">
        <v>48.53</v>
      </c>
      <c r="E64" s="60">
        <v>4.05</v>
      </c>
      <c r="F64" s="60">
        <v>5.8</v>
      </c>
      <c r="G64" s="60">
        <v>58.15</v>
      </c>
      <c r="H64" s="60">
        <v>31.1</v>
      </c>
      <c r="I64" s="60">
        <v>0.55000000000000004</v>
      </c>
      <c r="J64" s="60">
        <v>0.81</v>
      </c>
      <c r="K64" s="60">
        <v>9.44</v>
      </c>
      <c r="L64" s="60">
        <v>38.520000000000003</v>
      </c>
      <c r="M64" s="60">
        <v>9.92</v>
      </c>
      <c r="N64" s="60">
        <v>446.8</v>
      </c>
      <c r="O64" s="60">
        <v>0</v>
      </c>
      <c r="P64" s="60">
        <v>1.1299999999999999</v>
      </c>
      <c r="Q64" s="60">
        <v>21.22</v>
      </c>
      <c r="R64" s="198"/>
      <c r="S64" s="198"/>
      <c r="T64" s="198"/>
      <c r="U64" s="198"/>
    </row>
    <row r="65" spans="1:21" s="12" customFormat="1" x14ac:dyDescent="0.25">
      <c r="A65" s="201" t="s">
        <v>2320</v>
      </c>
      <c r="B65" s="60">
        <v>1.32</v>
      </c>
      <c r="C65" s="60">
        <v>84.27</v>
      </c>
      <c r="D65" s="60">
        <v>47.56</v>
      </c>
      <c r="E65" s="60">
        <v>3.96</v>
      </c>
      <c r="F65" s="60">
        <v>5.66</v>
      </c>
      <c r="G65" s="60">
        <v>58.15</v>
      </c>
      <c r="H65" s="60">
        <v>31.1</v>
      </c>
      <c r="I65" s="60">
        <v>0.54</v>
      </c>
      <c r="J65" s="60">
        <v>0.33</v>
      </c>
      <c r="K65" s="60">
        <v>347.88</v>
      </c>
      <c r="L65" s="60">
        <v>38.22</v>
      </c>
      <c r="M65" s="60">
        <v>9.99</v>
      </c>
      <c r="N65" s="60">
        <v>402.8</v>
      </c>
      <c r="O65" s="60">
        <v>0</v>
      </c>
      <c r="P65" s="60">
        <v>1.05</v>
      </c>
      <c r="Q65" s="60">
        <v>21.12</v>
      </c>
      <c r="R65" s="198"/>
      <c r="S65" s="198"/>
      <c r="T65" s="198"/>
      <c r="U65" s="198"/>
    </row>
    <row r="66" spans="1:21" s="12" customFormat="1" x14ac:dyDescent="0.25">
      <c r="A66" s="201" t="s">
        <v>2321</v>
      </c>
      <c r="B66" s="60">
        <v>2.08</v>
      </c>
      <c r="C66" s="60">
        <v>83.89</v>
      </c>
      <c r="D66" s="60">
        <v>47.97</v>
      </c>
      <c r="E66" s="60">
        <v>3.78</v>
      </c>
      <c r="F66" s="60">
        <v>5.63</v>
      </c>
      <c r="G66" s="60">
        <v>58.15</v>
      </c>
      <c r="H66" s="60">
        <v>31.1</v>
      </c>
      <c r="I66" s="60">
        <v>0.54</v>
      </c>
      <c r="J66" s="60">
        <v>0.33</v>
      </c>
      <c r="K66" s="60">
        <v>332.94</v>
      </c>
      <c r="L66" s="60">
        <v>36.92</v>
      </c>
      <c r="M66" s="60">
        <v>11.08</v>
      </c>
      <c r="N66" s="60">
        <v>410.4</v>
      </c>
      <c r="O66" s="60">
        <v>0</v>
      </c>
      <c r="P66" s="60">
        <v>1</v>
      </c>
      <c r="Q66" s="60">
        <v>21.33</v>
      </c>
      <c r="R66" s="198"/>
      <c r="S66" s="198"/>
      <c r="T66" s="198"/>
      <c r="U66" s="198"/>
    </row>
    <row r="67" spans="1:21" s="12" customFormat="1" x14ac:dyDescent="0.25">
      <c r="A67" s="201" t="s">
        <v>2322</v>
      </c>
      <c r="B67" s="60">
        <v>3.17</v>
      </c>
      <c r="C67" s="60">
        <v>84.04</v>
      </c>
      <c r="D67" s="60">
        <v>48.92</v>
      </c>
      <c r="E67" s="60">
        <v>3.71</v>
      </c>
      <c r="F67" s="60">
        <v>6.42</v>
      </c>
      <c r="G67" s="60">
        <v>46.39</v>
      </c>
      <c r="H67" s="60">
        <v>28.22</v>
      </c>
      <c r="I67" s="60">
        <v>0.53</v>
      </c>
      <c r="J67" s="60">
        <v>0.84</v>
      </c>
      <c r="K67" s="60">
        <v>352.67</v>
      </c>
      <c r="L67" s="60">
        <v>38.340000000000003</v>
      </c>
      <c r="M67" s="60">
        <v>10.17</v>
      </c>
      <c r="N67" s="60">
        <v>385.1</v>
      </c>
      <c r="O67" s="60">
        <v>0</v>
      </c>
      <c r="P67" s="60">
        <v>0.93</v>
      </c>
      <c r="Q67" s="60">
        <v>21.38</v>
      </c>
      <c r="R67" s="198"/>
      <c r="S67" s="198"/>
      <c r="T67" s="198"/>
      <c r="U67" s="198"/>
    </row>
    <row r="68" spans="1:21" s="12" customFormat="1" x14ac:dyDescent="0.25">
      <c r="A68" s="201" t="s">
        <v>2323</v>
      </c>
      <c r="B68" s="60">
        <v>3.39</v>
      </c>
      <c r="C68" s="60">
        <v>79.319999999999993</v>
      </c>
      <c r="D68" s="60">
        <v>46.49</v>
      </c>
      <c r="E68" s="60">
        <v>5.17</v>
      </c>
      <c r="F68" s="60">
        <v>7.45</v>
      </c>
      <c r="G68" s="60">
        <v>40.799999999999997</v>
      </c>
      <c r="H68" s="60">
        <v>26.78</v>
      </c>
      <c r="I68" s="60">
        <v>0.53</v>
      </c>
      <c r="J68" s="60">
        <v>0.73</v>
      </c>
      <c r="K68" s="60">
        <v>354.7</v>
      </c>
      <c r="L68" s="60">
        <v>38.24</v>
      </c>
      <c r="M68" s="60">
        <v>10.41</v>
      </c>
      <c r="N68" s="60">
        <v>337.9</v>
      </c>
      <c r="O68" s="60">
        <v>0</v>
      </c>
      <c r="P68" s="60">
        <v>0.88</v>
      </c>
      <c r="Q68" s="60">
        <v>21.41</v>
      </c>
      <c r="R68" s="198"/>
      <c r="S68" s="198"/>
      <c r="T68" s="198"/>
      <c r="U68" s="198"/>
    </row>
    <row r="69" spans="1:21" s="12" customFormat="1" x14ac:dyDescent="0.25">
      <c r="A69" s="201" t="s">
        <v>2324</v>
      </c>
      <c r="B69" s="60">
        <v>2.52</v>
      </c>
      <c r="C69" s="60">
        <v>77.36</v>
      </c>
      <c r="D69" s="60">
        <v>44.72</v>
      </c>
      <c r="E69" s="60">
        <v>5.87</v>
      </c>
      <c r="F69" s="60">
        <v>10.45</v>
      </c>
      <c r="G69" s="60">
        <v>40.799999999999997</v>
      </c>
      <c r="H69" s="60">
        <v>26.78</v>
      </c>
      <c r="I69" s="60">
        <v>0.52</v>
      </c>
      <c r="J69" s="60">
        <v>0.49</v>
      </c>
      <c r="K69" s="60">
        <v>352.58</v>
      </c>
      <c r="L69" s="60">
        <v>37.35</v>
      </c>
      <c r="M69" s="60">
        <v>10.83</v>
      </c>
      <c r="N69" s="60">
        <v>230</v>
      </c>
      <c r="O69" s="60">
        <v>0</v>
      </c>
      <c r="P69" s="60">
        <v>0.84</v>
      </c>
      <c r="Q69" s="60">
        <v>21.41</v>
      </c>
      <c r="R69" s="198"/>
      <c r="S69" s="198"/>
      <c r="T69" s="198"/>
      <c r="U69" s="198"/>
    </row>
    <row r="70" spans="1:21" s="12" customFormat="1" x14ac:dyDescent="0.25">
      <c r="A70" s="201" t="s">
        <v>2325</v>
      </c>
      <c r="B70" s="60">
        <v>2.02</v>
      </c>
      <c r="C70" s="60">
        <v>75.94</v>
      </c>
      <c r="D70" s="60">
        <v>43.53</v>
      </c>
      <c r="E70" s="60">
        <v>5.46</v>
      </c>
      <c r="F70" s="60">
        <v>8.91</v>
      </c>
      <c r="G70" s="60">
        <v>40.799999999999997</v>
      </c>
      <c r="H70" s="60">
        <v>26.78</v>
      </c>
      <c r="I70" s="60">
        <v>0.52</v>
      </c>
      <c r="J70" s="60">
        <v>0.28999999999999998</v>
      </c>
      <c r="K70" s="60">
        <v>19.72</v>
      </c>
      <c r="L70" s="60">
        <v>36.83</v>
      </c>
      <c r="M70" s="60">
        <v>11.12</v>
      </c>
      <c r="N70" s="60">
        <v>303.60000000000002</v>
      </c>
      <c r="O70" s="60">
        <v>0</v>
      </c>
      <c r="P70" s="60">
        <v>0.81</v>
      </c>
      <c r="Q70" s="60">
        <v>21.46</v>
      </c>
      <c r="R70" s="198"/>
      <c r="S70" s="198"/>
      <c r="T70" s="198"/>
      <c r="U70" s="198"/>
    </row>
    <row r="71" spans="1:21" s="12" customFormat="1" x14ac:dyDescent="0.25">
      <c r="A71" s="201" t="s">
        <v>2326</v>
      </c>
      <c r="B71" s="60">
        <v>1.25</v>
      </c>
      <c r="C71" s="60">
        <v>75.319999999999993</v>
      </c>
      <c r="D71" s="60">
        <v>42.57</v>
      </c>
      <c r="E71" s="60">
        <v>6.05</v>
      </c>
      <c r="F71" s="60">
        <v>10.52</v>
      </c>
      <c r="G71" s="60">
        <v>39.450000000000003</v>
      </c>
      <c r="H71" s="60">
        <v>23.01</v>
      </c>
      <c r="I71" s="60">
        <v>0.52</v>
      </c>
      <c r="J71" s="60">
        <v>0.06</v>
      </c>
      <c r="K71" s="60">
        <v>311.14</v>
      </c>
      <c r="L71" s="60">
        <v>35.08</v>
      </c>
      <c r="M71" s="60">
        <v>12.44</v>
      </c>
      <c r="N71" s="60">
        <v>177.8</v>
      </c>
      <c r="O71" s="60">
        <v>0</v>
      </c>
      <c r="P71" s="60">
        <v>0.77</v>
      </c>
      <c r="Q71" s="60">
        <v>20.85</v>
      </c>
      <c r="R71" s="198"/>
      <c r="S71" s="198"/>
      <c r="T71" s="198"/>
      <c r="U71" s="198"/>
    </row>
    <row r="72" spans="1:21" s="12" customFormat="1" x14ac:dyDescent="0.25">
      <c r="A72" s="201" t="s">
        <v>2327</v>
      </c>
      <c r="B72" s="60">
        <v>0.87</v>
      </c>
      <c r="C72" s="60">
        <v>73.73</v>
      </c>
      <c r="D72" s="60">
        <v>41.39</v>
      </c>
      <c r="E72" s="60">
        <v>6.04</v>
      </c>
      <c r="F72" s="60">
        <v>12.37</v>
      </c>
      <c r="G72" s="60">
        <v>38.81</v>
      </c>
      <c r="H72" s="60">
        <v>21.13</v>
      </c>
      <c r="I72" s="60">
        <v>0.52</v>
      </c>
      <c r="J72" s="60">
        <v>0.16</v>
      </c>
      <c r="K72" s="60">
        <v>260.97000000000003</v>
      </c>
      <c r="L72" s="60">
        <v>34.44</v>
      </c>
      <c r="M72" s="60">
        <v>12.9</v>
      </c>
      <c r="N72" s="60">
        <v>138</v>
      </c>
      <c r="O72" s="60">
        <v>0</v>
      </c>
      <c r="P72" s="60">
        <v>0.72</v>
      </c>
      <c r="Q72" s="60">
        <v>20.57</v>
      </c>
      <c r="R72" s="198"/>
      <c r="S72" s="198"/>
      <c r="T72" s="198"/>
      <c r="U72" s="198"/>
    </row>
    <row r="73" spans="1:21" s="12" customFormat="1" x14ac:dyDescent="0.25">
      <c r="A73" s="201" t="s">
        <v>2328</v>
      </c>
      <c r="B73" s="60">
        <v>0.96</v>
      </c>
      <c r="C73" s="60">
        <v>73.94</v>
      </c>
      <c r="D73" s="60">
        <v>41.58</v>
      </c>
      <c r="E73" s="60">
        <v>6.43</v>
      </c>
      <c r="F73" s="60">
        <v>7.31</v>
      </c>
      <c r="G73" s="60">
        <v>38.81</v>
      </c>
      <c r="H73" s="60">
        <v>21.13</v>
      </c>
      <c r="I73" s="60">
        <v>0.52</v>
      </c>
      <c r="J73" s="60">
        <v>0.32</v>
      </c>
      <c r="K73" s="60">
        <v>32.520000000000003</v>
      </c>
      <c r="L73" s="60">
        <v>34.33</v>
      </c>
      <c r="M73" s="60">
        <v>14.55</v>
      </c>
      <c r="N73" s="60">
        <v>128.19999999999999</v>
      </c>
      <c r="O73" s="60">
        <v>0</v>
      </c>
      <c r="P73" s="60">
        <v>0.71</v>
      </c>
      <c r="Q73" s="60">
        <v>20.83</v>
      </c>
      <c r="R73" s="198"/>
      <c r="S73" s="198"/>
      <c r="T73" s="198"/>
      <c r="U73" s="198"/>
    </row>
    <row r="74" spans="1:21" s="12" customFormat="1" x14ac:dyDescent="0.25">
      <c r="A74" s="201" t="s">
        <v>2329</v>
      </c>
      <c r="B74" s="60">
        <v>0.93</v>
      </c>
      <c r="C74" s="60">
        <v>73.98</v>
      </c>
      <c r="D74" s="60">
        <v>41.57</v>
      </c>
      <c r="E74" s="60">
        <v>7.08</v>
      </c>
      <c r="F74" s="60">
        <v>10</v>
      </c>
      <c r="G74" s="60">
        <v>38.81</v>
      </c>
      <c r="H74" s="60">
        <v>21.13</v>
      </c>
      <c r="I74" s="60">
        <v>0.51</v>
      </c>
      <c r="J74" s="60">
        <v>0.08</v>
      </c>
      <c r="K74" s="60">
        <v>28.73</v>
      </c>
      <c r="L74" s="60">
        <v>34.5</v>
      </c>
      <c r="M74" s="60">
        <v>14.43</v>
      </c>
      <c r="N74" s="60">
        <v>148.9</v>
      </c>
      <c r="O74" s="60">
        <v>0</v>
      </c>
      <c r="P74" s="60">
        <v>0.7</v>
      </c>
      <c r="Q74" s="60">
        <v>20.440000000000001</v>
      </c>
      <c r="R74" s="198"/>
      <c r="S74" s="198"/>
      <c r="T74" s="198"/>
      <c r="U74" s="198"/>
    </row>
    <row r="75" spans="1:21" s="12" customFormat="1" x14ac:dyDescent="0.25">
      <c r="A75" s="201" t="s">
        <v>2330</v>
      </c>
      <c r="B75" s="60">
        <v>0.63</v>
      </c>
      <c r="C75" s="60">
        <v>70.760000000000005</v>
      </c>
      <c r="D75" s="60">
        <v>39.549999999999997</v>
      </c>
      <c r="E75" s="60">
        <v>5.62</v>
      </c>
      <c r="F75" s="60">
        <v>12.15</v>
      </c>
      <c r="G75" s="60">
        <v>44.22</v>
      </c>
      <c r="H75" s="60">
        <v>20.95</v>
      </c>
      <c r="I75" s="60">
        <v>0.51</v>
      </c>
      <c r="J75" s="60">
        <v>0.14000000000000001</v>
      </c>
      <c r="K75" s="60">
        <v>284.73</v>
      </c>
      <c r="L75" s="60">
        <v>34.049999999999997</v>
      </c>
      <c r="M75" s="60">
        <v>14.63</v>
      </c>
      <c r="N75" s="60">
        <v>114</v>
      </c>
      <c r="O75" s="60">
        <v>0</v>
      </c>
      <c r="P75" s="60">
        <v>0.66</v>
      </c>
      <c r="Q75" s="60">
        <v>20.13</v>
      </c>
      <c r="R75" s="198"/>
      <c r="S75" s="198"/>
      <c r="T75" s="198"/>
      <c r="U75" s="198"/>
    </row>
    <row r="76" spans="1:21" s="12" customFormat="1" x14ac:dyDescent="0.25">
      <c r="A76" s="201" t="s">
        <v>2331</v>
      </c>
      <c r="B76" s="60">
        <v>0.47</v>
      </c>
      <c r="C76" s="60">
        <v>68.099999999999994</v>
      </c>
      <c r="D76" s="60">
        <v>37.96</v>
      </c>
      <c r="E76" s="60">
        <v>4.68</v>
      </c>
      <c r="F76" s="60">
        <v>10.84</v>
      </c>
      <c r="G76" s="60">
        <v>46.93</v>
      </c>
      <c r="H76" s="60">
        <v>20.86</v>
      </c>
      <c r="I76" s="60">
        <v>0.53</v>
      </c>
      <c r="J76" s="60">
        <v>0.1</v>
      </c>
      <c r="K76" s="60">
        <v>23.96</v>
      </c>
      <c r="L76" s="60">
        <v>33.369999999999997</v>
      </c>
      <c r="M76" s="60">
        <v>13.45</v>
      </c>
      <c r="N76" s="60">
        <v>38.5</v>
      </c>
      <c r="O76" s="60">
        <v>0</v>
      </c>
      <c r="P76" s="60">
        <v>0.63</v>
      </c>
      <c r="Q76" s="60">
        <v>19.5</v>
      </c>
      <c r="R76" s="198"/>
      <c r="S76" s="198"/>
      <c r="T76" s="198"/>
      <c r="U76" s="198"/>
    </row>
    <row r="77" spans="1:21" s="12" customFormat="1" x14ac:dyDescent="0.25">
      <c r="A77" s="201" t="s">
        <v>2332</v>
      </c>
      <c r="B77" s="60">
        <v>0.84</v>
      </c>
      <c r="C77" s="60">
        <v>69.87</v>
      </c>
      <c r="D77" s="60">
        <v>39.229999999999997</v>
      </c>
      <c r="E77" s="60">
        <v>3.84</v>
      </c>
      <c r="F77" s="60">
        <v>6.16</v>
      </c>
      <c r="G77" s="60">
        <v>46.93</v>
      </c>
      <c r="H77" s="60">
        <v>20.86</v>
      </c>
      <c r="I77" s="60">
        <v>0.51</v>
      </c>
      <c r="J77" s="60">
        <v>0.2</v>
      </c>
      <c r="K77" s="60">
        <v>41.38</v>
      </c>
      <c r="L77" s="60">
        <v>32.770000000000003</v>
      </c>
      <c r="M77" s="60">
        <v>14.06</v>
      </c>
      <c r="N77" s="60">
        <v>40.1</v>
      </c>
      <c r="O77" s="60">
        <v>0</v>
      </c>
      <c r="P77" s="60">
        <v>0.63</v>
      </c>
      <c r="Q77" s="60">
        <v>19.62</v>
      </c>
      <c r="R77" s="198"/>
      <c r="S77" s="198"/>
      <c r="T77" s="198"/>
      <c r="U77" s="198"/>
    </row>
    <row r="78" spans="1:21" s="12" customFormat="1" x14ac:dyDescent="0.25">
      <c r="A78" s="201" t="s">
        <v>2333</v>
      </c>
      <c r="B78" s="60">
        <v>1.73</v>
      </c>
      <c r="C78" s="60">
        <v>74.239999999999995</v>
      </c>
      <c r="D78" s="60">
        <v>42.36</v>
      </c>
      <c r="E78" s="60">
        <v>4.08</v>
      </c>
      <c r="F78" s="60">
        <v>5.59</v>
      </c>
      <c r="G78" s="60">
        <v>46.93</v>
      </c>
      <c r="H78" s="60">
        <v>20.86</v>
      </c>
      <c r="I78" s="60">
        <v>0.51</v>
      </c>
      <c r="J78" s="60">
        <v>0.23</v>
      </c>
      <c r="K78" s="60">
        <v>20.41</v>
      </c>
      <c r="L78" s="60">
        <v>32.36</v>
      </c>
      <c r="M78" s="60">
        <v>14.7</v>
      </c>
      <c r="N78" s="60">
        <v>40</v>
      </c>
      <c r="O78" s="60">
        <v>0</v>
      </c>
      <c r="P78" s="60">
        <v>0.69</v>
      </c>
      <c r="Q78" s="60">
        <v>20.350000000000001</v>
      </c>
      <c r="R78" s="198"/>
      <c r="S78" s="198"/>
      <c r="T78" s="198"/>
      <c r="U78" s="198"/>
    </row>
    <row r="79" spans="1:21" s="12" customFormat="1" x14ac:dyDescent="0.25">
      <c r="A79" s="201" t="s">
        <v>2334</v>
      </c>
      <c r="B79" s="60">
        <v>5.9</v>
      </c>
      <c r="C79" s="60">
        <v>83.87</v>
      </c>
      <c r="D79" s="60">
        <v>51.02</v>
      </c>
      <c r="E79" s="60">
        <v>6.54</v>
      </c>
      <c r="F79" s="60">
        <v>9.9</v>
      </c>
      <c r="G79" s="60">
        <v>41.51</v>
      </c>
      <c r="H79" s="60">
        <v>21.14</v>
      </c>
      <c r="I79" s="60">
        <v>0.52</v>
      </c>
      <c r="J79" s="60">
        <v>0.13</v>
      </c>
      <c r="K79" s="60">
        <v>17.88</v>
      </c>
      <c r="L79" s="60">
        <v>31.52</v>
      </c>
      <c r="M79" s="60">
        <v>16.53</v>
      </c>
      <c r="N79" s="60">
        <v>18.899999999999999</v>
      </c>
      <c r="O79" s="60">
        <v>0</v>
      </c>
      <c r="P79" s="60">
        <v>0.9</v>
      </c>
      <c r="Q79" s="60">
        <v>20.6</v>
      </c>
      <c r="R79" s="198"/>
      <c r="S79" s="198"/>
      <c r="T79" s="198"/>
      <c r="U79" s="198"/>
    </row>
    <row r="80" spans="1:21" s="12" customFormat="1" x14ac:dyDescent="0.25">
      <c r="A80" s="201" t="s">
        <v>2335</v>
      </c>
      <c r="B80" s="60">
        <v>7.27</v>
      </c>
      <c r="C80" s="60">
        <v>95.99</v>
      </c>
      <c r="D80" s="60">
        <v>58.81</v>
      </c>
      <c r="E80" s="60">
        <v>7.37</v>
      </c>
      <c r="F80" s="60">
        <v>7.9</v>
      </c>
      <c r="G80" s="60">
        <v>38.94</v>
      </c>
      <c r="H80" s="60">
        <v>21.29</v>
      </c>
      <c r="I80" s="60">
        <v>0.52</v>
      </c>
      <c r="J80" s="60">
        <v>0.09</v>
      </c>
      <c r="K80" s="60">
        <v>325.89999999999998</v>
      </c>
      <c r="L80" s="60">
        <v>30.58</v>
      </c>
      <c r="M80" s="60">
        <v>16.88</v>
      </c>
      <c r="N80" s="60">
        <v>8.5</v>
      </c>
      <c r="O80" s="60">
        <v>0</v>
      </c>
      <c r="P80" s="60">
        <v>1.08</v>
      </c>
      <c r="Q80" s="60">
        <v>20.010000000000002</v>
      </c>
      <c r="R80" s="198"/>
      <c r="S80" s="198"/>
      <c r="T80" s="198"/>
      <c r="U80" s="198"/>
    </row>
    <row r="81" spans="1:26" s="12" customFormat="1" x14ac:dyDescent="0.25">
      <c r="A81" s="201" t="s">
        <v>2336</v>
      </c>
      <c r="B81" s="60">
        <v>13.47</v>
      </c>
      <c r="C81" s="60">
        <v>110.3</v>
      </c>
      <c r="D81" s="60">
        <v>71.680000000000007</v>
      </c>
      <c r="E81" s="60">
        <v>8.0299999999999994</v>
      </c>
      <c r="F81" s="60">
        <v>3.49</v>
      </c>
      <c r="G81" s="60">
        <v>38.94</v>
      </c>
      <c r="H81" s="60">
        <v>21.29</v>
      </c>
      <c r="I81" s="60">
        <v>0.53</v>
      </c>
      <c r="J81" s="60">
        <v>0.05</v>
      </c>
      <c r="K81" s="60">
        <v>286.73</v>
      </c>
      <c r="L81" s="60">
        <v>29.53</v>
      </c>
      <c r="M81" s="60">
        <v>19.52</v>
      </c>
      <c r="N81" s="60">
        <v>5.4</v>
      </c>
      <c r="O81" s="60">
        <v>0</v>
      </c>
      <c r="P81" s="60">
        <v>1.41</v>
      </c>
      <c r="Q81" s="60">
        <v>20.16</v>
      </c>
      <c r="R81" s="198"/>
      <c r="S81" s="198"/>
      <c r="T81" s="198"/>
      <c r="U81" s="198"/>
    </row>
    <row r="82" spans="1:26" s="12" customFormat="1" x14ac:dyDescent="0.25">
      <c r="A82" s="201" t="s">
        <v>2337</v>
      </c>
      <c r="B82" s="60">
        <v>22.36</v>
      </c>
      <c r="C82" s="60">
        <v>111.57</v>
      </c>
      <c r="D82" s="60">
        <v>79.510000000000005</v>
      </c>
      <c r="E82" s="60">
        <v>8.74</v>
      </c>
      <c r="F82" s="60">
        <v>3.69</v>
      </c>
      <c r="G82" s="60">
        <v>38.94</v>
      </c>
      <c r="H82" s="60">
        <v>21.29</v>
      </c>
      <c r="I82" s="60">
        <v>0.6</v>
      </c>
      <c r="J82" s="60">
        <v>0.33</v>
      </c>
      <c r="K82" s="60">
        <v>354.45</v>
      </c>
      <c r="L82" s="60">
        <v>28.78</v>
      </c>
      <c r="M82" s="60">
        <v>22.1</v>
      </c>
      <c r="N82" s="60">
        <v>3.8</v>
      </c>
      <c r="O82" s="60">
        <v>0</v>
      </c>
      <c r="P82" s="60">
        <v>1.45</v>
      </c>
      <c r="Q82" s="60">
        <v>20.329999999999998</v>
      </c>
      <c r="R82" s="198"/>
      <c r="S82" s="198"/>
      <c r="T82" s="198"/>
      <c r="U82" s="198"/>
    </row>
    <row r="83" spans="1:26" s="12" customFormat="1" x14ac:dyDescent="0.25">
      <c r="A83" s="201" t="s">
        <v>2338</v>
      </c>
      <c r="B83" s="60">
        <v>10.95</v>
      </c>
      <c r="C83" s="60">
        <v>103.47</v>
      </c>
      <c r="D83" s="60">
        <v>65.88</v>
      </c>
      <c r="E83" s="60">
        <v>4.82</v>
      </c>
      <c r="F83" s="60">
        <v>3.1</v>
      </c>
      <c r="G83" s="60">
        <v>58.51</v>
      </c>
      <c r="H83" s="60">
        <v>25.65</v>
      </c>
      <c r="I83" s="60">
        <v>0.66</v>
      </c>
      <c r="J83" s="60">
        <v>0.56999999999999995</v>
      </c>
      <c r="K83" s="60">
        <v>350.53</v>
      </c>
      <c r="L83" s="60">
        <v>28.49</v>
      </c>
      <c r="M83" s="60">
        <v>21.76</v>
      </c>
      <c r="N83" s="60">
        <v>3</v>
      </c>
      <c r="O83" s="60">
        <v>0</v>
      </c>
      <c r="P83" s="60">
        <v>1.1399999999999999</v>
      </c>
      <c r="Q83" s="60">
        <v>21.39</v>
      </c>
      <c r="R83" s="198"/>
      <c r="S83" s="198"/>
      <c r="T83" s="198"/>
      <c r="U83" s="198"/>
    </row>
    <row r="84" spans="1:26" s="12" customFormat="1" x14ac:dyDescent="0.25">
      <c r="A84" s="201" t="s">
        <v>2339</v>
      </c>
      <c r="B84" s="60">
        <v>15.87</v>
      </c>
      <c r="C84" s="60">
        <v>101.61</v>
      </c>
      <c r="D84" s="60">
        <v>68.81</v>
      </c>
      <c r="E84" s="60">
        <v>4.57</v>
      </c>
      <c r="F84" s="60">
        <v>4.63</v>
      </c>
      <c r="G84" s="60">
        <v>67.819999999999993</v>
      </c>
      <c r="H84" s="60">
        <v>27.82</v>
      </c>
      <c r="I84" s="60">
        <v>0.66</v>
      </c>
      <c r="J84" s="60">
        <v>0.56000000000000005</v>
      </c>
      <c r="K84" s="60">
        <v>352.85</v>
      </c>
      <c r="L84" s="60">
        <v>28.13</v>
      </c>
      <c r="M84" s="60">
        <v>22.73</v>
      </c>
      <c r="N84" s="60">
        <v>3.7</v>
      </c>
      <c r="O84" s="60">
        <v>0</v>
      </c>
      <c r="P84" s="60">
        <v>1.19</v>
      </c>
      <c r="Q84" s="60">
        <v>22.05</v>
      </c>
      <c r="R84" s="198"/>
      <c r="S84" s="198"/>
      <c r="T84" s="198"/>
      <c r="U84" s="198"/>
    </row>
    <row r="85" spans="1:26" s="12" customFormat="1" x14ac:dyDescent="0.25">
      <c r="A85" s="201" t="s">
        <v>2340</v>
      </c>
      <c r="B85" s="60">
        <v>18.64</v>
      </c>
      <c r="C85" s="60">
        <v>104.93</v>
      </c>
      <c r="D85" s="60">
        <v>72.86</v>
      </c>
      <c r="E85" s="60">
        <v>10.4</v>
      </c>
      <c r="F85" s="60">
        <v>5.86</v>
      </c>
      <c r="G85" s="60">
        <v>67.819999999999993</v>
      </c>
      <c r="H85" s="60">
        <v>27.82</v>
      </c>
      <c r="I85" s="60">
        <v>0.65</v>
      </c>
      <c r="J85" s="60">
        <v>0.43</v>
      </c>
      <c r="K85" s="60">
        <v>346.38</v>
      </c>
      <c r="L85" s="60">
        <v>27.73</v>
      </c>
      <c r="M85" s="60">
        <v>24.05</v>
      </c>
      <c r="N85" s="60">
        <v>4</v>
      </c>
      <c r="O85" s="60">
        <v>0</v>
      </c>
      <c r="P85" s="60">
        <v>1.18</v>
      </c>
      <c r="Q85" s="60">
        <v>22.73</v>
      </c>
      <c r="R85" s="198"/>
      <c r="S85" s="198"/>
      <c r="T85" s="198"/>
      <c r="U85" s="198"/>
    </row>
    <row r="86" spans="1:26" s="12" customFormat="1" x14ac:dyDescent="0.25">
      <c r="A86" s="201" t="s">
        <v>2341</v>
      </c>
      <c r="B86" s="60">
        <v>14.23</v>
      </c>
      <c r="C86" s="60">
        <v>100.98</v>
      </c>
      <c r="D86" s="60">
        <v>67.14</v>
      </c>
      <c r="E86" s="60">
        <v>6.39</v>
      </c>
      <c r="F86" s="60">
        <v>3.7</v>
      </c>
      <c r="G86" s="60">
        <v>67.819999999999993</v>
      </c>
      <c r="H86" s="60">
        <v>27.82</v>
      </c>
      <c r="I86" s="60">
        <v>0.67</v>
      </c>
      <c r="J86" s="60">
        <v>0.6</v>
      </c>
      <c r="K86" s="60">
        <v>347.55</v>
      </c>
      <c r="L86" s="60">
        <v>27.39</v>
      </c>
      <c r="M86" s="60">
        <v>24.39</v>
      </c>
      <c r="N86" s="60">
        <v>3.4</v>
      </c>
      <c r="O86" s="60">
        <v>0</v>
      </c>
      <c r="P86" s="60">
        <v>1.18</v>
      </c>
      <c r="Q86" s="60">
        <v>23.74</v>
      </c>
      <c r="R86" s="198"/>
      <c r="S86" s="198"/>
      <c r="T86" s="198"/>
      <c r="U86" s="198"/>
    </row>
    <row r="87" spans="1:26" s="12" customFormat="1" x14ac:dyDescent="0.25">
      <c r="A87" s="201" t="s">
        <v>2342</v>
      </c>
      <c r="B87" s="60">
        <v>15.04</v>
      </c>
      <c r="C87" s="60">
        <v>100.75</v>
      </c>
      <c r="D87" s="60">
        <v>67.66</v>
      </c>
      <c r="E87" s="60">
        <v>5.95</v>
      </c>
      <c r="F87" s="60">
        <v>3.9</v>
      </c>
      <c r="G87" s="60">
        <v>70.87</v>
      </c>
      <c r="H87" s="60">
        <v>29.64</v>
      </c>
      <c r="I87" s="60">
        <v>0.64</v>
      </c>
      <c r="J87" s="60">
        <v>0.75</v>
      </c>
      <c r="K87" s="60">
        <v>354.01</v>
      </c>
      <c r="L87" s="60">
        <v>27.09</v>
      </c>
      <c r="M87" s="60">
        <v>25.08</v>
      </c>
      <c r="N87" s="60">
        <v>3.4</v>
      </c>
      <c r="O87" s="60">
        <v>0</v>
      </c>
      <c r="P87" s="60">
        <v>1.2</v>
      </c>
      <c r="Q87" s="60">
        <v>24.41</v>
      </c>
      <c r="R87" s="198"/>
      <c r="S87" s="198"/>
      <c r="T87" s="198"/>
      <c r="U87" s="198"/>
    </row>
    <row r="88" spans="1:26" s="12" customFormat="1" x14ac:dyDescent="0.25">
      <c r="A88" s="201" t="s">
        <v>2343</v>
      </c>
      <c r="B88" s="60">
        <v>14.83</v>
      </c>
      <c r="C88" s="60">
        <v>101.62</v>
      </c>
      <c r="D88" s="60">
        <v>67.98</v>
      </c>
      <c r="E88" s="60">
        <v>3.55</v>
      </c>
      <c r="F88" s="60">
        <v>5.01</v>
      </c>
      <c r="G88" s="60">
        <v>72.319999999999993</v>
      </c>
      <c r="H88" s="60">
        <v>30.5</v>
      </c>
      <c r="I88" s="60">
        <v>0.66</v>
      </c>
      <c r="J88" s="60">
        <v>0.34</v>
      </c>
      <c r="K88" s="60">
        <v>349.7</v>
      </c>
      <c r="L88" s="60">
        <v>26.7</v>
      </c>
      <c r="M88" s="60">
        <v>25.85</v>
      </c>
      <c r="N88" s="60">
        <v>4.2</v>
      </c>
      <c r="O88" s="60">
        <v>0</v>
      </c>
      <c r="P88" s="60">
        <v>1.24</v>
      </c>
      <c r="Q88" s="60">
        <v>24.85</v>
      </c>
      <c r="R88" s="198"/>
      <c r="S88" s="198"/>
      <c r="T88" s="198"/>
      <c r="U88" s="198"/>
    </row>
    <row r="89" spans="1:26" s="12" customFormat="1" x14ac:dyDescent="0.25">
      <c r="A89" s="201" t="s">
        <v>2344</v>
      </c>
      <c r="B89" s="60">
        <v>18.05</v>
      </c>
      <c r="C89" s="60">
        <v>106.74</v>
      </c>
      <c r="D89" s="60">
        <v>73.38</v>
      </c>
      <c r="E89" s="60">
        <v>8.52</v>
      </c>
      <c r="F89" s="60">
        <v>3.01</v>
      </c>
      <c r="G89" s="60">
        <v>72.319999999999993</v>
      </c>
      <c r="H89" s="60">
        <v>30.5</v>
      </c>
      <c r="I89" s="60">
        <v>0.65</v>
      </c>
      <c r="J89" s="60">
        <v>0.27</v>
      </c>
      <c r="K89" s="60">
        <v>6.16</v>
      </c>
      <c r="L89" s="60">
        <v>26.21</v>
      </c>
      <c r="M89" s="60">
        <v>27.23</v>
      </c>
      <c r="N89" s="60">
        <v>4.3</v>
      </c>
      <c r="O89" s="60">
        <v>0</v>
      </c>
      <c r="P89" s="60">
        <v>1.29</v>
      </c>
      <c r="Q89" s="60">
        <v>25.47</v>
      </c>
      <c r="R89" s="198"/>
      <c r="S89" s="198"/>
      <c r="T89" s="198"/>
      <c r="U89" s="198"/>
    </row>
    <row r="90" spans="1:26" s="12" customFormat="1" x14ac:dyDescent="0.25">
      <c r="A90" s="201" t="s">
        <v>2345</v>
      </c>
      <c r="B90" s="60">
        <v>19.25</v>
      </c>
      <c r="C90" s="60">
        <v>109.7</v>
      </c>
      <c r="D90" s="60">
        <v>75.98</v>
      </c>
      <c r="E90" s="60">
        <v>5.15</v>
      </c>
      <c r="F90" s="60">
        <v>1.2</v>
      </c>
      <c r="G90" s="60">
        <v>72.319999999999993</v>
      </c>
      <c r="H90" s="60">
        <v>30.5</v>
      </c>
      <c r="I90" s="60">
        <v>0.67</v>
      </c>
      <c r="J90" s="60">
        <v>0.18</v>
      </c>
      <c r="K90" s="60">
        <v>347.96</v>
      </c>
      <c r="L90" s="60">
        <v>25.86</v>
      </c>
      <c r="M90" s="60">
        <v>27.8</v>
      </c>
      <c r="N90" s="60">
        <v>4.2</v>
      </c>
      <c r="O90" s="60">
        <v>0</v>
      </c>
      <c r="P90" s="60">
        <v>1.31</v>
      </c>
      <c r="Q90" s="60">
        <v>26.97</v>
      </c>
      <c r="R90" s="198"/>
      <c r="S90" s="198"/>
      <c r="T90" s="198"/>
      <c r="U90" s="198"/>
    </row>
    <row r="91" spans="1:26" s="12" customFormat="1" x14ac:dyDescent="0.25">
      <c r="A91" s="201" t="s">
        <v>2346</v>
      </c>
      <c r="B91" s="60">
        <v>23.16</v>
      </c>
      <c r="C91" s="60">
        <v>112.07</v>
      </c>
      <c r="D91" s="60">
        <v>80.430000000000007</v>
      </c>
      <c r="E91" s="60">
        <v>5.69</v>
      </c>
      <c r="F91" s="60">
        <v>0.72</v>
      </c>
      <c r="G91" s="60">
        <v>79.739999999999995</v>
      </c>
      <c r="H91" s="60">
        <v>32.11</v>
      </c>
      <c r="I91" s="60">
        <v>0.68</v>
      </c>
      <c r="J91" s="60">
        <v>0.16</v>
      </c>
      <c r="K91" s="60">
        <v>44.98</v>
      </c>
      <c r="L91" s="60">
        <v>25.77</v>
      </c>
      <c r="M91" s="60">
        <v>28.37</v>
      </c>
      <c r="N91" s="60">
        <v>4.0999999999999996</v>
      </c>
      <c r="O91" s="60">
        <v>0</v>
      </c>
      <c r="P91" s="60">
        <v>1.39</v>
      </c>
      <c r="Q91" s="60">
        <v>27.78</v>
      </c>
      <c r="R91" s="198"/>
      <c r="S91" s="198"/>
      <c r="T91" s="198"/>
      <c r="U91" s="198"/>
    </row>
    <row r="92" spans="1:26" s="12" customFormat="1" x14ac:dyDescent="0.25">
      <c r="A92" s="201" t="s">
        <v>2347</v>
      </c>
      <c r="B92" s="60">
        <v>26.29</v>
      </c>
      <c r="C92" s="60">
        <v>113.9</v>
      </c>
      <c r="D92" s="60">
        <v>83.94</v>
      </c>
      <c r="E92" s="60">
        <v>5.28</v>
      </c>
      <c r="F92" s="60">
        <v>0.47</v>
      </c>
      <c r="G92" s="60">
        <v>83.27</v>
      </c>
      <c r="H92" s="60">
        <v>32.880000000000003</v>
      </c>
      <c r="I92" s="60">
        <v>0.68</v>
      </c>
      <c r="J92" s="60">
        <v>0.1</v>
      </c>
      <c r="K92" s="60">
        <v>46.04</v>
      </c>
      <c r="L92" s="60">
        <v>25.69</v>
      </c>
      <c r="M92" s="60">
        <v>27.77</v>
      </c>
      <c r="N92" s="60">
        <v>4.4000000000000004</v>
      </c>
      <c r="O92" s="60">
        <v>0</v>
      </c>
      <c r="P92" s="60">
        <v>1.43</v>
      </c>
      <c r="Q92" s="60">
        <v>28.5</v>
      </c>
      <c r="R92" s="198"/>
      <c r="S92" s="198"/>
      <c r="T92" s="198"/>
      <c r="U92" s="198"/>
    </row>
    <row r="93" spans="1:26" s="12" customFormat="1" x14ac:dyDescent="0.25">
      <c r="A93" s="201" t="s">
        <v>2348</v>
      </c>
      <c r="B93" s="60">
        <v>31.21</v>
      </c>
      <c r="C93" s="60">
        <v>115.4</v>
      </c>
      <c r="D93" s="60">
        <v>88.72</v>
      </c>
      <c r="E93" s="60">
        <v>4.5199999999999996</v>
      </c>
      <c r="F93" s="60">
        <v>0.24</v>
      </c>
      <c r="G93" s="60">
        <v>83.27</v>
      </c>
      <c r="H93" s="60">
        <v>32.880000000000003</v>
      </c>
      <c r="I93" s="60">
        <v>0.73</v>
      </c>
      <c r="J93" s="60">
        <v>0.09</v>
      </c>
      <c r="K93" s="60">
        <v>51.9</v>
      </c>
      <c r="L93" s="60">
        <v>24.78</v>
      </c>
      <c r="M93" s="60">
        <v>33.36</v>
      </c>
      <c r="N93" s="60">
        <v>4.4000000000000004</v>
      </c>
      <c r="O93" s="60">
        <v>0</v>
      </c>
      <c r="P93" s="60">
        <v>1.53</v>
      </c>
      <c r="Q93" s="60">
        <v>29.31</v>
      </c>
      <c r="R93" s="198"/>
      <c r="S93" s="198"/>
      <c r="T93" s="198"/>
      <c r="U93" s="198"/>
    </row>
    <row r="94" spans="1:26" s="12" customFormat="1" x14ac:dyDescent="0.25">
      <c r="A94" s="201" t="s">
        <v>2349</v>
      </c>
      <c r="B94" s="60">
        <v>33.49</v>
      </c>
      <c r="C94" s="60">
        <v>116.42</v>
      </c>
      <c r="D94" s="60">
        <v>91.1</v>
      </c>
      <c r="E94" s="60">
        <v>4.8899999999999997</v>
      </c>
      <c r="F94" s="60">
        <v>0.45</v>
      </c>
      <c r="G94" s="60">
        <v>83.27</v>
      </c>
      <c r="H94" s="60">
        <v>32.880000000000003</v>
      </c>
      <c r="I94" s="60">
        <v>0.73</v>
      </c>
      <c r="J94" s="60">
        <v>0.03</v>
      </c>
      <c r="K94" s="60">
        <v>186.44</v>
      </c>
      <c r="L94" s="60">
        <v>24.7</v>
      </c>
      <c r="M94" s="60">
        <v>30.79</v>
      </c>
      <c r="N94" s="60">
        <v>4.2</v>
      </c>
      <c r="O94" s="60">
        <v>0</v>
      </c>
      <c r="P94" s="60">
        <v>1.57</v>
      </c>
      <c r="Q94" s="60">
        <v>29.89</v>
      </c>
      <c r="R94" s="198"/>
      <c r="S94" s="198"/>
      <c r="T94" s="198"/>
      <c r="U94" s="198"/>
    </row>
    <row r="95" spans="1:26" s="12" customFormat="1" x14ac:dyDescent="0.25">
      <c r="A95" s="201" t="s">
        <v>2350</v>
      </c>
      <c r="B95" s="60">
        <v>34.840000000000003</v>
      </c>
      <c r="C95" s="60">
        <v>118.74</v>
      </c>
      <c r="D95" s="60">
        <v>93.47</v>
      </c>
      <c r="E95" s="60">
        <v>4.43</v>
      </c>
      <c r="F95" s="60">
        <v>0.36</v>
      </c>
      <c r="G95" s="60">
        <v>93.36</v>
      </c>
      <c r="H95" s="60">
        <v>35.369999999999997</v>
      </c>
      <c r="I95" s="60">
        <v>0.77</v>
      </c>
      <c r="J95" s="60">
        <v>0.09</v>
      </c>
      <c r="K95" s="60">
        <v>249.48</v>
      </c>
      <c r="L95" s="60">
        <v>24.38</v>
      </c>
      <c r="M95" s="60">
        <v>32.229999999999997</v>
      </c>
      <c r="N95" s="60">
        <v>4</v>
      </c>
      <c r="O95" s="60">
        <v>0</v>
      </c>
      <c r="P95" s="60">
        <v>1.58</v>
      </c>
      <c r="Q95" s="60">
        <v>29.68</v>
      </c>
      <c r="R95" s="198"/>
      <c r="S95" s="198"/>
      <c r="T95" s="198"/>
      <c r="U95" s="198"/>
    </row>
    <row r="96" spans="1:26" s="12" customFormat="1" x14ac:dyDescent="0.25">
      <c r="A96" s="201" t="s">
        <v>2351</v>
      </c>
      <c r="B96" s="60">
        <v>50.21</v>
      </c>
      <c r="C96" s="60">
        <v>127.49</v>
      </c>
      <c r="D96" s="60">
        <v>110.63</v>
      </c>
      <c r="E96" s="60">
        <v>5.95</v>
      </c>
      <c r="F96" s="60">
        <v>0.15</v>
      </c>
      <c r="G96" s="60">
        <v>98.16</v>
      </c>
      <c r="H96" s="60">
        <v>36.619999999999997</v>
      </c>
      <c r="I96" s="60">
        <v>0.76</v>
      </c>
      <c r="J96" s="60">
        <v>0.1</v>
      </c>
      <c r="K96" s="60">
        <v>258.25</v>
      </c>
      <c r="L96" s="60">
        <v>23.88</v>
      </c>
      <c r="M96" s="60">
        <v>32.799999999999997</v>
      </c>
      <c r="N96" s="60">
        <v>4.2</v>
      </c>
      <c r="O96" s="60">
        <v>0</v>
      </c>
      <c r="P96" s="60">
        <v>1.72</v>
      </c>
      <c r="Q96" s="60">
        <v>27.97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2352</v>
      </c>
      <c r="B97" s="60">
        <v>50.54</v>
      </c>
      <c r="C97" s="60">
        <v>122.8</v>
      </c>
      <c r="D97" s="60">
        <v>108.3</v>
      </c>
      <c r="E97" s="60">
        <v>5.39</v>
      </c>
      <c r="F97" s="60">
        <v>0.1</v>
      </c>
      <c r="G97" s="60">
        <v>98.16</v>
      </c>
      <c r="H97" s="60">
        <v>36.619999999999997</v>
      </c>
      <c r="I97" s="60">
        <v>0.8</v>
      </c>
      <c r="J97" s="60">
        <v>0.11</v>
      </c>
      <c r="K97" s="60">
        <v>276.95999999999998</v>
      </c>
      <c r="L97" s="60">
        <v>23.37</v>
      </c>
      <c r="M97" s="60">
        <v>35.53</v>
      </c>
      <c r="N97" s="60">
        <v>4.2</v>
      </c>
      <c r="O97" s="60">
        <v>0</v>
      </c>
      <c r="P97" s="60">
        <v>1.68</v>
      </c>
      <c r="Q97" s="60">
        <v>27.91</v>
      </c>
      <c r="R97" s="198"/>
      <c r="S97" s="198"/>
      <c r="T97" s="198"/>
      <c r="U97" s="198"/>
    </row>
    <row r="98" spans="1:33" s="12" customFormat="1" x14ac:dyDescent="0.25">
      <c r="A98" s="201" t="s">
        <v>2353</v>
      </c>
      <c r="B98" s="60">
        <v>67.31</v>
      </c>
      <c r="C98" s="60">
        <v>127.43</v>
      </c>
      <c r="D98" s="60">
        <v>124.3</v>
      </c>
      <c r="E98" s="60">
        <v>4.8899999999999997</v>
      </c>
      <c r="F98" s="60">
        <v>0.12</v>
      </c>
      <c r="G98" s="60">
        <v>98.16</v>
      </c>
      <c r="H98" s="60">
        <v>36.619999999999997</v>
      </c>
      <c r="I98" s="60">
        <v>0.86</v>
      </c>
      <c r="J98" s="60">
        <v>0.02</v>
      </c>
      <c r="K98" s="60">
        <v>52.55</v>
      </c>
      <c r="L98" s="60">
        <v>22.62</v>
      </c>
      <c r="M98" s="60">
        <v>39.17</v>
      </c>
      <c r="N98" s="60">
        <v>4.5</v>
      </c>
      <c r="O98" s="60">
        <v>0</v>
      </c>
      <c r="P98" s="60">
        <v>1.78</v>
      </c>
      <c r="Q98" s="60">
        <v>27.62</v>
      </c>
      <c r="R98" s="198"/>
      <c r="S98" s="198"/>
      <c r="T98" s="198"/>
      <c r="U98" s="198"/>
    </row>
    <row r="99" spans="1:33" s="12" customFormat="1" x14ac:dyDescent="0.25">
      <c r="A99" s="201" t="s">
        <v>2354</v>
      </c>
      <c r="B99" s="60">
        <v>80.239999999999995</v>
      </c>
      <c r="C99" s="60">
        <v>127.32</v>
      </c>
      <c r="D99" s="60">
        <v>134.61000000000001</v>
      </c>
      <c r="E99" s="60">
        <v>4.4400000000000004</v>
      </c>
      <c r="F99" s="60">
        <v>0.23</v>
      </c>
      <c r="G99" s="60">
        <v>145.19999999999999</v>
      </c>
      <c r="H99" s="60">
        <v>42.79</v>
      </c>
      <c r="I99" s="60">
        <v>0.89</v>
      </c>
      <c r="J99" s="60">
        <v>0.01</v>
      </c>
      <c r="K99" s="60">
        <v>232.73</v>
      </c>
      <c r="L99" s="60">
        <v>21.95</v>
      </c>
      <c r="M99" s="60">
        <v>43.03</v>
      </c>
      <c r="N99" s="60">
        <v>4.4000000000000004</v>
      </c>
      <c r="O99" s="60">
        <v>0</v>
      </c>
      <c r="P99" s="60">
        <v>1.85</v>
      </c>
      <c r="Q99" s="60">
        <v>28.12</v>
      </c>
      <c r="R99" s="198"/>
      <c r="S99" s="198"/>
      <c r="T99" s="198"/>
      <c r="U99" s="198"/>
    </row>
    <row r="100" spans="1:33" s="12" customFormat="1" x14ac:dyDescent="0.25">
      <c r="A100" s="201" t="s">
        <v>2355</v>
      </c>
      <c r="B100" s="60">
        <v>74.709999999999994</v>
      </c>
      <c r="C100" s="60">
        <v>123.14</v>
      </c>
      <c r="D100" s="60">
        <v>127.87</v>
      </c>
      <c r="E100" s="60">
        <v>4.42</v>
      </c>
      <c r="F100" s="60">
        <v>0.26</v>
      </c>
      <c r="G100" s="60">
        <v>167.56</v>
      </c>
      <c r="H100" s="60">
        <v>45.88</v>
      </c>
      <c r="I100" s="60">
        <v>0.92</v>
      </c>
      <c r="J100" s="60">
        <v>0.1</v>
      </c>
      <c r="K100" s="60">
        <v>23.86</v>
      </c>
      <c r="L100" s="60">
        <v>21.44</v>
      </c>
      <c r="M100" s="60">
        <v>45.66</v>
      </c>
      <c r="N100" s="60">
        <v>4.4000000000000004</v>
      </c>
      <c r="O100" s="60">
        <v>0</v>
      </c>
      <c r="P100" s="60">
        <v>1.76</v>
      </c>
      <c r="Q100" s="60">
        <v>28.94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2356</v>
      </c>
      <c r="B101" s="60">
        <v>87.57</v>
      </c>
      <c r="C101" s="60">
        <v>123.07</v>
      </c>
      <c r="D101" s="60">
        <v>138.13999999999999</v>
      </c>
      <c r="E101" s="60">
        <v>4.1500000000000004</v>
      </c>
      <c r="F101" s="60">
        <v>0.18</v>
      </c>
      <c r="G101" s="60">
        <v>167.56</v>
      </c>
      <c r="H101" s="60">
        <v>45.88</v>
      </c>
      <c r="I101" s="60">
        <v>0.94</v>
      </c>
      <c r="J101" s="60">
        <v>7.0000000000000007E-2</v>
      </c>
      <c r="K101" s="60">
        <v>243.47</v>
      </c>
      <c r="L101" s="60">
        <v>21.31</v>
      </c>
      <c r="M101" s="60">
        <v>48.19</v>
      </c>
      <c r="N101" s="60">
        <v>3.7</v>
      </c>
      <c r="O101" s="60">
        <v>0</v>
      </c>
      <c r="P101" s="60">
        <v>1.83</v>
      </c>
      <c r="Q101" s="60">
        <v>30.16</v>
      </c>
      <c r="R101" s="198"/>
      <c r="S101" s="198"/>
      <c r="T101" s="198"/>
      <c r="U101" s="198"/>
    </row>
    <row r="102" spans="1:33" s="12" customFormat="1" x14ac:dyDescent="0.25">
      <c r="A102" s="201" t="s">
        <v>2357</v>
      </c>
      <c r="B102" s="60">
        <v>94.43</v>
      </c>
      <c r="C102" s="60">
        <v>123.39</v>
      </c>
      <c r="D102" s="60">
        <v>143.82</v>
      </c>
      <c r="E102" s="60">
        <v>3.95</v>
      </c>
      <c r="F102" s="60">
        <v>0.16</v>
      </c>
      <c r="G102" s="60">
        <v>167.56</v>
      </c>
      <c r="H102" s="60">
        <v>45.88</v>
      </c>
      <c r="I102" s="60">
        <v>0.96</v>
      </c>
      <c r="J102" s="60">
        <v>0.2</v>
      </c>
      <c r="K102" s="60">
        <v>18.27</v>
      </c>
      <c r="L102" s="60">
        <v>21.21</v>
      </c>
      <c r="M102" s="60">
        <v>50.18</v>
      </c>
      <c r="N102" s="60">
        <v>4.2</v>
      </c>
      <c r="O102" s="60">
        <v>0</v>
      </c>
      <c r="P102" s="60">
        <v>1.85</v>
      </c>
      <c r="Q102" s="60">
        <v>31.11</v>
      </c>
      <c r="R102" s="198"/>
      <c r="S102" s="198"/>
      <c r="T102" s="198"/>
      <c r="U102" s="198"/>
    </row>
    <row r="103" spans="1:33" s="12" customFormat="1" x14ac:dyDescent="0.25">
      <c r="A103" s="201" t="s">
        <v>2358</v>
      </c>
      <c r="B103" s="60">
        <v>101.38</v>
      </c>
      <c r="C103" s="60">
        <v>125.05</v>
      </c>
      <c r="D103" s="60">
        <v>150.31</v>
      </c>
      <c r="E103" s="60">
        <v>4.08</v>
      </c>
      <c r="F103" s="60">
        <v>0.16</v>
      </c>
      <c r="G103" s="60">
        <v>179.1</v>
      </c>
      <c r="H103" s="60">
        <v>51.34</v>
      </c>
      <c r="I103" s="60">
        <v>0.98</v>
      </c>
      <c r="J103" s="60">
        <v>7.0000000000000007E-2</v>
      </c>
      <c r="K103" s="60">
        <v>3.23</v>
      </c>
      <c r="L103" s="60">
        <v>20.71</v>
      </c>
      <c r="M103" s="60">
        <v>52.35</v>
      </c>
      <c r="N103" s="60">
        <v>4.3</v>
      </c>
      <c r="O103" s="60">
        <v>0</v>
      </c>
      <c r="P103" s="60">
        <v>1.89</v>
      </c>
      <c r="Q103" s="60">
        <v>31.64</v>
      </c>
      <c r="R103" s="198"/>
      <c r="S103" s="198"/>
      <c r="T103" s="198"/>
      <c r="U103" s="198"/>
    </row>
    <row r="104" spans="1:33" s="12" customFormat="1" x14ac:dyDescent="0.25">
      <c r="A104" s="201" t="s">
        <v>2359</v>
      </c>
      <c r="B104" s="60">
        <v>102.15</v>
      </c>
      <c r="C104" s="60">
        <v>123.4</v>
      </c>
      <c r="D104" s="60">
        <v>150.02000000000001</v>
      </c>
      <c r="E104" s="60">
        <v>2.25</v>
      </c>
      <c r="F104" s="60">
        <v>0.13</v>
      </c>
      <c r="G104" s="60">
        <v>184.59</v>
      </c>
      <c r="H104" s="60">
        <v>53.93</v>
      </c>
      <c r="I104" s="60">
        <v>1</v>
      </c>
      <c r="J104" s="60">
        <v>0.05</v>
      </c>
      <c r="K104" s="60">
        <v>301.2</v>
      </c>
      <c r="L104" s="60">
        <v>20.5</v>
      </c>
      <c r="M104" s="60">
        <v>52.15</v>
      </c>
      <c r="N104" s="60">
        <v>4.3</v>
      </c>
      <c r="O104" s="60">
        <v>0</v>
      </c>
      <c r="P104" s="60">
        <v>1.91</v>
      </c>
      <c r="Q104" s="60">
        <v>33.270000000000003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0.47</v>
      </c>
      <c r="C106" s="67">
        <f>MIN(C9:C104)</f>
        <v>68.099999999999994</v>
      </c>
      <c r="D106" s="67">
        <f t="shared" ref="D106:Q106" si="0">MIN(D9:D104)</f>
        <v>37.96</v>
      </c>
      <c r="E106" s="67">
        <f t="shared" si="0"/>
        <v>2.25</v>
      </c>
      <c r="F106" s="67">
        <f t="shared" si="0"/>
        <v>0.01</v>
      </c>
      <c r="G106" s="67">
        <f t="shared" si="0"/>
        <v>38.81</v>
      </c>
      <c r="H106" s="67">
        <f t="shared" si="0"/>
        <v>20.86</v>
      </c>
      <c r="I106" s="67">
        <f t="shared" si="0"/>
        <v>0.51</v>
      </c>
      <c r="J106" s="67">
        <f t="shared" si="0"/>
        <v>0.01</v>
      </c>
      <c r="K106" s="67">
        <f t="shared" si="0"/>
        <v>2.74</v>
      </c>
      <c r="L106" s="67">
        <f t="shared" si="0"/>
        <v>18.309999999999999</v>
      </c>
      <c r="M106" s="67">
        <f t="shared" si="0"/>
        <v>9.92</v>
      </c>
      <c r="N106" s="67">
        <f t="shared" si="0"/>
        <v>3</v>
      </c>
      <c r="O106" s="67">
        <f t="shared" si="0"/>
        <v>0</v>
      </c>
      <c r="P106" s="67">
        <f t="shared" si="0"/>
        <v>0.63</v>
      </c>
      <c r="Q106" s="67">
        <f t="shared" si="0"/>
        <v>15.57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162.37</v>
      </c>
      <c r="C107" s="66">
        <f t="shared" ref="C107:Q107" si="1">MAX(C9:C104)</f>
        <v>127.49</v>
      </c>
      <c r="D107" s="66">
        <f t="shared" si="1"/>
        <v>200.01</v>
      </c>
      <c r="E107" s="66">
        <f t="shared" si="1"/>
        <v>29.71</v>
      </c>
      <c r="F107" s="66">
        <f t="shared" si="1"/>
        <v>32.58</v>
      </c>
      <c r="G107" s="66">
        <f t="shared" si="1"/>
        <v>184.59</v>
      </c>
      <c r="H107" s="66">
        <f t="shared" si="1"/>
        <v>69.260000000000005</v>
      </c>
      <c r="I107" s="66">
        <f t="shared" si="1"/>
        <v>1.38</v>
      </c>
      <c r="J107" s="66">
        <f t="shared" si="1"/>
        <v>1.82</v>
      </c>
      <c r="K107" s="66">
        <f t="shared" si="1"/>
        <v>359.51</v>
      </c>
      <c r="L107" s="66">
        <f t="shared" si="1"/>
        <v>39.22</v>
      </c>
      <c r="M107" s="66">
        <f t="shared" si="1"/>
        <v>72.760000000000005</v>
      </c>
      <c r="N107" s="66">
        <f t="shared" si="1"/>
        <v>563.29999999999995</v>
      </c>
      <c r="O107" s="66">
        <f t="shared" si="1"/>
        <v>0</v>
      </c>
      <c r="P107" s="66">
        <f t="shared" si="1"/>
        <v>2.65</v>
      </c>
      <c r="Q107" s="66">
        <f t="shared" si="1"/>
        <v>34.75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47.483854166666674</v>
      </c>
      <c r="C108" s="67">
        <f t="shared" ref="C108:Q108" si="2">AVERAGE(C9:C104)</f>
        <v>102.05739583333327</v>
      </c>
      <c r="D108" s="67">
        <f t="shared" si="2"/>
        <v>94.401250000000019</v>
      </c>
      <c r="E108" s="67">
        <f t="shared" si="2"/>
        <v>6.1464583333333316</v>
      </c>
      <c r="F108" s="67">
        <f t="shared" si="2"/>
        <v>4.2973493975903612</v>
      </c>
      <c r="G108" s="67">
        <f t="shared" si="2"/>
        <v>84.28614583333335</v>
      </c>
      <c r="H108" s="67">
        <f t="shared" si="2"/>
        <v>38.061041666666675</v>
      </c>
      <c r="I108" s="67">
        <f t="shared" si="2"/>
        <v>0.765625</v>
      </c>
      <c r="J108" s="67">
        <f t="shared" si="2"/>
        <v>0.35645833333333338</v>
      </c>
      <c r="K108" s="67">
        <f t="shared" si="2"/>
        <v>180.80624999999995</v>
      </c>
      <c r="L108" s="67">
        <f t="shared" si="2"/>
        <v>26.838020833333328</v>
      </c>
      <c r="M108" s="67">
        <f t="shared" si="2"/>
        <v>37.672604166666666</v>
      </c>
      <c r="N108" s="67">
        <f t="shared" si="2"/>
        <v>157.01041666666669</v>
      </c>
      <c r="O108" s="67">
        <f t="shared" si="2"/>
        <v>0</v>
      </c>
      <c r="P108" s="67">
        <f t="shared" si="2"/>
        <v>1.4501041666666665</v>
      </c>
      <c r="Q108" s="67">
        <f t="shared" si="2"/>
        <v>26.802604166666651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42.910182066603198</v>
      </c>
      <c r="C109" s="67">
        <f t="shared" ref="C109:Q109" si="3">STDEV(C9:C104)</f>
        <v>15.149967395816622</v>
      </c>
      <c r="D109" s="67">
        <f t="shared" si="3"/>
        <v>40.341342102507895</v>
      </c>
      <c r="E109" s="67">
        <f t="shared" si="3"/>
        <v>3.7042717813120247</v>
      </c>
      <c r="F109" s="67">
        <f t="shared" si="3"/>
        <v>6.0418608997998371</v>
      </c>
      <c r="G109" s="67">
        <f t="shared" si="3"/>
        <v>32.795844774341688</v>
      </c>
      <c r="H109" s="67">
        <f t="shared" si="3"/>
        <v>10.530954320644843</v>
      </c>
      <c r="I109" s="67">
        <f t="shared" si="3"/>
        <v>0.21928502240835401</v>
      </c>
      <c r="J109" s="67">
        <f t="shared" si="3"/>
        <v>0.40827487945376012</v>
      </c>
      <c r="K109" s="67">
        <f t="shared" si="3"/>
        <v>137.36379033523787</v>
      </c>
      <c r="L109" s="67">
        <f t="shared" si="3"/>
        <v>6.8925394632307482</v>
      </c>
      <c r="M109" s="67">
        <f t="shared" si="3"/>
        <v>20.518445013658074</v>
      </c>
      <c r="N109" s="67">
        <f t="shared" si="3"/>
        <v>206.43464339982771</v>
      </c>
      <c r="O109" s="67">
        <f t="shared" si="3"/>
        <v>0</v>
      </c>
      <c r="P109" s="67">
        <f t="shared" si="3"/>
        <v>0.42236301371081192</v>
      </c>
      <c r="Q109" s="67">
        <f t="shared" si="3"/>
        <v>5.4393761725891334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>COUNT(F9:F104)+13</f>
        <v>96</v>
      </c>
      <c r="G110" s="66">
        <f t="shared" si="4"/>
        <v>96</v>
      </c>
      <c r="H110" s="66">
        <f t="shared" si="4"/>
        <v>96</v>
      </c>
      <c r="I110" s="66">
        <f>COUNT(I9:I104)</f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/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241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F111" sqref="F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23-02-2023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340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2360</v>
      </c>
      <c r="B9" s="60">
        <v>108.79</v>
      </c>
      <c r="C9" s="60">
        <v>122.39</v>
      </c>
      <c r="D9" s="60">
        <v>154.79</v>
      </c>
      <c r="E9" s="60">
        <v>3.99</v>
      </c>
      <c r="F9" s="60">
        <v>0.1</v>
      </c>
      <c r="G9" s="60">
        <v>184.59</v>
      </c>
      <c r="H9" s="60">
        <v>53.93</v>
      </c>
      <c r="I9" s="60">
        <v>1.02</v>
      </c>
      <c r="J9" s="60">
        <v>0.12</v>
      </c>
      <c r="K9" s="60">
        <v>332.46</v>
      </c>
      <c r="L9" s="60">
        <v>20.440000000000001</v>
      </c>
      <c r="M9" s="60">
        <v>52</v>
      </c>
      <c r="N9" s="60">
        <v>4</v>
      </c>
      <c r="O9" s="60">
        <v>0</v>
      </c>
      <c r="P9" s="60">
        <v>1.93</v>
      </c>
      <c r="Q9" s="60">
        <v>34.119999999999997</v>
      </c>
      <c r="S9" s="198"/>
      <c r="T9" s="198"/>
      <c r="U9" s="198"/>
    </row>
    <row r="10" spans="1:21" s="12" customFormat="1" x14ac:dyDescent="0.25">
      <c r="A10" s="201" t="s">
        <v>2361</v>
      </c>
      <c r="B10" s="60">
        <v>110.77</v>
      </c>
      <c r="C10" s="60">
        <v>121.58</v>
      </c>
      <c r="D10" s="60">
        <v>155.93</v>
      </c>
      <c r="E10" s="60">
        <v>4.45</v>
      </c>
      <c r="F10" s="60">
        <v>0.09</v>
      </c>
      <c r="G10" s="60">
        <v>184.59</v>
      </c>
      <c r="H10" s="60">
        <v>53.93</v>
      </c>
      <c r="I10" s="60">
        <v>0.98</v>
      </c>
      <c r="J10" s="60">
        <v>0.01</v>
      </c>
      <c r="K10" s="60">
        <v>345.13</v>
      </c>
      <c r="L10" s="60">
        <v>20.309999999999999</v>
      </c>
      <c r="M10" s="60">
        <v>49</v>
      </c>
      <c r="N10" s="60">
        <v>4.3</v>
      </c>
      <c r="O10" s="60">
        <v>0</v>
      </c>
      <c r="P10" s="60">
        <v>1.94</v>
      </c>
      <c r="Q10" s="60">
        <v>34.28</v>
      </c>
      <c r="S10" s="198"/>
      <c r="T10" s="198"/>
      <c r="U10" s="198"/>
    </row>
    <row r="11" spans="1:21" s="12" customFormat="1" x14ac:dyDescent="0.25">
      <c r="A11" s="201" t="s">
        <v>2362</v>
      </c>
      <c r="B11" s="60">
        <v>108.34</v>
      </c>
      <c r="C11" s="60">
        <v>120.25</v>
      </c>
      <c r="D11" s="60">
        <v>153.25</v>
      </c>
      <c r="E11" s="60">
        <v>4.0599999999999996</v>
      </c>
      <c r="F11" s="60">
        <v>0.03</v>
      </c>
      <c r="G11" s="60">
        <v>158.78</v>
      </c>
      <c r="H11" s="60">
        <v>52.28</v>
      </c>
      <c r="I11" s="60">
        <v>1.03</v>
      </c>
      <c r="J11" s="60">
        <v>0.02</v>
      </c>
      <c r="K11" s="60">
        <v>286.7</v>
      </c>
      <c r="L11" s="60">
        <v>20.260000000000002</v>
      </c>
      <c r="M11" s="60">
        <v>50.21</v>
      </c>
      <c r="N11" s="60">
        <v>4.0999999999999996</v>
      </c>
      <c r="O11" s="60">
        <v>0</v>
      </c>
      <c r="P11" s="60">
        <v>1.9</v>
      </c>
      <c r="Q11" s="60">
        <v>34.130000000000003</v>
      </c>
      <c r="S11" s="198"/>
      <c r="T11" s="198"/>
      <c r="U11" s="198"/>
    </row>
    <row r="12" spans="1:21" s="12" customFormat="1" x14ac:dyDescent="0.25">
      <c r="A12" s="201" t="s">
        <v>2363</v>
      </c>
      <c r="B12" s="60">
        <v>105.96</v>
      </c>
      <c r="C12" s="60">
        <v>119.43</v>
      </c>
      <c r="D12" s="60">
        <v>150.88999999999999</v>
      </c>
      <c r="E12" s="60">
        <v>4.43</v>
      </c>
      <c r="F12" s="60">
        <v>0.03</v>
      </c>
      <c r="G12" s="60">
        <v>146.52000000000001</v>
      </c>
      <c r="H12" s="60">
        <v>51.45</v>
      </c>
      <c r="I12" s="60">
        <v>1.06</v>
      </c>
      <c r="J12" s="60">
        <v>0.13</v>
      </c>
      <c r="K12" s="60">
        <v>82.5</v>
      </c>
      <c r="L12" s="60">
        <v>20.09</v>
      </c>
      <c r="M12" s="60">
        <v>50.59</v>
      </c>
      <c r="N12" s="60">
        <v>4.0999999999999996</v>
      </c>
      <c r="O12" s="60">
        <v>0</v>
      </c>
      <c r="P12" s="60">
        <v>1.87</v>
      </c>
      <c r="Q12" s="60">
        <v>33.950000000000003</v>
      </c>
      <c r="S12" s="198"/>
      <c r="T12" s="198"/>
      <c r="U12" s="198"/>
    </row>
    <row r="13" spans="1:21" s="12" customFormat="1" x14ac:dyDescent="0.25">
      <c r="A13" s="201" t="s">
        <v>2364</v>
      </c>
      <c r="B13" s="60">
        <v>102.72</v>
      </c>
      <c r="C13" s="60">
        <v>118.76</v>
      </c>
      <c r="D13" s="60">
        <v>147.91999999999999</v>
      </c>
      <c r="E13" s="60">
        <v>3.85</v>
      </c>
      <c r="F13" s="60">
        <v>0.01</v>
      </c>
      <c r="G13" s="60">
        <v>146.52000000000001</v>
      </c>
      <c r="H13" s="60">
        <v>51.45</v>
      </c>
      <c r="I13" s="60">
        <v>1.05</v>
      </c>
      <c r="J13" s="60">
        <v>0.1</v>
      </c>
      <c r="K13" s="60">
        <v>291.19</v>
      </c>
      <c r="L13" s="60">
        <v>20.239999999999998</v>
      </c>
      <c r="M13" s="60">
        <v>49.38</v>
      </c>
      <c r="N13" s="60">
        <v>3.6</v>
      </c>
      <c r="O13" s="60">
        <v>0</v>
      </c>
      <c r="P13" s="60">
        <v>1.77</v>
      </c>
      <c r="Q13" s="60">
        <v>33.72</v>
      </c>
      <c r="S13" s="198"/>
      <c r="T13" s="198"/>
      <c r="U13" s="198"/>
    </row>
    <row r="14" spans="1:21" s="12" customFormat="1" x14ac:dyDescent="0.25">
      <c r="A14" s="201" t="s">
        <v>2365</v>
      </c>
      <c r="B14" s="60">
        <v>102.15</v>
      </c>
      <c r="C14" s="60">
        <v>118.05</v>
      </c>
      <c r="D14" s="60">
        <v>147.07</v>
      </c>
      <c r="E14" s="60">
        <v>3.91</v>
      </c>
      <c r="F14" s="60">
        <v>0.06</v>
      </c>
      <c r="G14" s="60">
        <v>146.52000000000001</v>
      </c>
      <c r="H14" s="60">
        <v>51.45</v>
      </c>
      <c r="I14" s="60">
        <v>0.97</v>
      </c>
      <c r="J14" s="60">
        <v>0.04</v>
      </c>
      <c r="K14" s="60">
        <v>19.48</v>
      </c>
      <c r="L14" s="60">
        <v>19.73</v>
      </c>
      <c r="M14" s="60">
        <v>52.75</v>
      </c>
      <c r="N14" s="60">
        <v>4.5</v>
      </c>
      <c r="O14" s="60">
        <v>0</v>
      </c>
      <c r="P14" s="60">
        <v>1.81</v>
      </c>
      <c r="Q14" s="60">
        <v>33.229999999999997</v>
      </c>
      <c r="S14" s="198"/>
      <c r="T14" s="198"/>
      <c r="U14" s="198"/>
    </row>
    <row r="15" spans="1:21" s="12" customFormat="1" x14ac:dyDescent="0.25">
      <c r="A15" s="201" t="s">
        <v>2366</v>
      </c>
      <c r="B15" s="60">
        <v>95.46</v>
      </c>
      <c r="C15" s="60">
        <v>115.09</v>
      </c>
      <c r="D15" s="60">
        <v>140.07</v>
      </c>
      <c r="E15" s="60">
        <v>3.68</v>
      </c>
      <c r="F15" s="60">
        <v>0.04</v>
      </c>
      <c r="G15" s="60">
        <v>147.5</v>
      </c>
      <c r="H15" s="60">
        <v>53.26</v>
      </c>
      <c r="I15" s="60">
        <v>0.99</v>
      </c>
      <c r="J15" s="60">
        <v>0.02</v>
      </c>
      <c r="K15" s="60">
        <v>202.91</v>
      </c>
      <c r="L15" s="60">
        <v>19.41</v>
      </c>
      <c r="M15" s="60">
        <v>52.4</v>
      </c>
      <c r="N15" s="60">
        <v>4.3</v>
      </c>
      <c r="O15" s="60">
        <v>0</v>
      </c>
      <c r="P15" s="60">
        <v>1.77</v>
      </c>
      <c r="Q15" s="60">
        <v>32.61</v>
      </c>
      <c r="S15" s="198"/>
      <c r="T15" s="198"/>
      <c r="U15" s="198"/>
    </row>
    <row r="16" spans="1:21" s="12" customFormat="1" x14ac:dyDescent="0.25">
      <c r="A16" s="201" t="s">
        <v>2367</v>
      </c>
      <c r="B16" s="60">
        <v>92.76</v>
      </c>
      <c r="C16" s="60">
        <v>114.48</v>
      </c>
      <c r="D16" s="60">
        <v>137.57</v>
      </c>
      <c r="E16" s="60">
        <v>4.2300000000000004</v>
      </c>
      <c r="F16" s="215" t="s">
        <v>42</v>
      </c>
      <c r="G16" s="60">
        <v>147.99</v>
      </c>
      <c r="H16" s="60">
        <v>54.12</v>
      </c>
      <c r="I16" s="60">
        <v>0.94</v>
      </c>
      <c r="J16" s="60">
        <v>0.01</v>
      </c>
      <c r="K16" s="60">
        <v>2.63</v>
      </c>
      <c r="L16" s="60">
        <v>19.23</v>
      </c>
      <c r="M16" s="60">
        <v>54.85</v>
      </c>
      <c r="N16" s="60">
        <v>4.5</v>
      </c>
      <c r="O16" s="60">
        <v>0</v>
      </c>
      <c r="P16" s="60">
        <v>1.74</v>
      </c>
      <c r="Q16" s="60">
        <v>32.32</v>
      </c>
      <c r="S16" s="198"/>
      <c r="T16" s="198"/>
      <c r="U16" s="198"/>
    </row>
    <row r="17" spans="1:21" s="12" customFormat="1" x14ac:dyDescent="0.25">
      <c r="A17" s="201" t="s">
        <v>2368</v>
      </c>
      <c r="B17" s="60">
        <v>91.02</v>
      </c>
      <c r="C17" s="60">
        <v>113.87</v>
      </c>
      <c r="D17" s="60">
        <v>135.83000000000001</v>
      </c>
      <c r="E17" s="60">
        <v>4.46</v>
      </c>
      <c r="F17" s="215" t="s">
        <v>42</v>
      </c>
      <c r="G17" s="60">
        <v>147.99</v>
      </c>
      <c r="H17" s="60">
        <v>54.12</v>
      </c>
      <c r="I17" s="60">
        <v>0.9</v>
      </c>
      <c r="J17" s="60">
        <v>0.1</v>
      </c>
      <c r="K17" s="60">
        <v>123.5</v>
      </c>
      <c r="L17" s="60">
        <v>19.14</v>
      </c>
      <c r="M17" s="60">
        <v>54.79</v>
      </c>
      <c r="N17" s="60">
        <v>3.8</v>
      </c>
      <c r="O17" s="60">
        <v>0</v>
      </c>
      <c r="P17" s="60">
        <v>1.73</v>
      </c>
      <c r="Q17" s="60">
        <v>32.299999999999997</v>
      </c>
      <c r="S17" s="198"/>
      <c r="T17" s="198"/>
      <c r="U17" s="198"/>
    </row>
    <row r="18" spans="1:21" s="12" customFormat="1" x14ac:dyDescent="0.25">
      <c r="A18" s="201" t="s">
        <v>2369</v>
      </c>
      <c r="B18" s="60">
        <v>84.36</v>
      </c>
      <c r="C18" s="60">
        <v>112.45</v>
      </c>
      <c r="D18" s="60">
        <v>129.71</v>
      </c>
      <c r="E18" s="60">
        <v>4.04</v>
      </c>
      <c r="F18" s="215" t="s">
        <v>42</v>
      </c>
      <c r="G18" s="60">
        <v>147.99</v>
      </c>
      <c r="H18" s="60">
        <v>54.12</v>
      </c>
      <c r="I18" s="60">
        <v>0.9</v>
      </c>
      <c r="J18" s="60">
        <v>0.1</v>
      </c>
      <c r="K18" s="60">
        <v>333.83</v>
      </c>
      <c r="L18" s="60">
        <v>19.13</v>
      </c>
      <c r="M18" s="60">
        <v>55.62</v>
      </c>
      <c r="N18" s="60">
        <v>4.0999999999999996</v>
      </c>
      <c r="O18" s="60">
        <v>0</v>
      </c>
      <c r="P18" s="60">
        <v>1.69</v>
      </c>
      <c r="Q18" s="60">
        <v>32.229999999999997</v>
      </c>
      <c r="S18" s="198"/>
      <c r="T18" s="198"/>
      <c r="U18" s="198"/>
    </row>
    <row r="19" spans="1:21" s="12" customFormat="1" x14ac:dyDescent="0.25">
      <c r="A19" s="201" t="s">
        <v>2370</v>
      </c>
      <c r="B19" s="60">
        <v>84.05</v>
      </c>
      <c r="C19" s="60">
        <v>111.2</v>
      </c>
      <c r="D19" s="60">
        <v>128.77000000000001</v>
      </c>
      <c r="E19" s="60">
        <v>3.37</v>
      </c>
      <c r="F19" s="60">
        <v>0.01</v>
      </c>
      <c r="G19" s="60">
        <v>117.25</v>
      </c>
      <c r="H19" s="60">
        <v>53.48</v>
      </c>
      <c r="I19" s="60">
        <v>0.9</v>
      </c>
      <c r="J19" s="60">
        <v>0.14000000000000001</v>
      </c>
      <c r="K19" s="60">
        <v>3.08</v>
      </c>
      <c r="L19" s="60">
        <v>18.7</v>
      </c>
      <c r="M19" s="60">
        <v>58.75</v>
      </c>
      <c r="N19" s="60">
        <v>4.4000000000000004</v>
      </c>
      <c r="O19" s="60">
        <v>0</v>
      </c>
      <c r="P19" s="60">
        <v>1.67</v>
      </c>
      <c r="Q19" s="60">
        <v>32.049999999999997</v>
      </c>
      <c r="S19" s="198"/>
      <c r="T19" s="198"/>
      <c r="U19" s="198"/>
    </row>
    <row r="20" spans="1:21" s="12" customFormat="1" x14ac:dyDescent="0.25">
      <c r="A20" s="201" t="s">
        <v>2371</v>
      </c>
      <c r="B20" s="60">
        <v>81.95</v>
      </c>
      <c r="C20" s="60">
        <v>108.2</v>
      </c>
      <c r="D20" s="60">
        <v>125.43</v>
      </c>
      <c r="E20" s="60">
        <v>4.1399999999999997</v>
      </c>
      <c r="F20" s="6" t="s">
        <v>42</v>
      </c>
      <c r="G20" s="60">
        <v>101.88</v>
      </c>
      <c r="H20" s="60">
        <v>53.17</v>
      </c>
      <c r="I20" s="60">
        <v>0.89</v>
      </c>
      <c r="J20" s="60">
        <v>0.06</v>
      </c>
      <c r="K20" s="60">
        <v>143.85</v>
      </c>
      <c r="L20" s="60">
        <v>18.48</v>
      </c>
      <c r="M20" s="60">
        <v>59.41</v>
      </c>
      <c r="N20" s="60">
        <v>4.2</v>
      </c>
      <c r="O20" s="60">
        <v>0</v>
      </c>
      <c r="P20" s="60">
        <v>1.65</v>
      </c>
      <c r="Q20" s="60">
        <v>31.91</v>
      </c>
      <c r="S20" s="198"/>
      <c r="T20" s="198"/>
      <c r="U20" s="198"/>
    </row>
    <row r="21" spans="1:21" s="12" customFormat="1" x14ac:dyDescent="0.25">
      <c r="A21" s="201" t="s">
        <v>2372</v>
      </c>
      <c r="B21" s="60">
        <v>79.650000000000006</v>
      </c>
      <c r="C21" s="60">
        <v>109.04</v>
      </c>
      <c r="D21" s="60">
        <v>124.05</v>
      </c>
      <c r="E21" s="60">
        <v>3.98</v>
      </c>
      <c r="F21" s="60">
        <v>0.02</v>
      </c>
      <c r="G21" s="60">
        <v>101.88</v>
      </c>
      <c r="H21" s="60">
        <v>53.17</v>
      </c>
      <c r="I21" s="60">
        <v>0.89</v>
      </c>
      <c r="J21" s="60">
        <v>0.04</v>
      </c>
      <c r="K21" s="60">
        <v>107.98</v>
      </c>
      <c r="L21" s="60">
        <v>18.47</v>
      </c>
      <c r="M21" s="60">
        <v>59.88</v>
      </c>
      <c r="N21" s="60">
        <v>4.4000000000000004</v>
      </c>
      <c r="O21" s="60">
        <v>0</v>
      </c>
      <c r="P21" s="60">
        <v>1.62</v>
      </c>
      <c r="Q21" s="60">
        <v>31.84</v>
      </c>
      <c r="S21" s="198"/>
      <c r="T21" s="198"/>
      <c r="U21" s="198"/>
    </row>
    <row r="22" spans="1:21" s="12" customFormat="1" x14ac:dyDescent="0.25">
      <c r="A22" s="201" t="s">
        <v>2373</v>
      </c>
      <c r="B22" s="60">
        <v>78.72</v>
      </c>
      <c r="C22" s="60">
        <v>108.65</v>
      </c>
      <c r="D22" s="60">
        <v>123.09</v>
      </c>
      <c r="E22" s="60">
        <v>3.61</v>
      </c>
      <c r="F22" s="60">
        <v>0.04</v>
      </c>
      <c r="G22" s="60">
        <v>101.88</v>
      </c>
      <c r="H22" s="60">
        <v>53.17</v>
      </c>
      <c r="I22" s="60">
        <v>0.88</v>
      </c>
      <c r="J22" s="60">
        <v>0.06</v>
      </c>
      <c r="K22" s="60">
        <v>331.98</v>
      </c>
      <c r="L22" s="60">
        <v>18.37</v>
      </c>
      <c r="M22" s="60">
        <v>60.57</v>
      </c>
      <c r="N22" s="60">
        <v>4.2</v>
      </c>
      <c r="O22" s="60">
        <v>0</v>
      </c>
      <c r="P22" s="60">
        <v>1.59</v>
      </c>
      <c r="Q22" s="60">
        <v>32.26</v>
      </c>
      <c r="S22" s="198"/>
      <c r="T22" s="198"/>
      <c r="U22" s="198"/>
    </row>
    <row r="23" spans="1:21" s="12" customFormat="1" x14ac:dyDescent="0.25">
      <c r="A23" s="201" t="s">
        <v>2374</v>
      </c>
      <c r="B23" s="60">
        <v>77.569999999999993</v>
      </c>
      <c r="C23" s="60">
        <v>107.81</v>
      </c>
      <c r="D23" s="60">
        <v>121.71</v>
      </c>
      <c r="E23" s="60">
        <v>3.9</v>
      </c>
      <c r="F23" s="60">
        <v>0.04</v>
      </c>
      <c r="G23" s="60">
        <v>110.49</v>
      </c>
      <c r="H23" s="60">
        <v>50.13</v>
      </c>
      <c r="I23" s="60">
        <v>0.88</v>
      </c>
      <c r="J23" s="60">
        <v>0.14000000000000001</v>
      </c>
      <c r="K23" s="60">
        <v>8.85</v>
      </c>
      <c r="L23" s="60">
        <v>18.09</v>
      </c>
      <c r="M23" s="60">
        <v>63.6</v>
      </c>
      <c r="N23" s="60">
        <v>4.4000000000000004</v>
      </c>
      <c r="O23" s="60">
        <v>0</v>
      </c>
      <c r="P23" s="60">
        <v>1.54</v>
      </c>
      <c r="Q23" s="60">
        <v>32.51</v>
      </c>
      <c r="S23" s="198"/>
      <c r="T23" s="198"/>
      <c r="U23" s="198"/>
    </row>
    <row r="24" spans="1:21" s="12" customFormat="1" x14ac:dyDescent="0.25">
      <c r="A24" s="201" t="s">
        <v>2375</v>
      </c>
      <c r="B24" s="60">
        <v>75.760000000000005</v>
      </c>
      <c r="C24" s="60">
        <v>107.1</v>
      </c>
      <c r="D24" s="60">
        <v>119.86</v>
      </c>
      <c r="E24" s="60">
        <v>3.2</v>
      </c>
      <c r="F24" s="215" t="s">
        <v>42</v>
      </c>
      <c r="G24" s="60">
        <v>114.79</v>
      </c>
      <c r="H24" s="60">
        <v>48.61</v>
      </c>
      <c r="I24" s="60">
        <v>0.87</v>
      </c>
      <c r="J24" s="60">
        <v>0.31</v>
      </c>
      <c r="K24" s="60">
        <v>231.24</v>
      </c>
      <c r="L24" s="60">
        <v>18.760000000000002</v>
      </c>
      <c r="M24" s="60">
        <v>59.07</v>
      </c>
      <c r="N24" s="60">
        <v>2.8</v>
      </c>
      <c r="O24" s="60">
        <v>0</v>
      </c>
      <c r="P24" s="60">
        <v>1.52</v>
      </c>
      <c r="Q24" s="60">
        <v>32.61</v>
      </c>
      <c r="S24" s="198"/>
      <c r="T24" s="198"/>
      <c r="U24" s="198"/>
    </row>
    <row r="25" spans="1:21" s="12" customFormat="1" x14ac:dyDescent="0.25">
      <c r="A25" s="201" t="s">
        <v>2376</v>
      </c>
      <c r="B25" s="60">
        <v>72.75</v>
      </c>
      <c r="C25" s="60">
        <v>106.76</v>
      </c>
      <c r="D25" s="60">
        <v>117.26</v>
      </c>
      <c r="E25" s="60">
        <v>4.5</v>
      </c>
      <c r="F25" s="215" t="s">
        <v>42</v>
      </c>
      <c r="G25" s="60">
        <v>114.79</v>
      </c>
      <c r="H25" s="60">
        <v>48.61</v>
      </c>
      <c r="I25" s="60">
        <v>0.85</v>
      </c>
      <c r="J25" s="60">
        <v>0.13</v>
      </c>
      <c r="K25" s="60">
        <v>348.51</v>
      </c>
      <c r="L25" s="60">
        <v>18.989999999999998</v>
      </c>
      <c r="M25" s="60">
        <v>57.09</v>
      </c>
      <c r="N25" s="60">
        <v>4.0999999999999996</v>
      </c>
      <c r="O25" s="60">
        <v>0</v>
      </c>
      <c r="P25" s="60">
        <v>1.49</v>
      </c>
      <c r="Q25" s="60">
        <v>32.35</v>
      </c>
      <c r="S25" s="198"/>
      <c r="T25" s="198"/>
      <c r="U25" s="198"/>
    </row>
    <row r="26" spans="1:21" s="12" customFormat="1" x14ac:dyDescent="0.25">
      <c r="A26" s="201" t="s">
        <v>2377</v>
      </c>
      <c r="B26" s="60">
        <v>70.02</v>
      </c>
      <c r="C26" s="60">
        <v>106.64</v>
      </c>
      <c r="D26" s="60">
        <v>115</v>
      </c>
      <c r="E26" s="60">
        <v>4.5</v>
      </c>
      <c r="F26" s="215" t="s">
        <v>42</v>
      </c>
      <c r="G26" s="60">
        <v>114.79</v>
      </c>
      <c r="H26" s="60">
        <v>48.61</v>
      </c>
      <c r="I26" s="60">
        <v>0.84</v>
      </c>
      <c r="J26" s="60">
        <v>0.2</v>
      </c>
      <c r="K26" s="60">
        <v>262.88</v>
      </c>
      <c r="L26" s="60">
        <v>18.54</v>
      </c>
      <c r="M26" s="60">
        <v>58.4</v>
      </c>
      <c r="N26" s="60">
        <v>4</v>
      </c>
      <c r="O26" s="60">
        <v>0</v>
      </c>
      <c r="P26" s="60">
        <v>1.46</v>
      </c>
      <c r="Q26" s="60">
        <v>31.95</v>
      </c>
      <c r="S26" s="198"/>
      <c r="T26" s="198"/>
      <c r="U26" s="198"/>
    </row>
    <row r="27" spans="1:21" s="12" customFormat="1" x14ac:dyDescent="0.25">
      <c r="A27" s="201" t="s">
        <v>2378</v>
      </c>
      <c r="B27" s="60">
        <v>68.540000000000006</v>
      </c>
      <c r="C27" s="60">
        <v>106.53</v>
      </c>
      <c r="D27" s="60">
        <v>113.75</v>
      </c>
      <c r="E27" s="60">
        <v>5.03</v>
      </c>
      <c r="F27" s="215" t="s">
        <v>42</v>
      </c>
      <c r="G27" s="60">
        <v>104.67</v>
      </c>
      <c r="H27" s="60">
        <v>47.23</v>
      </c>
      <c r="I27" s="60">
        <v>0.83</v>
      </c>
      <c r="J27" s="60">
        <v>0.3</v>
      </c>
      <c r="K27" s="60">
        <v>236.62</v>
      </c>
      <c r="L27" s="60">
        <v>18.68</v>
      </c>
      <c r="M27" s="60">
        <v>59.18</v>
      </c>
      <c r="N27" s="60">
        <v>3.5</v>
      </c>
      <c r="O27" s="60">
        <v>0</v>
      </c>
      <c r="P27" s="60">
        <v>1.43</v>
      </c>
      <c r="Q27" s="60">
        <v>31.59</v>
      </c>
      <c r="S27" s="198"/>
      <c r="T27" s="198"/>
      <c r="U27" s="198"/>
    </row>
    <row r="28" spans="1:21" s="12" customFormat="1" x14ac:dyDescent="0.25">
      <c r="A28" s="201" t="s">
        <v>2379</v>
      </c>
      <c r="B28" s="60">
        <v>68.400000000000006</v>
      </c>
      <c r="C28" s="60">
        <v>106.26</v>
      </c>
      <c r="D28" s="60">
        <v>113.49</v>
      </c>
      <c r="E28" s="60">
        <v>5.01</v>
      </c>
      <c r="F28" s="60">
        <v>0.01</v>
      </c>
      <c r="G28" s="60">
        <v>99.62</v>
      </c>
      <c r="H28" s="60">
        <v>46.54</v>
      </c>
      <c r="I28" s="60">
        <v>0.81</v>
      </c>
      <c r="J28" s="60">
        <v>0.28999999999999998</v>
      </c>
      <c r="K28" s="60">
        <v>199.73</v>
      </c>
      <c r="L28" s="60">
        <v>19.059999999999999</v>
      </c>
      <c r="M28" s="60">
        <v>55.97</v>
      </c>
      <c r="N28" s="60">
        <v>3.2</v>
      </c>
      <c r="O28" s="60">
        <v>0</v>
      </c>
      <c r="P28" s="60">
        <v>1.4</v>
      </c>
      <c r="Q28" s="60">
        <v>31.45</v>
      </c>
      <c r="S28" s="198"/>
      <c r="T28" s="198"/>
      <c r="U28" s="198"/>
    </row>
    <row r="29" spans="1:21" s="12" customFormat="1" x14ac:dyDescent="0.25">
      <c r="A29" s="201" t="s">
        <v>2380</v>
      </c>
      <c r="B29" s="60">
        <v>63.72</v>
      </c>
      <c r="C29" s="60">
        <v>103.81</v>
      </c>
      <c r="D29" s="60">
        <v>108.39</v>
      </c>
      <c r="E29" s="60">
        <v>4.88</v>
      </c>
      <c r="F29" s="60">
        <v>0.04</v>
      </c>
      <c r="G29" s="60">
        <v>99.62</v>
      </c>
      <c r="H29" s="60">
        <v>46.54</v>
      </c>
      <c r="I29" s="60">
        <v>0.8</v>
      </c>
      <c r="J29" s="60">
        <v>0.15</v>
      </c>
      <c r="K29" s="60">
        <v>330.44</v>
      </c>
      <c r="L29" s="60">
        <v>18.510000000000002</v>
      </c>
      <c r="M29" s="60">
        <v>59.55</v>
      </c>
      <c r="N29" s="60">
        <v>4.5999999999999996</v>
      </c>
      <c r="O29" s="60">
        <v>0</v>
      </c>
      <c r="P29" s="60">
        <v>1.36</v>
      </c>
      <c r="Q29" s="60">
        <v>30.98</v>
      </c>
      <c r="S29" s="198"/>
      <c r="T29" s="198"/>
      <c r="U29" s="198"/>
    </row>
    <row r="30" spans="1:21" s="12" customFormat="1" x14ac:dyDescent="0.25">
      <c r="A30" s="201" t="s">
        <v>2381</v>
      </c>
      <c r="B30" s="60">
        <v>64.73</v>
      </c>
      <c r="C30" s="60">
        <v>105.19</v>
      </c>
      <c r="D30" s="60">
        <v>109.96</v>
      </c>
      <c r="E30" s="60">
        <v>4.7300000000000004</v>
      </c>
      <c r="F30" s="6" t="s">
        <v>42</v>
      </c>
      <c r="G30" s="60">
        <v>99.62</v>
      </c>
      <c r="H30" s="60">
        <v>46.54</v>
      </c>
      <c r="I30" s="60">
        <v>0.79</v>
      </c>
      <c r="J30" s="60">
        <v>0.14000000000000001</v>
      </c>
      <c r="K30" s="60">
        <v>297.93</v>
      </c>
      <c r="L30" s="60">
        <v>17.670000000000002</v>
      </c>
      <c r="M30" s="60">
        <v>63.53</v>
      </c>
      <c r="N30" s="60">
        <v>4.5999999999999996</v>
      </c>
      <c r="O30" s="60">
        <v>0</v>
      </c>
      <c r="P30" s="60">
        <v>1.35</v>
      </c>
      <c r="Q30" s="60">
        <v>30.53</v>
      </c>
      <c r="S30" s="198"/>
      <c r="T30" s="198"/>
      <c r="U30" s="198"/>
    </row>
    <row r="31" spans="1:21" s="12" customFormat="1" x14ac:dyDescent="0.25">
      <c r="A31" s="201" t="s">
        <v>2382</v>
      </c>
      <c r="B31" s="60">
        <v>65.03</v>
      </c>
      <c r="C31" s="60">
        <v>105.22</v>
      </c>
      <c r="D31" s="60">
        <v>110.22</v>
      </c>
      <c r="E31" s="60">
        <v>4.58</v>
      </c>
      <c r="F31" s="60">
        <v>0.01</v>
      </c>
      <c r="G31" s="60">
        <v>94.88</v>
      </c>
      <c r="H31" s="60">
        <v>44.53</v>
      </c>
      <c r="I31" s="60">
        <v>0.78</v>
      </c>
      <c r="J31" s="60">
        <v>0.09</v>
      </c>
      <c r="K31" s="60">
        <v>294.86</v>
      </c>
      <c r="L31" s="60">
        <v>17.41</v>
      </c>
      <c r="M31" s="60">
        <v>63.05</v>
      </c>
      <c r="N31" s="60">
        <v>4.4000000000000004</v>
      </c>
      <c r="O31" s="60">
        <v>0</v>
      </c>
      <c r="P31" s="60">
        <v>1.33</v>
      </c>
      <c r="Q31" s="60">
        <v>30.54</v>
      </c>
      <c r="S31" s="198"/>
      <c r="T31" s="198"/>
      <c r="U31" s="198"/>
    </row>
    <row r="32" spans="1:21" s="12" customFormat="1" x14ac:dyDescent="0.25">
      <c r="A32" s="201" t="s">
        <v>2383</v>
      </c>
      <c r="B32" s="60">
        <v>65.47</v>
      </c>
      <c r="C32" s="60">
        <v>105.11</v>
      </c>
      <c r="D32" s="60">
        <v>110.51</v>
      </c>
      <c r="E32" s="60">
        <v>4.82</v>
      </c>
      <c r="F32" s="215" t="s">
        <v>42</v>
      </c>
      <c r="G32" s="60">
        <v>92.5</v>
      </c>
      <c r="H32" s="60">
        <v>43.52</v>
      </c>
      <c r="I32" s="60">
        <v>0.79</v>
      </c>
      <c r="J32" s="60">
        <v>0.1</v>
      </c>
      <c r="K32" s="60">
        <v>307.02999999999997</v>
      </c>
      <c r="L32" s="60">
        <v>17.260000000000002</v>
      </c>
      <c r="M32" s="60">
        <v>63.89</v>
      </c>
      <c r="N32" s="60">
        <v>4.5</v>
      </c>
      <c r="O32" s="60">
        <v>0</v>
      </c>
      <c r="P32" s="60">
        <v>1.33</v>
      </c>
      <c r="Q32" s="60">
        <v>30.54</v>
      </c>
      <c r="S32" s="198"/>
      <c r="T32" s="198"/>
      <c r="U32" s="198"/>
    </row>
    <row r="33" spans="1:21" s="12" customFormat="1" x14ac:dyDescent="0.25">
      <c r="A33" s="201" t="s">
        <v>2384</v>
      </c>
      <c r="B33" s="60">
        <v>66.95</v>
      </c>
      <c r="C33" s="60">
        <v>105.03</v>
      </c>
      <c r="D33" s="60">
        <v>111.66</v>
      </c>
      <c r="E33" s="60">
        <v>4.3</v>
      </c>
      <c r="F33" s="215" t="s">
        <v>42</v>
      </c>
      <c r="G33" s="60">
        <v>92.5</v>
      </c>
      <c r="H33" s="60">
        <v>43.52</v>
      </c>
      <c r="I33" s="60">
        <v>0.79</v>
      </c>
      <c r="J33" s="60">
        <v>0.03</v>
      </c>
      <c r="K33" s="60">
        <v>275.72000000000003</v>
      </c>
      <c r="L33" s="60">
        <v>17.27</v>
      </c>
      <c r="M33" s="60">
        <v>61.41</v>
      </c>
      <c r="N33" s="60">
        <v>4.4000000000000004</v>
      </c>
      <c r="O33" s="60">
        <v>0</v>
      </c>
      <c r="P33" s="60">
        <v>1.33</v>
      </c>
      <c r="Q33" s="60">
        <v>30.42</v>
      </c>
      <c r="S33" s="198"/>
      <c r="T33" s="198"/>
      <c r="U33" s="198"/>
    </row>
    <row r="34" spans="1:21" s="12" customFormat="1" x14ac:dyDescent="0.25">
      <c r="A34" s="201" t="s">
        <v>2385</v>
      </c>
      <c r="B34" s="60">
        <v>67.069999999999993</v>
      </c>
      <c r="C34" s="60">
        <v>104.93</v>
      </c>
      <c r="D34" s="60">
        <v>111.69</v>
      </c>
      <c r="E34" s="60">
        <v>4.91</v>
      </c>
      <c r="F34" s="215" t="s">
        <v>42</v>
      </c>
      <c r="G34" s="60">
        <v>92.5</v>
      </c>
      <c r="H34" s="60">
        <v>43.52</v>
      </c>
      <c r="I34" s="60">
        <v>0.79</v>
      </c>
      <c r="J34" s="60">
        <v>0.17</v>
      </c>
      <c r="K34" s="60">
        <v>343.12</v>
      </c>
      <c r="L34" s="60">
        <v>17.78</v>
      </c>
      <c r="M34" s="60">
        <v>59.49</v>
      </c>
      <c r="N34" s="60">
        <v>7.2</v>
      </c>
      <c r="O34" s="60">
        <v>0</v>
      </c>
      <c r="P34" s="60">
        <v>1.31</v>
      </c>
      <c r="Q34" s="60">
        <v>30.38</v>
      </c>
      <c r="S34" s="198"/>
      <c r="T34" s="198"/>
      <c r="U34" s="198"/>
    </row>
    <row r="35" spans="1:21" s="12" customFormat="1" x14ac:dyDescent="0.25">
      <c r="A35" s="201" t="s">
        <v>2386</v>
      </c>
      <c r="B35" s="60">
        <v>67.19</v>
      </c>
      <c r="C35" s="60">
        <v>105.12</v>
      </c>
      <c r="D35" s="60">
        <v>111.89</v>
      </c>
      <c r="E35" s="60">
        <v>4.9800000000000004</v>
      </c>
      <c r="F35" s="215" t="s">
        <v>42</v>
      </c>
      <c r="G35" s="60">
        <v>96.89</v>
      </c>
      <c r="H35" s="60">
        <v>43.09</v>
      </c>
      <c r="I35" s="60">
        <v>0.78</v>
      </c>
      <c r="J35" s="60">
        <v>0.12</v>
      </c>
      <c r="K35" s="60">
        <v>356.88</v>
      </c>
      <c r="L35" s="60">
        <v>17.329999999999998</v>
      </c>
      <c r="M35" s="60">
        <v>62.7</v>
      </c>
      <c r="N35" s="60">
        <v>17.3</v>
      </c>
      <c r="O35" s="60">
        <v>0</v>
      </c>
      <c r="P35" s="60">
        <v>1.3</v>
      </c>
      <c r="Q35" s="60">
        <v>30.25</v>
      </c>
      <c r="S35" s="198"/>
      <c r="T35" s="198"/>
      <c r="U35" s="198"/>
    </row>
    <row r="36" spans="1:21" s="12" customFormat="1" x14ac:dyDescent="0.25">
      <c r="A36" s="201" t="s">
        <v>2387</v>
      </c>
      <c r="B36" s="60">
        <v>67.11</v>
      </c>
      <c r="C36" s="60">
        <v>105.03</v>
      </c>
      <c r="D36" s="60">
        <v>111.78</v>
      </c>
      <c r="E36" s="60">
        <v>4.45</v>
      </c>
      <c r="F36" s="215" t="s">
        <v>42</v>
      </c>
      <c r="G36" s="60">
        <v>98.97</v>
      </c>
      <c r="H36" s="60">
        <v>42.88</v>
      </c>
      <c r="I36" s="60">
        <v>0.77</v>
      </c>
      <c r="J36" s="60">
        <v>0.11</v>
      </c>
      <c r="K36" s="60">
        <v>327.98</v>
      </c>
      <c r="L36" s="60">
        <v>17.64</v>
      </c>
      <c r="M36" s="60">
        <v>61.06</v>
      </c>
      <c r="N36" s="60">
        <v>29.9</v>
      </c>
      <c r="O36" s="60">
        <v>0</v>
      </c>
      <c r="P36" s="60">
        <v>1.3</v>
      </c>
      <c r="Q36" s="60">
        <v>30.42</v>
      </c>
      <c r="S36" s="198"/>
      <c r="T36" s="198"/>
      <c r="U36" s="198"/>
    </row>
    <row r="37" spans="1:21" s="12" customFormat="1" x14ac:dyDescent="0.25">
      <c r="A37" s="201" t="s">
        <v>2388</v>
      </c>
      <c r="B37" s="60">
        <v>65.67</v>
      </c>
      <c r="C37" s="60">
        <v>104.84</v>
      </c>
      <c r="D37" s="60">
        <v>110.52</v>
      </c>
      <c r="E37" s="60">
        <v>4.63</v>
      </c>
      <c r="F37" s="60">
        <v>0.02</v>
      </c>
      <c r="G37" s="60">
        <v>98.97</v>
      </c>
      <c r="H37" s="60">
        <v>42.88</v>
      </c>
      <c r="I37" s="60">
        <v>0.77</v>
      </c>
      <c r="J37" s="60">
        <v>0.1</v>
      </c>
      <c r="K37" s="60">
        <v>180.94</v>
      </c>
      <c r="L37" s="60">
        <v>18.899999999999999</v>
      </c>
      <c r="M37" s="60">
        <v>57.45</v>
      </c>
      <c r="N37" s="60">
        <v>101.7</v>
      </c>
      <c r="O37" s="60">
        <v>0</v>
      </c>
      <c r="P37" s="60">
        <v>1.22</v>
      </c>
      <c r="Q37" s="60">
        <v>31.2</v>
      </c>
      <c r="S37" s="198"/>
      <c r="T37" s="198"/>
      <c r="U37" s="198"/>
    </row>
    <row r="38" spans="1:21" s="12" customFormat="1" x14ac:dyDescent="0.25">
      <c r="A38" s="201" t="s">
        <v>2389</v>
      </c>
      <c r="B38" s="60">
        <v>62.23</v>
      </c>
      <c r="C38" s="60">
        <v>104.43</v>
      </c>
      <c r="D38" s="60">
        <v>107.54</v>
      </c>
      <c r="E38" s="60">
        <v>5.27</v>
      </c>
      <c r="F38" s="60">
        <v>0.11</v>
      </c>
      <c r="G38" s="60">
        <v>98.97</v>
      </c>
      <c r="H38" s="60">
        <v>42.88</v>
      </c>
      <c r="I38" s="60">
        <v>0.77</v>
      </c>
      <c r="J38" s="60">
        <v>0.1</v>
      </c>
      <c r="K38" s="60">
        <v>174.78</v>
      </c>
      <c r="L38" s="60">
        <v>20.8</v>
      </c>
      <c r="M38" s="60">
        <v>54.07</v>
      </c>
      <c r="N38" s="60">
        <v>160.9</v>
      </c>
      <c r="O38" s="60">
        <v>0</v>
      </c>
      <c r="P38" s="60">
        <v>1.27</v>
      </c>
      <c r="Q38" s="60">
        <v>31.2</v>
      </c>
      <c r="S38" s="198"/>
      <c r="T38" s="198"/>
      <c r="U38" s="198"/>
    </row>
    <row r="39" spans="1:21" s="12" customFormat="1" x14ac:dyDescent="0.25">
      <c r="A39" s="201" t="s">
        <v>2390</v>
      </c>
      <c r="B39" s="60">
        <v>57.93</v>
      </c>
      <c r="C39" s="60">
        <v>104.18</v>
      </c>
      <c r="D39" s="60">
        <v>103.95</v>
      </c>
      <c r="E39" s="60">
        <v>5.07</v>
      </c>
      <c r="F39" s="60">
        <v>0.06</v>
      </c>
      <c r="G39" s="60">
        <v>87.6</v>
      </c>
      <c r="H39" s="60">
        <v>42.63</v>
      </c>
      <c r="I39" s="60">
        <v>0.76</v>
      </c>
      <c r="J39" s="60">
        <v>0.12</v>
      </c>
      <c r="K39" s="60">
        <v>9.4</v>
      </c>
      <c r="L39" s="60">
        <v>23.26</v>
      </c>
      <c r="M39" s="60">
        <v>46.57</v>
      </c>
      <c r="N39" s="60">
        <v>215</v>
      </c>
      <c r="O39" s="60">
        <v>0</v>
      </c>
      <c r="P39" s="60">
        <v>1.25</v>
      </c>
      <c r="Q39" s="60">
        <v>30.79</v>
      </c>
      <c r="S39" s="198"/>
      <c r="T39" s="198"/>
      <c r="U39" s="198"/>
    </row>
    <row r="40" spans="1:21" s="12" customFormat="1" x14ac:dyDescent="0.25">
      <c r="A40" s="201" t="s">
        <v>2391</v>
      </c>
      <c r="B40" s="60">
        <v>54.17</v>
      </c>
      <c r="C40" s="60">
        <v>105.27</v>
      </c>
      <c r="D40" s="60">
        <v>101.53</v>
      </c>
      <c r="E40" s="60">
        <v>2.5499999999999998</v>
      </c>
      <c r="F40" s="60">
        <v>0.08</v>
      </c>
      <c r="G40" s="60">
        <v>81.91</v>
      </c>
      <c r="H40" s="60">
        <v>42.51</v>
      </c>
      <c r="I40" s="60">
        <v>0.74</v>
      </c>
      <c r="J40" s="60">
        <v>0.16</v>
      </c>
      <c r="K40" s="60">
        <v>52.48</v>
      </c>
      <c r="L40" s="60">
        <v>25.01</v>
      </c>
      <c r="M40" s="60">
        <v>38.770000000000003</v>
      </c>
      <c r="N40" s="60">
        <v>234.3</v>
      </c>
      <c r="O40" s="60">
        <v>0</v>
      </c>
      <c r="P40" s="60">
        <v>1.24</v>
      </c>
      <c r="Q40" s="60">
        <v>30.43</v>
      </c>
      <c r="S40" s="198"/>
      <c r="T40" s="198"/>
      <c r="U40" s="198"/>
    </row>
    <row r="41" spans="1:21" s="12" customFormat="1" x14ac:dyDescent="0.25">
      <c r="A41" s="201" t="s">
        <v>2392</v>
      </c>
      <c r="B41" s="60">
        <v>50.18</v>
      </c>
      <c r="C41" s="60">
        <v>107.4</v>
      </c>
      <c r="D41" s="60">
        <v>99.51</v>
      </c>
      <c r="E41" s="60">
        <v>3.9</v>
      </c>
      <c r="F41" s="60">
        <v>0.05</v>
      </c>
      <c r="G41" s="60">
        <v>81.91</v>
      </c>
      <c r="H41" s="60">
        <v>42.51</v>
      </c>
      <c r="I41" s="60">
        <v>0.74</v>
      </c>
      <c r="J41" s="60">
        <v>0.08</v>
      </c>
      <c r="K41" s="60">
        <v>18.68</v>
      </c>
      <c r="L41" s="60">
        <v>25.27</v>
      </c>
      <c r="M41" s="60">
        <v>38.85</v>
      </c>
      <c r="N41" s="60">
        <v>271.60000000000002</v>
      </c>
      <c r="O41" s="60">
        <v>0</v>
      </c>
      <c r="P41" s="60">
        <v>1.24</v>
      </c>
      <c r="Q41" s="60">
        <v>30.43</v>
      </c>
      <c r="S41" s="198"/>
      <c r="T41" s="198"/>
      <c r="U41" s="198"/>
    </row>
    <row r="42" spans="1:21" s="12" customFormat="1" x14ac:dyDescent="0.25">
      <c r="A42" s="201" t="s">
        <v>2393</v>
      </c>
      <c r="B42" s="60">
        <v>46.32</v>
      </c>
      <c r="C42" s="60">
        <v>109.93</v>
      </c>
      <c r="D42" s="60">
        <v>97.81</v>
      </c>
      <c r="E42" s="60">
        <v>4.26</v>
      </c>
      <c r="F42" s="60">
        <v>0.09</v>
      </c>
      <c r="G42" s="60">
        <v>81.91</v>
      </c>
      <c r="H42" s="60">
        <v>42.51</v>
      </c>
      <c r="I42" s="60">
        <v>0.73</v>
      </c>
      <c r="J42" s="60">
        <v>0.3</v>
      </c>
      <c r="K42" s="60">
        <v>357.26</v>
      </c>
      <c r="L42" s="60">
        <v>27.4</v>
      </c>
      <c r="M42" s="60">
        <v>36.28</v>
      </c>
      <c r="N42" s="60">
        <v>315.89999999999998</v>
      </c>
      <c r="O42" s="60">
        <v>0</v>
      </c>
      <c r="P42" s="60">
        <v>1.23</v>
      </c>
      <c r="Q42" s="60">
        <v>30.34</v>
      </c>
      <c r="S42" s="198"/>
      <c r="T42" s="198"/>
      <c r="U42" s="198"/>
    </row>
    <row r="43" spans="1:21" s="12" customFormat="1" x14ac:dyDescent="0.25">
      <c r="A43" s="201" t="s">
        <v>2394</v>
      </c>
      <c r="B43" s="60">
        <v>43.71</v>
      </c>
      <c r="C43" s="60">
        <v>112.02</v>
      </c>
      <c r="D43" s="60">
        <v>96.87</v>
      </c>
      <c r="E43" s="60">
        <v>4.13</v>
      </c>
      <c r="F43" s="60">
        <v>0.13</v>
      </c>
      <c r="G43" s="60">
        <v>77.989999999999995</v>
      </c>
      <c r="H43" s="60">
        <v>40.130000000000003</v>
      </c>
      <c r="I43" s="60">
        <v>0.72</v>
      </c>
      <c r="J43" s="60">
        <v>0.28000000000000003</v>
      </c>
      <c r="K43" s="60">
        <v>7.25</v>
      </c>
      <c r="L43" s="60">
        <v>28.95</v>
      </c>
      <c r="M43" s="60">
        <v>32.590000000000003</v>
      </c>
      <c r="N43" s="60">
        <v>357</v>
      </c>
      <c r="O43" s="60">
        <v>0</v>
      </c>
      <c r="P43" s="60">
        <v>1.22</v>
      </c>
      <c r="Q43" s="60">
        <v>29.92</v>
      </c>
      <c r="S43" s="198"/>
      <c r="T43" s="198"/>
      <c r="U43" s="198"/>
    </row>
    <row r="44" spans="1:21" s="12" customFormat="1" x14ac:dyDescent="0.25">
      <c r="A44" s="201" t="s">
        <v>2395</v>
      </c>
      <c r="B44" s="60">
        <v>41.33</v>
      </c>
      <c r="C44" s="60">
        <v>113.33</v>
      </c>
      <c r="D44" s="60">
        <v>95.68</v>
      </c>
      <c r="E44" s="60">
        <v>4.2300000000000004</v>
      </c>
      <c r="F44" s="60">
        <v>0.21</v>
      </c>
      <c r="G44" s="60">
        <v>76.03</v>
      </c>
      <c r="H44" s="60">
        <v>38.94</v>
      </c>
      <c r="I44" s="60">
        <v>0.71</v>
      </c>
      <c r="J44" s="60">
        <v>0.28000000000000003</v>
      </c>
      <c r="K44" s="60">
        <v>355.81</v>
      </c>
      <c r="L44" s="60">
        <v>30.41</v>
      </c>
      <c r="M44" s="60">
        <v>29.34</v>
      </c>
      <c r="N44" s="60">
        <v>400.1</v>
      </c>
      <c r="O44" s="60">
        <v>0</v>
      </c>
      <c r="P44" s="60">
        <v>1.23</v>
      </c>
      <c r="Q44" s="60">
        <v>29.71</v>
      </c>
      <c r="S44" s="198"/>
      <c r="T44" s="198"/>
      <c r="U44" s="198"/>
    </row>
    <row r="45" spans="1:21" s="12" customFormat="1" x14ac:dyDescent="0.25">
      <c r="A45" s="201" t="s">
        <v>2396</v>
      </c>
      <c r="B45" s="60">
        <v>39.04</v>
      </c>
      <c r="C45" s="60">
        <v>114.48</v>
      </c>
      <c r="D45" s="60">
        <v>94.49</v>
      </c>
      <c r="E45" s="60">
        <v>4.28</v>
      </c>
      <c r="F45" s="60">
        <v>0.21</v>
      </c>
      <c r="G45" s="60">
        <v>76.03</v>
      </c>
      <c r="H45" s="60">
        <v>38.94</v>
      </c>
      <c r="I45" s="60">
        <v>0.71</v>
      </c>
      <c r="J45" s="60">
        <v>0.13</v>
      </c>
      <c r="K45" s="60">
        <v>257.43</v>
      </c>
      <c r="L45" s="60">
        <v>28.73</v>
      </c>
      <c r="M45" s="60">
        <v>28.94</v>
      </c>
      <c r="N45" s="60">
        <v>482.1</v>
      </c>
      <c r="O45" s="60">
        <v>0</v>
      </c>
      <c r="P45" s="60">
        <v>1.23</v>
      </c>
      <c r="Q45" s="60">
        <v>29.76</v>
      </c>
      <c r="S45" s="198"/>
      <c r="T45" s="198"/>
      <c r="U45" s="198"/>
    </row>
    <row r="46" spans="1:21" s="12" customFormat="1" x14ac:dyDescent="0.25">
      <c r="A46" s="201" t="s">
        <v>2397</v>
      </c>
      <c r="B46" s="60">
        <v>36.18</v>
      </c>
      <c r="C46" s="60">
        <v>114.69</v>
      </c>
      <c r="D46" s="60">
        <v>92.31</v>
      </c>
      <c r="E46" s="60">
        <v>4.42</v>
      </c>
      <c r="F46" s="60">
        <v>0.3</v>
      </c>
      <c r="G46" s="60">
        <v>76.03</v>
      </c>
      <c r="H46" s="60">
        <v>38.94</v>
      </c>
      <c r="I46" s="60">
        <v>0.71</v>
      </c>
      <c r="J46" s="60">
        <v>0.41</v>
      </c>
      <c r="K46" s="60">
        <v>2.73</v>
      </c>
      <c r="L46" s="60">
        <v>31.13</v>
      </c>
      <c r="M46" s="60">
        <v>25.23</v>
      </c>
      <c r="N46" s="60">
        <v>494.7</v>
      </c>
      <c r="O46" s="60">
        <v>0</v>
      </c>
      <c r="P46" s="60">
        <v>1.22</v>
      </c>
      <c r="Q46" s="60">
        <v>29.81</v>
      </c>
      <c r="S46" s="198"/>
      <c r="T46" s="198"/>
      <c r="U46" s="198"/>
    </row>
    <row r="47" spans="1:21" s="12" customFormat="1" x14ac:dyDescent="0.25">
      <c r="A47" s="201" t="s">
        <v>2398</v>
      </c>
      <c r="B47" s="60">
        <v>31.49</v>
      </c>
      <c r="C47" s="60">
        <v>110.26</v>
      </c>
      <c r="D47" s="60">
        <v>86.1</v>
      </c>
      <c r="E47" s="60">
        <v>5.09</v>
      </c>
      <c r="F47" s="60">
        <v>2.15</v>
      </c>
      <c r="G47" s="60">
        <v>71.06</v>
      </c>
      <c r="H47" s="60">
        <v>37.96</v>
      </c>
      <c r="I47" s="60">
        <v>0.71</v>
      </c>
      <c r="J47" s="60">
        <v>0.63</v>
      </c>
      <c r="K47" s="60">
        <v>357.82</v>
      </c>
      <c r="L47" s="60">
        <v>33.450000000000003</v>
      </c>
      <c r="M47" s="60">
        <v>21.8</v>
      </c>
      <c r="N47" s="60">
        <v>478</v>
      </c>
      <c r="O47" s="60">
        <v>0</v>
      </c>
      <c r="P47" s="60">
        <v>1.22</v>
      </c>
      <c r="Q47" s="60">
        <v>29.76</v>
      </c>
      <c r="S47" s="198"/>
      <c r="T47" s="198"/>
      <c r="U47" s="198"/>
    </row>
    <row r="48" spans="1:21" s="12" customFormat="1" x14ac:dyDescent="0.25">
      <c r="A48" s="201" t="s">
        <v>2399</v>
      </c>
      <c r="B48" s="60">
        <v>29.15</v>
      </c>
      <c r="C48" s="60">
        <v>111.18</v>
      </c>
      <c r="D48" s="60">
        <v>84.74</v>
      </c>
      <c r="E48" s="60">
        <v>5.0599999999999996</v>
      </c>
      <c r="F48" s="60">
        <v>2.5099999999999998</v>
      </c>
      <c r="G48" s="60">
        <v>68.569999999999993</v>
      </c>
      <c r="H48" s="60">
        <v>37.47</v>
      </c>
      <c r="I48" s="60">
        <v>0.71</v>
      </c>
      <c r="J48" s="60">
        <v>0.64</v>
      </c>
      <c r="K48" s="60">
        <v>6.18</v>
      </c>
      <c r="L48" s="60">
        <v>34.61</v>
      </c>
      <c r="M48" s="60">
        <v>20.010000000000002</v>
      </c>
      <c r="N48" s="60">
        <v>563.4</v>
      </c>
      <c r="O48" s="60">
        <v>0</v>
      </c>
      <c r="P48" s="60">
        <v>1.21</v>
      </c>
      <c r="Q48" s="60">
        <v>29.85</v>
      </c>
      <c r="S48" s="198"/>
      <c r="T48" s="198"/>
      <c r="U48" s="198"/>
    </row>
    <row r="49" spans="1:21" s="12" customFormat="1" x14ac:dyDescent="0.25">
      <c r="A49" s="201" t="s">
        <v>2400</v>
      </c>
      <c r="B49" s="60">
        <v>28.61</v>
      </c>
      <c r="C49" s="60">
        <v>113.53</v>
      </c>
      <c r="D49" s="60">
        <v>85.6</v>
      </c>
      <c r="E49" s="60">
        <v>5.07</v>
      </c>
      <c r="F49" s="60">
        <v>2.78</v>
      </c>
      <c r="G49" s="60">
        <v>68.569999999999993</v>
      </c>
      <c r="H49" s="60">
        <v>37.47</v>
      </c>
      <c r="I49" s="60">
        <v>0.71</v>
      </c>
      <c r="J49" s="60">
        <v>0.89</v>
      </c>
      <c r="K49" s="60">
        <v>5.03</v>
      </c>
      <c r="L49" s="60">
        <v>35.729999999999997</v>
      </c>
      <c r="M49" s="60">
        <v>17.84</v>
      </c>
      <c r="N49" s="60">
        <v>565.5</v>
      </c>
      <c r="O49" s="60">
        <v>0</v>
      </c>
      <c r="P49" s="60">
        <v>1.22</v>
      </c>
      <c r="Q49" s="60">
        <v>29.95</v>
      </c>
      <c r="S49" s="198"/>
      <c r="T49" s="198"/>
      <c r="U49" s="198"/>
    </row>
    <row r="50" spans="1:21" s="12" customFormat="1" x14ac:dyDescent="0.25">
      <c r="A50" s="201" t="s">
        <v>2401</v>
      </c>
      <c r="B50" s="60">
        <v>26.77</v>
      </c>
      <c r="C50" s="60">
        <v>116.36</v>
      </c>
      <c r="D50" s="60">
        <v>85.68</v>
      </c>
      <c r="E50" s="60">
        <v>5.21</v>
      </c>
      <c r="F50" s="60">
        <v>2.2000000000000002</v>
      </c>
      <c r="G50" s="60">
        <v>68.569999999999993</v>
      </c>
      <c r="H50" s="60">
        <v>37.47</v>
      </c>
      <c r="I50" s="60">
        <v>0.72</v>
      </c>
      <c r="J50" s="60">
        <v>0.8</v>
      </c>
      <c r="K50" s="60">
        <v>1.28</v>
      </c>
      <c r="L50" s="60">
        <v>36.869999999999997</v>
      </c>
      <c r="M50" s="60">
        <v>16.79</v>
      </c>
      <c r="N50" s="60">
        <v>592.4</v>
      </c>
      <c r="O50" s="60">
        <v>0</v>
      </c>
      <c r="P50" s="60">
        <v>1.22</v>
      </c>
      <c r="Q50" s="60">
        <v>30.14</v>
      </c>
      <c r="S50" s="198"/>
      <c r="T50" s="198"/>
      <c r="U50" s="198"/>
    </row>
    <row r="51" spans="1:21" s="12" customFormat="1" x14ac:dyDescent="0.25">
      <c r="A51" s="201" t="s">
        <v>2402</v>
      </c>
      <c r="B51" s="60">
        <v>23.64</v>
      </c>
      <c r="C51" s="60">
        <v>118.31</v>
      </c>
      <c r="D51" s="60">
        <v>84.25</v>
      </c>
      <c r="E51" s="60">
        <v>5.47</v>
      </c>
      <c r="F51" s="60">
        <v>1.64</v>
      </c>
      <c r="G51" s="60">
        <v>67.41</v>
      </c>
      <c r="H51" s="60">
        <v>36.090000000000003</v>
      </c>
      <c r="I51" s="60">
        <v>0.72</v>
      </c>
      <c r="J51" s="60">
        <v>1.17</v>
      </c>
      <c r="K51" s="60">
        <v>359.02</v>
      </c>
      <c r="L51" s="60">
        <v>37.65</v>
      </c>
      <c r="M51" s="60">
        <v>16.23</v>
      </c>
      <c r="N51" s="60">
        <v>495</v>
      </c>
      <c r="O51" s="60">
        <v>0</v>
      </c>
      <c r="P51" s="60">
        <v>1.21</v>
      </c>
      <c r="Q51" s="60">
        <v>30.56</v>
      </c>
      <c r="S51" s="198"/>
      <c r="T51" s="198"/>
      <c r="U51" s="198"/>
    </row>
    <row r="52" spans="1:21" s="12" customFormat="1" x14ac:dyDescent="0.25">
      <c r="A52" s="201" t="s">
        <v>2403</v>
      </c>
      <c r="B52" s="60">
        <v>18.21</v>
      </c>
      <c r="C52" s="60">
        <v>117.97</v>
      </c>
      <c r="D52" s="60">
        <v>79.709999999999994</v>
      </c>
      <c r="E52" s="60">
        <v>6.32</v>
      </c>
      <c r="F52" s="60">
        <v>3.27</v>
      </c>
      <c r="G52" s="60">
        <v>66.84</v>
      </c>
      <c r="H52" s="60">
        <v>35.4</v>
      </c>
      <c r="I52" s="60">
        <v>0.72</v>
      </c>
      <c r="J52" s="60">
        <v>1.03</v>
      </c>
      <c r="K52" s="60">
        <v>10.59</v>
      </c>
      <c r="L52" s="60">
        <v>36.83</v>
      </c>
      <c r="M52" s="60">
        <v>16.23</v>
      </c>
      <c r="N52" s="60">
        <v>532.6</v>
      </c>
      <c r="O52" s="60">
        <v>0</v>
      </c>
      <c r="P52" s="60">
        <v>1.18</v>
      </c>
      <c r="Q52" s="60">
        <v>30.82</v>
      </c>
      <c r="S52" s="198"/>
      <c r="T52" s="198"/>
      <c r="U52" s="198"/>
    </row>
    <row r="53" spans="1:21" s="12" customFormat="1" x14ac:dyDescent="0.25">
      <c r="A53" s="201" t="s">
        <v>2404</v>
      </c>
      <c r="B53" s="60">
        <v>15.24</v>
      </c>
      <c r="C53" s="60">
        <v>118.58</v>
      </c>
      <c r="D53" s="60">
        <v>77.66</v>
      </c>
      <c r="E53" s="60">
        <v>5.83</v>
      </c>
      <c r="F53" s="60">
        <v>2.56</v>
      </c>
      <c r="G53" s="60">
        <v>66.84</v>
      </c>
      <c r="H53" s="60">
        <v>35.4</v>
      </c>
      <c r="I53" s="60">
        <v>0.71</v>
      </c>
      <c r="J53" s="60">
        <v>1</v>
      </c>
      <c r="K53" s="60">
        <v>8.6</v>
      </c>
      <c r="L53" s="60">
        <v>37.409999999999997</v>
      </c>
      <c r="M53" s="60">
        <v>16.27</v>
      </c>
      <c r="N53" s="60">
        <v>559.70000000000005</v>
      </c>
      <c r="O53" s="60">
        <v>0</v>
      </c>
      <c r="P53" s="60">
        <v>1.1599999999999999</v>
      </c>
      <c r="Q53" s="60">
        <v>30.65</v>
      </c>
      <c r="S53" s="198"/>
      <c r="T53" s="198"/>
      <c r="U53" s="198"/>
    </row>
    <row r="54" spans="1:21" s="12" customFormat="1" x14ac:dyDescent="0.25">
      <c r="A54" s="201" t="s">
        <v>2405</v>
      </c>
      <c r="B54" s="60">
        <v>11.78</v>
      </c>
      <c r="C54" s="60">
        <v>120.76</v>
      </c>
      <c r="D54" s="60">
        <v>76.09</v>
      </c>
      <c r="E54" s="60">
        <v>5.14</v>
      </c>
      <c r="F54" s="60">
        <v>2.13</v>
      </c>
      <c r="G54" s="60">
        <v>66.84</v>
      </c>
      <c r="H54" s="60">
        <v>35.4</v>
      </c>
      <c r="I54" s="60">
        <v>0.7</v>
      </c>
      <c r="J54" s="60">
        <v>0.8</v>
      </c>
      <c r="K54" s="60">
        <v>356.44</v>
      </c>
      <c r="L54" s="60">
        <v>38.11</v>
      </c>
      <c r="M54" s="60">
        <v>15.89</v>
      </c>
      <c r="N54" s="60">
        <v>581.5</v>
      </c>
      <c r="O54" s="60">
        <v>0</v>
      </c>
      <c r="P54" s="60">
        <v>1.1399999999999999</v>
      </c>
      <c r="Q54" s="60">
        <v>30.21</v>
      </c>
      <c r="S54" s="198"/>
      <c r="T54" s="198"/>
      <c r="U54" s="198"/>
    </row>
    <row r="55" spans="1:21" s="12" customFormat="1" x14ac:dyDescent="0.25">
      <c r="A55" s="201" t="s">
        <v>2406</v>
      </c>
      <c r="B55" s="60">
        <v>8.67</v>
      </c>
      <c r="C55" s="60">
        <v>120.04</v>
      </c>
      <c r="D55" s="60">
        <v>73.2</v>
      </c>
      <c r="E55" s="60">
        <v>4.53</v>
      </c>
      <c r="F55" s="60">
        <v>2.94</v>
      </c>
      <c r="G55" s="60">
        <v>66.78</v>
      </c>
      <c r="H55" s="60">
        <v>33.83</v>
      </c>
      <c r="I55" s="60">
        <v>0.69</v>
      </c>
      <c r="J55" s="60">
        <v>0.64</v>
      </c>
      <c r="K55" s="60">
        <v>356.88</v>
      </c>
      <c r="L55" s="60">
        <v>37.549999999999997</v>
      </c>
      <c r="M55" s="60">
        <v>15.91</v>
      </c>
      <c r="N55" s="60">
        <v>586.6</v>
      </c>
      <c r="O55" s="60">
        <v>0</v>
      </c>
      <c r="P55" s="60">
        <v>1.1000000000000001</v>
      </c>
      <c r="Q55" s="60">
        <v>29.61</v>
      </c>
      <c r="S55" s="198"/>
      <c r="T55" s="198"/>
      <c r="U55" s="198"/>
    </row>
    <row r="56" spans="1:21" s="12" customFormat="1" x14ac:dyDescent="0.25">
      <c r="A56" s="201" t="s">
        <v>2407</v>
      </c>
      <c r="B56" s="60">
        <v>6.43</v>
      </c>
      <c r="C56" s="60">
        <v>120.2</v>
      </c>
      <c r="D56" s="60">
        <v>71.489999999999995</v>
      </c>
      <c r="E56" s="60">
        <v>2.2200000000000002</v>
      </c>
      <c r="F56" s="60">
        <v>2.2200000000000002</v>
      </c>
      <c r="G56" s="60">
        <v>66.760000000000005</v>
      </c>
      <c r="H56" s="60">
        <v>33.15</v>
      </c>
      <c r="I56" s="60">
        <v>0.68</v>
      </c>
      <c r="J56" s="60">
        <v>1.06</v>
      </c>
      <c r="K56" s="60">
        <v>2.4</v>
      </c>
      <c r="L56" s="60">
        <v>37.380000000000003</v>
      </c>
      <c r="M56" s="60">
        <v>15.57</v>
      </c>
      <c r="N56" s="60">
        <v>521</v>
      </c>
      <c r="O56" s="60">
        <v>0</v>
      </c>
      <c r="P56" s="60">
        <v>1.05</v>
      </c>
      <c r="Q56" s="60">
        <v>29.38</v>
      </c>
      <c r="S56" s="198"/>
      <c r="T56" s="198"/>
      <c r="U56" s="198"/>
    </row>
    <row r="57" spans="1:21" s="12" customFormat="1" x14ac:dyDescent="0.25">
      <c r="A57" s="201" t="s">
        <v>2408</v>
      </c>
      <c r="B57" s="60">
        <v>4.6500000000000004</v>
      </c>
      <c r="C57" s="60">
        <v>117.62</v>
      </c>
      <c r="D57" s="60">
        <v>68.64</v>
      </c>
      <c r="E57" s="60">
        <v>4.0199999999999996</v>
      </c>
      <c r="F57" s="60">
        <v>2.44</v>
      </c>
      <c r="G57" s="60">
        <v>66.760000000000005</v>
      </c>
      <c r="H57" s="60">
        <v>33.15</v>
      </c>
      <c r="I57" s="60">
        <v>0.67</v>
      </c>
      <c r="J57" s="60">
        <v>0.63</v>
      </c>
      <c r="K57" s="60">
        <v>0.76</v>
      </c>
      <c r="L57" s="60">
        <v>37.35</v>
      </c>
      <c r="M57" s="60">
        <v>15.15</v>
      </c>
      <c r="N57" s="60">
        <v>537.70000000000005</v>
      </c>
      <c r="O57" s="60">
        <v>0</v>
      </c>
      <c r="P57" s="60">
        <v>1.01</v>
      </c>
      <c r="Q57" s="60">
        <v>28.94</v>
      </c>
      <c r="S57" s="198"/>
      <c r="T57" s="198"/>
      <c r="U57" s="198"/>
    </row>
    <row r="58" spans="1:21" s="12" customFormat="1" x14ac:dyDescent="0.25">
      <c r="A58" s="201" t="s">
        <v>2409</v>
      </c>
      <c r="B58" s="60">
        <v>3.56</v>
      </c>
      <c r="C58" s="60">
        <v>113.36</v>
      </c>
      <c r="D58" s="60">
        <v>65.41</v>
      </c>
      <c r="E58" s="60">
        <v>4.3099999999999996</v>
      </c>
      <c r="F58" s="60">
        <v>3.1</v>
      </c>
      <c r="G58" s="60">
        <v>66.760000000000005</v>
      </c>
      <c r="H58" s="60">
        <v>33.15</v>
      </c>
      <c r="I58" s="60">
        <v>0.66</v>
      </c>
      <c r="J58" s="60">
        <v>1.3</v>
      </c>
      <c r="K58" s="60">
        <v>359.82</v>
      </c>
      <c r="L58" s="60">
        <v>37.409999999999997</v>
      </c>
      <c r="M58" s="60">
        <v>15.01</v>
      </c>
      <c r="N58" s="60">
        <v>576.70000000000005</v>
      </c>
      <c r="O58" s="60">
        <v>0</v>
      </c>
      <c r="P58" s="60">
        <v>0.97</v>
      </c>
      <c r="Q58" s="60">
        <v>28.47</v>
      </c>
      <c r="S58" s="198"/>
      <c r="T58" s="198"/>
      <c r="U58" s="198"/>
    </row>
    <row r="59" spans="1:21" s="12" customFormat="1" x14ac:dyDescent="0.25">
      <c r="A59" s="201" t="s">
        <v>2410</v>
      </c>
      <c r="B59" s="60">
        <v>3.22</v>
      </c>
      <c r="C59" s="60">
        <v>112.15</v>
      </c>
      <c r="D59" s="60">
        <v>64.48</v>
      </c>
      <c r="E59" s="60">
        <v>3.65</v>
      </c>
      <c r="F59" s="60">
        <v>2.62</v>
      </c>
      <c r="G59" s="60">
        <v>49.02</v>
      </c>
      <c r="H59" s="60">
        <v>25.99</v>
      </c>
      <c r="I59" s="60">
        <v>0.68</v>
      </c>
      <c r="J59" s="60">
        <v>1.64</v>
      </c>
      <c r="K59" s="60">
        <v>357.52</v>
      </c>
      <c r="L59" s="60">
        <v>38.24</v>
      </c>
      <c r="M59" s="60">
        <v>14.34</v>
      </c>
      <c r="N59" s="60">
        <v>533.20000000000005</v>
      </c>
      <c r="O59" s="60">
        <v>0</v>
      </c>
      <c r="P59" s="60">
        <v>0.93</v>
      </c>
      <c r="Q59" s="60">
        <v>27.55</v>
      </c>
      <c r="S59" s="198"/>
      <c r="T59" s="198"/>
      <c r="U59" s="198"/>
    </row>
    <row r="60" spans="1:21" s="12" customFormat="1" x14ac:dyDescent="0.25">
      <c r="A60" s="201" t="s">
        <v>2411</v>
      </c>
      <c r="B60" s="60">
        <v>2.78</v>
      </c>
      <c r="C60" s="60">
        <v>106.08</v>
      </c>
      <c r="D60" s="60">
        <v>60.77</v>
      </c>
      <c r="E60" s="60">
        <v>3.78</v>
      </c>
      <c r="F60" s="60">
        <v>3.95</v>
      </c>
      <c r="G60" s="60">
        <v>40.590000000000003</v>
      </c>
      <c r="H60" s="60">
        <v>22.58</v>
      </c>
      <c r="I60" s="60">
        <v>0.65</v>
      </c>
      <c r="J60" s="60">
        <v>0.23</v>
      </c>
      <c r="K60" s="60">
        <v>340.02</v>
      </c>
      <c r="L60" s="60">
        <v>35.97</v>
      </c>
      <c r="M60" s="60">
        <v>14.4</v>
      </c>
      <c r="N60" s="60">
        <v>509.5</v>
      </c>
      <c r="O60" s="60">
        <v>0</v>
      </c>
      <c r="P60" s="60">
        <v>0.88</v>
      </c>
      <c r="Q60" s="60">
        <v>26.56</v>
      </c>
      <c r="S60" s="198"/>
      <c r="T60" s="198"/>
      <c r="U60" s="198"/>
    </row>
    <row r="61" spans="1:21" s="12" customFormat="1" x14ac:dyDescent="0.25">
      <c r="A61" s="201" t="s">
        <v>2412</v>
      </c>
      <c r="B61" s="60">
        <v>1.93</v>
      </c>
      <c r="C61" s="60">
        <v>102.29</v>
      </c>
      <c r="D61" s="60">
        <v>58</v>
      </c>
      <c r="E61" s="60">
        <v>3.74</v>
      </c>
      <c r="F61" s="60">
        <v>4.7</v>
      </c>
      <c r="G61" s="60">
        <v>40.590000000000003</v>
      </c>
      <c r="H61" s="60">
        <v>22.58</v>
      </c>
      <c r="I61" s="60">
        <v>0.63</v>
      </c>
      <c r="J61" s="60">
        <v>1.27</v>
      </c>
      <c r="K61" s="60">
        <v>2.77</v>
      </c>
      <c r="L61" s="60">
        <v>36.75</v>
      </c>
      <c r="M61" s="60">
        <v>14.81</v>
      </c>
      <c r="N61" s="60">
        <v>523.4</v>
      </c>
      <c r="O61" s="60">
        <v>0</v>
      </c>
      <c r="P61" s="60">
        <v>0.8</v>
      </c>
      <c r="Q61" s="60">
        <v>25.87</v>
      </c>
      <c r="S61" s="198"/>
      <c r="T61" s="198"/>
      <c r="U61" s="198"/>
    </row>
    <row r="62" spans="1:21" s="12" customFormat="1" x14ac:dyDescent="0.25">
      <c r="A62" s="201" t="s">
        <v>2413</v>
      </c>
      <c r="B62" s="60">
        <v>1.81</v>
      </c>
      <c r="C62" s="60">
        <v>97.96</v>
      </c>
      <c r="D62" s="60">
        <v>55.51</v>
      </c>
      <c r="E62" s="60">
        <v>4.2699999999999996</v>
      </c>
      <c r="F62" s="60">
        <v>4.12</v>
      </c>
      <c r="G62" s="60">
        <v>40.590000000000003</v>
      </c>
      <c r="H62" s="60">
        <v>22.58</v>
      </c>
      <c r="I62" s="60">
        <v>0.61</v>
      </c>
      <c r="J62" s="60">
        <v>1.04</v>
      </c>
      <c r="K62" s="60">
        <v>354.73</v>
      </c>
      <c r="L62" s="60">
        <v>37.799999999999997</v>
      </c>
      <c r="M62" s="60">
        <v>14.5</v>
      </c>
      <c r="N62" s="60">
        <v>477.8</v>
      </c>
      <c r="O62" s="60">
        <v>0</v>
      </c>
      <c r="P62" s="60">
        <v>0.82</v>
      </c>
      <c r="Q62" s="60">
        <v>25.04</v>
      </c>
      <c r="S62" s="198"/>
      <c r="T62" s="198"/>
      <c r="U62" s="198"/>
    </row>
    <row r="63" spans="1:21" s="12" customFormat="1" x14ac:dyDescent="0.25">
      <c r="A63" s="201" t="s">
        <v>2414</v>
      </c>
      <c r="B63" s="60">
        <v>1.86</v>
      </c>
      <c r="C63" s="60">
        <v>94.58</v>
      </c>
      <c r="D63" s="60">
        <v>53.69</v>
      </c>
      <c r="E63" s="60">
        <v>3.66</v>
      </c>
      <c r="F63" s="60">
        <v>4.12</v>
      </c>
      <c r="G63" s="60">
        <v>43.09</v>
      </c>
      <c r="H63" s="60">
        <v>21.22</v>
      </c>
      <c r="I63" s="60">
        <v>0.6</v>
      </c>
      <c r="J63" s="60">
        <v>0.9</v>
      </c>
      <c r="K63" s="60">
        <v>355.69</v>
      </c>
      <c r="L63" s="60">
        <v>36.74</v>
      </c>
      <c r="M63" s="60">
        <v>15.25</v>
      </c>
      <c r="N63" s="60">
        <v>424.6</v>
      </c>
      <c r="O63" s="60">
        <v>0</v>
      </c>
      <c r="P63" s="60">
        <v>0.77</v>
      </c>
      <c r="Q63" s="60">
        <v>24.67</v>
      </c>
      <c r="S63" s="198"/>
      <c r="T63" s="198"/>
      <c r="U63" s="198"/>
    </row>
    <row r="64" spans="1:21" s="12" customFormat="1" x14ac:dyDescent="0.25">
      <c r="A64" s="201" t="s">
        <v>2415</v>
      </c>
      <c r="B64" s="60">
        <v>1.85</v>
      </c>
      <c r="C64" s="60">
        <v>91.46</v>
      </c>
      <c r="D64" s="60">
        <v>51.95</v>
      </c>
      <c r="E64" s="60">
        <v>3.45</v>
      </c>
      <c r="F64" s="60">
        <v>4.38</v>
      </c>
      <c r="G64" s="60">
        <v>44.34</v>
      </c>
      <c r="H64" s="60">
        <v>20.57</v>
      </c>
      <c r="I64" s="60">
        <v>0.59</v>
      </c>
      <c r="J64" s="60">
        <v>0.52</v>
      </c>
      <c r="K64" s="60">
        <v>4.41</v>
      </c>
      <c r="L64" s="60">
        <v>37.159999999999997</v>
      </c>
      <c r="M64" s="60">
        <v>15.01</v>
      </c>
      <c r="N64" s="60">
        <v>436.8</v>
      </c>
      <c r="O64" s="60">
        <v>0</v>
      </c>
      <c r="P64" s="60">
        <v>0.74</v>
      </c>
      <c r="Q64" s="60">
        <v>24.26</v>
      </c>
      <c r="S64" s="198"/>
      <c r="T64" s="198"/>
      <c r="U64" s="198"/>
    </row>
    <row r="65" spans="1:21" s="12" customFormat="1" x14ac:dyDescent="0.25">
      <c r="A65" s="201" t="s">
        <v>2416</v>
      </c>
      <c r="B65" s="60">
        <v>2.11</v>
      </c>
      <c r="C65" s="60">
        <v>91.09</v>
      </c>
      <c r="D65" s="60">
        <v>51.96</v>
      </c>
      <c r="E65" s="60">
        <v>3.92</v>
      </c>
      <c r="F65" s="60">
        <v>4.5599999999999996</v>
      </c>
      <c r="G65" s="60">
        <v>44.34</v>
      </c>
      <c r="H65" s="60">
        <v>20.57</v>
      </c>
      <c r="I65" s="60">
        <v>0.57999999999999996</v>
      </c>
      <c r="J65" s="60">
        <v>0.71</v>
      </c>
      <c r="K65" s="60">
        <v>352.71</v>
      </c>
      <c r="L65" s="60">
        <v>36.96</v>
      </c>
      <c r="M65" s="60">
        <v>15.25</v>
      </c>
      <c r="N65" s="60">
        <v>399.6</v>
      </c>
      <c r="O65" s="60">
        <v>0</v>
      </c>
      <c r="P65" s="60">
        <v>0.73</v>
      </c>
      <c r="Q65" s="60">
        <v>25.26</v>
      </c>
      <c r="S65" s="198"/>
      <c r="T65" s="198"/>
      <c r="U65" s="198"/>
    </row>
    <row r="66" spans="1:21" s="12" customFormat="1" x14ac:dyDescent="0.25">
      <c r="A66" s="201" t="s">
        <v>2417</v>
      </c>
      <c r="B66" s="60">
        <v>1.78</v>
      </c>
      <c r="C66" s="60">
        <v>90.96</v>
      </c>
      <c r="D66" s="60">
        <v>51.63</v>
      </c>
      <c r="E66" s="60">
        <v>4.22</v>
      </c>
      <c r="F66" s="60">
        <v>4.26</v>
      </c>
      <c r="G66" s="60">
        <v>44.34</v>
      </c>
      <c r="H66" s="60">
        <v>20.57</v>
      </c>
      <c r="I66" s="60">
        <v>0.56999999999999995</v>
      </c>
      <c r="J66" s="60">
        <v>0.53</v>
      </c>
      <c r="K66" s="60">
        <v>4.96</v>
      </c>
      <c r="L66" s="60">
        <v>36.700000000000003</v>
      </c>
      <c r="M66" s="60">
        <v>15.09</v>
      </c>
      <c r="N66" s="60">
        <v>400.7</v>
      </c>
      <c r="O66" s="60">
        <v>0</v>
      </c>
      <c r="P66" s="60">
        <v>0.7</v>
      </c>
      <c r="Q66" s="60">
        <v>25.87</v>
      </c>
      <c r="S66" s="198"/>
      <c r="T66" s="198"/>
      <c r="U66" s="198"/>
    </row>
    <row r="67" spans="1:21" s="12" customFormat="1" x14ac:dyDescent="0.25">
      <c r="A67" s="201" t="s">
        <v>2418</v>
      </c>
      <c r="B67" s="60">
        <v>1.6</v>
      </c>
      <c r="C67" s="60">
        <v>89.09</v>
      </c>
      <c r="D67" s="60">
        <v>50.45</v>
      </c>
      <c r="E67" s="60">
        <v>3.65</v>
      </c>
      <c r="F67" s="60">
        <v>4.32</v>
      </c>
      <c r="G67" s="60">
        <v>43.54</v>
      </c>
      <c r="H67" s="60">
        <v>19.96</v>
      </c>
      <c r="I67" s="60">
        <v>0.59</v>
      </c>
      <c r="J67" s="60">
        <v>0.88</v>
      </c>
      <c r="K67" s="60">
        <v>3.02</v>
      </c>
      <c r="L67" s="60">
        <v>36.619999999999997</v>
      </c>
      <c r="M67" s="60">
        <v>15.24</v>
      </c>
      <c r="N67" s="60">
        <v>392.8</v>
      </c>
      <c r="O67" s="60">
        <v>0</v>
      </c>
      <c r="P67" s="60">
        <v>0.67</v>
      </c>
      <c r="Q67" s="60">
        <v>25.51</v>
      </c>
      <c r="S67" s="198"/>
      <c r="T67" s="198"/>
      <c r="U67" s="198"/>
    </row>
    <row r="68" spans="1:21" s="12" customFormat="1" x14ac:dyDescent="0.25">
      <c r="A68" s="201" t="s">
        <v>2419</v>
      </c>
      <c r="B68" s="60">
        <v>1.51</v>
      </c>
      <c r="C68" s="60">
        <v>88.19</v>
      </c>
      <c r="D68" s="60">
        <v>49.88</v>
      </c>
      <c r="E68" s="60">
        <v>3.26</v>
      </c>
      <c r="F68" s="60">
        <v>3.78</v>
      </c>
      <c r="G68" s="60">
        <v>43.16</v>
      </c>
      <c r="H68" s="60">
        <v>19.670000000000002</v>
      </c>
      <c r="I68" s="60">
        <v>0.56999999999999995</v>
      </c>
      <c r="J68" s="60">
        <v>0.86</v>
      </c>
      <c r="K68" s="60">
        <v>9.14</v>
      </c>
      <c r="L68" s="60">
        <v>36.58</v>
      </c>
      <c r="M68" s="60">
        <v>15.45</v>
      </c>
      <c r="N68" s="60">
        <v>354</v>
      </c>
      <c r="O68" s="60">
        <v>0</v>
      </c>
      <c r="P68" s="60">
        <v>0.65</v>
      </c>
      <c r="Q68" s="60">
        <v>25.09</v>
      </c>
      <c r="S68" s="198"/>
      <c r="T68" s="198"/>
      <c r="U68" s="198"/>
    </row>
    <row r="69" spans="1:21" s="12" customFormat="1" x14ac:dyDescent="0.25">
      <c r="A69" s="201" t="s">
        <v>2420</v>
      </c>
      <c r="B69" s="60">
        <v>1.45</v>
      </c>
      <c r="C69" s="60">
        <v>87.6</v>
      </c>
      <c r="D69" s="60">
        <v>49.5</v>
      </c>
      <c r="E69" s="60">
        <v>3.2</v>
      </c>
      <c r="F69" s="60">
        <v>3.88</v>
      </c>
      <c r="G69" s="60">
        <v>43.16</v>
      </c>
      <c r="H69" s="60">
        <v>19.670000000000002</v>
      </c>
      <c r="I69" s="60">
        <v>0.55000000000000004</v>
      </c>
      <c r="J69" s="60">
        <v>0.13</v>
      </c>
      <c r="K69" s="60">
        <v>337.67</v>
      </c>
      <c r="L69" s="60">
        <v>35.549999999999997</v>
      </c>
      <c r="M69" s="60">
        <v>14.9</v>
      </c>
      <c r="N69" s="60">
        <v>355.3</v>
      </c>
      <c r="O69" s="60">
        <v>0</v>
      </c>
      <c r="P69" s="60">
        <v>0.63</v>
      </c>
      <c r="Q69" s="60">
        <v>24.91</v>
      </c>
      <c r="S69" s="198"/>
      <c r="T69" s="198"/>
      <c r="U69" s="198"/>
    </row>
    <row r="70" spans="1:21" s="12" customFormat="1" x14ac:dyDescent="0.25">
      <c r="A70" s="201" t="s">
        <v>2421</v>
      </c>
      <c r="B70" s="60">
        <v>1.1399999999999999</v>
      </c>
      <c r="C70" s="60">
        <v>85.99</v>
      </c>
      <c r="D70" s="60">
        <v>48.37</v>
      </c>
      <c r="E70" s="60">
        <v>3.14</v>
      </c>
      <c r="F70" s="60">
        <v>5.08</v>
      </c>
      <c r="G70" s="60">
        <v>43.16</v>
      </c>
      <c r="H70" s="60">
        <v>19.670000000000002</v>
      </c>
      <c r="I70" s="60">
        <v>0.55000000000000004</v>
      </c>
      <c r="J70" s="60">
        <v>0.53</v>
      </c>
      <c r="K70" s="60">
        <v>9.81</v>
      </c>
      <c r="L70" s="60">
        <v>35.56</v>
      </c>
      <c r="M70" s="60">
        <v>15.5</v>
      </c>
      <c r="N70" s="60">
        <v>348.4</v>
      </c>
      <c r="O70" s="60">
        <v>0</v>
      </c>
      <c r="P70" s="60">
        <v>0.6</v>
      </c>
      <c r="Q70" s="60">
        <v>24.3</v>
      </c>
      <c r="S70" s="198"/>
      <c r="T70" s="198"/>
      <c r="U70" s="198"/>
    </row>
    <row r="71" spans="1:21" s="12" customFormat="1" x14ac:dyDescent="0.25">
      <c r="A71" s="201" t="s">
        <v>2422</v>
      </c>
      <c r="B71" s="60">
        <v>1.1299999999999999</v>
      </c>
      <c r="C71" s="60">
        <v>85.3</v>
      </c>
      <c r="D71" s="60">
        <v>47.98</v>
      </c>
      <c r="E71" s="60">
        <v>3.54</v>
      </c>
      <c r="F71" s="60">
        <v>4.51</v>
      </c>
      <c r="G71" s="60">
        <v>41.35</v>
      </c>
      <c r="H71" s="60">
        <v>18.12</v>
      </c>
      <c r="I71" s="60">
        <v>0.56000000000000005</v>
      </c>
      <c r="J71" s="60">
        <v>0.38</v>
      </c>
      <c r="K71" s="60">
        <v>35.729999999999997</v>
      </c>
      <c r="L71" s="60">
        <v>36.049999999999997</v>
      </c>
      <c r="M71" s="60">
        <v>14.7</v>
      </c>
      <c r="N71" s="60">
        <v>264.60000000000002</v>
      </c>
      <c r="O71" s="60">
        <v>0</v>
      </c>
      <c r="P71" s="60">
        <v>0.6</v>
      </c>
      <c r="Q71" s="60">
        <v>24.01</v>
      </c>
      <c r="S71" s="198"/>
      <c r="T71" s="198"/>
      <c r="U71" s="198"/>
    </row>
    <row r="72" spans="1:21" s="12" customFormat="1" x14ac:dyDescent="0.25">
      <c r="A72" s="201" t="s">
        <v>2423</v>
      </c>
      <c r="B72" s="60">
        <v>1.36</v>
      </c>
      <c r="C72" s="60">
        <v>84.27</v>
      </c>
      <c r="D72" s="60">
        <v>47.6</v>
      </c>
      <c r="E72" s="60">
        <v>1.98</v>
      </c>
      <c r="F72" s="60">
        <v>6</v>
      </c>
      <c r="G72" s="60">
        <v>40.49</v>
      </c>
      <c r="H72" s="60">
        <v>17.38</v>
      </c>
      <c r="I72" s="60">
        <v>0.55000000000000004</v>
      </c>
      <c r="J72" s="60">
        <v>0.43</v>
      </c>
      <c r="K72" s="60">
        <v>23.89</v>
      </c>
      <c r="L72" s="60">
        <v>35.51</v>
      </c>
      <c r="M72" s="60">
        <v>15.13</v>
      </c>
      <c r="N72" s="60">
        <v>184.5</v>
      </c>
      <c r="O72" s="60">
        <v>0</v>
      </c>
      <c r="P72" s="60">
        <v>0.56999999999999995</v>
      </c>
      <c r="Q72" s="60">
        <v>23.19</v>
      </c>
      <c r="S72" s="198"/>
      <c r="T72" s="198"/>
      <c r="U72" s="198"/>
    </row>
    <row r="73" spans="1:21" s="12" customFormat="1" x14ac:dyDescent="0.25">
      <c r="A73" s="201" t="s">
        <v>2424</v>
      </c>
      <c r="B73" s="60">
        <v>1.73</v>
      </c>
      <c r="C73" s="60">
        <v>86.74</v>
      </c>
      <c r="D73" s="60">
        <v>49.26</v>
      </c>
      <c r="E73" s="60">
        <v>3.43</v>
      </c>
      <c r="F73" s="60">
        <v>4.51</v>
      </c>
      <c r="G73" s="60">
        <v>40.49</v>
      </c>
      <c r="H73" s="60">
        <v>17.38</v>
      </c>
      <c r="I73" s="60">
        <v>0.55000000000000004</v>
      </c>
      <c r="J73" s="60">
        <v>0.78</v>
      </c>
      <c r="K73" s="60">
        <v>2.15</v>
      </c>
      <c r="L73" s="60">
        <v>34.82</v>
      </c>
      <c r="M73" s="60">
        <v>15.85</v>
      </c>
      <c r="N73" s="60">
        <v>142.5</v>
      </c>
      <c r="O73" s="60">
        <v>0</v>
      </c>
      <c r="P73" s="60">
        <v>0.56000000000000005</v>
      </c>
      <c r="Q73" s="60">
        <v>22.93</v>
      </c>
      <c r="S73" s="198"/>
      <c r="T73" s="198"/>
      <c r="U73" s="198"/>
    </row>
    <row r="74" spans="1:21" s="12" customFormat="1" x14ac:dyDescent="0.25">
      <c r="A74" s="201" t="s">
        <v>2425</v>
      </c>
      <c r="B74" s="60">
        <v>1.84</v>
      </c>
      <c r="C74" s="60">
        <v>83.96</v>
      </c>
      <c r="D74" s="60">
        <v>47.81</v>
      </c>
      <c r="E74" s="60">
        <v>3.48</v>
      </c>
      <c r="F74" s="60">
        <v>4.32</v>
      </c>
      <c r="G74" s="60">
        <v>40.49</v>
      </c>
      <c r="H74" s="60">
        <v>17.38</v>
      </c>
      <c r="I74" s="60">
        <v>0.54</v>
      </c>
      <c r="J74" s="60">
        <v>1.06</v>
      </c>
      <c r="K74" s="60">
        <v>3.53</v>
      </c>
      <c r="L74" s="60">
        <v>34.380000000000003</v>
      </c>
      <c r="M74" s="60">
        <v>16.239999999999998</v>
      </c>
      <c r="N74" s="60">
        <v>119.5</v>
      </c>
      <c r="O74" s="60">
        <v>0</v>
      </c>
      <c r="P74" s="60">
        <v>0.56000000000000005</v>
      </c>
      <c r="Q74" s="60">
        <v>22.83</v>
      </c>
      <c r="S74" s="198"/>
      <c r="T74" s="198"/>
      <c r="U74" s="198"/>
    </row>
    <row r="75" spans="1:21" s="12" customFormat="1" x14ac:dyDescent="0.25">
      <c r="A75" s="201" t="s">
        <v>2426</v>
      </c>
      <c r="B75" s="60">
        <v>2.39</v>
      </c>
      <c r="C75" s="60">
        <v>81.489999999999995</v>
      </c>
      <c r="D75" s="60">
        <v>46.89</v>
      </c>
      <c r="E75" s="60">
        <v>3</v>
      </c>
      <c r="F75" s="60">
        <v>3.73</v>
      </c>
      <c r="G75" s="60">
        <v>34.92</v>
      </c>
      <c r="H75" s="60">
        <v>16.489999999999998</v>
      </c>
      <c r="I75" s="60">
        <v>0.53</v>
      </c>
      <c r="J75" s="60">
        <v>1.27</v>
      </c>
      <c r="K75" s="60">
        <v>1</v>
      </c>
      <c r="L75" s="60">
        <v>33.72</v>
      </c>
      <c r="M75" s="60">
        <v>15.5</v>
      </c>
      <c r="N75" s="60">
        <v>163.19999999999999</v>
      </c>
      <c r="O75" s="60">
        <v>0</v>
      </c>
      <c r="P75" s="60">
        <v>0.56000000000000005</v>
      </c>
      <c r="Q75" s="60">
        <v>22.87</v>
      </c>
      <c r="S75" s="198"/>
      <c r="T75" s="198"/>
      <c r="U75" s="198"/>
    </row>
    <row r="76" spans="1:21" s="12" customFormat="1" x14ac:dyDescent="0.25">
      <c r="A76" s="201" t="s">
        <v>2427</v>
      </c>
      <c r="B76" s="60">
        <v>2.78</v>
      </c>
      <c r="C76" s="60">
        <v>81.739999999999995</v>
      </c>
      <c r="D76" s="60">
        <v>47.34</v>
      </c>
      <c r="E76" s="60">
        <v>3.15</v>
      </c>
      <c r="F76" s="60">
        <v>3.33</v>
      </c>
      <c r="G76" s="60">
        <v>32.270000000000003</v>
      </c>
      <c r="H76" s="60">
        <v>16.059999999999999</v>
      </c>
      <c r="I76" s="60">
        <v>0.53</v>
      </c>
      <c r="J76" s="60">
        <v>1.85</v>
      </c>
      <c r="K76" s="60">
        <v>359.77</v>
      </c>
      <c r="L76" s="60">
        <v>33.11</v>
      </c>
      <c r="M76" s="60">
        <v>14.79</v>
      </c>
      <c r="N76" s="60">
        <v>60.1</v>
      </c>
      <c r="O76" s="60">
        <v>0</v>
      </c>
      <c r="P76" s="60">
        <v>0.55000000000000004</v>
      </c>
      <c r="Q76" s="60">
        <v>22.77</v>
      </c>
      <c r="S76" s="198"/>
      <c r="T76" s="198"/>
      <c r="U76" s="198"/>
    </row>
    <row r="77" spans="1:21" s="12" customFormat="1" x14ac:dyDescent="0.25">
      <c r="A77" s="201" t="s">
        <v>2428</v>
      </c>
      <c r="B77" s="60">
        <v>2.5</v>
      </c>
      <c r="C77" s="60">
        <v>80.790000000000006</v>
      </c>
      <c r="D77" s="60">
        <v>46.59</v>
      </c>
      <c r="E77" s="60">
        <v>3.16</v>
      </c>
      <c r="F77" s="60">
        <v>3.55</v>
      </c>
      <c r="G77" s="60">
        <v>32.270000000000003</v>
      </c>
      <c r="H77" s="60">
        <v>16.059999999999999</v>
      </c>
      <c r="I77" s="60">
        <v>0.53</v>
      </c>
      <c r="J77" s="60">
        <v>1.41</v>
      </c>
      <c r="K77" s="60">
        <v>347.06</v>
      </c>
      <c r="L77" s="60">
        <v>32.619999999999997</v>
      </c>
      <c r="M77" s="60">
        <v>15.34</v>
      </c>
      <c r="N77" s="60">
        <v>44.6</v>
      </c>
      <c r="O77" s="60">
        <v>0</v>
      </c>
      <c r="P77" s="60">
        <v>0.55000000000000004</v>
      </c>
      <c r="Q77" s="60">
        <v>22.87</v>
      </c>
      <c r="S77" s="198"/>
      <c r="T77" s="198"/>
      <c r="U77" s="198"/>
    </row>
    <row r="78" spans="1:21" s="12" customFormat="1" x14ac:dyDescent="0.25">
      <c r="A78" s="201" t="s">
        <v>2429</v>
      </c>
      <c r="B78" s="60">
        <v>2.38</v>
      </c>
      <c r="C78" s="60">
        <v>79.430000000000007</v>
      </c>
      <c r="D78" s="60">
        <v>45.75</v>
      </c>
      <c r="E78" s="60">
        <v>3.27</v>
      </c>
      <c r="F78" s="60">
        <v>3.47</v>
      </c>
      <c r="G78" s="60">
        <v>32.270000000000003</v>
      </c>
      <c r="H78" s="60">
        <v>16.059999999999999</v>
      </c>
      <c r="I78" s="60">
        <v>0.53</v>
      </c>
      <c r="J78" s="60">
        <v>1</v>
      </c>
      <c r="K78" s="60">
        <v>344.74</v>
      </c>
      <c r="L78" s="60">
        <v>32.03</v>
      </c>
      <c r="M78" s="60">
        <v>15.97</v>
      </c>
      <c r="N78" s="60">
        <v>37.5</v>
      </c>
      <c r="O78" s="60">
        <v>0</v>
      </c>
      <c r="P78" s="60">
        <v>0.55000000000000004</v>
      </c>
      <c r="Q78" s="60">
        <v>22.94</v>
      </c>
      <c r="S78" s="198"/>
      <c r="T78" s="198"/>
      <c r="U78" s="198"/>
    </row>
    <row r="79" spans="1:21" s="12" customFormat="1" x14ac:dyDescent="0.25">
      <c r="A79" s="201" t="s">
        <v>2430</v>
      </c>
      <c r="B79" s="60">
        <v>3.39</v>
      </c>
      <c r="C79" s="60">
        <v>81.319999999999993</v>
      </c>
      <c r="D79" s="60">
        <v>47.6</v>
      </c>
      <c r="E79" s="60">
        <v>3.21</v>
      </c>
      <c r="F79" s="60">
        <v>2.99</v>
      </c>
      <c r="G79" s="60">
        <v>33.770000000000003</v>
      </c>
      <c r="H79" s="60">
        <v>15.67</v>
      </c>
      <c r="I79" s="60">
        <v>0.53</v>
      </c>
      <c r="J79" s="60">
        <v>0.82</v>
      </c>
      <c r="K79" s="60">
        <v>344.34</v>
      </c>
      <c r="L79" s="60">
        <v>31.45</v>
      </c>
      <c r="M79" s="60">
        <v>16.78</v>
      </c>
      <c r="N79" s="60">
        <v>26.9</v>
      </c>
      <c r="O79" s="60">
        <v>0</v>
      </c>
      <c r="P79" s="60">
        <v>0.56999999999999995</v>
      </c>
      <c r="Q79" s="60">
        <v>23.44</v>
      </c>
      <c r="S79" s="198"/>
      <c r="T79" s="198"/>
      <c r="U79" s="198"/>
    </row>
    <row r="80" spans="1:21" s="12" customFormat="1" x14ac:dyDescent="0.25">
      <c r="A80" s="201" t="s">
        <v>2431</v>
      </c>
      <c r="B80" s="60">
        <v>3.57</v>
      </c>
      <c r="C80" s="60">
        <v>82.78</v>
      </c>
      <c r="D80" s="60">
        <v>48.55</v>
      </c>
      <c r="E80" s="60">
        <v>2.74</v>
      </c>
      <c r="F80" s="60">
        <v>2.04</v>
      </c>
      <c r="G80" s="60">
        <v>34.53</v>
      </c>
      <c r="H80" s="60">
        <v>15.49</v>
      </c>
      <c r="I80" s="60">
        <v>0.53</v>
      </c>
      <c r="J80" s="60">
        <v>1.03</v>
      </c>
      <c r="K80" s="60">
        <v>345.18</v>
      </c>
      <c r="L80" s="60">
        <v>30.69</v>
      </c>
      <c r="M80" s="60">
        <v>18.45</v>
      </c>
      <c r="N80" s="60">
        <v>11.2</v>
      </c>
      <c r="O80" s="60">
        <v>0</v>
      </c>
      <c r="P80" s="60">
        <v>0.57999999999999996</v>
      </c>
      <c r="Q80" s="60">
        <v>24.63</v>
      </c>
      <c r="S80" s="198"/>
      <c r="T80" s="198"/>
      <c r="U80" s="198"/>
    </row>
    <row r="81" spans="1:26" s="12" customFormat="1" x14ac:dyDescent="0.25">
      <c r="A81" s="201" t="s">
        <v>2432</v>
      </c>
      <c r="B81" s="60">
        <v>3.32</v>
      </c>
      <c r="C81" s="60">
        <v>83.97</v>
      </c>
      <c r="D81" s="60">
        <v>49</v>
      </c>
      <c r="E81" s="60">
        <v>3.19</v>
      </c>
      <c r="F81" s="60">
        <v>2</v>
      </c>
      <c r="G81" s="60">
        <v>34.53</v>
      </c>
      <c r="H81" s="60">
        <v>15.49</v>
      </c>
      <c r="I81" s="60">
        <v>0.55000000000000004</v>
      </c>
      <c r="J81" s="60">
        <v>0.79</v>
      </c>
      <c r="K81" s="60">
        <v>345.29</v>
      </c>
      <c r="L81" s="60">
        <v>30</v>
      </c>
      <c r="M81" s="60">
        <v>19.8</v>
      </c>
      <c r="N81" s="60">
        <v>6.1</v>
      </c>
      <c r="O81" s="60">
        <v>0</v>
      </c>
      <c r="P81" s="60">
        <v>0.61</v>
      </c>
      <c r="Q81" s="60">
        <v>25.3</v>
      </c>
      <c r="S81" s="198"/>
      <c r="T81" s="198"/>
      <c r="U81" s="198"/>
    </row>
    <row r="82" spans="1:26" s="12" customFormat="1" x14ac:dyDescent="0.25">
      <c r="A82" s="201" t="s">
        <v>2433</v>
      </c>
      <c r="B82" s="60">
        <v>4.97</v>
      </c>
      <c r="C82" s="60">
        <v>83.99</v>
      </c>
      <c r="D82" s="60">
        <v>50.34</v>
      </c>
      <c r="E82" s="60">
        <v>2.83</v>
      </c>
      <c r="F82" s="60">
        <v>2.0299999999999998</v>
      </c>
      <c r="G82" s="60">
        <v>34.53</v>
      </c>
      <c r="H82" s="60">
        <v>15.49</v>
      </c>
      <c r="I82" s="60">
        <v>0.54</v>
      </c>
      <c r="J82" s="60">
        <v>0.61</v>
      </c>
      <c r="K82" s="60">
        <v>346.2</v>
      </c>
      <c r="L82" s="60">
        <v>29.24</v>
      </c>
      <c r="M82" s="60">
        <v>21.79</v>
      </c>
      <c r="N82" s="60">
        <v>4.2</v>
      </c>
      <c r="O82" s="60">
        <v>0</v>
      </c>
      <c r="P82" s="60">
        <v>0.64</v>
      </c>
      <c r="Q82" s="60">
        <v>25.59</v>
      </c>
      <c r="S82" s="198"/>
      <c r="T82" s="198"/>
      <c r="U82" s="198"/>
    </row>
    <row r="83" spans="1:26" s="12" customFormat="1" x14ac:dyDescent="0.25">
      <c r="A83" s="201" t="s">
        <v>2434</v>
      </c>
      <c r="B83" s="60">
        <v>8.1300000000000008</v>
      </c>
      <c r="C83" s="60">
        <v>86.17</v>
      </c>
      <c r="D83" s="60">
        <v>54.08</v>
      </c>
      <c r="E83" s="60">
        <v>3.62</v>
      </c>
      <c r="F83" s="60">
        <v>2.15</v>
      </c>
      <c r="G83" s="60">
        <v>39.39</v>
      </c>
      <c r="H83" s="60">
        <v>15.53</v>
      </c>
      <c r="I83" s="60">
        <v>0.54</v>
      </c>
      <c r="J83" s="60">
        <v>0.39</v>
      </c>
      <c r="K83" s="60">
        <v>347.33</v>
      </c>
      <c r="L83" s="60">
        <v>28.52</v>
      </c>
      <c r="M83" s="60">
        <v>23.39</v>
      </c>
      <c r="N83" s="60">
        <v>4.2</v>
      </c>
      <c r="O83" s="60">
        <v>0</v>
      </c>
      <c r="P83" s="60">
        <v>0.73</v>
      </c>
      <c r="Q83" s="60">
        <v>25.47</v>
      </c>
      <c r="S83" s="198"/>
      <c r="T83" s="198"/>
      <c r="U83" s="198"/>
    </row>
    <row r="84" spans="1:26" s="12" customFormat="1" x14ac:dyDescent="0.25">
      <c r="A84" s="201" t="s">
        <v>2435</v>
      </c>
      <c r="B84" s="60">
        <v>9.74</v>
      </c>
      <c r="C84" s="60">
        <v>92.8</v>
      </c>
      <c r="D84" s="60">
        <v>59.03</v>
      </c>
      <c r="E84" s="60">
        <v>4</v>
      </c>
      <c r="F84" s="60">
        <v>2.72</v>
      </c>
      <c r="G84" s="60">
        <v>41.7</v>
      </c>
      <c r="H84" s="60">
        <v>15.55</v>
      </c>
      <c r="I84" s="60">
        <v>0.55000000000000004</v>
      </c>
      <c r="J84" s="60">
        <v>0.09</v>
      </c>
      <c r="K84" s="60">
        <v>298.25</v>
      </c>
      <c r="L84" s="60">
        <v>27.88</v>
      </c>
      <c r="M84" s="60">
        <v>23.59</v>
      </c>
      <c r="N84" s="60">
        <v>4.7</v>
      </c>
      <c r="O84" s="60">
        <v>0</v>
      </c>
      <c r="P84" s="60">
        <v>0.86</v>
      </c>
      <c r="Q84" s="60">
        <v>25.65</v>
      </c>
      <c r="S84" s="198"/>
      <c r="T84" s="198"/>
      <c r="U84" s="198"/>
    </row>
    <row r="85" spans="1:26" s="12" customFormat="1" x14ac:dyDescent="0.25">
      <c r="A85" s="201" t="s">
        <v>2436</v>
      </c>
      <c r="B85" s="60">
        <v>15.17</v>
      </c>
      <c r="C85" s="60">
        <v>96.73</v>
      </c>
      <c r="D85" s="60">
        <v>65.55</v>
      </c>
      <c r="E85" s="60">
        <v>4.63</v>
      </c>
      <c r="F85" s="60">
        <v>1.31</v>
      </c>
      <c r="G85" s="60">
        <v>41.7</v>
      </c>
      <c r="H85" s="60">
        <v>15.55</v>
      </c>
      <c r="I85" s="60">
        <v>0.57999999999999996</v>
      </c>
      <c r="J85" s="60">
        <v>0.01</v>
      </c>
      <c r="K85" s="60">
        <v>231</v>
      </c>
      <c r="L85" s="60">
        <v>27.08</v>
      </c>
      <c r="M85" s="60">
        <v>26.19</v>
      </c>
      <c r="N85" s="60">
        <v>4.5</v>
      </c>
      <c r="O85" s="60">
        <v>0</v>
      </c>
      <c r="P85" s="60">
        <v>0.97</v>
      </c>
      <c r="Q85" s="60">
        <v>25.86</v>
      </c>
      <c r="S85" s="198"/>
      <c r="T85" s="198"/>
      <c r="U85" s="198"/>
    </row>
    <row r="86" spans="1:26" s="12" customFormat="1" x14ac:dyDescent="0.25">
      <c r="A86" s="201" t="s">
        <v>2437</v>
      </c>
      <c r="B86" s="60">
        <v>27.38</v>
      </c>
      <c r="C86" s="60">
        <v>100.42</v>
      </c>
      <c r="D86" s="60">
        <v>77.38</v>
      </c>
      <c r="E86" s="60">
        <v>7.44</v>
      </c>
      <c r="F86" s="60">
        <v>2.27</v>
      </c>
      <c r="G86" s="60">
        <v>41.7</v>
      </c>
      <c r="H86" s="60">
        <v>15.55</v>
      </c>
      <c r="I86" s="60">
        <v>0.59</v>
      </c>
      <c r="J86" s="60">
        <v>0.44</v>
      </c>
      <c r="K86" s="60">
        <v>24.03</v>
      </c>
      <c r="L86" s="60">
        <v>26.86</v>
      </c>
      <c r="M86" s="60">
        <v>26.28</v>
      </c>
      <c r="N86" s="60">
        <v>3.3</v>
      </c>
      <c r="O86" s="60">
        <v>0</v>
      </c>
      <c r="P86" s="60">
        <v>1.2</v>
      </c>
      <c r="Q86" s="60">
        <v>25.54</v>
      </c>
      <c r="S86" s="198"/>
      <c r="T86" s="198"/>
      <c r="U86" s="198"/>
    </row>
    <row r="87" spans="1:26" s="12" customFormat="1" x14ac:dyDescent="0.25">
      <c r="A87" s="201" t="s">
        <v>2438</v>
      </c>
      <c r="B87" s="60">
        <v>26.92</v>
      </c>
      <c r="C87" s="60">
        <v>105.38</v>
      </c>
      <c r="D87" s="60">
        <v>79.75</v>
      </c>
      <c r="E87" s="60">
        <v>9.61</v>
      </c>
      <c r="F87" s="60">
        <v>3.15</v>
      </c>
      <c r="G87" s="60">
        <v>62.98</v>
      </c>
      <c r="H87" s="60">
        <v>20.45</v>
      </c>
      <c r="I87" s="60">
        <v>0.59</v>
      </c>
      <c r="J87" s="60">
        <v>0.05</v>
      </c>
      <c r="K87" s="60">
        <v>36.5</v>
      </c>
      <c r="L87" s="60">
        <v>26.61</v>
      </c>
      <c r="M87" s="60">
        <v>27.63</v>
      </c>
      <c r="N87" s="60">
        <v>4.3</v>
      </c>
      <c r="O87" s="60">
        <v>0</v>
      </c>
      <c r="P87" s="60">
        <v>1.34</v>
      </c>
      <c r="Q87" s="60">
        <v>25.03</v>
      </c>
      <c r="S87" s="198"/>
      <c r="T87" s="198"/>
      <c r="U87" s="198"/>
    </row>
    <row r="88" spans="1:26" s="12" customFormat="1" x14ac:dyDescent="0.25">
      <c r="A88" s="201" t="s">
        <v>2439</v>
      </c>
      <c r="B88" s="60">
        <v>24.92</v>
      </c>
      <c r="C88" s="60">
        <v>107.92</v>
      </c>
      <c r="D88" s="60">
        <v>79.540000000000006</v>
      </c>
      <c r="E88" s="60">
        <v>3.52</v>
      </c>
      <c r="F88" s="60">
        <v>2.04</v>
      </c>
      <c r="G88" s="60">
        <v>73.09</v>
      </c>
      <c r="H88" s="60">
        <v>22.78</v>
      </c>
      <c r="I88" s="60">
        <v>0.62</v>
      </c>
      <c r="J88" s="60">
        <v>0.28999999999999998</v>
      </c>
      <c r="K88" s="60">
        <v>98.78</v>
      </c>
      <c r="L88" s="60">
        <v>26.73</v>
      </c>
      <c r="M88" s="60">
        <v>27.36</v>
      </c>
      <c r="N88" s="60">
        <v>3.6</v>
      </c>
      <c r="O88" s="60">
        <v>0</v>
      </c>
      <c r="P88" s="60">
        <v>1.33</v>
      </c>
      <c r="Q88" s="60">
        <v>25.2</v>
      </c>
      <c r="S88" s="198"/>
      <c r="T88" s="198"/>
      <c r="U88" s="198"/>
    </row>
    <row r="89" spans="1:26" s="12" customFormat="1" x14ac:dyDescent="0.25">
      <c r="A89" s="201" t="s">
        <v>2440</v>
      </c>
      <c r="B89" s="60">
        <v>41.08</v>
      </c>
      <c r="C89" s="60">
        <v>114.89</v>
      </c>
      <c r="D89" s="60">
        <v>96.35</v>
      </c>
      <c r="E89" s="60">
        <v>5.47</v>
      </c>
      <c r="F89" s="60">
        <v>0.88</v>
      </c>
      <c r="G89" s="60">
        <v>73.09</v>
      </c>
      <c r="H89" s="60">
        <v>22.78</v>
      </c>
      <c r="I89" s="60">
        <v>0.69</v>
      </c>
      <c r="J89" s="60">
        <v>7.0000000000000007E-2</v>
      </c>
      <c r="K89" s="60">
        <v>78.64</v>
      </c>
      <c r="L89" s="60">
        <v>25.86</v>
      </c>
      <c r="M89" s="60">
        <v>31.45</v>
      </c>
      <c r="N89" s="60">
        <v>4.5</v>
      </c>
      <c r="O89" s="60">
        <v>0</v>
      </c>
      <c r="P89" s="60">
        <v>1.37</v>
      </c>
      <c r="Q89" s="60">
        <v>25.67</v>
      </c>
      <c r="S89" s="198"/>
      <c r="T89" s="198"/>
      <c r="U89" s="198"/>
    </row>
    <row r="90" spans="1:26" s="12" customFormat="1" x14ac:dyDescent="0.25">
      <c r="A90" s="201" t="s">
        <v>2441</v>
      </c>
      <c r="B90" s="60">
        <v>75.59</v>
      </c>
      <c r="C90" s="60">
        <v>117.51</v>
      </c>
      <c r="D90" s="60">
        <v>125.47</v>
      </c>
      <c r="E90" s="60">
        <v>5.83</v>
      </c>
      <c r="F90" s="60">
        <v>0.28000000000000003</v>
      </c>
      <c r="G90" s="60">
        <v>73.09</v>
      </c>
      <c r="H90" s="60">
        <v>22.78</v>
      </c>
      <c r="I90" s="60">
        <v>0.73</v>
      </c>
      <c r="J90" s="60">
        <v>0.1</v>
      </c>
      <c r="K90" s="60">
        <v>30.29</v>
      </c>
      <c r="L90" s="60">
        <v>25.08</v>
      </c>
      <c r="M90" s="60">
        <v>34.479999999999997</v>
      </c>
      <c r="N90" s="60">
        <v>4.4000000000000004</v>
      </c>
      <c r="O90" s="60">
        <v>0</v>
      </c>
      <c r="P90" s="60">
        <v>2.02</v>
      </c>
      <c r="Q90" s="60">
        <v>25.58</v>
      </c>
      <c r="S90" s="198"/>
      <c r="T90" s="198"/>
      <c r="U90" s="198"/>
    </row>
    <row r="91" spans="1:26" s="12" customFormat="1" x14ac:dyDescent="0.25">
      <c r="A91" s="201" t="s">
        <v>2442</v>
      </c>
      <c r="B91" s="60">
        <v>59.19</v>
      </c>
      <c r="C91" s="60">
        <v>117.12</v>
      </c>
      <c r="D91" s="60">
        <v>112.1</v>
      </c>
      <c r="E91" s="60">
        <v>5.95</v>
      </c>
      <c r="F91" s="60">
        <v>0.24</v>
      </c>
      <c r="G91" s="60">
        <v>93.23</v>
      </c>
      <c r="H91" s="60">
        <v>30.81</v>
      </c>
      <c r="I91" s="60">
        <v>0.82</v>
      </c>
      <c r="J91" s="60">
        <v>0.09</v>
      </c>
      <c r="K91" s="60">
        <v>87.19</v>
      </c>
      <c r="L91" s="60">
        <v>25.3</v>
      </c>
      <c r="M91" s="60">
        <v>32.520000000000003</v>
      </c>
      <c r="N91" s="60">
        <v>3.9</v>
      </c>
      <c r="O91" s="60">
        <v>0</v>
      </c>
      <c r="P91" s="60">
        <v>1.92</v>
      </c>
      <c r="Q91" s="60">
        <v>25.71</v>
      </c>
      <c r="S91" s="198"/>
      <c r="T91" s="198"/>
      <c r="U91" s="198"/>
    </row>
    <row r="92" spans="1:26" s="12" customFormat="1" x14ac:dyDescent="0.25">
      <c r="A92" s="201" t="s">
        <v>2443</v>
      </c>
      <c r="B92" s="60">
        <v>51.01</v>
      </c>
      <c r="C92" s="60">
        <v>114.75</v>
      </c>
      <c r="D92" s="60">
        <v>104.23</v>
      </c>
      <c r="E92" s="60">
        <v>5.21</v>
      </c>
      <c r="F92" s="60">
        <v>0.48</v>
      </c>
      <c r="G92" s="60">
        <v>102.8</v>
      </c>
      <c r="H92" s="60">
        <v>34.630000000000003</v>
      </c>
      <c r="I92" s="60">
        <v>0.91</v>
      </c>
      <c r="J92" s="60">
        <v>0.08</v>
      </c>
      <c r="K92" s="60">
        <v>57.01</v>
      </c>
      <c r="L92" s="60">
        <v>25.14</v>
      </c>
      <c r="M92" s="60">
        <v>33.4</v>
      </c>
      <c r="N92" s="60">
        <v>4.3</v>
      </c>
      <c r="O92" s="60">
        <v>0</v>
      </c>
      <c r="P92" s="60">
        <v>1.8</v>
      </c>
      <c r="Q92" s="60">
        <v>27.61</v>
      </c>
      <c r="S92" s="198"/>
      <c r="T92" s="198"/>
      <c r="U92" s="198"/>
    </row>
    <row r="93" spans="1:26" s="12" customFormat="1" x14ac:dyDescent="0.25">
      <c r="A93" s="201" t="s">
        <v>2444</v>
      </c>
      <c r="B93" s="60">
        <v>55.08</v>
      </c>
      <c r="C93" s="60">
        <v>114.61</v>
      </c>
      <c r="D93" s="60">
        <v>107.42</v>
      </c>
      <c r="E93" s="60">
        <v>4.32</v>
      </c>
      <c r="F93" s="60">
        <v>0.22</v>
      </c>
      <c r="G93" s="60">
        <v>102.8</v>
      </c>
      <c r="H93" s="60">
        <v>34.630000000000003</v>
      </c>
      <c r="I93" s="60">
        <v>0.89</v>
      </c>
      <c r="J93" s="60">
        <v>0.1</v>
      </c>
      <c r="K93" s="60">
        <v>84.72</v>
      </c>
      <c r="L93" s="60">
        <v>24.59</v>
      </c>
      <c r="M93" s="60">
        <v>36.25</v>
      </c>
      <c r="N93" s="60">
        <v>4</v>
      </c>
      <c r="O93" s="60">
        <v>0</v>
      </c>
      <c r="P93" s="60">
        <v>1.62</v>
      </c>
      <c r="Q93" s="60">
        <v>28.44</v>
      </c>
      <c r="S93" s="198"/>
      <c r="T93" s="198"/>
      <c r="U93" s="198"/>
    </row>
    <row r="94" spans="1:26" s="12" customFormat="1" x14ac:dyDescent="0.25">
      <c r="A94" s="201" t="s">
        <v>2445</v>
      </c>
      <c r="B94" s="60">
        <v>52.39</v>
      </c>
      <c r="C94" s="60">
        <v>111.61</v>
      </c>
      <c r="D94" s="60">
        <v>103.61</v>
      </c>
      <c r="E94" s="60">
        <v>3.5</v>
      </c>
      <c r="F94" s="60">
        <v>0.24</v>
      </c>
      <c r="G94" s="60">
        <v>102.8</v>
      </c>
      <c r="H94" s="60">
        <v>34.630000000000003</v>
      </c>
      <c r="I94" s="60">
        <v>0.9</v>
      </c>
      <c r="J94" s="60">
        <v>0.02</v>
      </c>
      <c r="K94" s="60">
        <v>65.599999999999994</v>
      </c>
      <c r="L94" s="60">
        <v>24.1</v>
      </c>
      <c r="M94" s="60">
        <v>37.54</v>
      </c>
      <c r="N94" s="60">
        <v>4.4000000000000004</v>
      </c>
      <c r="O94" s="60">
        <v>0</v>
      </c>
      <c r="P94" s="60">
        <v>1.59</v>
      </c>
      <c r="Q94" s="60">
        <v>30.43</v>
      </c>
      <c r="S94" s="198"/>
      <c r="T94" s="198"/>
      <c r="U94" s="198"/>
    </row>
    <row r="95" spans="1:26" s="12" customFormat="1" x14ac:dyDescent="0.25">
      <c r="A95" s="201" t="s">
        <v>2446</v>
      </c>
      <c r="B95" s="60">
        <v>61.96</v>
      </c>
      <c r="C95" s="60">
        <v>113.5</v>
      </c>
      <c r="D95" s="60">
        <v>112.33</v>
      </c>
      <c r="E95" s="60">
        <v>3.83</v>
      </c>
      <c r="F95" s="60">
        <v>0.09</v>
      </c>
      <c r="G95" s="60">
        <v>116.35</v>
      </c>
      <c r="H95" s="60">
        <v>37.03</v>
      </c>
      <c r="I95" s="60">
        <v>0.9</v>
      </c>
      <c r="J95" s="60">
        <v>0.06</v>
      </c>
      <c r="K95" s="60">
        <v>46.57</v>
      </c>
      <c r="L95" s="60">
        <v>23.94</v>
      </c>
      <c r="M95" s="60">
        <v>37.24</v>
      </c>
      <c r="N95" s="60">
        <v>4.3</v>
      </c>
      <c r="O95" s="60">
        <v>0</v>
      </c>
      <c r="P95" s="60">
        <v>1.76</v>
      </c>
      <c r="Q95" s="60">
        <v>31.54</v>
      </c>
      <c r="S95" s="198"/>
      <c r="T95" s="198"/>
      <c r="U95" s="198"/>
    </row>
    <row r="96" spans="1:26" s="12" customFormat="1" x14ac:dyDescent="0.25">
      <c r="A96" s="201" t="s">
        <v>2447</v>
      </c>
      <c r="B96" s="60">
        <v>70.099999999999994</v>
      </c>
      <c r="C96" s="60">
        <v>115.68</v>
      </c>
      <c r="D96" s="60">
        <v>120.05</v>
      </c>
      <c r="E96" s="60">
        <v>3.68</v>
      </c>
      <c r="F96" s="60">
        <v>0.1</v>
      </c>
      <c r="G96" s="60">
        <v>122.79</v>
      </c>
      <c r="H96" s="60">
        <v>38.24</v>
      </c>
      <c r="I96" s="60">
        <v>0.92</v>
      </c>
      <c r="J96" s="60">
        <v>0.08</v>
      </c>
      <c r="K96" s="60">
        <v>20.74</v>
      </c>
      <c r="L96" s="60">
        <v>23.65</v>
      </c>
      <c r="M96" s="60">
        <v>39.06</v>
      </c>
      <c r="N96" s="60">
        <v>4.3</v>
      </c>
      <c r="O96" s="60">
        <v>0</v>
      </c>
      <c r="P96" s="60">
        <v>1.82</v>
      </c>
      <c r="Q96" s="60">
        <v>32.36</v>
      </c>
      <c r="S96" s="198"/>
      <c r="T96" s="198"/>
      <c r="U96" s="198"/>
      <c r="Z96" s="109"/>
    </row>
    <row r="97" spans="1:33" s="12" customFormat="1" x14ac:dyDescent="0.25">
      <c r="A97" s="201" t="s">
        <v>2448</v>
      </c>
      <c r="B97" s="60">
        <v>78.12</v>
      </c>
      <c r="C97" s="60">
        <v>118.84</v>
      </c>
      <c r="D97" s="60">
        <v>128.22999999999999</v>
      </c>
      <c r="E97" s="60">
        <v>3.7</v>
      </c>
      <c r="F97" s="60">
        <v>0.08</v>
      </c>
      <c r="G97" s="60">
        <v>122.79</v>
      </c>
      <c r="H97" s="60">
        <v>38.24</v>
      </c>
      <c r="I97" s="60">
        <v>0.94</v>
      </c>
      <c r="J97" s="60">
        <v>0.12</v>
      </c>
      <c r="K97" s="60">
        <v>105.36</v>
      </c>
      <c r="L97" s="60">
        <v>23.17</v>
      </c>
      <c r="M97" s="60">
        <v>41.17</v>
      </c>
      <c r="N97" s="60">
        <v>4.2</v>
      </c>
      <c r="O97" s="60">
        <v>0</v>
      </c>
      <c r="P97" s="60">
        <v>1.93</v>
      </c>
      <c r="Q97" s="60">
        <v>33.090000000000003</v>
      </c>
      <c r="S97" s="198"/>
      <c r="T97" s="198"/>
      <c r="U97" s="198"/>
    </row>
    <row r="98" spans="1:33" s="12" customFormat="1" x14ac:dyDescent="0.25">
      <c r="A98" s="201" t="s">
        <v>2449</v>
      </c>
      <c r="B98" s="60">
        <v>86.04</v>
      </c>
      <c r="C98" s="60">
        <v>120.79</v>
      </c>
      <c r="D98" s="60">
        <v>135.65</v>
      </c>
      <c r="E98" s="60">
        <v>3.42</v>
      </c>
      <c r="F98" s="60">
        <v>0.05</v>
      </c>
      <c r="G98" s="60">
        <v>122.79</v>
      </c>
      <c r="H98" s="60">
        <v>38.24</v>
      </c>
      <c r="I98" s="60">
        <v>0.97</v>
      </c>
      <c r="J98" s="60">
        <v>0.04</v>
      </c>
      <c r="K98" s="60">
        <v>214.4</v>
      </c>
      <c r="L98" s="60">
        <v>22.85</v>
      </c>
      <c r="M98" s="60">
        <v>43.17</v>
      </c>
      <c r="N98" s="60">
        <v>4.0999999999999996</v>
      </c>
      <c r="O98" s="60">
        <v>0</v>
      </c>
      <c r="P98" s="60">
        <v>2</v>
      </c>
      <c r="Q98" s="60">
        <v>33.520000000000003</v>
      </c>
      <c r="S98" s="198"/>
      <c r="T98" s="198"/>
      <c r="U98" s="198"/>
    </row>
    <row r="99" spans="1:33" s="12" customFormat="1" x14ac:dyDescent="0.25">
      <c r="A99" s="201" t="s">
        <v>2450</v>
      </c>
      <c r="B99" s="60">
        <v>90.6</v>
      </c>
      <c r="C99" s="60">
        <v>121.18</v>
      </c>
      <c r="D99" s="60">
        <v>139.53</v>
      </c>
      <c r="E99" s="60">
        <v>3.74</v>
      </c>
      <c r="F99" s="60">
        <v>7.0000000000000007E-2</v>
      </c>
      <c r="G99" s="60">
        <v>129.19999999999999</v>
      </c>
      <c r="H99" s="60">
        <v>42.48</v>
      </c>
      <c r="I99" s="60">
        <v>1</v>
      </c>
      <c r="J99" s="60">
        <v>0.02</v>
      </c>
      <c r="K99" s="60">
        <v>292.44</v>
      </c>
      <c r="L99" s="60">
        <v>22.36</v>
      </c>
      <c r="M99" s="60">
        <v>46.36</v>
      </c>
      <c r="N99" s="60">
        <v>4.4000000000000004</v>
      </c>
      <c r="O99" s="60">
        <v>0</v>
      </c>
      <c r="P99" s="60">
        <v>2.04</v>
      </c>
      <c r="Q99" s="60">
        <v>33.69</v>
      </c>
      <c r="S99" s="198"/>
      <c r="T99" s="198"/>
      <c r="U99" s="198"/>
    </row>
    <row r="100" spans="1:33" s="12" customFormat="1" x14ac:dyDescent="0.25">
      <c r="A100" s="201" t="s">
        <v>2451</v>
      </c>
      <c r="B100" s="60">
        <v>101.04</v>
      </c>
      <c r="C100" s="60">
        <v>123.69</v>
      </c>
      <c r="D100" s="60">
        <v>149.29</v>
      </c>
      <c r="E100" s="60">
        <v>3.93</v>
      </c>
      <c r="F100" s="60">
        <v>0.05</v>
      </c>
      <c r="G100" s="60">
        <v>132.24</v>
      </c>
      <c r="H100" s="60">
        <v>44.49</v>
      </c>
      <c r="I100" s="60">
        <v>1.04</v>
      </c>
      <c r="J100" s="60">
        <v>0.08</v>
      </c>
      <c r="K100" s="60">
        <v>87.95</v>
      </c>
      <c r="L100" s="60">
        <v>21.79</v>
      </c>
      <c r="M100" s="60">
        <v>48.68</v>
      </c>
      <c r="N100" s="60">
        <v>4.4000000000000004</v>
      </c>
      <c r="O100" s="60">
        <v>0</v>
      </c>
      <c r="P100" s="60">
        <v>2.04</v>
      </c>
      <c r="Q100" s="60">
        <v>33.64</v>
      </c>
      <c r="S100" s="198"/>
      <c r="T100" s="198"/>
      <c r="U100" s="198"/>
      <c r="AB100" s="110"/>
      <c r="AG100" s="109"/>
    </row>
    <row r="101" spans="1:33" s="12" customFormat="1" x14ac:dyDescent="0.25">
      <c r="A101" s="201" t="s">
        <v>2452</v>
      </c>
      <c r="B101" s="60">
        <v>103.88</v>
      </c>
      <c r="C101" s="60">
        <v>124.53</v>
      </c>
      <c r="D101" s="60">
        <v>152.03</v>
      </c>
      <c r="E101" s="60">
        <v>4.03</v>
      </c>
      <c r="F101" s="60">
        <v>0.01</v>
      </c>
      <c r="G101" s="60">
        <v>132.24</v>
      </c>
      <c r="H101" s="60">
        <v>44.49</v>
      </c>
      <c r="I101" s="60">
        <v>1.08</v>
      </c>
      <c r="J101" s="60">
        <v>0.13</v>
      </c>
      <c r="K101" s="60">
        <v>315.39999999999998</v>
      </c>
      <c r="L101" s="60">
        <v>21.7</v>
      </c>
      <c r="M101" s="60">
        <v>48.35</v>
      </c>
      <c r="N101" s="60">
        <v>3.9</v>
      </c>
      <c r="O101" s="60">
        <v>0</v>
      </c>
      <c r="P101" s="60">
        <v>2.04</v>
      </c>
      <c r="Q101" s="60">
        <v>33.31</v>
      </c>
      <c r="S101" s="198"/>
      <c r="T101" s="198"/>
      <c r="U101" s="198"/>
    </row>
    <row r="102" spans="1:33" s="12" customFormat="1" x14ac:dyDescent="0.25">
      <c r="A102" s="201" t="s">
        <v>2453</v>
      </c>
      <c r="B102" s="60">
        <v>99.72</v>
      </c>
      <c r="C102" s="60">
        <v>123.03</v>
      </c>
      <c r="D102" s="60">
        <v>147.87</v>
      </c>
      <c r="E102" s="60">
        <v>3.93</v>
      </c>
      <c r="F102" s="215" t="s">
        <v>42</v>
      </c>
      <c r="G102" s="60">
        <v>132.24</v>
      </c>
      <c r="H102" s="60">
        <v>44.49</v>
      </c>
      <c r="I102" s="60">
        <v>1.1000000000000001</v>
      </c>
      <c r="J102" s="60">
        <v>0.04</v>
      </c>
      <c r="K102" s="60">
        <v>19.64</v>
      </c>
      <c r="L102" s="60">
        <v>21.46</v>
      </c>
      <c r="M102" s="60">
        <v>47.25</v>
      </c>
      <c r="N102" s="60">
        <v>4.4000000000000004</v>
      </c>
      <c r="O102" s="60">
        <v>0</v>
      </c>
      <c r="P102" s="60">
        <v>2.04</v>
      </c>
      <c r="Q102" s="60">
        <v>33.31</v>
      </c>
      <c r="S102" s="198"/>
      <c r="T102" s="198"/>
      <c r="U102" s="198"/>
    </row>
    <row r="103" spans="1:33" s="12" customFormat="1" x14ac:dyDescent="0.25">
      <c r="A103" s="201" t="s">
        <v>2454</v>
      </c>
      <c r="B103" s="60">
        <v>115.66</v>
      </c>
      <c r="C103" s="60">
        <v>125.81</v>
      </c>
      <c r="D103" s="60">
        <v>162.18</v>
      </c>
      <c r="E103" s="60">
        <v>3.79</v>
      </c>
      <c r="F103" s="215" t="s">
        <v>42</v>
      </c>
      <c r="G103" s="60">
        <v>138.88</v>
      </c>
      <c r="H103" s="60">
        <v>46.44</v>
      </c>
      <c r="I103" s="60">
        <v>1.1100000000000001</v>
      </c>
      <c r="J103" s="60">
        <v>0.1</v>
      </c>
      <c r="K103" s="60">
        <v>97.96</v>
      </c>
      <c r="L103" s="60">
        <v>21.41</v>
      </c>
      <c r="M103" s="60">
        <v>50.85</v>
      </c>
      <c r="N103" s="60">
        <v>4.0999999999999996</v>
      </c>
      <c r="O103" s="60">
        <v>0</v>
      </c>
      <c r="P103" s="60">
        <v>2.09</v>
      </c>
      <c r="Q103" s="60">
        <v>33.19</v>
      </c>
      <c r="S103" s="198"/>
      <c r="T103" s="198"/>
      <c r="U103" s="198"/>
    </row>
    <row r="104" spans="1:33" s="12" customFormat="1" x14ac:dyDescent="0.25">
      <c r="A104" s="201" t="s">
        <v>2455</v>
      </c>
      <c r="B104" s="60">
        <v>110.57</v>
      </c>
      <c r="C104" s="60">
        <v>123.45</v>
      </c>
      <c r="D104" s="60">
        <v>156.80000000000001</v>
      </c>
      <c r="E104" s="60">
        <v>2.62</v>
      </c>
      <c r="F104" s="215" t="s">
        <v>42</v>
      </c>
      <c r="G104" s="60">
        <v>142.04</v>
      </c>
      <c r="H104" s="60">
        <v>47.42</v>
      </c>
      <c r="I104" s="60">
        <v>1.1200000000000001</v>
      </c>
      <c r="J104" s="60">
        <v>0.12</v>
      </c>
      <c r="K104" s="60">
        <v>280.58</v>
      </c>
      <c r="L104" s="60">
        <v>21.57</v>
      </c>
      <c r="M104" s="60">
        <v>48.53</v>
      </c>
      <c r="N104" s="60">
        <v>3.7</v>
      </c>
      <c r="O104" s="60">
        <v>0</v>
      </c>
      <c r="P104" s="60">
        <v>2.06</v>
      </c>
      <c r="Q104" s="60">
        <v>33.5</v>
      </c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1.1299999999999999</v>
      </c>
      <c r="C106" s="67">
        <f>MIN(C9:C104)</f>
        <v>79.430000000000007</v>
      </c>
      <c r="D106" s="67">
        <f t="shared" ref="D106:Q106" si="0">MIN(D9:D104)</f>
        <v>45.75</v>
      </c>
      <c r="E106" s="67">
        <f t="shared" si="0"/>
        <v>1.98</v>
      </c>
      <c r="F106" s="67">
        <f t="shared" si="0"/>
        <v>0.01</v>
      </c>
      <c r="G106" s="67">
        <f t="shared" si="0"/>
        <v>32.270000000000003</v>
      </c>
      <c r="H106" s="67">
        <f t="shared" si="0"/>
        <v>15.49</v>
      </c>
      <c r="I106" s="67">
        <f t="shared" si="0"/>
        <v>0.53</v>
      </c>
      <c r="J106" s="67">
        <f t="shared" si="0"/>
        <v>0.01</v>
      </c>
      <c r="K106" s="67">
        <f t="shared" si="0"/>
        <v>0.76</v>
      </c>
      <c r="L106" s="67">
        <f t="shared" si="0"/>
        <v>17.260000000000002</v>
      </c>
      <c r="M106" s="67">
        <f t="shared" si="0"/>
        <v>14.34</v>
      </c>
      <c r="N106" s="67">
        <f t="shared" si="0"/>
        <v>2.8</v>
      </c>
      <c r="O106" s="67">
        <f t="shared" si="0"/>
        <v>0</v>
      </c>
      <c r="P106" s="67">
        <f t="shared" si="0"/>
        <v>0.55000000000000004</v>
      </c>
      <c r="Q106" s="67">
        <f t="shared" si="0"/>
        <v>22.77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115.66</v>
      </c>
      <c r="C107" s="66">
        <f t="shared" ref="C107:Q107" si="1">MAX(C9:C104)</f>
        <v>125.81</v>
      </c>
      <c r="D107" s="66">
        <f t="shared" si="1"/>
        <v>162.18</v>
      </c>
      <c r="E107" s="66">
        <f t="shared" si="1"/>
        <v>9.61</v>
      </c>
      <c r="F107" s="66">
        <f t="shared" si="1"/>
        <v>6</v>
      </c>
      <c r="G107" s="66">
        <f t="shared" si="1"/>
        <v>184.59</v>
      </c>
      <c r="H107" s="66">
        <f t="shared" si="1"/>
        <v>54.12</v>
      </c>
      <c r="I107" s="66">
        <f t="shared" si="1"/>
        <v>1.1200000000000001</v>
      </c>
      <c r="J107" s="66">
        <f t="shared" si="1"/>
        <v>1.85</v>
      </c>
      <c r="K107" s="66">
        <f t="shared" si="1"/>
        <v>359.82</v>
      </c>
      <c r="L107" s="66">
        <f t="shared" si="1"/>
        <v>38.24</v>
      </c>
      <c r="M107" s="66">
        <f t="shared" si="1"/>
        <v>63.89</v>
      </c>
      <c r="N107" s="66">
        <f t="shared" si="1"/>
        <v>592.4</v>
      </c>
      <c r="O107" s="66">
        <f t="shared" si="1"/>
        <v>0</v>
      </c>
      <c r="P107" s="66">
        <f t="shared" si="1"/>
        <v>2.09</v>
      </c>
      <c r="Q107" s="66">
        <f t="shared" si="1"/>
        <v>34.28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45.944375000000001</v>
      </c>
      <c r="C108" s="67">
        <f t="shared" ref="C108:Q108" si="2">AVERAGE(C9:C104)</f>
        <v>106.31614583333338</v>
      </c>
      <c r="D108" s="67">
        <f t="shared" si="2"/>
        <v>95.517604166666715</v>
      </c>
      <c r="E108" s="67">
        <f t="shared" si="2"/>
        <v>4.1842708333333327</v>
      </c>
      <c r="F108" s="67">
        <f t="shared" si="2"/>
        <v>1.7773417721518998</v>
      </c>
      <c r="G108" s="67">
        <f t="shared" si="2"/>
        <v>84.889374999999987</v>
      </c>
      <c r="H108" s="67">
        <f t="shared" si="2"/>
        <v>35.267812500000005</v>
      </c>
      <c r="I108" s="67">
        <f t="shared" si="2"/>
        <v>0.75791666666666646</v>
      </c>
      <c r="J108" s="67">
        <f t="shared" si="2"/>
        <v>0.40593750000000001</v>
      </c>
      <c r="K108" s="67">
        <f t="shared" si="2"/>
        <v>179.39895833333341</v>
      </c>
      <c r="L108" s="67">
        <f t="shared" si="2"/>
        <v>27.053125000000005</v>
      </c>
      <c r="M108" s="67">
        <f t="shared" si="2"/>
        <v>35.310416666666669</v>
      </c>
      <c r="N108" s="67">
        <f t="shared" si="2"/>
        <v>167.64270833333333</v>
      </c>
      <c r="O108" s="67">
        <f t="shared" si="2"/>
        <v>0</v>
      </c>
      <c r="P108" s="67">
        <f t="shared" si="2"/>
        <v>1.2766666666666666</v>
      </c>
      <c r="Q108" s="67">
        <f t="shared" si="2"/>
        <v>29.114583333333332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37.027987787689234</v>
      </c>
      <c r="C109" s="67">
        <f t="shared" ref="C109:Q109" si="3">STDEV(C9:C104)</f>
        <v>12.779244139560879</v>
      </c>
      <c r="D109" s="67">
        <f t="shared" si="3"/>
        <v>34.873481064671068</v>
      </c>
      <c r="E109" s="67">
        <f t="shared" si="3"/>
        <v>1.050087459807806</v>
      </c>
      <c r="F109" s="67">
        <f t="shared" si="3"/>
        <v>1.7493974851878091</v>
      </c>
      <c r="G109" s="67">
        <f t="shared" si="3"/>
        <v>38.824530628877362</v>
      </c>
      <c r="H109" s="67">
        <f t="shared" si="3"/>
        <v>13.016573176905563</v>
      </c>
      <c r="I109" s="67">
        <f t="shared" si="3"/>
        <v>0.16642948035076477</v>
      </c>
      <c r="J109" s="67">
        <f t="shared" si="3"/>
        <v>0.43100025186218061</v>
      </c>
      <c r="K109" s="67">
        <f t="shared" si="3"/>
        <v>146.09191437317563</v>
      </c>
      <c r="L109" s="67">
        <f t="shared" si="3"/>
        <v>7.318874275316789</v>
      </c>
      <c r="M109" s="67">
        <f t="shared" si="3"/>
        <v>17.915968702847273</v>
      </c>
      <c r="N109" s="67">
        <f t="shared" si="3"/>
        <v>216.46675628800574</v>
      </c>
      <c r="O109" s="67">
        <f t="shared" si="3"/>
        <v>0</v>
      </c>
      <c r="P109" s="67">
        <f t="shared" si="3"/>
        <v>0.46621356449517559</v>
      </c>
      <c r="Q109" s="67">
        <f t="shared" si="3"/>
        <v>3.4779845696417673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>COUNT(F9:F104)+17</f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215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J111" sqref="J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24-02-2023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340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2456</v>
      </c>
      <c r="B9" s="60">
        <v>109.66</v>
      </c>
      <c r="C9" s="60">
        <v>122.04</v>
      </c>
      <c r="D9" s="60">
        <v>155.29</v>
      </c>
      <c r="E9" s="60">
        <v>4.6100000000000003</v>
      </c>
      <c r="F9" s="60">
        <v>0.04</v>
      </c>
      <c r="G9" s="60">
        <v>142.04</v>
      </c>
      <c r="H9" s="60">
        <v>47.42</v>
      </c>
      <c r="I9" s="60">
        <v>1.1499999999999999</v>
      </c>
      <c r="J9" s="60">
        <v>0.14000000000000001</v>
      </c>
      <c r="K9" s="60">
        <v>358.17</v>
      </c>
      <c r="L9" s="60">
        <v>21.17</v>
      </c>
      <c r="M9" s="60">
        <v>52.53</v>
      </c>
      <c r="N9" s="60">
        <v>4.4000000000000004</v>
      </c>
      <c r="O9" s="60">
        <v>0</v>
      </c>
      <c r="P9" s="60">
        <v>2.0699999999999998</v>
      </c>
      <c r="Q9" s="60">
        <v>34.25</v>
      </c>
      <c r="R9" s="198"/>
      <c r="S9" s="198"/>
      <c r="T9" s="198"/>
      <c r="U9" s="198"/>
    </row>
    <row r="10" spans="1:21" s="12" customFormat="1" x14ac:dyDescent="0.25">
      <c r="A10" s="201" t="s">
        <v>2457</v>
      </c>
      <c r="B10" s="60">
        <v>111.61</v>
      </c>
      <c r="C10" s="60">
        <v>121.23</v>
      </c>
      <c r="D10" s="60">
        <v>156.41</v>
      </c>
      <c r="E10" s="60">
        <v>4.9800000000000004</v>
      </c>
      <c r="F10" s="60">
        <v>0.08</v>
      </c>
      <c r="G10" s="60">
        <v>142.04</v>
      </c>
      <c r="H10" s="60">
        <v>47.42</v>
      </c>
      <c r="I10" s="60">
        <v>1.1499999999999999</v>
      </c>
      <c r="J10" s="60">
        <v>0.17</v>
      </c>
      <c r="K10" s="60">
        <v>299.47000000000003</v>
      </c>
      <c r="L10" s="60">
        <v>21.14</v>
      </c>
      <c r="M10" s="60">
        <v>49.3</v>
      </c>
      <c r="N10" s="60">
        <v>3.8</v>
      </c>
      <c r="O10" s="60">
        <v>0</v>
      </c>
      <c r="P10" s="60">
        <v>2.06</v>
      </c>
      <c r="Q10" s="60">
        <v>34.64</v>
      </c>
      <c r="R10" s="198"/>
      <c r="S10" s="198"/>
      <c r="T10" s="198"/>
      <c r="U10" s="198"/>
    </row>
    <row r="11" spans="1:21" s="12" customFormat="1" x14ac:dyDescent="0.25">
      <c r="A11" s="201" t="s">
        <v>2458</v>
      </c>
      <c r="B11" s="60">
        <v>109.04</v>
      </c>
      <c r="C11" s="60">
        <v>118.94</v>
      </c>
      <c r="D11" s="60">
        <v>153.08000000000001</v>
      </c>
      <c r="E11" s="60">
        <v>5.04</v>
      </c>
      <c r="F11" s="60">
        <v>0.02</v>
      </c>
      <c r="G11" s="60">
        <v>148.22</v>
      </c>
      <c r="H11" s="60">
        <v>49.28</v>
      </c>
      <c r="I11" s="60">
        <v>1.17</v>
      </c>
      <c r="J11" s="60">
        <v>0.12</v>
      </c>
      <c r="K11" s="60">
        <v>123.44</v>
      </c>
      <c r="L11" s="60">
        <v>20.74</v>
      </c>
      <c r="M11" s="60">
        <v>51.42</v>
      </c>
      <c r="N11" s="60">
        <v>4.2</v>
      </c>
      <c r="O11" s="60">
        <v>0</v>
      </c>
      <c r="P11" s="60">
        <v>2.04</v>
      </c>
      <c r="Q11" s="60">
        <v>34.82</v>
      </c>
      <c r="R11" s="198"/>
      <c r="S11" s="198"/>
      <c r="T11" s="198"/>
      <c r="U11" s="198"/>
    </row>
    <row r="12" spans="1:21" s="12" customFormat="1" x14ac:dyDescent="0.25">
      <c r="A12" s="201" t="s">
        <v>2459</v>
      </c>
      <c r="B12" s="60">
        <v>110.31</v>
      </c>
      <c r="C12" s="60">
        <v>118.78</v>
      </c>
      <c r="D12" s="60">
        <v>154.01</v>
      </c>
      <c r="E12" s="60">
        <v>4.9800000000000004</v>
      </c>
      <c r="F12" s="60">
        <v>0.13</v>
      </c>
      <c r="G12" s="60">
        <v>151.15</v>
      </c>
      <c r="H12" s="60">
        <v>50.16</v>
      </c>
      <c r="I12" s="60">
        <v>1.17</v>
      </c>
      <c r="J12" s="60">
        <v>0.16</v>
      </c>
      <c r="K12" s="60">
        <v>305.98</v>
      </c>
      <c r="L12" s="60">
        <v>20.59</v>
      </c>
      <c r="M12" s="60">
        <v>51.33</v>
      </c>
      <c r="N12" s="60">
        <v>4.2</v>
      </c>
      <c r="O12" s="60">
        <v>0</v>
      </c>
      <c r="P12" s="60">
        <v>2.0299999999999998</v>
      </c>
      <c r="Q12" s="60">
        <v>35.380000000000003</v>
      </c>
      <c r="R12" s="198"/>
      <c r="S12" s="198"/>
      <c r="T12" s="198"/>
      <c r="U12" s="198"/>
    </row>
    <row r="13" spans="1:21" s="12" customFormat="1" x14ac:dyDescent="0.25">
      <c r="A13" s="201" t="s">
        <v>2460</v>
      </c>
      <c r="B13" s="60">
        <v>107.66</v>
      </c>
      <c r="C13" s="60">
        <v>117.8</v>
      </c>
      <c r="D13" s="60">
        <v>151.34</v>
      </c>
      <c r="E13" s="60">
        <v>4.7699999999999996</v>
      </c>
      <c r="F13" s="60">
        <v>0.18</v>
      </c>
      <c r="G13" s="60">
        <v>151.15</v>
      </c>
      <c r="H13" s="60">
        <v>50.16</v>
      </c>
      <c r="I13" s="60">
        <v>1.17</v>
      </c>
      <c r="J13" s="60">
        <v>7.0000000000000007E-2</v>
      </c>
      <c r="K13" s="60">
        <v>25.62</v>
      </c>
      <c r="L13" s="60">
        <v>20.399999999999999</v>
      </c>
      <c r="M13" s="60">
        <v>53.17</v>
      </c>
      <c r="N13" s="60">
        <v>4.3</v>
      </c>
      <c r="O13" s="60">
        <v>0</v>
      </c>
      <c r="P13" s="60">
        <v>1.77</v>
      </c>
      <c r="Q13" s="60">
        <v>35.76</v>
      </c>
      <c r="R13" s="198"/>
      <c r="S13" s="198"/>
      <c r="T13" s="198"/>
      <c r="U13" s="198"/>
    </row>
    <row r="14" spans="1:21" s="12" customFormat="1" x14ac:dyDescent="0.25">
      <c r="A14" s="201" t="s">
        <v>2461</v>
      </c>
      <c r="B14" s="60">
        <v>104.34</v>
      </c>
      <c r="C14" s="60">
        <v>116.09</v>
      </c>
      <c r="D14" s="60">
        <v>147.74</v>
      </c>
      <c r="E14" s="60">
        <v>4.46</v>
      </c>
      <c r="F14" s="60">
        <v>0.02</v>
      </c>
      <c r="G14" s="60">
        <v>151.15</v>
      </c>
      <c r="H14" s="60">
        <v>50.16</v>
      </c>
      <c r="I14" s="60">
        <v>1.17</v>
      </c>
      <c r="J14" s="60">
        <v>0.15</v>
      </c>
      <c r="K14" s="60">
        <v>16.41</v>
      </c>
      <c r="L14" s="60">
        <v>19.989999999999998</v>
      </c>
      <c r="M14" s="60">
        <v>57</v>
      </c>
      <c r="N14" s="60">
        <v>4.5</v>
      </c>
      <c r="O14" s="60">
        <v>0</v>
      </c>
      <c r="P14" s="60">
        <v>1.84</v>
      </c>
      <c r="Q14" s="60">
        <v>35.479999999999997</v>
      </c>
      <c r="R14" s="198"/>
      <c r="S14" s="198"/>
      <c r="T14" s="198"/>
      <c r="U14" s="198"/>
    </row>
    <row r="15" spans="1:21" s="12" customFormat="1" x14ac:dyDescent="0.25">
      <c r="A15" s="201" t="s">
        <v>2462</v>
      </c>
      <c r="B15" s="60">
        <v>101.49</v>
      </c>
      <c r="C15" s="60">
        <v>114.45</v>
      </c>
      <c r="D15" s="60">
        <v>144.55000000000001</v>
      </c>
      <c r="E15" s="60">
        <v>4.75</v>
      </c>
      <c r="F15" s="215" t="s">
        <v>42</v>
      </c>
      <c r="G15" s="60">
        <v>130.47</v>
      </c>
      <c r="H15" s="60">
        <v>48.3</v>
      </c>
      <c r="I15" s="60">
        <v>1.1399999999999999</v>
      </c>
      <c r="J15" s="60">
        <v>0.2</v>
      </c>
      <c r="K15" s="60">
        <v>352.05</v>
      </c>
      <c r="L15" s="60">
        <v>20.28</v>
      </c>
      <c r="M15" s="60">
        <v>54.25</v>
      </c>
      <c r="N15" s="60">
        <v>3.4</v>
      </c>
      <c r="O15" s="60">
        <v>0</v>
      </c>
      <c r="P15" s="60">
        <v>1.8</v>
      </c>
      <c r="Q15" s="60">
        <v>35</v>
      </c>
      <c r="R15" s="198"/>
      <c r="S15" s="198"/>
      <c r="T15" s="198"/>
      <c r="U15" s="198"/>
    </row>
    <row r="16" spans="1:21" s="12" customFormat="1" x14ac:dyDescent="0.25">
      <c r="A16" s="201" t="s">
        <v>2463</v>
      </c>
      <c r="B16" s="60">
        <v>96.44</v>
      </c>
      <c r="C16" s="60">
        <v>113.07</v>
      </c>
      <c r="D16" s="60">
        <v>139.74</v>
      </c>
      <c r="E16" s="60">
        <v>4.5</v>
      </c>
      <c r="F16" s="215" t="s">
        <v>42</v>
      </c>
      <c r="G16" s="60">
        <v>120.12</v>
      </c>
      <c r="H16" s="60">
        <v>47.37</v>
      </c>
      <c r="I16" s="60">
        <v>1.05</v>
      </c>
      <c r="J16" s="60">
        <v>0.1</v>
      </c>
      <c r="K16" s="60">
        <v>29.61</v>
      </c>
      <c r="L16" s="60">
        <v>20.61</v>
      </c>
      <c r="M16" s="60">
        <v>51.6</v>
      </c>
      <c r="N16" s="60">
        <v>4.0999999999999996</v>
      </c>
      <c r="O16" s="60">
        <v>0</v>
      </c>
      <c r="P16" s="60">
        <v>1.75</v>
      </c>
      <c r="Q16" s="60">
        <v>34.46</v>
      </c>
      <c r="R16" s="198"/>
      <c r="S16" s="198"/>
      <c r="T16" s="198"/>
      <c r="U16" s="198"/>
    </row>
    <row r="17" spans="1:21" s="12" customFormat="1" x14ac:dyDescent="0.25">
      <c r="A17" s="201" t="s">
        <v>2464</v>
      </c>
      <c r="B17" s="60">
        <v>90.39</v>
      </c>
      <c r="C17" s="60">
        <v>112.06</v>
      </c>
      <c r="D17" s="60">
        <v>134.33000000000001</v>
      </c>
      <c r="E17" s="60">
        <v>4.68</v>
      </c>
      <c r="F17" s="215" t="s">
        <v>42</v>
      </c>
      <c r="G17" s="60">
        <v>120.12</v>
      </c>
      <c r="H17" s="60">
        <v>47.37</v>
      </c>
      <c r="I17" s="60">
        <v>1.05</v>
      </c>
      <c r="J17" s="60">
        <v>0.15</v>
      </c>
      <c r="K17" s="60">
        <v>241.33</v>
      </c>
      <c r="L17" s="60">
        <v>21.11</v>
      </c>
      <c r="M17" s="60">
        <v>49.07</v>
      </c>
      <c r="N17" s="60">
        <v>3.5</v>
      </c>
      <c r="O17" s="60">
        <v>0</v>
      </c>
      <c r="P17" s="60">
        <v>1.69</v>
      </c>
      <c r="Q17" s="60">
        <v>34.049999999999997</v>
      </c>
      <c r="R17" s="198"/>
      <c r="S17" s="198"/>
      <c r="T17" s="198"/>
      <c r="U17" s="198"/>
    </row>
    <row r="18" spans="1:21" s="12" customFormat="1" x14ac:dyDescent="0.25">
      <c r="A18" s="201" t="s">
        <v>2465</v>
      </c>
      <c r="B18" s="60">
        <v>83.83</v>
      </c>
      <c r="C18" s="60">
        <v>111.41</v>
      </c>
      <c r="D18" s="60">
        <v>128.71</v>
      </c>
      <c r="E18" s="60">
        <v>4.8600000000000003</v>
      </c>
      <c r="F18" s="60">
        <v>0.02</v>
      </c>
      <c r="G18" s="60">
        <v>120.12</v>
      </c>
      <c r="H18" s="60">
        <v>47.37</v>
      </c>
      <c r="I18" s="60">
        <v>1</v>
      </c>
      <c r="J18" s="60">
        <v>0.09</v>
      </c>
      <c r="K18" s="60">
        <v>154.41</v>
      </c>
      <c r="L18" s="60">
        <v>20.76</v>
      </c>
      <c r="M18" s="60">
        <v>50.88</v>
      </c>
      <c r="N18" s="60">
        <v>4.2</v>
      </c>
      <c r="O18" s="60">
        <v>0</v>
      </c>
      <c r="P18" s="60">
        <v>1.65</v>
      </c>
      <c r="Q18" s="60">
        <v>33.75</v>
      </c>
      <c r="R18" s="198"/>
      <c r="S18" s="198"/>
      <c r="T18" s="198"/>
      <c r="U18" s="198"/>
    </row>
    <row r="19" spans="1:21" s="12" customFormat="1" x14ac:dyDescent="0.25">
      <c r="A19" s="201" t="s">
        <v>2466</v>
      </c>
      <c r="B19" s="60">
        <v>72.47</v>
      </c>
      <c r="C19" s="60">
        <v>109.91</v>
      </c>
      <c r="D19" s="60">
        <v>118.77</v>
      </c>
      <c r="E19" s="60">
        <v>4.59</v>
      </c>
      <c r="F19" s="215" t="s">
        <v>42</v>
      </c>
      <c r="G19" s="60">
        <v>103.4</v>
      </c>
      <c r="H19" s="60">
        <v>46.24</v>
      </c>
      <c r="I19" s="60">
        <v>0.94</v>
      </c>
      <c r="J19" s="60">
        <v>0.09</v>
      </c>
      <c r="K19" s="60">
        <v>40.08</v>
      </c>
      <c r="L19" s="60">
        <v>20.18</v>
      </c>
      <c r="M19" s="60">
        <v>54.56</v>
      </c>
      <c r="N19" s="60">
        <v>4.5999999999999996</v>
      </c>
      <c r="O19" s="60">
        <v>0</v>
      </c>
      <c r="P19" s="60">
        <v>1.61</v>
      </c>
      <c r="Q19" s="60">
        <v>33.07</v>
      </c>
      <c r="R19" s="198"/>
      <c r="S19" s="198"/>
      <c r="T19" s="198"/>
      <c r="U19" s="198"/>
    </row>
    <row r="20" spans="1:21" s="12" customFormat="1" x14ac:dyDescent="0.25">
      <c r="A20" s="201" t="s">
        <v>2467</v>
      </c>
      <c r="B20" s="60">
        <v>71.05</v>
      </c>
      <c r="C20" s="60">
        <v>109.43</v>
      </c>
      <c r="D20" s="60">
        <v>117.37</v>
      </c>
      <c r="E20" s="60">
        <v>5.12</v>
      </c>
      <c r="F20" s="215" t="s">
        <v>42</v>
      </c>
      <c r="G20" s="60">
        <v>95.04</v>
      </c>
      <c r="H20" s="60">
        <v>45.68</v>
      </c>
      <c r="I20" s="60">
        <v>0.92</v>
      </c>
      <c r="J20" s="60">
        <v>0.23</v>
      </c>
      <c r="K20" s="60">
        <v>113.7</v>
      </c>
      <c r="L20" s="60">
        <v>20.12</v>
      </c>
      <c r="M20" s="60">
        <v>53.64</v>
      </c>
      <c r="N20" s="60">
        <v>3.9</v>
      </c>
      <c r="O20" s="60">
        <v>0</v>
      </c>
      <c r="P20" s="60">
        <v>1.59</v>
      </c>
      <c r="Q20" s="60">
        <v>32.51</v>
      </c>
      <c r="R20" s="198"/>
      <c r="S20" s="198"/>
      <c r="T20" s="198"/>
      <c r="U20" s="198"/>
    </row>
    <row r="21" spans="1:21" s="12" customFormat="1" x14ac:dyDescent="0.25">
      <c r="A21" s="201" t="s">
        <v>2468</v>
      </c>
      <c r="B21" s="60">
        <v>70.13</v>
      </c>
      <c r="C21" s="60">
        <v>109.13</v>
      </c>
      <c r="D21" s="60">
        <v>116.47</v>
      </c>
      <c r="E21" s="60">
        <v>4.7699999999999996</v>
      </c>
      <c r="F21" s="60">
        <v>0.01</v>
      </c>
      <c r="G21" s="60">
        <v>95.04</v>
      </c>
      <c r="H21" s="60">
        <v>45.68</v>
      </c>
      <c r="I21" s="60">
        <v>0.9</v>
      </c>
      <c r="J21" s="60">
        <v>0.28000000000000003</v>
      </c>
      <c r="K21" s="60">
        <v>106.7</v>
      </c>
      <c r="L21" s="60">
        <v>20.39</v>
      </c>
      <c r="M21" s="60">
        <v>54.05</v>
      </c>
      <c r="N21" s="60">
        <v>3.5</v>
      </c>
      <c r="O21" s="60">
        <v>0</v>
      </c>
      <c r="P21" s="60">
        <v>1.57</v>
      </c>
      <c r="Q21" s="60">
        <v>32.369999999999997</v>
      </c>
      <c r="R21" s="198"/>
      <c r="S21" s="198"/>
      <c r="T21" s="198"/>
      <c r="U21" s="198"/>
    </row>
    <row r="22" spans="1:21" s="12" customFormat="1" x14ac:dyDescent="0.25">
      <c r="A22" s="201" t="s">
        <v>2469</v>
      </c>
      <c r="B22" s="60">
        <v>66.099999999999994</v>
      </c>
      <c r="C22" s="60">
        <v>107.79</v>
      </c>
      <c r="D22" s="60">
        <v>112.49</v>
      </c>
      <c r="E22" s="60">
        <v>5.45</v>
      </c>
      <c r="F22" s="60">
        <v>0.11</v>
      </c>
      <c r="G22" s="60">
        <v>95.04</v>
      </c>
      <c r="H22" s="60">
        <v>45.68</v>
      </c>
      <c r="I22" s="60">
        <v>0.9</v>
      </c>
      <c r="J22" s="60">
        <v>0.18</v>
      </c>
      <c r="K22" s="60">
        <v>79.48</v>
      </c>
      <c r="L22" s="60">
        <v>20.260000000000002</v>
      </c>
      <c r="M22" s="60">
        <v>55.48</v>
      </c>
      <c r="N22" s="60">
        <v>4.0999999999999996</v>
      </c>
      <c r="O22" s="60">
        <v>0</v>
      </c>
      <c r="P22" s="60">
        <v>1.56</v>
      </c>
      <c r="Q22" s="60">
        <v>32.32</v>
      </c>
      <c r="R22" s="198"/>
      <c r="S22" s="198"/>
      <c r="T22" s="198"/>
      <c r="U22" s="198"/>
    </row>
    <row r="23" spans="1:21" s="12" customFormat="1" x14ac:dyDescent="0.25">
      <c r="A23" s="201" t="s">
        <v>2470</v>
      </c>
      <c r="B23" s="60">
        <v>63.41</v>
      </c>
      <c r="C23" s="60">
        <v>106.11</v>
      </c>
      <c r="D23" s="60">
        <v>109.41</v>
      </c>
      <c r="E23" s="60">
        <v>4.84</v>
      </c>
      <c r="F23" s="60">
        <v>0.1</v>
      </c>
      <c r="G23" s="60">
        <v>106.93</v>
      </c>
      <c r="H23" s="60">
        <v>50.66</v>
      </c>
      <c r="I23" s="60">
        <v>0.9</v>
      </c>
      <c r="J23" s="60">
        <v>0.11</v>
      </c>
      <c r="K23" s="60">
        <v>74.849999999999994</v>
      </c>
      <c r="L23" s="60">
        <v>20.53</v>
      </c>
      <c r="M23" s="60">
        <v>54.12</v>
      </c>
      <c r="N23" s="60">
        <v>3.9</v>
      </c>
      <c r="O23" s="60">
        <v>0</v>
      </c>
      <c r="P23" s="60">
        <v>1.53</v>
      </c>
      <c r="Q23" s="60">
        <v>31.95</v>
      </c>
      <c r="R23" s="198"/>
      <c r="S23" s="198"/>
      <c r="T23" s="198"/>
      <c r="U23" s="198"/>
    </row>
    <row r="24" spans="1:21" s="12" customFormat="1" x14ac:dyDescent="0.25">
      <c r="A24" s="201" t="s">
        <v>2471</v>
      </c>
      <c r="B24" s="60">
        <v>60.43</v>
      </c>
      <c r="C24" s="60">
        <v>104.85</v>
      </c>
      <c r="D24" s="60">
        <v>106.33</v>
      </c>
      <c r="E24" s="60">
        <v>2.64</v>
      </c>
      <c r="F24" s="60">
        <v>0.01</v>
      </c>
      <c r="G24" s="60">
        <v>112.87</v>
      </c>
      <c r="H24" s="60">
        <v>53.15</v>
      </c>
      <c r="I24" s="60">
        <v>0.89</v>
      </c>
      <c r="J24" s="60">
        <v>0.05</v>
      </c>
      <c r="K24" s="60">
        <v>293.14</v>
      </c>
      <c r="L24" s="60">
        <v>19.89</v>
      </c>
      <c r="M24" s="60">
        <v>57.37</v>
      </c>
      <c r="N24" s="60">
        <v>4.4000000000000004</v>
      </c>
      <c r="O24" s="60">
        <v>0</v>
      </c>
      <c r="P24" s="60">
        <v>1.51</v>
      </c>
      <c r="Q24" s="60">
        <v>31.34</v>
      </c>
      <c r="R24" s="198"/>
      <c r="S24" s="198"/>
      <c r="T24" s="198"/>
      <c r="U24" s="198"/>
    </row>
    <row r="25" spans="1:21" s="12" customFormat="1" x14ac:dyDescent="0.25">
      <c r="A25" s="201" t="s">
        <v>2472</v>
      </c>
      <c r="B25" s="60">
        <v>56.19</v>
      </c>
      <c r="C25" s="60">
        <v>102.32</v>
      </c>
      <c r="D25" s="60">
        <v>101.53</v>
      </c>
      <c r="E25" s="60">
        <v>3.88</v>
      </c>
      <c r="F25" s="6" t="s">
        <v>42</v>
      </c>
      <c r="G25" s="60">
        <v>112.87</v>
      </c>
      <c r="H25" s="60">
        <v>53.15</v>
      </c>
      <c r="I25" s="60">
        <v>0.88</v>
      </c>
      <c r="J25" s="60">
        <v>0.06</v>
      </c>
      <c r="K25" s="60">
        <v>53.52</v>
      </c>
      <c r="L25" s="60">
        <v>19.32</v>
      </c>
      <c r="M25" s="60">
        <v>59.08</v>
      </c>
      <c r="N25" s="60">
        <v>4.5</v>
      </c>
      <c r="O25" s="60">
        <v>0</v>
      </c>
      <c r="P25" s="60">
        <v>1.47</v>
      </c>
      <c r="Q25" s="60">
        <v>31.3</v>
      </c>
      <c r="R25" s="198"/>
      <c r="S25" s="198"/>
      <c r="T25" s="198"/>
      <c r="U25" s="198"/>
    </row>
    <row r="26" spans="1:21" s="12" customFormat="1" x14ac:dyDescent="0.25">
      <c r="A26" s="201" t="s">
        <v>2473</v>
      </c>
      <c r="B26" s="60">
        <v>55.55</v>
      </c>
      <c r="C26" s="60">
        <v>102.46</v>
      </c>
      <c r="D26" s="60">
        <v>101.1</v>
      </c>
      <c r="E26" s="60">
        <v>3.85</v>
      </c>
      <c r="F26" s="60">
        <v>0.01</v>
      </c>
      <c r="G26" s="60">
        <v>112.87</v>
      </c>
      <c r="H26" s="60">
        <v>53.15</v>
      </c>
      <c r="I26" s="60">
        <v>0.87</v>
      </c>
      <c r="J26" s="60">
        <v>0.23</v>
      </c>
      <c r="K26" s="60">
        <v>88.2</v>
      </c>
      <c r="L26" s="60">
        <v>19.399999999999999</v>
      </c>
      <c r="M26" s="60">
        <v>57.62</v>
      </c>
      <c r="N26" s="60">
        <v>4.0999999999999996</v>
      </c>
      <c r="O26" s="60">
        <v>0</v>
      </c>
      <c r="P26" s="60">
        <v>1.45</v>
      </c>
      <c r="Q26" s="60">
        <v>31.51</v>
      </c>
      <c r="R26" s="198"/>
      <c r="S26" s="198"/>
      <c r="T26" s="198"/>
      <c r="U26" s="198"/>
    </row>
    <row r="27" spans="1:21" s="12" customFormat="1" x14ac:dyDescent="0.25">
      <c r="A27" s="201" t="s">
        <v>2474</v>
      </c>
      <c r="B27" s="60">
        <v>55.94</v>
      </c>
      <c r="C27" s="60">
        <v>102.95</v>
      </c>
      <c r="D27" s="60">
        <v>101.67</v>
      </c>
      <c r="E27" s="60">
        <v>3.78</v>
      </c>
      <c r="F27" s="60">
        <v>0.03</v>
      </c>
      <c r="G27" s="60">
        <v>89.06</v>
      </c>
      <c r="H27" s="60">
        <v>47.74</v>
      </c>
      <c r="I27" s="60">
        <v>0.85</v>
      </c>
      <c r="J27" s="60">
        <v>0.33</v>
      </c>
      <c r="K27" s="60">
        <v>99.6</v>
      </c>
      <c r="L27" s="60">
        <v>19.510000000000002</v>
      </c>
      <c r="M27" s="60">
        <v>58.68</v>
      </c>
      <c r="N27" s="60">
        <v>3.6</v>
      </c>
      <c r="O27" s="60">
        <v>0</v>
      </c>
      <c r="P27" s="60">
        <v>1.42</v>
      </c>
      <c r="Q27" s="60">
        <v>32.11</v>
      </c>
      <c r="R27" s="198"/>
      <c r="S27" s="198"/>
      <c r="T27" s="198"/>
      <c r="U27" s="198"/>
    </row>
    <row r="28" spans="1:21" s="12" customFormat="1" x14ac:dyDescent="0.25">
      <c r="A28" s="201" t="s">
        <v>2475</v>
      </c>
      <c r="B28" s="60">
        <v>53.51</v>
      </c>
      <c r="C28" s="60">
        <v>102.55</v>
      </c>
      <c r="D28" s="60">
        <v>99.5</v>
      </c>
      <c r="E28" s="60">
        <v>3.15</v>
      </c>
      <c r="F28" s="215" t="s">
        <v>42</v>
      </c>
      <c r="G28" s="60">
        <v>77.16</v>
      </c>
      <c r="H28" s="60">
        <v>45.04</v>
      </c>
      <c r="I28" s="60">
        <v>0.84</v>
      </c>
      <c r="J28" s="60">
        <v>0.16</v>
      </c>
      <c r="K28" s="60">
        <v>141.68</v>
      </c>
      <c r="L28" s="60">
        <v>19.77</v>
      </c>
      <c r="M28" s="60">
        <v>58.04</v>
      </c>
      <c r="N28" s="60">
        <v>4</v>
      </c>
      <c r="O28" s="60">
        <v>0</v>
      </c>
      <c r="P28" s="60">
        <v>1.39</v>
      </c>
      <c r="Q28" s="60">
        <v>32.06</v>
      </c>
      <c r="R28" s="198"/>
      <c r="S28" s="198"/>
      <c r="T28" s="198"/>
      <c r="U28" s="198"/>
    </row>
    <row r="29" spans="1:21" s="12" customFormat="1" x14ac:dyDescent="0.25">
      <c r="A29" s="201" t="s">
        <v>2476</v>
      </c>
      <c r="B29" s="60">
        <v>50.69</v>
      </c>
      <c r="C29" s="60">
        <v>102.12</v>
      </c>
      <c r="D29" s="60">
        <v>97.01</v>
      </c>
      <c r="E29" s="60">
        <v>3.49</v>
      </c>
      <c r="F29" s="215" t="s">
        <v>42</v>
      </c>
      <c r="G29" s="60">
        <v>77.16</v>
      </c>
      <c r="H29" s="60">
        <v>45.04</v>
      </c>
      <c r="I29" s="60">
        <v>0.83</v>
      </c>
      <c r="J29" s="60">
        <v>0.19</v>
      </c>
      <c r="K29" s="60">
        <v>100.11</v>
      </c>
      <c r="L29" s="60">
        <v>20.5</v>
      </c>
      <c r="M29" s="60">
        <v>51.02</v>
      </c>
      <c r="N29" s="60">
        <v>3.3</v>
      </c>
      <c r="O29" s="60">
        <v>0</v>
      </c>
      <c r="P29" s="60">
        <v>1.37</v>
      </c>
      <c r="Q29" s="60">
        <v>32.090000000000003</v>
      </c>
      <c r="R29" s="198"/>
      <c r="S29" s="198"/>
      <c r="T29" s="198"/>
      <c r="U29" s="198"/>
    </row>
    <row r="30" spans="1:21" s="12" customFormat="1" x14ac:dyDescent="0.25">
      <c r="A30" s="201" t="s">
        <v>2477</v>
      </c>
      <c r="B30" s="60">
        <v>48.55</v>
      </c>
      <c r="C30" s="60">
        <v>101.78</v>
      </c>
      <c r="D30" s="60">
        <v>95.1</v>
      </c>
      <c r="E30" s="60">
        <v>3.82</v>
      </c>
      <c r="F30" s="215" t="s">
        <v>42</v>
      </c>
      <c r="G30" s="60">
        <v>77.16</v>
      </c>
      <c r="H30" s="60">
        <v>45.04</v>
      </c>
      <c r="I30" s="60">
        <v>0.81</v>
      </c>
      <c r="J30" s="60">
        <v>0.11</v>
      </c>
      <c r="K30" s="60">
        <v>302.14999999999998</v>
      </c>
      <c r="L30" s="60">
        <v>19.97</v>
      </c>
      <c r="M30" s="60">
        <v>56.31</v>
      </c>
      <c r="N30" s="60">
        <v>4.5999999999999996</v>
      </c>
      <c r="O30" s="60">
        <v>0</v>
      </c>
      <c r="P30" s="60">
        <v>1.36</v>
      </c>
      <c r="Q30" s="60">
        <v>31.79</v>
      </c>
      <c r="R30" s="198"/>
      <c r="S30" s="198"/>
      <c r="T30" s="198"/>
      <c r="U30" s="198"/>
    </row>
    <row r="31" spans="1:21" s="12" customFormat="1" x14ac:dyDescent="0.25">
      <c r="A31" s="201" t="s">
        <v>2478</v>
      </c>
      <c r="B31" s="60">
        <v>48.55</v>
      </c>
      <c r="C31" s="60">
        <v>101.74</v>
      </c>
      <c r="D31" s="60">
        <v>95.08</v>
      </c>
      <c r="E31" s="60">
        <v>3.85</v>
      </c>
      <c r="F31" s="215" t="s">
        <v>42</v>
      </c>
      <c r="G31" s="60">
        <v>92.21</v>
      </c>
      <c r="H31" s="60">
        <v>46.67</v>
      </c>
      <c r="I31" s="60">
        <v>0.8</v>
      </c>
      <c r="J31" s="60">
        <v>0.16</v>
      </c>
      <c r="K31" s="60">
        <v>184.92</v>
      </c>
      <c r="L31" s="60">
        <v>19.57</v>
      </c>
      <c r="M31" s="60">
        <v>59.01</v>
      </c>
      <c r="N31" s="60">
        <v>4.2</v>
      </c>
      <c r="O31" s="60">
        <v>0</v>
      </c>
      <c r="P31" s="60">
        <v>1.36</v>
      </c>
      <c r="Q31" s="60">
        <v>31.42</v>
      </c>
      <c r="R31" s="198"/>
      <c r="S31" s="198"/>
      <c r="T31" s="198"/>
      <c r="U31" s="198"/>
    </row>
    <row r="32" spans="1:21" s="12" customFormat="1" x14ac:dyDescent="0.25">
      <c r="A32" s="201" t="s">
        <v>2479</v>
      </c>
      <c r="B32" s="60">
        <v>48.81</v>
      </c>
      <c r="C32" s="60">
        <v>101.56</v>
      </c>
      <c r="D32" s="60">
        <v>95.19</v>
      </c>
      <c r="E32" s="60">
        <v>3.44</v>
      </c>
      <c r="F32" s="215" t="s">
        <v>42</v>
      </c>
      <c r="G32" s="60">
        <v>99.74</v>
      </c>
      <c r="H32" s="60">
        <v>47.49</v>
      </c>
      <c r="I32" s="60">
        <v>0.79</v>
      </c>
      <c r="J32" s="60">
        <v>0.31</v>
      </c>
      <c r="K32" s="60">
        <v>185.38</v>
      </c>
      <c r="L32" s="60">
        <v>19.149999999999999</v>
      </c>
      <c r="M32" s="60">
        <v>62.86</v>
      </c>
      <c r="N32" s="60">
        <v>4.3</v>
      </c>
      <c r="O32" s="60">
        <v>0</v>
      </c>
      <c r="P32" s="60">
        <v>1.35</v>
      </c>
      <c r="Q32" s="60">
        <v>31.21</v>
      </c>
      <c r="R32" s="198"/>
      <c r="S32" s="198"/>
      <c r="T32" s="198"/>
      <c r="U32" s="198"/>
    </row>
    <row r="33" spans="1:21" s="12" customFormat="1" x14ac:dyDescent="0.25">
      <c r="A33" s="201" t="s">
        <v>2480</v>
      </c>
      <c r="B33" s="60">
        <v>48.32</v>
      </c>
      <c r="C33" s="60">
        <v>100.91</v>
      </c>
      <c r="D33" s="60">
        <v>94.43</v>
      </c>
      <c r="E33" s="60">
        <v>4.1399999999999997</v>
      </c>
      <c r="F33" s="215" t="s">
        <v>42</v>
      </c>
      <c r="G33" s="60">
        <v>99.74</v>
      </c>
      <c r="H33" s="60">
        <v>47.49</v>
      </c>
      <c r="I33" s="60">
        <v>0.77</v>
      </c>
      <c r="J33" s="60">
        <v>0.48</v>
      </c>
      <c r="K33" s="60">
        <v>179.84</v>
      </c>
      <c r="L33" s="60">
        <v>18.95</v>
      </c>
      <c r="M33" s="60">
        <v>63.35</v>
      </c>
      <c r="N33" s="60">
        <v>4.5</v>
      </c>
      <c r="O33" s="60">
        <v>0</v>
      </c>
      <c r="P33" s="60">
        <v>1.33</v>
      </c>
      <c r="Q33" s="60">
        <v>30.74</v>
      </c>
      <c r="R33" s="198"/>
      <c r="S33" s="198"/>
      <c r="T33" s="198"/>
      <c r="U33" s="198"/>
    </row>
    <row r="34" spans="1:21" s="12" customFormat="1" x14ac:dyDescent="0.25">
      <c r="A34" s="201" t="s">
        <v>2481</v>
      </c>
      <c r="B34" s="60">
        <v>47.23</v>
      </c>
      <c r="C34" s="60">
        <v>99.82</v>
      </c>
      <c r="D34" s="60">
        <v>92.96</v>
      </c>
      <c r="E34" s="60">
        <v>3.33</v>
      </c>
      <c r="F34" s="215" t="s">
        <v>42</v>
      </c>
      <c r="G34" s="60">
        <v>99.74</v>
      </c>
      <c r="H34" s="60">
        <v>47.49</v>
      </c>
      <c r="I34" s="60">
        <v>0.76</v>
      </c>
      <c r="J34" s="60">
        <v>0.02</v>
      </c>
      <c r="K34" s="60">
        <v>296.17</v>
      </c>
      <c r="L34" s="60">
        <v>18.53</v>
      </c>
      <c r="M34" s="60">
        <v>64.87</v>
      </c>
      <c r="N34" s="60">
        <v>8.1</v>
      </c>
      <c r="O34" s="60">
        <v>0</v>
      </c>
      <c r="P34" s="60">
        <v>1.32</v>
      </c>
      <c r="Q34" s="60">
        <v>30.27</v>
      </c>
      <c r="R34" s="198"/>
      <c r="S34" s="198"/>
      <c r="T34" s="198"/>
      <c r="U34" s="198"/>
    </row>
    <row r="35" spans="1:21" s="12" customFormat="1" x14ac:dyDescent="0.25">
      <c r="A35" s="201" t="s">
        <v>2482</v>
      </c>
      <c r="B35" s="60">
        <v>47.72</v>
      </c>
      <c r="C35" s="60">
        <v>100.42</v>
      </c>
      <c r="D35" s="60">
        <v>93.68</v>
      </c>
      <c r="E35" s="60">
        <v>3.2</v>
      </c>
      <c r="F35" s="215" t="s">
        <v>42</v>
      </c>
      <c r="G35" s="60">
        <v>92.75</v>
      </c>
      <c r="H35" s="60">
        <v>44.41</v>
      </c>
      <c r="I35" s="60">
        <v>0.75</v>
      </c>
      <c r="J35" s="60">
        <v>0.16</v>
      </c>
      <c r="K35" s="60">
        <v>265.08999999999997</v>
      </c>
      <c r="L35" s="60">
        <v>18.55</v>
      </c>
      <c r="M35" s="60">
        <v>64.69</v>
      </c>
      <c r="N35" s="60">
        <v>17.399999999999999</v>
      </c>
      <c r="O35" s="60">
        <v>0</v>
      </c>
      <c r="P35" s="60">
        <v>1.32</v>
      </c>
      <c r="Q35" s="60">
        <v>30.01</v>
      </c>
      <c r="R35" s="198"/>
      <c r="S35" s="198"/>
      <c r="T35" s="198"/>
      <c r="U35" s="198"/>
    </row>
    <row r="36" spans="1:21" s="12" customFormat="1" x14ac:dyDescent="0.25">
      <c r="A36" s="201" t="s">
        <v>2483</v>
      </c>
      <c r="B36" s="60">
        <v>50.45</v>
      </c>
      <c r="C36" s="60">
        <v>99.74</v>
      </c>
      <c r="D36" s="60">
        <v>95.5</v>
      </c>
      <c r="E36" s="60">
        <v>3.38</v>
      </c>
      <c r="F36" s="215" t="s">
        <v>42</v>
      </c>
      <c r="G36" s="60">
        <v>89.26</v>
      </c>
      <c r="H36" s="60">
        <v>42.87</v>
      </c>
      <c r="I36" s="60">
        <v>0.75</v>
      </c>
      <c r="J36" s="60">
        <v>0.12</v>
      </c>
      <c r="K36" s="60">
        <v>316.76</v>
      </c>
      <c r="L36" s="60">
        <v>18.71</v>
      </c>
      <c r="M36" s="60">
        <v>65.930000000000007</v>
      </c>
      <c r="N36" s="60">
        <v>32.700000000000003</v>
      </c>
      <c r="O36" s="60">
        <v>0</v>
      </c>
      <c r="P36" s="60">
        <v>1.33</v>
      </c>
      <c r="Q36" s="60">
        <v>29.9</v>
      </c>
      <c r="R36" s="198"/>
      <c r="S36" s="198"/>
      <c r="T36" s="198"/>
      <c r="U36" s="198"/>
    </row>
    <row r="37" spans="1:21" s="12" customFormat="1" x14ac:dyDescent="0.25">
      <c r="A37" s="201" t="s">
        <v>2484</v>
      </c>
      <c r="B37" s="60">
        <v>57.06</v>
      </c>
      <c r="C37" s="60">
        <v>101.42</v>
      </c>
      <c r="D37" s="60">
        <v>101.73</v>
      </c>
      <c r="E37" s="60">
        <v>3.32</v>
      </c>
      <c r="F37" s="215" t="s">
        <v>42</v>
      </c>
      <c r="G37" s="60">
        <v>89.26</v>
      </c>
      <c r="H37" s="60">
        <v>42.87</v>
      </c>
      <c r="I37" s="60">
        <v>0.75</v>
      </c>
      <c r="J37" s="60">
        <v>0.17</v>
      </c>
      <c r="K37" s="60">
        <v>45.5</v>
      </c>
      <c r="L37" s="60">
        <v>19.82</v>
      </c>
      <c r="M37" s="60">
        <v>63.97</v>
      </c>
      <c r="N37" s="60">
        <v>84.4</v>
      </c>
      <c r="O37" s="60">
        <v>0</v>
      </c>
      <c r="P37" s="60">
        <v>1.35</v>
      </c>
      <c r="Q37" s="60">
        <v>30.17</v>
      </c>
      <c r="R37" s="198"/>
      <c r="S37" s="198"/>
      <c r="T37" s="198"/>
      <c r="U37" s="198"/>
    </row>
    <row r="38" spans="1:21" s="12" customFormat="1" x14ac:dyDescent="0.25">
      <c r="A38" s="201" t="s">
        <v>2485</v>
      </c>
      <c r="B38" s="60">
        <v>63.07</v>
      </c>
      <c r="C38" s="60">
        <v>100.85</v>
      </c>
      <c r="D38" s="60">
        <v>106.23</v>
      </c>
      <c r="E38" s="60">
        <v>4.0199999999999996</v>
      </c>
      <c r="F38" s="215" t="s">
        <v>42</v>
      </c>
      <c r="G38" s="60">
        <v>89.26</v>
      </c>
      <c r="H38" s="60">
        <v>42.87</v>
      </c>
      <c r="I38" s="60">
        <v>0.75</v>
      </c>
      <c r="J38" s="60">
        <v>0.06</v>
      </c>
      <c r="K38" s="60">
        <v>9.49</v>
      </c>
      <c r="L38" s="60">
        <v>22.39</v>
      </c>
      <c r="M38" s="60">
        <v>57.29</v>
      </c>
      <c r="N38" s="60">
        <v>128.69999999999999</v>
      </c>
      <c r="O38" s="60">
        <v>0</v>
      </c>
      <c r="P38" s="60">
        <v>1.45</v>
      </c>
      <c r="Q38" s="60">
        <v>30.57</v>
      </c>
      <c r="R38" s="198"/>
      <c r="S38" s="198"/>
      <c r="T38" s="198"/>
      <c r="U38" s="198"/>
    </row>
    <row r="39" spans="1:21" s="12" customFormat="1" x14ac:dyDescent="0.25">
      <c r="A39" s="201" t="s">
        <v>2486</v>
      </c>
      <c r="B39" s="60">
        <v>72.98</v>
      </c>
      <c r="C39" s="60">
        <v>101.68</v>
      </c>
      <c r="D39" s="60">
        <v>114.63</v>
      </c>
      <c r="E39" s="60">
        <v>4.75</v>
      </c>
      <c r="F39" s="60">
        <v>0.01</v>
      </c>
      <c r="G39" s="60">
        <v>158.18</v>
      </c>
      <c r="H39" s="60">
        <v>47.87</v>
      </c>
      <c r="I39" s="60">
        <v>0.77</v>
      </c>
      <c r="J39" s="60">
        <v>0.06</v>
      </c>
      <c r="K39" s="60">
        <v>180.53</v>
      </c>
      <c r="L39" s="60">
        <v>25.12</v>
      </c>
      <c r="M39" s="60">
        <v>44.87</v>
      </c>
      <c r="N39" s="60">
        <v>173.2</v>
      </c>
      <c r="O39" s="60">
        <v>0</v>
      </c>
      <c r="P39" s="60">
        <v>1.54</v>
      </c>
      <c r="Q39" s="60">
        <v>30.93</v>
      </c>
      <c r="R39" s="198"/>
      <c r="S39" s="198"/>
      <c r="T39" s="198"/>
      <c r="U39" s="198"/>
    </row>
    <row r="40" spans="1:21" s="12" customFormat="1" x14ac:dyDescent="0.25">
      <c r="A40" s="201" t="s">
        <v>2487</v>
      </c>
      <c r="B40" s="60">
        <v>71.290000000000006</v>
      </c>
      <c r="C40" s="60">
        <v>103.42</v>
      </c>
      <c r="D40" s="60">
        <v>114.25</v>
      </c>
      <c r="E40" s="60">
        <v>2.64</v>
      </c>
      <c r="F40" s="60">
        <v>7.0000000000000007E-2</v>
      </c>
      <c r="G40" s="60">
        <v>192.65</v>
      </c>
      <c r="H40" s="60">
        <v>50.37</v>
      </c>
      <c r="I40" s="60">
        <v>0.79</v>
      </c>
      <c r="J40" s="60">
        <v>0.26</v>
      </c>
      <c r="K40" s="60">
        <v>357.35</v>
      </c>
      <c r="L40" s="60">
        <v>27.69</v>
      </c>
      <c r="M40" s="60">
        <v>39</v>
      </c>
      <c r="N40" s="60">
        <v>216</v>
      </c>
      <c r="O40" s="60">
        <v>0</v>
      </c>
      <c r="P40" s="60">
        <v>1.57</v>
      </c>
      <c r="Q40" s="60">
        <v>31.58</v>
      </c>
      <c r="R40" s="198"/>
      <c r="S40" s="198"/>
      <c r="T40" s="198"/>
      <c r="U40" s="198"/>
    </row>
    <row r="41" spans="1:21" s="12" customFormat="1" x14ac:dyDescent="0.25">
      <c r="A41" s="201" t="s">
        <v>2488</v>
      </c>
      <c r="B41" s="60">
        <v>67.180000000000007</v>
      </c>
      <c r="C41" s="60">
        <v>105.42</v>
      </c>
      <c r="D41" s="60">
        <v>112.05</v>
      </c>
      <c r="E41" s="60">
        <v>5.49</v>
      </c>
      <c r="F41" s="60">
        <v>0.08</v>
      </c>
      <c r="G41" s="60">
        <v>192.65</v>
      </c>
      <c r="H41" s="60">
        <v>50.37</v>
      </c>
      <c r="I41" s="60">
        <v>0.8</v>
      </c>
      <c r="J41" s="60">
        <v>0.85</v>
      </c>
      <c r="K41" s="60">
        <v>18.55</v>
      </c>
      <c r="L41" s="60">
        <v>28.74</v>
      </c>
      <c r="M41" s="60">
        <v>31.2</v>
      </c>
      <c r="N41" s="60">
        <v>266.60000000000002</v>
      </c>
      <c r="O41" s="60">
        <v>0</v>
      </c>
      <c r="P41" s="60">
        <v>1.56</v>
      </c>
      <c r="Q41" s="60">
        <v>32.840000000000003</v>
      </c>
      <c r="R41" s="198"/>
      <c r="S41" s="198"/>
      <c r="T41" s="198"/>
      <c r="U41" s="198"/>
    </row>
    <row r="42" spans="1:21" s="12" customFormat="1" x14ac:dyDescent="0.25">
      <c r="A42" s="201" t="s">
        <v>2489</v>
      </c>
      <c r="B42" s="60">
        <v>64.42</v>
      </c>
      <c r="C42" s="60">
        <v>107.29</v>
      </c>
      <c r="D42" s="60">
        <v>110.88</v>
      </c>
      <c r="E42" s="60">
        <v>5.5</v>
      </c>
      <c r="F42" s="60">
        <v>0.2</v>
      </c>
      <c r="G42" s="60">
        <v>192.65</v>
      </c>
      <c r="H42" s="60">
        <v>50.37</v>
      </c>
      <c r="I42" s="60">
        <v>0.81</v>
      </c>
      <c r="J42" s="60">
        <v>0.39</v>
      </c>
      <c r="K42" s="60">
        <v>52.96</v>
      </c>
      <c r="L42" s="60">
        <v>29.01</v>
      </c>
      <c r="M42" s="60">
        <v>30.86</v>
      </c>
      <c r="N42" s="60">
        <v>315.60000000000002</v>
      </c>
      <c r="O42" s="60">
        <v>0</v>
      </c>
      <c r="P42" s="60">
        <v>1.53</v>
      </c>
      <c r="Q42" s="60">
        <v>32.950000000000003</v>
      </c>
      <c r="R42" s="198"/>
      <c r="S42" s="198"/>
      <c r="T42" s="198"/>
      <c r="U42" s="198"/>
    </row>
    <row r="43" spans="1:21" s="12" customFormat="1" x14ac:dyDescent="0.25">
      <c r="A43" s="201" t="s">
        <v>2490</v>
      </c>
      <c r="B43" s="60">
        <v>60.33</v>
      </c>
      <c r="C43" s="60">
        <v>107.76</v>
      </c>
      <c r="D43" s="60">
        <v>107.85</v>
      </c>
      <c r="E43" s="60">
        <v>5.71</v>
      </c>
      <c r="F43" s="60">
        <v>0.21</v>
      </c>
      <c r="G43" s="60">
        <v>135.47999999999999</v>
      </c>
      <c r="H43" s="60">
        <v>49.54</v>
      </c>
      <c r="I43" s="60">
        <v>0.81</v>
      </c>
      <c r="J43" s="60">
        <v>0.59</v>
      </c>
      <c r="K43" s="60">
        <v>21.01</v>
      </c>
      <c r="L43" s="60">
        <v>29.7</v>
      </c>
      <c r="M43" s="60">
        <v>28.97</v>
      </c>
      <c r="N43" s="60">
        <v>363.6</v>
      </c>
      <c r="O43" s="60">
        <v>0</v>
      </c>
      <c r="P43" s="60">
        <v>1.49</v>
      </c>
      <c r="Q43" s="60">
        <v>32.92</v>
      </c>
      <c r="R43" s="198"/>
      <c r="S43" s="198"/>
      <c r="T43" s="198"/>
      <c r="U43" s="198"/>
    </row>
    <row r="44" spans="1:21" s="12" customFormat="1" x14ac:dyDescent="0.25">
      <c r="A44" s="201" t="s">
        <v>2491</v>
      </c>
      <c r="B44" s="60">
        <v>55.45</v>
      </c>
      <c r="C44" s="60">
        <v>109.46</v>
      </c>
      <c r="D44" s="60">
        <v>104.87</v>
      </c>
      <c r="E44" s="60">
        <v>5.96</v>
      </c>
      <c r="F44" s="60">
        <v>0.28000000000000003</v>
      </c>
      <c r="G44" s="60">
        <v>108.3</v>
      </c>
      <c r="H44" s="60">
        <v>49.13</v>
      </c>
      <c r="I44" s="60">
        <v>0.79</v>
      </c>
      <c r="J44" s="60">
        <v>0.61</v>
      </c>
      <c r="K44" s="60">
        <v>38.590000000000003</v>
      </c>
      <c r="L44" s="60">
        <v>30.25</v>
      </c>
      <c r="M44" s="60">
        <v>28.73</v>
      </c>
      <c r="N44" s="60">
        <v>419.9</v>
      </c>
      <c r="O44" s="60">
        <v>0</v>
      </c>
      <c r="P44" s="60">
        <v>1.44</v>
      </c>
      <c r="Q44" s="60">
        <v>32.78</v>
      </c>
      <c r="R44" s="198"/>
      <c r="S44" s="198"/>
      <c r="T44" s="198"/>
      <c r="U44" s="198"/>
    </row>
    <row r="45" spans="1:21" s="12" customFormat="1" x14ac:dyDescent="0.25">
      <c r="A45" s="201" t="s">
        <v>2492</v>
      </c>
      <c r="B45" s="60">
        <v>52.4</v>
      </c>
      <c r="C45" s="60">
        <v>112.23</v>
      </c>
      <c r="D45" s="60">
        <v>103.96</v>
      </c>
      <c r="E45" s="60">
        <v>6.18</v>
      </c>
      <c r="F45" s="60">
        <v>0.21</v>
      </c>
      <c r="G45" s="60">
        <v>108.3</v>
      </c>
      <c r="H45" s="60">
        <v>49.13</v>
      </c>
      <c r="I45" s="60">
        <v>0.77</v>
      </c>
      <c r="J45" s="60">
        <v>0.66</v>
      </c>
      <c r="K45" s="60">
        <v>46.39</v>
      </c>
      <c r="L45" s="60">
        <v>30.44</v>
      </c>
      <c r="M45" s="60">
        <v>28.32</v>
      </c>
      <c r="N45" s="60">
        <v>472.1</v>
      </c>
      <c r="O45" s="60">
        <v>0</v>
      </c>
      <c r="P45" s="60">
        <v>1.4</v>
      </c>
      <c r="Q45" s="60">
        <v>32.549999999999997</v>
      </c>
      <c r="R45" s="198"/>
      <c r="S45" s="198"/>
      <c r="T45" s="198"/>
      <c r="U45" s="198"/>
    </row>
    <row r="46" spans="1:21" s="12" customFormat="1" x14ac:dyDescent="0.25">
      <c r="A46" s="201" t="s">
        <v>2493</v>
      </c>
      <c r="B46" s="60">
        <v>50.48</v>
      </c>
      <c r="C46" s="60">
        <v>115.37</v>
      </c>
      <c r="D46" s="60">
        <v>104.15</v>
      </c>
      <c r="E46" s="60">
        <v>6.51</v>
      </c>
      <c r="F46" s="60">
        <v>0.21</v>
      </c>
      <c r="G46" s="60">
        <v>108.3</v>
      </c>
      <c r="H46" s="60">
        <v>49.13</v>
      </c>
      <c r="I46" s="60">
        <v>0.75</v>
      </c>
      <c r="J46" s="60">
        <v>0.71</v>
      </c>
      <c r="K46" s="60">
        <v>21.15</v>
      </c>
      <c r="L46" s="60">
        <v>32.200000000000003</v>
      </c>
      <c r="M46" s="60">
        <v>26.01</v>
      </c>
      <c r="N46" s="60">
        <v>511.3</v>
      </c>
      <c r="O46" s="60">
        <v>0</v>
      </c>
      <c r="P46" s="60">
        <v>1.36</v>
      </c>
      <c r="Q46" s="60">
        <v>32.380000000000003</v>
      </c>
      <c r="R46" s="198"/>
      <c r="S46" s="198"/>
      <c r="T46" s="198"/>
      <c r="U46" s="198"/>
    </row>
    <row r="47" spans="1:21" s="12" customFormat="1" x14ac:dyDescent="0.25">
      <c r="A47" s="201" t="s">
        <v>2494</v>
      </c>
      <c r="B47" s="60">
        <v>47.55</v>
      </c>
      <c r="C47" s="60">
        <v>115.88</v>
      </c>
      <c r="D47" s="60">
        <v>102.08</v>
      </c>
      <c r="E47" s="60">
        <v>7.17</v>
      </c>
      <c r="F47" s="60">
        <v>0.78</v>
      </c>
      <c r="G47" s="60">
        <v>87.76</v>
      </c>
      <c r="H47" s="60">
        <v>45.56</v>
      </c>
      <c r="I47" s="60">
        <v>0.74</v>
      </c>
      <c r="J47" s="60">
        <v>1.01</v>
      </c>
      <c r="K47" s="60">
        <v>112.21</v>
      </c>
      <c r="L47" s="60">
        <v>30.98</v>
      </c>
      <c r="M47" s="60">
        <v>29.13</v>
      </c>
      <c r="N47" s="60">
        <v>556.6</v>
      </c>
      <c r="O47" s="60">
        <v>0</v>
      </c>
      <c r="P47" s="60">
        <v>1.33</v>
      </c>
      <c r="Q47" s="60">
        <v>32.44</v>
      </c>
      <c r="R47" s="198"/>
      <c r="S47" s="198"/>
      <c r="T47" s="198"/>
      <c r="U47" s="198"/>
    </row>
    <row r="48" spans="1:21" s="12" customFormat="1" x14ac:dyDescent="0.25">
      <c r="A48" s="201" t="s">
        <v>2495</v>
      </c>
      <c r="B48" s="60">
        <v>43.4</v>
      </c>
      <c r="C48" s="60">
        <v>116.65</v>
      </c>
      <c r="D48" s="60">
        <v>99.18</v>
      </c>
      <c r="E48" s="60">
        <v>6.23</v>
      </c>
      <c r="F48" s="60">
        <v>1.17</v>
      </c>
      <c r="G48" s="60">
        <v>78</v>
      </c>
      <c r="H48" s="60">
        <v>43.78</v>
      </c>
      <c r="I48" s="60">
        <v>0.73</v>
      </c>
      <c r="J48" s="60">
        <v>1.2</v>
      </c>
      <c r="K48" s="60">
        <v>111.21</v>
      </c>
      <c r="L48" s="60">
        <v>29.42</v>
      </c>
      <c r="M48" s="60">
        <v>30.31</v>
      </c>
      <c r="N48" s="60">
        <v>573.29999999999995</v>
      </c>
      <c r="O48" s="60">
        <v>0</v>
      </c>
      <c r="P48" s="60">
        <v>1.3</v>
      </c>
      <c r="Q48" s="60">
        <v>32.700000000000003</v>
      </c>
      <c r="R48" s="198"/>
      <c r="S48" s="198"/>
      <c r="T48" s="198"/>
      <c r="U48" s="198"/>
    </row>
    <row r="49" spans="1:21" s="12" customFormat="1" x14ac:dyDescent="0.25">
      <c r="A49" s="201" t="s">
        <v>2496</v>
      </c>
      <c r="B49" s="60">
        <v>39.92</v>
      </c>
      <c r="C49" s="60">
        <v>111.94</v>
      </c>
      <c r="D49" s="60">
        <v>93.79</v>
      </c>
      <c r="E49" s="60">
        <v>8.24</v>
      </c>
      <c r="F49" s="60">
        <v>2.97</v>
      </c>
      <c r="G49" s="60">
        <v>78</v>
      </c>
      <c r="H49" s="60">
        <v>43.78</v>
      </c>
      <c r="I49" s="60">
        <v>0.71</v>
      </c>
      <c r="J49" s="60">
        <v>0.61</v>
      </c>
      <c r="K49" s="60">
        <v>94.03</v>
      </c>
      <c r="L49" s="60">
        <v>31.06</v>
      </c>
      <c r="M49" s="60">
        <v>27.96</v>
      </c>
      <c r="N49" s="60">
        <v>568</v>
      </c>
      <c r="O49" s="60">
        <v>0</v>
      </c>
      <c r="P49" s="60">
        <v>1.25</v>
      </c>
      <c r="Q49" s="60">
        <v>32.33</v>
      </c>
      <c r="R49" s="198"/>
      <c r="S49" s="198"/>
      <c r="T49" s="198"/>
      <c r="U49" s="198"/>
    </row>
    <row r="50" spans="1:21" s="12" customFormat="1" x14ac:dyDescent="0.25">
      <c r="A50" s="201" t="s">
        <v>2497</v>
      </c>
      <c r="B50" s="60">
        <v>38.049999999999997</v>
      </c>
      <c r="C50" s="60">
        <v>111.84</v>
      </c>
      <c r="D50" s="60">
        <v>92.23</v>
      </c>
      <c r="E50" s="60">
        <v>9.1999999999999993</v>
      </c>
      <c r="F50" s="60">
        <v>3.01</v>
      </c>
      <c r="G50" s="60">
        <v>78</v>
      </c>
      <c r="H50" s="60">
        <v>43.78</v>
      </c>
      <c r="I50" s="60">
        <v>0.7</v>
      </c>
      <c r="J50" s="60">
        <v>0.5</v>
      </c>
      <c r="K50" s="60">
        <v>89.67</v>
      </c>
      <c r="L50" s="60">
        <v>32.119999999999997</v>
      </c>
      <c r="M50" s="60">
        <v>26.71</v>
      </c>
      <c r="N50" s="60">
        <v>556.9</v>
      </c>
      <c r="O50" s="60">
        <v>0</v>
      </c>
      <c r="P50" s="60">
        <v>1.22</v>
      </c>
      <c r="Q50" s="60">
        <v>31.78</v>
      </c>
      <c r="R50" s="198"/>
      <c r="S50" s="198"/>
      <c r="T50" s="198"/>
      <c r="U50" s="198"/>
    </row>
    <row r="51" spans="1:21" s="12" customFormat="1" x14ac:dyDescent="0.25">
      <c r="A51" s="201" t="s">
        <v>2498</v>
      </c>
      <c r="B51" s="60">
        <v>34.61</v>
      </c>
      <c r="C51" s="60">
        <v>110.59</v>
      </c>
      <c r="D51" s="60">
        <v>88.79</v>
      </c>
      <c r="E51" s="60">
        <v>10</v>
      </c>
      <c r="F51" s="60">
        <v>4.87</v>
      </c>
      <c r="G51" s="60">
        <v>66.819999999999993</v>
      </c>
      <c r="H51" s="60">
        <v>39.35</v>
      </c>
      <c r="I51" s="60">
        <v>0.69</v>
      </c>
      <c r="J51" s="60">
        <v>0.33</v>
      </c>
      <c r="K51" s="60">
        <v>94.43</v>
      </c>
      <c r="L51" s="60">
        <v>32.75</v>
      </c>
      <c r="M51" s="60">
        <v>24.54</v>
      </c>
      <c r="N51" s="60">
        <v>551.29999999999995</v>
      </c>
      <c r="O51" s="60">
        <v>0</v>
      </c>
      <c r="P51" s="60">
        <v>1.1599999999999999</v>
      </c>
      <c r="Q51" s="60">
        <v>31.7</v>
      </c>
      <c r="R51" s="198"/>
      <c r="S51" s="198"/>
      <c r="T51" s="198"/>
      <c r="U51" s="198"/>
    </row>
    <row r="52" spans="1:21" s="12" customFormat="1" x14ac:dyDescent="0.25">
      <c r="A52" s="201" t="s">
        <v>2499</v>
      </c>
      <c r="B52" s="60">
        <v>33.270000000000003</v>
      </c>
      <c r="C52" s="60">
        <v>111.43</v>
      </c>
      <c r="D52" s="60">
        <v>88.18</v>
      </c>
      <c r="E52" s="60">
        <v>9.51</v>
      </c>
      <c r="F52" s="60">
        <v>4.0199999999999996</v>
      </c>
      <c r="G52" s="60">
        <v>61.51</v>
      </c>
      <c r="H52" s="60">
        <v>37.130000000000003</v>
      </c>
      <c r="I52" s="60">
        <v>0.69</v>
      </c>
      <c r="J52" s="60">
        <v>1.35</v>
      </c>
      <c r="K52" s="60">
        <v>121.73</v>
      </c>
      <c r="L52" s="60">
        <v>32.270000000000003</v>
      </c>
      <c r="M52" s="60">
        <v>24.59</v>
      </c>
      <c r="N52" s="60">
        <v>564.29999999999995</v>
      </c>
      <c r="O52" s="60">
        <v>0</v>
      </c>
      <c r="P52" s="60">
        <v>1.1499999999999999</v>
      </c>
      <c r="Q52" s="60">
        <v>31.76</v>
      </c>
      <c r="R52" s="198"/>
      <c r="S52" s="198"/>
      <c r="T52" s="198"/>
      <c r="U52" s="198"/>
    </row>
    <row r="53" spans="1:21" s="12" customFormat="1" x14ac:dyDescent="0.25">
      <c r="A53" s="201" t="s">
        <v>2500</v>
      </c>
      <c r="B53" s="60">
        <v>29.03</v>
      </c>
      <c r="C53" s="60">
        <v>110.02</v>
      </c>
      <c r="D53" s="60">
        <v>84</v>
      </c>
      <c r="E53" s="60">
        <v>7.74</v>
      </c>
      <c r="F53" s="60">
        <v>4.38</v>
      </c>
      <c r="G53" s="60">
        <v>61.51</v>
      </c>
      <c r="H53" s="60">
        <v>37.130000000000003</v>
      </c>
      <c r="I53" s="60">
        <v>0.68</v>
      </c>
      <c r="J53" s="60">
        <v>1.51</v>
      </c>
      <c r="K53" s="60">
        <v>118.76</v>
      </c>
      <c r="L53" s="60">
        <v>31.28</v>
      </c>
      <c r="M53" s="60">
        <v>24.26</v>
      </c>
      <c r="N53" s="60">
        <v>572</v>
      </c>
      <c r="O53" s="60">
        <v>0</v>
      </c>
      <c r="P53" s="60">
        <v>1.1000000000000001</v>
      </c>
      <c r="Q53" s="60">
        <v>31.59</v>
      </c>
      <c r="R53" s="198"/>
      <c r="S53" s="198"/>
      <c r="T53" s="198"/>
      <c r="U53" s="198"/>
    </row>
    <row r="54" spans="1:21" s="12" customFormat="1" x14ac:dyDescent="0.25">
      <c r="A54" s="201" t="s">
        <v>2501</v>
      </c>
      <c r="B54" s="60">
        <v>27.38</v>
      </c>
      <c r="C54" s="60">
        <v>108.68</v>
      </c>
      <c r="D54" s="60">
        <v>81.94</v>
      </c>
      <c r="E54" s="60">
        <v>8.3800000000000008</v>
      </c>
      <c r="F54" s="60">
        <v>2.96</v>
      </c>
      <c r="G54" s="60">
        <v>61.51</v>
      </c>
      <c r="H54" s="60">
        <v>37.130000000000003</v>
      </c>
      <c r="I54" s="60">
        <v>0.7</v>
      </c>
      <c r="J54" s="60">
        <v>1.33</v>
      </c>
      <c r="K54" s="60">
        <v>119.56</v>
      </c>
      <c r="L54" s="60">
        <v>31.84</v>
      </c>
      <c r="M54" s="60">
        <v>24.11</v>
      </c>
      <c r="N54" s="60">
        <v>571.9</v>
      </c>
      <c r="O54" s="60">
        <v>0</v>
      </c>
      <c r="P54" s="60">
        <v>1.06</v>
      </c>
      <c r="Q54" s="60">
        <v>31.38</v>
      </c>
      <c r="R54" s="198"/>
      <c r="S54" s="198"/>
      <c r="T54" s="198"/>
      <c r="U54" s="198"/>
    </row>
    <row r="55" spans="1:21" s="12" customFormat="1" x14ac:dyDescent="0.25">
      <c r="A55" s="201" t="s">
        <v>2502</v>
      </c>
      <c r="B55" s="60">
        <v>24.24</v>
      </c>
      <c r="C55" s="60">
        <v>110.52</v>
      </c>
      <c r="D55" s="60">
        <v>80.430000000000007</v>
      </c>
      <c r="E55" s="60">
        <v>6.62</v>
      </c>
      <c r="F55" s="60">
        <v>1.96</v>
      </c>
      <c r="G55" s="60">
        <v>57.99</v>
      </c>
      <c r="H55" s="60">
        <v>32.03</v>
      </c>
      <c r="I55" s="60">
        <v>0.7</v>
      </c>
      <c r="J55" s="60">
        <v>1.82</v>
      </c>
      <c r="K55" s="60">
        <v>117.77</v>
      </c>
      <c r="L55" s="60">
        <v>31.96</v>
      </c>
      <c r="M55" s="60">
        <v>23.72</v>
      </c>
      <c r="N55" s="60">
        <v>573.20000000000005</v>
      </c>
      <c r="O55" s="60">
        <v>0</v>
      </c>
      <c r="P55" s="60">
        <v>1.03</v>
      </c>
      <c r="Q55" s="60">
        <v>31.44</v>
      </c>
      <c r="R55" s="198"/>
      <c r="S55" s="198"/>
      <c r="T55" s="198"/>
      <c r="U55" s="198"/>
    </row>
    <row r="56" spans="1:21" s="12" customFormat="1" x14ac:dyDescent="0.25">
      <c r="A56" s="201" t="s">
        <v>2503</v>
      </c>
      <c r="B56" s="60">
        <v>19.86</v>
      </c>
      <c r="C56" s="60">
        <v>111.52</v>
      </c>
      <c r="D56" s="60">
        <v>77.47</v>
      </c>
      <c r="E56" s="60">
        <v>3.17</v>
      </c>
      <c r="F56" s="60">
        <v>3.2</v>
      </c>
      <c r="G56" s="60">
        <v>56.32</v>
      </c>
      <c r="H56" s="60">
        <v>29.48</v>
      </c>
      <c r="I56" s="60">
        <v>0.69</v>
      </c>
      <c r="J56" s="60">
        <v>0.62</v>
      </c>
      <c r="K56" s="60">
        <v>126.36</v>
      </c>
      <c r="L56" s="60">
        <v>32.76</v>
      </c>
      <c r="M56" s="60">
        <v>22.17</v>
      </c>
      <c r="N56" s="60">
        <v>562.70000000000005</v>
      </c>
      <c r="O56" s="60">
        <v>0</v>
      </c>
      <c r="P56" s="60">
        <v>0.96</v>
      </c>
      <c r="Q56" s="60">
        <v>31.5</v>
      </c>
      <c r="R56" s="198"/>
      <c r="S56" s="198"/>
      <c r="T56" s="198"/>
      <c r="U56" s="198"/>
    </row>
    <row r="57" spans="1:21" s="12" customFormat="1" x14ac:dyDescent="0.25">
      <c r="A57" s="201" t="s">
        <v>2504</v>
      </c>
      <c r="B57" s="60">
        <v>13.98</v>
      </c>
      <c r="C57" s="60">
        <v>108.64</v>
      </c>
      <c r="D57" s="60">
        <v>71.16</v>
      </c>
      <c r="E57" s="60">
        <v>7.38</v>
      </c>
      <c r="F57" s="60">
        <v>9.4499999999999993</v>
      </c>
      <c r="G57" s="60">
        <v>56.32</v>
      </c>
      <c r="H57" s="60">
        <v>29.48</v>
      </c>
      <c r="I57" s="60">
        <v>0.69</v>
      </c>
      <c r="J57" s="60">
        <v>0.7</v>
      </c>
      <c r="K57" s="60">
        <v>48.5</v>
      </c>
      <c r="L57" s="60">
        <v>35.81</v>
      </c>
      <c r="M57" s="60">
        <v>17.71</v>
      </c>
      <c r="N57" s="60">
        <v>546.5</v>
      </c>
      <c r="O57" s="60">
        <v>0</v>
      </c>
      <c r="P57" s="60">
        <v>0.91</v>
      </c>
      <c r="Q57" s="60">
        <v>31.02</v>
      </c>
      <c r="R57" s="198"/>
      <c r="S57" s="198"/>
      <c r="T57" s="198"/>
      <c r="U57" s="198"/>
    </row>
    <row r="58" spans="1:21" s="12" customFormat="1" x14ac:dyDescent="0.25">
      <c r="A58" s="201" t="s">
        <v>2505</v>
      </c>
      <c r="B58" s="60">
        <v>10.78</v>
      </c>
      <c r="C58" s="60">
        <v>109.77</v>
      </c>
      <c r="D58" s="60">
        <v>69.23</v>
      </c>
      <c r="E58" s="60">
        <v>5.51</v>
      </c>
      <c r="F58" s="60">
        <v>6.98</v>
      </c>
      <c r="G58" s="60">
        <v>56.32</v>
      </c>
      <c r="H58" s="60">
        <v>29.48</v>
      </c>
      <c r="I58" s="60">
        <v>0.67</v>
      </c>
      <c r="J58" s="60">
        <v>1.0900000000000001</v>
      </c>
      <c r="K58" s="60">
        <v>126.16</v>
      </c>
      <c r="L58" s="60">
        <v>32.909999999999997</v>
      </c>
      <c r="M58" s="60">
        <v>21</v>
      </c>
      <c r="N58" s="60">
        <v>534.5</v>
      </c>
      <c r="O58" s="60">
        <v>0</v>
      </c>
      <c r="P58" s="60">
        <v>0.88</v>
      </c>
      <c r="Q58" s="60">
        <v>30.11</v>
      </c>
      <c r="R58" s="198"/>
      <c r="S58" s="198"/>
      <c r="T58" s="198"/>
      <c r="U58" s="198"/>
    </row>
    <row r="59" spans="1:21" s="12" customFormat="1" x14ac:dyDescent="0.25">
      <c r="A59" s="201" t="s">
        <v>2506</v>
      </c>
      <c r="B59" s="60">
        <v>7.11</v>
      </c>
      <c r="C59" s="60">
        <v>105.43</v>
      </c>
      <c r="D59" s="60">
        <v>63.88</v>
      </c>
      <c r="E59" s="60">
        <v>6.01</v>
      </c>
      <c r="F59" s="60">
        <v>8.19</v>
      </c>
      <c r="G59" s="60">
        <v>46.73</v>
      </c>
      <c r="H59" s="60">
        <v>28.47</v>
      </c>
      <c r="I59" s="60">
        <v>0.66</v>
      </c>
      <c r="J59" s="60">
        <v>1.05</v>
      </c>
      <c r="K59" s="60">
        <v>120.42</v>
      </c>
      <c r="L59" s="60">
        <v>33.369999999999997</v>
      </c>
      <c r="M59" s="60">
        <v>20.399999999999999</v>
      </c>
      <c r="N59" s="60">
        <v>506.7</v>
      </c>
      <c r="O59" s="60">
        <v>0</v>
      </c>
      <c r="P59" s="60">
        <v>0.84</v>
      </c>
      <c r="Q59" s="60">
        <v>28.99</v>
      </c>
      <c r="R59" s="198"/>
      <c r="S59" s="198"/>
      <c r="T59" s="198"/>
      <c r="U59" s="198"/>
    </row>
    <row r="60" spans="1:21" s="12" customFormat="1" x14ac:dyDescent="0.25">
      <c r="A60" s="201" t="s">
        <v>2507</v>
      </c>
      <c r="B60" s="60">
        <v>5.25</v>
      </c>
      <c r="C60" s="60">
        <v>109.02</v>
      </c>
      <c r="D60" s="60">
        <v>64.37</v>
      </c>
      <c r="E60" s="60">
        <v>4.53</v>
      </c>
      <c r="F60" s="60">
        <v>6.97</v>
      </c>
      <c r="G60" s="60">
        <v>41.94</v>
      </c>
      <c r="H60" s="60">
        <v>27.97</v>
      </c>
      <c r="I60" s="60">
        <v>0.64</v>
      </c>
      <c r="J60" s="60">
        <v>1.19</v>
      </c>
      <c r="K60" s="60">
        <v>159.71</v>
      </c>
      <c r="L60" s="60">
        <v>33.17</v>
      </c>
      <c r="M60" s="60">
        <v>20.16</v>
      </c>
      <c r="N60" s="60">
        <v>478.6</v>
      </c>
      <c r="O60" s="60">
        <v>0</v>
      </c>
      <c r="P60" s="60">
        <v>0.8</v>
      </c>
      <c r="Q60" s="60">
        <v>28.5</v>
      </c>
      <c r="R60" s="198"/>
      <c r="S60" s="198"/>
      <c r="T60" s="198"/>
      <c r="U60" s="198"/>
    </row>
    <row r="61" spans="1:21" s="12" customFormat="1" x14ac:dyDescent="0.25">
      <c r="A61" s="201" t="s">
        <v>2508</v>
      </c>
      <c r="B61" s="60">
        <v>3.46</v>
      </c>
      <c r="C61" s="60">
        <v>106.95</v>
      </c>
      <c r="D61" s="60">
        <v>61.8</v>
      </c>
      <c r="E61" s="60">
        <v>5.91</v>
      </c>
      <c r="F61" s="60">
        <v>8.2200000000000006</v>
      </c>
      <c r="G61" s="60">
        <v>41.94</v>
      </c>
      <c r="H61" s="60">
        <v>27.97</v>
      </c>
      <c r="I61" s="60">
        <v>0.64</v>
      </c>
      <c r="J61" s="60">
        <v>0.97</v>
      </c>
      <c r="K61" s="60">
        <v>141.13</v>
      </c>
      <c r="L61" s="60">
        <v>33.14</v>
      </c>
      <c r="M61" s="60">
        <v>20.7</v>
      </c>
      <c r="N61" s="60">
        <v>438.1</v>
      </c>
      <c r="O61" s="60">
        <v>0</v>
      </c>
      <c r="P61" s="60">
        <v>0.74</v>
      </c>
      <c r="Q61" s="60">
        <v>28.28</v>
      </c>
      <c r="R61" s="198"/>
      <c r="S61" s="198"/>
      <c r="T61" s="198"/>
      <c r="U61" s="198"/>
    </row>
    <row r="62" spans="1:21" s="12" customFormat="1" x14ac:dyDescent="0.25">
      <c r="A62" s="201" t="s">
        <v>2509</v>
      </c>
      <c r="B62" s="60">
        <v>2.44</v>
      </c>
      <c r="C62" s="60">
        <v>95.38</v>
      </c>
      <c r="D62" s="60">
        <v>54.59</v>
      </c>
      <c r="E62" s="60">
        <v>14.5</v>
      </c>
      <c r="F62" s="60">
        <v>15.41</v>
      </c>
      <c r="G62" s="60">
        <v>41.94</v>
      </c>
      <c r="H62" s="60">
        <v>27.97</v>
      </c>
      <c r="I62" s="60">
        <v>0.63</v>
      </c>
      <c r="J62" s="60">
        <v>0.19</v>
      </c>
      <c r="K62" s="60">
        <v>169.07</v>
      </c>
      <c r="L62" s="60">
        <v>34.57</v>
      </c>
      <c r="M62" s="60">
        <v>19.13</v>
      </c>
      <c r="N62" s="60">
        <v>414.9</v>
      </c>
      <c r="O62" s="60">
        <v>0</v>
      </c>
      <c r="P62" s="60">
        <v>0.71</v>
      </c>
      <c r="Q62" s="60">
        <v>28.05</v>
      </c>
      <c r="R62" s="198"/>
      <c r="S62" s="198"/>
      <c r="T62" s="198"/>
      <c r="U62" s="198"/>
    </row>
    <row r="63" spans="1:21" s="12" customFormat="1" x14ac:dyDescent="0.25">
      <c r="A63" s="201" t="s">
        <v>2510</v>
      </c>
      <c r="B63" s="60">
        <v>3.26</v>
      </c>
      <c r="C63" s="60">
        <v>95.35</v>
      </c>
      <c r="D63" s="60">
        <v>55.24</v>
      </c>
      <c r="E63" s="60">
        <v>10.77</v>
      </c>
      <c r="F63" s="60">
        <v>19.52</v>
      </c>
      <c r="G63" s="60">
        <v>46.65</v>
      </c>
      <c r="H63" s="60">
        <v>25.54</v>
      </c>
      <c r="I63" s="60">
        <v>0.62</v>
      </c>
      <c r="J63" s="60">
        <v>0.22</v>
      </c>
      <c r="K63" s="60">
        <v>127.97</v>
      </c>
      <c r="L63" s="60">
        <v>35.119999999999997</v>
      </c>
      <c r="M63" s="60">
        <v>18.63</v>
      </c>
      <c r="N63" s="60">
        <v>397.1</v>
      </c>
      <c r="O63" s="60">
        <v>0</v>
      </c>
      <c r="P63" s="60">
        <v>0.7</v>
      </c>
      <c r="Q63" s="60">
        <v>27.67</v>
      </c>
      <c r="R63" s="198"/>
      <c r="S63" s="198"/>
      <c r="T63" s="198"/>
      <c r="U63" s="198"/>
    </row>
    <row r="64" spans="1:21" s="12" customFormat="1" x14ac:dyDescent="0.25">
      <c r="A64" s="201" t="s">
        <v>2511</v>
      </c>
      <c r="B64" s="60">
        <v>3.04</v>
      </c>
      <c r="C64" s="60">
        <v>91.45</v>
      </c>
      <c r="D64" s="60">
        <v>52.91</v>
      </c>
      <c r="E64" s="60">
        <v>18.59</v>
      </c>
      <c r="F64" s="60">
        <v>23.85</v>
      </c>
      <c r="G64" s="60">
        <v>48.89</v>
      </c>
      <c r="H64" s="60">
        <v>24.33</v>
      </c>
      <c r="I64" s="60">
        <v>0.61</v>
      </c>
      <c r="J64" s="60">
        <v>0.23</v>
      </c>
      <c r="K64" s="60">
        <v>62.3</v>
      </c>
      <c r="L64" s="60">
        <v>35.43</v>
      </c>
      <c r="M64" s="60">
        <v>18.760000000000002</v>
      </c>
      <c r="N64" s="60">
        <v>399.4</v>
      </c>
      <c r="O64" s="60">
        <v>0</v>
      </c>
      <c r="P64" s="60">
        <v>0.68</v>
      </c>
      <c r="Q64" s="60">
        <v>27.52</v>
      </c>
      <c r="R64" s="198"/>
      <c r="S64" s="198"/>
      <c r="T64" s="198"/>
      <c r="U64" s="198"/>
    </row>
    <row r="65" spans="1:21" s="12" customFormat="1" x14ac:dyDescent="0.25">
      <c r="A65" s="201" t="s">
        <v>2512</v>
      </c>
      <c r="B65" s="60">
        <v>3.2</v>
      </c>
      <c r="C65" s="60">
        <v>99.37</v>
      </c>
      <c r="D65" s="60">
        <v>57.41</v>
      </c>
      <c r="E65" s="60">
        <v>8.09</v>
      </c>
      <c r="F65" s="60">
        <v>8.6300000000000008</v>
      </c>
      <c r="G65" s="60">
        <v>48.89</v>
      </c>
      <c r="H65" s="60">
        <v>24.33</v>
      </c>
      <c r="I65" s="60">
        <v>0.6</v>
      </c>
      <c r="J65" s="60">
        <v>1.1000000000000001</v>
      </c>
      <c r="K65" s="60">
        <v>348.44</v>
      </c>
      <c r="L65" s="60">
        <v>37.43</v>
      </c>
      <c r="M65" s="60">
        <v>15.75</v>
      </c>
      <c r="N65" s="60">
        <v>403.1</v>
      </c>
      <c r="O65" s="60">
        <v>0</v>
      </c>
      <c r="P65" s="60">
        <v>0.71</v>
      </c>
      <c r="Q65" s="60">
        <v>27.52</v>
      </c>
      <c r="R65" s="198"/>
      <c r="S65" s="198"/>
      <c r="T65" s="198"/>
      <c r="U65" s="198"/>
    </row>
    <row r="66" spans="1:21" s="12" customFormat="1" x14ac:dyDescent="0.25">
      <c r="A66" s="201" t="s">
        <v>2513</v>
      </c>
      <c r="B66" s="60">
        <v>3.28</v>
      </c>
      <c r="C66" s="60">
        <v>94.79</v>
      </c>
      <c r="D66" s="60">
        <v>54.95</v>
      </c>
      <c r="E66" s="60">
        <v>8.01</v>
      </c>
      <c r="F66" s="60">
        <v>11.13</v>
      </c>
      <c r="G66" s="60">
        <v>48.89</v>
      </c>
      <c r="H66" s="60">
        <v>24.33</v>
      </c>
      <c r="I66" s="60">
        <v>0.6</v>
      </c>
      <c r="J66" s="60">
        <v>1.1399999999999999</v>
      </c>
      <c r="K66" s="60">
        <v>354.58</v>
      </c>
      <c r="L66" s="60">
        <v>38.130000000000003</v>
      </c>
      <c r="M66" s="60">
        <v>14.76</v>
      </c>
      <c r="N66" s="60">
        <v>392.4</v>
      </c>
      <c r="O66" s="60">
        <v>0</v>
      </c>
      <c r="P66" s="60">
        <v>0.71</v>
      </c>
      <c r="Q66" s="60">
        <v>27.41</v>
      </c>
      <c r="R66" s="198"/>
      <c r="S66" s="198"/>
      <c r="T66" s="198"/>
      <c r="U66" s="198"/>
    </row>
    <row r="67" spans="1:21" s="12" customFormat="1" x14ac:dyDescent="0.25">
      <c r="A67" s="201" t="s">
        <v>2514</v>
      </c>
      <c r="B67" s="60">
        <v>2.9</v>
      </c>
      <c r="C67" s="60">
        <v>99.1</v>
      </c>
      <c r="D67" s="60">
        <v>57.02</v>
      </c>
      <c r="E67" s="60">
        <v>5.37</v>
      </c>
      <c r="F67" s="60">
        <v>9.91</v>
      </c>
      <c r="G67" s="60">
        <v>52.72</v>
      </c>
      <c r="H67" s="60">
        <v>25.24</v>
      </c>
      <c r="I67" s="60">
        <v>0.62</v>
      </c>
      <c r="J67" s="60">
        <v>0.88</v>
      </c>
      <c r="K67" s="60">
        <v>350.71</v>
      </c>
      <c r="L67" s="60">
        <v>37.659999999999997</v>
      </c>
      <c r="M67" s="60">
        <v>15.27</v>
      </c>
      <c r="N67" s="60">
        <v>391.7</v>
      </c>
      <c r="O67" s="60">
        <v>0</v>
      </c>
      <c r="P67" s="60">
        <v>0.7</v>
      </c>
      <c r="Q67" s="60">
        <v>27.4</v>
      </c>
      <c r="R67" s="198"/>
      <c r="S67" s="198"/>
      <c r="T67" s="198"/>
      <c r="U67" s="198"/>
    </row>
    <row r="68" spans="1:21" s="12" customFormat="1" x14ac:dyDescent="0.25">
      <c r="A68" s="201" t="s">
        <v>2515</v>
      </c>
      <c r="B68" s="60">
        <v>2.09</v>
      </c>
      <c r="C68" s="60">
        <v>85.59</v>
      </c>
      <c r="D68" s="60">
        <v>48.91</v>
      </c>
      <c r="E68" s="60">
        <v>9.14</v>
      </c>
      <c r="F68" s="60">
        <v>22.44</v>
      </c>
      <c r="G68" s="60">
        <v>54.63</v>
      </c>
      <c r="H68" s="60">
        <v>25.7</v>
      </c>
      <c r="I68" s="60">
        <v>0.63</v>
      </c>
      <c r="J68" s="60">
        <v>0.35</v>
      </c>
      <c r="K68" s="60">
        <v>343.46</v>
      </c>
      <c r="L68" s="60">
        <v>36.4</v>
      </c>
      <c r="M68" s="60">
        <v>14.82</v>
      </c>
      <c r="N68" s="60">
        <v>378.2</v>
      </c>
      <c r="O68" s="60">
        <v>0</v>
      </c>
      <c r="P68" s="60">
        <v>0.63</v>
      </c>
      <c r="Q68" s="60">
        <v>27.42</v>
      </c>
      <c r="R68" s="198"/>
      <c r="S68" s="198"/>
      <c r="T68" s="198"/>
      <c r="U68" s="198"/>
    </row>
    <row r="69" spans="1:21" s="12" customFormat="1" x14ac:dyDescent="0.25">
      <c r="A69" s="201" t="s">
        <v>2516</v>
      </c>
      <c r="B69" s="60">
        <v>2.76</v>
      </c>
      <c r="C69" s="60">
        <v>98.07</v>
      </c>
      <c r="D69" s="60">
        <v>56.34</v>
      </c>
      <c r="E69" s="60">
        <v>6.55</v>
      </c>
      <c r="F69" s="60">
        <v>9.66</v>
      </c>
      <c r="G69" s="60">
        <v>54.63</v>
      </c>
      <c r="H69" s="60">
        <v>25.7</v>
      </c>
      <c r="I69" s="60">
        <v>0.65</v>
      </c>
      <c r="J69" s="60">
        <v>1.1100000000000001</v>
      </c>
      <c r="K69" s="60">
        <v>4.18</v>
      </c>
      <c r="L69" s="60">
        <v>36.950000000000003</v>
      </c>
      <c r="M69" s="60">
        <v>14.68</v>
      </c>
      <c r="N69" s="60">
        <v>368.3</v>
      </c>
      <c r="O69" s="60">
        <v>0</v>
      </c>
      <c r="P69" s="60">
        <v>0.67</v>
      </c>
      <c r="Q69" s="60">
        <v>27.54</v>
      </c>
      <c r="R69" s="198"/>
      <c r="S69" s="198"/>
      <c r="T69" s="198"/>
      <c r="U69" s="198"/>
    </row>
    <row r="70" spans="1:21" s="12" customFormat="1" x14ac:dyDescent="0.25">
      <c r="A70" s="201" t="s">
        <v>2517</v>
      </c>
      <c r="B70" s="60">
        <v>2.83</v>
      </c>
      <c r="C70" s="60">
        <v>93.66</v>
      </c>
      <c r="D70" s="60">
        <v>53.95</v>
      </c>
      <c r="E70" s="60">
        <v>5.54</v>
      </c>
      <c r="F70" s="60">
        <v>13.4</v>
      </c>
      <c r="G70" s="60">
        <v>54.63</v>
      </c>
      <c r="H70" s="60">
        <v>25.7</v>
      </c>
      <c r="I70" s="60">
        <v>0.62</v>
      </c>
      <c r="J70" s="60">
        <v>0.56000000000000005</v>
      </c>
      <c r="K70" s="60">
        <v>3.51</v>
      </c>
      <c r="L70" s="60">
        <v>37.69</v>
      </c>
      <c r="M70" s="60">
        <v>13.79</v>
      </c>
      <c r="N70" s="60">
        <v>339.3</v>
      </c>
      <c r="O70" s="60">
        <v>0</v>
      </c>
      <c r="P70" s="60">
        <v>0.65</v>
      </c>
      <c r="Q70" s="60">
        <v>28.33</v>
      </c>
      <c r="R70" s="198"/>
      <c r="S70" s="198"/>
      <c r="T70" s="198"/>
      <c r="U70" s="198"/>
    </row>
    <row r="71" spans="1:21" s="12" customFormat="1" x14ac:dyDescent="0.25">
      <c r="A71" s="201" t="s">
        <v>2518</v>
      </c>
      <c r="B71" s="60">
        <v>1.67</v>
      </c>
      <c r="C71" s="60">
        <v>89.24</v>
      </c>
      <c r="D71" s="60">
        <v>50.59</v>
      </c>
      <c r="E71" s="60">
        <v>6.43</v>
      </c>
      <c r="F71" s="60">
        <v>10.02</v>
      </c>
      <c r="G71" s="60">
        <v>42.71</v>
      </c>
      <c r="H71" s="60">
        <v>22.21</v>
      </c>
      <c r="I71" s="60">
        <v>0.61</v>
      </c>
      <c r="J71" s="60">
        <v>0.68</v>
      </c>
      <c r="K71" s="60">
        <v>7.23</v>
      </c>
      <c r="L71" s="60">
        <v>35.71</v>
      </c>
      <c r="M71" s="60">
        <v>15.97</v>
      </c>
      <c r="N71" s="60">
        <v>318.60000000000002</v>
      </c>
      <c r="O71" s="60">
        <v>0</v>
      </c>
      <c r="P71" s="60">
        <v>0.64</v>
      </c>
      <c r="Q71" s="60">
        <v>28.19</v>
      </c>
      <c r="R71" s="198"/>
      <c r="S71" s="198"/>
      <c r="T71" s="198"/>
      <c r="U71" s="198"/>
    </row>
    <row r="72" spans="1:21" s="12" customFormat="1" x14ac:dyDescent="0.25">
      <c r="A72" s="201" t="s">
        <v>2519</v>
      </c>
      <c r="B72" s="60">
        <v>1.62</v>
      </c>
      <c r="C72" s="60">
        <v>92.54</v>
      </c>
      <c r="D72" s="60">
        <v>52.37</v>
      </c>
      <c r="E72" s="60">
        <v>2.95</v>
      </c>
      <c r="F72" s="60">
        <v>11.23</v>
      </c>
      <c r="G72" s="60">
        <v>37.04</v>
      </c>
      <c r="H72" s="60">
        <v>20.47</v>
      </c>
      <c r="I72" s="60">
        <v>0.6</v>
      </c>
      <c r="J72" s="60">
        <v>1.25</v>
      </c>
      <c r="K72" s="60">
        <v>3.53</v>
      </c>
      <c r="L72" s="60">
        <v>36.4</v>
      </c>
      <c r="M72" s="60">
        <v>15.97</v>
      </c>
      <c r="N72" s="60">
        <v>226.7</v>
      </c>
      <c r="O72" s="60">
        <v>0</v>
      </c>
      <c r="P72" s="60">
        <v>0.64</v>
      </c>
      <c r="Q72" s="60">
        <v>28</v>
      </c>
      <c r="R72" s="198"/>
      <c r="S72" s="198"/>
      <c r="T72" s="198"/>
      <c r="U72" s="198"/>
    </row>
    <row r="73" spans="1:21" s="12" customFormat="1" x14ac:dyDescent="0.25">
      <c r="A73" s="201" t="s">
        <v>2520</v>
      </c>
      <c r="B73" s="60">
        <v>1.54</v>
      </c>
      <c r="C73" s="60">
        <v>91.93</v>
      </c>
      <c r="D73" s="60">
        <v>51.97</v>
      </c>
      <c r="E73" s="60">
        <v>6.54</v>
      </c>
      <c r="F73" s="60">
        <v>12.93</v>
      </c>
      <c r="G73" s="60">
        <v>37.04</v>
      </c>
      <c r="H73" s="60">
        <v>20.47</v>
      </c>
      <c r="I73" s="60">
        <v>0.6</v>
      </c>
      <c r="J73" s="60">
        <v>0.31</v>
      </c>
      <c r="K73" s="60">
        <v>0.24</v>
      </c>
      <c r="L73" s="60">
        <v>35.61</v>
      </c>
      <c r="M73" s="60">
        <v>15.68</v>
      </c>
      <c r="N73" s="60">
        <v>121.4</v>
      </c>
      <c r="O73" s="60">
        <v>0</v>
      </c>
      <c r="P73" s="60">
        <v>0.63</v>
      </c>
      <c r="Q73" s="60">
        <v>27.59</v>
      </c>
      <c r="R73" s="198"/>
      <c r="S73" s="198"/>
      <c r="T73" s="198"/>
      <c r="U73" s="198"/>
    </row>
    <row r="74" spans="1:21" s="12" customFormat="1" x14ac:dyDescent="0.25">
      <c r="A74" s="201" t="s">
        <v>2521</v>
      </c>
      <c r="B74" s="60">
        <v>1.62</v>
      </c>
      <c r="C74" s="60">
        <v>90.96</v>
      </c>
      <c r="D74" s="60">
        <v>51.5</v>
      </c>
      <c r="E74" s="60">
        <v>5.47</v>
      </c>
      <c r="F74" s="60">
        <v>10.1</v>
      </c>
      <c r="G74" s="60">
        <v>37.04</v>
      </c>
      <c r="H74" s="60">
        <v>20.47</v>
      </c>
      <c r="I74" s="60">
        <v>0.64</v>
      </c>
      <c r="J74" s="60">
        <v>0.54</v>
      </c>
      <c r="K74" s="60">
        <v>1.77</v>
      </c>
      <c r="L74" s="60">
        <v>34.520000000000003</v>
      </c>
      <c r="M74" s="60">
        <v>15.88</v>
      </c>
      <c r="N74" s="60">
        <v>111.5</v>
      </c>
      <c r="O74" s="60">
        <v>0</v>
      </c>
      <c r="P74" s="60">
        <v>0.63</v>
      </c>
      <c r="Q74" s="60">
        <v>27.09</v>
      </c>
      <c r="R74" s="198"/>
      <c r="S74" s="198"/>
      <c r="T74" s="198"/>
      <c r="U74" s="198"/>
    </row>
    <row r="75" spans="1:21" s="12" customFormat="1" x14ac:dyDescent="0.25">
      <c r="A75" s="201" t="s">
        <v>2522</v>
      </c>
      <c r="B75" s="60">
        <v>2.4</v>
      </c>
      <c r="C75" s="60">
        <v>91.69</v>
      </c>
      <c r="D75" s="60">
        <v>52.52</v>
      </c>
      <c r="E75" s="60">
        <v>4.8099999999999996</v>
      </c>
      <c r="F75" s="60">
        <v>9.81</v>
      </c>
      <c r="G75" s="60">
        <v>39.31</v>
      </c>
      <c r="H75" s="60">
        <v>16.440000000000001</v>
      </c>
      <c r="I75" s="60">
        <v>0.61</v>
      </c>
      <c r="J75" s="60">
        <v>1.1299999999999999</v>
      </c>
      <c r="K75" s="60">
        <v>10.09</v>
      </c>
      <c r="L75" s="60">
        <v>33.67</v>
      </c>
      <c r="M75" s="60">
        <v>16.79</v>
      </c>
      <c r="N75" s="60">
        <v>126.1</v>
      </c>
      <c r="O75" s="60">
        <v>0</v>
      </c>
      <c r="P75" s="60">
        <v>0.63</v>
      </c>
      <c r="Q75" s="60">
        <v>26.83</v>
      </c>
      <c r="R75" s="198"/>
      <c r="S75" s="198"/>
      <c r="T75" s="198"/>
      <c r="U75" s="198"/>
    </row>
    <row r="76" spans="1:21" s="12" customFormat="1" x14ac:dyDescent="0.25">
      <c r="A76" s="201" t="s">
        <v>2523</v>
      </c>
      <c r="B76" s="60">
        <v>3.03</v>
      </c>
      <c r="C76" s="60">
        <v>86.37</v>
      </c>
      <c r="D76" s="60">
        <v>50.09</v>
      </c>
      <c r="E76" s="60">
        <v>5.65</v>
      </c>
      <c r="F76" s="60">
        <v>15.32</v>
      </c>
      <c r="G76" s="60">
        <v>40.44</v>
      </c>
      <c r="H76" s="60">
        <v>14.42</v>
      </c>
      <c r="I76" s="60">
        <v>0.62</v>
      </c>
      <c r="J76" s="60">
        <v>0.91</v>
      </c>
      <c r="K76" s="60">
        <v>0.28999999999999998</v>
      </c>
      <c r="L76" s="60">
        <v>32.9</v>
      </c>
      <c r="M76" s="60">
        <v>18.37</v>
      </c>
      <c r="N76" s="60">
        <v>48.7</v>
      </c>
      <c r="O76" s="60">
        <v>0</v>
      </c>
      <c r="P76" s="60">
        <v>0.66</v>
      </c>
      <c r="Q76" s="60">
        <v>26.41</v>
      </c>
      <c r="R76" s="198"/>
      <c r="S76" s="198"/>
      <c r="T76" s="198"/>
      <c r="U76" s="198"/>
    </row>
    <row r="77" spans="1:21" s="12" customFormat="1" x14ac:dyDescent="0.25">
      <c r="A77" s="201" t="s">
        <v>2524</v>
      </c>
      <c r="B77" s="60">
        <v>8.82</v>
      </c>
      <c r="C77" s="60">
        <v>79.319999999999993</v>
      </c>
      <c r="D77" s="60">
        <v>50.85</v>
      </c>
      <c r="E77" s="60">
        <v>7.44</v>
      </c>
      <c r="F77" s="60">
        <v>24.18</v>
      </c>
      <c r="G77" s="60">
        <v>40.44</v>
      </c>
      <c r="H77" s="60">
        <v>14.42</v>
      </c>
      <c r="I77" s="60">
        <v>0.6</v>
      </c>
      <c r="J77" s="60">
        <v>0.75</v>
      </c>
      <c r="K77" s="60">
        <v>17.649999999999999</v>
      </c>
      <c r="L77" s="60">
        <v>32.35</v>
      </c>
      <c r="M77" s="60">
        <v>18.809999999999999</v>
      </c>
      <c r="N77" s="60">
        <v>38.6</v>
      </c>
      <c r="O77" s="60">
        <v>0</v>
      </c>
      <c r="P77" s="60">
        <v>0.68</v>
      </c>
      <c r="Q77" s="60">
        <v>26.28</v>
      </c>
      <c r="R77" s="198"/>
      <c r="S77" s="198"/>
      <c r="T77" s="198"/>
      <c r="U77" s="198"/>
    </row>
    <row r="78" spans="1:21" s="12" customFormat="1" x14ac:dyDescent="0.25">
      <c r="A78" s="201" t="s">
        <v>2525</v>
      </c>
      <c r="B78" s="60">
        <v>8.61</v>
      </c>
      <c r="C78" s="60">
        <v>85.48</v>
      </c>
      <c r="D78" s="60">
        <v>54.08</v>
      </c>
      <c r="E78" s="60">
        <v>7.86</v>
      </c>
      <c r="F78" s="60">
        <v>24.57</v>
      </c>
      <c r="G78" s="60">
        <v>40.44</v>
      </c>
      <c r="H78" s="60">
        <v>14.42</v>
      </c>
      <c r="I78" s="60">
        <v>0.56000000000000005</v>
      </c>
      <c r="J78" s="60">
        <v>0.47</v>
      </c>
      <c r="K78" s="60">
        <v>16.84</v>
      </c>
      <c r="L78" s="60">
        <v>31.68</v>
      </c>
      <c r="M78" s="60">
        <v>21.65</v>
      </c>
      <c r="N78" s="60">
        <v>28.5</v>
      </c>
      <c r="O78" s="60">
        <v>0</v>
      </c>
      <c r="P78" s="60">
        <v>0.88</v>
      </c>
      <c r="Q78" s="60">
        <v>25.98</v>
      </c>
      <c r="R78" s="198"/>
      <c r="S78" s="198"/>
      <c r="T78" s="198"/>
      <c r="U78" s="198"/>
    </row>
    <row r="79" spans="1:21" s="12" customFormat="1" x14ac:dyDescent="0.25">
      <c r="A79" s="201" t="s">
        <v>2526</v>
      </c>
      <c r="B79" s="60">
        <v>14.86</v>
      </c>
      <c r="C79" s="60">
        <v>92.49</v>
      </c>
      <c r="D79" s="60">
        <v>62.96</v>
      </c>
      <c r="E79" s="60">
        <v>8.2200000000000006</v>
      </c>
      <c r="F79" s="60">
        <v>21.32</v>
      </c>
      <c r="G79" s="60">
        <v>43.17</v>
      </c>
      <c r="H79" s="60">
        <v>15.43</v>
      </c>
      <c r="I79" s="60">
        <v>0.57999999999999996</v>
      </c>
      <c r="J79" s="60">
        <v>0.44</v>
      </c>
      <c r="K79" s="60">
        <v>15.41</v>
      </c>
      <c r="L79" s="60">
        <v>30.94</v>
      </c>
      <c r="M79" s="60">
        <v>22.77</v>
      </c>
      <c r="N79" s="60">
        <v>17.899999999999999</v>
      </c>
      <c r="O79" s="60">
        <v>0</v>
      </c>
      <c r="P79" s="60">
        <v>0.95</v>
      </c>
      <c r="Q79" s="60">
        <v>26.21</v>
      </c>
      <c r="R79" s="198"/>
      <c r="S79" s="198"/>
      <c r="T79" s="198"/>
      <c r="U79" s="198"/>
    </row>
    <row r="80" spans="1:21" s="12" customFormat="1" x14ac:dyDescent="0.25">
      <c r="A80" s="201" t="s">
        <v>2527</v>
      </c>
      <c r="B80" s="60">
        <v>7.9</v>
      </c>
      <c r="C80" s="60">
        <v>101.67</v>
      </c>
      <c r="D80" s="60">
        <v>62.44</v>
      </c>
      <c r="E80" s="60">
        <v>8.76</v>
      </c>
      <c r="F80" s="60">
        <v>14.92</v>
      </c>
      <c r="G80" s="60">
        <v>44.47</v>
      </c>
      <c r="H80" s="60">
        <v>15.93</v>
      </c>
      <c r="I80" s="60">
        <v>0.61</v>
      </c>
      <c r="J80" s="60">
        <v>0.06</v>
      </c>
      <c r="K80" s="60">
        <v>161.16999999999999</v>
      </c>
      <c r="L80" s="60">
        <v>29.91</v>
      </c>
      <c r="M80" s="60">
        <v>23.56</v>
      </c>
      <c r="N80" s="60">
        <v>9.6</v>
      </c>
      <c r="O80" s="60">
        <v>0</v>
      </c>
      <c r="P80" s="60">
        <v>0.88</v>
      </c>
      <c r="Q80" s="60">
        <v>26.29</v>
      </c>
      <c r="R80" s="198"/>
      <c r="S80" s="198"/>
      <c r="T80" s="198"/>
      <c r="U80" s="198"/>
    </row>
    <row r="81" spans="1:26" s="12" customFormat="1" x14ac:dyDescent="0.25">
      <c r="A81" s="201" t="s">
        <v>2528</v>
      </c>
      <c r="B81" s="60">
        <v>15.44</v>
      </c>
      <c r="C81" s="60">
        <v>117.2</v>
      </c>
      <c r="D81" s="60">
        <v>77.06</v>
      </c>
      <c r="E81" s="60">
        <v>7.63</v>
      </c>
      <c r="F81" s="60">
        <v>7.04</v>
      </c>
      <c r="G81" s="60">
        <v>44.47</v>
      </c>
      <c r="H81" s="60">
        <v>15.93</v>
      </c>
      <c r="I81" s="60">
        <v>0.64</v>
      </c>
      <c r="J81" s="60">
        <v>0.09</v>
      </c>
      <c r="K81" s="60">
        <v>99.03</v>
      </c>
      <c r="L81" s="60">
        <v>28.92</v>
      </c>
      <c r="M81" s="60">
        <v>27.44</v>
      </c>
      <c r="N81" s="60">
        <v>5.5</v>
      </c>
      <c r="O81" s="60">
        <v>0</v>
      </c>
      <c r="P81" s="60">
        <v>0.96</v>
      </c>
      <c r="Q81" s="60">
        <v>26.88</v>
      </c>
      <c r="R81" s="198"/>
      <c r="S81" s="198"/>
      <c r="T81" s="198"/>
      <c r="U81" s="198"/>
    </row>
    <row r="82" spans="1:26" s="12" customFormat="1" x14ac:dyDescent="0.25">
      <c r="A82" s="201" t="s">
        <v>2529</v>
      </c>
      <c r="B82" s="60">
        <v>22.49</v>
      </c>
      <c r="C82" s="60">
        <v>117.3</v>
      </c>
      <c r="D82" s="60">
        <v>82.77</v>
      </c>
      <c r="E82" s="60">
        <v>7.72</v>
      </c>
      <c r="F82" s="60">
        <v>5.17</v>
      </c>
      <c r="G82" s="60">
        <v>44.47</v>
      </c>
      <c r="H82" s="60">
        <v>15.93</v>
      </c>
      <c r="I82" s="60">
        <v>0.64</v>
      </c>
      <c r="J82" s="60">
        <v>0.17</v>
      </c>
      <c r="K82" s="60">
        <v>94.34</v>
      </c>
      <c r="L82" s="60">
        <v>28.17</v>
      </c>
      <c r="M82" s="60">
        <v>29.65</v>
      </c>
      <c r="N82" s="60">
        <v>4.5</v>
      </c>
      <c r="O82" s="60">
        <v>0</v>
      </c>
      <c r="P82" s="60">
        <v>0.93</v>
      </c>
      <c r="Q82" s="60">
        <v>26.81</v>
      </c>
      <c r="R82" s="198"/>
      <c r="S82" s="198"/>
      <c r="T82" s="198"/>
      <c r="U82" s="198"/>
    </row>
    <row r="83" spans="1:26" s="12" customFormat="1" x14ac:dyDescent="0.25">
      <c r="A83" s="201" t="s">
        <v>2530</v>
      </c>
      <c r="B83" s="60">
        <v>34.369999999999997</v>
      </c>
      <c r="C83" s="60">
        <v>118.14</v>
      </c>
      <c r="D83" s="60">
        <v>92.76</v>
      </c>
      <c r="E83" s="60">
        <v>6.2</v>
      </c>
      <c r="F83" s="60">
        <v>4.6500000000000004</v>
      </c>
      <c r="G83" s="60">
        <v>66.760000000000005</v>
      </c>
      <c r="H83" s="60">
        <v>18.329999999999998</v>
      </c>
      <c r="I83" s="60">
        <v>0.76</v>
      </c>
      <c r="J83" s="60">
        <v>0.09</v>
      </c>
      <c r="K83" s="60">
        <v>104.85</v>
      </c>
      <c r="L83" s="60">
        <v>27.33</v>
      </c>
      <c r="M83" s="60">
        <v>34.15</v>
      </c>
      <c r="N83" s="60">
        <v>4.5999999999999996</v>
      </c>
      <c r="O83" s="60">
        <v>0</v>
      </c>
      <c r="P83" s="60">
        <v>1.08</v>
      </c>
      <c r="Q83" s="60">
        <v>27.4</v>
      </c>
      <c r="R83" s="198"/>
      <c r="S83" s="198"/>
      <c r="T83" s="198"/>
      <c r="U83" s="198"/>
    </row>
    <row r="84" spans="1:26" s="12" customFormat="1" x14ac:dyDescent="0.25">
      <c r="A84" s="201" t="s">
        <v>2531</v>
      </c>
      <c r="B84" s="60">
        <v>32.42</v>
      </c>
      <c r="C84" s="60">
        <v>116.51</v>
      </c>
      <c r="D84" s="60">
        <v>90.3</v>
      </c>
      <c r="E84" s="60">
        <v>6.33</v>
      </c>
      <c r="F84" s="60">
        <v>4.6500000000000004</v>
      </c>
      <c r="G84" s="60">
        <v>77.349999999999994</v>
      </c>
      <c r="H84" s="60">
        <v>19.53</v>
      </c>
      <c r="I84" s="60">
        <v>0.78</v>
      </c>
      <c r="J84" s="60">
        <v>0.11</v>
      </c>
      <c r="K84" s="60">
        <v>78.86</v>
      </c>
      <c r="L84" s="60">
        <v>26.79</v>
      </c>
      <c r="M84" s="60">
        <v>34.17</v>
      </c>
      <c r="N84" s="60">
        <v>4.2</v>
      </c>
      <c r="O84" s="60">
        <v>0</v>
      </c>
      <c r="P84" s="60">
        <v>1.05</v>
      </c>
      <c r="Q84" s="60">
        <v>28.12</v>
      </c>
      <c r="R84" s="198"/>
      <c r="S84" s="198"/>
      <c r="T84" s="198"/>
      <c r="U84" s="198"/>
    </row>
    <row r="85" spans="1:26" s="12" customFormat="1" x14ac:dyDescent="0.25">
      <c r="A85" s="201" t="s">
        <v>2532</v>
      </c>
      <c r="B85" s="60">
        <v>37.82</v>
      </c>
      <c r="C85" s="60">
        <v>119.18</v>
      </c>
      <c r="D85" s="60">
        <v>96.1</v>
      </c>
      <c r="E85" s="60">
        <v>5.69</v>
      </c>
      <c r="F85" s="60">
        <v>4.59</v>
      </c>
      <c r="G85" s="60">
        <v>77.349999999999994</v>
      </c>
      <c r="H85" s="60">
        <v>19.53</v>
      </c>
      <c r="I85" s="60">
        <v>0.8</v>
      </c>
      <c r="J85" s="60">
        <v>0.22</v>
      </c>
      <c r="K85" s="60">
        <v>75.03</v>
      </c>
      <c r="L85" s="60">
        <v>26.6</v>
      </c>
      <c r="M85" s="60">
        <v>38.43</v>
      </c>
      <c r="N85" s="60">
        <v>4.2</v>
      </c>
      <c r="O85" s="60">
        <v>0</v>
      </c>
      <c r="P85" s="60">
        <v>1.1299999999999999</v>
      </c>
      <c r="Q85" s="60">
        <v>30.03</v>
      </c>
      <c r="R85" s="198"/>
      <c r="S85" s="198"/>
      <c r="T85" s="198"/>
      <c r="U85" s="198"/>
    </row>
    <row r="86" spans="1:26" s="12" customFormat="1" x14ac:dyDescent="0.25">
      <c r="A86" s="201" t="s">
        <v>2533</v>
      </c>
      <c r="B86" s="60">
        <v>38.94</v>
      </c>
      <c r="C86" s="60">
        <v>118.6</v>
      </c>
      <c r="D86" s="60">
        <v>96.68</v>
      </c>
      <c r="E86" s="60">
        <v>5.69</v>
      </c>
      <c r="F86" s="60">
        <v>4.54</v>
      </c>
      <c r="G86" s="60">
        <v>77.349999999999994</v>
      </c>
      <c r="H86" s="60">
        <v>19.53</v>
      </c>
      <c r="I86" s="60">
        <v>0.77</v>
      </c>
      <c r="J86" s="60">
        <v>0.02</v>
      </c>
      <c r="K86" s="60">
        <v>304.35000000000002</v>
      </c>
      <c r="L86" s="60">
        <v>26.18</v>
      </c>
      <c r="M86" s="60">
        <v>42.88</v>
      </c>
      <c r="N86" s="60">
        <v>4.0999999999999996</v>
      </c>
      <c r="O86" s="60">
        <v>0</v>
      </c>
      <c r="P86" s="60">
        <v>1.1599999999999999</v>
      </c>
      <c r="Q86" s="60">
        <v>30.67</v>
      </c>
      <c r="R86" s="198"/>
      <c r="S86" s="198"/>
      <c r="T86" s="198"/>
      <c r="U86" s="198"/>
    </row>
    <row r="87" spans="1:26" s="12" customFormat="1" x14ac:dyDescent="0.25">
      <c r="A87" s="201" t="s">
        <v>2534</v>
      </c>
      <c r="B87" s="60">
        <v>58.38</v>
      </c>
      <c r="C87" s="60">
        <v>126.63</v>
      </c>
      <c r="D87" s="60">
        <v>116.7</v>
      </c>
      <c r="E87" s="60">
        <v>5.81</v>
      </c>
      <c r="F87" s="60">
        <v>4.43</v>
      </c>
      <c r="G87" s="60">
        <v>124.83</v>
      </c>
      <c r="H87" s="60">
        <v>27.86</v>
      </c>
      <c r="I87" s="60">
        <v>0.83</v>
      </c>
      <c r="J87" s="60">
        <v>0.28999999999999998</v>
      </c>
      <c r="K87" s="60">
        <v>250.19</v>
      </c>
      <c r="L87" s="60">
        <v>26.56</v>
      </c>
      <c r="M87" s="60">
        <v>34.61</v>
      </c>
      <c r="N87" s="60">
        <v>3.1</v>
      </c>
      <c r="O87" s="60">
        <v>0</v>
      </c>
      <c r="P87" s="60">
        <v>1.31</v>
      </c>
      <c r="Q87" s="60">
        <v>30.35</v>
      </c>
      <c r="R87" s="198"/>
      <c r="S87" s="198"/>
      <c r="T87" s="198"/>
      <c r="U87" s="198"/>
    </row>
    <row r="88" spans="1:26" s="12" customFormat="1" x14ac:dyDescent="0.25">
      <c r="A88" s="201" t="s">
        <v>2535</v>
      </c>
      <c r="B88" s="60">
        <v>49.83</v>
      </c>
      <c r="C88" s="60">
        <v>123.69</v>
      </c>
      <c r="D88" s="60">
        <v>108.22</v>
      </c>
      <c r="E88" s="60">
        <v>2.4</v>
      </c>
      <c r="F88" s="60">
        <v>4.47</v>
      </c>
      <c r="G88" s="60">
        <v>147.4</v>
      </c>
      <c r="H88" s="60">
        <v>32.020000000000003</v>
      </c>
      <c r="I88" s="60">
        <v>0.84</v>
      </c>
      <c r="J88" s="60">
        <v>0.2</v>
      </c>
      <c r="K88" s="60">
        <v>252.12</v>
      </c>
      <c r="L88" s="60">
        <v>27.16</v>
      </c>
      <c r="M88" s="60">
        <v>34.31</v>
      </c>
      <c r="N88" s="60">
        <v>3.5</v>
      </c>
      <c r="O88" s="60">
        <v>0</v>
      </c>
      <c r="P88" s="60">
        <v>1.24</v>
      </c>
      <c r="Q88" s="60">
        <v>31.66</v>
      </c>
      <c r="R88" s="198"/>
      <c r="S88" s="198"/>
      <c r="T88" s="198"/>
      <c r="U88" s="198"/>
    </row>
    <row r="89" spans="1:26" s="12" customFormat="1" x14ac:dyDescent="0.25">
      <c r="A89" s="201" t="s">
        <v>2536</v>
      </c>
      <c r="B89" s="60">
        <v>60.59</v>
      </c>
      <c r="C89" s="60">
        <v>125.72</v>
      </c>
      <c r="D89" s="60">
        <v>117.97</v>
      </c>
      <c r="E89" s="60">
        <v>4.53</v>
      </c>
      <c r="F89" s="60">
        <v>4.45</v>
      </c>
      <c r="G89" s="60">
        <v>147.4</v>
      </c>
      <c r="H89" s="60">
        <v>32.020000000000003</v>
      </c>
      <c r="I89" s="60">
        <v>0.81</v>
      </c>
      <c r="J89" s="60">
        <v>0.22</v>
      </c>
      <c r="K89" s="60">
        <v>71.09</v>
      </c>
      <c r="L89" s="60">
        <v>26.37</v>
      </c>
      <c r="M89" s="60">
        <v>38.200000000000003</v>
      </c>
      <c r="N89" s="60">
        <v>4.5</v>
      </c>
      <c r="O89" s="60">
        <v>0</v>
      </c>
      <c r="P89" s="60">
        <v>1.46</v>
      </c>
      <c r="Q89" s="60">
        <v>31.81</v>
      </c>
      <c r="R89" s="198"/>
      <c r="S89" s="198"/>
      <c r="T89" s="198"/>
      <c r="U89" s="198"/>
    </row>
    <row r="90" spans="1:26" s="12" customFormat="1" x14ac:dyDescent="0.25">
      <c r="A90" s="201" t="s">
        <v>2537</v>
      </c>
      <c r="B90" s="60">
        <v>69.680000000000007</v>
      </c>
      <c r="C90" s="60">
        <v>128.63</v>
      </c>
      <c r="D90" s="60">
        <v>126.86</v>
      </c>
      <c r="E90" s="60">
        <v>5.08</v>
      </c>
      <c r="F90" s="60">
        <v>4.3899999999999997</v>
      </c>
      <c r="G90" s="60">
        <v>147.4</v>
      </c>
      <c r="H90" s="60">
        <v>32.020000000000003</v>
      </c>
      <c r="I90" s="60">
        <v>0.82</v>
      </c>
      <c r="J90" s="60">
        <v>0.22</v>
      </c>
      <c r="K90" s="60">
        <v>80.8</v>
      </c>
      <c r="L90" s="60">
        <v>25.61</v>
      </c>
      <c r="M90" s="60">
        <v>41.54</v>
      </c>
      <c r="N90" s="60">
        <v>4.2</v>
      </c>
      <c r="O90" s="60">
        <v>0</v>
      </c>
      <c r="P90" s="60">
        <v>1.45</v>
      </c>
      <c r="Q90" s="60">
        <v>32.29</v>
      </c>
      <c r="R90" s="198"/>
      <c r="S90" s="198"/>
      <c r="T90" s="198"/>
      <c r="U90" s="198"/>
    </row>
    <row r="91" spans="1:26" s="12" customFormat="1" x14ac:dyDescent="0.25">
      <c r="A91" s="201" t="s">
        <v>2538</v>
      </c>
      <c r="B91" s="60">
        <v>80.25</v>
      </c>
      <c r="C91" s="60">
        <v>130.63999999999999</v>
      </c>
      <c r="D91" s="60">
        <v>136.44999999999999</v>
      </c>
      <c r="E91" s="60">
        <v>6.77</v>
      </c>
      <c r="F91" s="60">
        <v>4.3099999999999996</v>
      </c>
      <c r="G91" s="60">
        <v>132.19</v>
      </c>
      <c r="H91" s="60">
        <v>33.22</v>
      </c>
      <c r="I91" s="60">
        <v>0.83</v>
      </c>
      <c r="J91" s="60">
        <v>0.13</v>
      </c>
      <c r="K91" s="60">
        <v>325.55</v>
      </c>
      <c r="L91" s="60">
        <v>25.26</v>
      </c>
      <c r="M91" s="60">
        <v>44.16</v>
      </c>
      <c r="N91" s="60">
        <v>4.3</v>
      </c>
      <c r="O91" s="60">
        <v>0</v>
      </c>
      <c r="P91" s="60">
        <v>1.92</v>
      </c>
      <c r="Q91" s="60">
        <v>31.57</v>
      </c>
      <c r="R91" s="198"/>
      <c r="S91" s="198"/>
      <c r="T91" s="198"/>
      <c r="U91" s="198"/>
    </row>
    <row r="92" spans="1:26" s="12" customFormat="1" x14ac:dyDescent="0.25">
      <c r="A92" s="201" t="s">
        <v>2539</v>
      </c>
      <c r="B92" s="60">
        <v>72.84</v>
      </c>
      <c r="C92" s="60">
        <v>126.05</v>
      </c>
      <c r="D92" s="60">
        <v>127.98</v>
      </c>
      <c r="E92" s="60">
        <v>5.72</v>
      </c>
      <c r="F92" s="60">
        <v>4.42</v>
      </c>
      <c r="G92" s="60">
        <v>124.96</v>
      </c>
      <c r="H92" s="60">
        <v>33.82</v>
      </c>
      <c r="I92" s="60">
        <v>0.92</v>
      </c>
      <c r="J92" s="60">
        <v>0.38</v>
      </c>
      <c r="K92" s="60">
        <v>351</v>
      </c>
      <c r="L92" s="60">
        <v>24.95</v>
      </c>
      <c r="M92" s="60">
        <v>44.48</v>
      </c>
      <c r="N92" s="60">
        <v>3.4</v>
      </c>
      <c r="O92" s="60">
        <v>0</v>
      </c>
      <c r="P92" s="60">
        <v>1.67</v>
      </c>
      <c r="Q92" s="60">
        <v>31.57</v>
      </c>
      <c r="R92" s="198"/>
      <c r="S92" s="198"/>
      <c r="T92" s="198"/>
      <c r="U92" s="198"/>
    </row>
    <row r="93" spans="1:26" s="12" customFormat="1" x14ac:dyDescent="0.25">
      <c r="A93" s="201" t="s">
        <v>2540</v>
      </c>
      <c r="B93" s="60">
        <v>55.88</v>
      </c>
      <c r="C93" s="60">
        <v>123.85</v>
      </c>
      <c r="D93" s="60">
        <v>113.16</v>
      </c>
      <c r="E93" s="60">
        <v>6.55</v>
      </c>
      <c r="F93" s="60">
        <v>5.1100000000000003</v>
      </c>
      <c r="G93" s="60">
        <v>124.96</v>
      </c>
      <c r="H93" s="60">
        <v>33.82</v>
      </c>
      <c r="I93" s="60">
        <v>1.05</v>
      </c>
      <c r="J93" s="60">
        <v>0.05</v>
      </c>
      <c r="K93" s="60">
        <v>161.68</v>
      </c>
      <c r="L93" s="60">
        <v>25.42</v>
      </c>
      <c r="M93" s="60">
        <v>35.79</v>
      </c>
      <c r="N93" s="60">
        <v>3.9</v>
      </c>
      <c r="O93" s="60">
        <v>0</v>
      </c>
      <c r="P93" s="60">
        <v>1.61</v>
      </c>
      <c r="Q93" s="60">
        <v>32.74</v>
      </c>
      <c r="R93" s="198"/>
      <c r="S93" s="198"/>
      <c r="T93" s="198"/>
      <c r="U93" s="198"/>
    </row>
    <row r="94" spans="1:26" s="12" customFormat="1" x14ac:dyDescent="0.25">
      <c r="A94" s="201" t="s">
        <v>2541</v>
      </c>
      <c r="B94" s="60">
        <v>73.53</v>
      </c>
      <c r="C94" s="60">
        <v>131.19999999999999</v>
      </c>
      <c r="D94" s="60">
        <v>131.37</v>
      </c>
      <c r="E94" s="60">
        <v>7.22</v>
      </c>
      <c r="F94" s="60">
        <v>4.74</v>
      </c>
      <c r="G94" s="60">
        <v>124.96</v>
      </c>
      <c r="H94" s="60">
        <v>33.82</v>
      </c>
      <c r="I94" s="60">
        <v>0.94</v>
      </c>
      <c r="J94" s="60">
        <v>0.04</v>
      </c>
      <c r="K94" s="60">
        <v>107.43</v>
      </c>
      <c r="L94" s="60">
        <v>25.38</v>
      </c>
      <c r="M94" s="60">
        <v>35.83</v>
      </c>
      <c r="N94" s="60">
        <v>4.3</v>
      </c>
      <c r="O94" s="60">
        <v>0</v>
      </c>
      <c r="P94" s="60">
        <v>1.51</v>
      </c>
      <c r="Q94" s="60">
        <v>32.83</v>
      </c>
      <c r="R94" s="198"/>
      <c r="S94" s="198"/>
      <c r="T94" s="198"/>
      <c r="U94" s="198"/>
    </row>
    <row r="95" spans="1:26" s="12" customFormat="1" x14ac:dyDescent="0.25">
      <c r="A95" s="201" t="s">
        <v>2542</v>
      </c>
      <c r="B95" s="60">
        <v>83.2</v>
      </c>
      <c r="C95" s="60">
        <v>131.13999999999999</v>
      </c>
      <c r="D95" s="60">
        <v>139.09</v>
      </c>
      <c r="E95" s="60">
        <v>6.86</v>
      </c>
      <c r="F95" s="60">
        <v>4.37</v>
      </c>
      <c r="G95" s="60">
        <v>116.26</v>
      </c>
      <c r="H95" s="60">
        <v>36.700000000000003</v>
      </c>
      <c r="I95" s="60">
        <v>0.94</v>
      </c>
      <c r="J95" s="60">
        <v>0.15</v>
      </c>
      <c r="K95" s="60">
        <v>99.02</v>
      </c>
      <c r="L95" s="60">
        <v>24.79</v>
      </c>
      <c r="M95" s="60">
        <v>42.92</v>
      </c>
      <c r="N95" s="60">
        <v>4.5</v>
      </c>
      <c r="O95" s="60">
        <v>0</v>
      </c>
      <c r="P95" s="60">
        <v>1.54</v>
      </c>
      <c r="Q95" s="60">
        <v>32.64</v>
      </c>
      <c r="R95" s="198"/>
      <c r="S95" s="198"/>
      <c r="T95" s="198"/>
      <c r="U95" s="198"/>
    </row>
    <row r="96" spans="1:26" s="12" customFormat="1" x14ac:dyDescent="0.25">
      <c r="A96" s="201" t="s">
        <v>2543</v>
      </c>
      <c r="B96" s="60">
        <v>95.86</v>
      </c>
      <c r="C96" s="60">
        <v>128.80000000000001</v>
      </c>
      <c r="D96" s="60">
        <v>147.94999999999999</v>
      </c>
      <c r="E96" s="60">
        <v>6.6</v>
      </c>
      <c r="F96" s="60">
        <v>4.33</v>
      </c>
      <c r="G96" s="60">
        <v>112.12</v>
      </c>
      <c r="H96" s="60">
        <v>38.130000000000003</v>
      </c>
      <c r="I96" s="60">
        <v>0.97</v>
      </c>
      <c r="J96" s="60">
        <v>0.06</v>
      </c>
      <c r="K96" s="60">
        <v>306.93</v>
      </c>
      <c r="L96" s="60">
        <v>24.26</v>
      </c>
      <c r="M96" s="60">
        <v>44.28</v>
      </c>
      <c r="N96" s="60">
        <v>4.5</v>
      </c>
      <c r="O96" s="60">
        <v>0</v>
      </c>
      <c r="P96" s="60">
        <v>1.73</v>
      </c>
      <c r="Q96" s="60">
        <v>32.619999999999997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2544</v>
      </c>
      <c r="B97" s="60">
        <v>91.78</v>
      </c>
      <c r="C97" s="60">
        <v>125.87</v>
      </c>
      <c r="D97" s="60">
        <v>143.06</v>
      </c>
      <c r="E97" s="60">
        <v>5.8</v>
      </c>
      <c r="F97" s="60">
        <v>4.37</v>
      </c>
      <c r="G97" s="60">
        <v>112.12</v>
      </c>
      <c r="H97" s="60">
        <v>38.130000000000003</v>
      </c>
      <c r="I97" s="60">
        <v>0.97</v>
      </c>
      <c r="J97" s="60">
        <v>0.08</v>
      </c>
      <c r="K97" s="60">
        <v>32.79</v>
      </c>
      <c r="L97" s="60">
        <v>23.8</v>
      </c>
      <c r="M97" s="60">
        <v>48.72</v>
      </c>
      <c r="N97" s="60">
        <v>4.5999999999999996</v>
      </c>
      <c r="O97" s="60">
        <v>0</v>
      </c>
      <c r="P97" s="60">
        <v>1.81</v>
      </c>
      <c r="Q97" s="60">
        <v>32.97</v>
      </c>
      <c r="R97" s="198"/>
      <c r="S97" s="198"/>
      <c r="T97" s="198"/>
      <c r="U97" s="198"/>
    </row>
    <row r="98" spans="1:33" s="12" customFormat="1" x14ac:dyDescent="0.25">
      <c r="A98" s="201" t="s">
        <v>2545</v>
      </c>
      <c r="B98" s="60">
        <v>83.86</v>
      </c>
      <c r="C98" s="60">
        <v>126.06</v>
      </c>
      <c r="D98" s="60">
        <v>136.82</v>
      </c>
      <c r="E98" s="60">
        <v>5.17</v>
      </c>
      <c r="F98" s="60">
        <v>4.4800000000000004</v>
      </c>
      <c r="G98" s="60">
        <v>112.12</v>
      </c>
      <c r="H98" s="60">
        <v>38.130000000000003</v>
      </c>
      <c r="I98" s="60">
        <v>1.03</v>
      </c>
      <c r="J98" s="60">
        <v>0.17</v>
      </c>
      <c r="K98" s="60">
        <v>251.68</v>
      </c>
      <c r="L98" s="60">
        <v>23.98</v>
      </c>
      <c r="M98" s="60">
        <v>45.83</v>
      </c>
      <c r="N98" s="60">
        <v>3.9</v>
      </c>
      <c r="O98" s="60">
        <v>0</v>
      </c>
      <c r="P98" s="60">
        <v>1.67</v>
      </c>
      <c r="Q98" s="60">
        <v>34.799999999999997</v>
      </c>
      <c r="R98" s="198"/>
      <c r="S98" s="198"/>
      <c r="T98" s="198"/>
      <c r="U98" s="198"/>
    </row>
    <row r="99" spans="1:33" s="12" customFormat="1" x14ac:dyDescent="0.25">
      <c r="A99" s="201" t="s">
        <v>2546</v>
      </c>
      <c r="B99" s="60">
        <v>95.42</v>
      </c>
      <c r="C99" s="60">
        <v>129.11000000000001</v>
      </c>
      <c r="D99" s="60">
        <v>147.78</v>
      </c>
      <c r="E99" s="60">
        <v>4.66</v>
      </c>
      <c r="F99" s="60">
        <v>4.46</v>
      </c>
      <c r="G99" s="60">
        <v>142.44</v>
      </c>
      <c r="H99" s="60">
        <v>41.93</v>
      </c>
      <c r="I99" s="60">
        <v>1.05</v>
      </c>
      <c r="J99" s="60">
        <v>0.04</v>
      </c>
      <c r="K99" s="60">
        <v>8.14</v>
      </c>
      <c r="L99" s="60">
        <v>23.74</v>
      </c>
      <c r="M99" s="60">
        <v>46.39</v>
      </c>
      <c r="N99" s="60">
        <v>4.5999999999999996</v>
      </c>
      <c r="O99" s="60">
        <v>0</v>
      </c>
      <c r="P99" s="60">
        <v>1.72</v>
      </c>
      <c r="Q99" s="60">
        <v>35.83</v>
      </c>
      <c r="R99" s="198"/>
      <c r="S99" s="198"/>
      <c r="T99" s="198"/>
      <c r="U99" s="198"/>
    </row>
    <row r="100" spans="1:33" s="12" customFormat="1" x14ac:dyDescent="0.25">
      <c r="A100" s="201" t="s">
        <v>2547</v>
      </c>
      <c r="B100" s="60">
        <v>107.86</v>
      </c>
      <c r="C100" s="60">
        <v>128.38999999999999</v>
      </c>
      <c r="D100" s="60">
        <v>157.35</v>
      </c>
      <c r="E100" s="60">
        <v>5.22</v>
      </c>
      <c r="F100" s="60">
        <v>4.37</v>
      </c>
      <c r="G100" s="60">
        <v>156.85</v>
      </c>
      <c r="H100" s="60">
        <v>43.82</v>
      </c>
      <c r="I100" s="60">
        <v>0.99</v>
      </c>
      <c r="J100" s="60">
        <v>0.1</v>
      </c>
      <c r="K100" s="60">
        <v>105.84</v>
      </c>
      <c r="L100" s="60">
        <v>23.19</v>
      </c>
      <c r="M100" s="60">
        <v>47.16</v>
      </c>
      <c r="N100" s="60">
        <v>4.5</v>
      </c>
      <c r="O100" s="60">
        <v>0</v>
      </c>
      <c r="P100" s="60">
        <v>1.77</v>
      </c>
      <c r="Q100" s="60">
        <v>36.590000000000003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2548</v>
      </c>
      <c r="B101" s="60">
        <v>115.55</v>
      </c>
      <c r="C101" s="60">
        <v>131.07</v>
      </c>
      <c r="D101" s="60">
        <v>165</v>
      </c>
      <c r="E101" s="60">
        <v>4.57</v>
      </c>
      <c r="F101" s="60">
        <v>4.34</v>
      </c>
      <c r="G101" s="60">
        <v>156.85</v>
      </c>
      <c r="H101" s="60">
        <v>43.82</v>
      </c>
      <c r="I101" s="60">
        <v>0.97</v>
      </c>
      <c r="J101" s="60">
        <v>0.05</v>
      </c>
      <c r="K101" s="60">
        <v>86.34</v>
      </c>
      <c r="L101" s="60">
        <v>22.78</v>
      </c>
      <c r="M101" s="60">
        <v>49.07</v>
      </c>
      <c r="N101" s="60">
        <v>4.5999999999999996</v>
      </c>
      <c r="O101" s="60">
        <v>0</v>
      </c>
      <c r="P101" s="60">
        <v>1.79</v>
      </c>
      <c r="Q101" s="60">
        <v>37.19</v>
      </c>
      <c r="R101" s="198"/>
      <c r="S101" s="198"/>
      <c r="T101" s="198"/>
      <c r="U101" s="198"/>
    </row>
    <row r="102" spans="1:33" s="12" customFormat="1" x14ac:dyDescent="0.25">
      <c r="A102" s="201" t="s">
        <v>2549</v>
      </c>
      <c r="B102" s="60">
        <v>121.42</v>
      </c>
      <c r="C102" s="60">
        <v>132.93</v>
      </c>
      <c r="D102" s="60">
        <v>170.73</v>
      </c>
      <c r="E102" s="60">
        <v>5.05</v>
      </c>
      <c r="F102" s="60">
        <v>4.3</v>
      </c>
      <c r="G102" s="60">
        <v>156.85</v>
      </c>
      <c r="H102" s="60">
        <v>43.82</v>
      </c>
      <c r="I102" s="60">
        <v>1.06</v>
      </c>
      <c r="J102" s="60">
        <v>0.01</v>
      </c>
      <c r="K102" s="60">
        <v>60.65</v>
      </c>
      <c r="L102" s="60">
        <v>22.64</v>
      </c>
      <c r="M102" s="60">
        <v>48.42</v>
      </c>
      <c r="N102" s="60">
        <v>4.5999999999999996</v>
      </c>
      <c r="O102" s="60">
        <v>0</v>
      </c>
      <c r="P102" s="60">
        <v>1.79</v>
      </c>
      <c r="Q102" s="60">
        <v>37.53</v>
      </c>
      <c r="R102" s="198"/>
      <c r="S102" s="198"/>
      <c r="T102" s="198"/>
      <c r="U102" s="198"/>
    </row>
    <row r="103" spans="1:33" s="12" customFormat="1" x14ac:dyDescent="0.25">
      <c r="A103" s="201" t="s">
        <v>2550</v>
      </c>
      <c r="B103" s="60">
        <v>124.37</v>
      </c>
      <c r="C103" s="60">
        <v>133.69999999999999</v>
      </c>
      <c r="D103" s="60">
        <v>173.52</v>
      </c>
      <c r="E103" s="60">
        <v>5.05</v>
      </c>
      <c r="F103" s="60">
        <v>4.3</v>
      </c>
      <c r="G103" s="60">
        <v>148.21</v>
      </c>
      <c r="H103" s="60">
        <v>44.42</v>
      </c>
      <c r="I103" s="60">
        <v>1.1000000000000001</v>
      </c>
      <c r="J103" s="60">
        <v>0.03</v>
      </c>
      <c r="K103" s="60">
        <v>73.650000000000006</v>
      </c>
      <c r="L103" s="60">
        <v>22.48</v>
      </c>
      <c r="M103" s="60">
        <v>49.05</v>
      </c>
      <c r="N103" s="60">
        <v>4.4000000000000004</v>
      </c>
      <c r="O103" s="60">
        <v>0</v>
      </c>
      <c r="P103" s="60">
        <v>1.79</v>
      </c>
      <c r="Q103" s="60">
        <v>37.47</v>
      </c>
      <c r="R103" s="198"/>
      <c r="S103" s="198"/>
      <c r="T103" s="198"/>
      <c r="U103" s="198"/>
    </row>
    <row r="104" spans="1:33" s="12" customFormat="1" x14ac:dyDescent="0.25">
      <c r="A104" s="201" t="s">
        <v>2551</v>
      </c>
      <c r="B104" s="60">
        <v>125.36</v>
      </c>
      <c r="C104" s="60">
        <v>133.97</v>
      </c>
      <c r="D104" s="60">
        <v>174.46</v>
      </c>
      <c r="E104" s="60">
        <v>2.79</v>
      </c>
      <c r="F104" s="60">
        <v>4.3600000000000003</v>
      </c>
      <c r="G104" s="60">
        <v>144.09</v>
      </c>
      <c r="H104" s="60">
        <v>44.72</v>
      </c>
      <c r="I104" s="60">
        <v>1.1000000000000001</v>
      </c>
      <c r="J104" s="60">
        <v>0.04</v>
      </c>
      <c r="K104" s="60">
        <v>250.21</v>
      </c>
      <c r="L104" s="60">
        <v>22.4</v>
      </c>
      <c r="M104" s="60">
        <v>49.09</v>
      </c>
      <c r="N104" s="60">
        <v>4.2</v>
      </c>
      <c r="O104" s="60">
        <v>0</v>
      </c>
      <c r="P104" s="60">
        <v>1.77</v>
      </c>
      <c r="Q104" s="60">
        <v>37.409999999999997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1.54</v>
      </c>
      <c r="C106" s="67">
        <f>MIN(C9:C104)</f>
        <v>79.319999999999993</v>
      </c>
      <c r="D106" s="67">
        <f t="shared" ref="D106:Q106" si="0">MIN(D9:D104)</f>
        <v>48.91</v>
      </c>
      <c r="E106" s="67">
        <f t="shared" si="0"/>
        <v>2.4</v>
      </c>
      <c r="F106" s="67">
        <f t="shared" si="0"/>
        <v>0.01</v>
      </c>
      <c r="G106" s="67">
        <f t="shared" si="0"/>
        <v>37.04</v>
      </c>
      <c r="H106" s="67">
        <f t="shared" si="0"/>
        <v>14.42</v>
      </c>
      <c r="I106" s="67">
        <f t="shared" si="0"/>
        <v>0.56000000000000005</v>
      </c>
      <c r="J106" s="67">
        <f t="shared" si="0"/>
        <v>0.01</v>
      </c>
      <c r="K106" s="67">
        <f t="shared" si="0"/>
        <v>0.24</v>
      </c>
      <c r="L106" s="67">
        <f t="shared" si="0"/>
        <v>18.53</v>
      </c>
      <c r="M106" s="67">
        <f t="shared" si="0"/>
        <v>13.79</v>
      </c>
      <c r="N106" s="67">
        <f t="shared" si="0"/>
        <v>3.1</v>
      </c>
      <c r="O106" s="67">
        <f t="shared" si="0"/>
        <v>0</v>
      </c>
      <c r="P106" s="67">
        <f t="shared" si="0"/>
        <v>0.63</v>
      </c>
      <c r="Q106" s="67">
        <f t="shared" si="0"/>
        <v>25.98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125.36</v>
      </c>
      <c r="C107" s="66">
        <f t="shared" ref="C107:Q107" si="1">MAX(C9:C104)</f>
        <v>133.97</v>
      </c>
      <c r="D107" s="66">
        <f t="shared" si="1"/>
        <v>174.46</v>
      </c>
      <c r="E107" s="66">
        <f t="shared" si="1"/>
        <v>18.59</v>
      </c>
      <c r="F107" s="66">
        <f t="shared" si="1"/>
        <v>24.57</v>
      </c>
      <c r="G107" s="66">
        <f t="shared" si="1"/>
        <v>192.65</v>
      </c>
      <c r="H107" s="66">
        <f t="shared" si="1"/>
        <v>53.15</v>
      </c>
      <c r="I107" s="66">
        <f t="shared" si="1"/>
        <v>1.17</v>
      </c>
      <c r="J107" s="66">
        <f t="shared" si="1"/>
        <v>1.82</v>
      </c>
      <c r="K107" s="66">
        <f t="shared" si="1"/>
        <v>358.17</v>
      </c>
      <c r="L107" s="66">
        <f t="shared" si="1"/>
        <v>38.130000000000003</v>
      </c>
      <c r="M107" s="66">
        <f t="shared" si="1"/>
        <v>65.930000000000007</v>
      </c>
      <c r="N107" s="66">
        <f t="shared" si="1"/>
        <v>573.29999999999995</v>
      </c>
      <c r="O107" s="66">
        <f t="shared" si="1"/>
        <v>0</v>
      </c>
      <c r="P107" s="66">
        <f t="shared" si="1"/>
        <v>2.0699999999999998</v>
      </c>
      <c r="Q107" s="66">
        <f t="shared" si="1"/>
        <v>37.53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50.598229166666698</v>
      </c>
      <c r="C108" s="67">
        <f t="shared" ref="C108:Q108" si="2">AVERAGE(C9:C104)</f>
        <v>109.72989583333333</v>
      </c>
      <c r="D108" s="67">
        <f t="shared" si="2"/>
        <v>101.13281250000001</v>
      </c>
      <c r="E108" s="67">
        <f t="shared" si="2"/>
        <v>5.8315624999999969</v>
      </c>
      <c r="F108" s="67">
        <f t="shared" si="2"/>
        <v>5.9512658227848103</v>
      </c>
      <c r="G108" s="67">
        <f t="shared" si="2"/>
        <v>94.625520833333326</v>
      </c>
      <c r="H108" s="67">
        <f t="shared" si="2"/>
        <v>36.837187499999978</v>
      </c>
      <c r="I108" s="67">
        <f t="shared" si="2"/>
        <v>0.80947916666666642</v>
      </c>
      <c r="J108" s="67">
        <f t="shared" si="2"/>
        <v>0.41187499999999999</v>
      </c>
      <c r="K108" s="67">
        <f t="shared" si="2"/>
        <v>134.90666666666672</v>
      </c>
      <c r="L108" s="67">
        <f t="shared" si="2"/>
        <v>26.959583333333342</v>
      </c>
      <c r="M108" s="67">
        <f t="shared" si="2"/>
        <v>37.7659375</v>
      </c>
      <c r="N108" s="67">
        <f t="shared" si="2"/>
        <v>165.63541666666671</v>
      </c>
      <c r="O108" s="67">
        <f t="shared" si="2"/>
        <v>0</v>
      </c>
      <c r="P108" s="67">
        <f t="shared" si="2"/>
        <v>1.2937499999999997</v>
      </c>
      <c r="Q108" s="67">
        <f t="shared" si="2"/>
        <v>31.231874999999999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35.851239543858689</v>
      </c>
      <c r="C109" s="67">
        <f t="shared" ref="C109:Q109" si="3">STDEV(C9:C104)</f>
        <v>12.686870834369859</v>
      </c>
      <c r="D109" s="67">
        <f t="shared" si="3"/>
        <v>34.141862024981776</v>
      </c>
      <c r="E109" s="67">
        <f t="shared" si="3"/>
        <v>2.3759095003697879</v>
      </c>
      <c r="F109" s="67">
        <f t="shared" si="3"/>
        <v>6.2994172231651113</v>
      </c>
      <c r="G109" s="67">
        <f t="shared" si="3"/>
        <v>41.611200361385301</v>
      </c>
      <c r="H109" s="67">
        <f t="shared" si="3"/>
        <v>11.76962215582096</v>
      </c>
      <c r="I109" s="67">
        <f t="shared" si="3"/>
        <v>0.16899934469923947</v>
      </c>
      <c r="J109" s="67">
        <f t="shared" si="3"/>
        <v>0.41577400870639974</v>
      </c>
      <c r="K109" s="67">
        <f t="shared" si="3"/>
        <v>109.83983936112246</v>
      </c>
      <c r="L109" s="67">
        <f t="shared" si="3"/>
        <v>6.0069161746959772</v>
      </c>
      <c r="M109" s="67">
        <f t="shared" si="3"/>
        <v>15.903403977111692</v>
      </c>
      <c r="N109" s="67">
        <f t="shared" si="3"/>
        <v>216.22659409890821</v>
      </c>
      <c r="O109" s="67">
        <f t="shared" si="3"/>
        <v>0</v>
      </c>
      <c r="P109" s="67">
        <f t="shared" si="3"/>
        <v>0.40768989763247782</v>
      </c>
      <c r="Q109" s="67">
        <f t="shared" si="3"/>
        <v>2.8872216885697171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>COUNT(F9:F104)+17</f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215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J111" sqref="J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25-02-2023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340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2552</v>
      </c>
      <c r="B9" s="60">
        <v>132.81</v>
      </c>
      <c r="C9" s="60">
        <v>135.37</v>
      </c>
      <c r="D9" s="60">
        <v>181.21</v>
      </c>
      <c r="E9" s="60">
        <v>4.82</v>
      </c>
      <c r="F9" s="60">
        <v>4.3</v>
      </c>
      <c r="G9" s="60">
        <v>144.09</v>
      </c>
      <c r="H9" s="60">
        <v>44.72</v>
      </c>
      <c r="I9" s="60">
        <v>1.1100000000000001</v>
      </c>
      <c r="J9" s="60">
        <v>0.39</v>
      </c>
      <c r="K9" s="60">
        <v>3.44</v>
      </c>
      <c r="L9" s="60">
        <v>22.04</v>
      </c>
      <c r="M9" s="60">
        <v>53.98</v>
      </c>
      <c r="N9" s="60">
        <v>4.0999999999999996</v>
      </c>
      <c r="O9" s="60">
        <v>0</v>
      </c>
      <c r="P9" s="60">
        <v>1.74</v>
      </c>
      <c r="Q9" s="60">
        <v>36.89</v>
      </c>
      <c r="R9" s="198"/>
      <c r="S9" s="198"/>
      <c r="T9" s="198"/>
      <c r="U9" s="198"/>
    </row>
    <row r="10" spans="1:21" s="12" customFormat="1" x14ac:dyDescent="0.25">
      <c r="A10" s="201" t="s">
        <v>2553</v>
      </c>
      <c r="B10" s="60">
        <v>119.72</v>
      </c>
      <c r="C10" s="60">
        <v>133.04</v>
      </c>
      <c r="D10" s="60">
        <v>169.43</v>
      </c>
      <c r="E10" s="60">
        <v>5.39</v>
      </c>
      <c r="F10" s="60">
        <v>4.3899999999999997</v>
      </c>
      <c r="G10" s="60">
        <v>144.09</v>
      </c>
      <c r="H10" s="60">
        <v>44.72</v>
      </c>
      <c r="I10" s="60">
        <v>1.0900000000000001</v>
      </c>
      <c r="J10" s="60">
        <v>0.79</v>
      </c>
      <c r="K10" s="60">
        <v>30.63</v>
      </c>
      <c r="L10" s="60">
        <v>22.4</v>
      </c>
      <c r="M10" s="60">
        <v>49.63</v>
      </c>
      <c r="N10" s="60">
        <v>1.4</v>
      </c>
      <c r="O10" s="60">
        <v>0</v>
      </c>
      <c r="P10" s="60">
        <v>1.76</v>
      </c>
      <c r="Q10" s="60">
        <v>36.700000000000003</v>
      </c>
      <c r="R10" s="198"/>
      <c r="S10" s="198"/>
      <c r="T10" s="198"/>
      <c r="U10" s="198"/>
    </row>
    <row r="11" spans="1:21" s="12" customFormat="1" x14ac:dyDescent="0.25">
      <c r="A11" s="201" t="s">
        <v>2554</v>
      </c>
      <c r="B11" s="60">
        <v>105.77</v>
      </c>
      <c r="C11" s="60">
        <v>125.59</v>
      </c>
      <c r="D11" s="60">
        <v>154.13</v>
      </c>
      <c r="E11" s="60">
        <v>6.47</v>
      </c>
      <c r="F11" s="60">
        <v>5.65</v>
      </c>
      <c r="G11" s="60">
        <v>123.75</v>
      </c>
      <c r="H11" s="60">
        <v>45.5</v>
      </c>
      <c r="I11" s="60">
        <v>1.1000000000000001</v>
      </c>
      <c r="J11" s="60">
        <v>0.33</v>
      </c>
      <c r="K11" s="60">
        <v>17.52</v>
      </c>
      <c r="L11" s="60">
        <v>22.86</v>
      </c>
      <c r="M11" s="60">
        <v>41.35</v>
      </c>
      <c r="N11" s="60">
        <v>3.9</v>
      </c>
      <c r="O11" s="60">
        <v>0</v>
      </c>
      <c r="P11" s="60">
        <v>1.69</v>
      </c>
      <c r="Q11" s="60">
        <v>36.81</v>
      </c>
      <c r="R11" s="198"/>
      <c r="S11" s="198"/>
      <c r="T11" s="198"/>
      <c r="U11" s="198"/>
    </row>
    <row r="12" spans="1:21" s="12" customFormat="1" x14ac:dyDescent="0.25">
      <c r="A12" s="201" t="s">
        <v>2555</v>
      </c>
      <c r="B12" s="60">
        <v>97.26</v>
      </c>
      <c r="C12" s="60">
        <v>123.29</v>
      </c>
      <c r="D12" s="60">
        <v>146.04</v>
      </c>
      <c r="E12" s="60">
        <v>7.11</v>
      </c>
      <c r="F12" s="60">
        <v>5.86</v>
      </c>
      <c r="G12" s="60">
        <v>114.08</v>
      </c>
      <c r="H12" s="60">
        <v>45.89</v>
      </c>
      <c r="I12" s="60">
        <v>1.0900000000000001</v>
      </c>
      <c r="J12" s="60">
        <v>0.08</v>
      </c>
      <c r="K12" s="60">
        <v>294.22000000000003</v>
      </c>
      <c r="L12" s="60">
        <v>22.78</v>
      </c>
      <c r="M12" s="60">
        <v>41.58</v>
      </c>
      <c r="N12" s="60">
        <v>4.5999999999999996</v>
      </c>
      <c r="O12" s="60">
        <v>0</v>
      </c>
      <c r="P12" s="60">
        <v>1.62</v>
      </c>
      <c r="Q12" s="60">
        <v>37</v>
      </c>
      <c r="R12" s="198"/>
      <c r="S12" s="198"/>
      <c r="T12" s="198"/>
      <c r="U12" s="198"/>
    </row>
    <row r="13" spans="1:21" s="12" customFormat="1" x14ac:dyDescent="0.25">
      <c r="A13" s="201" t="s">
        <v>2556</v>
      </c>
      <c r="B13" s="60">
        <v>102.91</v>
      </c>
      <c r="C13" s="60">
        <v>125.67</v>
      </c>
      <c r="D13" s="60">
        <v>151.88</v>
      </c>
      <c r="E13" s="60">
        <v>6.66</v>
      </c>
      <c r="F13" s="60">
        <v>5.48</v>
      </c>
      <c r="G13" s="60">
        <v>114.08</v>
      </c>
      <c r="H13" s="60">
        <v>45.89</v>
      </c>
      <c r="I13" s="60">
        <v>1.08</v>
      </c>
      <c r="J13" s="60">
        <v>0.08</v>
      </c>
      <c r="K13" s="60">
        <v>295.8</v>
      </c>
      <c r="L13" s="60">
        <v>22.49</v>
      </c>
      <c r="M13" s="60">
        <v>42.11</v>
      </c>
      <c r="N13" s="60">
        <v>4.8</v>
      </c>
      <c r="O13" s="60">
        <v>0</v>
      </c>
      <c r="P13" s="60">
        <v>1.62</v>
      </c>
      <c r="Q13" s="60">
        <v>36.979999999999997</v>
      </c>
      <c r="R13" s="198"/>
      <c r="S13" s="198"/>
      <c r="T13" s="198"/>
      <c r="U13" s="198"/>
    </row>
    <row r="14" spans="1:21" s="12" customFormat="1" x14ac:dyDescent="0.25">
      <c r="A14" s="201" t="s">
        <v>2557</v>
      </c>
      <c r="B14" s="60">
        <v>101.84</v>
      </c>
      <c r="C14" s="60">
        <v>125.78</v>
      </c>
      <c r="D14" s="60">
        <v>151.08000000000001</v>
      </c>
      <c r="E14" s="60">
        <v>5.79</v>
      </c>
      <c r="F14" s="60">
        <v>4.8600000000000003</v>
      </c>
      <c r="G14" s="60">
        <v>114.08</v>
      </c>
      <c r="H14" s="60">
        <v>45.89</v>
      </c>
      <c r="I14" s="60">
        <v>1</v>
      </c>
      <c r="J14" s="60">
        <v>0.11</v>
      </c>
      <c r="K14" s="60">
        <v>1.5</v>
      </c>
      <c r="L14" s="60">
        <v>21.74</v>
      </c>
      <c r="M14" s="60">
        <v>46.53</v>
      </c>
      <c r="N14" s="60">
        <v>4.9000000000000004</v>
      </c>
      <c r="O14" s="60">
        <v>0</v>
      </c>
      <c r="P14" s="60">
        <v>1.68</v>
      </c>
      <c r="Q14" s="60">
        <v>36.85</v>
      </c>
      <c r="R14" s="198"/>
      <c r="S14" s="198"/>
      <c r="T14" s="198"/>
      <c r="U14" s="198"/>
    </row>
    <row r="15" spans="1:21" s="12" customFormat="1" x14ac:dyDescent="0.25">
      <c r="A15" s="201" t="s">
        <v>2558</v>
      </c>
      <c r="B15" s="60">
        <v>97.08</v>
      </c>
      <c r="C15" s="60">
        <v>122.1</v>
      </c>
      <c r="D15" s="60">
        <v>145.24</v>
      </c>
      <c r="E15" s="60">
        <v>4.93</v>
      </c>
      <c r="F15" s="60">
        <v>4.38</v>
      </c>
      <c r="G15" s="60">
        <v>99.98</v>
      </c>
      <c r="H15" s="60">
        <v>44.42</v>
      </c>
      <c r="I15" s="60">
        <v>1.03</v>
      </c>
      <c r="J15" s="60">
        <v>0.1</v>
      </c>
      <c r="K15" s="60">
        <v>40.94</v>
      </c>
      <c r="L15" s="60">
        <v>21.17</v>
      </c>
      <c r="M15" s="60">
        <v>49.93</v>
      </c>
      <c r="N15" s="60">
        <v>4.5</v>
      </c>
      <c r="O15" s="60">
        <v>0</v>
      </c>
      <c r="P15" s="60">
        <v>1.66</v>
      </c>
      <c r="Q15" s="60">
        <v>36.43</v>
      </c>
      <c r="R15" s="198"/>
      <c r="S15" s="198"/>
      <c r="T15" s="198"/>
      <c r="U15" s="198"/>
    </row>
    <row r="16" spans="1:21" s="12" customFormat="1" x14ac:dyDescent="0.25">
      <c r="A16" s="201" t="s">
        <v>2559</v>
      </c>
      <c r="B16" s="60">
        <v>97.62</v>
      </c>
      <c r="C16" s="60">
        <v>122.4</v>
      </c>
      <c r="D16" s="60">
        <v>145.84</v>
      </c>
      <c r="E16" s="60">
        <v>4.71</v>
      </c>
      <c r="F16" s="60">
        <v>4.33</v>
      </c>
      <c r="G16" s="60">
        <v>93.28</v>
      </c>
      <c r="H16" s="60">
        <v>43.69</v>
      </c>
      <c r="I16" s="60">
        <v>1.06</v>
      </c>
      <c r="J16" s="60">
        <v>0.32</v>
      </c>
      <c r="K16" s="60">
        <v>20.98</v>
      </c>
      <c r="L16" s="60">
        <v>20.89</v>
      </c>
      <c r="M16" s="60">
        <v>52.11</v>
      </c>
      <c r="N16" s="60">
        <v>4.2</v>
      </c>
      <c r="O16" s="60">
        <v>0</v>
      </c>
      <c r="P16" s="60">
        <v>1.65</v>
      </c>
      <c r="Q16" s="60">
        <v>36.6</v>
      </c>
      <c r="R16" s="198"/>
      <c r="S16" s="198"/>
      <c r="T16" s="198"/>
      <c r="U16" s="198"/>
    </row>
    <row r="17" spans="1:21" s="12" customFormat="1" x14ac:dyDescent="0.25">
      <c r="A17" s="201" t="s">
        <v>2560</v>
      </c>
      <c r="B17" s="60">
        <v>92.77</v>
      </c>
      <c r="C17" s="60">
        <v>118.66</v>
      </c>
      <c r="D17" s="60">
        <v>139.88</v>
      </c>
      <c r="E17" s="60">
        <v>4.87</v>
      </c>
      <c r="F17" s="60">
        <v>4.3099999999999996</v>
      </c>
      <c r="G17" s="60">
        <v>93.28</v>
      </c>
      <c r="H17" s="60">
        <v>43.69</v>
      </c>
      <c r="I17" s="60">
        <v>1.08</v>
      </c>
      <c r="J17" s="60">
        <v>0.96</v>
      </c>
      <c r="K17" s="60">
        <v>11.88</v>
      </c>
      <c r="L17" s="60">
        <v>21.4</v>
      </c>
      <c r="M17" s="60">
        <v>50.55</v>
      </c>
      <c r="N17" s="60">
        <v>2.2000000000000002</v>
      </c>
      <c r="O17" s="60">
        <v>0</v>
      </c>
      <c r="P17" s="60">
        <v>1.62</v>
      </c>
      <c r="Q17" s="60">
        <v>36.79</v>
      </c>
      <c r="R17" s="198"/>
      <c r="S17" s="198"/>
      <c r="T17" s="198"/>
      <c r="U17" s="198"/>
    </row>
    <row r="18" spans="1:21" s="12" customFormat="1" x14ac:dyDescent="0.25">
      <c r="A18" s="201" t="s">
        <v>2561</v>
      </c>
      <c r="B18" s="60">
        <v>86.45</v>
      </c>
      <c r="C18" s="60">
        <v>118.82</v>
      </c>
      <c r="D18" s="60">
        <v>134.9</v>
      </c>
      <c r="E18" s="60">
        <v>5.6</v>
      </c>
      <c r="F18" s="60">
        <v>4.3</v>
      </c>
      <c r="G18" s="60">
        <v>93.28</v>
      </c>
      <c r="H18" s="60">
        <v>43.69</v>
      </c>
      <c r="I18" s="60">
        <v>1.01</v>
      </c>
      <c r="J18" s="60">
        <v>0.24</v>
      </c>
      <c r="K18" s="60">
        <v>34.57</v>
      </c>
      <c r="L18" s="60">
        <v>21.49</v>
      </c>
      <c r="M18" s="60">
        <v>50.31</v>
      </c>
      <c r="N18" s="60">
        <v>4.5999999999999996</v>
      </c>
      <c r="O18" s="60">
        <v>0</v>
      </c>
      <c r="P18" s="60">
        <v>1.59</v>
      </c>
      <c r="Q18" s="60">
        <v>36.17</v>
      </c>
      <c r="R18" s="198"/>
      <c r="S18" s="198"/>
      <c r="T18" s="198"/>
      <c r="U18" s="198"/>
    </row>
    <row r="19" spans="1:21" s="12" customFormat="1" x14ac:dyDescent="0.25">
      <c r="A19" s="201" t="s">
        <v>2562</v>
      </c>
      <c r="B19" s="60">
        <v>80.83</v>
      </c>
      <c r="C19" s="60">
        <v>117.64</v>
      </c>
      <c r="D19" s="60">
        <v>129.75</v>
      </c>
      <c r="E19" s="60">
        <v>6.21</v>
      </c>
      <c r="F19" s="60">
        <v>4.3</v>
      </c>
      <c r="G19" s="60">
        <v>104.38</v>
      </c>
      <c r="H19" s="60">
        <v>43.97</v>
      </c>
      <c r="I19" s="60">
        <v>0.96</v>
      </c>
      <c r="J19" s="60">
        <v>0.17</v>
      </c>
      <c r="K19" s="60">
        <v>66.819999999999993</v>
      </c>
      <c r="L19" s="60">
        <v>21.72</v>
      </c>
      <c r="M19" s="60">
        <v>49.31</v>
      </c>
      <c r="N19" s="60">
        <v>4.4000000000000004</v>
      </c>
      <c r="O19" s="60">
        <v>0</v>
      </c>
      <c r="P19" s="60">
        <v>1.57</v>
      </c>
      <c r="Q19" s="60">
        <v>35.61</v>
      </c>
      <c r="R19" s="198"/>
      <c r="S19" s="198"/>
      <c r="T19" s="198"/>
      <c r="U19" s="198"/>
    </row>
    <row r="20" spans="1:21" s="12" customFormat="1" x14ac:dyDescent="0.25">
      <c r="A20" s="201" t="s">
        <v>2563</v>
      </c>
      <c r="B20" s="60">
        <v>76.510000000000005</v>
      </c>
      <c r="C20" s="60">
        <v>116.97</v>
      </c>
      <c r="D20" s="60">
        <v>125.91</v>
      </c>
      <c r="E20" s="60">
        <v>6.46</v>
      </c>
      <c r="F20" s="60">
        <v>4.3099999999999996</v>
      </c>
      <c r="G20" s="60">
        <v>109.65</v>
      </c>
      <c r="H20" s="60">
        <v>44.11</v>
      </c>
      <c r="I20" s="60">
        <v>0.98</v>
      </c>
      <c r="J20" s="60">
        <v>0.32</v>
      </c>
      <c r="K20" s="60">
        <v>108.56</v>
      </c>
      <c r="L20" s="60">
        <v>21.97</v>
      </c>
      <c r="M20" s="60">
        <v>48.45</v>
      </c>
      <c r="N20" s="60">
        <v>3.6</v>
      </c>
      <c r="O20" s="60">
        <v>0</v>
      </c>
      <c r="P20" s="60">
        <v>1.59</v>
      </c>
      <c r="Q20" s="60">
        <v>35.26</v>
      </c>
      <c r="R20" s="198"/>
      <c r="S20" s="198"/>
      <c r="T20" s="198"/>
      <c r="U20" s="198"/>
    </row>
    <row r="21" spans="1:21" s="12" customFormat="1" x14ac:dyDescent="0.25">
      <c r="A21" s="201" t="s">
        <v>2564</v>
      </c>
      <c r="B21" s="60">
        <v>72.989999999999995</v>
      </c>
      <c r="C21" s="60">
        <v>116.48</v>
      </c>
      <c r="D21" s="60">
        <v>122.82</v>
      </c>
      <c r="E21" s="60">
        <v>6.21</v>
      </c>
      <c r="F21" s="60">
        <v>4.32</v>
      </c>
      <c r="G21" s="60">
        <v>109.65</v>
      </c>
      <c r="H21" s="60">
        <v>44.11</v>
      </c>
      <c r="I21" s="60">
        <v>0.93</v>
      </c>
      <c r="J21" s="60">
        <v>0.1</v>
      </c>
      <c r="K21" s="60">
        <v>22.55</v>
      </c>
      <c r="L21" s="60">
        <v>21.7</v>
      </c>
      <c r="M21" s="60">
        <v>52.44</v>
      </c>
      <c r="N21" s="60">
        <v>4.7</v>
      </c>
      <c r="O21" s="60">
        <v>0</v>
      </c>
      <c r="P21" s="60">
        <v>1.61</v>
      </c>
      <c r="Q21" s="60">
        <v>34.94</v>
      </c>
      <c r="R21" s="198"/>
      <c r="S21" s="198"/>
      <c r="T21" s="198"/>
      <c r="U21" s="198"/>
    </row>
    <row r="22" spans="1:21" s="12" customFormat="1" x14ac:dyDescent="0.25">
      <c r="A22" s="201" t="s">
        <v>2565</v>
      </c>
      <c r="B22" s="60">
        <v>69.8</v>
      </c>
      <c r="C22" s="60">
        <v>115.3</v>
      </c>
      <c r="D22" s="60">
        <v>119.61</v>
      </c>
      <c r="E22" s="60">
        <v>6.2</v>
      </c>
      <c r="F22" s="60">
        <v>4.3</v>
      </c>
      <c r="G22" s="60">
        <v>109.65</v>
      </c>
      <c r="H22" s="60">
        <v>44.11</v>
      </c>
      <c r="I22" s="60">
        <v>0.88</v>
      </c>
      <c r="J22" s="60">
        <v>0.08</v>
      </c>
      <c r="K22" s="60">
        <v>283.91000000000003</v>
      </c>
      <c r="L22" s="60">
        <v>20.92</v>
      </c>
      <c r="M22" s="60">
        <v>54.25</v>
      </c>
      <c r="N22" s="60">
        <v>4.7</v>
      </c>
      <c r="O22" s="60">
        <v>0</v>
      </c>
      <c r="P22" s="60">
        <v>1.63</v>
      </c>
      <c r="Q22" s="60">
        <v>34.72</v>
      </c>
      <c r="R22" s="198"/>
      <c r="S22" s="198"/>
      <c r="T22" s="198"/>
      <c r="U22" s="198"/>
    </row>
    <row r="23" spans="1:21" s="12" customFormat="1" x14ac:dyDescent="0.25">
      <c r="A23" s="201" t="s">
        <v>2566</v>
      </c>
      <c r="B23" s="60">
        <v>60.16</v>
      </c>
      <c r="C23" s="60">
        <v>111.23</v>
      </c>
      <c r="D23" s="60">
        <v>109.63</v>
      </c>
      <c r="E23" s="60">
        <v>6.76</v>
      </c>
      <c r="F23" s="60">
        <v>4.3600000000000003</v>
      </c>
      <c r="G23" s="60">
        <v>145.55000000000001</v>
      </c>
      <c r="H23" s="60">
        <v>52.27</v>
      </c>
      <c r="I23" s="60">
        <v>0.86</v>
      </c>
      <c r="J23" s="60">
        <v>0.01</v>
      </c>
      <c r="K23" s="60">
        <v>31.76</v>
      </c>
      <c r="L23" s="60">
        <v>20.59</v>
      </c>
      <c r="M23" s="60">
        <v>54.21</v>
      </c>
      <c r="N23" s="60">
        <v>4.7</v>
      </c>
      <c r="O23" s="60">
        <v>0</v>
      </c>
      <c r="P23" s="60">
        <v>1.64</v>
      </c>
      <c r="Q23" s="60">
        <v>34.090000000000003</v>
      </c>
      <c r="R23" s="198"/>
      <c r="S23" s="198"/>
      <c r="T23" s="198"/>
      <c r="U23" s="198"/>
    </row>
    <row r="24" spans="1:21" s="12" customFormat="1" x14ac:dyDescent="0.25">
      <c r="A24" s="201" t="s">
        <v>2567</v>
      </c>
      <c r="B24" s="60">
        <v>60.66</v>
      </c>
      <c r="C24" s="60">
        <v>111.43</v>
      </c>
      <c r="D24" s="60">
        <v>110.14</v>
      </c>
      <c r="E24" s="60">
        <v>3.5</v>
      </c>
      <c r="F24" s="60">
        <v>4.46</v>
      </c>
      <c r="G24" s="60">
        <v>162.61000000000001</v>
      </c>
      <c r="H24" s="60">
        <v>56.35</v>
      </c>
      <c r="I24" s="60">
        <v>0.84</v>
      </c>
      <c r="J24" s="60">
        <v>0.06</v>
      </c>
      <c r="K24" s="60">
        <v>340.67</v>
      </c>
      <c r="L24" s="60">
        <v>20.36</v>
      </c>
      <c r="M24" s="60">
        <v>57.44</v>
      </c>
      <c r="N24" s="60">
        <v>4.5999999999999996</v>
      </c>
      <c r="O24" s="60">
        <v>0</v>
      </c>
      <c r="P24" s="60">
        <v>1.65</v>
      </c>
      <c r="Q24" s="60">
        <v>33.28</v>
      </c>
      <c r="R24" s="198"/>
      <c r="S24" s="198"/>
      <c r="T24" s="198"/>
      <c r="U24" s="198"/>
    </row>
    <row r="25" spans="1:21" s="12" customFormat="1" x14ac:dyDescent="0.25">
      <c r="A25" s="201" t="s">
        <v>2568</v>
      </c>
      <c r="B25" s="60">
        <v>59.03</v>
      </c>
      <c r="C25" s="60">
        <v>110.15</v>
      </c>
      <c r="D25" s="60">
        <v>108.13</v>
      </c>
      <c r="E25" s="60">
        <v>5.18</v>
      </c>
      <c r="F25" s="60">
        <v>4.46</v>
      </c>
      <c r="G25" s="60">
        <v>162.61000000000001</v>
      </c>
      <c r="H25" s="60">
        <v>56.35</v>
      </c>
      <c r="I25" s="60">
        <v>0.81</v>
      </c>
      <c r="J25" s="60">
        <v>0.1</v>
      </c>
      <c r="K25" s="60">
        <v>344.58</v>
      </c>
      <c r="L25" s="60">
        <v>20.3</v>
      </c>
      <c r="M25" s="60">
        <v>54.99</v>
      </c>
      <c r="N25" s="60">
        <v>4.3</v>
      </c>
      <c r="O25" s="60">
        <v>0</v>
      </c>
      <c r="P25" s="60">
        <v>1.65</v>
      </c>
      <c r="Q25" s="60">
        <v>32.81</v>
      </c>
      <c r="R25" s="198"/>
      <c r="S25" s="198"/>
      <c r="T25" s="198"/>
      <c r="U25" s="198"/>
    </row>
    <row r="26" spans="1:21" s="12" customFormat="1" x14ac:dyDescent="0.25">
      <c r="A26" s="201" t="s">
        <v>2569</v>
      </c>
      <c r="B26" s="60">
        <v>59.56</v>
      </c>
      <c r="C26" s="60">
        <v>109.78</v>
      </c>
      <c r="D26" s="60">
        <v>108.35</v>
      </c>
      <c r="E26" s="60">
        <v>5.72</v>
      </c>
      <c r="F26" s="60">
        <v>4.53</v>
      </c>
      <c r="G26" s="60">
        <v>162.61000000000001</v>
      </c>
      <c r="H26" s="60">
        <v>56.35</v>
      </c>
      <c r="I26" s="60">
        <v>0.82</v>
      </c>
      <c r="J26" s="60">
        <v>0.23</v>
      </c>
      <c r="K26" s="60">
        <v>59.65</v>
      </c>
      <c r="L26" s="60">
        <v>20.23</v>
      </c>
      <c r="M26" s="60">
        <v>54.39</v>
      </c>
      <c r="N26" s="60">
        <v>3.6</v>
      </c>
      <c r="O26" s="60">
        <v>0</v>
      </c>
      <c r="P26" s="60">
        <v>1.63</v>
      </c>
      <c r="Q26" s="60">
        <v>32.82</v>
      </c>
      <c r="R26" s="198"/>
      <c r="S26" s="198"/>
      <c r="T26" s="198"/>
      <c r="U26" s="198"/>
    </row>
    <row r="27" spans="1:21" s="12" customFormat="1" x14ac:dyDescent="0.25">
      <c r="A27" s="201" t="s">
        <v>2570</v>
      </c>
      <c r="B27" s="60">
        <v>57.67</v>
      </c>
      <c r="C27" s="60">
        <v>106.16</v>
      </c>
      <c r="D27" s="60">
        <v>104.84</v>
      </c>
      <c r="E27" s="60">
        <v>5.82</v>
      </c>
      <c r="F27" s="60">
        <v>4.91</v>
      </c>
      <c r="G27" s="60">
        <v>146.5</v>
      </c>
      <c r="H27" s="60">
        <v>58.4</v>
      </c>
      <c r="I27" s="60">
        <v>0.82</v>
      </c>
      <c r="J27" s="60">
        <v>0.22</v>
      </c>
      <c r="K27" s="60">
        <v>36.08</v>
      </c>
      <c r="L27" s="60">
        <v>21.1</v>
      </c>
      <c r="M27" s="60">
        <v>48.25</v>
      </c>
      <c r="N27" s="60">
        <v>3.7</v>
      </c>
      <c r="O27" s="60">
        <v>0</v>
      </c>
      <c r="P27" s="60">
        <v>1.6</v>
      </c>
      <c r="Q27" s="60">
        <v>33.020000000000003</v>
      </c>
      <c r="R27" s="198"/>
      <c r="S27" s="198"/>
      <c r="T27" s="198"/>
      <c r="U27" s="198"/>
    </row>
    <row r="28" spans="1:21" s="12" customFormat="1" x14ac:dyDescent="0.25">
      <c r="A28" s="201" t="s">
        <v>2571</v>
      </c>
      <c r="B28" s="60">
        <v>56.11</v>
      </c>
      <c r="C28" s="60">
        <v>106.26</v>
      </c>
      <c r="D28" s="60">
        <v>103.64</v>
      </c>
      <c r="E28" s="60">
        <v>5.58</v>
      </c>
      <c r="F28" s="60">
        <v>4.87</v>
      </c>
      <c r="G28" s="60">
        <v>138.83000000000001</v>
      </c>
      <c r="H28" s="60">
        <v>59.43</v>
      </c>
      <c r="I28" s="60">
        <v>0.81</v>
      </c>
      <c r="J28" s="60">
        <v>0.27</v>
      </c>
      <c r="K28" s="60">
        <v>73.41</v>
      </c>
      <c r="L28" s="60">
        <v>21.28</v>
      </c>
      <c r="M28" s="60">
        <v>46.41</v>
      </c>
      <c r="N28" s="60">
        <v>3.7</v>
      </c>
      <c r="O28" s="60">
        <v>0</v>
      </c>
      <c r="P28" s="60">
        <v>1.56</v>
      </c>
      <c r="Q28" s="60">
        <v>33.020000000000003</v>
      </c>
      <c r="R28" s="198"/>
      <c r="S28" s="198"/>
      <c r="T28" s="198"/>
      <c r="U28" s="198"/>
    </row>
    <row r="29" spans="1:21" s="12" customFormat="1" x14ac:dyDescent="0.25">
      <c r="A29" s="201" t="s">
        <v>2572</v>
      </c>
      <c r="B29" s="60">
        <v>55.09</v>
      </c>
      <c r="C29" s="60">
        <v>107.46</v>
      </c>
      <c r="D29" s="60">
        <v>103.49</v>
      </c>
      <c r="E29" s="60">
        <v>5.49</v>
      </c>
      <c r="F29" s="60">
        <v>4.92</v>
      </c>
      <c r="G29" s="60">
        <v>138.83000000000001</v>
      </c>
      <c r="H29" s="60">
        <v>59.43</v>
      </c>
      <c r="I29" s="60">
        <v>0.81</v>
      </c>
      <c r="J29" s="60">
        <v>0.3</v>
      </c>
      <c r="K29" s="60">
        <v>75.09</v>
      </c>
      <c r="L29" s="60">
        <v>21.37</v>
      </c>
      <c r="M29" s="60">
        <v>45.93</v>
      </c>
      <c r="N29" s="60">
        <v>4</v>
      </c>
      <c r="O29" s="60">
        <v>0</v>
      </c>
      <c r="P29" s="60">
        <v>1.54</v>
      </c>
      <c r="Q29" s="60">
        <v>33.04</v>
      </c>
      <c r="R29" s="198"/>
      <c r="S29" s="198"/>
      <c r="T29" s="198"/>
      <c r="U29" s="198"/>
    </row>
    <row r="30" spans="1:21" s="12" customFormat="1" x14ac:dyDescent="0.25">
      <c r="A30" s="201" t="s">
        <v>2573</v>
      </c>
      <c r="B30" s="60">
        <v>51.89</v>
      </c>
      <c r="C30" s="60">
        <v>106.09</v>
      </c>
      <c r="D30" s="60">
        <v>100.16</v>
      </c>
      <c r="E30" s="60">
        <v>5.16</v>
      </c>
      <c r="F30" s="60">
        <v>4.66</v>
      </c>
      <c r="G30" s="60">
        <v>138.83000000000001</v>
      </c>
      <c r="H30" s="60">
        <v>59.43</v>
      </c>
      <c r="I30" s="60">
        <v>0.81</v>
      </c>
      <c r="J30" s="60">
        <v>0.21</v>
      </c>
      <c r="K30" s="60">
        <v>86.92</v>
      </c>
      <c r="L30" s="60">
        <v>21.25</v>
      </c>
      <c r="M30" s="60">
        <v>46.8</v>
      </c>
      <c r="N30" s="60">
        <v>4.2</v>
      </c>
      <c r="O30" s="60">
        <v>0</v>
      </c>
      <c r="P30" s="60">
        <v>1.51</v>
      </c>
      <c r="Q30" s="60">
        <v>33.15</v>
      </c>
      <c r="R30" s="198"/>
      <c r="S30" s="198"/>
      <c r="T30" s="198"/>
      <c r="U30" s="198"/>
    </row>
    <row r="31" spans="1:21" s="12" customFormat="1" x14ac:dyDescent="0.25">
      <c r="A31" s="201" t="s">
        <v>2574</v>
      </c>
      <c r="B31" s="60">
        <v>52.68</v>
      </c>
      <c r="C31" s="60">
        <v>107.57</v>
      </c>
      <c r="D31" s="60">
        <v>101.61</v>
      </c>
      <c r="E31" s="60">
        <v>5.07</v>
      </c>
      <c r="F31" s="60">
        <v>4.3499999999999996</v>
      </c>
      <c r="G31" s="60">
        <v>113.02</v>
      </c>
      <c r="H31" s="60">
        <v>53.29</v>
      </c>
      <c r="I31" s="60">
        <v>0.81</v>
      </c>
      <c r="J31" s="60">
        <v>0.2</v>
      </c>
      <c r="K31" s="60">
        <v>46.37</v>
      </c>
      <c r="L31" s="60">
        <v>20.75</v>
      </c>
      <c r="M31" s="60">
        <v>51.45</v>
      </c>
      <c r="N31" s="60">
        <v>4.7</v>
      </c>
      <c r="O31" s="60">
        <v>0</v>
      </c>
      <c r="P31" s="60">
        <v>1.48</v>
      </c>
      <c r="Q31" s="60">
        <v>33.53</v>
      </c>
      <c r="R31" s="198"/>
      <c r="S31" s="198"/>
      <c r="T31" s="198"/>
      <c r="U31" s="198"/>
    </row>
    <row r="32" spans="1:21" s="12" customFormat="1" x14ac:dyDescent="0.25">
      <c r="A32" s="201" t="s">
        <v>2575</v>
      </c>
      <c r="B32" s="60">
        <v>52.86</v>
      </c>
      <c r="C32" s="60">
        <v>107.27</v>
      </c>
      <c r="D32" s="60">
        <v>101.59</v>
      </c>
      <c r="E32" s="60">
        <v>5.07</v>
      </c>
      <c r="F32" s="60">
        <v>4.32</v>
      </c>
      <c r="G32" s="60">
        <v>100.74</v>
      </c>
      <c r="H32" s="60">
        <v>50.22</v>
      </c>
      <c r="I32" s="60">
        <v>0.8</v>
      </c>
      <c r="J32" s="60">
        <v>0.41</v>
      </c>
      <c r="K32" s="60">
        <v>107.61</v>
      </c>
      <c r="L32" s="60">
        <v>20.82</v>
      </c>
      <c r="M32" s="60">
        <v>49.94</v>
      </c>
      <c r="N32" s="60">
        <v>3.4</v>
      </c>
      <c r="O32" s="60">
        <v>0</v>
      </c>
      <c r="P32" s="60">
        <v>1.44</v>
      </c>
      <c r="Q32" s="60">
        <v>33.43</v>
      </c>
      <c r="R32" s="198"/>
      <c r="S32" s="198"/>
      <c r="T32" s="198"/>
      <c r="U32" s="198"/>
    </row>
    <row r="33" spans="1:21" s="12" customFormat="1" x14ac:dyDescent="0.25">
      <c r="A33" s="201" t="s">
        <v>2576</v>
      </c>
      <c r="B33" s="60">
        <v>50.97</v>
      </c>
      <c r="C33" s="60">
        <v>106.86</v>
      </c>
      <c r="D33" s="60">
        <v>99.84</v>
      </c>
      <c r="E33" s="60">
        <v>4.84</v>
      </c>
      <c r="F33" s="60">
        <v>4.3099999999999996</v>
      </c>
      <c r="G33" s="60">
        <v>100.74</v>
      </c>
      <c r="H33" s="60">
        <v>50.22</v>
      </c>
      <c r="I33" s="60">
        <v>0.8</v>
      </c>
      <c r="J33" s="60">
        <v>0.16</v>
      </c>
      <c r="K33" s="60">
        <v>267.33</v>
      </c>
      <c r="L33" s="60">
        <v>20.48</v>
      </c>
      <c r="M33" s="60">
        <v>51.07</v>
      </c>
      <c r="N33" s="60">
        <v>5.0999999999999996</v>
      </c>
      <c r="O33" s="60">
        <v>0</v>
      </c>
      <c r="P33" s="60">
        <v>1.42</v>
      </c>
      <c r="Q33" s="60">
        <v>33.29</v>
      </c>
      <c r="R33" s="198"/>
      <c r="S33" s="198"/>
      <c r="T33" s="198"/>
      <c r="U33" s="198"/>
    </row>
    <row r="34" spans="1:21" s="12" customFormat="1" x14ac:dyDescent="0.25">
      <c r="A34" s="201" t="s">
        <v>2577</v>
      </c>
      <c r="B34" s="60">
        <v>49.29</v>
      </c>
      <c r="C34" s="60">
        <v>107.05</v>
      </c>
      <c r="D34" s="60">
        <v>98.6</v>
      </c>
      <c r="E34" s="60">
        <v>4.92</v>
      </c>
      <c r="F34" s="60">
        <v>4.3</v>
      </c>
      <c r="G34" s="60">
        <v>100.74</v>
      </c>
      <c r="H34" s="60">
        <v>50.22</v>
      </c>
      <c r="I34" s="60">
        <v>0.79</v>
      </c>
      <c r="J34" s="60">
        <v>0.21</v>
      </c>
      <c r="K34" s="60">
        <v>84.95</v>
      </c>
      <c r="L34" s="60">
        <v>20.09</v>
      </c>
      <c r="M34" s="60">
        <v>52.63</v>
      </c>
      <c r="N34" s="60">
        <v>7.9</v>
      </c>
      <c r="O34" s="60">
        <v>0</v>
      </c>
      <c r="P34" s="60">
        <v>1.39</v>
      </c>
      <c r="Q34" s="60">
        <v>32.950000000000003</v>
      </c>
      <c r="R34" s="198"/>
      <c r="S34" s="198"/>
      <c r="T34" s="198"/>
      <c r="U34" s="198"/>
    </row>
    <row r="35" spans="1:21" s="12" customFormat="1" x14ac:dyDescent="0.25">
      <c r="A35" s="201" t="s">
        <v>2578</v>
      </c>
      <c r="B35" s="60">
        <v>49.84</v>
      </c>
      <c r="C35" s="60">
        <v>107.83</v>
      </c>
      <c r="D35" s="60">
        <v>99.48</v>
      </c>
      <c r="E35" s="60">
        <v>4.92</v>
      </c>
      <c r="F35" s="60">
        <v>4.3099999999999996</v>
      </c>
      <c r="G35" s="60">
        <v>92.7</v>
      </c>
      <c r="H35" s="60">
        <v>48.13</v>
      </c>
      <c r="I35" s="60">
        <v>0.77</v>
      </c>
      <c r="J35" s="60">
        <v>7.0000000000000007E-2</v>
      </c>
      <c r="K35" s="60">
        <v>279.48</v>
      </c>
      <c r="L35" s="60">
        <v>20.38</v>
      </c>
      <c r="M35" s="60">
        <v>52.59</v>
      </c>
      <c r="N35" s="60">
        <v>17.899999999999999</v>
      </c>
      <c r="O35" s="60">
        <v>0</v>
      </c>
      <c r="P35" s="60">
        <v>1.38</v>
      </c>
      <c r="Q35" s="60">
        <v>32.74</v>
      </c>
      <c r="R35" s="198"/>
      <c r="S35" s="198"/>
      <c r="T35" s="198"/>
      <c r="U35" s="198"/>
    </row>
    <row r="36" spans="1:21" s="12" customFormat="1" x14ac:dyDescent="0.25">
      <c r="A36" s="201" t="s">
        <v>2579</v>
      </c>
      <c r="B36" s="60">
        <v>50.17</v>
      </c>
      <c r="C36" s="60">
        <v>108.69</v>
      </c>
      <c r="D36" s="60">
        <v>100.21</v>
      </c>
      <c r="E36" s="60">
        <v>4.6500000000000004</v>
      </c>
      <c r="F36" s="60">
        <v>4.3899999999999997</v>
      </c>
      <c r="G36" s="60">
        <v>88.87</v>
      </c>
      <c r="H36" s="60">
        <v>47.08</v>
      </c>
      <c r="I36" s="60">
        <v>0.76</v>
      </c>
      <c r="J36" s="60">
        <v>0.31</v>
      </c>
      <c r="K36" s="60">
        <v>24.82</v>
      </c>
      <c r="L36" s="60">
        <v>20.27</v>
      </c>
      <c r="M36" s="60">
        <v>53.38</v>
      </c>
      <c r="N36" s="60">
        <v>33.799999999999997</v>
      </c>
      <c r="O36" s="60">
        <v>0</v>
      </c>
      <c r="P36" s="60">
        <v>1.37</v>
      </c>
      <c r="Q36" s="60">
        <v>32.54</v>
      </c>
      <c r="R36" s="198"/>
      <c r="S36" s="198"/>
      <c r="T36" s="198"/>
      <c r="U36" s="198"/>
    </row>
    <row r="37" spans="1:21" s="12" customFormat="1" x14ac:dyDescent="0.25">
      <c r="A37" s="201" t="s">
        <v>2580</v>
      </c>
      <c r="B37" s="60">
        <v>49.49</v>
      </c>
      <c r="C37" s="60">
        <v>109.36</v>
      </c>
      <c r="D37" s="60">
        <v>100.04</v>
      </c>
      <c r="E37" s="60">
        <v>4.72</v>
      </c>
      <c r="F37" s="60">
        <v>4.34</v>
      </c>
      <c r="G37" s="60">
        <v>88.87</v>
      </c>
      <c r="H37" s="60">
        <v>47.08</v>
      </c>
      <c r="I37" s="60">
        <v>0.75</v>
      </c>
      <c r="J37" s="60">
        <v>0.37</v>
      </c>
      <c r="K37" s="60">
        <v>12.98</v>
      </c>
      <c r="L37" s="60">
        <v>21.33</v>
      </c>
      <c r="M37" s="60">
        <v>50.64</v>
      </c>
      <c r="N37" s="60">
        <v>84.1</v>
      </c>
      <c r="O37" s="60">
        <v>0</v>
      </c>
      <c r="P37" s="60">
        <v>1.25</v>
      </c>
      <c r="Q37" s="60">
        <v>32.049999999999997</v>
      </c>
      <c r="R37" s="198"/>
      <c r="S37" s="198"/>
      <c r="T37" s="198"/>
      <c r="U37" s="198"/>
    </row>
    <row r="38" spans="1:21" s="12" customFormat="1" x14ac:dyDescent="0.25">
      <c r="A38" s="201" t="s">
        <v>2581</v>
      </c>
      <c r="B38" s="60">
        <v>48.93</v>
      </c>
      <c r="C38" s="60">
        <v>109.62</v>
      </c>
      <c r="D38" s="60">
        <v>99.73</v>
      </c>
      <c r="E38" s="60">
        <v>5.12</v>
      </c>
      <c r="F38" s="60">
        <v>4.4800000000000004</v>
      </c>
      <c r="G38" s="60">
        <v>88.87</v>
      </c>
      <c r="H38" s="60">
        <v>47.08</v>
      </c>
      <c r="I38" s="60">
        <v>0.75</v>
      </c>
      <c r="J38" s="60">
        <v>0.37</v>
      </c>
      <c r="K38" s="60">
        <v>33.1</v>
      </c>
      <c r="L38" s="60">
        <v>23.02</v>
      </c>
      <c r="M38" s="60">
        <v>48.82</v>
      </c>
      <c r="N38" s="60">
        <v>127.4</v>
      </c>
      <c r="O38" s="60">
        <v>0</v>
      </c>
      <c r="P38" s="60">
        <v>1.34</v>
      </c>
      <c r="Q38" s="60">
        <v>31.27</v>
      </c>
      <c r="R38" s="198"/>
      <c r="S38" s="198"/>
      <c r="T38" s="198"/>
      <c r="U38" s="198"/>
    </row>
    <row r="39" spans="1:21" s="12" customFormat="1" x14ac:dyDescent="0.25">
      <c r="A39" s="201" t="s">
        <v>2582</v>
      </c>
      <c r="B39" s="60">
        <v>47.5</v>
      </c>
      <c r="C39" s="60">
        <v>106.17</v>
      </c>
      <c r="D39" s="60">
        <v>96.69</v>
      </c>
      <c r="E39" s="60">
        <v>6.52</v>
      </c>
      <c r="F39" s="60">
        <v>4.5</v>
      </c>
      <c r="G39" s="60">
        <v>100.6</v>
      </c>
      <c r="H39" s="60">
        <v>48.6</v>
      </c>
      <c r="I39" s="60">
        <v>0.74</v>
      </c>
      <c r="J39" s="60">
        <v>0.67</v>
      </c>
      <c r="K39" s="60">
        <v>21.11</v>
      </c>
      <c r="L39" s="60">
        <v>24.46</v>
      </c>
      <c r="M39" s="60">
        <v>40.78</v>
      </c>
      <c r="N39" s="60">
        <v>172.3</v>
      </c>
      <c r="O39" s="60">
        <v>0</v>
      </c>
      <c r="P39" s="60">
        <v>1.35</v>
      </c>
      <c r="Q39" s="60">
        <v>31.02</v>
      </c>
      <c r="R39" s="198"/>
      <c r="S39" s="198"/>
      <c r="T39" s="198"/>
      <c r="U39" s="198"/>
    </row>
    <row r="40" spans="1:21" s="12" customFormat="1" x14ac:dyDescent="0.25">
      <c r="A40" s="201" t="s">
        <v>2583</v>
      </c>
      <c r="B40" s="60">
        <v>46.3</v>
      </c>
      <c r="C40" s="60">
        <v>107.33</v>
      </c>
      <c r="D40" s="60">
        <v>96.36</v>
      </c>
      <c r="E40" s="60">
        <v>3.63</v>
      </c>
      <c r="F40" s="60">
        <v>4.62</v>
      </c>
      <c r="G40" s="60">
        <v>106.18</v>
      </c>
      <c r="H40" s="60">
        <v>49.35</v>
      </c>
      <c r="I40" s="60">
        <v>0.74</v>
      </c>
      <c r="J40" s="60">
        <v>0.66</v>
      </c>
      <c r="K40" s="60">
        <v>22.52</v>
      </c>
      <c r="L40" s="60">
        <v>25.4</v>
      </c>
      <c r="M40" s="60">
        <v>38.76</v>
      </c>
      <c r="N40" s="60">
        <v>216.4</v>
      </c>
      <c r="O40" s="60">
        <v>0</v>
      </c>
      <c r="P40" s="60">
        <v>1.36</v>
      </c>
      <c r="Q40" s="60">
        <v>30.77</v>
      </c>
      <c r="R40" s="198"/>
      <c r="S40" s="198"/>
      <c r="T40" s="198"/>
      <c r="U40" s="198"/>
    </row>
    <row r="41" spans="1:21" s="12" customFormat="1" x14ac:dyDescent="0.25">
      <c r="A41" s="201" t="s">
        <v>2584</v>
      </c>
      <c r="B41" s="60">
        <v>45.19</v>
      </c>
      <c r="C41" s="60">
        <v>107</v>
      </c>
      <c r="D41" s="60">
        <v>95.29</v>
      </c>
      <c r="E41" s="60">
        <v>8.89</v>
      </c>
      <c r="F41" s="60">
        <v>5.1100000000000003</v>
      </c>
      <c r="G41" s="60">
        <v>106.18</v>
      </c>
      <c r="H41" s="60">
        <v>49.35</v>
      </c>
      <c r="I41" s="60">
        <v>0.74</v>
      </c>
      <c r="J41" s="60">
        <v>0.62</v>
      </c>
      <c r="K41" s="60">
        <v>41.9</v>
      </c>
      <c r="L41" s="60">
        <v>26.38</v>
      </c>
      <c r="M41" s="60">
        <v>35.92</v>
      </c>
      <c r="N41" s="60">
        <v>261.39999999999998</v>
      </c>
      <c r="O41" s="60">
        <v>0</v>
      </c>
      <c r="P41" s="60">
        <v>1.38</v>
      </c>
      <c r="Q41" s="60">
        <v>30.8</v>
      </c>
      <c r="R41" s="198"/>
      <c r="S41" s="198"/>
      <c r="T41" s="198"/>
      <c r="U41" s="198"/>
    </row>
    <row r="42" spans="1:21" s="12" customFormat="1" x14ac:dyDescent="0.25">
      <c r="A42" s="201" t="s">
        <v>2585</v>
      </c>
      <c r="B42" s="60">
        <v>43.01</v>
      </c>
      <c r="C42" s="60">
        <v>108.11</v>
      </c>
      <c r="D42" s="60">
        <v>94.16</v>
      </c>
      <c r="E42" s="60">
        <v>7.79</v>
      </c>
      <c r="F42" s="60">
        <v>5.03</v>
      </c>
      <c r="G42" s="60">
        <v>106.18</v>
      </c>
      <c r="H42" s="60">
        <v>49.35</v>
      </c>
      <c r="I42" s="60">
        <v>0.73</v>
      </c>
      <c r="J42" s="60">
        <v>0.75</v>
      </c>
      <c r="K42" s="60">
        <v>80.63</v>
      </c>
      <c r="L42" s="60">
        <v>25.99</v>
      </c>
      <c r="M42" s="60">
        <v>36.880000000000003</v>
      </c>
      <c r="N42" s="60">
        <v>308.10000000000002</v>
      </c>
      <c r="O42" s="60">
        <v>0</v>
      </c>
      <c r="P42" s="60">
        <v>1.37</v>
      </c>
      <c r="Q42" s="60">
        <v>30.59</v>
      </c>
      <c r="R42" s="198"/>
      <c r="S42" s="198"/>
      <c r="T42" s="198"/>
      <c r="U42" s="198"/>
    </row>
    <row r="43" spans="1:21" s="12" customFormat="1" x14ac:dyDescent="0.25">
      <c r="A43" s="201" t="s">
        <v>2586</v>
      </c>
      <c r="B43" s="60">
        <v>42.61</v>
      </c>
      <c r="C43" s="60">
        <v>109.3</v>
      </c>
      <c r="D43" s="60">
        <v>94.49</v>
      </c>
      <c r="E43" s="60">
        <v>6.37</v>
      </c>
      <c r="F43" s="60">
        <v>4.87</v>
      </c>
      <c r="G43" s="60">
        <v>116.01</v>
      </c>
      <c r="H43" s="60">
        <v>49.12</v>
      </c>
      <c r="I43" s="60">
        <v>0.74</v>
      </c>
      <c r="J43" s="60">
        <v>1.35</v>
      </c>
      <c r="K43" s="60">
        <v>108.65</v>
      </c>
      <c r="L43" s="60">
        <v>26.07</v>
      </c>
      <c r="M43" s="60">
        <v>36.479999999999997</v>
      </c>
      <c r="N43" s="60">
        <v>361.5</v>
      </c>
      <c r="O43" s="60">
        <v>0</v>
      </c>
      <c r="P43" s="60">
        <v>1.36</v>
      </c>
      <c r="Q43" s="60">
        <v>30.35</v>
      </c>
      <c r="R43" s="198"/>
      <c r="S43" s="198"/>
      <c r="T43" s="198"/>
      <c r="U43" s="198"/>
    </row>
    <row r="44" spans="1:21" s="12" customFormat="1" x14ac:dyDescent="0.25">
      <c r="A44" s="201" t="s">
        <v>2587</v>
      </c>
      <c r="B44" s="60">
        <v>39.67</v>
      </c>
      <c r="C44" s="60">
        <v>109.73</v>
      </c>
      <c r="D44" s="60">
        <v>92.37</v>
      </c>
      <c r="E44" s="60">
        <v>6.31</v>
      </c>
      <c r="F44" s="60">
        <v>5.08</v>
      </c>
      <c r="G44" s="60">
        <v>120.69</v>
      </c>
      <c r="H44" s="60">
        <v>49.01</v>
      </c>
      <c r="I44" s="60">
        <v>0.74</v>
      </c>
      <c r="J44" s="60">
        <v>1.03</v>
      </c>
      <c r="K44" s="60">
        <v>103.38</v>
      </c>
      <c r="L44" s="60">
        <v>26.25</v>
      </c>
      <c r="M44" s="60">
        <v>36.03</v>
      </c>
      <c r="N44" s="60">
        <v>411.8</v>
      </c>
      <c r="O44" s="60">
        <v>0</v>
      </c>
      <c r="P44" s="60">
        <v>1.34</v>
      </c>
      <c r="Q44" s="60">
        <v>30.37</v>
      </c>
      <c r="R44" s="198"/>
      <c r="S44" s="198"/>
      <c r="T44" s="198"/>
      <c r="U44" s="198"/>
    </row>
    <row r="45" spans="1:21" s="12" customFormat="1" x14ac:dyDescent="0.25">
      <c r="A45" s="201" t="s">
        <v>2588</v>
      </c>
      <c r="B45" s="60">
        <v>37.26</v>
      </c>
      <c r="C45" s="60">
        <v>111.61</v>
      </c>
      <c r="D45" s="60">
        <v>91.47</v>
      </c>
      <c r="E45" s="60">
        <v>5.99</v>
      </c>
      <c r="F45" s="60">
        <v>4.87</v>
      </c>
      <c r="G45" s="60">
        <v>120.69</v>
      </c>
      <c r="H45" s="60">
        <v>49.01</v>
      </c>
      <c r="I45" s="60">
        <v>0.73</v>
      </c>
      <c r="J45" s="60">
        <v>1.18</v>
      </c>
      <c r="K45" s="60">
        <v>113.09</v>
      </c>
      <c r="L45" s="60">
        <v>27.45</v>
      </c>
      <c r="M45" s="60">
        <v>33.28</v>
      </c>
      <c r="N45" s="60">
        <v>469.1</v>
      </c>
      <c r="O45" s="60">
        <v>0</v>
      </c>
      <c r="P45" s="60">
        <v>1.32</v>
      </c>
      <c r="Q45" s="60">
        <v>30.72</v>
      </c>
      <c r="R45" s="198"/>
      <c r="S45" s="198"/>
      <c r="T45" s="198"/>
      <c r="U45" s="198"/>
    </row>
    <row r="46" spans="1:21" s="12" customFormat="1" x14ac:dyDescent="0.25">
      <c r="A46" s="201" t="s">
        <v>2589</v>
      </c>
      <c r="B46" s="60">
        <v>32.909999999999997</v>
      </c>
      <c r="C46" s="60">
        <v>109.77</v>
      </c>
      <c r="D46" s="60">
        <v>86.97</v>
      </c>
      <c r="E46" s="60">
        <v>6.19</v>
      </c>
      <c r="F46" s="60">
        <v>4.71</v>
      </c>
      <c r="G46" s="60">
        <v>120.69</v>
      </c>
      <c r="H46" s="60">
        <v>49.01</v>
      </c>
      <c r="I46" s="60">
        <v>0.73</v>
      </c>
      <c r="J46" s="60">
        <v>1.94</v>
      </c>
      <c r="K46" s="60">
        <v>117.46</v>
      </c>
      <c r="L46" s="60">
        <v>27.5</v>
      </c>
      <c r="M46" s="60">
        <v>30.83</v>
      </c>
      <c r="N46" s="60">
        <v>519.9</v>
      </c>
      <c r="O46" s="60">
        <v>0</v>
      </c>
      <c r="P46" s="60">
        <v>1.27</v>
      </c>
      <c r="Q46" s="60">
        <v>30.91</v>
      </c>
      <c r="R46" s="198"/>
      <c r="S46" s="198"/>
      <c r="T46" s="198"/>
      <c r="U46" s="198"/>
    </row>
    <row r="47" spans="1:21" s="12" customFormat="1" x14ac:dyDescent="0.25">
      <c r="A47" s="201" t="s">
        <v>2590</v>
      </c>
      <c r="B47" s="60">
        <v>28.02</v>
      </c>
      <c r="C47" s="60">
        <v>111.19</v>
      </c>
      <c r="D47" s="60">
        <v>83.83</v>
      </c>
      <c r="E47" s="60">
        <v>5.5</v>
      </c>
      <c r="F47" s="60">
        <v>4.6100000000000003</v>
      </c>
      <c r="G47" s="60">
        <v>94.23</v>
      </c>
      <c r="H47" s="60">
        <v>44.85</v>
      </c>
      <c r="I47" s="60">
        <v>0.72</v>
      </c>
      <c r="J47" s="60">
        <v>2.0099999999999998</v>
      </c>
      <c r="K47" s="60">
        <v>113.17</v>
      </c>
      <c r="L47" s="60">
        <v>28.09</v>
      </c>
      <c r="M47" s="60">
        <v>28.54</v>
      </c>
      <c r="N47" s="60">
        <v>553.1</v>
      </c>
      <c r="O47" s="60">
        <v>0</v>
      </c>
      <c r="P47" s="60">
        <v>1.22</v>
      </c>
      <c r="Q47" s="60">
        <v>30.41</v>
      </c>
      <c r="R47" s="198"/>
      <c r="S47" s="198"/>
      <c r="T47" s="198"/>
      <c r="U47" s="198"/>
    </row>
    <row r="48" spans="1:21" s="12" customFormat="1" x14ac:dyDescent="0.25">
      <c r="A48" s="201" t="s">
        <v>2591</v>
      </c>
      <c r="B48" s="60">
        <v>22.72</v>
      </c>
      <c r="C48" s="60">
        <v>110.62</v>
      </c>
      <c r="D48" s="60">
        <v>79.27</v>
      </c>
      <c r="E48" s="60">
        <v>5.72</v>
      </c>
      <c r="F48" s="60">
        <v>4.83</v>
      </c>
      <c r="G48" s="60">
        <v>81.650000000000006</v>
      </c>
      <c r="H48" s="60">
        <v>42.78</v>
      </c>
      <c r="I48" s="60">
        <v>0.71</v>
      </c>
      <c r="J48" s="60">
        <v>1.65</v>
      </c>
      <c r="K48" s="60">
        <v>114.1</v>
      </c>
      <c r="L48" s="60">
        <v>29.04</v>
      </c>
      <c r="M48" s="60">
        <v>26.88</v>
      </c>
      <c r="N48" s="60">
        <v>563.20000000000005</v>
      </c>
      <c r="O48" s="60">
        <v>0</v>
      </c>
      <c r="P48" s="60">
        <v>1.1499999999999999</v>
      </c>
      <c r="Q48" s="60">
        <v>29.99</v>
      </c>
      <c r="R48" s="198"/>
      <c r="S48" s="198"/>
      <c r="T48" s="198"/>
      <c r="U48" s="198"/>
    </row>
    <row r="49" spans="1:21" s="12" customFormat="1" x14ac:dyDescent="0.25">
      <c r="A49" s="201" t="s">
        <v>2592</v>
      </c>
      <c r="B49" s="60">
        <v>18</v>
      </c>
      <c r="C49" s="60">
        <v>110.32</v>
      </c>
      <c r="D49" s="60">
        <v>75.319999999999993</v>
      </c>
      <c r="E49" s="60">
        <v>5.83</v>
      </c>
      <c r="F49" s="60">
        <v>5.0599999999999996</v>
      </c>
      <c r="G49" s="60">
        <v>81.650000000000006</v>
      </c>
      <c r="H49" s="60">
        <v>42.78</v>
      </c>
      <c r="I49" s="60">
        <v>0.69</v>
      </c>
      <c r="J49" s="60">
        <v>2.08</v>
      </c>
      <c r="K49" s="60">
        <v>117.29</v>
      </c>
      <c r="L49" s="60">
        <v>29.21</v>
      </c>
      <c r="M49" s="60">
        <v>25.58</v>
      </c>
      <c r="N49" s="60">
        <v>571.29999999999995</v>
      </c>
      <c r="O49" s="60">
        <v>0</v>
      </c>
      <c r="P49" s="60">
        <v>1.1000000000000001</v>
      </c>
      <c r="Q49" s="60">
        <v>29.61</v>
      </c>
      <c r="R49" s="198"/>
      <c r="S49" s="198"/>
      <c r="T49" s="198"/>
      <c r="U49" s="198"/>
    </row>
    <row r="50" spans="1:21" s="12" customFormat="1" x14ac:dyDescent="0.25">
      <c r="A50" s="201" t="s">
        <v>2593</v>
      </c>
      <c r="B50" s="60">
        <v>13.53</v>
      </c>
      <c r="C50" s="60">
        <v>109.71</v>
      </c>
      <c r="D50" s="60">
        <v>71.39</v>
      </c>
      <c r="E50" s="60">
        <v>5.54</v>
      </c>
      <c r="F50" s="60">
        <v>5.38</v>
      </c>
      <c r="G50" s="60">
        <v>81.650000000000006</v>
      </c>
      <c r="H50" s="60">
        <v>42.78</v>
      </c>
      <c r="I50" s="60">
        <v>0.67</v>
      </c>
      <c r="J50" s="60">
        <v>1.47</v>
      </c>
      <c r="K50" s="60">
        <v>110.13</v>
      </c>
      <c r="L50" s="60">
        <v>30.14</v>
      </c>
      <c r="M50" s="60">
        <v>24.86</v>
      </c>
      <c r="N50" s="60">
        <v>560.70000000000005</v>
      </c>
      <c r="O50" s="60">
        <v>0</v>
      </c>
      <c r="P50" s="60">
        <v>1.04</v>
      </c>
      <c r="Q50" s="60">
        <v>28.92</v>
      </c>
      <c r="R50" s="198"/>
      <c r="S50" s="198"/>
      <c r="T50" s="198"/>
      <c r="U50" s="198"/>
    </row>
    <row r="51" spans="1:21" s="12" customFormat="1" x14ac:dyDescent="0.25">
      <c r="A51" s="201" t="s">
        <v>2594</v>
      </c>
      <c r="B51" s="60">
        <v>7.04</v>
      </c>
      <c r="C51" s="60">
        <v>101.15</v>
      </c>
      <c r="D51" s="60">
        <v>61.47</v>
      </c>
      <c r="E51" s="60">
        <v>6.95</v>
      </c>
      <c r="F51" s="60">
        <v>12.41</v>
      </c>
      <c r="G51" s="60">
        <v>68.84</v>
      </c>
      <c r="H51" s="60">
        <v>39.619999999999997</v>
      </c>
      <c r="I51" s="60">
        <v>0.65</v>
      </c>
      <c r="J51" s="60">
        <v>1.64</v>
      </c>
      <c r="K51" s="60">
        <v>108.94</v>
      </c>
      <c r="L51" s="60">
        <v>30.37</v>
      </c>
      <c r="M51" s="60">
        <v>22.06</v>
      </c>
      <c r="N51" s="60">
        <v>565.1</v>
      </c>
      <c r="O51" s="60">
        <v>0</v>
      </c>
      <c r="P51" s="60">
        <v>0.9</v>
      </c>
      <c r="Q51" s="60">
        <v>27.13</v>
      </c>
      <c r="R51" s="198"/>
      <c r="S51" s="198"/>
      <c r="T51" s="198"/>
      <c r="U51" s="198"/>
    </row>
    <row r="52" spans="1:21" s="12" customFormat="1" x14ac:dyDescent="0.25">
      <c r="A52" s="201" t="s">
        <v>2595</v>
      </c>
      <c r="B52" s="60">
        <v>0.77</v>
      </c>
      <c r="C52" s="60">
        <v>57.11</v>
      </c>
      <c r="D52" s="60">
        <v>32.130000000000003</v>
      </c>
      <c r="E52" s="60">
        <v>15.78</v>
      </c>
      <c r="F52" s="60">
        <v>42.01</v>
      </c>
      <c r="G52" s="60">
        <v>62.75</v>
      </c>
      <c r="H52" s="60">
        <v>38.03</v>
      </c>
      <c r="I52" s="60">
        <v>0.64</v>
      </c>
      <c r="J52" s="60">
        <v>2.36</v>
      </c>
      <c r="K52" s="60">
        <v>112.73</v>
      </c>
      <c r="L52" s="60">
        <v>30.36</v>
      </c>
      <c r="M52" s="60">
        <v>21.77</v>
      </c>
      <c r="N52" s="60">
        <v>566</v>
      </c>
      <c r="O52" s="60">
        <v>0</v>
      </c>
      <c r="P52" s="60">
        <v>0.5</v>
      </c>
      <c r="Q52" s="60">
        <v>16.79</v>
      </c>
      <c r="R52" s="198"/>
      <c r="S52" s="198"/>
      <c r="T52" s="198"/>
      <c r="U52" s="198"/>
    </row>
    <row r="53" spans="1:21" s="12" customFormat="1" x14ac:dyDescent="0.25">
      <c r="A53" s="201" t="s">
        <v>2596</v>
      </c>
      <c r="B53" s="60">
        <v>0.49</v>
      </c>
      <c r="C53" s="60">
        <v>32.950000000000003</v>
      </c>
      <c r="D53" s="60">
        <v>18.579999999999998</v>
      </c>
      <c r="E53" s="60">
        <v>26.28</v>
      </c>
      <c r="F53" s="60">
        <v>62.43</v>
      </c>
      <c r="G53" s="60">
        <v>62.75</v>
      </c>
      <c r="H53" s="60">
        <v>38.03</v>
      </c>
      <c r="I53" s="60">
        <v>0.57999999999999996</v>
      </c>
      <c r="J53" s="60">
        <v>2.15</v>
      </c>
      <c r="K53" s="60">
        <v>107.71</v>
      </c>
      <c r="L53" s="60">
        <v>30.63</v>
      </c>
      <c r="M53" s="60">
        <v>21.51</v>
      </c>
      <c r="N53" s="60">
        <v>560.5</v>
      </c>
      <c r="O53" s="60">
        <v>0</v>
      </c>
      <c r="P53" s="60">
        <v>0.34</v>
      </c>
      <c r="Q53" s="60">
        <v>6.62</v>
      </c>
      <c r="R53" s="198"/>
      <c r="S53" s="198"/>
      <c r="T53" s="198"/>
      <c r="U53" s="198"/>
    </row>
    <row r="54" spans="1:21" s="12" customFormat="1" x14ac:dyDescent="0.25">
      <c r="A54" s="201" t="s">
        <v>2597</v>
      </c>
      <c r="B54" s="60">
        <v>0.42</v>
      </c>
      <c r="C54" s="60">
        <v>25.41</v>
      </c>
      <c r="D54" s="60">
        <v>14.37</v>
      </c>
      <c r="E54" s="60">
        <v>32.99</v>
      </c>
      <c r="F54" s="60">
        <v>63.87</v>
      </c>
      <c r="G54" s="60">
        <v>62.75</v>
      </c>
      <c r="H54" s="60">
        <v>38.03</v>
      </c>
      <c r="I54" s="60">
        <v>0.48</v>
      </c>
      <c r="J54" s="60">
        <v>1.87</v>
      </c>
      <c r="K54" s="60">
        <v>110.57</v>
      </c>
      <c r="L54" s="60">
        <v>30.85</v>
      </c>
      <c r="M54" s="60">
        <v>21.09</v>
      </c>
      <c r="N54" s="60">
        <v>562.79999999999995</v>
      </c>
      <c r="O54" s="60">
        <v>0</v>
      </c>
      <c r="P54" s="60">
        <v>0.34</v>
      </c>
      <c r="Q54" s="60">
        <v>3.22</v>
      </c>
      <c r="R54" s="198"/>
      <c r="S54" s="198"/>
      <c r="T54" s="198"/>
      <c r="U54" s="198"/>
    </row>
    <row r="55" spans="1:21" s="12" customFormat="1" x14ac:dyDescent="0.25">
      <c r="A55" s="201" t="s">
        <v>2598</v>
      </c>
      <c r="B55" s="60">
        <v>0.37</v>
      </c>
      <c r="C55" s="60">
        <v>26.69</v>
      </c>
      <c r="D55" s="60">
        <v>15.02</v>
      </c>
      <c r="E55" s="60">
        <v>22.65</v>
      </c>
      <c r="F55" s="60">
        <v>27.54</v>
      </c>
      <c r="G55" s="60">
        <v>49.26</v>
      </c>
      <c r="H55" s="60">
        <v>33.31</v>
      </c>
      <c r="I55" s="60">
        <v>0.43</v>
      </c>
      <c r="J55" s="60">
        <v>2.0499999999999998</v>
      </c>
      <c r="K55" s="60">
        <v>117.66</v>
      </c>
      <c r="L55" s="60">
        <v>30.97</v>
      </c>
      <c r="M55" s="60">
        <v>20.38</v>
      </c>
      <c r="N55" s="60">
        <v>567</v>
      </c>
      <c r="O55" s="60">
        <v>0</v>
      </c>
      <c r="P55" s="60">
        <v>0.36</v>
      </c>
      <c r="Q55" s="60">
        <v>4.51</v>
      </c>
      <c r="R55" s="198"/>
      <c r="S55" s="198"/>
      <c r="T55" s="198"/>
      <c r="U55" s="198"/>
    </row>
    <row r="56" spans="1:21" s="12" customFormat="1" x14ac:dyDescent="0.25">
      <c r="A56" s="201" t="s">
        <v>2599</v>
      </c>
      <c r="B56" s="60">
        <v>0.51</v>
      </c>
      <c r="C56" s="60">
        <v>55.1</v>
      </c>
      <c r="D56" s="60">
        <v>30.82</v>
      </c>
      <c r="E56" s="60">
        <v>23.64</v>
      </c>
      <c r="F56" s="60">
        <v>41.62</v>
      </c>
      <c r="G56" s="60">
        <v>42.84</v>
      </c>
      <c r="H56" s="60">
        <v>30.95</v>
      </c>
      <c r="I56" s="60">
        <v>0.43</v>
      </c>
      <c r="J56" s="60">
        <v>1.26</v>
      </c>
      <c r="K56" s="60">
        <v>113.7</v>
      </c>
      <c r="L56" s="60">
        <v>31.99</v>
      </c>
      <c r="M56" s="60">
        <v>20.39</v>
      </c>
      <c r="N56" s="60">
        <v>554.70000000000005</v>
      </c>
      <c r="O56" s="60">
        <v>0</v>
      </c>
      <c r="P56" s="60">
        <v>0.37</v>
      </c>
      <c r="Q56" s="60">
        <v>6.22</v>
      </c>
      <c r="R56" s="198"/>
      <c r="S56" s="198"/>
      <c r="T56" s="198"/>
      <c r="U56" s="198"/>
    </row>
    <row r="57" spans="1:21" s="12" customFormat="1" x14ac:dyDescent="0.25">
      <c r="A57" s="201" t="s">
        <v>2600</v>
      </c>
      <c r="B57" s="60">
        <v>2.38</v>
      </c>
      <c r="C57" s="60">
        <v>48.67</v>
      </c>
      <c r="D57" s="60">
        <v>28.77</v>
      </c>
      <c r="E57" s="60">
        <v>21.81</v>
      </c>
      <c r="F57" s="60">
        <v>36.07</v>
      </c>
      <c r="G57" s="60">
        <v>42.84</v>
      </c>
      <c r="H57" s="60">
        <v>30.95</v>
      </c>
      <c r="I57" s="60">
        <v>0.44</v>
      </c>
      <c r="J57" s="60">
        <v>0.86</v>
      </c>
      <c r="K57" s="60">
        <v>87.67</v>
      </c>
      <c r="L57" s="60">
        <v>33.1</v>
      </c>
      <c r="M57" s="60">
        <v>19.87</v>
      </c>
      <c r="N57" s="60">
        <v>543.6</v>
      </c>
      <c r="O57" s="60">
        <v>0</v>
      </c>
      <c r="P57" s="60">
        <v>0.41</v>
      </c>
      <c r="Q57" s="60">
        <v>6.81</v>
      </c>
      <c r="R57" s="198"/>
      <c r="S57" s="198"/>
      <c r="T57" s="198"/>
      <c r="U57" s="198"/>
    </row>
    <row r="58" spans="1:21" s="12" customFormat="1" x14ac:dyDescent="0.25">
      <c r="A58" s="201" t="s">
        <v>2601</v>
      </c>
      <c r="B58" s="60">
        <v>0.63</v>
      </c>
      <c r="C58" s="60">
        <v>45.67</v>
      </c>
      <c r="D58" s="60">
        <v>25.71</v>
      </c>
      <c r="E58" s="60">
        <v>13.09</v>
      </c>
      <c r="F58" s="60">
        <v>21.46</v>
      </c>
      <c r="G58" s="60">
        <v>42.84</v>
      </c>
      <c r="H58" s="60">
        <v>30.95</v>
      </c>
      <c r="I58" s="60">
        <v>0.45</v>
      </c>
      <c r="J58" s="60">
        <v>1.08</v>
      </c>
      <c r="K58" s="60">
        <v>116.98</v>
      </c>
      <c r="L58" s="60">
        <v>32.71</v>
      </c>
      <c r="M58" s="60">
        <v>19.72</v>
      </c>
      <c r="N58" s="60">
        <v>521.20000000000005</v>
      </c>
      <c r="O58" s="60">
        <v>0</v>
      </c>
      <c r="P58" s="60">
        <v>0.39</v>
      </c>
      <c r="Q58" s="60">
        <v>9.86</v>
      </c>
      <c r="R58" s="198"/>
      <c r="S58" s="198"/>
      <c r="T58" s="198"/>
      <c r="U58" s="198"/>
    </row>
    <row r="59" spans="1:21" s="12" customFormat="1" x14ac:dyDescent="0.25">
      <c r="A59" s="201" t="s">
        <v>2602</v>
      </c>
      <c r="B59" s="60">
        <v>0.44</v>
      </c>
      <c r="C59" s="60">
        <v>49.4</v>
      </c>
      <c r="D59" s="60">
        <v>27.61</v>
      </c>
      <c r="E59" s="60">
        <v>9.93</v>
      </c>
      <c r="F59" s="60">
        <v>14.97</v>
      </c>
      <c r="G59" s="60">
        <v>41.96</v>
      </c>
      <c r="H59" s="60">
        <v>27.47</v>
      </c>
      <c r="I59" s="60">
        <v>0.45</v>
      </c>
      <c r="J59" s="60">
        <v>0.24</v>
      </c>
      <c r="K59" s="60">
        <v>118.2</v>
      </c>
      <c r="L59" s="60">
        <v>33.520000000000003</v>
      </c>
      <c r="M59" s="60">
        <v>18.75</v>
      </c>
      <c r="N59" s="60">
        <v>503.1</v>
      </c>
      <c r="O59" s="60">
        <v>0</v>
      </c>
      <c r="P59" s="60">
        <v>0.39</v>
      </c>
      <c r="Q59" s="60">
        <v>12.52</v>
      </c>
      <c r="R59" s="198"/>
      <c r="S59" s="198"/>
      <c r="T59" s="198"/>
      <c r="U59" s="198"/>
    </row>
    <row r="60" spans="1:21" s="12" customFormat="1" x14ac:dyDescent="0.25">
      <c r="A60" s="201" t="s">
        <v>2603</v>
      </c>
      <c r="B60" s="60">
        <v>1.76</v>
      </c>
      <c r="C60" s="60">
        <v>52.24</v>
      </c>
      <c r="D60" s="60">
        <v>30.24</v>
      </c>
      <c r="E60" s="60">
        <v>8.9</v>
      </c>
      <c r="F60" s="60">
        <v>21.6</v>
      </c>
      <c r="G60" s="60">
        <v>41.54</v>
      </c>
      <c r="H60" s="60">
        <v>25.73</v>
      </c>
      <c r="I60" s="60">
        <v>0.48</v>
      </c>
      <c r="J60" s="60">
        <v>0.77</v>
      </c>
      <c r="K60" s="60">
        <v>42.84</v>
      </c>
      <c r="L60" s="60">
        <v>35.57</v>
      </c>
      <c r="M60" s="60">
        <v>15.84</v>
      </c>
      <c r="N60" s="60">
        <v>489.8</v>
      </c>
      <c r="O60" s="60">
        <v>0</v>
      </c>
      <c r="P60" s="60">
        <v>0.43</v>
      </c>
      <c r="Q60" s="60">
        <v>14.88</v>
      </c>
      <c r="R60" s="198"/>
      <c r="S60" s="198"/>
      <c r="T60" s="198"/>
      <c r="U60" s="198"/>
    </row>
    <row r="61" spans="1:21" s="12" customFormat="1" x14ac:dyDescent="0.25">
      <c r="A61" s="201" t="s">
        <v>2604</v>
      </c>
      <c r="B61" s="60">
        <v>1.45</v>
      </c>
      <c r="C61" s="60">
        <v>53.49</v>
      </c>
      <c r="D61" s="60">
        <v>30.69</v>
      </c>
      <c r="E61" s="60">
        <v>10.94</v>
      </c>
      <c r="F61" s="60">
        <v>19.36</v>
      </c>
      <c r="G61" s="60">
        <v>41.54</v>
      </c>
      <c r="H61" s="60">
        <v>25.73</v>
      </c>
      <c r="I61" s="60">
        <v>0.55000000000000004</v>
      </c>
      <c r="J61" s="60">
        <v>0.32</v>
      </c>
      <c r="K61" s="60">
        <v>95.95</v>
      </c>
      <c r="L61" s="60">
        <v>35.58</v>
      </c>
      <c r="M61" s="60">
        <v>15.15</v>
      </c>
      <c r="N61" s="60">
        <v>484.8</v>
      </c>
      <c r="O61" s="60">
        <v>0</v>
      </c>
      <c r="P61" s="60">
        <v>0.5</v>
      </c>
      <c r="Q61" s="60">
        <v>16.36</v>
      </c>
      <c r="R61" s="198"/>
      <c r="S61" s="198"/>
      <c r="T61" s="198"/>
      <c r="U61" s="198"/>
    </row>
    <row r="62" spans="1:21" s="12" customFormat="1" x14ac:dyDescent="0.25">
      <c r="A62" s="201" t="s">
        <v>2605</v>
      </c>
      <c r="B62" s="60">
        <v>0.66</v>
      </c>
      <c r="C62" s="60">
        <v>58.57</v>
      </c>
      <c r="D62" s="60">
        <v>32.86</v>
      </c>
      <c r="E62" s="60">
        <v>6.26</v>
      </c>
      <c r="F62" s="60">
        <v>16.04</v>
      </c>
      <c r="G62" s="60">
        <v>41.54</v>
      </c>
      <c r="H62" s="60">
        <v>25.73</v>
      </c>
      <c r="I62" s="60">
        <v>0.57999999999999996</v>
      </c>
      <c r="J62" s="60">
        <v>0.15</v>
      </c>
      <c r="K62" s="60">
        <v>59.52</v>
      </c>
      <c r="L62" s="60">
        <v>35.06</v>
      </c>
      <c r="M62" s="60">
        <v>14.44</v>
      </c>
      <c r="N62" s="60">
        <v>454.7</v>
      </c>
      <c r="O62" s="60">
        <v>0</v>
      </c>
      <c r="P62" s="60">
        <v>0.54</v>
      </c>
      <c r="Q62" s="60">
        <v>17.170000000000002</v>
      </c>
      <c r="R62" s="198"/>
      <c r="S62" s="198"/>
      <c r="T62" s="198"/>
      <c r="U62" s="198"/>
    </row>
    <row r="63" spans="1:21" s="12" customFormat="1" x14ac:dyDescent="0.25">
      <c r="A63" s="201" t="s">
        <v>2606</v>
      </c>
      <c r="B63" s="60">
        <v>1.25</v>
      </c>
      <c r="C63" s="60">
        <v>57.46</v>
      </c>
      <c r="D63" s="60">
        <v>32.71</v>
      </c>
      <c r="E63" s="60">
        <v>9.0500000000000007</v>
      </c>
      <c r="F63" s="60">
        <v>20.309999999999999</v>
      </c>
      <c r="G63" s="60">
        <v>43.37</v>
      </c>
      <c r="H63" s="60">
        <v>26.34</v>
      </c>
      <c r="I63" s="60">
        <v>0.56999999999999995</v>
      </c>
      <c r="J63" s="60">
        <v>0.57999999999999996</v>
      </c>
      <c r="K63" s="60">
        <v>17.899999999999999</v>
      </c>
      <c r="L63" s="60">
        <v>37.07</v>
      </c>
      <c r="M63" s="60">
        <v>13.38</v>
      </c>
      <c r="N63" s="60">
        <v>433.5</v>
      </c>
      <c r="O63" s="60">
        <v>0</v>
      </c>
      <c r="P63" s="60">
        <v>0.55000000000000004</v>
      </c>
      <c r="Q63" s="60">
        <v>17.38</v>
      </c>
      <c r="R63" s="198"/>
      <c r="S63" s="198"/>
      <c r="T63" s="198"/>
      <c r="U63" s="198"/>
    </row>
    <row r="64" spans="1:21" s="12" customFormat="1" x14ac:dyDescent="0.25">
      <c r="A64" s="201" t="s">
        <v>2607</v>
      </c>
      <c r="B64" s="60">
        <v>0.46</v>
      </c>
      <c r="C64" s="60">
        <v>58.14</v>
      </c>
      <c r="D64" s="60">
        <v>32.450000000000003</v>
      </c>
      <c r="E64" s="60">
        <v>7.97</v>
      </c>
      <c r="F64" s="60">
        <v>18.61</v>
      </c>
      <c r="G64" s="60">
        <v>44.23</v>
      </c>
      <c r="H64" s="60">
        <v>26.64</v>
      </c>
      <c r="I64" s="60">
        <v>0.54</v>
      </c>
      <c r="J64" s="60">
        <v>0.47</v>
      </c>
      <c r="K64" s="60">
        <v>99.93</v>
      </c>
      <c r="L64" s="60">
        <v>35.380000000000003</v>
      </c>
      <c r="M64" s="60">
        <v>14.13</v>
      </c>
      <c r="N64" s="60">
        <v>423.7</v>
      </c>
      <c r="O64" s="60">
        <v>0</v>
      </c>
      <c r="P64" s="60">
        <v>0.54</v>
      </c>
      <c r="Q64" s="60">
        <v>17.45</v>
      </c>
      <c r="R64" s="198"/>
      <c r="S64" s="198"/>
      <c r="T64" s="198"/>
      <c r="U64" s="198"/>
    </row>
    <row r="65" spans="1:21" s="12" customFormat="1" x14ac:dyDescent="0.25">
      <c r="A65" s="201" t="s">
        <v>2608</v>
      </c>
      <c r="B65" s="60">
        <v>2.61</v>
      </c>
      <c r="C65" s="60">
        <v>64.489999999999995</v>
      </c>
      <c r="D65" s="60">
        <v>37.69</v>
      </c>
      <c r="E65" s="60">
        <v>9.94</v>
      </c>
      <c r="F65" s="60">
        <v>23.94</v>
      </c>
      <c r="G65" s="60">
        <v>44.23</v>
      </c>
      <c r="H65" s="60">
        <v>26.64</v>
      </c>
      <c r="I65" s="60">
        <v>0.52</v>
      </c>
      <c r="J65" s="60">
        <v>0.59</v>
      </c>
      <c r="K65" s="60">
        <v>25.38</v>
      </c>
      <c r="L65" s="60">
        <v>36.85</v>
      </c>
      <c r="M65" s="60">
        <v>13.89</v>
      </c>
      <c r="N65" s="60">
        <v>405.8</v>
      </c>
      <c r="O65" s="60">
        <v>0</v>
      </c>
      <c r="P65" s="60">
        <v>0.6</v>
      </c>
      <c r="Q65" s="60">
        <v>17.73</v>
      </c>
      <c r="R65" s="198"/>
      <c r="S65" s="198"/>
      <c r="T65" s="198"/>
      <c r="U65" s="198"/>
    </row>
    <row r="66" spans="1:21" s="12" customFormat="1" x14ac:dyDescent="0.25">
      <c r="A66" s="201" t="s">
        <v>2609</v>
      </c>
      <c r="B66" s="60">
        <v>1.68</v>
      </c>
      <c r="C66" s="60">
        <v>64.17</v>
      </c>
      <c r="D66" s="60">
        <v>36.76</v>
      </c>
      <c r="E66" s="60">
        <v>14.18</v>
      </c>
      <c r="F66" s="60">
        <v>22.45</v>
      </c>
      <c r="G66" s="60">
        <v>44.23</v>
      </c>
      <c r="H66" s="60">
        <v>26.64</v>
      </c>
      <c r="I66" s="60">
        <v>0.52</v>
      </c>
      <c r="J66" s="60">
        <v>0.9</v>
      </c>
      <c r="K66" s="60">
        <v>107.54</v>
      </c>
      <c r="L66" s="60">
        <v>35.130000000000003</v>
      </c>
      <c r="M66" s="60">
        <v>14.75</v>
      </c>
      <c r="N66" s="60">
        <v>388.4</v>
      </c>
      <c r="O66" s="60">
        <v>0</v>
      </c>
      <c r="P66" s="60">
        <v>0.6</v>
      </c>
      <c r="Q66" s="60">
        <v>16.97</v>
      </c>
      <c r="R66" s="198"/>
      <c r="S66" s="198"/>
      <c r="T66" s="198"/>
      <c r="U66" s="198"/>
    </row>
    <row r="67" spans="1:21" s="12" customFormat="1" x14ac:dyDescent="0.25">
      <c r="A67" s="201" t="s">
        <v>2610</v>
      </c>
      <c r="B67" s="60">
        <v>0.63</v>
      </c>
      <c r="C67" s="60">
        <v>67.09</v>
      </c>
      <c r="D67" s="60">
        <v>37.53</v>
      </c>
      <c r="E67" s="60">
        <v>7.29</v>
      </c>
      <c r="F67" s="60">
        <v>14.3</v>
      </c>
      <c r="G67" s="60">
        <v>42.37</v>
      </c>
      <c r="H67" s="60">
        <v>25.57</v>
      </c>
      <c r="I67" s="60">
        <v>0.51</v>
      </c>
      <c r="J67" s="60">
        <v>0.9</v>
      </c>
      <c r="K67" s="60">
        <v>117.88</v>
      </c>
      <c r="L67" s="60">
        <v>33.46</v>
      </c>
      <c r="M67" s="60">
        <v>15.98</v>
      </c>
      <c r="N67" s="60">
        <v>373.5</v>
      </c>
      <c r="O67" s="60">
        <v>0</v>
      </c>
      <c r="P67" s="60">
        <v>0.6</v>
      </c>
      <c r="Q67" s="60">
        <v>16.91</v>
      </c>
      <c r="R67" s="198"/>
      <c r="S67" s="198"/>
      <c r="T67" s="198"/>
      <c r="U67" s="198"/>
    </row>
    <row r="68" spans="1:21" s="12" customFormat="1" x14ac:dyDescent="0.25">
      <c r="A68" s="201" t="s">
        <v>2611</v>
      </c>
      <c r="B68" s="60">
        <v>2.16</v>
      </c>
      <c r="C68" s="60">
        <v>61.59</v>
      </c>
      <c r="D68" s="60">
        <v>35.72</v>
      </c>
      <c r="E68" s="60">
        <v>12.09</v>
      </c>
      <c r="F68" s="60">
        <v>28.73</v>
      </c>
      <c r="G68" s="60">
        <v>41.48</v>
      </c>
      <c r="H68" s="60">
        <v>25.04</v>
      </c>
      <c r="I68" s="60">
        <v>0.51</v>
      </c>
      <c r="J68" s="60">
        <v>0.45</v>
      </c>
      <c r="K68" s="60">
        <v>86.29</v>
      </c>
      <c r="L68" s="60">
        <v>35.29</v>
      </c>
      <c r="M68" s="60">
        <v>13.81</v>
      </c>
      <c r="N68" s="60">
        <v>351.6</v>
      </c>
      <c r="O68" s="60">
        <v>0</v>
      </c>
      <c r="P68" s="60">
        <v>0.57999999999999996</v>
      </c>
      <c r="Q68" s="60">
        <v>17.059999999999999</v>
      </c>
      <c r="R68" s="198"/>
      <c r="S68" s="198"/>
      <c r="T68" s="198"/>
      <c r="U68" s="198"/>
    </row>
    <row r="69" spans="1:21" s="12" customFormat="1" x14ac:dyDescent="0.25">
      <c r="A69" s="201" t="s">
        <v>2612</v>
      </c>
      <c r="B69" s="60">
        <v>2.5299999999999998</v>
      </c>
      <c r="C69" s="60">
        <v>58.13</v>
      </c>
      <c r="D69" s="60">
        <v>34.11</v>
      </c>
      <c r="E69" s="60">
        <v>18.87</v>
      </c>
      <c r="F69" s="60">
        <v>37.770000000000003</v>
      </c>
      <c r="G69" s="60">
        <v>41.48</v>
      </c>
      <c r="H69" s="60">
        <v>25.04</v>
      </c>
      <c r="I69" s="60">
        <v>0.55000000000000004</v>
      </c>
      <c r="J69" s="60">
        <v>0.64</v>
      </c>
      <c r="K69" s="60">
        <v>81.67</v>
      </c>
      <c r="L69" s="60">
        <v>33.99</v>
      </c>
      <c r="M69" s="60">
        <v>14.42</v>
      </c>
      <c r="N69" s="60">
        <v>330.1</v>
      </c>
      <c r="O69" s="60">
        <v>0</v>
      </c>
      <c r="P69" s="60">
        <v>0.55000000000000004</v>
      </c>
      <c r="Q69" s="60">
        <v>17.829999999999998</v>
      </c>
      <c r="R69" s="198"/>
      <c r="S69" s="198"/>
      <c r="T69" s="198"/>
      <c r="U69" s="198"/>
    </row>
    <row r="70" spans="1:21" s="12" customFormat="1" x14ac:dyDescent="0.25">
      <c r="A70" s="201" t="s">
        <v>2613</v>
      </c>
      <c r="B70" s="60">
        <v>2.33</v>
      </c>
      <c r="C70" s="60">
        <v>66.81</v>
      </c>
      <c r="D70" s="60">
        <v>38.74</v>
      </c>
      <c r="E70" s="60">
        <v>14.99</v>
      </c>
      <c r="F70" s="60">
        <v>23.99</v>
      </c>
      <c r="G70" s="60">
        <v>41.48</v>
      </c>
      <c r="H70" s="60">
        <v>25.04</v>
      </c>
      <c r="I70" s="60">
        <v>0.52</v>
      </c>
      <c r="J70" s="60">
        <v>0.34</v>
      </c>
      <c r="K70" s="60">
        <v>24.63</v>
      </c>
      <c r="L70" s="60">
        <v>36.11</v>
      </c>
      <c r="M70" s="60">
        <v>13.02</v>
      </c>
      <c r="N70" s="60">
        <v>296.10000000000002</v>
      </c>
      <c r="O70" s="60">
        <v>0</v>
      </c>
      <c r="P70" s="60">
        <v>0.59</v>
      </c>
      <c r="Q70" s="60">
        <v>18.04</v>
      </c>
      <c r="R70" s="198"/>
      <c r="S70" s="198"/>
      <c r="T70" s="198"/>
      <c r="U70" s="198"/>
    </row>
    <row r="71" spans="1:21" s="12" customFormat="1" x14ac:dyDescent="0.25">
      <c r="A71" s="201" t="s">
        <v>2614</v>
      </c>
      <c r="B71" s="60">
        <v>1</v>
      </c>
      <c r="C71" s="60">
        <v>57.87</v>
      </c>
      <c r="D71" s="60">
        <v>32.729999999999997</v>
      </c>
      <c r="E71" s="60">
        <v>19.12</v>
      </c>
      <c r="F71" s="60">
        <v>35.659999999999997</v>
      </c>
      <c r="G71" s="60">
        <v>41.17</v>
      </c>
      <c r="H71" s="60">
        <v>23.52</v>
      </c>
      <c r="I71" s="60">
        <v>0.54</v>
      </c>
      <c r="J71" s="60">
        <v>0.55000000000000004</v>
      </c>
      <c r="K71" s="60">
        <v>152.25</v>
      </c>
      <c r="L71" s="60">
        <v>34.08</v>
      </c>
      <c r="M71" s="60">
        <v>13.75</v>
      </c>
      <c r="N71" s="60">
        <v>277.89999999999998</v>
      </c>
      <c r="O71" s="60">
        <v>0</v>
      </c>
      <c r="P71" s="60">
        <v>0.54</v>
      </c>
      <c r="Q71" s="60">
        <v>18.600000000000001</v>
      </c>
      <c r="R71" s="198"/>
      <c r="S71" s="198"/>
      <c r="T71" s="198"/>
      <c r="U71" s="198"/>
    </row>
    <row r="72" spans="1:21" s="12" customFormat="1" x14ac:dyDescent="0.25">
      <c r="A72" s="201" t="s">
        <v>2615</v>
      </c>
      <c r="B72" s="60">
        <v>2.31</v>
      </c>
      <c r="C72" s="60">
        <v>64.37</v>
      </c>
      <c r="D72" s="60">
        <v>37.380000000000003</v>
      </c>
      <c r="E72" s="60">
        <v>10.91</v>
      </c>
      <c r="F72" s="60">
        <v>25.32</v>
      </c>
      <c r="G72" s="60">
        <v>41.03</v>
      </c>
      <c r="H72" s="60">
        <v>22.76</v>
      </c>
      <c r="I72" s="60">
        <v>0.56000000000000005</v>
      </c>
      <c r="J72" s="60">
        <v>0.74</v>
      </c>
      <c r="K72" s="60">
        <v>20.96</v>
      </c>
      <c r="L72" s="60">
        <v>34.29</v>
      </c>
      <c r="M72" s="60">
        <v>14.9</v>
      </c>
      <c r="N72" s="60">
        <v>199.4</v>
      </c>
      <c r="O72" s="60">
        <v>0</v>
      </c>
      <c r="P72" s="60">
        <v>0.56999999999999995</v>
      </c>
      <c r="Q72" s="60">
        <v>19.079999999999998</v>
      </c>
      <c r="R72" s="198"/>
      <c r="S72" s="198"/>
      <c r="T72" s="198"/>
      <c r="U72" s="198"/>
    </row>
    <row r="73" spans="1:21" s="12" customFormat="1" x14ac:dyDescent="0.25">
      <c r="A73" s="201" t="s">
        <v>2616</v>
      </c>
      <c r="B73" s="60">
        <v>3.06</v>
      </c>
      <c r="C73" s="60">
        <v>64.849999999999994</v>
      </c>
      <c r="D73" s="60">
        <v>38.25</v>
      </c>
      <c r="E73" s="60">
        <v>26.41</v>
      </c>
      <c r="F73" s="60">
        <v>30.41</v>
      </c>
      <c r="G73" s="60">
        <v>41.03</v>
      </c>
      <c r="H73" s="60">
        <v>22.76</v>
      </c>
      <c r="I73" s="60">
        <v>0.56999999999999995</v>
      </c>
      <c r="J73" s="60">
        <v>0.82</v>
      </c>
      <c r="K73" s="60">
        <v>41.7</v>
      </c>
      <c r="L73" s="60">
        <v>33.950000000000003</v>
      </c>
      <c r="M73" s="60">
        <v>14.01</v>
      </c>
      <c r="N73" s="60">
        <v>118</v>
      </c>
      <c r="O73" s="60">
        <v>0</v>
      </c>
      <c r="P73" s="60">
        <v>0.6</v>
      </c>
      <c r="Q73" s="60">
        <v>19.3</v>
      </c>
      <c r="R73" s="198"/>
      <c r="S73" s="198"/>
      <c r="T73" s="198"/>
      <c r="U73" s="198"/>
    </row>
    <row r="74" spans="1:21" s="12" customFormat="1" x14ac:dyDescent="0.25">
      <c r="A74" s="201" t="s">
        <v>2617</v>
      </c>
      <c r="B74" s="60">
        <v>3.99</v>
      </c>
      <c r="C74" s="60">
        <v>65.11</v>
      </c>
      <c r="D74" s="60">
        <v>39.130000000000003</v>
      </c>
      <c r="E74" s="60">
        <v>15.09</v>
      </c>
      <c r="F74" s="60">
        <v>23.97</v>
      </c>
      <c r="G74" s="60">
        <v>41.03</v>
      </c>
      <c r="H74" s="60">
        <v>22.76</v>
      </c>
      <c r="I74" s="60">
        <v>0.57999999999999996</v>
      </c>
      <c r="J74" s="60">
        <v>1.45</v>
      </c>
      <c r="K74" s="60">
        <v>13.9</v>
      </c>
      <c r="L74" s="60">
        <v>33.81</v>
      </c>
      <c r="M74" s="60">
        <v>14.25</v>
      </c>
      <c r="N74" s="60">
        <v>126.6</v>
      </c>
      <c r="O74" s="60">
        <v>0</v>
      </c>
      <c r="P74" s="60">
        <v>0.63</v>
      </c>
      <c r="Q74" s="60">
        <v>20.61</v>
      </c>
      <c r="R74" s="198"/>
      <c r="S74" s="198"/>
      <c r="T74" s="198"/>
      <c r="U74" s="198"/>
    </row>
    <row r="75" spans="1:21" s="12" customFormat="1" x14ac:dyDescent="0.25">
      <c r="A75" s="201" t="s">
        <v>2618</v>
      </c>
      <c r="B75" s="60">
        <v>3.77</v>
      </c>
      <c r="C75" s="60">
        <v>70.66</v>
      </c>
      <c r="D75" s="60">
        <v>42.02</v>
      </c>
      <c r="E75" s="60">
        <v>10.23</v>
      </c>
      <c r="F75" s="60">
        <v>16.059999999999999</v>
      </c>
      <c r="G75" s="60">
        <v>52.35</v>
      </c>
      <c r="H75" s="60">
        <v>24.95</v>
      </c>
      <c r="I75" s="60">
        <v>0.56999999999999995</v>
      </c>
      <c r="J75" s="60">
        <v>1.37</v>
      </c>
      <c r="K75" s="60">
        <v>15.77</v>
      </c>
      <c r="L75" s="60">
        <v>33.26</v>
      </c>
      <c r="M75" s="60">
        <v>16.14</v>
      </c>
      <c r="N75" s="60">
        <v>91.7</v>
      </c>
      <c r="O75" s="60">
        <v>0</v>
      </c>
      <c r="P75" s="60">
        <v>0.66</v>
      </c>
      <c r="Q75" s="60">
        <v>20.38</v>
      </c>
      <c r="R75" s="198"/>
      <c r="S75" s="198"/>
      <c r="T75" s="198"/>
      <c r="U75" s="198"/>
    </row>
    <row r="76" spans="1:21" s="12" customFormat="1" x14ac:dyDescent="0.25">
      <c r="A76" s="201" t="s">
        <v>2619</v>
      </c>
      <c r="B76" s="60">
        <v>2.46</v>
      </c>
      <c r="C76" s="60">
        <v>72.52</v>
      </c>
      <c r="D76" s="60">
        <v>41.99</v>
      </c>
      <c r="E76" s="60">
        <v>9.42</v>
      </c>
      <c r="F76" s="60">
        <v>19.36</v>
      </c>
      <c r="G76" s="60">
        <v>57.73</v>
      </c>
      <c r="H76" s="60">
        <v>26.05</v>
      </c>
      <c r="I76" s="60">
        <v>0.57999999999999996</v>
      </c>
      <c r="J76" s="60">
        <v>1.35</v>
      </c>
      <c r="K76" s="60">
        <v>22.86</v>
      </c>
      <c r="L76" s="60">
        <v>32.590000000000003</v>
      </c>
      <c r="M76" s="60">
        <v>17.07</v>
      </c>
      <c r="N76" s="60">
        <v>53.8</v>
      </c>
      <c r="O76" s="60">
        <v>0</v>
      </c>
      <c r="P76" s="60">
        <v>0.69</v>
      </c>
      <c r="Q76" s="60">
        <v>19.73</v>
      </c>
      <c r="R76" s="198"/>
      <c r="S76" s="198"/>
      <c r="T76" s="198"/>
      <c r="U76" s="198"/>
    </row>
    <row r="77" spans="1:21" s="12" customFormat="1" x14ac:dyDescent="0.25">
      <c r="A77" s="201" t="s">
        <v>2620</v>
      </c>
      <c r="B77" s="60">
        <v>4.72</v>
      </c>
      <c r="C77" s="60">
        <v>71.2</v>
      </c>
      <c r="D77" s="60">
        <v>43.08</v>
      </c>
      <c r="E77" s="60">
        <v>14.17</v>
      </c>
      <c r="F77" s="60">
        <v>28.05</v>
      </c>
      <c r="G77" s="60">
        <v>57.73</v>
      </c>
      <c r="H77" s="60">
        <v>26.05</v>
      </c>
      <c r="I77" s="60">
        <v>0.59</v>
      </c>
      <c r="J77" s="60">
        <v>1.18</v>
      </c>
      <c r="K77" s="60">
        <v>22.46</v>
      </c>
      <c r="L77" s="60">
        <v>32.159999999999997</v>
      </c>
      <c r="M77" s="60">
        <v>16.25</v>
      </c>
      <c r="N77" s="60">
        <v>41.1</v>
      </c>
      <c r="O77" s="60">
        <v>0</v>
      </c>
      <c r="P77" s="60">
        <v>0.76</v>
      </c>
      <c r="Q77" s="60">
        <v>19.010000000000002</v>
      </c>
      <c r="R77" s="198"/>
      <c r="S77" s="198"/>
      <c r="T77" s="198"/>
      <c r="U77" s="198"/>
    </row>
    <row r="78" spans="1:21" s="12" customFormat="1" x14ac:dyDescent="0.25">
      <c r="A78" s="201" t="s">
        <v>2621</v>
      </c>
      <c r="B78" s="60">
        <v>4.45</v>
      </c>
      <c r="C78" s="60">
        <v>79.569999999999993</v>
      </c>
      <c r="D78" s="60">
        <v>47.48</v>
      </c>
      <c r="E78" s="60">
        <v>11.56</v>
      </c>
      <c r="F78" s="60">
        <v>15.89</v>
      </c>
      <c r="G78" s="60">
        <v>57.73</v>
      </c>
      <c r="H78" s="60">
        <v>26.05</v>
      </c>
      <c r="I78" s="60">
        <v>0.57999999999999996</v>
      </c>
      <c r="J78" s="60">
        <v>1.21</v>
      </c>
      <c r="K78" s="60">
        <v>20.56</v>
      </c>
      <c r="L78" s="60">
        <v>31.62</v>
      </c>
      <c r="M78" s="60">
        <v>17.2</v>
      </c>
      <c r="N78" s="60">
        <v>30.2</v>
      </c>
      <c r="O78" s="60">
        <v>0</v>
      </c>
      <c r="P78" s="60">
        <v>0.86</v>
      </c>
      <c r="Q78" s="60">
        <v>18.510000000000002</v>
      </c>
      <c r="R78" s="198"/>
      <c r="S78" s="198"/>
      <c r="T78" s="198"/>
      <c r="U78" s="198"/>
    </row>
    <row r="79" spans="1:21" s="12" customFormat="1" x14ac:dyDescent="0.25">
      <c r="A79" s="201" t="s">
        <v>2622</v>
      </c>
      <c r="B79" s="60">
        <v>4.22</v>
      </c>
      <c r="C79" s="60">
        <v>88.32</v>
      </c>
      <c r="D79" s="60">
        <v>52.12</v>
      </c>
      <c r="E79" s="60">
        <v>7.18</v>
      </c>
      <c r="F79" s="60">
        <v>11.61</v>
      </c>
      <c r="G79" s="60">
        <v>56.06</v>
      </c>
      <c r="H79" s="60">
        <v>24.11</v>
      </c>
      <c r="I79" s="60">
        <v>0.56999999999999995</v>
      </c>
      <c r="J79" s="60">
        <v>0.85</v>
      </c>
      <c r="K79" s="60">
        <v>19.350000000000001</v>
      </c>
      <c r="L79" s="60">
        <v>31.07</v>
      </c>
      <c r="M79" s="60">
        <v>17.89</v>
      </c>
      <c r="N79" s="60">
        <v>18.899999999999999</v>
      </c>
      <c r="O79" s="60">
        <v>0</v>
      </c>
      <c r="P79" s="60">
        <v>0.87</v>
      </c>
      <c r="Q79" s="60">
        <v>18.670000000000002</v>
      </c>
      <c r="R79" s="198"/>
      <c r="S79" s="198"/>
      <c r="T79" s="198"/>
      <c r="U79" s="198"/>
    </row>
    <row r="80" spans="1:21" s="12" customFormat="1" x14ac:dyDescent="0.25">
      <c r="A80" s="201" t="s">
        <v>2623</v>
      </c>
      <c r="B80" s="60">
        <v>8.1300000000000008</v>
      </c>
      <c r="C80" s="60">
        <v>92.34</v>
      </c>
      <c r="D80" s="60">
        <v>57.48</v>
      </c>
      <c r="E80" s="60">
        <v>8.14</v>
      </c>
      <c r="F80" s="60">
        <v>15.15</v>
      </c>
      <c r="G80" s="60">
        <v>55.26</v>
      </c>
      <c r="H80" s="60">
        <v>23.14</v>
      </c>
      <c r="I80" s="60">
        <v>0.57999999999999996</v>
      </c>
      <c r="J80" s="60">
        <v>0.66</v>
      </c>
      <c r="K80" s="60">
        <v>21.2</v>
      </c>
      <c r="L80" s="60">
        <v>30.35</v>
      </c>
      <c r="M80" s="60">
        <v>18.809999999999999</v>
      </c>
      <c r="N80" s="60">
        <v>9.4</v>
      </c>
      <c r="O80" s="60">
        <v>0</v>
      </c>
      <c r="P80" s="60">
        <v>0.98</v>
      </c>
      <c r="Q80" s="60">
        <v>19.21</v>
      </c>
      <c r="R80" s="198"/>
      <c r="S80" s="198"/>
      <c r="T80" s="198"/>
      <c r="U80" s="198"/>
    </row>
    <row r="81" spans="1:26" s="12" customFormat="1" x14ac:dyDescent="0.25">
      <c r="A81" s="201" t="s">
        <v>2624</v>
      </c>
      <c r="B81" s="60">
        <v>25.4</v>
      </c>
      <c r="C81" s="60">
        <v>116.2</v>
      </c>
      <c r="D81" s="60">
        <v>84.5</v>
      </c>
      <c r="E81" s="60">
        <v>15.01</v>
      </c>
      <c r="F81" s="60">
        <v>10.23</v>
      </c>
      <c r="G81" s="60">
        <v>55.26</v>
      </c>
      <c r="H81" s="60">
        <v>23.14</v>
      </c>
      <c r="I81" s="60">
        <v>0.6</v>
      </c>
      <c r="J81" s="60">
        <v>0.14000000000000001</v>
      </c>
      <c r="K81" s="60">
        <v>58.38</v>
      </c>
      <c r="L81" s="60">
        <v>29.61</v>
      </c>
      <c r="M81" s="60">
        <v>20.55</v>
      </c>
      <c r="N81" s="60">
        <v>5.5</v>
      </c>
      <c r="O81" s="60">
        <v>0</v>
      </c>
      <c r="P81" s="60">
        <v>1.49</v>
      </c>
      <c r="Q81" s="60">
        <v>18.329999999999998</v>
      </c>
      <c r="R81" s="198"/>
      <c r="S81" s="198"/>
      <c r="T81" s="198"/>
      <c r="U81" s="198"/>
    </row>
    <row r="82" spans="1:26" s="12" customFormat="1" x14ac:dyDescent="0.25">
      <c r="A82" s="201" t="s">
        <v>2625</v>
      </c>
      <c r="B82" s="60">
        <v>7.46</v>
      </c>
      <c r="C82" s="60">
        <v>106.22</v>
      </c>
      <c r="D82" s="60">
        <v>64.599999999999994</v>
      </c>
      <c r="E82" s="60">
        <v>21.82</v>
      </c>
      <c r="F82" s="60">
        <v>12.66</v>
      </c>
      <c r="G82" s="60">
        <v>55.26</v>
      </c>
      <c r="H82" s="60">
        <v>23.14</v>
      </c>
      <c r="I82" s="60">
        <v>0.63</v>
      </c>
      <c r="J82" s="60">
        <v>0.35</v>
      </c>
      <c r="K82" s="60">
        <v>88.19</v>
      </c>
      <c r="L82" s="60">
        <v>29.2</v>
      </c>
      <c r="M82" s="60">
        <v>21.27</v>
      </c>
      <c r="N82" s="60">
        <v>4</v>
      </c>
      <c r="O82" s="60">
        <v>0</v>
      </c>
      <c r="P82" s="60">
        <v>1.46</v>
      </c>
      <c r="Q82" s="60">
        <v>18.940000000000001</v>
      </c>
      <c r="R82" s="198"/>
      <c r="S82" s="198"/>
      <c r="T82" s="198"/>
      <c r="U82" s="198"/>
    </row>
    <row r="83" spans="1:26" s="12" customFormat="1" x14ac:dyDescent="0.25">
      <c r="A83" s="201" t="s">
        <v>2626</v>
      </c>
      <c r="B83" s="60">
        <v>9.2200000000000006</v>
      </c>
      <c r="C83" s="60">
        <v>110.79</v>
      </c>
      <c r="D83" s="60">
        <v>68.53</v>
      </c>
      <c r="E83" s="60">
        <v>32.79</v>
      </c>
      <c r="F83" s="60">
        <v>10.029999999999999</v>
      </c>
      <c r="G83" s="60">
        <v>68.209999999999994</v>
      </c>
      <c r="H83" s="60">
        <v>28.6</v>
      </c>
      <c r="I83" s="60">
        <v>0.7</v>
      </c>
      <c r="J83" s="60">
        <v>0.4</v>
      </c>
      <c r="K83" s="60">
        <v>86.75</v>
      </c>
      <c r="L83" s="60">
        <v>28.84</v>
      </c>
      <c r="M83" s="60">
        <v>22.09</v>
      </c>
      <c r="N83" s="60">
        <v>3.9</v>
      </c>
      <c r="O83" s="60">
        <v>0</v>
      </c>
      <c r="P83" s="60">
        <v>1.5</v>
      </c>
      <c r="Q83" s="60">
        <v>19.71</v>
      </c>
      <c r="R83" s="198"/>
      <c r="S83" s="198"/>
      <c r="T83" s="198"/>
      <c r="U83" s="198"/>
    </row>
    <row r="84" spans="1:26" s="12" customFormat="1" x14ac:dyDescent="0.25">
      <c r="A84" s="201" t="s">
        <v>2627</v>
      </c>
      <c r="B84" s="60">
        <v>8.59</v>
      </c>
      <c r="C84" s="60">
        <v>113.86</v>
      </c>
      <c r="D84" s="60">
        <v>69.72</v>
      </c>
      <c r="E84" s="60">
        <v>36.32</v>
      </c>
      <c r="F84" s="60">
        <v>9.56</v>
      </c>
      <c r="G84" s="60">
        <v>74.37</v>
      </c>
      <c r="H84" s="60">
        <v>31.33</v>
      </c>
      <c r="I84" s="60">
        <v>0.75</v>
      </c>
      <c r="J84" s="60">
        <v>0.47</v>
      </c>
      <c r="K84" s="60">
        <v>90.37</v>
      </c>
      <c r="L84" s="60">
        <v>28.51</v>
      </c>
      <c r="M84" s="60">
        <v>22.75</v>
      </c>
      <c r="N84" s="60">
        <v>3.8</v>
      </c>
      <c r="O84" s="60">
        <v>0</v>
      </c>
      <c r="P84" s="60">
        <v>1.41</v>
      </c>
      <c r="Q84" s="60">
        <v>20.57</v>
      </c>
      <c r="R84" s="198"/>
      <c r="S84" s="198"/>
      <c r="T84" s="198"/>
      <c r="U84" s="198"/>
    </row>
    <row r="85" spans="1:26" s="12" customFormat="1" x14ac:dyDescent="0.25">
      <c r="A85" s="201" t="s">
        <v>2628</v>
      </c>
      <c r="B85" s="60">
        <v>5.77</v>
      </c>
      <c r="C85" s="60">
        <v>112.04</v>
      </c>
      <c r="D85" s="60">
        <v>66.459999999999994</v>
      </c>
      <c r="E85" s="60">
        <v>34.11</v>
      </c>
      <c r="F85" s="60">
        <v>9.59</v>
      </c>
      <c r="G85" s="60">
        <v>74.37</v>
      </c>
      <c r="H85" s="60">
        <v>31.33</v>
      </c>
      <c r="I85" s="60">
        <v>0.76</v>
      </c>
      <c r="J85" s="60">
        <v>0.31</v>
      </c>
      <c r="K85" s="60">
        <v>85.84</v>
      </c>
      <c r="L85" s="60">
        <v>27.96</v>
      </c>
      <c r="M85" s="60">
        <v>24.84</v>
      </c>
      <c r="N85" s="60">
        <v>4.3</v>
      </c>
      <c r="O85" s="60">
        <v>0</v>
      </c>
      <c r="P85" s="60">
        <v>1.47</v>
      </c>
      <c r="Q85" s="60">
        <v>21.44</v>
      </c>
      <c r="R85" s="198"/>
      <c r="S85" s="198"/>
      <c r="T85" s="198"/>
      <c r="U85" s="198"/>
    </row>
    <row r="86" spans="1:26" s="12" customFormat="1" x14ac:dyDescent="0.25">
      <c r="A86" s="201" t="s">
        <v>2629</v>
      </c>
      <c r="B86" s="60">
        <v>5.93</v>
      </c>
      <c r="C86" s="60">
        <v>108.78</v>
      </c>
      <c r="D86" s="60">
        <v>64.790000000000006</v>
      </c>
      <c r="E86" s="60">
        <v>25.14</v>
      </c>
      <c r="F86" s="60">
        <v>9.19</v>
      </c>
      <c r="G86" s="60">
        <v>74.37</v>
      </c>
      <c r="H86" s="60">
        <v>31.33</v>
      </c>
      <c r="I86" s="60">
        <v>0.78</v>
      </c>
      <c r="J86" s="60">
        <v>0.27</v>
      </c>
      <c r="K86" s="60">
        <v>110.45</v>
      </c>
      <c r="L86" s="60">
        <v>27.58</v>
      </c>
      <c r="M86" s="60">
        <v>25.32</v>
      </c>
      <c r="N86" s="60">
        <v>3.9</v>
      </c>
      <c r="O86" s="60">
        <v>0</v>
      </c>
      <c r="P86" s="60">
        <v>1.56</v>
      </c>
      <c r="Q86" s="60">
        <v>22.2</v>
      </c>
      <c r="R86" s="198"/>
      <c r="S86" s="198"/>
      <c r="T86" s="198"/>
      <c r="U86" s="198"/>
    </row>
    <row r="87" spans="1:26" s="12" customFormat="1" x14ac:dyDescent="0.25">
      <c r="A87" s="201" t="s">
        <v>2630</v>
      </c>
      <c r="B87" s="60">
        <v>31.5</v>
      </c>
      <c r="C87" s="60">
        <v>114.07</v>
      </c>
      <c r="D87" s="60">
        <v>88.22</v>
      </c>
      <c r="E87" s="60">
        <v>21.07</v>
      </c>
      <c r="F87" s="60">
        <v>6.56</v>
      </c>
      <c r="G87" s="60">
        <v>87.97</v>
      </c>
      <c r="H87" s="60">
        <v>33.869999999999997</v>
      </c>
      <c r="I87" s="60">
        <v>0.8</v>
      </c>
      <c r="J87" s="60">
        <v>0.1</v>
      </c>
      <c r="K87" s="60">
        <v>329.55</v>
      </c>
      <c r="L87" s="60">
        <v>26.78</v>
      </c>
      <c r="M87" s="60">
        <v>33</v>
      </c>
      <c r="N87" s="60">
        <v>4.7</v>
      </c>
      <c r="O87" s="60">
        <v>0</v>
      </c>
      <c r="P87" s="60">
        <v>2.12</v>
      </c>
      <c r="Q87" s="60">
        <v>21.7</v>
      </c>
      <c r="R87" s="198"/>
      <c r="S87" s="198"/>
      <c r="T87" s="198"/>
      <c r="U87" s="198"/>
    </row>
    <row r="88" spans="1:26" s="12" customFormat="1" x14ac:dyDescent="0.25">
      <c r="A88" s="201" t="s">
        <v>2631</v>
      </c>
      <c r="B88" s="60">
        <v>15.25</v>
      </c>
      <c r="C88" s="60">
        <v>110.02</v>
      </c>
      <c r="D88" s="60">
        <v>72.95</v>
      </c>
      <c r="E88" s="60">
        <v>4.43</v>
      </c>
      <c r="F88" s="60">
        <v>5.18</v>
      </c>
      <c r="G88" s="60">
        <v>94.44</v>
      </c>
      <c r="H88" s="60">
        <v>35.14</v>
      </c>
      <c r="I88" s="60">
        <v>0.81</v>
      </c>
      <c r="J88" s="60">
        <v>0.53</v>
      </c>
      <c r="K88" s="60">
        <v>157.35</v>
      </c>
      <c r="L88" s="60">
        <v>26.71</v>
      </c>
      <c r="M88" s="60">
        <v>27.58</v>
      </c>
      <c r="N88" s="60">
        <v>2.6</v>
      </c>
      <c r="O88" s="60">
        <v>0</v>
      </c>
      <c r="P88" s="60">
        <v>1.53</v>
      </c>
      <c r="Q88" s="60">
        <v>23.52</v>
      </c>
      <c r="R88" s="198"/>
      <c r="S88" s="198"/>
      <c r="T88" s="198"/>
      <c r="U88" s="198"/>
    </row>
    <row r="89" spans="1:26" s="12" customFormat="1" x14ac:dyDescent="0.25">
      <c r="A89" s="201" t="s">
        <v>2632</v>
      </c>
      <c r="B89" s="60">
        <v>15.77</v>
      </c>
      <c r="C89" s="60">
        <v>109.36</v>
      </c>
      <c r="D89" s="60">
        <v>73</v>
      </c>
      <c r="E89" s="60">
        <v>7</v>
      </c>
      <c r="F89" s="60">
        <v>5.13</v>
      </c>
      <c r="G89" s="60">
        <v>94.44</v>
      </c>
      <c r="H89" s="60">
        <v>35.14</v>
      </c>
      <c r="I89" s="60">
        <v>0.88</v>
      </c>
      <c r="J89" s="60">
        <v>0.26</v>
      </c>
      <c r="K89" s="60">
        <v>186.83</v>
      </c>
      <c r="L89" s="60">
        <v>27.28</v>
      </c>
      <c r="M89" s="60">
        <v>27.43</v>
      </c>
      <c r="N89" s="60">
        <v>3.8</v>
      </c>
      <c r="O89" s="60">
        <v>0</v>
      </c>
      <c r="P89" s="60">
        <v>1.53</v>
      </c>
      <c r="Q89" s="60">
        <v>25.49</v>
      </c>
      <c r="R89" s="198"/>
      <c r="S89" s="198"/>
      <c r="T89" s="198"/>
      <c r="U89" s="198"/>
    </row>
    <row r="90" spans="1:26" s="12" customFormat="1" x14ac:dyDescent="0.25">
      <c r="A90" s="201" t="s">
        <v>2633</v>
      </c>
      <c r="B90" s="60">
        <v>25.2</v>
      </c>
      <c r="C90" s="60">
        <v>113.67</v>
      </c>
      <c r="D90" s="60">
        <v>82.94</v>
      </c>
      <c r="E90" s="60">
        <v>6.83</v>
      </c>
      <c r="F90" s="60">
        <v>4.66</v>
      </c>
      <c r="G90" s="60">
        <v>94.44</v>
      </c>
      <c r="H90" s="60">
        <v>35.14</v>
      </c>
      <c r="I90" s="60">
        <v>0.85</v>
      </c>
      <c r="J90" s="60">
        <v>0.11</v>
      </c>
      <c r="K90" s="60">
        <v>20.66</v>
      </c>
      <c r="L90" s="60">
        <v>26.28</v>
      </c>
      <c r="M90" s="60">
        <v>33.32</v>
      </c>
      <c r="N90" s="60">
        <v>4.8</v>
      </c>
      <c r="O90" s="60">
        <v>0</v>
      </c>
      <c r="P90" s="60">
        <v>1.71</v>
      </c>
      <c r="Q90" s="60">
        <v>26.22</v>
      </c>
      <c r="R90" s="198"/>
      <c r="S90" s="198"/>
      <c r="T90" s="198"/>
      <c r="U90" s="198"/>
    </row>
    <row r="91" spans="1:26" s="12" customFormat="1" x14ac:dyDescent="0.25">
      <c r="A91" s="201" t="s">
        <v>2634</v>
      </c>
      <c r="B91" s="60">
        <v>34.880000000000003</v>
      </c>
      <c r="C91" s="60">
        <v>115.29</v>
      </c>
      <c r="D91" s="60">
        <v>91.6</v>
      </c>
      <c r="E91" s="60">
        <v>5.85</v>
      </c>
      <c r="F91" s="60">
        <v>4.38</v>
      </c>
      <c r="G91" s="60">
        <v>115.96</v>
      </c>
      <c r="H91" s="60">
        <v>42.53</v>
      </c>
      <c r="I91" s="60">
        <v>0.84</v>
      </c>
      <c r="J91" s="6" t="s">
        <v>42</v>
      </c>
      <c r="K91" s="60">
        <v>169.23</v>
      </c>
      <c r="L91" s="60">
        <v>25.24</v>
      </c>
      <c r="M91" s="60">
        <v>37.65</v>
      </c>
      <c r="N91" s="60">
        <v>4.5</v>
      </c>
      <c r="O91" s="60">
        <v>0</v>
      </c>
      <c r="P91" s="60">
        <v>1.92</v>
      </c>
      <c r="Q91" s="60">
        <v>26.93</v>
      </c>
      <c r="R91" s="198"/>
      <c r="S91" s="198"/>
      <c r="T91" s="198"/>
      <c r="U91" s="198"/>
    </row>
    <row r="92" spans="1:26" s="12" customFormat="1" x14ac:dyDescent="0.25">
      <c r="A92" s="201" t="s">
        <v>2635</v>
      </c>
      <c r="B92" s="60">
        <v>38.82</v>
      </c>
      <c r="C92" s="60">
        <v>118.23</v>
      </c>
      <c r="D92" s="60">
        <v>96.38</v>
      </c>
      <c r="E92" s="60">
        <v>6.03</v>
      </c>
      <c r="F92" s="60">
        <v>4.3499999999999996</v>
      </c>
      <c r="G92" s="60">
        <v>126.2</v>
      </c>
      <c r="H92" s="60">
        <v>46.22</v>
      </c>
      <c r="I92" s="60">
        <v>0.91</v>
      </c>
      <c r="J92" s="60">
        <v>0.2</v>
      </c>
      <c r="K92" s="60">
        <v>193.16</v>
      </c>
      <c r="L92" s="60">
        <v>24.84</v>
      </c>
      <c r="M92" s="60">
        <v>37.92</v>
      </c>
      <c r="N92" s="60">
        <v>3.6</v>
      </c>
      <c r="O92" s="60">
        <v>0</v>
      </c>
      <c r="P92" s="60">
        <v>2.0499999999999998</v>
      </c>
      <c r="Q92" s="60">
        <v>27.61</v>
      </c>
      <c r="R92" s="198"/>
      <c r="S92" s="198"/>
      <c r="T92" s="198"/>
      <c r="U92" s="198"/>
    </row>
    <row r="93" spans="1:26" s="12" customFormat="1" x14ac:dyDescent="0.25">
      <c r="A93" s="201" t="s">
        <v>2636</v>
      </c>
      <c r="B93" s="60">
        <v>47.52</v>
      </c>
      <c r="C93" s="60">
        <v>119.02</v>
      </c>
      <c r="D93" s="60">
        <v>103.8</v>
      </c>
      <c r="E93" s="60">
        <v>5.56</v>
      </c>
      <c r="F93" s="60">
        <v>4.32</v>
      </c>
      <c r="G93" s="60">
        <v>126.2</v>
      </c>
      <c r="H93" s="60">
        <v>46.22</v>
      </c>
      <c r="I93" s="60">
        <v>0.96</v>
      </c>
      <c r="J93" s="60">
        <v>0.31</v>
      </c>
      <c r="K93" s="60">
        <v>35.42</v>
      </c>
      <c r="L93" s="60">
        <v>24.79</v>
      </c>
      <c r="M93" s="60">
        <v>38.89</v>
      </c>
      <c r="N93" s="60">
        <v>4.5999999999999996</v>
      </c>
      <c r="O93" s="60">
        <v>0</v>
      </c>
      <c r="P93" s="60">
        <v>2.21</v>
      </c>
      <c r="Q93" s="60">
        <v>28.18</v>
      </c>
      <c r="R93" s="198"/>
      <c r="S93" s="198"/>
      <c r="T93" s="198"/>
      <c r="U93" s="198"/>
    </row>
    <row r="94" spans="1:26" s="12" customFormat="1" x14ac:dyDescent="0.25">
      <c r="A94" s="201" t="s">
        <v>2637</v>
      </c>
      <c r="B94" s="60">
        <v>62.27</v>
      </c>
      <c r="C94" s="60">
        <v>119.39</v>
      </c>
      <c r="D94" s="60">
        <v>115.83</v>
      </c>
      <c r="E94" s="60">
        <v>5.84</v>
      </c>
      <c r="F94" s="60">
        <v>4.3</v>
      </c>
      <c r="G94" s="60">
        <v>126.2</v>
      </c>
      <c r="H94" s="60">
        <v>46.22</v>
      </c>
      <c r="I94" s="60">
        <v>1</v>
      </c>
      <c r="J94" s="60">
        <v>0.03</v>
      </c>
      <c r="K94" s="60">
        <v>177.04</v>
      </c>
      <c r="L94" s="60">
        <v>24.59</v>
      </c>
      <c r="M94" s="60">
        <v>36.72</v>
      </c>
      <c r="N94" s="60">
        <v>4</v>
      </c>
      <c r="O94" s="60">
        <v>0</v>
      </c>
      <c r="P94" s="60">
        <v>2.37</v>
      </c>
      <c r="Q94" s="60">
        <v>28.61</v>
      </c>
      <c r="R94" s="198"/>
      <c r="S94" s="198"/>
      <c r="T94" s="198"/>
      <c r="U94" s="198"/>
    </row>
    <row r="95" spans="1:26" s="12" customFormat="1" x14ac:dyDescent="0.25">
      <c r="A95" s="201" t="s">
        <v>2638</v>
      </c>
      <c r="B95" s="60">
        <v>85.22</v>
      </c>
      <c r="C95" s="60">
        <v>124.59</v>
      </c>
      <c r="D95" s="60">
        <v>137.1</v>
      </c>
      <c r="E95" s="60">
        <v>9.5299999999999994</v>
      </c>
      <c r="F95" s="60">
        <v>4.32</v>
      </c>
      <c r="G95" s="60">
        <v>142.79</v>
      </c>
      <c r="H95" s="60">
        <v>49.24</v>
      </c>
      <c r="I95" s="60">
        <v>1.04</v>
      </c>
      <c r="J95" s="60">
        <v>0.32</v>
      </c>
      <c r="K95" s="60">
        <v>208.9</v>
      </c>
      <c r="L95" s="60">
        <v>24.95</v>
      </c>
      <c r="M95" s="60">
        <v>37.54</v>
      </c>
      <c r="N95" s="60">
        <v>2.9</v>
      </c>
      <c r="O95" s="60">
        <v>0</v>
      </c>
      <c r="P95" s="60">
        <v>2.58</v>
      </c>
      <c r="Q95" s="60">
        <v>27.59</v>
      </c>
      <c r="R95" s="198"/>
      <c r="S95" s="198"/>
      <c r="T95" s="198"/>
      <c r="U95" s="198"/>
    </row>
    <row r="96" spans="1:26" s="12" customFormat="1" x14ac:dyDescent="0.25">
      <c r="A96" s="201" t="s">
        <v>2639</v>
      </c>
      <c r="B96" s="60">
        <v>82.42</v>
      </c>
      <c r="C96" s="60">
        <v>122.54</v>
      </c>
      <c r="D96" s="60">
        <v>133.72</v>
      </c>
      <c r="E96" s="60">
        <v>10.23</v>
      </c>
      <c r="F96" s="60">
        <v>4.4800000000000004</v>
      </c>
      <c r="G96" s="60">
        <v>150.68</v>
      </c>
      <c r="H96" s="60">
        <v>50.75</v>
      </c>
      <c r="I96" s="60">
        <v>1.0900000000000001</v>
      </c>
      <c r="J96" s="60">
        <v>0.14000000000000001</v>
      </c>
      <c r="K96" s="60">
        <v>33.21</v>
      </c>
      <c r="L96" s="60">
        <v>24.94</v>
      </c>
      <c r="M96" s="60">
        <v>38.9</v>
      </c>
      <c r="N96" s="60">
        <v>4.3</v>
      </c>
      <c r="O96" s="60">
        <v>0</v>
      </c>
      <c r="P96" s="60">
        <v>2.5299999999999998</v>
      </c>
      <c r="Q96" s="60">
        <v>27.32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2640</v>
      </c>
      <c r="B97" s="60">
        <v>87.56</v>
      </c>
      <c r="C97" s="60">
        <v>121.21</v>
      </c>
      <c r="D97" s="60">
        <v>137.11000000000001</v>
      </c>
      <c r="E97" s="60">
        <v>7.59</v>
      </c>
      <c r="F97" s="60">
        <v>4.41</v>
      </c>
      <c r="G97" s="60">
        <v>150.68</v>
      </c>
      <c r="H97" s="60">
        <v>50.75</v>
      </c>
      <c r="I97" s="60">
        <v>1.1399999999999999</v>
      </c>
      <c r="J97" s="60">
        <v>0.06</v>
      </c>
      <c r="K97" s="60">
        <v>182.57</v>
      </c>
      <c r="L97" s="60">
        <v>23.9</v>
      </c>
      <c r="M97" s="60">
        <v>44.07</v>
      </c>
      <c r="N97" s="60">
        <v>4.4000000000000004</v>
      </c>
      <c r="O97" s="60">
        <v>0</v>
      </c>
      <c r="P97" s="60">
        <v>2.65</v>
      </c>
      <c r="Q97" s="60">
        <v>28.05</v>
      </c>
      <c r="R97" s="198"/>
      <c r="S97" s="198"/>
      <c r="T97" s="198"/>
      <c r="U97" s="198"/>
    </row>
    <row r="98" spans="1:33" s="12" customFormat="1" x14ac:dyDescent="0.25">
      <c r="A98" s="201" t="s">
        <v>2641</v>
      </c>
      <c r="B98" s="60">
        <v>106</v>
      </c>
      <c r="C98" s="60">
        <v>125.32</v>
      </c>
      <c r="D98" s="60">
        <v>154.16999999999999</v>
      </c>
      <c r="E98" s="60">
        <v>10.49</v>
      </c>
      <c r="F98" s="60">
        <v>4.4400000000000004</v>
      </c>
      <c r="G98" s="60">
        <v>150.68</v>
      </c>
      <c r="H98" s="60">
        <v>50.75</v>
      </c>
      <c r="I98" s="60">
        <v>1.1599999999999999</v>
      </c>
      <c r="J98" s="60">
        <v>0.26</v>
      </c>
      <c r="K98" s="60">
        <v>357.61</v>
      </c>
      <c r="L98" s="60">
        <v>23.96</v>
      </c>
      <c r="M98" s="60">
        <v>43.95</v>
      </c>
      <c r="N98" s="60">
        <v>4.0999999999999996</v>
      </c>
      <c r="O98" s="60">
        <v>0</v>
      </c>
      <c r="P98" s="60">
        <v>2.7</v>
      </c>
      <c r="Q98" s="60">
        <v>27.68</v>
      </c>
      <c r="R98" s="198"/>
      <c r="S98" s="198"/>
      <c r="T98" s="198"/>
      <c r="U98" s="198"/>
    </row>
    <row r="99" spans="1:33" s="12" customFormat="1" x14ac:dyDescent="0.25">
      <c r="A99" s="201" t="s">
        <v>2642</v>
      </c>
      <c r="B99" s="60">
        <v>99.98</v>
      </c>
      <c r="C99" s="60">
        <v>124.17</v>
      </c>
      <c r="D99" s="60">
        <v>148.69999999999999</v>
      </c>
      <c r="E99" s="60">
        <v>9.81</v>
      </c>
      <c r="F99" s="60">
        <v>4.5</v>
      </c>
      <c r="G99" s="60">
        <v>158.32</v>
      </c>
      <c r="H99" s="60">
        <v>53</v>
      </c>
      <c r="I99" s="60">
        <v>1.19</v>
      </c>
      <c r="J99" s="60">
        <v>0.08</v>
      </c>
      <c r="K99" s="60">
        <v>165.78</v>
      </c>
      <c r="L99" s="60">
        <v>23.64</v>
      </c>
      <c r="M99" s="60">
        <v>44.7</v>
      </c>
      <c r="N99" s="60">
        <v>4</v>
      </c>
      <c r="O99" s="60">
        <v>0</v>
      </c>
      <c r="P99" s="60">
        <v>2.75</v>
      </c>
      <c r="Q99" s="60">
        <v>29.07</v>
      </c>
      <c r="R99" s="198"/>
      <c r="S99" s="198"/>
      <c r="T99" s="198"/>
      <c r="U99" s="198"/>
    </row>
    <row r="100" spans="1:33" s="12" customFormat="1" x14ac:dyDescent="0.25">
      <c r="A100" s="201" t="s">
        <v>2643</v>
      </c>
      <c r="B100" s="60">
        <v>108.97</v>
      </c>
      <c r="C100" s="60">
        <v>119.14</v>
      </c>
      <c r="D100" s="60">
        <v>153.13999999999999</v>
      </c>
      <c r="E100" s="60">
        <v>8.93</v>
      </c>
      <c r="F100" s="60">
        <v>4.59</v>
      </c>
      <c r="G100" s="60">
        <v>161.94</v>
      </c>
      <c r="H100" s="60">
        <v>54.13</v>
      </c>
      <c r="I100" s="60">
        <v>1.2</v>
      </c>
      <c r="J100" s="60">
        <v>0.1</v>
      </c>
      <c r="K100" s="60">
        <v>181.41</v>
      </c>
      <c r="L100" s="60">
        <v>23.5</v>
      </c>
      <c r="M100" s="60">
        <v>45.65</v>
      </c>
      <c r="N100" s="60">
        <v>4.4000000000000004</v>
      </c>
      <c r="O100" s="60">
        <v>0</v>
      </c>
      <c r="P100" s="60">
        <v>2.78</v>
      </c>
      <c r="Q100" s="60">
        <v>29.79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2644</v>
      </c>
      <c r="B101" s="60">
        <v>103.1</v>
      </c>
      <c r="C101" s="60">
        <v>119.41</v>
      </c>
      <c r="D101" s="60">
        <v>148.58000000000001</v>
      </c>
      <c r="E101" s="60">
        <v>6.55</v>
      </c>
      <c r="F101" s="60">
        <v>4.4000000000000004</v>
      </c>
      <c r="G101" s="60">
        <v>161.94</v>
      </c>
      <c r="H101" s="60">
        <v>54.13</v>
      </c>
      <c r="I101" s="60">
        <v>1.23</v>
      </c>
      <c r="J101" s="60">
        <v>0.12</v>
      </c>
      <c r="K101" s="60">
        <v>7.44</v>
      </c>
      <c r="L101" s="60">
        <v>23.23</v>
      </c>
      <c r="M101" s="60">
        <v>49.7</v>
      </c>
      <c r="N101" s="60">
        <v>4.2</v>
      </c>
      <c r="O101" s="60">
        <v>0</v>
      </c>
      <c r="P101" s="60">
        <v>2.75</v>
      </c>
      <c r="Q101" s="60">
        <v>30.69</v>
      </c>
      <c r="R101" s="198"/>
      <c r="S101" s="198"/>
      <c r="T101" s="198"/>
      <c r="U101" s="198"/>
    </row>
    <row r="102" spans="1:33" s="12" customFormat="1" x14ac:dyDescent="0.25">
      <c r="A102" s="201" t="s">
        <v>2645</v>
      </c>
      <c r="B102" s="60">
        <v>99.16</v>
      </c>
      <c r="C102" s="60">
        <v>119.98</v>
      </c>
      <c r="D102" s="60">
        <v>145.74</v>
      </c>
      <c r="E102" s="60">
        <v>7.54</v>
      </c>
      <c r="F102" s="60">
        <v>4.3099999999999996</v>
      </c>
      <c r="G102" s="60">
        <v>161.94</v>
      </c>
      <c r="H102" s="60">
        <v>54.13</v>
      </c>
      <c r="I102" s="60">
        <v>1.26</v>
      </c>
      <c r="J102" s="60">
        <v>0.73</v>
      </c>
      <c r="K102" s="60">
        <v>170.66</v>
      </c>
      <c r="L102" s="60">
        <v>24.43</v>
      </c>
      <c r="M102" s="60">
        <v>38.979999999999997</v>
      </c>
      <c r="N102" s="60">
        <v>1.2</v>
      </c>
      <c r="O102" s="60">
        <v>0</v>
      </c>
      <c r="P102" s="60">
        <v>2.77</v>
      </c>
      <c r="Q102" s="60">
        <v>31.95</v>
      </c>
      <c r="R102" s="198"/>
      <c r="S102" s="198"/>
      <c r="T102" s="198"/>
      <c r="U102" s="198"/>
    </row>
    <row r="103" spans="1:33" s="12" customFormat="1" x14ac:dyDescent="0.25">
      <c r="A103" s="201" t="s">
        <v>2646</v>
      </c>
      <c r="B103" s="60">
        <v>109.1</v>
      </c>
      <c r="C103" s="60">
        <v>118.99</v>
      </c>
      <c r="D103" s="60">
        <v>153.15</v>
      </c>
      <c r="E103" s="60">
        <v>6.07</v>
      </c>
      <c r="F103" s="60">
        <v>4.32</v>
      </c>
      <c r="G103" s="60">
        <v>162.91999999999999</v>
      </c>
      <c r="H103" s="60">
        <v>54.73</v>
      </c>
      <c r="I103" s="60">
        <v>1.27</v>
      </c>
      <c r="J103" s="60">
        <v>0.19</v>
      </c>
      <c r="K103" s="60">
        <v>20.02</v>
      </c>
      <c r="L103" s="60">
        <v>24</v>
      </c>
      <c r="M103" s="60">
        <v>45.22</v>
      </c>
      <c r="N103" s="60">
        <v>5.2</v>
      </c>
      <c r="O103" s="60">
        <v>0</v>
      </c>
      <c r="P103" s="60">
        <v>2.81</v>
      </c>
      <c r="Q103" s="60">
        <v>33.15</v>
      </c>
      <c r="R103" s="198"/>
      <c r="S103" s="198"/>
      <c r="T103" s="198"/>
      <c r="U103" s="198"/>
    </row>
    <row r="104" spans="1:33" s="12" customFormat="1" x14ac:dyDescent="0.25">
      <c r="A104" s="201" t="s">
        <v>2647</v>
      </c>
      <c r="B104" s="60">
        <v>112.94</v>
      </c>
      <c r="C104" s="60">
        <v>118.31</v>
      </c>
      <c r="D104" s="60">
        <v>155.86000000000001</v>
      </c>
      <c r="E104" s="60">
        <v>3.72</v>
      </c>
      <c r="F104" s="60">
        <v>4.33</v>
      </c>
      <c r="G104" s="60">
        <v>163.38</v>
      </c>
      <c r="H104" s="60">
        <v>55.03</v>
      </c>
      <c r="I104" s="60">
        <v>1.29</v>
      </c>
      <c r="J104" s="60">
        <v>0.1</v>
      </c>
      <c r="K104" s="60">
        <v>41.04</v>
      </c>
      <c r="L104" s="60">
        <v>22.89</v>
      </c>
      <c r="M104" s="60">
        <v>51.29</v>
      </c>
      <c r="N104" s="60">
        <v>4.5999999999999996</v>
      </c>
      <c r="O104" s="60">
        <v>0</v>
      </c>
      <c r="P104" s="60">
        <v>2.88</v>
      </c>
      <c r="Q104" s="60">
        <v>33.64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0.37</v>
      </c>
      <c r="C106" s="67">
        <f>MIN(C9:C104)</f>
        <v>25.41</v>
      </c>
      <c r="D106" s="67">
        <f t="shared" ref="D106:Q106" si="0">MIN(D9:D104)</f>
        <v>14.37</v>
      </c>
      <c r="E106" s="67">
        <f t="shared" si="0"/>
        <v>3.5</v>
      </c>
      <c r="F106" s="67">
        <f t="shared" si="0"/>
        <v>4.3</v>
      </c>
      <c r="G106" s="67">
        <f t="shared" si="0"/>
        <v>41.03</v>
      </c>
      <c r="H106" s="67">
        <f t="shared" si="0"/>
        <v>22.76</v>
      </c>
      <c r="I106" s="67">
        <f t="shared" si="0"/>
        <v>0.43</v>
      </c>
      <c r="J106" s="67">
        <f t="shared" si="0"/>
        <v>0.01</v>
      </c>
      <c r="K106" s="67">
        <f t="shared" si="0"/>
        <v>1.5</v>
      </c>
      <c r="L106" s="67">
        <f t="shared" si="0"/>
        <v>20.09</v>
      </c>
      <c r="M106" s="67">
        <f t="shared" si="0"/>
        <v>13.02</v>
      </c>
      <c r="N106" s="67">
        <f t="shared" si="0"/>
        <v>1.2</v>
      </c>
      <c r="O106" s="67">
        <f t="shared" si="0"/>
        <v>0</v>
      </c>
      <c r="P106" s="67">
        <f t="shared" si="0"/>
        <v>0.34</v>
      </c>
      <c r="Q106" s="67">
        <f t="shared" si="0"/>
        <v>3.22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132.81</v>
      </c>
      <c r="C107" s="66">
        <f t="shared" ref="C107:Q107" si="1">MAX(C9:C104)</f>
        <v>135.37</v>
      </c>
      <c r="D107" s="66">
        <f t="shared" si="1"/>
        <v>181.21</v>
      </c>
      <c r="E107" s="66">
        <f t="shared" si="1"/>
        <v>36.32</v>
      </c>
      <c r="F107" s="66">
        <f t="shared" si="1"/>
        <v>63.87</v>
      </c>
      <c r="G107" s="66">
        <f t="shared" si="1"/>
        <v>163.38</v>
      </c>
      <c r="H107" s="66">
        <f t="shared" si="1"/>
        <v>59.43</v>
      </c>
      <c r="I107" s="66">
        <f t="shared" si="1"/>
        <v>1.29</v>
      </c>
      <c r="J107" s="66">
        <f t="shared" si="1"/>
        <v>2.36</v>
      </c>
      <c r="K107" s="66">
        <f t="shared" si="1"/>
        <v>357.61</v>
      </c>
      <c r="L107" s="66">
        <f t="shared" si="1"/>
        <v>37.07</v>
      </c>
      <c r="M107" s="66">
        <f t="shared" si="1"/>
        <v>57.44</v>
      </c>
      <c r="N107" s="66">
        <f t="shared" si="1"/>
        <v>571.29999999999995</v>
      </c>
      <c r="O107" s="66">
        <f t="shared" si="1"/>
        <v>0</v>
      </c>
      <c r="P107" s="66">
        <f t="shared" si="1"/>
        <v>2.88</v>
      </c>
      <c r="Q107" s="66">
        <f t="shared" si="1"/>
        <v>37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41.793645833333322</v>
      </c>
      <c r="C108" s="67">
        <f t="shared" ref="C108:Q108" si="2">AVERAGE(C9:C104)</f>
        <v>97.838749999999962</v>
      </c>
      <c r="D108" s="67">
        <f t="shared" si="2"/>
        <v>87.510833333333323</v>
      </c>
      <c r="E108" s="67">
        <f t="shared" si="2"/>
        <v>10.128333333333329</v>
      </c>
      <c r="F108" s="67">
        <f t="shared" si="2"/>
        <v>11.780520833333332</v>
      </c>
      <c r="G108" s="67">
        <f t="shared" si="2"/>
        <v>94.302499999999938</v>
      </c>
      <c r="H108" s="67">
        <f t="shared" si="2"/>
        <v>40.534791666666656</v>
      </c>
      <c r="I108" s="67">
        <f t="shared" si="2"/>
        <v>0.78281250000000002</v>
      </c>
      <c r="J108" s="67">
        <f t="shared" si="2"/>
        <v>0.61431578947368426</v>
      </c>
      <c r="K108" s="67">
        <f t="shared" si="2"/>
        <v>98.584479166666668</v>
      </c>
      <c r="L108" s="67">
        <f t="shared" si="2"/>
        <v>26.916562500000001</v>
      </c>
      <c r="M108" s="67">
        <f t="shared" si="2"/>
        <v>33.856666666666676</v>
      </c>
      <c r="N108" s="67">
        <f t="shared" si="2"/>
        <v>164.40416666666667</v>
      </c>
      <c r="O108" s="67">
        <f t="shared" si="2"/>
        <v>0</v>
      </c>
      <c r="P108" s="67">
        <f t="shared" si="2"/>
        <v>1.363645833333333</v>
      </c>
      <c r="Q108" s="67">
        <f t="shared" si="2"/>
        <v>26.064374999999998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38.191463971052407</v>
      </c>
      <c r="C109" s="67">
        <f t="shared" ref="C109:Q109" si="3">STDEV(C9:C104)</f>
        <v>27.2272926636028</v>
      </c>
      <c r="D109" s="67">
        <f t="shared" si="3"/>
        <v>43.22691219883292</v>
      </c>
      <c r="E109" s="67">
        <f t="shared" si="3"/>
        <v>7.4211895296568073</v>
      </c>
      <c r="F109" s="67">
        <f t="shared" si="3"/>
        <v>12.313507121068882</v>
      </c>
      <c r="G109" s="67">
        <f t="shared" si="3"/>
        <v>39.849698724344975</v>
      </c>
      <c r="H109" s="67">
        <f t="shared" si="3"/>
        <v>11.284803846362498</v>
      </c>
      <c r="I109" s="67">
        <f t="shared" si="3"/>
        <v>0.22374187724156339</v>
      </c>
      <c r="J109" s="67">
        <f t="shared" si="3"/>
        <v>0.58198057405537873</v>
      </c>
      <c r="K109" s="67">
        <f t="shared" si="3"/>
        <v>85.862796255296217</v>
      </c>
      <c r="L109" s="67">
        <f t="shared" si="3"/>
        <v>5.1264909160011216</v>
      </c>
      <c r="M109" s="67">
        <f t="shared" si="3"/>
        <v>14.406505889001131</v>
      </c>
      <c r="N109" s="67">
        <f t="shared" si="3"/>
        <v>215.96641791414396</v>
      </c>
      <c r="O109" s="67">
        <f t="shared" si="3"/>
        <v>0</v>
      </c>
      <c r="P109" s="67">
        <f t="shared" si="3"/>
        <v>0.674760183194416</v>
      </c>
      <c r="Q109" s="67">
        <f t="shared" si="3"/>
        <v>8.5407182999410196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COUNT(J9:J104)+1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215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3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11" sqref="I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26-02-2023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340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2648</v>
      </c>
      <c r="B9" s="60">
        <v>113.17</v>
      </c>
      <c r="C9" s="60">
        <v>118.1</v>
      </c>
      <c r="D9" s="60">
        <v>155.93</v>
      </c>
      <c r="E9" s="60">
        <v>6.63</v>
      </c>
      <c r="F9" s="60">
        <v>4.33</v>
      </c>
      <c r="G9" s="60">
        <v>163.38</v>
      </c>
      <c r="H9" s="60">
        <v>55.03</v>
      </c>
      <c r="I9" s="60">
        <v>1.31</v>
      </c>
      <c r="J9" s="60">
        <v>0.03</v>
      </c>
      <c r="K9" s="60">
        <v>160.33000000000001</v>
      </c>
      <c r="L9" s="60">
        <v>23.05</v>
      </c>
      <c r="M9" s="60">
        <v>49.56</v>
      </c>
      <c r="N9" s="60">
        <v>4.3</v>
      </c>
      <c r="O9" s="60">
        <v>0</v>
      </c>
      <c r="P9" s="60">
        <v>2.95</v>
      </c>
      <c r="Q9" s="60">
        <v>33.979999999999997</v>
      </c>
      <c r="R9" s="198"/>
      <c r="S9" s="198"/>
      <c r="T9" s="198"/>
      <c r="U9" s="198"/>
    </row>
    <row r="10" spans="1:21" s="12" customFormat="1" x14ac:dyDescent="0.25">
      <c r="A10" s="201" t="s">
        <v>2649</v>
      </c>
      <c r="B10" s="60">
        <v>114.54</v>
      </c>
      <c r="C10" s="60">
        <v>117.73</v>
      </c>
      <c r="D10" s="60">
        <v>156.83000000000001</v>
      </c>
      <c r="E10" s="60">
        <v>7.01</v>
      </c>
      <c r="F10" s="60">
        <v>4.38</v>
      </c>
      <c r="G10" s="60">
        <v>163.38</v>
      </c>
      <c r="H10" s="60">
        <v>55.03</v>
      </c>
      <c r="I10" s="60">
        <v>1.34</v>
      </c>
      <c r="J10" s="60">
        <v>0.28000000000000003</v>
      </c>
      <c r="K10" s="60">
        <v>19.5</v>
      </c>
      <c r="L10" s="60">
        <v>22.53</v>
      </c>
      <c r="M10" s="60">
        <v>51.51</v>
      </c>
      <c r="N10" s="60">
        <v>4.5</v>
      </c>
      <c r="O10" s="60">
        <v>0</v>
      </c>
      <c r="P10" s="60">
        <v>3.03</v>
      </c>
      <c r="Q10" s="60">
        <v>34.17</v>
      </c>
      <c r="R10" s="198"/>
      <c r="S10" s="198"/>
      <c r="T10" s="198"/>
      <c r="U10" s="198"/>
    </row>
    <row r="11" spans="1:21" s="12" customFormat="1" x14ac:dyDescent="0.25">
      <c r="A11" s="201" t="s">
        <v>2650</v>
      </c>
      <c r="B11" s="60">
        <v>115.35</v>
      </c>
      <c r="C11" s="60">
        <v>118.03</v>
      </c>
      <c r="D11" s="60">
        <v>157.63999999999999</v>
      </c>
      <c r="E11" s="60">
        <v>6.99</v>
      </c>
      <c r="F11" s="60">
        <v>4.32</v>
      </c>
      <c r="G11" s="60">
        <v>168.9</v>
      </c>
      <c r="H11" s="60">
        <v>57.06</v>
      </c>
      <c r="I11" s="60">
        <v>1.38</v>
      </c>
      <c r="J11" s="60">
        <v>0.1</v>
      </c>
      <c r="K11" s="60">
        <v>103.82</v>
      </c>
      <c r="L11" s="60">
        <v>22.38</v>
      </c>
      <c r="M11" s="60">
        <v>47.14</v>
      </c>
      <c r="N11" s="60">
        <v>4.3</v>
      </c>
      <c r="O11" s="60">
        <v>0</v>
      </c>
      <c r="P11" s="60">
        <v>3.09</v>
      </c>
      <c r="Q11" s="60">
        <v>34.15</v>
      </c>
      <c r="R11" s="198"/>
      <c r="S11" s="198"/>
      <c r="T11" s="198"/>
      <c r="U11" s="198"/>
    </row>
    <row r="12" spans="1:21" s="12" customFormat="1" x14ac:dyDescent="0.25">
      <c r="A12" s="201" t="s">
        <v>2651</v>
      </c>
      <c r="B12" s="60">
        <v>113.98</v>
      </c>
      <c r="C12" s="60">
        <v>118.4</v>
      </c>
      <c r="D12" s="60">
        <v>156.75</v>
      </c>
      <c r="E12" s="60">
        <v>7.61</v>
      </c>
      <c r="F12" s="60">
        <v>4.32</v>
      </c>
      <c r="G12" s="60">
        <v>171.53</v>
      </c>
      <c r="H12" s="60">
        <v>58.08</v>
      </c>
      <c r="I12" s="60">
        <v>1.43</v>
      </c>
      <c r="J12" s="60">
        <v>7.0000000000000007E-2</v>
      </c>
      <c r="K12" s="60">
        <v>17.68</v>
      </c>
      <c r="L12" s="60">
        <v>22.49</v>
      </c>
      <c r="M12" s="60">
        <v>46.82</v>
      </c>
      <c r="N12" s="60">
        <v>4.4000000000000004</v>
      </c>
      <c r="O12" s="60">
        <v>0</v>
      </c>
      <c r="P12" s="60">
        <v>3.12</v>
      </c>
      <c r="Q12" s="60">
        <v>34.11</v>
      </c>
      <c r="R12" s="198"/>
      <c r="S12" s="198"/>
      <c r="T12" s="198"/>
      <c r="U12" s="198"/>
    </row>
    <row r="13" spans="1:21" s="12" customFormat="1" x14ac:dyDescent="0.25">
      <c r="A13" s="201" t="s">
        <v>2652</v>
      </c>
      <c r="B13" s="60">
        <v>105.65</v>
      </c>
      <c r="C13" s="60">
        <v>116.85</v>
      </c>
      <c r="D13" s="60">
        <v>149.21</v>
      </c>
      <c r="E13" s="60">
        <v>12.56</v>
      </c>
      <c r="F13" s="60">
        <v>4.4000000000000004</v>
      </c>
      <c r="G13" s="60">
        <v>171.53</v>
      </c>
      <c r="H13" s="60">
        <v>58.08</v>
      </c>
      <c r="I13" s="60">
        <v>1.45</v>
      </c>
      <c r="J13" s="60">
        <v>0.15</v>
      </c>
      <c r="K13" s="60">
        <v>181.43</v>
      </c>
      <c r="L13" s="60">
        <v>22.19</v>
      </c>
      <c r="M13" s="60">
        <v>45.04</v>
      </c>
      <c r="N13" s="60">
        <v>4.0999999999999996</v>
      </c>
      <c r="O13" s="60">
        <v>0</v>
      </c>
      <c r="P13" s="60">
        <v>2.83</v>
      </c>
      <c r="Q13" s="60">
        <v>33.71</v>
      </c>
      <c r="R13" s="198"/>
      <c r="S13" s="198"/>
      <c r="T13" s="198"/>
      <c r="U13" s="198"/>
    </row>
    <row r="14" spans="1:21" s="12" customFormat="1" x14ac:dyDescent="0.25">
      <c r="A14" s="201" t="s">
        <v>2653</v>
      </c>
      <c r="B14" s="60">
        <v>108.41</v>
      </c>
      <c r="C14" s="60">
        <v>115.49</v>
      </c>
      <c r="D14" s="60">
        <v>150.66999999999999</v>
      </c>
      <c r="E14" s="60">
        <v>8.5299999999999994</v>
      </c>
      <c r="F14" s="60">
        <v>4.33</v>
      </c>
      <c r="G14" s="60">
        <v>171.53</v>
      </c>
      <c r="H14" s="60">
        <v>58.08</v>
      </c>
      <c r="I14" s="60">
        <v>1.44</v>
      </c>
      <c r="J14" s="60">
        <v>0.85</v>
      </c>
      <c r="K14" s="60">
        <v>156.69999999999999</v>
      </c>
      <c r="L14" s="60">
        <v>23.32</v>
      </c>
      <c r="M14" s="60">
        <v>41.72</v>
      </c>
      <c r="N14" s="60">
        <v>1.8</v>
      </c>
      <c r="O14" s="60">
        <v>0</v>
      </c>
      <c r="P14" s="60">
        <v>2.97</v>
      </c>
      <c r="Q14" s="60">
        <v>33.14</v>
      </c>
      <c r="R14" s="198"/>
      <c r="S14" s="198"/>
      <c r="T14" s="198"/>
      <c r="U14" s="198"/>
    </row>
    <row r="15" spans="1:21" s="12" customFormat="1" x14ac:dyDescent="0.25">
      <c r="A15" s="201" t="s">
        <v>2654</v>
      </c>
      <c r="B15" s="60">
        <v>107.34</v>
      </c>
      <c r="C15" s="60">
        <v>116.41</v>
      </c>
      <c r="D15" s="60">
        <v>150.32</v>
      </c>
      <c r="E15" s="60">
        <v>7.92</v>
      </c>
      <c r="F15" s="60">
        <v>4.37</v>
      </c>
      <c r="G15" s="60">
        <v>186.69</v>
      </c>
      <c r="H15" s="60">
        <v>69.92</v>
      </c>
      <c r="I15" s="60">
        <v>1.42</v>
      </c>
      <c r="J15" s="60">
        <v>0.22</v>
      </c>
      <c r="K15" s="60">
        <v>128.09</v>
      </c>
      <c r="L15" s="60">
        <v>22.68</v>
      </c>
      <c r="M15" s="60">
        <v>43.05</v>
      </c>
      <c r="N15" s="60">
        <v>4.5999999999999996</v>
      </c>
      <c r="O15" s="60">
        <v>0</v>
      </c>
      <c r="P15" s="60">
        <v>2.94</v>
      </c>
      <c r="Q15" s="60">
        <v>32.590000000000003</v>
      </c>
      <c r="R15" s="198"/>
      <c r="S15" s="198"/>
      <c r="T15" s="198"/>
      <c r="U15" s="198"/>
    </row>
    <row r="16" spans="1:21" s="12" customFormat="1" x14ac:dyDescent="0.25">
      <c r="A16" s="201" t="s">
        <v>2655</v>
      </c>
      <c r="B16" s="60">
        <v>100.79</v>
      </c>
      <c r="C16" s="60">
        <v>114.22</v>
      </c>
      <c r="D16" s="60">
        <v>143.86000000000001</v>
      </c>
      <c r="E16" s="60">
        <v>7.07</v>
      </c>
      <c r="F16" s="60">
        <v>4.3099999999999996</v>
      </c>
      <c r="G16" s="60">
        <v>194.28</v>
      </c>
      <c r="H16" s="60">
        <v>75.84</v>
      </c>
      <c r="I16" s="60">
        <v>1.41</v>
      </c>
      <c r="J16" s="60">
        <v>0.24</v>
      </c>
      <c r="K16" s="60">
        <v>6.26</v>
      </c>
      <c r="L16" s="60">
        <v>21.68</v>
      </c>
      <c r="M16" s="60">
        <v>47.54</v>
      </c>
      <c r="N16" s="60">
        <v>4.9000000000000004</v>
      </c>
      <c r="O16" s="60">
        <v>0</v>
      </c>
      <c r="P16" s="60">
        <v>2.86</v>
      </c>
      <c r="Q16" s="60">
        <v>32.56</v>
      </c>
      <c r="R16" s="198"/>
      <c r="S16" s="198"/>
      <c r="T16" s="198"/>
      <c r="U16" s="198"/>
    </row>
    <row r="17" spans="1:21" s="12" customFormat="1" x14ac:dyDescent="0.25">
      <c r="A17" s="201" t="s">
        <v>2656</v>
      </c>
      <c r="B17" s="60">
        <v>96.11</v>
      </c>
      <c r="C17" s="60">
        <v>112.12</v>
      </c>
      <c r="D17" s="60">
        <v>138.94999999999999</v>
      </c>
      <c r="E17" s="60">
        <v>6.94</v>
      </c>
      <c r="F17" s="60">
        <v>4.34</v>
      </c>
      <c r="G17" s="60">
        <v>194.28</v>
      </c>
      <c r="H17" s="60">
        <v>75.84</v>
      </c>
      <c r="I17" s="60">
        <v>1.4</v>
      </c>
      <c r="J17" s="60">
        <v>7.0000000000000007E-2</v>
      </c>
      <c r="K17" s="60">
        <v>89.38</v>
      </c>
      <c r="L17" s="60">
        <v>21.2</v>
      </c>
      <c r="M17" s="60">
        <v>49.17</v>
      </c>
      <c r="N17" s="60">
        <v>4.3</v>
      </c>
      <c r="O17" s="60">
        <v>0</v>
      </c>
      <c r="P17" s="60">
        <v>2.79</v>
      </c>
      <c r="Q17" s="60">
        <v>32.65</v>
      </c>
      <c r="R17" s="198"/>
      <c r="S17" s="198"/>
      <c r="T17" s="198"/>
      <c r="U17" s="198"/>
    </row>
    <row r="18" spans="1:21" s="12" customFormat="1" x14ac:dyDescent="0.25">
      <c r="A18" s="201" t="s">
        <v>2657</v>
      </c>
      <c r="B18" s="60">
        <v>97.6</v>
      </c>
      <c r="C18" s="60">
        <v>112.75</v>
      </c>
      <c r="D18" s="60">
        <v>140.49</v>
      </c>
      <c r="E18" s="60">
        <v>6.92</v>
      </c>
      <c r="F18" s="60">
        <v>4.3</v>
      </c>
      <c r="G18" s="60">
        <v>194.28</v>
      </c>
      <c r="H18" s="60">
        <v>75.84</v>
      </c>
      <c r="I18" s="60">
        <v>1.38</v>
      </c>
      <c r="J18" s="60">
        <v>0.11</v>
      </c>
      <c r="K18" s="60">
        <v>67.31</v>
      </c>
      <c r="L18" s="60">
        <v>21.08</v>
      </c>
      <c r="M18" s="60">
        <v>51.1</v>
      </c>
      <c r="N18" s="60">
        <v>4.5999999999999996</v>
      </c>
      <c r="O18" s="60">
        <v>0</v>
      </c>
      <c r="P18" s="60">
        <v>2.75</v>
      </c>
      <c r="Q18" s="60">
        <v>32.57</v>
      </c>
      <c r="R18" s="198"/>
      <c r="S18" s="198"/>
      <c r="T18" s="198"/>
      <c r="U18" s="198"/>
    </row>
    <row r="19" spans="1:21" s="12" customFormat="1" x14ac:dyDescent="0.25">
      <c r="A19" s="201" t="s">
        <v>2658</v>
      </c>
      <c r="B19" s="60">
        <v>92.67</v>
      </c>
      <c r="C19" s="60">
        <v>109.82</v>
      </c>
      <c r="D19" s="60">
        <v>134.91999999999999</v>
      </c>
      <c r="E19" s="60">
        <v>6.79</v>
      </c>
      <c r="F19" s="60">
        <v>4.3</v>
      </c>
      <c r="G19" s="60">
        <v>135.9</v>
      </c>
      <c r="H19" s="60">
        <v>64.56</v>
      </c>
      <c r="I19" s="60">
        <v>1.36</v>
      </c>
      <c r="J19" s="60">
        <v>0.04</v>
      </c>
      <c r="K19" s="60">
        <v>102</v>
      </c>
      <c r="L19" s="60">
        <v>20.57</v>
      </c>
      <c r="M19" s="60">
        <v>54.11</v>
      </c>
      <c r="N19" s="60">
        <v>4.3</v>
      </c>
      <c r="O19" s="60">
        <v>0</v>
      </c>
      <c r="P19" s="60">
        <v>2.69</v>
      </c>
      <c r="Q19" s="60">
        <v>32.65</v>
      </c>
      <c r="R19" s="198"/>
      <c r="S19" s="198"/>
      <c r="T19" s="198"/>
      <c r="U19" s="198"/>
    </row>
    <row r="20" spans="1:21" s="12" customFormat="1" x14ac:dyDescent="0.25">
      <c r="A20" s="201" t="s">
        <v>2659</v>
      </c>
      <c r="B20" s="60">
        <v>90.26</v>
      </c>
      <c r="C20" s="60">
        <v>109.05</v>
      </c>
      <c r="D20" s="60">
        <v>132.57</v>
      </c>
      <c r="E20" s="60">
        <v>7.09</v>
      </c>
      <c r="F20" s="60">
        <v>4.3</v>
      </c>
      <c r="G20" s="60">
        <v>106.71</v>
      </c>
      <c r="H20" s="60">
        <v>58.92</v>
      </c>
      <c r="I20" s="60">
        <v>1.36</v>
      </c>
      <c r="J20" s="60">
        <v>0.13</v>
      </c>
      <c r="K20" s="60">
        <v>75.61</v>
      </c>
      <c r="L20" s="60">
        <v>20.91</v>
      </c>
      <c r="M20" s="60">
        <v>52.34</v>
      </c>
      <c r="N20" s="60">
        <v>4</v>
      </c>
      <c r="O20" s="60">
        <v>0</v>
      </c>
      <c r="P20" s="60">
        <v>2.65</v>
      </c>
      <c r="Q20" s="60">
        <v>32.770000000000003</v>
      </c>
      <c r="R20" s="198"/>
      <c r="S20" s="198"/>
      <c r="T20" s="198"/>
      <c r="U20" s="198"/>
    </row>
    <row r="21" spans="1:21" s="12" customFormat="1" x14ac:dyDescent="0.25">
      <c r="A21" s="201" t="s">
        <v>2660</v>
      </c>
      <c r="B21" s="60">
        <v>92.35</v>
      </c>
      <c r="C21" s="60">
        <v>109.28</v>
      </c>
      <c r="D21" s="60">
        <v>134.37</v>
      </c>
      <c r="E21" s="60">
        <v>7.2</v>
      </c>
      <c r="F21" s="60">
        <v>4.3</v>
      </c>
      <c r="G21" s="60">
        <v>106.71</v>
      </c>
      <c r="H21" s="60">
        <v>58.92</v>
      </c>
      <c r="I21" s="60">
        <v>1.35</v>
      </c>
      <c r="J21" s="60">
        <v>0.24</v>
      </c>
      <c r="K21" s="60">
        <v>63.82</v>
      </c>
      <c r="L21" s="60">
        <v>20.88</v>
      </c>
      <c r="M21" s="60">
        <v>50.82</v>
      </c>
      <c r="N21" s="60">
        <v>3.7</v>
      </c>
      <c r="O21" s="60">
        <v>0</v>
      </c>
      <c r="P21" s="60">
        <v>2.62</v>
      </c>
      <c r="Q21" s="60">
        <v>33.51</v>
      </c>
      <c r="R21" s="198"/>
      <c r="S21" s="198"/>
      <c r="T21" s="198"/>
      <c r="U21" s="198"/>
    </row>
    <row r="22" spans="1:21" s="12" customFormat="1" x14ac:dyDescent="0.25">
      <c r="A22" s="201" t="s">
        <v>2661</v>
      </c>
      <c r="B22" s="60">
        <v>90.81</v>
      </c>
      <c r="C22" s="60">
        <v>108.94</v>
      </c>
      <c r="D22" s="60">
        <v>132.94</v>
      </c>
      <c r="E22" s="60">
        <v>8.1</v>
      </c>
      <c r="F22" s="60">
        <v>4.3</v>
      </c>
      <c r="G22" s="60">
        <v>106.71</v>
      </c>
      <c r="H22" s="60">
        <v>58.92</v>
      </c>
      <c r="I22" s="60">
        <v>1.34</v>
      </c>
      <c r="J22" s="60">
        <v>0.11</v>
      </c>
      <c r="K22" s="60">
        <v>55.83</v>
      </c>
      <c r="L22" s="60">
        <v>21.26</v>
      </c>
      <c r="M22" s="60">
        <v>48.65</v>
      </c>
      <c r="N22" s="60">
        <v>4.0999999999999996</v>
      </c>
      <c r="O22" s="60">
        <v>0</v>
      </c>
      <c r="P22" s="60">
        <v>2.62</v>
      </c>
      <c r="Q22" s="60">
        <v>33.700000000000003</v>
      </c>
      <c r="R22" s="198"/>
      <c r="S22" s="198"/>
      <c r="T22" s="198"/>
      <c r="U22" s="198"/>
    </row>
    <row r="23" spans="1:21" s="12" customFormat="1" x14ac:dyDescent="0.25">
      <c r="A23" s="201" t="s">
        <v>2662</v>
      </c>
      <c r="B23" s="60">
        <v>88.45</v>
      </c>
      <c r="C23" s="60">
        <v>108.28</v>
      </c>
      <c r="D23" s="60">
        <v>130.69</v>
      </c>
      <c r="E23" s="60">
        <v>8.8800000000000008</v>
      </c>
      <c r="F23" s="60">
        <v>4.3</v>
      </c>
      <c r="G23" s="60">
        <v>165.13</v>
      </c>
      <c r="H23" s="60">
        <v>67.959999999999994</v>
      </c>
      <c r="I23" s="60">
        <v>1.34</v>
      </c>
      <c r="J23" s="60">
        <v>0.16</v>
      </c>
      <c r="K23" s="60">
        <v>81.47</v>
      </c>
      <c r="L23" s="60">
        <v>21.62</v>
      </c>
      <c r="M23" s="60">
        <v>45.55</v>
      </c>
      <c r="N23" s="60">
        <v>4.0999999999999996</v>
      </c>
      <c r="O23" s="60">
        <v>0</v>
      </c>
      <c r="P23" s="60">
        <v>2.62</v>
      </c>
      <c r="Q23" s="60">
        <v>33.47</v>
      </c>
      <c r="R23" s="198"/>
      <c r="S23" s="198"/>
      <c r="T23" s="198"/>
      <c r="U23" s="198"/>
    </row>
    <row r="24" spans="1:21" s="12" customFormat="1" x14ac:dyDescent="0.25">
      <c r="A24" s="201" t="s">
        <v>2663</v>
      </c>
      <c r="B24" s="60">
        <v>85.68</v>
      </c>
      <c r="C24" s="60">
        <v>107.97</v>
      </c>
      <c r="D24" s="60">
        <v>128.29</v>
      </c>
      <c r="E24" s="60">
        <v>3.22</v>
      </c>
      <c r="F24" s="60">
        <v>4.3099999999999996</v>
      </c>
      <c r="G24" s="60">
        <v>194.34</v>
      </c>
      <c r="H24" s="60">
        <v>72.48</v>
      </c>
      <c r="I24" s="60">
        <v>1.3</v>
      </c>
      <c r="J24" s="60">
        <v>7.0000000000000007E-2</v>
      </c>
      <c r="K24" s="60">
        <v>167.47</v>
      </c>
      <c r="L24" s="60">
        <v>21.63</v>
      </c>
      <c r="M24" s="60">
        <v>45.53</v>
      </c>
      <c r="N24" s="60">
        <v>3.9</v>
      </c>
      <c r="O24" s="60">
        <v>0</v>
      </c>
      <c r="P24" s="60">
        <v>2.64</v>
      </c>
      <c r="Q24" s="60">
        <v>33.29</v>
      </c>
      <c r="R24" s="198"/>
      <c r="S24" s="198"/>
      <c r="T24" s="198"/>
      <c r="U24" s="198"/>
    </row>
    <row r="25" spans="1:21" s="12" customFormat="1" x14ac:dyDescent="0.25">
      <c r="A25" s="201" t="s">
        <v>2664</v>
      </c>
      <c r="B25" s="60">
        <v>82.96</v>
      </c>
      <c r="C25" s="60">
        <v>107.53</v>
      </c>
      <c r="D25" s="60">
        <v>125.87</v>
      </c>
      <c r="E25" s="60">
        <v>7.48</v>
      </c>
      <c r="F25" s="60">
        <v>4.3899999999999997</v>
      </c>
      <c r="G25" s="60">
        <v>194.34</v>
      </c>
      <c r="H25" s="60">
        <v>72.48</v>
      </c>
      <c r="I25" s="60">
        <v>1.27</v>
      </c>
      <c r="J25" s="60">
        <v>0.09</v>
      </c>
      <c r="K25" s="60">
        <v>53.76</v>
      </c>
      <c r="L25" s="60">
        <v>21.29</v>
      </c>
      <c r="M25" s="60">
        <v>46.88</v>
      </c>
      <c r="N25" s="60">
        <v>4</v>
      </c>
      <c r="O25" s="60">
        <v>0</v>
      </c>
      <c r="P25" s="60">
        <v>2.68</v>
      </c>
      <c r="Q25" s="60">
        <v>33.200000000000003</v>
      </c>
      <c r="R25" s="198"/>
      <c r="S25" s="198"/>
      <c r="T25" s="198"/>
      <c r="U25" s="198"/>
    </row>
    <row r="26" spans="1:21" s="12" customFormat="1" x14ac:dyDescent="0.25">
      <c r="A26" s="201" t="s">
        <v>2665</v>
      </c>
      <c r="B26" s="60">
        <v>80.540000000000006</v>
      </c>
      <c r="C26" s="60">
        <v>107.58</v>
      </c>
      <c r="D26" s="60">
        <v>123.95</v>
      </c>
      <c r="E26" s="60">
        <v>6.86</v>
      </c>
      <c r="F26" s="60">
        <v>4.91</v>
      </c>
      <c r="G26" s="60">
        <v>194.34</v>
      </c>
      <c r="H26" s="60">
        <v>72.48</v>
      </c>
      <c r="I26" s="60">
        <v>1.1499999999999999</v>
      </c>
      <c r="J26" s="60">
        <v>0.21</v>
      </c>
      <c r="K26" s="60">
        <v>44.71</v>
      </c>
      <c r="L26" s="60">
        <v>21.33</v>
      </c>
      <c r="M26" s="60">
        <v>43.74</v>
      </c>
      <c r="N26" s="60">
        <v>4.2</v>
      </c>
      <c r="O26" s="60">
        <v>0</v>
      </c>
      <c r="P26" s="60">
        <v>2.67</v>
      </c>
      <c r="Q26" s="60">
        <v>32.94</v>
      </c>
      <c r="R26" s="198"/>
      <c r="S26" s="198"/>
      <c r="T26" s="198"/>
      <c r="U26" s="198"/>
    </row>
    <row r="27" spans="1:21" s="12" customFormat="1" x14ac:dyDescent="0.25">
      <c r="A27" s="201" t="s">
        <v>2666</v>
      </c>
      <c r="B27" s="60">
        <v>76.86</v>
      </c>
      <c r="C27" s="60">
        <v>106.5</v>
      </c>
      <c r="D27" s="60">
        <v>120.41</v>
      </c>
      <c r="E27" s="60">
        <v>6.48</v>
      </c>
      <c r="F27" s="60">
        <v>4.67</v>
      </c>
      <c r="G27" s="60">
        <v>205.62</v>
      </c>
      <c r="H27" s="60">
        <v>79.42</v>
      </c>
      <c r="I27" s="60">
        <v>1.1499999999999999</v>
      </c>
      <c r="J27" s="60">
        <v>0.22</v>
      </c>
      <c r="K27" s="60">
        <v>63.49</v>
      </c>
      <c r="L27" s="60">
        <v>21.04</v>
      </c>
      <c r="M27" s="60">
        <v>44.04</v>
      </c>
      <c r="N27" s="60">
        <v>3.9</v>
      </c>
      <c r="O27" s="60">
        <v>0</v>
      </c>
      <c r="P27" s="60">
        <v>2.64</v>
      </c>
      <c r="Q27" s="60">
        <v>32.47</v>
      </c>
      <c r="R27" s="198"/>
      <c r="S27" s="198"/>
      <c r="T27" s="198"/>
      <c r="U27" s="198"/>
    </row>
    <row r="28" spans="1:21" s="12" customFormat="1" x14ac:dyDescent="0.25">
      <c r="A28" s="201" t="s">
        <v>2667</v>
      </c>
      <c r="B28" s="60">
        <v>73.58</v>
      </c>
      <c r="C28" s="60">
        <v>106.23</v>
      </c>
      <c r="D28" s="60">
        <v>117.64</v>
      </c>
      <c r="E28" s="60">
        <v>6.08</v>
      </c>
      <c r="F28" s="60">
        <v>4.66</v>
      </c>
      <c r="G28" s="60">
        <v>210.99</v>
      </c>
      <c r="H28" s="60">
        <v>82.9</v>
      </c>
      <c r="I28" s="60">
        <v>1.08</v>
      </c>
      <c r="J28" s="60">
        <v>0.21</v>
      </c>
      <c r="K28" s="60">
        <v>97.57</v>
      </c>
      <c r="L28" s="60">
        <v>21.53</v>
      </c>
      <c r="M28" s="60">
        <v>39.92</v>
      </c>
      <c r="N28" s="60">
        <v>3.8</v>
      </c>
      <c r="O28" s="60">
        <v>0</v>
      </c>
      <c r="P28" s="60">
        <v>2.58</v>
      </c>
      <c r="Q28" s="60">
        <v>31.7</v>
      </c>
      <c r="R28" s="198"/>
      <c r="S28" s="198"/>
      <c r="T28" s="198"/>
      <c r="U28" s="198"/>
    </row>
    <row r="29" spans="1:21" s="12" customFormat="1" x14ac:dyDescent="0.25">
      <c r="A29" s="201" t="s">
        <v>2668</v>
      </c>
      <c r="B29" s="60">
        <v>69.05</v>
      </c>
      <c r="C29" s="60">
        <v>106.58</v>
      </c>
      <c r="D29" s="60">
        <v>114.19</v>
      </c>
      <c r="E29" s="60">
        <v>6.03</v>
      </c>
      <c r="F29" s="60">
        <v>4.8600000000000003</v>
      </c>
      <c r="G29" s="60">
        <v>210.99</v>
      </c>
      <c r="H29" s="60">
        <v>82.9</v>
      </c>
      <c r="I29" s="60">
        <v>1.01</v>
      </c>
      <c r="J29" s="60">
        <v>0.36</v>
      </c>
      <c r="K29" s="60">
        <v>97.84</v>
      </c>
      <c r="L29" s="60">
        <v>21.71</v>
      </c>
      <c r="M29" s="60">
        <v>38.590000000000003</v>
      </c>
      <c r="N29" s="60">
        <v>3.5</v>
      </c>
      <c r="O29" s="60">
        <v>0</v>
      </c>
      <c r="P29" s="60">
        <v>2.4900000000000002</v>
      </c>
      <c r="Q29" s="60">
        <v>31.27</v>
      </c>
      <c r="R29" s="198"/>
      <c r="S29" s="198"/>
      <c r="T29" s="198"/>
      <c r="U29" s="198"/>
    </row>
    <row r="30" spans="1:21" s="12" customFormat="1" x14ac:dyDescent="0.25">
      <c r="A30" s="201" t="s">
        <v>2669</v>
      </c>
      <c r="B30" s="60">
        <v>66.16</v>
      </c>
      <c r="C30" s="60">
        <v>105.69</v>
      </c>
      <c r="D30" s="60">
        <v>111.38</v>
      </c>
      <c r="E30" s="60">
        <v>5.51</v>
      </c>
      <c r="F30" s="60">
        <v>4.79</v>
      </c>
      <c r="G30" s="60">
        <v>210.99</v>
      </c>
      <c r="H30" s="60">
        <v>82.9</v>
      </c>
      <c r="I30" s="60">
        <v>1.06</v>
      </c>
      <c r="J30" s="60">
        <v>0.63</v>
      </c>
      <c r="K30" s="60">
        <v>146.37</v>
      </c>
      <c r="L30" s="60">
        <v>22.18</v>
      </c>
      <c r="M30" s="60">
        <v>38.409999999999997</v>
      </c>
      <c r="N30" s="60">
        <v>2.8</v>
      </c>
      <c r="O30" s="60">
        <v>0</v>
      </c>
      <c r="P30" s="60">
        <v>2.4300000000000002</v>
      </c>
      <c r="Q30" s="60">
        <v>31.14</v>
      </c>
      <c r="R30" s="198"/>
      <c r="S30" s="198"/>
      <c r="T30" s="198"/>
      <c r="U30" s="198"/>
    </row>
    <row r="31" spans="1:21" s="12" customFormat="1" x14ac:dyDescent="0.25">
      <c r="A31" s="201" t="s">
        <v>2670</v>
      </c>
      <c r="B31" s="60">
        <v>64.180000000000007</v>
      </c>
      <c r="C31" s="60">
        <v>105.88</v>
      </c>
      <c r="D31" s="60">
        <v>109.9</v>
      </c>
      <c r="E31" s="60">
        <v>5.6</v>
      </c>
      <c r="F31" s="60">
        <v>4.59</v>
      </c>
      <c r="G31" s="60">
        <v>129.22999999999999</v>
      </c>
      <c r="H31" s="60">
        <v>70.31</v>
      </c>
      <c r="I31" s="60">
        <v>1.01</v>
      </c>
      <c r="J31" s="60">
        <v>0.4</v>
      </c>
      <c r="K31" s="60">
        <v>219.89</v>
      </c>
      <c r="L31" s="60">
        <v>22.03</v>
      </c>
      <c r="M31" s="60">
        <v>40.46</v>
      </c>
      <c r="N31" s="60">
        <v>4.2</v>
      </c>
      <c r="O31" s="60">
        <v>0</v>
      </c>
      <c r="P31" s="60">
        <v>2.36</v>
      </c>
      <c r="Q31" s="60">
        <v>30.94</v>
      </c>
      <c r="R31" s="198"/>
      <c r="S31" s="198"/>
      <c r="T31" s="198"/>
      <c r="U31" s="198"/>
    </row>
    <row r="32" spans="1:21" s="12" customFormat="1" x14ac:dyDescent="0.25">
      <c r="A32" s="201" t="s">
        <v>2671</v>
      </c>
      <c r="B32" s="60">
        <v>63.31</v>
      </c>
      <c r="C32" s="60">
        <v>106.22</v>
      </c>
      <c r="D32" s="60">
        <v>109.39</v>
      </c>
      <c r="E32" s="60">
        <v>5.36</v>
      </c>
      <c r="F32" s="60">
        <v>4.3499999999999996</v>
      </c>
      <c r="G32" s="60">
        <v>88.35</v>
      </c>
      <c r="H32" s="60">
        <v>64.02</v>
      </c>
      <c r="I32" s="60">
        <v>0.97</v>
      </c>
      <c r="J32" s="60">
        <v>0.11</v>
      </c>
      <c r="K32" s="60">
        <v>231.27</v>
      </c>
      <c r="L32" s="60">
        <v>20.48</v>
      </c>
      <c r="M32" s="60">
        <v>55.95</v>
      </c>
      <c r="N32" s="60">
        <v>5.4</v>
      </c>
      <c r="O32" s="60">
        <v>0</v>
      </c>
      <c r="P32" s="60">
        <v>2.27</v>
      </c>
      <c r="Q32" s="60">
        <v>30.81</v>
      </c>
      <c r="R32" s="198"/>
      <c r="S32" s="198"/>
      <c r="T32" s="198"/>
      <c r="U32" s="198"/>
    </row>
    <row r="33" spans="1:21" s="12" customFormat="1" x14ac:dyDescent="0.25">
      <c r="A33" s="201" t="s">
        <v>2672</v>
      </c>
      <c r="B33" s="60">
        <v>63.17</v>
      </c>
      <c r="C33" s="60">
        <v>105.57</v>
      </c>
      <c r="D33" s="60">
        <v>108.92</v>
      </c>
      <c r="E33" s="60">
        <v>5.01</v>
      </c>
      <c r="F33" s="60">
        <v>4.3099999999999996</v>
      </c>
      <c r="G33" s="60">
        <v>88.35</v>
      </c>
      <c r="H33" s="60">
        <v>64.02</v>
      </c>
      <c r="I33" s="60">
        <v>0.96</v>
      </c>
      <c r="J33" s="60">
        <v>0.13</v>
      </c>
      <c r="K33" s="60">
        <v>333.09</v>
      </c>
      <c r="L33" s="60">
        <v>19.350000000000001</v>
      </c>
      <c r="M33" s="60">
        <v>61.91</v>
      </c>
      <c r="N33" s="60">
        <v>5.6</v>
      </c>
      <c r="O33" s="60">
        <v>0</v>
      </c>
      <c r="P33" s="60">
        <v>2.2400000000000002</v>
      </c>
      <c r="Q33" s="60">
        <v>30.85</v>
      </c>
      <c r="R33" s="198"/>
      <c r="S33" s="198"/>
      <c r="T33" s="198"/>
      <c r="U33" s="198"/>
    </row>
    <row r="34" spans="1:21" s="12" customFormat="1" x14ac:dyDescent="0.25">
      <c r="A34" s="201" t="s">
        <v>2673</v>
      </c>
      <c r="B34" s="60">
        <v>65.95</v>
      </c>
      <c r="C34" s="60">
        <v>105.03</v>
      </c>
      <c r="D34" s="60">
        <v>110.86</v>
      </c>
      <c r="E34" s="60">
        <v>4.6500000000000004</v>
      </c>
      <c r="F34" s="60">
        <v>4.32</v>
      </c>
      <c r="G34" s="60">
        <v>88.35</v>
      </c>
      <c r="H34" s="60">
        <v>64.02</v>
      </c>
      <c r="I34" s="60">
        <v>0.95</v>
      </c>
      <c r="J34" s="60">
        <v>0.08</v>
      </c>
      <c r="K34" s="60">
        <v>310.66000000000003</v>
      </c>
      <c r="L34" s="60">
        <v>18.93</v>
      </c>
      <c r="M34" s="60">
        <v>64.349999999999994</v>
      </c>
      <c r="N34" s="60">
        <v>8.6999999999999993</v>
      </c>
      <c r="O34" s="60">
        <v>0</v>
      </c>
      <c r="P34" s="60">
        <v>2.21</v>
      </c>
      <c r="Q34" s="60">
        <v>30.86</v>
      </c>
      <c r="R34" s="198"/>
      <c r="S34" s="198"/>
      <c r="T34" s="198"/>
      <c r="U34" s="198"/>
    </row>
    <row r="35" spans="1:21" s="12" customFormat="1" x14ac:dyDescent="0.25">
      <c r="A35" s="201" t="s">
        <v>2674</v>
      </c>
      <c r="B35" s="60">
        <v>69.39</v>
      </c>
      <c r="C35" s="60">
        <v>104.46</v>
      </c>
      <c r="D35" s="60">
        <v>113.3</v>
      </c>
      <c r="E35" s="60">
        <v>4.54</v>
      </c>
      <c r="F35" s="60">
        <v>4.33</v>
      </c>
      <c r="G35" s="60">
        <v>122.85</v>
      </c>
      <c r="H35" s="60">
        <v>57.8</v>
      </c>
      <c r="I35" s="60">
        <v>0.95</v>
      </c>
      <c r="J35" s="60">
        <v>0.03</v>
      </c>
      <c r="K35" s="60">
        <v>32.71</v>
      </c>
      <c r="L35" s="60">
        <v>18.899999999999999</v>
      </c>
      <c r="M35" s="60">
        <v>64.98</v>
      </c>
      <c r="N35" s="60">
        <v>18.899999999999999</v>
      </c>
      <c r="O35" s="60">
        <v>0</v>
      </c>
      <c r="P35" s="60">
        <v>2.19</v>
      </c>
      <c r="Q35" s="60">
        <v>31.64</v>
      </c>
      <c r="R35" s="198"/>
      <c r="S35" s="198"/>
      <c r="T35" s="198"/>
      <c r="U35" s="198"/>
    </row>
    <row r="36" spans="1:21" s="12" customFormat="1" x14ac:dyDescent="0.25">
      <c r="A36" s="201" t="s">
        <v>2675</v>
      </c>
      <c r="B36" s="60">
        <v>72.510000000000005</v>
      </c>
      <c r="C36" s="60">
        <v>103.86</v>
      </c>
      <c r="D36" s="60">
        <v>115.46</v>
      </c>
      <c r="E36" s="60">
        <v>4.9400000000000004</v>
      </c>
      <c r="F36" s="60">
        <v>4.34</v>
      </c>
      <c r="G36" s="60">
        <v>140.11000000000001</v>
      </c>
      <c r="H36" s="60">
        <v>54.69</v>
      </c>
      <c r="I36" s="60">
        <v>0.96</v>
      </c>
      <c r="J36" s="60">
        <v>0.1</v>
      </c>
      <c r="K36" s="60">
        <v>261.45</v>
      </c>
      <c r="L36" s="60">
        <v>19.309999999999999</v>
      </c>
      <c r="M36" s="60">
        <v>63.19</v>
      </c>
      <c r="N36" s="60">
        <v>35.9</v>
      </c>
      <c r="O36" s="60">
        <v>0</v>
      </c>
      <c r="P36" s="60">
        <v>2.16</v>
      </c>
      <c r="Q36" s="60">
        <v>32.450000000000003</v>
      </c>
      <c r="R36" s="198"/>
      <c r="S36" s="198"/>
      <c r="T36" s="198"/>
      <c r="U36" s="198"/>
    </row>
    <row r="37" spans="1:21" s="12" customFormat="1" x14ac:dyDescent="0.25">
      <c r="A37" s="201" t="s">
        <v>2676</v>
      </c>
      <c r="B37" s="60">
        <v>73.94</v>
      </c>
      <c r="C37" s="60">
        <v>103.36</v>
      </c>
      <c r="D37" s="60">
        <v>116.33</v>
      </c>
      <c r="E37" s="60">
        <v>4.7699999999999996</v>
      </c>
      <c r="F37" s="60">
        <v>4.3099999999999996</v>
      </c>
      <c r="G37" s="60">
        <v>140.11000000000001</v>
      </c>
      <c r="H37" s="60">
        <v>54.69</v>
      </c>
      <c r="I37" s="60">
        <v>0.96</v>
      </c>
      <c r="J37" s="60">
        <v>0.14000000000000001</v>
      </c>
      <c r="K37" s="60">
        <v>239.69</v>
      </c>
      <c r="L37" s="60">
        <v>20.54</v>
      </c>
      <c r="M37" s="60">
        <v>59.32</v>
      </c>
      <c r="N37" s="60">
        <v>83.8</v>
      </c>
      <c r="O37" s="60">
        <v>0</v>
      </c>
      <c r="P37" s="60">
        <v>2.0699999999999998</v>
      </c>
      <c r="Q37" s="60">
        <v>32.69</v>
      </c>
      <c r="R37" s="198"/>
      <c r="S37" s="198"/>
      <c r="T37" s="198"/>
      <c r="U37" s="198"/>
    </row>
    <row r="38" spans="1:21" s="12" customFormat="1" x14ac:dyDescent="0.25">
      <c r="A38" s="201" t="s">
        <v>2677</v>
      </c>
      <c r="B38" s="60">
        <v>74.92</v>
      </c>
      <c r="C38" s="60">
        <v>103.2</v>
      </c>
      <c r="D38" s="60">
        <v>117.04</v>
      </c>
      <c r="E38" s="60">
        <v>5.19</v>
      </c>
      <c r="F38" s="60">
        <v>4.3</v>
      </c>
      <c r="G38" s="60">
        <v>140.11000000000001</v>
      </c>
      <c r="H38" s="60">
        <v>54.69</v>
      </c>
      <c r="I38" s="60">
        <v>0.95</v>
      </c>
      <c r="J38" s="60">
        <v>0.01</v>
      </c>
      <c r="K38" s="60">
        <v>176.04</v>
      </c>
      <c r="L38" s="60">
        <v>22.54</v>
      </c>
      <c r="M38" s="60">
        <v>53.97</v>
      </c>
      <c r="N38" s="60">
        <v>124.8</v>
      </c>
      <c r="O38" s="60">
        <v>0</v>
      </c>
      <c r="P38" s="60">
        <v>2.1</v>
      </c>
      <c r="Q38" s="60">
        <v>32.799999999999997</v>
      </c>
      <c r="R38" s="198"/>
      <c r="S38" s="198"/>
      <c r="T38" s="198"/>
      <c r="U38" s="198"/>
    </row>
    <row r="39" spans="1:21" s="12" customFormat="1" x14ac:dyDescent="0.25">
      <c r="A39" s="201" t="s">
        <v>2678</v>
      </c>
      <c r="B39" s="60">
        <v>75.650000000000006</v>
      </c>
      <c r="C39" s="60">
        <v>103.9</v>
      </c>
      <c r="D39" s="60">
        <v>118.01</v>
      </c>
      <c r="E39" s="60">
        <v>4.75</v>
      </c>
      <c r="F39" s="60">
        <v>4.3</v>
      </c>
      <c r="G39" s="60">
        <v>151.47</v>
      </c>
      <c r="H39" s="60">
        <v>59.2</v>
      </c>
      <c r="I39" s="60">
        <v>0.95</v>
      </c>
      <c r="J39" s="60">
        <v>0.33</v>
      </c>
      <c r="K39" s="60">
        <v>188.02</v>
      </c>
      <c r="L39" s="60">
        <v>22.9</v>
      </c>
      <c r="M39" s="60">
        <v>54.35</v>
      </c>
      <c r="N39" s="60">
        <v>167.1</v>
      </c>
      <c r="O39" s="60">
        <v>0</v>
      </c>
      <c r="P39" s="60">
        <v>2.09</v>
      </c>
      <c r="Q39" s="60">
        <v>32.75</v>
      </c>
      <c r="R39" s="198"/>
      <c r="S39" s="198"/>
      <c r="T39" s="198"/>
      <c r="U39" s="198"/>
    </row>
    <row r="40" spans="1:21" s="12" customFormat="1" x14ac:dyDescent="0.25">
      <c r="A40" s="201" t="s">
        <v>2679</v>
      </c>
      <c r="B40" s="60">
        <v>74.05</v>
      </c>
      <c r="C40" s="60">
        <v>105.01</v>
      </c>
      <c r="D40" s="60">
        <v>117.33</v>
      </c>
      <c r="E40" s="60">
        <v>3.04</v>
      </c>
      <c r="F40" s="60">
        <v>4.3099999999999996</v>
      </c>
      <c r="G40" s="60">
        <v>157.16</v>
      </c>
      <c r="H40" s="60">
        <v>61.45</v>
      </c>
      <c r="I40" s="60">
        <v>0.94</v>
      </c>
      <c r="J40" s="60">
        <v>0.6</v>
      </c>
      <c r="K40" s="60">
        <v>175.34</v>
      </c>
      <c r="L40" s="60">
        <v>23.17</v>
      </c>
      <c r="M40" s="60">
        <v>53.57</v>
      </c>
      <c r="N40" s="60">
        <v>210.1</v>
      </c>
      <c r="O40" s="60">
        <v>0</v>
      </c>
      <c r="P40" s="60">
        <v>2.08</v>
      </c>
      <c r="Q40" s="60">
        <v>32.57</v>
      </c>
      <c r="R40" s="198"/>
      <c r="S40" s="198"/>
      <c r="T40" s="198"/>
      <c r="U40" s="198"/>
    </row>
    <row r="41" spans="1:21" s="12" customFormat="1" x14ac:dyDescent="0.25">
      <c r="A41" s="201" t="s">
        <v>2680</v>
      </c>
      <c r="B41" s="60">
        <v>71.099999999999994</v>
      </c>
      <c r="C41" s="60">
        <v>106.5</v>
      </c>
      <c r="D41" s="60">
        <v>115.79</v>
      </c>
      <c r="E41" s="60">
        <v>4.78</v>
      </c>
      <c r="F41" s="60">
        <v>4.3</v>
      </c>
      <c r="G41" s="60">
        <v>157.16</v>
      </c>
      <c r="H41" s="60">
        <v>61.45</v>
      </c>
      <c r="I41" s="60">
        <v>0.94</v>
      </c>
      <c r="J41" s="60">
        <v>0.39</v>
      </c>
      <c r="K41" s="60">
        <v>217.16</v>
      </c>
      <c r="L41" s="60">
        <v>23.81</v>
      </c>
      <c r="M41" s="60">
        <v>48.17</v>
      </c>
      <c r="N41" s="60">
        <v>245.8</v>
      </c>
      <c r="O41" s="60">
        <v>0</v>
      </c>
      <c r="P41" s="60">
        <v>2.0499999999999998</v>
      </c>
      <c r="Q41" s="60">
        <v>32.340000000000003</v>
      </c>
      <c r="R41" s="198"/>
      <c r="S41" s="198"/>
      <c r="T41" s="198"/>
      <c r="U41" s="198"/>
    </row>
    <row r="42" spans="1:21" s="12" customFormat="1" x14ac:dyDescent="0.25">
      <c r="A42" s="201" t="s">
        <v>2681</v>
      </c>
      <c r="B42" s="60">
        <v>66.959999999999994</v>
      </c>
      <c r="C42" s="60">
        <v>108.16</v>
      </c>
      <c r="D42" s="60">
        <v>113.39</v>
      </c>
      <c r="E42" s="60">
        <v>5.31</v>
      </c>
      <c r="F42" s="60">
        <v>4.3</v>
      </c>
      <c r="G42" s="60">
        <v>157.16</v>
      </c>
      <c r="H42" s="60">
        <v>61.45</v>
      </c>
      <c r="I42" s="60">
        <v>0.94</v>
      </c>
      <c r="J42" s="60">
        <v>0.33</v>
      </c>
      <c r="K42" s="60">
        <v>169.48</v>
      </c>
      <c r="L42" s="60">
        <v>24.77</v>
      </c>
      <c r="M42" s="60">
        <v>44.79</v>
      </c>
      <c r="N42" s="60">
        <v>285.60000000000002</v>
      </c>
      <c r="O42" s="60">
        <v>0</v>
      </c>
      <c r="P42" s="60">
        <v>2.02</v>
      </c>
      <c r="Q42" s="60">
        <v>31.36</v>
      </c>
      <c r="R42" s="198"/>
      <c r="S42" s="198"/>
      <c r="T42" s="198"/>
      <c r="U42" s="198"/>
    </row>
    <row r="43" spans="1:21" s="12" customFormat="1" x14ac:dyDescent="0.25">
      <c r="A43" s="201" t="s">
        <v>2682</v>
      </c>
      <c r="B43" s="60">
        <v>64.209999999999994</v>
      </c>
      <c r="C43" s="60">
        <v>110.17</v>
      </c>
      <c r="D43" s="60">
        <v>112.29</v>
      </c>
      <c r="E43" s="60">
        <v>4.9000000000000004</v>
      </c>
      <c r="F43" s="60">
        <v>4.3099999999999996</v>
      </c>
      <c r="G43" s="60">
        <v>147.69999999999999</v>
      </c>
      <c r="H43" s="60">
        <v>62.58</v>
      </c>
      <c r="I43" s="60">
        <v>0.92</v>
      </c>
      <c r="J43" s="60">
        <v>0.32</v>
      </c>
      <c r="K43" s="60">
        <v>352.43</v>
      </c>
      <c r="L43" s="60">
        <v>28.08</v>
      </c>
      <c r="M43" s="60">
        <v>37.200000000000003</v>
      </c>
      <c r="N43" s="60">
        <v>328.6</v>
      </c>
      <c r="O43" s="60">
        <v>0</v>
      </c>
      <c r="P43" s="60">
        <v>2.0099999999999998</v>
      </c>
      <c r="Q43" s="60">
        <v>30.61</v>
      </c>
      <c r="R43" s="198"/>
      <c r="S43" s="198"/>
      <c r="T43" s="198"/>
      <c r="U43" s="198"/>
    </row>
    <row r="44" spans="1:21" s="12" customFormat="1" x14ac:dyDescent="0.25">
      <c r="A44" s="201" t="s">
        <v>2683</v>
      </c>
      <c r="B44" s="60">
        <v>61.11</v>
      </c>
      <c r="C44" s="60">
        <v>111.62</v>
      </c>
      <c r="D44" s="60">
        <v>110.61</v>
      </c>
      <c r="E44" s="60">
        <v>5.18</v>
      </c>
      <c r="F44" s="60">
        <v>4.75</v>
      </c>
      <c r="G44" s="60">
        <v>143.21</v>
      </c>
      <c r="H44" s="60">
        <v>63.15</v>
      </c>
      <c r="I44" s="60">
        <v>0.9</v>
      </c>
      <c r="J44" s="60">
        <v>0.53</v>
      </c>
      <c r="K44" s="60">
        <v>6.96</v>
      </c>
      <c r="L44" s="60">
        <v>31.03</v>
      </c>
      <c r="M44" s="60">
        <v>30.08</v>
      </c>
      <c r="N44" s="60">
        <v>386</v>
      </c>
      <c r="O44" s="60">
        <v>0</v>
      </c>
      <c r="P44" s="60">
        <v>1.99</v>
      </c>
      <c r="Q44" s="60">
        <v>30.55</v>
      </c>
      <c r="R44" s="198"/>
      <c r="S44" s="198"/>
      <c r="T44" s="198"/>
      <c r="U44" s="198"/>
    </row>
    <row r="45" spans="1:21" s="12" customFormat="1" x14ac:dyDescent="0.25">
      <c r="A45" s="201" t="s">
        <v>2684</v>
      </c>
      <c r="B45" s="60">
        <v>55.94</v>
      </c>
      <c r="C45" s="60">
        <v>113.26</v>
      </c>
      <c r="D45" s="60">
        <v>107.36</v>
      </c>
      <c r="E45" s="60">
        <v>6.44</v>
      </c>
      <c r="F45" s="60">
        <v>5.9</v>
      </c>
      <c r="G45" s="60">
        <v>143.21</v>
      </c>
      <c r="H45" s="60">
        <v>63.15</v>
      </c>
      <c r="I45" s="60">
        <v>0.9</v>
      </c>
      <c r="J45" s="60">
        <v>0.42</v>
      </c>
      <c r="K45" s="60">
        <v>81.99</v>
      </c>
      <c r="L45" s="60">
        <v>30.31</v>
      </c>
      <c r="M45" s="60">
        <v>26.23</v>
      </c>
      <c r="N45" s="60">
        <v>448.7</v>
      </c>
      <c r="O45" s="60">
        <v>0</v>
      </c>
      <c r="P45" s="60">
        <v>1.96</v>
      </c>
      <c r="Q45" s="60">
        <v>30.93</v>
      </c>
      <c r="R45" s="198"/>
      <c r="S45" s="198"/>
      <c r="T45" s="198"/>
      <c r="U45" s="198"/>
    </row>
    <row r="46" spans="1:21" s="12" customFormat="1" x14ac:dyDescent="0.25">
      <c r="A46" s="201" t="s">
        <v>2685</v>
      </c>
      <c r="B46" s="60">
        <v>52.51</v>
      </c>
      <c r="C46" s="60">
        <v>113.64</v>
      </c>
      <c r="D46" s="60">
        <v>104.82</v>
      </c>
      <c r="E46" s="60">
        <v>6.02</v>
      </c>
      <c r="F46" s="60">
        <v>6.29</v>
      </c>
      <c r="G46" s="60">
        <v>143.21</v>
      </c>
      <c r="H46" s="60">
        <v>63.15</v>
      </c>
      <c r="I46" s="60">
        <v>0.89</v>
      </c>
      <c r="J46" s="60">
        <v>0.77</v>
      </c>
      <c r="K46" s="60">
        <v>97.37</v>
      </c>
      <c r="L46" s="60">
        <v>29.4</v>
      </c>
      <c r="M46" s="60">
        <v>26.32</v>
      </c>
      <c r="N46" s="60">
        <v>490.2</v>
      </c>
      <c r="O46" s="60">
        <v>0</v>
      </c>
      <c r="P46" s="60">
        <v>1.9</v>
      </c>
      <c r="Q46" s="60">
        <v>31.14</v>
      </c>
      <c r="R46" s="198"/>
      <c r="S46" s="198"/>
      <c r="T46" s="198"/>
      <c r="U46" s="198"/>
    </row>
    <row r="47" spans="1:21" s="12" customFormat="1" x14ac:dyDescent="0.25">
      <c r="A47" s="201" t="s">
        <v>2686</v>
      </c>
      <c r="B47" s="60">
        <v>49.43</v>
      </c>
      <c r="C47" s="60">
        <v>114.04</v>
      </c>
      <c r="D47" s="60">
        <v>102.57</v>
      </c>
      <c r="E47" s="60">
        <v>5.68</v>
      </c>
      <c r="F47" s="60">
        <v>5.72</v>
      </c>
      <c r="G47" s="60">
        <v>122.1</v>
      </c>
      <c r="H47" s="60">
        <v>59.95</v>
      </c>
      <c r="I47" s="60">
        <v>0.89</v>
      </c>
      <c r="J47" s="60">
        <v>0.57999999999999996</v>
      </c>
      <c r="K47" s="60">
        <v>113.28</v>
      </c>
      <c r="L47" s="60">
        <v>29.41</v>
      </c>
      <c r="M47" s="60">
        <v>26.63</v>
      </c>
      <c r="N47" s="60">
        <v>520.29999999999995</v>
      </c>
      <c r="O47" s="60">
        <v>0</v>
      </c>
      <c r="P47" s="60">
        <v>1.87</v>
      </c>
      <c r="Q47" s="60">
        <v>31.29</v>
      </c>
      <c r="R47" s="198"/>
      <c r="S47" s="198"/>
      <c r="T47" s="198"/>
      <c r="U47" s="198"/>
    </row>
    <row r="48" spans="1:21" s="12" customFormat="1" x14ac:dyDescent="0.25">
      <c r="A48" s="201" t="s">
        <v>2687</v>
      </c>
      <c r="B48" s="60">
        <v>47.24</v>
      </c>
      <c r="C48" s="60">
        <v>112.71</v>
      </c>
      <c r="D48" s="60">
        <v>100.08</v>
      </c>
      <c r="E48" s="60">
        <v>6.13</v>
      </c>
      <c r="F48" s="60">
        <v>6.01</v>
      </c>
      <c r="G48" s="60">
        <v>112.06</v>
      </c>
      <c r="H48" s="60">
        <v>58.35</v>
      </c>
      <c r="I48" s="60">
        <v>0.88</v>
      </c>
      <c r="J48" s="60">
        <v>0.86</v>
      </c>
      <c r="K48" s="60">
        <v>114.34</v>
      </c>
      <c r="L48" s="60">
        <v>29.66</v>
      </c>
      <c r="M48" s="60">
        <v>25.7</v>
      </c>
      <c r="N48" s="60">
        <v>536.20000000000005</v>
      </c>
      <c r="O48" s="60">
        <v>0</v>
      </c>
      <c r="P48" s="60">
        <v>1.82</v>
      </c>
      <c r="Q48" s="60">
        <v>31.34</v>
      </c>
      <c r="R48" s="198"/>
      <c r="S48" s="198"/>
      <c r="T48" s="198"/>
      <c r="U48" s="198"/>
    </row>
    <row r="49" spans="1:21" s="12" customFormat="1" x14ac:dyDescent="0.25">
      <c r="A49" s="201" t="s">
        <v>2688</v>
      </c>
      <c r="B49" s="60">
        <v>43.46</v>
      </c>
      <c r="C49" s="60">
        <v>111.39</v>
      </c>
      <c r="D49" s="60">
        <v>96.33</v>
      </c>
      <c r="E49" s="60">
        <v>5.6</v>
      </c>
      <c r="F49" s="60">
        <v>6.03</v>
      </c>
      <c r="G49" s="60">
        <v>112.06</v>
      </c>
      <c r="H49" s="60">
        <v>58.35</v>
      </c>
      <c r="I49" s="60">
        <v>0.88</v>
      </c>
      <c r="J49" s="60">
        <v>0.99</v>
      </c>
      <c r="K49" s="60">
        <v>107.95</v>
      </c>
      <c r="L49" s="60">
        <v>29.95</v>
      </c>
      <c r="M49" s="60">
        <v>25.18</v>
      </c>
      <c r="N49" s="60">
        <v>533.79999999999995</v>
      </c>
      <c r="O49" s="60">
        <v>0</v>
      </c>
      <c r="P49" s="60">
        <v>1.77</v>
      </c>
      <c r="Q49" s="60">
        <v>31.58</v>
      </c>
      <c r="R49" s="198"/>
      <c r="S49" s="198"/>
      <c r="T49" s="198"/>
      <c r="U49" s="198"/>
    </row>
    <row r="50" spans="1:21" s="12" customFormat="1" x14ac:dyDescent="0.25">
      <c r="A50" s="201" t="s">
        <v>2689</v>
      </c>
      <c r="B50" s="60">
        <v>37.94</v>
      </c>
      <c r="C50" s="60">
        <v>114.01</v>
      </c>
      <c r="D50" s="60">
        <v>93.34</v>
      </c>
      <c r="E50" s="60">
        <v>5.92</v>
      </c>
      <c r="F50" s="60">
        <v>5.56</v>
      </c>
      <c r="G50" s="60">
        <v>112.06</v>
      </c>
      <c r="H50" s="60">
        <v>58.35</v>
      </c>
      <c r="I50" s="60">
        <v>0.87</v>
      </c>
      <c r="J50" s="60">
        <v>0.93</v>
      </c>
      <c r="K50" s="60">
        <v>108.9</v>
      </c>
      <c r="L50" s="60">
        <v>30.4</v>
      </c>
      <c r="M50" s="60">
        <v>24.98</v>
      </c>
      <c r="N50" s="60">
        <v>527.1</v>
      </c>
      <c r="O50" s="60">
        <v>0</v>
      </c>
      <c r="P50" s="60">
        <v>1.68</v>
      </c>
      <c r="Q50" s="60">
        <v>32.090000000000003</v>
      </c>
      <c r="R50" s="198"/>
      <c r="S50" s="198"/>
      <c r="T50" s="198"/>
      <c r="U50" s="198"/>
    </row>
    <row r="51" spans="1:21" s="12" customFormat="1" x14ac:dyDescent="0.25">
      <c r="A51" s="201" t="s">
        <v>2690</v>
      </c>
      <c r="B51" s="60">
        <v>29.59</v>
      </c>
      <c r="C51" s="60">
        <v>115.01</v>
      </c>
      <c r="D51" s="60">
        <v>87.2</v>
      </c>
      <c r="E51" s="60">
        <v>5.99</v>
      </c>
      <c r="F51" s="60">
        <v>6.23</v>
      </c>
      <c r="G51" s="60">
        <v>106.9</v>
      </c>
      <c r="H51" s="60">
        <v>53.56</v>
      </c>
      <c r="I51" s="60">
        <v>0.86</v>
      </c>
      <c r="J51" s="60">
        <v>1.02</v>
      </c>
      <c r="K51" s="60">
        <v>103.81</v>
      </c>
      <c r="L51" s="60">
        <v>31.05</v>
      </c>
      <c r="M51" s="60">
        <v>23.14</v>
      </c>
      <c r="N51" s="60">
        <v>532</v>
      </c>
      <c r="O51" s="60">
        <v>0</v>
      </c>
      <c r="P51" s="60">
        <v>1.59</v>
      </c>
      <c r="Q51" s="60">
        <v>32.15</v>
      </c>
      <c r="R51" s="198"/>
      <c r="S51" s="198"/>
      <c r="T51" s="198"/>
      <c r="U51" s="198"/>
    </row>
    <row r="52" spans="1:21" s="12" customFormat="1" x14ac:dyDescent="0.25">
      <c r="A52" s="201" t="s">
        <v>2691</v>
      </c>
      <c r="B52" s="60">
        <v>24.15</v>
      </c>
      <c r="C52" s="60">
        <v>115.83</v>
      </c>
      <c r="D52" s="60">
        <v>83.29</v>
      </c>
      <c r="E52" s="60">
        <v>6.69</v>
      </c>
      <c r="F52" s="60">
        <v>6.02</v>
      </c>
      <c r="G52" s="60">
        <v>104.31</v>
      </c>
      <c r="H52" s="60">
        <v>51.16</v>
      </c>
      <c r="I52" s="60">
        <v>0.84</v>
      </c>
      <c r="J52" s="60">
        <v>0.59</v>
      </c>
      <c r="K52" s="60">
        <v>99.23</v>
      </c>
      <c r="L52" s="60">
        <v>32.03</v>
      </c>
      <c r="M52" s="60">
        <v>22.17</v>
      </c>
      <c r="N52" s="60">
        <v>525.20000000000005</v>
      </c>
      <c r="O52" s="60">
        <v>0</v>
      </c>
      <c r="P52" s="60">
        <v>1.51</v>
      </c>
      <c r="Q52" s="60">
        <v>31.53</v>
      </c>
      <c r="R52" s="198"/>
      <c r="S52" s="198"/>
      <c r="T52" s="198"/>
      <c r="U52" s="198"/>
    </row>
    <row r="53" spans="1:21" s="12" customFormat="1" x14ac:dyDescent="0.25">
      <c r="A53" s="201" t="s">
        <v>2692</v>
      </c>
      <c r="B53" s="60">
        <v>19.760000000000002</v>
      </c>
      <c r="C53" s="60">
        <v>118.14</v>
      </c>
      <c r="D53" s="60">
        <v>81.05</v>
      </c>
      <c r="E53" s="60">
        <v>7.32</v>
      </c>
      <c r="F53" s="60">
        <v>6.43</v>
      </c>
      <c r="G53" s="60">
        <v>104.31</v>
      </c>
      <c r="H53" s="60">
        <v>51.16</v>
      </c>
      <c r="I53" s="60">
        <v>0.81</v>
      </c>
      <c r="J53" s="60">
        <v>0.4</v>
      </c>
      <c r="K53" s="60">
        <v>57.3</v>
      </c>
      <c r="L53" s="60">
        <v>35.159999999999997</v>
      </c>
      <c r="M53" s="60">
        <v>18.72</v>
      </c>
      <c r="N53" s="60">
        <v>524.70000000000005</v>
      </c>
      <c r="O53" s="60">
        <v>0</v>
      </c>
      <c r="P53" s="60">
        <v>1.45</v>
      </c>
      <c r="Q53" s="60">
        <v>30.93</v>
      </c>
      <c r="R53" s="198"/>
      <c r="S53" s="198"/>
      <c r="T53" s="198"/>
      <c r="U53" s="198"/>
    </row>
    <row r="54" spans="1:21" s="12" customFormat="1" x14ac:dyDescent="0.25">
      <c r="A54" s="201" t="s">
        <v>2693</v>
      </c>
      <c r="B54" s="60">
        <v>13.96</v>
      </c>
      <c r="C54" s="60">
        <v>115.69</v>
      </c>
      <c r="D54" s="60">
        <v>75.040000000000006</v>
      </c>
      <c r="E54" s="60">
        <v>6.33</v>
      </c>
      <c r="F54" s="60">
        <v>8.56</v>
      </c>
      <c r="G54" s="60">
        <v>104.31</v>
      </c>
      <c r="H54" s="60">
        <v>51.16</v>
      </c>
      <c r="I54" s="60">
        <v>0.79</v>
      </c>
      <c r="J54" s="60">
        <v>0.33</v>
      </c>
      <c r="K54" s="60">
        <v>151.27000000000001</v>
      </c>
      <c r="L54" s="60">
        <v>34.020000000000003</v>
      </c>
      <c r="M54" s="60">
        <v>18.649999999999999</v>
      </c>
      <c r="N54" s="60">
        <v>527.20000000000005</v>
      </c>
      <c r="O54" s="60">
        <v>0</v>
      </c>
      <c r="P54" s="60">
        <v>1.39</v>
      </c>
      <c r="Q54" s="60">
        <v>30.6</v>
      </c>
      <c r="R54" s="198"/>
      <c r="S54" s="198"/>
      <c r="T54" s="198"/>
      <c r="U54" s="198"/>
    </row>
    <row r="55" spans="1:21" s="12" customFormat="1" x14ac:dyDescent="0.25">
      <c r="A55" s="201" t="s">
        <v>2694</v>
      </c>
      <c r="B55" s="60">
        <v>8.18</v>
      </c>
      <c r="C55" s="60">
        <v>116.04</v>
      </c>
      <c r="D55" s="60">
        <v>70.599999999999994</v>
      </c>
      <c r="E55" s="60">
        <v>6.2</v>
      </c>
      <c r="F55" s="60">
        <v>8.68</v>
      </c>
      <c r="G55" s="60">
        <v>75.87</v>
      </c>
      <c r="H55" s="60">
        <v>42.3</v>
      </c>
      <c r="I55" s="60">
        <v>0.78</v>
      </c>
      <c r="J55" s="60">
        <v>0.7</v>
      </c>
      <c r="K55" s="60">
        <v>159.22999999999999</v>
      </c>
      <c r="L55" s="60">
        <v>33.619999999999997</v>
      </c>
      <c r="M55" s="60">
        <v>17.989999999999998</v>
      </c>
      <c r="N55" s="60">
        <v>532.79999999999995</v>
      </c>
      <c r="O55" s="60">
        <v>0</v>
      </c>
      <c r="P55" s="60">
        <v>1.28</v>
      </c>
      <c r="Q55" s="60">
        <v>29.95</v>
      </c>
      <c r="R55" s="198"/>
      <c r="S55" s="198"/>
      <c r="T55" s="198"/>
      <c r="U55" s="198"/>
    </row>
    <row r="56" spans="1:21" s="12" customFormat="1" x14ac:dyDescent="0.25">
      <c r="A56" s="201" t="s">
        <v>2695</v>
      </c>
      <c r="B56" s="60">
        <v>4.99</v>
      </c>
      <c r="C56" s="60">
        <v>112.68</v>
      </c>
      <c r="D56" s="60">
        <v>66.19</v>
      </c>
      <c r="E56" s="60">
        <v>5.73</v>
      </c>
      <c r="F56" s="60">
        <v>12.07</v>
      </c>
      <c r="G56" s="60">
        <v>62.35</v>
      </c>
      <c r="H56" s="60">
        <v>37.869999999999997</v>
      </c>
      <c r="I56" s="60">
        <v>0.76</v>
      </c>
      <c r="J56" s="60">
        <v>0.67</v>
      </c>
      <c r="K56" s="60">
        <v>179.98</v>
      </c>
      <c r="L56" s="60">
        <v>33.78</v>
      </c>
      <c r="M56" s="60">
        <v>16.88</v>
      </c>
      <c r="N56" s="60">
        <v>535.1</v>
      </c>
      <c r="O56" s="60">
        <v>0</v>
      </c>
      <c r="P56" s="60">
        <v>1.2</v>
      </c>
      <c r="Q56" s="60">
        <v>29.19</v>
      </c>
      <c r="R56" s="198"/>
      <c r="S56" s="198"/>
      <c r="T56" s="198"/>
      <c r="U56" s="198"/>
    </row>
    <row r="57" spans="1:21" s="12" customFormat="1" x14ac:dyDescent="0.25">
      <c r="A57" s="201" t="s">
        <v>2696</v>
      </c>
      <c r="B57" s="60">
        <v>3.63</v>
      </c>
      <c r="C57" s="60">
        <v>107.27</v>
      </c>
      <c r="D57" s="60">
        <v>62.11</v>
      </c>
      <c r="E57" s="60">
        <v>7.07</v>
      </c>
      <c r="F57" s="60">
        <v>12.72</v>
      </c>
      <c r="G57" s="60">
        <v>62.35</v>
      </c>
      <c r="H57" s="60">
        <v>37.869999999999997</v>
      </c>
      <c r="I57" s="60">
        <v>0.75</v>
      </c>
      <c r="J57" s="60">
        <v>0.42</v>
      </c>
      <c r="K57" s="60">
        <v>133.32</v>
      </c>
      <c r="L57" s="60">
        <v>34.01</v>
      </c>
      <c r="M57" s="60">
        <v>16.600000000000001</v>
      </c>
      <c r="N57" s="60">
        <v>521.9</v>
      </c>
      <c r="O57" s="60">
        <v>0</v>
      </c>
      <c r="P57" s="60">
        <v>1.1399999999999999</v>
      </c>
      <c r="Q57" s="60">
        <v>28.76</v>
      </c>
      <c r="R57" s="198"/>
      <c r="S57" s="198"/>
      <c r="T57" s="198"/>
      <c r="U57" s="198"/>
    </row>
    <row r="58" spans="1:21" s="12" customFormat="1" x14ac:dyDescent="0.25">
      <c r="A58" s="201" t="s">
        <v>2697</v>
      </c>
      <c r="B58" s="60">
        <v>2.89</v>
      </c>
      <c r="C58" s="60">
        <v>103.21</v>
      </c>
      <c r="D58" s="60">
        <v>59.28</v>
      </c>
      <c r="E58" s="60">
        <v>7.71</v>
      </c>
      <c r="F58" s="60">
        <v>18.149999999999999</v>
      </c>
      <c r="G58" s="60">
        <v>62.35</v>
      </c>
      <c r="H58" s="60">
        <v>37.869999999999997</v>
      </c>
      <c r="I58" s="60">
        <v>0.72</v>
      </c>
      <c r="J58" s="60">
        <v>0.93</v>
      </c>
      <c r="K58" s="60">
        <v>98.63</v>
      </c>
      <c r="L58" s="60">
        <v>33.36</v>
      </c>
      <c r="M58" s="60">
        <v>17.149999999999999</v>
      </c>
      <c r="N58" s="60">
        <v>515.9</v>
      </c>
      <c r="O58" s="60">
        <v>0</v>
      </c>
      <c r="P58" s="60">
        <v>1.07</v>
      </c>
      <c r="Q58" s="60">
        <v>28.32</v>
      </c>
      <c r="R58" s="198"/>
      <c r="S58" s="198"/>
      <c r="T58" s="198"/>
      <c r="U58" s="198"/>
    </row>
    <row r="59" spans="1:21" s="12" customFormat="1" x14ac:dyDescent="0.25">
      <c r="A59" s="201" t="s">
        <v>2698</v>
      </c>
      <c r="B59" s="60">
        <v>2.95</v>
      </c>
      <c r="C59" s="60">
        <v>98.81</v>
      </c>
      <c r="D59" s="60">
        <v>56.9</v>
      </c>
      <c r="E59" s="60">
        <v>8.2100000000000009</v>
      </c>
      <c r="F59" s="60">
        <v>14.57</v>
      </c>
      <c r="G59" s="60">
        <v>48.41</v>
      </c>
      <c r="H59" s="60">
        <v>32.94</v>
      </c>
      <c r="I59" s="60">
        <v>0.72</v>
      </c>
      <c r="J59" s="60">
        <v>0.63</v>
      </c>
      <c r="K59" s="60">
        <v>36.229999999999997</v>
      </c>
      <c r="L59" s="60">
        <v>35.86</v>
      </c>
      <c r="M59" s="60">
        <v>14.9</v>
      </c>
      <c r="N59" s="60">
        <v>491</v>
      </c>
      <c r="O59" s="60">
        <v>0</v>
      </c>
      <c r="P59" s="60">
        <v>1.04</v>
      </c>
      <c r="Q59" s="60">
        <v>27.98</v>
      </c>
      <c r="R59" s="198"/>
      <c r="S59" s="198"/>
      <c r="T59" s="198"/>
      <c r="U59" s="198"/>
    </row>
    <row r="60" spans="1:21" s="12" customFormat="1" x14ac:dyDescent="0.25">
      <c r="A60" s="201" t="s">
        <v>2699</v>
      </c>
      <c r="B60" s="60">
        <v>2.2799999999999998</v>
      </c>
      <c r="C60" s="60">
        <v>97.24</v>
      </c>
      <c r="D60" s="60">
        <v>55.49</v>
      </c>
      <c r="E60" s="60">
        <v>8.9600000000000009</v>
      </c>
      <c r="F60" s="60">
        <v>17.28</v>
      </c>
      <c r="G60" s="60">
        <v>41.43</v>
      </c>
      <c r="H60" s="60">
        <v>30.47</v>
      </c>
      <c r="I60" s="60">
        <v>0.7</v>
      </c>
      <c r="J60" s="60">
        <v>0.47</v>
      </c>
      <c r="K60" s="60">
        <v>121.06</v>
      </c>
      <c r="L60" s="60">
        <v>34.340000000000003</v>
      </c>
      <c r="M60" s="60">
        <v>16.07</v>
      </c>
      <c r="N60" s="60">
        <v>492</v>
      </c>
      <c r="O60" s="60">
        <v>0</v>
      </c>
      <c r="P60" s="60">
        <v>1.01</v>
      </c>
      <c r="Q60" s="60">
        <v>28</v>
      </c>
      <c r="R60" s="198"/>
      <c r="S60" s="198"/>
      <c r="T60" s="198"/>
      <c r="U60" s="198"/>
    </row>
    <row r="61" spans="1:21" s="12" customFormat="1" x14ac:dyDescent="0.25">
      <c r="A61" s="201" t="s">
        <v>2700</v>
      </c>
      <c r="B61" s="60">
        <v>3.1</v>
      </c>
      <c r="C61" s="60">
        <v>92.82</v>
      </c>
      <c r="D61" s="60">
        <v>53.71</v>
      </c>
      <c r="E61" s="60">
        <v>9.2200000000000006</v>
      </c>
      <c r="F61" s="60">
        <v>23.04</v>
      </c>
      <c r="G61" s="60">
        <v>41.43</v>
      </c>
      <c r="H61" s="60">
        <v>30.47</v>
      </c>
      <c r="I61" s="60">
        <v>0.71</v>
      </c>
      <c r="J61" s="60">
        <v>0.47</v>
      </c>
      <c r="K61" s="60">
        <v>110.9</v>
      </c>
      <c r="L61" s="60">
        <v>35.15</v>
      </c>
      <c r="M61" s="60">
        <v>15.13</v>
      </c>
      <c r="N61" s="60">
        <v>467.6</v>
      </c>
      <c r="O61" s="60">
        <v>0</v>
      </c>
      <c r="P61" s="60">
        <v>0.93</v>
      </c>
      <c r="Q61" s="60">
        <v>27.87</v>
      </c>
      <c r="R61" s="198"/>
      <c r="S61" s="198"/>
      <c r="T61" s="198"/>
      <c r="U61" s="198"/>
    </row>
    <row r="62" spans="1:21" s="12" customFormat="1" x14ac:dyDescent="0.25">
      <c r="A62" s="201" t="s">
        <v>2701</v>
      </c>
      <c r="B62" s="60">
        <v>1.97</v>
      </c>
      <c r="C62" s="60">
        <v>93.13</v>
      </c>
      <c r="D62" s="60">
        <v>52.98</v>
      </c>
      <c r="E62" s="60">
        <v>8.2899999999999991</v>
      </c>
      <c r="F62" s="60">
        <v>15.84</v>
      </c>
      <c r="G62" s="60">
        <v>41.43</v>
      </c>
      <c r="H62" s="60">
        <v>30.47</v>
      </c>
      <c r="I62" s="60">
        <v>0.74</v>
      </c>
      <c r="J62" s="60">
        <v>0.95</v>
      </c>
      <c r="K62" s="60">
        <v>165.19</v>
      </c>
      <c r="L62" s="60">
        <v>34.520000000000003</v>
      </c>
      <c r="M62" s="60">
        <v>14.07</v>
      </c>
      <c r="N62" s="60">
        <v>459.8</v>
      </c>
      <c r="O62" s="60">
        <v>0</v>
      </c>
      <c r="P62" s="60">
        <v>0.99</v>
      </c>
      <c r="Q62" s="60">
        <v>27.82</v>
      </c>
      <c r="R62" s="198"/>
      <c r="S62" s="198"/>
      <c r="T62" s="198"/>
      <c r="U62" s="198"/>
    </row>
    <row r="63" spans="1:21" s="12" customFormat="1" x14ac:dyDescent="0.25">
      <c r="A63" s="201" t="s">
        <v>2702</v>
      </c>
      <c r="B63" s="60">
        <v>1.67</v>
      </c>
      <c r="C63" s="60">
        <v>91</v>
      </c>
      <c r="D63" s="60">
        <v>51.56</v>
      </c>
      <c r="E63" s="60">
        <v>5.63</v>
      </c>
      <c r="F63" s="60">
        <v>12.67</v>
      </c>
      <c r="G63" s="60">
        <v>43.55</v>
      </c>
      <c r="H63" s="60">
        <v>25.82</v>
      </c>
      <c r="I63" s="60">
        <v>0.74</v>
      </c>
      <c r="J63" s="60">
        <v>1</v>
      </c>
      <c r="K63" s="60">
        <v>155.05000000000001</v>
      </c>
      <c r="L63" s="60">
        <v>34.11</v>
      </c>
      <c r="M63" s="60">
        <v>14.59</v>
      </c>
      <c r="N63" s="60">
        <v>437.4</v>
      </c>
      <c r="O63" s="60">
        <v>0</v>
      </c>
      <c r="P63" s="60">
        <v>1</v>
      </c>
      <c r="Q63" s="60">
        <v>27.79</v>
      </c>
      <c r="R63" s="198"/>
      <c r="S63" s="198"/>
      <c r="T63" s="198"/>
      <c r="U63" s="198"/>
    </row>
    <row r="64" spans="1:21" s="12" customFormat="1" x14ac:dyDescent="0.25">
      <c r="A64" s="201" t="s">
        <v>2703</v>
      </c>
      <c r="B64" s="60">
        <v>1.6</v>
      </c>
      <c r="C64" s="60">
        <v>94.06</v>
      </c>
      <c r="D64" s="60">
        <v>53.19</v>
      </c>
      <c r="E64" s="60">
        <v>6.2</v>
      </c>
      <c r="F64" s="60">
        <v>11.43</v>
      </c>
      <c r="G64" s="60">
        <v>44.55</v>
      </c>
      <c r="H64" s="60">
        <v>23.49</v>
      </c>
      <c r="I64" s="60">
        <v>0.75</v>
      </c>
      <c r="J64" s="60">
        <v>0.39</v>
      </c>
      <c r="K64" s="60">
        <v>10.61</v>
      </c>
      <c r="L64" s="60">
        <v>35.97</v>
      </c>
      <c r="M64" s="60">
        <v>13.7</v>
      </c>
      <c r="N64" s="60">
        <v>404.4</v>
      </c>
      <c r="O64" s="60">
        <v>0</v>
      </c>
      <c r="P64" s="60">
        <v>0.97</v>
      </c>
      <c r="Q64" s="60">
        <v>28.45</v>
      </c>
      <c r="R64" s="198"/>
      <c r="S64" s="198"/>
      <c r="T64" s="198"/>
      <c r="U64" s="198"/>
    </row>
    <row r="65" spans="1:21" s="12" customFormat="1" x14ac:dyDescent="0.25">
      <c r="A65" s="201" t="s">
        <v>2704</v>
      </c>
      <c r="B65" s="60">
        <v>2.0699999999999998</v>
      </c>
      <c r="C65" s="60">
        <v>91.38</v>
      </c>
      <c r="D65" s="60">
        <v>52.09</v>
      </c>
      <c r="E65" s="60">
        <v>6.34</v>
      </c>
      <c r="F65" s="60">
        <v>12.69</v>
      </c>
      <c r="G65" s="60">
        <v>44.55</v>
      </c>
      <c r="H65" s="60">
        <v>23.49</v>
      </c>
      <c r="I65" s="60">
        <v>0.75</v>
      </c>
      <c r="J65" s="60">
        <v>0.42</v>
      </c>
      <c r="K65" s="60">
        <v>351.27</v>
      </c>
      <c r="L65" s="60">
        <v>37.729999999999997</v>
      </c>
      <c r="M65" s="60">
        <v>13.21</v>
      </c>
      <c r="N65" s="60">
        <v>383.4</v>
      </c>
      <c r="O65" s="60">
        <v>0</v>
      </c>
      <c r="P65" s="60">
        <v>0.94</v>
      </c>
      <c r="Q65" s="60">
        <v>28.79</v>
      </c>
      <c r="R65" s="198"/>
      <c r="S65" s="198"/>
      <c r="T65" s="198"/>
      <c r="U65" s="198"/>
    </row>
    <row r="66" spans="1:21" s="12" customFormat="1" x14ac:dyDescent="0.25">
      <c r="A66" s="201" t="s">
        <v>2705</v>
      </c>
      <c r="B66" s="60">
        <v>0.95</v>
      </c>
      <c r="C66" s="60">
        <v>92.21</v>
      </c>
      <c r="D66" s="60">
        <v>51.65</v>
      </c>
      <c r="E66" s="60">
        <v>6.59</v>
      </c>
      <c r="F66" s="60">
        <v>12.35</v>
      </c>
      <c r="G66" s="60">
        <v>44.55</v>
      </c>
      <c r="H66" s="60">
        <v>23.49</v>
      </c>
      <c r="I66" s="60">
        <v>0.74</v>
      </c>
      <c r="J66" s="60">
        <v>0.62</v>
      </c>
      <c r="K66" s="60">
        <v>352.52</v>
      </c>
      <c r="L66" s="60">
        <v>37.700000000000003</v>
      </c>
      <c r="M66" s="60">
        <v>12.93</v>
      </c>
      <c r="N66" s="60">
        <v>366.6</v>
      </c>
      <c r="O66" s="60">
        <v>0</v>
      </c>
      <c r="P66" s="60">
        <v>0.92</v>
      </c>
      <c r="Q66" s="60">
        <v>28.93</v>
      </c>
      <c r="R66" s="198"/>
      <c r="S66" s="198"/>
      <c r="T66" s="198"/>
      <c r="U66" s="198"/>
    </row>
    <row r="67" spans="1:21" s="12" customFormat="1" x14ac:dyDescent="0.25">
      <c r="A67" s="201" t="s">
        <v>2706</v>
      </c>
      <c r="B67" s="60">
        <v>1.23</v>
      </c>
      <c r="C67" s="60">
        <v>93.31</v>
      </c>
      <c r="D67" s="60">
        <v>52.49</v>
      </c>
      <c r="E67" s="60">
        <v>6.99</v>
      </c>
      <c r="F67" s="60">
        <v>14.81</v>
      </c>
      <c r="G67" s="60">
        <v>42.39</v>
      </c>
      <c r="H67" s="60">
        <v>24.82</v>
      </c>
      <c r="I67" s="60">
        <v>0.72</v>
      </c>
      <c r="J67" s="60">
        <v>0.87</v>
      </c>
      <c r="K67" s="60">
        <v>4.42</v>
      </c>
      <c r="L67" s="60">
        <v>38.1</v>
      </c>
      <c r="M67" s="60">
        <v>12.76</v>
      </c>
      <c r="N67" s="60">
        <v>338</v>
      </c>
      <c r="O67" s="60">
        <v>0</v>
      </c>
      <c r="P67" s="60">
        <v>0.89</v>
      </c>
      <c r="Q67" s="60">
        <v>28.66</v>
      </c>
      <c r="R67" s="198"/>
      <c r="S67" s="198"/>
      <c r="T67" s="198"/>
      <c r="U67" s="198"/>
    </row>
    <row r="68" spans="1:21" s="12" customFormat="1" x14ac:dyDescent="0.25">
      <c r="A68" s="201" t="s">
        <v>2707</v>
      </c>
      <c r="B68" s="60">
        <v>1.08</v>
      </c>
      <c r="C68" s="60">
        <v>92.02</v>
      </c>
      <c r="D68" s="60">
        <v>51.65</v>
      </c>
      <c r="E68" s="60">
        <v>7.8</v>
      </c>
      <c r="F68" s="60">
        <v>13.52</v>
      </c>
      <c r="G68" s="60">
        <v>41.37</v>
      </c>
      <c r="H68" s="60">
        <v>25.48</v>
      </c>
      <c r="I68" s="60">
        <v>0.71</v>
      </c>
      <c r="J68" s="60">
        <v>0.51</v>
      </c>
      <c r="K68" s="60">
        <v>348.15</v>
      </c>
      <c r="L68" s="60">
        <v>37.53</v>
      </c>
      <c r="M68" s="60">
        <v>12.5</v>
      </c>
      <c r="N68" s="60">
        <v>301.2</v>
      </c>
      <c r="O68" s="60">
        <v>0</v>
      </c>
      <c r="P68" s="60">
        <v>0.88</v>
      </c>
      <c r="Q68" s="60">
        <v>28.5</v>
      </c>
      <c r="R68" s="198"/>
      <c r="S68" s="198"/>
      <c r="T68" s="198"/>
      <c r="U68" s="198"/>
    </row>
    <row r="69" spans="1:21" s="12" customFormat="1" x14ac:dyDescent="0.25">
      <c r="A69" s="201" t="s">
        <v>2708</v>
      </c>
      <c r="B69" s="60">
        <v>1.28</v>
      </c>
      <c r="C69" s="60">
        <v>92.94</v>
      </c>
      <c r="D69" s="60">
        <v>52.32</v>
      </c>
      <c r="E69" s="60">
        <v>8.1</v>
      </c>
      <c r="F69" s="60">
        <v>15.06</v>
      </c>
      <c r="G69" s="60">
        <v>41.37</v>
      </c>
      <c r="H69" s="60">
        <v>25.48</v>
      </c>
      <c r="I69" s="60">
        <v>0.69</v>
      </c>
      <c r="J69" s="60">
        <v>1.2</v>
      </c>
      <c r="K69" s="60">
        <v>7.55</v>
      </c>
      <c r="L69" s="60">
        <v>37.520000000000003</v>
      </c>
      <c r="M69" s="60">
        <v>11.54</v>
      </c>
      <c r="N69" s="60">
        <v>277.60000000000002</v>
      </c>
      <c r="O69" s="60">
        <v>0</v>
      </c>
      <c r="P69" s="60">
        <v>0.87</v>
      </c>
      <c r="Q69" s="60">
        <v>28.32</v>
      </c>
      <c r="R69" s="198"/>
      <c r="S69" s="198"/>
      <c r="T69" s="198"/>
      <c r="U69" s="198"/>
    </row>
    <row r="70" spans="1:21" s="12" customFormat="1" x14ac:dyDescent="0.25">
      <c r="A70" s="201" t="s">
        <v>2709</v>
      </c>
      <c r="B70" s="60">
        <v>1.66</v>
      </c>
      <c r="C70" s="60">
        <v>91.2</v>
      </c>
      <c r="D70" s="60">
        <v>51.66</v>
      </c>
      <c r="E70" s="60">
        <v>6.5</v>
      </c>
      <c r="F70" s="60">
        <v>11.51</v>
      </c>
      <c r="G70" s="60">
        <v>41.37</v>
      </c>
      <c r="H70" s="60">
        <v>25.48</v>
      </c>
      <c r="I70" s="60">
        <v>0.68</v>
      </c>
      <c r="J70" s="60">
        <v>1.61</v>
      </c>
      <c r="K70" s="60">
        <v>0.02</v>
      </c>
      <c r="L70" s="60">
        <v>36.22</v>
      </c>
      <c r="M70" s="60">
        <v>11.42</v>
      </c>
      <c r="N70" s="60">
        <v>274.5</v>
      </c>
      <c r="O70" s="60">
        <v>0</v>
      </c>
      <c r="P70" s="60">
        <v>0.86</v>
      </c>
      <c r="Q70" s="60">
        <v>27.5</v>
      </c>
      <c r="R70" s="198"/>
      <c r="S70" s="198"/>
      <c r="T70" s="198"/>
      <c r="U70" s="198"/>
    </row>
    <row r="71" spans="1:21" s="12" customFormat="1" x14ac:dyDescent="0.25">
      <c r="A71" s="201" t="s">
        <v>2710</v>
      </c>
      <c r="B71" s="60">
        <v>3.11</v>
      </c>
      <c r="C71" s="60">
        <v>81.31</v>
      </c>
      <c r="D71" s="60">
        <v>47.37</v>
      </c>
      <c r="E71" s="60">
        <v>9.8800000000000008</v>
      </c>
      <c r="F71" s="60">
        <v>25.65</v>
      </c>
      <c r="G71" s="60">
        <v>52.48</v>
      </c>
      <c r="H71" s="60">
        <v>29</v>
      </c>
      <c r="I71" s="60">
        <v>0.67</v>
      </c>
      <c r="J71" s="60">
        <v>0.91</v>
      </c>
      <c r="K71" s="60">
        <v>1.32</v>
      </c>
      <c r="L71" s="60">
        <v>36.340000000000003</v>
      </c>
      <c r="M71" s="60">
        <v>11.62</v>
      </c>
      <c r="N71" s="60">
        <v>251.7</v>
      </c>
      <c r="O71" s="60">
        <v>0</v>
      </c>
      <c r="P71" s="60">
        <v>0.81</v>
      </c>
      <c r="Q71" s="60">
        <v>26.52</v>
      </c>
      <c r="R71" s="198"/>
      <c r="S71" s="198"/>
      <c r="T71" s="198"/>
      <c r="U71" s="198"/>
    </row>
    <row r="72" spans="1:21" s="12" customFormat="1" x14ac:dyDescent="0.25">
      <c r="A72" s="201" t="s">
        <v>2711</v>
      </c>
      <c r="B72" s="60">
        <v>3.38</v>
      </c>
      <c r="C72" s="60">
        <v>84.52</v>
      </c>
      <c r="D72" s="60">
        <v>49.36</v>
      </c>
      <c r="E72" s="60">
        <v>5.47</v>
      </c>
      <c r="F72" s="60">
        <v>23.24</v>
      </c>
      <c r="G72" s="60">
        <v>57.76</v>
      </c>
      <c r="H72" s="60">
        <v>30.76</v>
      </c>
      <c r="I72" s="60">
        <v>0.66</v>
      </c>
      <c r="J72" s="60">
        <v>0.84</v>
      </c>
      <c r="K72" s="60">
        <v>6.64</v>
      </c>
      <c r="L72" s="60">
        <v>36.29</v>
      </c>
      <c r="M72" s="60">
        <v>11.34</v>
      </c>
      <c r="N72" s="60">
        <v>169.8</v>
      </c>
      <c r="O72" s="60">
        <v>0</v>
      </c>
      <c r="P72" s="60">
        <v>0.82</v>
      </c>
      <c r="Q72" s="60">
        <v>26.02</v>
      </c>
      <c r="R72" s="198"/>
      <c r="S72" s="198"/>
      <c r="T72" s="198"/>
      <c r="U72" s="198"/>
    </row>
    <row r="73" spans="1:21" s="12" customFormat="1" x14ac:dyDescent="0.25">
      <c r="A73" s="201" t="s">
        <v>2712</v>
      </c>
      <c r="B73" s="60">
        <v>4.38</v>
      </c>
      <c r="C73" s="60">
        <v>85.76</v>
      </c>
      <c r="D73" s="60">
        <v>50.83</v>
      </c>
      <c r="E73" s="60">
        <v>11.06</v>
      </c>
      <c r="F73" s="60">
        <v>26.79</v>
      </c>
      <c r="G73" s="60">
        <v>57.76</v>
      </c>
      <c r="H73" s="60">
        <v>30.76</v>
      </c>
      <c r="I73" s="60">
        <v>0.65</v>
      </c>
      <c r="J73" s="60">
        <v>1.05</v>
      </c>
      <c r="K73" s="60">
        <v>13.95</v>
      </c>
      <c r="L73" s="60">
        <v>35.15</v>
      </c>
      <c r="M73" s="60">
        <v>12.22</v>
      </c>
      <c r="N73" s="60">
        <v>99.8</v>
      </c>
      <c r="O73" s="60">
        <v>0</v>
      </c>
      <c r="P73" s="60">
        <v>0.79</v>
      </c>
      <c r="Q73" s="60">
        <v>25.79</v>
      </c>
      <c r="R73" s="198"/>
      <c r="S73" s="198"/>
      <c r="T73" s="198"/>
      <c r="U73" s="198"/>
    </row>
    <row r="74" spans="1:21" s="12" customFormat="1" x14ac:dyDescent="0.25">
      <c r="A74" s="201" t="s">
        <v>2713</v>
      </c>
      <c r="B74" s="60">
        <v>13.77</v>
      </c>
      <c r="C74" s="60">
        <v>87.53</v>
      </c>
      <c r="D74" s="60">
        <v>59.35</v>
      </c>
      <c r="E74" s="60">
        <v>10.74</v>
      </c>
      <c r="F74" s="60">
        <v>22.66</v>
      </c>
      <c r="G74" s="60">
        <v>57.76</v>
      </c>
      <c r="H74" s="60">
        <v>30.76</v>
      </c>
      <c r="I74" s="60">
        <v>0.63</v>
      </c>
      <c r="J74" s="60">
        <v>1.1299999999999999</v>
      </c>
      <c r="K74" s="60">
        <v>23.51</v>
      </c>
      <c r="L74" s="60">
        <v>33.85</v>
      </c>
      <c r="M74" s="60">
        <v>13.43</v>
      </c>
      <c r="N74" s="60">
        <v>96.6</v>
      </c>
      <c r="O74" s="60">
        <v>0</v>
      </c>
      <c r="P74" s="60">
        <v>0.8</v>
      </c>
      <c r="Q74" s="60">
        <v>25.66</v>
      </c>
      <c r="R74" s="198"/>
      <c r="S74" s="198"/>
      <c r="T74" s="198"/>
      <c r="U74" s="198"/>
    </row>
    <row r="75" spans="1:21" s="12" customFormat="1" x14ac:dyDescent="0.25">
      <c r="A75" s="201" t="s">
        <v>2714</v>
      </c>
      <c r="B75" s="60">
        <v>4.71</v>
      </c>
      <c r="C75" s="60">
        <v>81.88</v>
      </c>
      <c r="D75" s="60">
        <v>48.96</v>
      </c>
      <c r="E75" s="60">
        <v>10.98</v>
      </c>
      <c r="F75" s="60">
        <v>26.37</v>
      </c>
      <c r="G75" s="60">
        <v>51.63</v>
      </c>
      <c r="H75" s="60">
        <v>28.4</v>
      </c>
      <c r="I75" s="60">
        <v>0.62</v>
      </c>
      <c r="J75" s="60">
        <v>1.21</v>
      </c>
      <c r="K75" s="60">
        <v>16.53</v>
      </c>
      <c r="L75" s="60">
        <v>33.29</v>
      </c>
      <c r="M75" s="60">
        <v>15.03</v>
      </c>
      <c r="N75" s="60">
        <v>71.3</v>
      </c>
      <c r="O75" s="60">
        <v>0</v>
      </c>
      <c r="P75" s="60">
        <v>0.79</v>
      </c>
      <c r="Q75" s="60">
        <v>25.52</v>
      </c>
      <c r="R75" s="198"/>
      <c r="S75" s="198"/>
      <c r="T75" s="198"/>
      <c r="U75" s="198"/>
    </row>
    <row r="76" spans="1:21" s="12" customFormat="1" x14ac:dyDescent="0.25">
      <c r="A76" s="201" t="s">
        <v>2715</v>
      </c>
      <c r="B76" s="60">
        <v>7.85</v>
      </c>
      <c r="C76" s="60">
        <v>88.54</v>
      </c>
      <c r="D76" s="60">
        <v>55.16</v>
      </c>
      <c r="E76" s="60">
        <v>12.61</v>
      </c>
      <c r="F76" s="60">
        <v>27.5</v>
      </c>
      <c r="G76" s="60">
        <v>48.72</v>
      </c>
      <c r="H76" s="60">
        <v>27.22</v>
      </c>
      <c r="I76" s="60">
        <v>0.62</v>
      </c>
      <c r="J76" s="60">
        <v>0.8</v>
      </c>
      <c r="K76" s="60">
        <v>17.16</v>
      </c>
      <c r="L76" s="60">
        <v>32.770000000000003</v>
      </c>
      <c r="M76" s="60">
        <v>15.18</v>
      </c>
      <c r="N76" s="60">
        <v>50.7</v>
      </c>
      <c r="O76" s="60">
        <v>0</v>
      </c>
      <c r="P76" s="60">
        <v>0.85</v>
      </c>
      <c r="Q76" s="60">
        <v>25.6</v>
      </c>
      <c r="R76" s="198"/>
      <c r="S76" s="198"/>
      <c r="T76" s="198"/>
      <c r="U76" s="198"/>
    </row>
    <row r="77" spans="1:21" s="12" customFormat="1" x14ac:dyDescent="0.25">
      <c r="A77" s="201" t="s">
        <v>2716</v>
      </c>
      <c r="B77" s="60">
        <v>5.87</v>
      </c>
      <c r="C77" s="60">
        <v>86.1</v>
      </c>
      <c r="D77" s="60">
        <v>52.22</v>
      </c>
      <c r="E77" s="60">
        <v>14.13</v>
      </c>
      <c r="F77" s="60">
        <v>29.69</v>
      </c>
      <c r="G77" s="60">
        <v>48.72</v>
      </c>
      <c r="H77" s="60">
        <v>27.22</v>
      </c>
      <c r="I77" s="60">
        <v>0.62</v>
      </c>
      <c r="J77" s="60">
        <v>0.57999999999999996</v>
      </c>
      <c r="K77" s="60">
        <v>15.27</v>
      </c>
      <c r="L77" s="60">
        <v>32.25</v>
      </c>
      <c r="M77" s="60">
        <v>16.68</v>
      </c>
      <c r="N77" s="60">
        <v>37.200000000000003</v>
      </c>
      <c r="O77" s="60">
        <v>0</v>
      </c>
      <c r="P77" s="60">
        <v>0.89</v>
      </c>
      <c r="Q77" s="60">
        <v>25.58</v>
      </c>
      <c r="R77" s="198"/>
      <c r="S77" s="198"/>
      <c r="T77" s="198"/>
      <c r="U77" s="198"/>
    </row>
    <row r="78" spans="1:21" s="12" customFormat="1" x14ac:dyDescent="0.25">
      <c r="A78" s="201" t="s">
        <v>2717</v>
      </c>
      <c r="B78" s="60">
        <v>6.43</v>
      </c>
      <c r="C78" s="60">
        <v>96.06</v>
      </c>
      <c r="D78" s="60">
        <v>58.18</v>
      </c>
      <c r="E78" s="60">
        <v>11.62</v>
      </c>
      <c r="F78" s="60">
        <v>13.69</v>
      </c>
      <c r="G78" s="60">
        <v>48.72</v>
      </c>
      <c r="H78" s="60">
        <v>27.22</v>
      </c>
      <c r="I78" s="60">
        <v>0.6</v>
      </c>
      <c r="J78" s="60">
        <v>0.56000000000000005</v>
      </c>
      <c r="K78" s="60">
        <v>20.88</v>
      </c>
      <c r="L78" s="60">
        <v>31.66</v>
      </c>
      <c r="M78" s="60">
        <v>16.66</v>
      </c>
      <c r="N78" s="60">
        <v>27.3</v>
      </c>
      <c r="O78" s="60">
        <v>0</v>
      </c>
      <c r="P78" s="60">
        <v>0.93</v>
      </c>
      <c r="Q78" s="60">
        <v>26.51</v>
      </c>
      <c r="R78" s="198"/>
      <c r="S78" s="198"/>
      <c r="T78" s="198"/>
      <c r="U78" s="198"/>
    </row>
    <row r="79" spans="1:21" s="12" customFormat="1" x14ac:dyDescent="0.25">
      <c r="A79" s="201" t="s">
        <v>2718</v>
      </c>
      <c r="B79" s="60">
        <v>8.74</v>
      </c>
      <c r="C79" s="60">
        <v>105.49</v>
      </c>
      <c r="D79" s="60">
        <v>65.23</v>
      </c>
      <c r="E79" s="60">
        <v>12.63</v>
      </c>
      <c r="F79" s="60">
        <v>12.91</v>
      </c>
      <c r="G79" s="60">
        <v>57.78</v>
      </c>
      <c r="H79" s="60">
        <v>27.96</v>
      </c>
      <c r="I79" s="60">
        <v>0.61</v>
      </c>
      <c r="J79" s="60">
        <v>0.35</v>
      </c>
      <c r="K79" s="60">
        <v>33.659999999999997</v>
      </c>
      <c r="L79" s="60">
        <v>31.08</v>
      </c>
      <c r="M79" s="60">
        <v>17.059999999999999</v>
      </c>
      <c r="N79" s="60">
        <v>17.399999999999999</v>
      </c>
      <c r="O79" s="60">
        <v>0</v>
      </c>
      <c r="P79" s="60">
        <v>1.03</v>
      </c>
      <c r="Q79" s="60">
        <v>27.17</v>
      </c>
      <c r="R79" s="198"/>
      <c r="S79" s="198"/>
      <c r="T79" s="198"/>
      <c r="U79" s="198"/>
    </row>
    <row r="80" spans="1:21" s="12" customFormat="1" x14ac:dyDescent="0.25">
      <c r="A80" s="201" t="s">
        <v>2719</v>
      </c>
      <c r="B80" s="60">
        <v>9.0399999999999991</v>
      </c>
      <c r="C80" s="60">
        <v>111.09</v>
      </c>
      <c r="D80" s="60">
        <v>68.56</v>
      </c>
      <c r="E80" s="60">
        <v>15.76</v>
      </c>
      <c r="F80" s="60">
        <v>12.95</v>
      </c>
      <c r="G80" s="60">
        <v>62.09</v>
      </c>
      <c r="H80" s="60">
        <v>28.33</v>
      </c>
      <c r="I80" s="60">
        <v>0.64</v>
      </c>
      <c r="J80" s="60">
        <v>0.15</v>
      </c>
      <c r="K80" s="60">
        <v>47.05</v>
      </c>
      <c r="L80" s="60">
        <v>30.32</v>
      </c>
      <c r="M80" s="60">
        <v>18.78</v>
      </c>
      <c r="N80" s="60">
        <v>9.1</v>
      </c>
      <c r="O80" s="60">
        <v>0</v>
      </c>
      <c r="P80" s="60">
        <v>1.31</v>
      </c>
      <c r="Q80" s="60">
        <v>27.57</v>
      </c>
      <c r="R80" s="198"/>
      <c r="S80" s="198"/>
      <c r="T80" s="198"/>
      <c r="U80" s="198"/>
    </row>
    <row r="81" spans="1:26" s="12" customFormat="1" x14ac:dyDescent="0.25">
      <c r="A81" s="201" t="s">
        <v>2720</v>
      </c>
      <c r="B81" s="60">
        <v>22.06</v>
      </c>
      <c r="C81" s="60">
        <v>128.61000000000001</v>
      </c>
      <c r="D81" s="60">
        <v>88.67</v>
      </c>
      <c r="E81" s="60">
        <v>14.84</v>
      </c>
      <c r="F81" s="60">
        <v>7.1</v>
      </c>
      <c r="G81" s="60">
        <v>62.09</v>
      </c>
      <c r="H81" s="60">
        <v>28.33</v>
      </c>
      <c r="I81" s="60">
        <v>0.7</v>
      </c>
      <c r="J81" s="60">
        <v>0.03</v>
      </c>
      <c r="K81" s="60">
        <v>358.05</v>
      </c>
      <c r="L81" s="60">
        <v>29.36</v>
      </c>
      <c r="M81" s="60">
        <v>20.88</v>
      </c>
      <c r="N81" s="60">
        <v>5.4</v>
      </c>
      <c r="O81" s="60">
        <v>0</v>
      </c>
      <c r="P81" s="60">
        <v>1.42</v>
      </c>
      <c r="Q81" s="60">
        <v>27.19</v>
      </c>
      <c r="R81" s="198"/>
      <c r="S81" s="198"/>
      <c r="T81" s="198"/>
      <c r="U81" s="198"/>
    </row>
    <row r="82" spans="1:26" s="12" customFormat="1" x14ac:dyDescent="0.25">
      <c r="A82" s="201" t="s">
        <v>2721</v>
      </c>
      <c r="B82" s="60">
        <v>26.87</v>
      </c>
      <c r="C82" s="60">
        <v>126.53</v>
      </c>
      <c r="D82" s="60">
        <v>91.38</v>
      </c>
      <c r="E82" s="60">
        <v>12.67</v>
      </c>
      <c r="F82" s="60">
        <v>5.34</v>
      </c>
      <c r="G82" s="60">
        <v>62.09</v>
      </c>
      <c r="H82" s="60">
        <v>28.33</v>
      </c>
      <c r="I82" s="60">
        <v>0.76</v>
      </c>
      <c r="J82" s="60">
        <v>0.05</v>
      </c>
      <c r="K82" s="60">
        <v>81.37</v>
      </c>
      <c r="L82" s="60">
        <v>28.34</v>
      </c>
      <c r="M82" s="60">
        <v>23.25</v>
      </c>
      <c r="N82" s="60">
        <v>4.7</v>
      </c>
      <c r="O82" s="60">
        <v>0</v>
      </c>
      <c r="P82" s="60">
        <v>1.53</v>
      </c>
      <c r="Q82" s="60">
        <v>27.08</v>
      </c>
      <c r="R82" s="198"/>
      <c r="S82" s="198"/>
      <c r="T82" s="198"/>
      <c r="U82" s="198"/>
    </row>
    <row r="83" spans="1:26" s="12" customFormat="1" x14ac:dyDescent="0.25">
      <c r="A83" s="201" t="s">
        <v>2722</v>
      </c>
      <c r="B83" s="60">
        <v>14.1</v>
      </c>
      <c r="C83" s="60">
        <v>125.13</v>
      </c>
      <c r="D83" s="60">
        <v>80.37</v>
      </c>
      <c r="E83" s="60">
        <v>10.31</v>
      </c>
      <c r="F83" s="60">
        <v>7.72</v>
      </c>
      <c r="G83" s="60">
        <v>75.41</v>
      </c>
      <c r="H83" s="60">
        <v>29.25</v>
      </c>
      <c r="I83" s="60">
        <v>0.79</v>
      </c>
      <c r="J83" s="60">
        <v>0.26</v>
      </c>
      <c r="K83" s="60">
        <v>87.47</v>
      </c>
      <c r="L83" s="60">
        <v>28.13</v>
      </c>
      <c r="M83" s="60">
        <v>23.89</v>
      </c>
      <c r="N83" s="60">
        <v>3.7</v>
      </c>
      <c r="O83" s="60">
        <v>0</v>
      </c>
      <c r="P83" s="60">
        <v>1.44</v>
      </c>
      <c r="Q83" s="60">
        <v>27.49</v>
      </c>
      <c r="R83" s="198"/>
      <c r="S83" s="198"/>
      <c r="T83" s="198"/>
      <c r="U83" s="198"/>
    </row>
    <row r="84" spans="1:26" s="12" customFormat="1" x14ac:dyDescent="0.25">
      <c r="A84" s="201" t="s">
        <v>2723</v>
      </c>
      <c r="B84" s="60">
        <v>18.18</v>
      </c>
      <c r="C84" s="60">
        <v>125.74</v>
      </c>
      <c r="D84" s="60">
        <v>83.97</v>
      </c>
      <c r="E84" s="60">
        <v>8.85</v>
      </c>
      <c r="F84" s="60">
        <v>7.73</v>
      </c>
      <c r="G84" s="60">
        <v>82.07</v>
      </c>
      <c r="H84" s="60">
        <v>29.7</v>
      </c>
      <c r="I84" s="60">
        <v>0.77</v>
      </c>
      <c r="J84" s="60">
        <v>0.27</v>
      </c>
      <c r="K84" s="60">
        <v>66.59</v>
      </c>
      <c r="L84" s="60">
        <v>27.78</v>
      </c>
      <c r="M84" s="60">
        <v>24.51</v>
      </c>
      <c r="N84" s="60">
        <v>4.0999999999999996</v>
      </c>
      <c r="O84" s="60">
        <v>0</v>
      </c>
      <c r="P84" s="60">
        <v>1.42</v>
      </c>
      <c r="Q84" s="60">
        <v>27.92</v>
      </c>
      <c r="R84" s="198"/>
      <c r="S84" s="198"/>
      <c r="T84" s="198"/>
      <c r="U84" s="198"/>
    </row>
    <row r="85" spans="1:26" s="12" customFormat="1" x14ac:dyDescent="0.25">
      <c r="A85" s="201" t="s">
        <v>2724</v>
      </c>
      <c r="B85" s="60">
        <v>31.93</v>
      </c>
      <c r="C85" s="60">
        <v>134.65</v>
      </c>
      <c r="D85" s="60">
        <v>99.91</v>
      </c>
      <c r="E85" s="60">
        <v>11.4</v>
      </c>
      <c r="F85" s="60">
        <v>6.94</v>
      </c>
      <c r="G85" s="60">
        <v>82.07</v>
      </c>
      <c r="H85" s="60">
        <v>29.7</v>
      </c>
      <c r="I85" s="60">
        <v>0.76</v>
      </c>
      <c r="J85" s="60">
        <v>0.3</v>
      </c>
      <c r="K85" s="60">
        <v>81.28</v>
      </c>
      <c r="L85" s="60">
        <v>27.59</v>
      </c>
      <c r="M85" s="60">
        <v>27.3</v>
      </c>
      <c r="N85" s="60">
        <v>3.8</v>
      </c>
      <c r="O85" s="60">
        <v>0</v>
      </c>
      <c r="P85" s="60">
        <v>1.65</v>
      </c>
      <c r="Q85" s="60">
        <v>26.89</v>
      </c>
      <c r="R85" s="198"/>
      <c r="S85" s="198"/>
      <c r="T85" s="198"/>
      <c r="U85" s="198"/>
    </row>
    <row r="86" spans="1:26" s="12" customFormat="1" x14ac:dyDescent="0.25">
      <c r="A86" s="201" t="s">
        <v>2725</v>
      </c>
      <c r="B86" s="60">
        <v>48.87</v>
      </c>
      <c r="C86" s="60">
        <v>132.85</v>
      </c>
      <c r="D86" s="60">
        <v>112.5</v>
      </c>
      <c r="E86" s="60">
        <v>9.77</v>
      </c>
      <c r="F86" s="60">
        <v>5.55</v>
      </c>
      <c r="G86" s="60">
        <v>82.07</v>
      </c>
      <c r="H86" s="60">
        <v>29.7</v>
      </c>
      <c r="I86" s="60">
        <v>0.86</v>
      </c>
      <c r="J86" s="60">
        <v>0.2</v>
      </c>
      <c r="K86" s="60">
        <v>75.03</v>
      </c>
      <c r="L86" s="60">
        <v>27.25</v>
      </c>
      <c r="M86" s="60">
        <v>28.52</v>
      </c>
      <c r="N86" s="60">
        <v>4.0999999999999996</v>
      </c>
      <c r="O86" s="60">
        <v>0</v>
      </c>
      <c r="P86" s="60">
        <v>1.97</v>
      </c>
      <c r="Q86" s="60">
        <v>25.31</v>
      </c>
      <c r="R86" s="198"/>
      <c r="S86" s="198"/>
      <c r="T86" s="198"/>
      <c r="U86" s="198"/>
    </row>
    <row r="87" spans="1:26" s="12" customFormat="1" x14ac:dyDescent="0.25">
      <c r="A87" s="201" t="s">
        <v>2726</v>
      </c>
      <c r="B87" s="60">
        <v>29.39</v>
      </c>
      <c r="C87" s="60">
        <v>131.34</v>
      </c>
      <c r="D87" s="60">
        <v>96.05</v>
      </c>
      <c r="E87" s="60">
        <v>9.58</v>
      </c>
      <c r="F87" s="60">
        <v>5.19</v>
      </c>
      <c r="G87" s="60">
        <v>94.29</v>
      </c>
      <c r="H87" s="60">
        <v>34.119999999999997</v>
      </c>
      <c r="I87" s="60">
        <v>0.94</v>
      </c>
      <c r="J87" s="60">
        <v>0.14000000000000001</v>
      </c>
      <c r="K87" s="60">
        <v>88.84</v>
      </c>
      <c r="L87" s="60">
        <v>27.04</v>
      </c>
      <c r="M87" s="60">
        <v>28.25</v>
      </c>
      <c r="N87" s="60">
        <v>4.2</v>
      </c>
      <c r="O87" s="60">
        <v>0</v>
      </c>
      <c r="P87" s="60">
        <v>1.89</v>
      </c>
      <c r="Q87" s="60">
        <v>26.44</v>
      </c>
      <c r="R87" s="198"/>
      <c r="S87" s="198"/>
      <c r="T87" s="198"/>
      <c r="U87" s="198"/>
    </row>
    <row r="88" spans="1:26" s="12" customFormat="1" x14ac:dyDescent="0.25">
      <c r="A88" s="201" t="s">
        <v>2727</v>
      </c>
      <c r="B88" s="60">
        <v>54.43</v>
      </c>
      <c r="C88" s="60">
        <v>133.32</v>
      </c>
      <c r="D88" s="60">
        <v>117.23</v>
      </c>
      <c r="E88" s="60">
        <v>6.24</v>
      </c>
      <c r="F88" s="60">
        <v>4.8</v>
      </c>
      <c r="G88" s="60">
        <v>100.1</v>
      </c>
      <c r="H88" s="60">
        <v>36.22</v>
      </c>
      <c r="I88" s="60">
        <v>1</v>
      </c>
      <c r="J88" s="60">
        <v>0.05</v>
      </c>
      <c r="K88" s="60">
        <v>26.09</v>
      </c>
      <c r="L88" s="60">
        <v>26.09</v>
      </c>
      <c r="M88" s="60">
        <v>32.17</v>
      </c>
      <c r="N88" s="60">
        <v>4.5999999999999996</v>
      </c>
      <c r="O88" s="60">
        <v>0</v>
      </c>
      <c r="P88" s="60">
        <v>2.2200000000000002</v>
      </c>
      <c r="Q88" s="60">
        <v>26.6</v>
      </c>
      <c r="R88" s="198"/>
      <c r="S88" s="198"/>
      <c r="T88" s="198"/>
      <c r="U88" s="198"/>
    </row>
    <row r="89" spans="1:26" s="12" customFormat="1" x14ac:dyDescent="0.25">
      <c r="A89" s="201" t="s">
        <v>2728</v>
      </c>
      <c r="B89" s="60">
        <v>49.51</v>
      </c>
      <c r="C89" s="60">
        <v>132.49</v>
      </c>
      <c r="D89" s="60">
        <v>112.82</v>
      </c>
      <c r="E89" s="60">
        <v>8.76</v>
      </c>
      <c r="F89" s="60">
        <v>4.7</v>
      </c>
      <c r="G89" s="60">
        <v>100.1</v>
      </c>
      <c r="H89" s="60">
        <v>36.22</v>
      </c>
      <c r="I89" s="60">
        <v>1.06</v>
      </c>
      <c r="J89" s="60">
        <v>0.01</v>
      </c>
      <c r="K89" s="60">
        <v>339.54</v>
      </c>
      <c r="L89" s="60">
        <v>25.77</v>
      </c>
      <c r="M89" s="60">
        <v>31.32</v>
      </c>
      <c r="N89" s="60">
        <v>4.4000000000000004</v>
      </c>
      <c r="O89" s="60">
        <v>0</v>
      </c>
      <c r="P89" s="60">
        <v>2.2400000000000002</v>
      </c>
      <c r="Q89" s="60">
        <v>27.3</v>
      </c>
      <c r="R89" s="198"/>
      <c r="S89" s="198"/>
      <c r="T89" s="198"/>
      <c r="U89" s="198"/>
    </row>
    <row r="90" spans="1:26" s="12" customFormat="1" x14ac:dyDescent="0.25">
      <c r="A90" s="201" t="s">
        <v>2729</v>
      </c>
      <c r="B90" s="60">
        <v>56.68</v>
      </c>
      <c r="C90" s="60">
        <v>135.06</v>
      </c>
      <c r="D90" s="60">
        <v>119.99</v>
      </c>
      <c r="E90" s="60">
        <v>8.76</v>
      </c>
      <c r="F90" s="60">
        <v>4.4800000000000004</v>
      </c>
      <c r="G90" s="60">
        <v>100.1</v>
      </c>
      <c r="H90" s="60">
        <v>36.22</v>
      </c>
      <c r="I90" s="60">
        <v>1.1000000000000001</v>
      </c>
      <c r="J90" s="60">
        <v>0.1</v>
      </c>
      <c r="K90" s="60">
        <v>295.64</v>
      </c>
      <c r="L90" s="60">
        <v>25.54</v>
      </c>
      <c r="M90" s="60">
        <v>31.39</v>
      </c>
      <c r="N90" s="60">
        <v>4.4000000000000004</v>
      </c>
      <c r="O90" s="60">
        <v>0</v>
      </c>
      <c r="P90" s="60">
        <v>1.88</v>
      </c>
      <c r="Q90" s="60">
        <v>27.84</v>
      </c>
      <c r="R90" s="198"/>
      <c r="S90" s="198"/>
      <c r="T90" s="198"/>
      <c r="U90" s="198"/>
    </row>
    <row r="91" spans="1:26" s="12" customFormat="1" x14ac:dyDescent="0.25">
      <c r="A91" s="201" t="s">
        <v>2730</v>
      </c>
      <c r="B91" s="60">
        <v>43.53</v>
      </c>
      <c r="C91" s="60">
        <v>131.02000000000001</v>
      </c>
      <c r="D91" s="60">
        <v>107.21</v>
      </c>
      <c r="E91" s="60">
        <v>9.23</v>
      </c>
      <c r="F91" s="60">
        <v>4.47</v>
      </c>
      <c r="G91" s="60">
        <v>121.74</v>
      </c>
      <c r="H91" s="60">
        <v>38.909999999999997</v>
      </c>
      <c r="I91" s="60">
        <v>1.1100000000000001</v>
      </c>
      <c r="J91" s="60">
        <v>0.25</v>
      </c>
      <c r="K91" s="60">
        <v>251.49</v>
      </c>
      <c r="L91" s="60">
        <v>25.27</v>
      </c>
      <c r="M91" s="60">
        <v>33.07</v>
      </c>
      <c r="N91" s="60">
        <v>3.8</v>
      </c>
      <c r="O91" s="60">
        <v>0</v>
      </c>
      <c r="P91" s="60">
        <v>1.76</v>
      </c>
      <c r="Q91" s="60">
        <v>28.28</v>
      </c>
      <c r="R91" s="198"/>
      <c r="S91" s="198"/>
      <c r="T91" s="198"/>
      <c r="U91" s="198"/>
    </row>
    <row r="92" spans="1:26" s="12" customFormat="1" x14ac:dyDescent="0.25">
      <c r="A92" s="201" t="s">
        <v>2731</v>
      </c>
      <c r="B92" s="60">
        <v>41.03</v>
      </c>
      <c r="C92" s="60">
        <v>124.58</v>
      </c>
      <c r="D92" s="60">
        <v>101.65</v>
      </c>
      <c r="E92" s="60">
        <v>5.15</v>
      </c>
      <c r="F92" s="60">
        <v>4.47</v>
      </c>
      <c r="G92" s="60">
        <v>132.03</v>
      </c>
      <c r="H92" s="60">
        <v>40.25</v>
      </c>
      <c r="I92" s="60">
        <v>1.0900000000000001</v>
      </c>
      <c r="J92" s="60">
        <v>0.18</v>
      </c>
      <c r="K92" s="60">
        <v>239.51</v>
      </c>
      <c r="L92" s="60">
        <v>25.73</v>
      </c>
      <c r="M92" s="60">
        <v>33.869999999999997</v>
      </c>
      <c r="N92" s="60">
        <v>3.6</v>
      </c>
      <c r="O92" s="60">
        <v>0</v>
      </c>
      <c r="P92" s="60">
        <v>1.73</v>
      </c>
      <c r="Q92" s="60">
        <v>29.86</v>
      </c>
      <c r="R92" s="198"/>
      <c r="S92" s="198"/>
      <c r="T92" s="198"/>
      <c r="U92" s="198"/>
    </row>
    <row r="93" spans="1:26" s="12" customFormat="1" x14ac:dyDescent="0.25">
      <c r="A93" s="201" t="s">
        <v>2732</v>
      </c>
      <c r="B93" s="60">
        <v>44.93</v>
      </c>
      <c r="C93" s="60">
        <v>125.15</v>
      </c>
      <c r="D93" s="60">
        <v>105.1</v>
      </c>
      <c r="E93" s="60">
        <v>5.21</v>
      </c>
      <c r="F93" s="60">
        <v>4.45</v>
      </c>
      <c r="G93" s="60">
        <v>132.03</v>
      </c>
      <c r="H93" s="60">
        <v>40.25</v>
      </c>
      <c r="I93" s="60">
        <v>1.07</v>
      </c>
      <c r="J93" s="60">
        <v>0.19</v>
      </c>
      <c r="K93" s="60">
        <v>340.93</v>
      </c>
      <c r="L93" s="60">
        <v>25.05</v>
      </c>
      <c r="M93" s="60">
        <v>37.729999999999997</v>
      </c>
      <c r="N93" s="60">
        <v>4.4000000000000004</v>
      </c>
      <c r="O93" s="60">
        <v>0</v>
      </c>
      <c r="P93" s="60">
        <v>1.8</v>
      </c>
      <c r="Q93" s="60">
        <v>31.54</v>
      </c>
      <c r="R93" s="198"/>
      <c r="S93" s="198"/>
      <c r="T93" s="198"/>
      <c r="U93" s="198"/>
    </row>
    <row r="94" spans="1:26" s="12" customFormat="1" x14ac:dyDescent="0.25">
      <c r="A94" s="201" t="s">
        <v>2733</v>
      </c>
      <c r="B94" s="60">
        <v>49.99</v>
      </c>
      <c r="C94" s="60">
        <v>125.18</v>
      </c>
      <c r="D94" s="60">
        <v>109.18</v>
      </c>
      <c r="E94" s="60">
        <v>4.68</v>
      </c>
      <c r="F94" s="60">
        <v>4.38</v>
      </c>
      <c r="G94" s="60">
        <v>132.03</v>
      </c>
      <c r="H94" s="60">
        <v>40.25</v>
      </c>
      <c r="I94" s="60">
        <v>1.06</v>
      </c>
      <c r="J94" s="60">
        <v>0.48</v>
      </c>
      <c r="K94" s="60">
        <v>186.51</v>
      </c>
      <c r="L94" s="60">
        <v>24.57</v>
      </c>
      <c r="M94" s="60">
        <v>39.53</v>
      </c>
      <c r="N94" s="60">
        <v>3.3</v>
      </c>
      <c r="O94" s="60">
        <v>0</v>
      </c>
      <c r="P94" s="60">
        <v>1.91</v>
      </c>
      <c r="Q94" s="60">
        <v>32.21</v>
      </c>
      <c r="R94" s="198"/>
      <c r="S94" s="198"/>
      <c r="T94" s="198"/>
      <c r="U94" s="198"/>
    </row>
    <row r="95" spans="1:26" s="12" customFormat="1" x14ac:dyDescent="0.25">
      <c r="A95" s="201" t="s">
        <v>2734</v>
      </c>
      <c r="B95" s="60">
        <v>54.63</v>
      </c>
      <c r="C95" s="60">
        <v>123.98</v>
      </c>
      <c r="D95" s="60">
        <v>112.23</v>
      </c>
      <c r="E95" s="60">
        <v>4.74</v>
      </c>
      <c r="F95" s="60">
        <v>4.34</v>
      </c>
      <c r="G95" s="60">
        <v>141.68</v>
      </c>
      <c r="H95" s="60">
        <v>43.88</v>
      </c>
      <c r="I95" s="60">
        <v>1</v>
      </c>
      <c r="J95" s="60">
        <v>0.2</v>
      </c>
      <c r="K95" s="60">
        <v>8.9700000000000006</v>
      </c>
      <c r="L95" s="60">
        <v>25</v>
      </c>
      <c r="M95" s="60">
        <v>38.26</v>
      </c>
      <c r="N95" s="60">
        <v>4.2</v>
      </c>
      <c r="O95" s="60">
        <v>0</v>
      </c>
      <c r="P95" s="60">
        <v>1.92</v>
      </c>
      <c r="Q95" s="60">
        <v>32.380000000000003</v>
      </c>
      <c r="R95" s="198"/>
      <c r="S95" s="198"/>
      <c r="T95" s="198"/>
      <c r="U95" s="198"/>
    </row>
    <row r="96" spans="1:26" s="12" customFormat="1" x14ac:dyDescent="0.25">
      <c r="A96" s="201" t="s">
        <v>2735</v>
      </c>
      <c r="B96" s="60">
        <v>58.6</v>
      </c>
      <c r="C96" s="60">
        <v>123.89</v>
      </c>
      <c r="D96" s="60">
        <v>115.37</v>
      </c>
      <c r="E96" s="60">
        <v>4.38</v>
      </c>
      <c r="F96" s="60">
        <v>4.42</v>
      </c>
      <c r="G96" s="60">
        <v>146.27000000000001</v>
      </c>
      <c r="H96" s="60">
        <v>45.69</v>
      </c>
      <c r="I96" s="60">
        <v>1.06</v>
      </c>
      <c r="J96" s="60">
        <v>0.18</v>
      </c>
      <c r="K96" s="60">
        <v>267.88</v>
      </c>
      <c r="L96" s="60">
        <v>24.28</v>
      </c>
      <c r="M96" s="60">
        <v>38.409999999999997</v>
      </c>
      <c r="N96" s="60">
        <v>4.0999999999999996</v>
      </c>
      <c r="O96" s="60">
        <v>0</v>
      </c>
      <c r="P96" s="60">
        <v>1.95</v>
      </c>
      <c r="Q96" s="60">
        <v>32.479999999999997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2736</v>
      </c>
      <c r="B97" s="60">
        <v>64.61</v>
      </c>
      <c r="C97" s="60">
        <v>123.74</v>
      </c>
      <c r="D97" s="60">
        <v>120.1</v>
      </c>
      <c r="E97" s="60">
        <v>4.6399999999999997</v>
      </c>
      <c r="F97" s="60">
        <v>4.37</v>
      </c>
      <c r="G97" s="60">
        <v>146.27000000000001</v>
      </c>
      <c r="H97" s="60">
        <v>45.69</v>
      </c>
      <c r="I97" s="60">
        <v>1.1000000000000001</v>
      </c>
      <c r="J97" s="60">
        <v>0.11</v>
      </c>
      <c r="K97" s="60">
        <v>337.57</v>
      </c>
      <c r="L97" s="60">
        <v>23.8</v>
      </c>
      <c r="M97" s="60">
        <v>39.97</v>
      </c>
      <c r="N97" s="60">
        <v>4.5999999999999996</v>
      </c>
      <c r="O97" s="60">
        <v>0</v>
      </c>
      <c r="P97" s="60">
        <v>2.0099999999999998</v>
      </c>
      <c r="Q97" s="60">
        <v>32.799999999999997</v>
      </c>
      <c r="R97" s="198"/>
      <c r="S97" s="198"/>
      <c r="T97" s="198"/>
      <c r="U97" s="198"/>
    </row>
    <row r="98" spans="1:33" s="12" customFormat="1" x14ac:dyDescent="0.25">
      <c r="A98" s="201" t="s">
        <v>2737</v>
      </c>
      <c r="B98" s="60">
        <v>70.959999999999994</v>
      </c>
      <c r="C98" s="60">
        <v>124.92</v>
      </c>
      <c r="D98" s="60">
        <v>125.85</v>
      </c>
      <c r="E98" s="60">
        <v>5.01</v>
      </c>
      <c r="F98" s="60">
        <v>4.3099999999999996</v>
      </c>
      <c r="G98" s="60">
        <v>146.27000000000001</v>
      </c>
      <c r="H98" s="60">
        <v>45.69</v>
      </c>
      <c r="I98" s="60">
        <v>1.1000000000000001</v>
      </c>
      <c r="J98" s="60">
        <v>0.1</v>
      </c>
      <c r="K98" s="60">
        <v>52.56</v>
      </c>
      <c r="L98" s="60">
        <v>23.39</v>
      </c>
      <c r="M98" s="60">
        <v>42.19</v>
      </c>
      <c r="N98" s="60">
        <v>4.5</v>
      </c>
      <c r="O98" s="60">
        <v>0</v>
      </c>
      <c r="P98" s="60">
        <v>2.1</v>
      </c>
      <c r="Q98" s="60">
        <v>33.03</v>
      </c>
      <c r="R98" s="198"/>
      <c r="S98" s="198"/>
      <c r="T98" s="198"/>
      <c r="U98" s="198"/>
    </row>
    <row r="99" spans="1:33" s="12" customFormat="1" x14ac:dyDescent="0.25">
      <c r="A99" s="201" t="s">
        <v>2738</v>
      </c>
      <c r="B99" s="60">
        <v>93.35</v>
      </c>
      <c r="C99" s="60">
        <v>128.84</v>
      </c>
      <c r="D99" s="60">
        <v>145.96</v>
      </c>
      <c r="E99" s="60">
        <v>5.52</v>
      </c>
      <c r="F99" s="60">
        <v>4.3</v>
      </c>
      <c r="G99" s="60">
        <v>153.66999999999999</v>
      </c>
      <c r="H99" s="60">
        <v>49.9</v>
      </c>
      <c r="I99" s="60">
        <v>1.1000000000000001</v>
      </c>
      <c r="J99" s="60">
        <v>0.16</v>
      </c>
      <c r="K99" s="60">
        <v>79.53</v>
      </c>
      <c r="L99" s="60">
        <v>23.75</v>
      </c>
      <c r="M99" s="60">
        <v>40.369999999999997</v>
      </c>
      <c r="N99" s="60">
        <v>3.8</v>
      </c>
      <c r="O99" s="60">
        <v>0</v>
      </c>
      <c r="P99" s="60">
        <v>2.2200000000000002</v>
      </c>
      <c r="Q99" s="60">
        <v>32.14</v>
      </c>
      <c r="R99" s="198"/>
      <c r="S99" s="198"/>
      <c r="T99" s="198"/>
      <c r="U99" s="198"/>
    </row>
    <row r="100" spans="1:33" s="12" customFormat="1" x14ac:dyDescent="0.25">
      <c r="A100" s="201" t="s">
        <v>2739</v>
      </c>
      <c r="B100" s="60">
        <v>87.38</v>
      </c>
      <c r="C100" s="60">
        <v>126.08</v>
      </c>
      <c r="D100" s="60">
        <v>139.66</v>
      </c>
      <c r="E100" s="60">
        <v>5.14</v>
      </c>
      <c r="F100" s="60">
        <v>4.3</v>
      </c>
      <c r="G100" s="60">
        <v>157.19</v>
      </c>
      <c r="H100" s="60">
        <v>52</v>
      </c>
      <c r="I100" s="60">
        <v>1.1100000000000001</v>
      </c>
      <c r="J100" s="60">
        <v>0.03</v>
      </c>
      <c r="K100" s="60">
        <v>193.64</v>
      </c>
      <c r="L100" s="60">
        <v>23.3</v>
      </c>
      <c r="M100" s="60">
        <v>45.76</v>
      </c>
      <c r="N100" s="60">
        <v>4.2</v>
      </c>
      <c r="O100" s="60">
        <v>0</v>
      </c>
      <c r="P100" s="60">
        <v>2.2400000000000002</v>
      </c>
      <c r="Q100" s="60">
        <v>31.41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2740</v>
      </c>
      <c r="B101" s="60">
        <v>83.3</v>
      </c>
      <c r="C101" s="60">
        <v>126.25</v>
      </c>
      <c r="D101" s="60">
        <v>136.47</v>
      </c>
      <c r="E101" s="60">
        <v>5.97</v>
      </c>
      <c r="F101" s="60">
        <v>4.3499999999999996</v>
      </c>
      <c r="G101" s="60">
        <v>157.19</v>
      </c>
      <c r="H101" s="60">
        <v>52</v>
      </c>
      <c r="I101" s="60">
        <v>1.1299999999999999</v>
      </c>
      <c r="J101" s="60">
        <v>0.13</v>
      </c>
      <c r="K101" s="60">
        <v>113.21</v>
      </c>
      <c r="L101" s="60">
        <v>24.39</v>
      </c>
      <c r="M101" s="60">
        <v>38.200000000000003</v>
      </c>
      <c r="N101" s="60">
        <v>2.7</v>
      </c>
      <c r="O101" s="60">
        <v>0</v>
      </c>
      <c r="P101" s="60">
        <v>2.19</v>
      </c>
      <c r="Q101" s="60">
        <v>32.15</v>
      </c>
      <c r="R101" s="198"/>
      <c r="S101" s="198"/>
      <c r="T101" s="198"/>
      <c r="U101" s="198"/>
    </row>
    <row r="102" spans="1:33" s="12" customFormat="1" x14ac:dyDescent="0.25">
      <c r="A102" s="201" t="s">
        <v>2741</v>
      </c>
      <c r="B102" s="60">
        <v>79.02</v>
      </c>
      <c r="C102" s="60">
        <v>125.74</v>
      </c>
      <c r="D102" s="60">
        <v>132.76</v>
      </c>
      <c r="E102" s="60">
        <v>4.84</v>
      </c>
      <c r="F102" s="60">
        <v>4.38</v>
      </c>
      <c r="G102" s="60">
        <v>157.19</v>
      </c>
      <c r="H102" s="60">
        <v>52</v>
      </c>
      <c r="I102" s="60">
        <v>1.1299999999999999</v>
      </c>
      <c r="J102" s="60">
        <v>0.28000000000000003</v>
      </c>
      <c r="K102" s="60">
        <v>93.23</v>
      </c>
      <c r="L102" s="60">
        <v>23.63</v>
      </c>
      <c r="M102" s="60">
        <v>42.67</v>
      </c>
      <c r="N102" s="60">
        <v>4.2</v>
      </c>
      <c r="O102" s="60">
        <v>0</v>
      </c>
      <c r="P102" s="60">
        <v>2.19</v>
      </c>
      <c r="Q102" s="60">
        <v>32.28</v>
      </c>
      <c r="R102" s="198"/>
      <c r="S102" s="198"/>
      <c r="T102" s="198"/>
      <c r="U102" s="198"/>
    </row>
    <row r="103" spans="1:33" s="12" customFormat="1" x14ac:dyDescent="0.25">
      <c r="A103" s="201" t="s">
        <v>2742</v>
      </c>
      <c r="B103" s="60">
        <v>70.62</v>
      </c>
      <c r="C103" s="60">
        <v>124.66</v>
      </c>
      <c r="D103" s="60">
        <v>125.43</v>
      </c>
      <c r="E103" s="60">
        <v>5.8</v>
      </c>
      <c r="F103" s="60">
        <v>4.51</v>
      </c>
      <c r="G103" s="60">
        <v>155.99</v>
      </c>
      <c r="H103" s="60">
        <v>52.58</v>
      </c>
      <c r="I103" s="60">
        <v>1.1499999999999999</v>
      </c>
      <c r="J103" s="60">
        <v>0.32</v>
      </c>
      <c r="K103" s="60">
        <v>88.43</v>
      </c>
      <c r="L103" s="60">
        <v>24.6</v>
      </c>
      <c r="M103" s="60">
        <v>35.32</v>
      </c>
      <c r="N103" s="60">
        <v>3.4</v>
      </c>
      <c r="O103" s="60">
        <v>0</v>
      </c>
      <c r="P103" s="60">
        <v>2.11</v>
      </c>
      <c r="Q103" s="60">
        <v>32.93</v>
      </c>
      <c r="R103" s="198"/>
      <c r="S103" s="198"/>
      <c r="T103" s="198"/>
      <c r="U103" s="198"/>
    </row>
    <row r="104" spans="1:33" s="12" customFormat="1" x14ac:dyDescent="0.25">
      <c r="A104" s="201" t="s">
        <v>2743</v>
      </c>
      <c r="B104" s="60">
        <v>67.39</v>
      </c>
      <c r="C104" s="60">
        <v>123.51</v>
      </c>
      <c r="D104" s="60">
        <v>122.2</v>
      </c>
      <c r="E104" s="60">
        <v>3.44</v>
      </c>
      <c r="F104" s="60">
        <v>4.97</v>
      </c>
      <c r="G104" s="60">
        <v>155.41999999999999</v>
      </c>
      <c r="H104" s="60">
        <v>52.85</v>
      </c>
      <c r="I104" s="60">
        <v>1.1399999999999999</v>
      </c>
      <c r="J104" s="60">
        <v>0.02</v>
      </c>
      <c r="K104" s="60">
        <v>300.73</v>
      </c>
      <c r="L104" s="60">
        <v>24.03</v>
      </c>
      <c r="M104" s="60">
        <v>36.119999999999997</v>
      </c>
      <c r="N104" s="60">
        <v>4.7</v>
      </c>
      <c r="O104" s="60">
        <v>0</v>
      </c>
      <c r="P104" s="60">
        <v>2.09</v>
      </c>
      <c r="Q104" s="60">
        <v>33.39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0.95</v>
      </c>
      <c r="C106" s="67">
        <f>MIN(C9:C104)</f>
        <v>81.31</v>
      </c>
      <c r="D106" s="67">
        <f t="shared" ref="D106:Q106" si="0">MIN(D9:D104)</f>
        <v>47.37</v>
      </c>
      <c r="E106" s="67">
        <f t="shared" si="0"/>
        <v>3.04</v>
      </c>
      <c r="F106" s="67">
        <f t="shared" si="0"/>
        <v>4.3</v>
      </c>
      <c r="G106" s="67">
        <f t="shared" si="0"/>
        <v>41.37</v>
      </c>
      <c r="H106" s="67">
        <f t="shared" si="0"/>
        <v>23.49</v>
      </c>
      <c r="I106" s="67">
        <f t="shared" si="0"/>
        <v>0.6</v>
      </c>
      <c r="J106" s="67">
        <f t="shared" si="0"/>
        <v>0.01</v>
      </c>
      <c r="K106" s="67">
        <f t="shared" si="0"/>
        <v>0.02</v>
      </c>
      <c r="L106" s="67">
        <f t="shared" si="0"/>
        <v>18.899999999999999</v>
      </c>
      <c r="M106" s="67">
        <f t="shared" si="0"/>
        <v>11.34</v>
      </c>
      <c r="N106" s="67">
        <f t="shared" si="0"/>
        <v>1.8</v>
      </c>
      <c r="O106" s="67">
        <f t="shared" si="0"/>
        <v>0</v>
      </c>
      <c r="P106" s="67">
        <f t="shared" si="0"/>
        <v>0.79</v>
      </c>
      <c r="Q106" s="67">
        <f t="shared" si="0"/>
        <v>25.31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115.35</v>
      </c>
      <c r="C107" s="66">
        <f t="shared" ref="C107:Q107" si="1">MAX(C9:C104)</f>
        <v>135.06</v>
      </c>
      <c r="D107" s="66">
        <f t="shared" si="1"/>
        <v>157.63999999999999</v>
      </c>
      <c r="E107" s="66">
        <f t="shared" si="1"/>
        <v>15.76</v>
      </c>
      <c r="F107" s="66">
        <f t="shared" si="1"/>
        <v>29.69</v>
      </c>
      <c r="G107" s="66">
        <f t="shared" si="1"/>
        <v>210.99</v>
      </c>
      <c r="H107" s="66">
        <f t="shared" si="1"/>
        <v>82.9</v>
      </c>
      <c r="I107" s="66">
        <f t="shared" si="1"/>
        <v>1.45</v>
      </c>
      <c r="J107" s="66">
        <f t="shared" si="1"/>
        <v>1.61</v>
      </c>
      <c r="K107" s="66">
        <f t="shared" si="1"/>
        <v>358.05</v>
      </c>
      <c r="L107" s="66">
        <f t="shared" si="1"/>
        <v>38.1</v>
      </c>
      <c r="M107" s="66">
        <f t="shared" si="1"/>
        <v>64.98</v>
      </c>
      <c r="N107" s="66">
        <f t="shared" si="1"/>
        <v>536.20000000000005</v>
      </c>
      <c r="O107" s="66">
        <f t="shared" si="1"/>
        <v>0</v>
      </c>
      <c r="P107" s="66">
        <f t="shared" si="1"/>
        <v>3.12</v>
      </c>
      <c r="Q107" s="66">
        <f t="shared" si="1"/>
        <v>34.17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49.655312500000001</v>
      </c>
      <c r="C108" s="67">
        <f t="shared" ref="C108:Q108" si="2">AVERAGE(C9:C104)</f>
        <v>110.53197916666669</v>
      </c>
      <c r="D108" s="67">
        <f t="shared" si="2"/>
        <v>100.81999999999998</v>
      </c>
      <c r="E108" s="67">
        <f t="shared" si="2"/>
        <v>7.2228124999999999</v>
      </c>
      <c r="F108" s="67">
        <f t="shared" si="2"/>
        <v>8.2371875000000028</v>
      </c>
      <c r="G108" s="67">
        <f t="shared" si="2"/>
        <v>114.96354166666679</v>
      </c>
      <c r="H108" s="67">
        <f t="shared" si="2"/>
        <v>48.444479166666618</v>
      </c>
      <c r="I108" s="67">
        <f t="shared" si="2"/>
        <v>0.96572916666666675</v>
      </c>
      <c r="J108" s="67">
        <f t="shared" si="2"/>
        <v>0.40062500000000001</v>
      </c>
      <c r="K108" s="67">
        <f t="shared" si="2"/>
        <v>129.31520833333329</v>
      </c>
      <c r="L108" s="67">
        <f t="shared" si="2"/>
        <v>27.312291666666667</v>
      </c>
      <c r="M108" s="67">
        <f t="shared" si="2"/>
        <v>33.162812500000008</v>
      </c>
      <c r="N108" s="67">
        <f t="shared" si="2"/>
        <v>155.13541666666669</v>
      </c>
      <c r="O108" s="67">
        <f t="shared" si="2"/>
        <v>0</v>
      </c>
      <c r="P108" s="67">
        <f t="shared" si="2"/>
        <v>1.8576041666666658</v>
      </c>
      <c r="Q108" s="67">
        <f t="shared" si="2"/>
        <v>30.377604166666671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35.787791683555</v>
      </c>
      <c r="C109" s="67">
        <f t="shared" ref="C109:Q109" si="3">STDEV(C9:C104)</f>
        <v>13.332286858741343</v>
      </c>
      <c r="D109" s="67">
        <f t="shared" si="3"/>
        <v>32.592526395511499</v>
      </c>
      <c r="E109" s="67">
        <f t="shared" si="3"/>
        <v>2.5799855989500209</v>
      </c>
      <c r="F109" s="67">
        <f t="shared" si="3"/>
        <v>6.395717761970853</v>
      </c>
      <c r="G109" s="67">
        <f t="shared" si="3"/>
        <v>51.220341785151085</v>
      </c>
      <c r="H109" s="67">
        <f t="shared" si="3"/>
        <v>16.867233939757718</v>
      </c>
      <c r="I109" s="67">
        <f t="shared" si="3"/>
        <v>0.24254677157923285</v>
      </c>
      <c r="J109" s="67">
        <f t="shared" si="3"/>
        <v>0.34508828008588127</v>
      </c>
      <c r="K109" s="67">
        <f t="shared" si="3"/>
        <v>102.85203097530757</v>
      </c>
      <c r="L109" s="67">
        <f t="shared" si="3"/>
        <v>5.6558348965641851</v>
      </c>
      <c r="M109" s="67">
        <f t="shared" si="3"/>
        <v>15.237032015394512</v>
      </c>
      <c r="N109" s="67">
        <f t="shared" si="3"/>
        <v>205.13730343058498</v>
      </c>
      <c r="O109" s="67">
        <f t="shared" si="3"/>
        <v>0</v>
      </c>
      <c r="P109" s="67">
        <f t="shared" si="3"/>
        <v>0.6769587483221019</v>
      </c>
      <c r="Q109" s="67">
        <f t="shared" si="3"/>
        <v>2.5824401943619404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</f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P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/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215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5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11" sqref="I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27-02-2023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340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2744</v>
      </c>
      <c r="B9" s="60">
        <v>72.97</v>
      </c>
      <c r="C9" s="60">
        <v>125.29</v>
      </c>
      <c r="D9" s="60">
        <v>127.66</v>
      </c>
      <c r="E9" s="60">
        <v>6.56</v>
      </c>
      <c r="F9" s="60">
        <v>5.18</v>
      </c>
      <c r="G9" s="60">
        <v>155.41999999999999</v>
      </c>
      <c r="H9" s="60">
        <v>52.85</v>
      </c>
      <c r="I9" s="60">
        <v>1.1399999999999999</v>
      </c>
      <c r="J9" s="60">
        <v>0.06</v>
      </c>
      <c r="K9" s="60">
        <v>187.29</v>
      </c>
      <c r="L9" s="60">
        <v>23.51</v>
      </c>
      <c r="M9" s="60">
        <v>37.94</v>
      </c>
      <c r="N9" s="60">
        <v>4.2</v>
      </c>
      <c r="O9" s="60">
        <v>0</v>
      </c>
      <c r="P9" s="60">
        <v>2.11</v>
      </c>
      <c r="Q9" s="60">
        <v>33.61</v>
      </c>
      <c r="R9" s="198"/>
      <c r="S9" s="198"/>
      <c r="T9" s="198"/>
      <c r="U9" s="198"/>
    </row>
    <row r="10" spans="1:21" s="12" customFormat="1" x14ac:dyDescent="0.25">
      <c r="A10" s="201" t="s">
        <v>2745</v>
      </c>
      <c r="B10" s="60">
        <v>67.040000000000006</v>
      </c>
      <c r="C10" s="60">
        <v>121.24</v>
      </c>
      <c r="D10" s="60">
        <v>120.67</v>
      </c>
      <c r="E10" s="60">
        <v>6.44</v>
      </c>
      <c r="F10" s="60">
        <v>6</v>
      </c>
      <c r="G10" s="60">
        <v>155.41999999999999</v>
      </c>
      <c r="H10" s="60">
        <v>52.85</v>
      </c>
      <c r="I10" s="60">
        <v>1.1299999999999999</v>
      </c>
      <c r="J10" s="60">
        <v>0.06</v>
      </c>
      <c r="K10" s="60">
        <v>85.66</v>
      </c>
      <c r="L10" s="60">
        <v>23.72</v>
      </c>
      <c r="M10" s="60">
        <v>38.85</v>
      </c>
      <c r="N10" s="60">
        <v>3.8</v>
      </c>
      <c r="O10" s="60">
        <v>0</v>
      </c>
      <c r="P10" s="60">
        <v>2.06</v>
      </c>
      <c r="Q10" s="60">
        <v>33.729999999999997</v>
      </c>
      <c r="R10" s="198"/>
      <c r="S10" s="198"/>
      <c r="T10" s="198"/>
      <c r="U10" s="198"/>
    </row>
    <row r="11" spans="1:21" s="12" customFormat="1" x14ac:dyDescent="0.25">
      <c r="A11" s="201" t="s">
        <v>2746</v>
      </c>
      <c r="B11" s="60">
        <v>71.84</v>
      </c>
      <c r="C11" s="60">
        <v>123.32</v>
      </c>
      <c r="D11" s="60">
        <v>125.67</v>
      </c>
      <c r="E11" s="60">
        <v>5.49</v>
      </c>
      <c r="F11" s="60">
        <v>4.7699999999999996</v>
      </c>
      <c r="G11" s="60">
        <v>134.84</v>
      </c>
      <c r="H11" s="60">
        <v>48.1</v>
      </c>
      <c r="I11" s="60">
        <v>1.1299999999999999</v>
      </c>
      <c r="J11" s="60">
        <v>0.11</v>
      </c>
      <c r="K11" s="60">
        <v>24.57</v>
      </c>
      <c r="L11" s="60">
        <v>23.44</v>
      </c>
      <c r="M11" s="60">
        <v>41.01</v>
      </c>
      <c r="N11" s="60">
        <v>4.4000000000000004</v>
      </c>
      <c r="O11" s="60">
        <v>0</v>
      </c>
      <c r="P11" s="60">
        <v>2.11</v>
      </c>
      <c r="Q11" s="60">
        <v>34.270000000000003</v>
      </c>
      <c r="R11" s="198"/>
      <c r="S11" s="198"/>
      <c r="T11" s="198"/>
      <c r="U11" s="198"/>
    </row>
    <row r="12" spans="1:21" s="12" customFormat="1" x14ac:dyDescent="0.25">
      <c r="A12" s="201" t="s">
        <v>2747</v>
      </c>
      <c r="B12" s="60">
        <v>70.709999999999994</v>
      </c>
      <c r="C12" s="60">
        <v>121.87</v>
      </c>
      <c r="D12" s="60">
        <v>123.96</v>
      </c>
      <c r="E12" s="60">
        <v>5.45</v>
      </c>
      <c r="F12" s="60">
        <v>4.62</v>
      </c>
      <c r="G12" s="60">
        <v>125.05</v>
      </c>
      <c r="H12" s="60">
        <v>45.72</v>
      </c>
      <c r="I12" s="60">
        <v>1.1499999999999999</v>
      </c>
      <c r="J12" s="60">
        <v>0.12</v>
      </c>
      <c r="K12" s="60">
        <v>16.82</v>
      </c>
      <c r="L12" s="60">
        <v>22.97</v>
      </c>
      <c r="M12" s="60">
        <v>42.17</v>
      </c>
      <c r="N12" s="60">
        <v>4.5</v>
      </c>
      <c r="O12" s="60">
        <v>0</v>
      </c>
      <c r="P12" s="60">
        <v>2.0699999999999998</v>
      </c>
      <c r="Q12" s="60">
        <v>34.36</v>
      </c>
      <c r="R12" s="198"/>
      <c r="S12" s="198"/>
      <c r="T12" s="198"/>
      <c r="U12" s="198"/>
    </row>
    <row r="13" spans="1:21" s="12" customFormat="1" x14ac:dyDescent="0.25">
      <c r="A13" s="201" t="s">
        <v>2748</v>
      </c>
      <c r="B13" s="60">
        <v>69.11</v>
      </c>
      <c r="C13" s="60">
        <v>122.15</v>
      </c>
      <c r="D13" s="60">
        <v>122.83</v>
      </c>
      <c r="E13" s="60">
        <v>5.23</v>
      </c>
      <c r="F13" s="60">
        <v>4.47</v>
      </c>
      <c r="G13" s="60">
        <v>125.05</v>
      </c>
      <c r="H13" s="60">
        <v>45.72</v>
      </c>
      <c r="I13" s="60">
        <v>1.17</v>
      </c>
      <c r="J13" s="60">
        <v>0.13</v>
      </c>
      <c r="K13" s="60">
        <v>3.52</v>
      </c>
      <c r="L13" s="60">
        <v>23.2</v>
      </c>
      <c r="M13" s="60">
        <v>40.18</v>
      </c>
      <c r="N13" s="60">
        <v>4.4000000000000004</v>
      </c>
      <c r="O13" s="60">
        <v>0</v>
      </c>
      <c r="P13" s="60">
        <v>1.96</v>
      </c>
      <c r="Q13" s="60">
        <v>34.17</v>
      </c>
      <c r="R13" s="198"/>
      <c r="S13" s="198"/>
      <c r="T13" s="198"/>
      <c r="U13" s="198"/>
    </row>
    <row r="14" spans="1:21" s="12" customFormat="1" x14ac:dyDescent="0.25">
      <c r="A14" s="201" t="s">
        <v>2749</v>
      </c>
      <c r="B14" s="60">
        <v>65.73</v>
      </c>
      <c r="C14" s="60">
        <v>121.76</v>
      </c>
      <c r="D14" s="60">
        <v>119.9</v>
      </c>
      <c r="E14" s="60">
        <v>5.19</v>
      </c>
      <c r="F14" s="60">
        <v>4.3600000000000003</v>
      </c>
      <c r="G14" s="60">
        <v>125.05</v>
      </c>
      <c r="H14" s="60">
        <v>45.72</v>
      </c>
      <c r="I14" s="60">
        <v>1.1499999999999999</v>
      </c>
      <c r="J14" s="60">
        <v>0.09</v>
      </c>
      <c r="K14" s="60">
        <v>164.12</v>
      </c>
      <c r="L14" s="60">
        <v>22.98</v>
      </c>
      <c r="M14" s="60">
        <v>39.6</v>
      </c>
      <c r="N14" s="60">
        <v>3.8</v>
      </c>
      <c r="O14" s="60">
        <v>0</v>
      </c>
      <c r="P14" s="60">
        <v>1.99</v>
      </c>
      <c r="Q14" s="60">
        <v>33.9</v>
      </c>
      <c r="R14" s="198"/>
      <c r="S14" s="198"/>
      <c r="T14" s="198"/>
      <c r="U14" s="198"/>
    </row>
    <row r="15" spans="1:21" s="12" customFormat="1" x14ac:dyDescent="0.25">
      <c r="A15" s="201" t="s">
        <v>2750</v>
      </c>
      <c r="B15" s="60">
        <v>61.37</v>
      </c>
      <c r="C15" s="60">
        <v>121.15</v>
      </c>
      <c r="D15" s="60">
        <v>116.08</v>
      </c>
      <c r="E15" s="60">
        <v>4.9400000000000004</v>
      </c>
      <c r="F15" s="60">
        <v>4.34</v>
      </c>
      <c r="G15" s="60">
        <v>108.58</v>
      </c>
      <c r="H15" s="60">
        <v>41.26</v>
      </c>
      <c r="I15" s="60">
        <v>1.1399999999999999</v>
      </c>
      <c r="J15" s="60">
        <v>0.17</v>
      </c>
      <c r="K15" s="60">
        <v>20.76</v>
      </c>
      <c r="L15" s="60">
        <v>22.81</v>
      </c>
      <c r="M15" s="60">
        <v>42.85</v>
      </c>
      <c r="N15" s="60">
        <v>4.5999999999999996</v>
      </c>
      <c r="O15" s="60">
        <v>0</v>
      </c>
      <c r="P15" s="60">
        <v>1.93</v>
      </c>
      <c r="Q15" s="60">
        <v>33.47</v>
      </c>
      <c r="R15" s="198"/>
      <c r="S15" s="198"/>
      <c r="T15" s="198"/>
      <c r="U15" s="198"/>
    </row>
    <row r="16" spans="1:21" s="12" customFormat="1" x14ac:dyDescent="0.25">
      <c r="A16" s="201" t="s">
        <v>2751</v>
      </c>
      <c r="B16" s="60">
        <v>57.3</v>
      </c>
      <c r="C16" s="60">
        <v>120.28</v>
      </c>
      <c r="D16" s="60">
        <v>112.33</v>
      </c>
      <c r="E16" s="60">
        <v>5.33</v>
      </c>
      <c r="F16" s="60">
        <v>4.3499999999999996</v>
      </c>
      <c r="G16" s="60">
        <v>100.35</v>
      </c>
      <c r="H16" s="60">
        <v>39.03</v>
      </c>
      <c r="I16" s="60">
        <v>1.1100000000000001</v>
      </c>
      <c r="J16" s="60">
        <v>0.13</v>
      </c>
      <c r="K16" s="60">
        <v>283.79000000000002</v>
      </c>
      <c r="L16" s="60">
        <v>22.36</v>
      </c>
      <c r="M16" s="60">
        <v>43.18</v>
      </c>
      <c r="N16" s="60">
        <v>4.2</v>
      </c>
      <c r="O16" s="60">
        <v>0</v>
      </c>
      <c r="P16" s="60">
        <v>1.88</v>
      </c>
      <c r="Q16" s="60">
        <v>33.08</v>
      </c>
      <c r="R16" s="198"/>
      <c r="S16" s="198"/>
      <c r="T16" s="198"/>
      <c r="U16" s="198"/>
    </row>
    <row r="17" spans="1:21" s="12" customFormat="1" x14ac:dyDescent="0.25">
      <c r="A17" s="201" t="s">
        <v>2752</v>
      </c>
      <c r="B17" s="60">
        <v>51.88</v>
      </c>
      <c r="C17" s="60">
        <v>118.83</v>
      </c>
      <c r="D17" s="60">
        <v>107.18</v>
      </c>
      <c r="E17" s="60">
        <v>5.15</v>
      </c>
      <c r="F17" s="60">
        <v>4.38</v>
      </c>
      <c r="G17" s="60">
        <v>100.35</v>
      </c>
      <c r="H17" s="60">
        <v>39.03</v>
      </c>
      <c r="I17" s="60">
        <v>1.0900000000000001</v>
      </c>
      <c r="J17" s="60">
        <v>0.73</v>
      </c>
      <c r="K17" s="60">
        <v>219.73</v>
      </c>
      <c r="L17" s="60">
        <v>22.93</v>
      </c>
      <c r="M17" s="60">
        <v>40.53</v>
      </c>
      <c r="N17" s="60">
        <v>3.2</v>
      </c>
      <c r="O17" s="60">
        <v>0</v>
      </c>
      <c r="P17" s="60">
        <v>1.8</v>
      </c>
      <c r="Q17" s="60">
        <v>32.5</v>
      </c>
      <c r="R17" s="198"/>
      <c r="S17" s="198"/>
      <c r="T17" s="198"/>
      <c r="U17" s="198"/>
    </row>
    <row r="18" spans="1:21" s="12" customFormat="1" x14ac:dyDescent="0.25">
      <c r="A18" s="201" t="s">
        <v>2753</v>
      </c>
      <c r="B18" s="60">
        <v>46.49</v>
      </c>
      <c r="C18" s="60">
        <v>115.98</v>
      </c>
      <c r="D18" s="60">
        <v>101.29</v>
      </c>
      <c r="E18" s="60">
        <v>5.04</v>
      </c>
      <c r="F18" s="60">
        <v>4.3</v>
      </c>
      <c r="G18" s="60">
        <v>100.35</v>
      </c>
      <c r="H18" s="60">
        <v>39.03</v>
      </c>
      <c r="I18" s="60">
        <v>1</v>
      </c>
      <c r="J18" s="60">
        <v>0.12</v>
      </c>
      <c r="K18" s="60">
        <v>208.56</v>
      </c>
      <c r="L18" s="60">
        <v>21.69</v>
      </c>
      <c r="M18" s="60">
        <v>51.51</v>
      </c>
      <c r="N18" s="60">
        <v>5.2</v>
      </c>
      <c r="O18" s="60">
        <v>0</v>
      </c>
      <c r="P18" s="60">
        <v>1.75</v>
      </c>
      <c r="Q18" s="60">
        <v>31.17</v>
      </c>
      <c r="R18" s="198"/>
      <c r="S18" s="198"/>
      <c r="T18" s="198"/>
      <c r="U18" s="198"/>
    </row>
    <row r="19" spans="1:21" s="12" customFormat="1" x14ac:dyDescent="0.25">
      <c r="A19" s="201" t="s">
        <v>2754</v>
      </c>
      <c r="B19" s="60">
        <v>44.18</v>
      </c>
      <c r="C19" s="60">
        <v>113.81</v>
      </c>
      <c r="D19" s="60">
        <v>98.23</v>
      </c>
      <c r="E19" s="60">
        <v>4.87</v>
      </c>
      <c r="F19" s="60">
        <v>4.34</v>
      </c>
      <c r="G19" s="60">
        <v>79.39</v>
      </c>
      <c r="H19" s="60">
        <v>38.29</v>
      </c>
      <c r="I19" s="60">
        <v>1</v>
      </c>
      <c r="J19" s="60">
        <v>0.24</v>
      </c>
      <c r="K19" s="60">
        <v>45.93</v>
      </c>
      <c r="L19" s="60">
        <v>20.83</v>
      </c>
      <c r="M19" s="60">
        <v>54.73</v>
      </c>
      <c r="N19" s="60">
        <v>4.5999999999999996</v>
      </c>
      <c r="O19" s="60">
        <v>0</v>
      </c>
      <c r="P19" s="60">
        <v>1.7</v>
      </c>
      <c r="Q19" s="60">
        <v>30.15</v>
      </c>
      <c r="R19" s="198"/>
      <c r="S19" s="198"/>
      <c r="T19" s="198"/>
      <c r="U19" s="198"/>
    </row>
    <row r="20" spans="1:21" s="12" customFormat="1" x14ac:dyDescent="0.25">
      <c r="A20" s="201" t="s">
        <v>2755</v>
      </c>
      <c r="B20" s="60">
        <v>42.17</v>
      </c>
      <c r="C20" s="60">
        <v>112.44</v>
      </c>
      <c r="D20" s="60">
        <v>95.87</v>
      </c>
      <c r="E20" s="60">
        <v>4.57</v>
      </c>
      <c r="F20" s="60">
        <v>4.3499999999999996</v>
      </c>
      <c r="G20" s="60">
        <v>68.92</v>
      </c>
      <c r="H20" s="60">
        <v>37.93</v>
      </c>
      <c r="I20" s="60">
        <v>0.95</v>
      </c>
      <c r="J20" s="60">
        <v>0.08</v>
      </c>
      <c r="K20" s="60">
        <v>265.85000000000002</v>
      </c>
      <c r="L20" s="60">
        <v>20.91</v>
      </c>
      <c r="M20" s="60">
        <v>53.02</v>
      </c>
      <c r="N20" s="60">
        <v>4.4000000000000004</v>
      </c>
      <c r="O20" s="60">
        <v>0</v>
      </c>
      <c r="P20" s="60">
        <v>1.64</v>
      </c>
      <c r="Q20" s="60">
        <v>30.06</v>
      </c>
      <c r="R20" s="198"/>
      <c r="S20" s="198"/>
      <c r="T20" s="198"/>
      <c r="U20" s="198"/>
    </row>
    <row r="21" spans="1:21" s="12" customFormat="1" x14ac:dyDescent="0.25">
      <c r="A21" s="201" t="s">
        <v>2756</v>
      </c>
      <c r="B21" s="60">
        <v>40.24</v>
      </c>
      <c r="C21" s="60">
        <v>110.63</v>
      </c>
      <c r="D21" s="60">
        <v>93.32</v>
      </c>
      <c r="E21" s="60">
        <v>4.58</v>
      </c>
      <c r="F21" s="60">
        <v>4.54</v>
      </c>
      <c r="G21" s="60">
        <v>68.92</v>
      </c>
      <c r="H21" s="60">
        <v>37.93</v>
      </c>
      <c r="I21" s="60">
        <v>0.91</v>
      </c>
      <c r="J21" s="60">
        <v>0.27</v>
      </c>
      <c r="K21" s="60">
        <v>198.35</v>
      </c>
      <c r="L21" s="60">
        <v>21.02</v>
      </c>
      <c r="M21" s="60">
        <v>51.73</v>
      </c>
      <c r="N21" s="60">
        <v>3.7</v>
      </c>
      <c r="O21" s="60">
        <v>0</v>
      </c>
      <c r="P21" s="60">
        <v>1.62</v>
      </c>
      <c r="Q21" s="60">
        <v>30.29</v>
      </c>
      <c r="R21" s="198"/>
      <c r="S21" s="198"/>
      <c r="T21" s="198"/>
      <c r="U21" s="198"/>
    </row>
    <row r="22" spans="1:21" s="12" customFormat="1" x14ac:dyDescent="0.25">
      <c r="A22" s="201" t="s">
        <v>2757</v>
      </c>
      <c r="B22" s="60">
        <v>39.270000000000003</v>
      </c>
      <c r="C22" s="60">
        <v>109.37</v>
      </c>
      <c r="D22" s="60">
        <v>91.85</v>
      </c>
      <c r="E22" s="60">
        <v>4.96</v>
      </c>
      <c r="F22" s="60">
        <v>4.34</v>
      </c>
      <c r="G22" s="60">
        <v>68.92</v>
      </c>
      <c r="H22" s="60">
        <v>37.93</v>
      </c>
      <c r="I22" s="60">
        <v>0.96</v>
      </c>
      <c r="J22" s="60">
        <v>0.05</v>
      </c>
      <c r="K22" s="60">
        <v>28.17</v>
      </c>
      <c r="L22" s="60">
        <v>21.23</v>
      </c>
      <c r="M22" s="60">
        <v>51.42</v>
      </c>
      <c r="N22" s="60">
        <v>4.2</v>
      </c>
      <c r="O22" s="60">
        <v>0</v>
      </c>
      <c r="P22" s="60">
        <v>1.58</v>
      </c>
      <c r="Q22" s="60">
        <v>30.26</v>
      </c>
      <c r="R22" s="198"/>
      <c r="S22" s="198"/>
      <c r="T22" s="198"/>
      <c r="U22" s="198"/>
    </row>
    <row r="23" spans="1:21" s="12" customFormat="1" x14ac:dyDescent="0.25">
      <c r="A23" s="201" t="s">
        <v>2758</v>
      </c>
      <c r="B23" s="60">
        <v>36.71</v>
      </c>
      <c r="C23" s="60">
        <v>106.49</v>
      </c>
      <c r="D23" s="60">
        <v>88.21</v>
      </c>
      <c r="E23" s="60">
        <v>4.5999999999999996</v>
      </c>
      <c r="F23" s="60">
        <v>4.3899999999999997</v>
      </c>
      <c r="G23" s="60">
        <v>67.5</v>
      </c>
      <c r="H23" s="60">
        <v>35.56</v>
      </c>
      <c r="I23" s="60">
        <v>0.93</v>
      </c>
      <c r="J23" s="60">
        <v>0.27</v>
      </c>
      <c r="K23" s="60">
        <v>56.19</v>
      </c>
      <c r="L23" s="60">
        <v>20.87</v>
      </c>
      <c r="M23" s="60">
        <v>52.13</v>
      </c>
      <c r="N23" s="60">
        <v>4</v>
      </c>
      <c r="O23" s="60">
        <v>0</v>
      </c>
      <c r="P23" s="60">
        <v>1.53</v>
      </c>
      <c r="Q23" s="60">
        <v>30.3</v>
      </c>
      <c r="R23" s="198"/>
      <c r="S23" s="198"/>
      <c r="T23" s="198"/>
      <c r="U23" s="198"/>
    </row>
    <row r="24" spans="1:21" s="12" customFormat="1" x14ac:dyDescent="0.25">
      <c r="A24" s="201" t="s">
        <v>2759</v>
      </c>
      <c r="B24" s="60">
        <v>36.81</v>
      </c>
      <c r="C24" s="60">
        <v>107.19</v>
      </c>
      <c r="D24" s="60">
        <v>88.67</v>
      </c>
      <c r="E24" s="60">
        <v>2.85</v>
      </c>
      <c r="F24" s="60">
        <v>4.5</v>
      </c>
      <c r="G24" s="60">
        <v>66.790000000000006</v>
      </c>
      <c r="H24" s="60">
        <v>34.380000000000003</v>
      </c>
      <c r="I24" s="60">
        <v>0.88</v>
      </c>
      <c r="J24" s="60">
        <v>0.13</v>
      </c>
      <c r="K24" s="60">
        <v>72.84</v>
      </c>
      <c r="L24" s="60">
        <v>21.04</v>
      </c>
      <c r="M24" s="60">
        <v>46.56</v>
      </c>
      <c r="N24" s="60">
        <v>4</v>
      </c>
      <c r="O24" s="60">
        <v>0</v>
      </c>
      <c r="P24" s="60">
        <v>1.51</v>
      </c>
      <c r="Q24" s="60">
        <v>30.4</v>
      </c>
      <c r="R24" s="198"/>
      <c r="S24" s="198"/>
      <c r="T24" s="198"/>
      <c r="U24" s="198"/>
    </row>
    <row r="25" spans="1:21" s="12" customFormat="1" x14ac:dyDescent="0.25">
      <c r="A25" s="201" t="s">
        <v>2760</v>
      </c>
      <c r="B25" s="60">
        <v>35.520000000000003</v>
      </c>
      <c r="C25" s="60">
        <v>107.19</v>
      </c>
      <c r="D25" s="60">
        <v>87.64</v>
      </c>
      <c r="E25" s="60">
        <v>4.17</v>
      </c>
      <c r="F25" s="60">
        <v>4.53</v>
      </c>
      <c r="G25" s="60">
        <v>66.790000000000006</v>
      </c>
      <c r="H25" s="60">
        <v>34.380000000000003</v>
      </c>
      <c r="I25" s="60">
        <v>0.88</v>
      </c>
      <c r="J25" s="60">
        <v>0.11</v>
      </c>
      <c r="K25" s="60">
        <v>60.27</v>
      </c>
      <c r="L25" s="60">
        <v>21.29</v>
      </c>
      <c r="M25" s="60">
        <v>43.6</v>
      </c>
      <c r="N25" s="60">
        <v>4.2</v>
      </c>
      <c r="O25" s="60">
        <v>0</v>
      </c>
      <c r="P25" s="60">
        <v>1.49</v>
      </c>
      <c r="Q25" s="60">
        <v>31.18</v>
      </c>
      <c r="R25" s="198"/>
      <c r="S25" s="198"/>
      <c r="T25" s="198"/>
      <c r="U25" s="198"/>
    </row>
    <row r="26" spans="1:21" s="12" customFormat="1" x14ac:dyDescent="0.25">
      <c r="A26" s="201" t="s">
        <v>2761</v>
      </c>
      <c r="B26" s="60">
        <v>34.08</v>
      </c>
      <c r="C26" s="60">
        <v>107.74</v>
      </c>
      <c r="D26" s="60">
        <v>86.79</v>
      </c>
      <c r="E26" s="60">
        <v>4.6399999999999997</v>
      </c>
      <c r="F26" s="60">
        <v>4.4000000000000004</v>
      </c>
      <c r="G26" s="60">
        <v>66.790000000000006</v>
      </c>
      <c r="H26" s="60">
        <v>34.380000000000003</v>
      </c>
      <c r="I26" s="60">
        <v>0.87</v>
      </c>
      <c r="J26" s="60">
        <v>0.12</v>
      </c>
      <c r="K26" s="60">
        <v>68.22</v>
      </c>
      <c r="L26" s="60">
        <v>21.37</v>
      </c>
      <c r="M26" s="60">
        <v>41.64</v>
      </c>
      <c r="N26" s="60">
        <v>4.2</v>
      </c>
      <c r="O26" s="60">
        <v>0</v>
      </c>
      <c r="P26" s="60">
        <v>1.45</v>
      </c>
      <c r="Q26" s="60">
        <v>31.65</v>
      </c>
      <c r="R26" s="198"/>
      <c r="S26" s="198"/>
      <c r="T26" s="198"/>
      <c r="U26" s="198"/>
    </row>
    <row r="27" spans="1:21" s="12" customFormat="1" x14ac:dyDescent="0.25">
      <c r="A27" s="201" t="s">
        <v>2762</v>
      </c>
      <c r="B27" s="60">
        <v>31.51</v>
      </c>
      <c r="C27" s="60">
        <v>107.66</v>
      </c>
      <c r="D27" s="60">
        <v>84.69</v>
      </c>
      <c r="E27" s="60">
        <v>4.97</v>
      </c>
      <c r="F27" s="60">
        <v>4.41</v>
      </c>
      <c r="G27" s="60">
        <v>72.78</v>
      </c>
      <c r="H27" s="60">
        <v>33.979999999999997</v>
      </c>
      <c r="I27" s="60">
        <v>0.86</v>
      </c>
      <c r="J27" s="60">
        <v>0.11</v>
      </c>
      <c r="K27" s="60">
        <v>41.02</v>
      </c>
      <c r="L27" s="60">
        <v>21.34</v>
      </c>
      <c r="M27" s="60">
        <v>41.44</v>
      </c>
      <c r="N27" s="60">
        <v>4.0999999999999996</v>
      </c>
      <c r="O27" s="60">
        <v>0</v>
      </c>
      <c r="P27" s="60">
        <v>1.4</v>
      </c>
      <c r="Q27" s="60">
        <v>31.45</v>
      </c>
      <c r="R27" s="198"/>
      <c r="S27" s="198"/>
      <c r="T27" s="198"/>
      <c r="U27" s="198"/>
    </row>
    <row r="28" spans="1:21" s="12" customFormat="1" x14ac:dyDescent="0.25">
      <c r="A28" s="201" t="s">
        <v>2763</v>
      </c>
      <c r="B28" s="60">
        <v>29.28</v>
      </c>
      <c r="C28" s="60">
        <v>108.08</v>
      </c>
      <c r="D28" s="60">
        <v>83.13</v>
      </c>
      <c r="E28" s="60">
        <v>4.79</v>
      </c>
      <c r="F28" s="60">
        <v>4.33</v>
      </c>
      <c r="G28" s="60">
        <v>75.78</v>
      </c>
      <c r="H28" s="60">
        <v>33.79</v>
      </c>
      <c r="I28" s="60">
        <v>0.85</v>
      </c>
      <c r="J28" s="60">
        <v>0.24</v>
      </c>
      <c r="K28" s="60">
        <v>265.8</v>
      </c>
      <c r="L28" s="60">
        <v>21.27</v>
      </c>
      <c r="M28" s="60">
        <v>42.04</v>
      </c>
      <c r="N28" s="60">
        <v>4.0999999999999996</v>
      </c>
      <c r="O28" s="60">
        <v>0</v>
      </c>
      <c r="P28" s="60">
        <v>1.35</v>
      </c>
      <c r="Q28" s="60">
        <v>31.23</v>
      </c>
      <c r="R28" s="198"/>
      <c r="S28" s="198"/>
      <c r="T28" s="198"/>
      <c r="U28" s="198"/>
    </row>
    <row r="29" spans="1:21" s="12" customFormat="1" x14ac:dyDescent="0.25">
      <c r="A29" s="201" t="s">
        <v>2764</v>
      </c>
      <c r="B29" s="60">
        <v>27.2</v>
      </c>
      <c r="C29" s="60">
        <v>108.74</v>
      </c>
      <c r="D29" s="60">
        <v>81.819999999999993</v>
      </c>
      <c r="E29" s="60">
        <v>4.59</v>
      </c>
      <c r="F29" s="60">
        <v>4.32</v>
      </c>
      <c r="G29" s="60">
        <v>75.78</v>
      </c>
      <c r="H29" s="60">
        <v>33.79</v>
      </c>
      <c r="I29" s="60">
        <v>0.83</v>
      </c>
      <c r="J29" s="60">
        <v>0.16</v>
      </c>
      <c r="K29" s="60">
        <v>283.04000000000002</v>
      </c>
      <c r="L29" s="60">
        <v>21.36</v>
      </c>
      <c r="M29" s="60">
        <v>42.46</v>
      </c>
      <c r="N29" s="60">
        <v>4</v>
      </c>
      <c r="O29" s="60">
        <v>0</v>
      </c>
      <c r="P29" s="60">
        <v>1.31</v>
      </c>
      <c r="Q29" s="60">
        <v>31.02</v>
      </c>
      <c r="R29" s="198"/>
      <c r="S29" s="198"/>
      <c r="T29" s="198"/>
      <c r="U29" s="198"/>
    </row>
    <row r="30" spans="1:21" s="12" customFormat="1" x14ac:dyDescent="0.25">
      <c r="A30" s="201" t="s">
        <v>2765</v>
      </c>
      <c r="B30" s="60">
        <v>27</v>
      </c>
      <c r="C30" s="60">
        <v>109.6</v>
      </c>
      <c r="D30" s="60">
        <v>82.14</v>
      </c>
      <c r="E30" s="60">
        <v>4.4400000000000004</v>
      </c>
      <c r="F30" s="60">
        <v>4.3</v>
      </c>
      <c r="G30" s="60">
        <v>75.78</v>
      </c>
      <c r="H30" s="60">
        <v>33.79</v>
      </c>
      <c r="I30" s="60">
        <v>0.81</v>
      </c>
      <c r="J30" s="60">
        <v>0.11</v>
      </c>
      <c r="K30" s="60">
        <v>306.62</v>
      </c>
      <c r="L30" s="60">
        <v>20.56</v>
      </c>
      <c r="M30" s="60">
        <v>47.42</v>
      </c>
      <c r="N30" s="60">
        <v>4.7</v>
      </c>
      <c r="O30" s="60">
        <v>0</v>
      </c>
      <c r="P30" s="60">
        <v>1.29</v>
      </c>
      <c r="Q30" s="60">
        <v>30.82</v>
      </c>
      <c r="R30" s="198"/>
      <c r="S30" s="198"/>
      <c r="T30" s="198"/>
      <c r="U30" s="198"/>
    </row>
    <row r="31" spans="1:21" s="12" customFormat="1" x14ac:dyDescent="0.25">
      <c r="A31" s="201" t="s">
        <v>2766</v>
      </c>
      <c r="B31" s="60">
        <v>28.87</v>
      </c>
      <c r="C31" s="60">
        <v>110.6</v>
      </c>
      <c r="D31" s="60">
        <v>84.19</v>
      </c>
      <c r="E31" s="60">
        <v>4.22</v>
      </c>
      <c r="F31" s="60">
        <v>4.38</v>
      </c>
      <c r="G31" s="60">
        <v>77.95</v>
      </c>
      <c r="H31" s="60">
        <v>33.56</v>
      </c>
      <c r="I31" s="60">
        <v>0.79</v>
      </c>
      <c r="J31" s="60">
        <v>0.1</v>
      </c>
      <c r="K31" s="60">
        <v>324.44</v>
      </c>
      <c r="L31" s="60">
        <v>20.079999999999998</v>
      </c>
      <c r="M31" s="60">
        <v>51.22</v>
      </c>
      <c r="N31" s="60">
        <v>4.8</v>
      </c>
      <c r="O31" s="60">
        <v>0</v>
      </c>
      <c r="P31" s="60">
        <v>1.27</v>
      </c>
      <c r="Q31" s="60">
        <v>30.52</v>
      </c>
      <c r="R31" s="198"/>
      <c r="S31" s="198"/>
      <c r="T31" s="198"/>
      <c r="U31" s="198"/>
    </row>
    <row r="32" spans="1:21" s="12" customFormat="1" x14ac:dyDescent="0.25">
      <c r="A32" s="201" t="s">
        <v>2767</v>
      </c>
      <c r="B32" s="60">
        <v>34.270000000000003</v>
      </c>
      <c r="C32" s="60">
        <v>111.95</v>
      </c>
      <c r="D32" s="60">
        <v>89.27</v>
      </c>
      <c r="E32" s="60">
        <v>4.38</v>
      </c>
      <c r="F32" s="60">
        <v>4.3600000000000003</v>
      </c>
      <c r="G32" s="60">
        <v>79.040000000000006</v>
      </c>
      <c r="H32" s="60">
        <v>33.44</v>
      </c>
      <c r="I32" s="60">
        <v>0.78</v>
      </c>
      <c r="J32" s="60">
        <v>0.25</v>
      </c>
      <c r="K32" s="60">
        <v>269.87</v>
      </c>
      <c r="L32" s="60">
        <v>19.809999999999999</v>
      </c>
      <c r="M32" s="60">
        <v>54.14</v>
      </c>
      <c r="N32" s="60">
        <v>4</v>
      </c>
      <c r="O32" s="60">
        <v>0</v>
      </c>
      <c r="P32" s="60">
        <v>1.27</v>
      </c>
      <c r="Q32" s="60">
        <v>29.79</v>
      </c>
      <c r="R32" s="198"/>
      <c r="S32" s="198"/>
      <c r="T32" s="198"/>
      <c r="U32" s="198"/>
    </row>
    <row r="33" spans="1:21" s="12" customFormat="1" x14ac:dyDescent="0.25">
      <c r="A33" s="201" t="s">
        <v>2768</v>
      </c>
      <c r="B33" s="60">
        <v>37.68</v>
      </c>
      <c r="C33" s="60">
        <v>111.32</v>
      </c>
      <c r="D33" s="60">
        <v>91.65</v>
      </c>
      <c r="E33" s="60">
        <v>4.09</v>
      </c>
      <c r="F33" s="60">
        <v>4.3099999999999996</v>
      </c>
      <c r="G33" s="60">
        <v>79.040000000000006</v>
      </c>
      <c r="H33" s="60">
        <v>33.44</v>
      </c>
      <c r="I33" s="60">
        <v>0.77</v>
      </c>
      <c r="J33" s="60">
        <v>0.05</v>
      </c>
      <c r="K33" s="60">
        <v>319.60000000000002</v>
      </c>
      <c r="L33" s="60">
        <v>19.78</v>
      </c>
      <c r="M33" s="60">
        <v>57.73</v>
      </c>
      <c r="N33" s="60">
        <v>5.0999999999999996</v>
      </c>
      <c r="O33" s="60">
        <v>0</v>
      </c>
      <c r="P33" s="60">
        <v>1.27</v>
      </c>
      <c r="Q33" s="60">
        <v>29.32</v>
      </c>
      <c r="R33" s="198"/>
      <c r="S33" s="198"/>
      <c r="T33" s="198"/>
      <c r="U33" s="198"/>
    </row>
    <row r="34" spans="1:21" s="12" customFormat="1" x14ac:dyDescent="0.25">
      <c r="A34" s="201" t="s">
        <v>2769</v>
      </c>
      <c r="B34" s="60">
        <v>42.85</v>
      </c>
      <c r="C34" s="60">
        <v>110.4</v>
      </c>
      <c r="D34" s="60">
        <v>95.29</v>
      </c>
      <c r="E34" s="60">
        <v>3.67</v>
      </c>
      <c r="F34" s="60">
        <v>4.3</v>
      </c>
      <c r="G34" s="60">
        <v>79.040000000000006</v>
      </c>
      <c r="H34" s="60">
        <v>33.44</v>
      </c>
      <c r="I34" s="60">
        <v>0.77</v>
      </c>
      <c r="J34" s="60">
        <v>0.02</v>
      </c>
      <c r="K34" s="60">
        <v>293.42</v>
      </c>
      <c r="L34" s="60">
        <v>19.309999999999999</v>
      </c>
      <c r="M34" s="60">
        <v>61.17</v>
      </c>
      <c r="N34" s="60">
        <v>8.5</v>
      </c>
      <c r="O34" s="60">
        <v>0</v>
      </c>
      <c r="P34" s="60">
        <v>1.28</v>
      </c>
      <c r="Q34" s="60">
        <v>29.37</v>
      </c>
      <c r="R34" s="198"/>
      <c r="S34" s="198"/>
      <c r="T34" s="198"/>
      <c r="U34" s="198"/>
    </row>
    <row r="35" spans="1:21" s="12" customFormat="1" x14ac:dyDescent="0.25">
      <c r="A35" s="201" t="s">
        <v>2770</v>
      </c>
      <c r="B35" s="60">
        <v>45.38</v>
      </c>
      <c r="C35" s="60">
        <v>110.27</v>
      </c>
      <c r="D35" s="60">
        <v>97.25</v>
      </c>
      <c r="E35" s="60">
        <v>4.4000000000000004</v>
      </c>
      <c r="F35" s="60">
        <v>4.3</v>
      </c>
      <c r="G35" s="60">
        <v>94.19</v>
      </c>
      <c r="H35" s="60">
        <v>38.07</v>
      </c>
      <c r="I35" s="60">
        <v>0.77</v>
      </c>
      <c r="J35" s="60">
        <v>0.16</v>
      </c>
      <c r="K35" s="60">
        <v>247.61</v>
      </c>
      <c r="L35" s="60">
        <v>19.45</v>
      </c>
      <c r="M35" s="60">
        <v>61.38</v>
      </c>
      <c r="N35" s="60">
        <v>18.600000000000001</v>
      </c>
      <c r="O35" s="60">
        <v>0</v>
      </c>
      <c r="P35" s="60">
        <v>1.3</v>
      </c>
      <c r="Q35" s="60">
        <v>29.41</v>
      </c>
      <c r="R35" s="198"/>
      <c r="S35" s="198"/>
      <c r="T35" s="198"/>
      <c r="U35" s="198"/>
    </row>
    <row r="36" spans="1:21" s="12" customFormat="1" x14ac:dyDescent="0.25">
      <c r="A36" s="201" t="s">
        <v>2771</v>
      </c>
      <c r="B36" s="60">
        <v>51.88</v>
      </c>
      <c r="C36" s="60">
        <v>110.09</v>
      </c>
      <c r="D36" s="60">
        <v>102.36</v>
      </c>
      <c r="E36" s="60">
        <v>4.57</v>
      </c>
      <c r="F36" s="60">
        <v>4.3</v>
      </c>
      <c r="G36" s="60">
        <v>101.39</v>
      </c>
      <c r="H36" s="60">
        <v>40.28</v>
      </c>
      <c r="I36" s="60">
        <v>0.78</v>
      </c>
      <c r="J36" s="60">
        <v>7.0000000000000007E-2</v>
      </c>
      <c r="K36" s="60">
        <v>10.65</v>
      </c>
      <c r="L36" s="60">
        <v>19.91</v>
      </c>
      <c r="M36" s="60">
        <v>61.4</v>
      </c>
      <c r="N36" s="60">
        <v>37.1</v>
      </c>
      <c r="O36" s="60">
        <v>0</v>
      </c>
      <c r="P36" s="60">
        <v>1.33</v>
      </c>
      <c r="Q36" s="60">
        <v>29.75</v>
      </c>
      <c r="R36" s="198"/>
      <c r="S36" s="198"/>
      <c r="T36" s="198"/>
      <c r="U36" s="198"/>
    </row>
    <row r="37" spans="1:21" s="12" customFormat="1" x14ac:dyDescent="0.25">
      <c r="A37" s="201" t="s">
        <v>2772</v>
      </c>
      <c r="B37" s="60">
        <v>55.35</v>
      </c>
      <c r="C37" s="60">
        <v>110.15</v>
      </c>
      <c r="D37" s="60">
        <v>105.18</v>
      </c>
      <c r="E37" s="60">
        <v>4.58</v>
      </c>
      <c r="F37" s="60">
        <v>4.3</v>
      </c>
      <c r="G37" s="60">
        <v>101.39</v>
      </c>
      <c r="H37" s="60">
        <v>40.28</v>
      </c>
      <c r="I37" s="60">
        <v>0.79</v>
      </c>
      <c r="J37" s="60">
        <v>0.23</v>
      </c>
      <c r="K37" s="60">
        <v>107.83</v>
      </c>
      <c r="L37" s="60">
        <v>20.86</v>
      </c>
      <c r="M37" s="60">
        <v>53.62</v>
      </c>
      <c r="N37" s="60">
        <v>78.2</v>
      </c>
      <c r="O37" s="60">
        <v>0</v>
      </c>
      <c r="P37" s="60">
        <v>1.32</v>
      </c>
      <c r="Q37" s="60">
        <v>30.18</v>
      </c>
      <c r="R37" s="198"/>
      <c r="S37" s="198"/>
      <c r="T37" s="198"/>
      <c r="U37" s="198"/>
    </row>
    <row r="38" spans="1:21" s="12" customFormat="1" x14ac:dyDescent="0.25">
      <c r="A38" s="201" t="s">
        <v>2773</v>
      </c>
      <c r="B38" s="60">
        <v>56.98</v>
      </c>
      <c r="C38" s="60">
        <v>109.68</v>
      </c>
      <c r="D38" s="60">
        <v>106.22</v>
      </c>
      <c r="E38" s="60">
        <v>5.52</v>
      </c>
      <c r="F38" s="60">
        <v>4.37</v>
      </c>
      <c r="G38" s="60">
        <v>101.39</v>
      </c>
      <c r="H38" s="60">
        <v>40.28</v>
      </c>
      <c r="I38" s="60">
        <v>0.79</v>
      </c>
      <c r="J38" s="60">
        <v>0.51</v>
      </c>
      <c r="K38" s="60">
        <v>89.62</v>
      </c>
      <c r="L38" s="60">
        <v>23.02</v>
      </c>
      <c r="M38" s="60">
        <v>37.94</v>
      </c>
      <c r="N38" s="60">
        <v>120.9</v>
      </c>
      <c r="O38" s="60">
        <v>0</v>
      </c>
      <c r="P38" s="60">
        <v>1.35</v>
      </c>
      <c r="Q38" s="60">
        <v>30.42</v>
      </c>
      <c r="R38" s="198"/>
      <c r="S38" s="198"/>
      <c r="T38" s="198"/>
      <c r="U38" s="198"/>
    </row>
    <row r="39" spans="1:21" s="12" customFormat="1" x14ac:dyDescent="0.25">
      <c r="A39" s="201" t="s">
        <v>2774</v>
      </c>
      <c r="B39" s="60">
        <v>56.54</v>
      </c>
      <c r="C39" s="60">
        <v>108.76</v>
      </c>
      <c r="D39" s="60">
        <v>105.37</v>
      </c>
      <c r="E39" s="60">
        <v>5.18</v>
      </c>
      <c r="F39" s="60">
        <v>4.46</v>
      </c>
      <c r="G39" s="60">
        <v>113.09</v>
      </c>
      <c r="H39" s="60">
        <v>45.57</v>
      </c>
      <c r="I39" s="60">
        <v>0.8</v>
      </c>
      <c r="J39" s="60">
        <v>1.34</v>
      </c>
      <c r="K39" s="60">
        <v>119.58</v>
      </c>
      <c r="L39" s="60">
        <v>23.86</v>
      </c>
      <c r="M39" s="60">
        <v>34.090000000000003</v>
      </c>
      <c r="N39" s="60">
        <v>167</v>
      </c>
      <c r="O39" s="60">
        <v>0</v>
      </c>
      <c r="P39" s="60">
        <v>1.34</v>
      </c>
      <c r="Q39" s="60">
        <v>30.84</v>
      </c>
      <c r="R39" s="198"/>
      <c r="S39" s="198"/>
      <c r="T39" s="198"/>
      <c r="U39" s="198"/>
    </row>
    <row r="40" spans="1:21" s="12" customFormat="1" x14ac:dyDescent="0.25">
      <c r="A40" s="201" t="s">
        <v>2775</v>
      </c>
      <c r="B40" s="60">
        <v>53.97</v>
      </c>
      <c r="C40" s="60">
        <v>109.35</v>
      </c>
      <c r="D40" s="60">
        <v>103.63</v>
      </c>
      <c r="E40" s="60">
        <v>3.16</v>
      </c>
      <c r="F40" s="60">
        <v>4.45</v>
      </c>
      <c r="G40" s="60">
        <v>118.94</v>
      </c>
      <c r="H40" s="60">
        <v>48.21</v>
      </c>
      <c r="I40" s="60">
        <v>0.81</v>
      </c>
      <c r="J40" s="60">
        <v>1.39</v>
      </c>
      <c r="K40" s="60">
        <v>108.92</v>
      </c>
      <c r="L40" s="60">
        <v>24.21</v>
      </c>
      <c r="M40" s="60">
        <v>32.39</v>
      </c>
      <c r="N40" s="60">
        <v>207.9</v>
      </c>
      <c r="O40" s="60">
        <v>0</v>
      </c>
      <c r="P40" s="60">
        <v>1.31</v>
      </c>
      <c r="Q40" s="60">
        <v>31.6</v>
      </c>
      <c r="R40" s="198"/>
      <c r="S40" s="198"/>
      <c r="T40" s="198"/>
      <c r="U40" s="198"/>
    </row>
    <row r="41" spans="1:21" s="12" customFormat="1" x14ac:dyDescent="0.25">
      <c r="A41" s="201" t="s">
        <v>2776</v>
      </c>
      <c r="B41" s="60">
        <v>49.74</v>
      </c>
      <c r="C41" s="60">
        <v>108.87</v>
      </c>
      <c r="D41" s="60">
        <v>99.97</v>
      </c>
      <c r="E41" s="60">
        <v>5.15</v>
      </c>
      <c r="F41" s="60">
        <v>4.3</v>
      </c>
      <c r="G41" s="60">
        <v>118.94</v>
      </c>
      <c r="H41" s="60">
        <v>48.21</v>
      </c>
      <c r="I41" s="60">
        <v>0.81</v>
      </c>
      <c r="J41" s="60">
        <v>1.72</v>
      </c>
      <c r="K41" s="60">
        <v>123.85</v>
      </c>
      <c r="L41" s="60">
        <v>24.55</v>
      </c>
      <c r="M41" s="60">
        <v>32.06</v>
      </c>
      <c r="N41" s="60">
        <v>247.2</v>
      </c>
      <c r="O41" s="60">
        <v>0</v>
      </c>
      <c r="P41" s="60">
        <v>1.27</v>
      </c>
      <c r="Q41" s="60">
        <v>31.66</v>
      </c>
      <c r="R41" s="198"/>
      <c r="S41" s="198"/>
      <c r="T41" s="198"/>
      <c r="U41" s="198"/>
    </row>
    <row r="42" spans="1:21" s="12" customFormat="1" x14ac:dyDescent="0.25">
      <c r="A42" s="201" t="s">
        <v>2777</v>
      </c>
      <c r="B42" s="60">
        <v>44.49</v>
      </c>
      <c r="C42" s="60">
        <v>108.86</v>
      </c>
      <c r="D42" s="60">
        <v>95.76</v>
      </c>
      <c r="E42" s="60">
        <v>6.15</v>
      </c>
      <c r="F42" s="60">
        <v>4.32</v>
      </c>
      <c r="G42" s="60">
        <v>118.94</v>
      </c>
      <c r="H42" s="60">
        <v>48.21</v>
      </c>
      <c r="I42" s="60">
        <v>0.79</v>
      </c>
      <c r="J42" s="60">
        <v>0.21</v>
      </c>
      <c r="K42" s="60">
        <v>238.39</v>
      </c>
      <c r="L42" s="60">
        <v>24.82</v>
      </c>
      <c r="M42" s="60">
        <v>38.36</v>
      </c>
      <c r="N42" s="60">
        <v>270.39999999999998</v>
      </c>
      <c r="O42" s="60">
        <v>0</v>
      </c>
      <c r="P42" s="60">
        <v>1.24</v>
      </c>
      <c r="Q42" s="60">
        <v>31.27</v>
      </c>
      <c r="R42" s="198"/>
      <c r="S42" s="198"/>
      <c r="T42" s="198"/>
      <c r="U42" s="198"/>
    </row>
    <row r="43" spans="1:21" s="12" customFormat="1" x14ac:dyDescent="0.25">
      <c r="A43" s="201" t="s">
        <v>2778</v>
      </c>
      <c r="B43" s="60">
        <v>38.36</v>
      </c>
      <c r="C43" s="60">
        <v>110.04</v>
      </c>
      <c r="D43" s="60">
        <v>91.49</v>
      </c>
      <c r="E43" s="60">
        <v>6.26</v>
      </c>
      <c r="F43" s="60">
        <v>4.51</v>
      </c>
      <c r="G43" s="60">
        <v>108.36</v>
      </c>
      <c r="H43" s="60">
        <v>45.89</v>
      </c>
      <c r="I43" s="60">
        <v>0.78</v>
      </c>
      <c r="J43" s="60">
        <v>0.1</v>
      </c>
      <c r="K43" s="60">
        <v>242.57</v>
      </c>
      <c r="L43" s="60">
        <v>25.05</v>
      </c>
      <c r="M43" s="60">
        <v>39</v>
      </c>
      <c r="N43" s="60">
        <v>308.10000000000002</v>
      </c>
      <c r="O43" s="60">
        <v>0</v>
      </c>
      <c r="P43" s="60">
        <v>1.23</v>
      </c>
      <c r="Q43" s="60">
        <v>30.3</v>
      </c>
      <c r="R43" s="198"/>
      <c r="S43" s="198"/>
      <c r="T43" s="198"/>
      <c r="U43" s="198"/>
    </row>
    <row r="44" spans="1:21" s="12" customFormat="1" x14ac:dyDescent="0.25">
      <c r="A44" s="201" t="s">
        <v>2779</v>
      </c>
      <c r="B44" s="60">
        <v>33.04</v>
      </c>
      <c r="C44" s="60">
        <v>111.76</v>
      </c>
      <c r="D44" s="60">
        <v>88.18</v>
      </c>
      <c r="E44" s="60">
        <v>6.3</v>
      </c>
      <c r="F44" s="60">
        <v>4.54</v>
      </c>
      <c r="G44" s="60">
        <v>103.33</v>
      </c>
      <c r="H44" s="60">
        <v>44.73</v>
      </c>
      <c r="I44" s="60">
        <v>0.75</v>
      </c>
      <c r="J44" s="60">
        <v>0.57999999999999996</v>
      </c>
      <c r="K44" s="60">
        <v>198.84</v>
      </c>
      <c r="L44" s="60">
        <v>25.75</v>
      </c>
      <c r="M44" s="60">
        <v>35.79</v>
      </c>
      <c r="N44" s="60">
        <v>353.6</v>
      </c>
      <c r="O44" s="60">
        <v>0</v>
      </c>
      <c r="P44" s="60">
        <v>1.21</v>
      </c>
      <c r="Q44" s="60">
        <v>29.65</v>
      </c>
      <c r="R44" s="198"/>
      <c r="S44" s="198"/>
      <c r="T44" s="198"/>
      <c r="U44" s="198"/>
    </row>
    <row r="45" spans="1:21" s="12" customFormat="1" x14ac:dyDescent="0.25">
      <c r="A45" s="201" t="s">
        <v>2780</v>
      </c>
      <c r="B45" s="60">
        <v>28.07</v>
      </c>
      <c r="C45" s="60">
        <v>113.39</v>
      </c>
      <c r="D45" s="60">
        <v>85.09</v>
      </c>
      <c r="E45" s="60">
        <v>5.57</v>
      </c>
      <c r="F45" s="60">
        <v>4.54</v>
      </c>
      <c r="G45" s="60">
        <v>103.33</v>
      </c>
      <c r="H45" s="60">
        <v>44.73</v>
      </c>
      <c r="I45" s="60">
        <v>0.72</v>
      </c>
      <c r="J45" s="60">
        <v>0.3</v>
      </c>
      <c r="K45" s="60">
        <v>161.29</v>
      </c>
      <c r="L45" s="60">
        <v>26.53</v>
      </c>
      <c r="M45" s="60">
        <v>33.29</v>
      </c>
      <c r="N45" s="60">
        <v>400.2</v>
      </c>
      <c r="O45" s="60">
        <v>0</v>
      </c>
      <c r="P45" s="60">
        <v>1.2</v>
      </c>
      <c r="Q45" s="60">
        <v>29.2</v>
      </c>
      <c r="R45" s="198"/>
      <c r="S45" s="198"/>
      <c r="T45" s="198"/>
      <c r="U45" s="198"/>
    </row>
    <row r="46" spans="1:21" s="12" customFormat="1" x14ac:dyDescent="0.25">
      <c r="A46" s="201" t="s">
        <v>2781</v>
      </c>
      <c r="B46" s="60">
        <v>24.13</v>
      </c>
      <c r="C46" s="60">
        <v>114.75</v>
      </c>
      <c r="D46" s="60">
        <v>82.67</v>
      </c>
      <c r="E46" s="60">
        <v>5.68</v>
      </c>
      <c r="F46" s="60">
        <v>4.68</v>
      </c>
      <c r="G46" s="60">
        <v>103.33</v>
      </c>
      <c r="H46" s="60">
        <v>44.73</v>
      </c>
      <c r="I46" s="60">
        <v>0.7</v>
      </c>
      <c r="J46" s="60">
        <v>0.47</v>
      </c>
      <c r="K46" s="60">
        <v>119.49</v>
      </c>
      <c r="L46" s="60">
        <v>27.29</v>
      </c>
      <c r="M46" s="60">
        <v>31.96</v>
      </c>
      <c r="N46" s="60">
        <v>442.3</v>
      </c>
      <c r="O46" s="60">
        <v>0</v>
      </c>
      <c r="P46" s="60">
        <v>1.18</v>
      </c>
      <c r="Q46" s="60">
        <v>28.56</v>
      </c>
      <c r="R46" s="198"/>
      <c r="S46" s="198"/>
      <c r="T46" s="198"/>
      <c r="U46" s="198"/>
    </row>
    <row r="47" spans="1:21" s="12" customFormat="1" x14ac:dyDescent="0.25">
      <c r="A47" s="201" t="s">
        <v>2782</v>
      </c>
      <c r="B47" s="60">
        <v>21.54</v>
      </c>
      <c r="C47" s="60">
        <v>113.01</v>
      </c>
      <c r="D47" s="60">
        <v>79.64</v>
      </c>
      <c r="E47" s="60">
        <v>5.25</v>
      </c>
      <c r="F47" s="60">
        <v>5.19</v>
      </c>
      <c r="G47" s="60">
        <v>96.53</v>
      </c>
      <c r="H47" s="60">
        <v>42.52</v>
      </c>
      <c r="I47" s="60">
        <v>0.69</v>
      </c>
      <c r="J47" s="60">
        <v>0.75</v>
      </c>
      <c r="K47" s="60">
        <v>147.31</v>
      </c>
      <c r="L47" s="60">
        <v>27.56</v>
      </c>
      <c r="M47" s="60">
        <v>31.12</v>
      </c>
      <c r="N47" s="60">
        <v>466.1</v>
      </c>
      <c r="O47" s="60">
        <v>0</v>
      </c>
      <c r="P47" s="60">
        <v>1.1599999999999999</v>
      </c>
      <c r="Q47" s="60">
        <v>28</v>
      </c>
      <c r="R47" s="198"/>
      <c r="S47" s="198"/>
      <c r="T47" s="198"/>
      <c r="U47" s="198"/>
    </row>
    <row r="48" spans="1:21" s="12" customFormat="1" x14ac:dyDescent="0.25">
      <c r="A48" s="201" t="s">
        <v>2783</v>
      </c>
      <c r="B48" s="60">
        <v>19.63</v>
      </c>
      <c r="C48" s="60">
        <v>114.05</v>
      </c>
      <c r="D48" s="60">
        <v>78.680000000000007</v>
      </c>
      <c r="E48" s="60">
        <v>5.49</v>
      </c>
      <c r="F48" s="60">
        <v>4.96</v>
      </c>
      <c r="G48" s="60">
        <v>93.29</v>
      </c>
      <c r="H48" s="60">
        <v>41.47</v>
      </c>
      <c r="I48" s="60">
        <v>0.68</v>
      </c>
      <c r="J48" s="60">
        <v>1.1399999999999999</v>
      </c>
      <c r="K48" s="60">
        <v>163.75</v>
      </c>
      <c r="L48" s="60">
        <v>28.06</v>
      </c>
      <c r="M48" s="60">
        <v>29.59</v>
      </c>
      <c r="N48" s="60">
        <v>481.9</v>
      </c>
      <c r="O48" s="60">
        <v>0</v>
      </c>
      <c r="P48" s="60">
        <v>1.1399999999999999</v>
      </c>
      <c r="Q48" s="60">
        <v>27.76</v>
      </c>
      <c r="R48" s="198"/>
      <c r="S48" s="198"/>
      <c r="T48" s="198"/>
      <c r="U48" s="198"/>
    </row>
    <row r="49" spans="1:21" s="12" customFormat="1" x14ac:dyDescent="0.25">
      <c r="A49" s="201" t="s">
        <v>2784</v>
      </c>
      <c r="B49" s="60">
        <v>16.71</v>
      </c>
      <c r="C49" s="60">
        <v>111.61</v>
      </c>
      <c r="D49" s="60">
        <v>75</v>
      </c>
      <c r="E49" s="60">
        <v>5.57</v>
      </c>
      <c r="F49" s="60">
        <v>6.52</v>
      </c>
      <c r="G49" s="60">
        <v>93.29</v>
      </c>
      <c r="H49" s="60">
        <v>41.47</v>
      </c>
      <c r="I49" s="60">
        <v>0.68</v>
      </c>
      <c r="J49" s="60">
        <v>0.3</v>
      </c>
      <c r="K49" s="60">
        <v>151.83000000000001</v>
      </c>
      <c r="L49" s="60">
        <v>29.14</v>
      </c>
      <c r="M49" s="60">
        <v>28.57</v>
      </c>
      <c r="N49" s="60">
        <v>488</v>
      </c>
      <c r="O49" s="60">
        <v>0</v>
      </c>
      <c r="P49" s="60">
        <v>1.1200000000000001</v>
      </c>
      <c r="Q49" s="60">
        <v>27.77</v>
      </c>
      <c r="R49" s="198"/>
      <c r="S49" s="198"/>
      <c r="T49" s="198"/>
      <c r="U49" s="198"/>
    </row>
    <row r="50" spans="1:21" s="12" customFormat="1" x14ac:dyDescent="0.25">
      <c r="A50" s="201" t="s">
        <v>2785</v>
      </c>
      <c r="B50" s="60">
        <v>15.33</v>
      </c>
      <c r="C50" s="60">
        <v>112.85</v>
      </c>
      <c r="D50" s="60">
        <v>74.569999999999993</v>
      </c>
      <c r="E50" s="60">
        <v>5.01</v>
      </c>
      <c r="F50" s="60">
        <v>6.26</v>
      </c>
      <c r="G50" s="60">
        <v>93.29</v>
      </c>
      <c r="H50" s="60">
        <v>41.47</v>
      </c>
      <c r="I50" s="60">
        <v>0.68</v>
      </c>
      <c r="J50" s="60">
        <v>0.85</v>
      </c>
      <c r="K50" s="60">
        <v>115.22</v>
      </c>
      <c r="L50" s="60">
        <v>29.6</v>
      </c>
      <c r="M50" s="60">
        <v>28.11</v>
      </c>
      <c r="N50" s="60">
        <v>492.6</v>
      </c>
      <c r="O50" s="60">
        <v>0</v>
      </c>
      <c r="P50" s="60">
        <v>1.1000000000000001</v>
      </c>
      <c r="Q50" s="60">
        <v>27.7</v>
      </c>
      <c r="R50" s="198"/>
      <c r="S50" s="198"/>
      <c r="T50" s="198"/>
      <c r="U50" s="198"/>
    </row>
    <row r="51" spans="1:21" s="12" customFormat="1" x14ac:dyDescent="0.25">
      <c r="A51" s="201" t="s">
        <v>2786</v>
      </c>
      <c r="B51" s="60">
        <v>13.1</v>
      </c>
      <c r="C51" s="60">
        <v>109.98</v>
      </c>
      <c r="D51" s="60">
        <v>71.2</v>
      </c>
      <c r="E51" s="60">
        <v>5.61</v>
      </c>
      <c r="F51" s="60">
        <v>7.35</v>
      </c>
      <c r="G51" s="60">
        <v>88.84</v>
      </c>
      <c r="H51" s="60">
        <v>40.229999999999997</v>
      </c>
      <c r="I51" s="60">
        <v>0.68</v>
      </c>
      <c r="J51" s="60">
        <v>0.63</v>
      </c>
      <c r="K51" s="60">
        <v>157.5</v>
      </c>
      <c r="L51" s="60">
        <v>30.45</v>
      </c>
      <c r="M51" s="60">
        <v>24.94</v>
      </c>
      <c r="N51" s="60">
        <v>495.7</v>
      </c>
      <c r="O51" s="60">
        <v>0</v>
      </c>
      <c r="P51" s="60">
        <v>1.08</v>
      </c>
      <c r="Q51" s="60">
        <v>27.74</v>
      </c>
      <c r="R51" s="198"/>
      <c r="S51" s="198"/>
      <c r="T51" s="198"/>
      <c r="U51" s="198"/>
    </row>
    <row r="52" spans="1:21" s="12" customFormat="1" x14ac:dyDescent="0.25">
      <c r="A52" s="201" t="s">
        <v>2787</v>
      </c>
      <c r="B52" s="60">
        <v>4.08</v>
      </c>
      <c r="C52" s="60">
        <v>90.24</v>
      </c>
      <c r="D52" s="60">
        <v>53.07</v>
      </c>
      <c r="E52" s="60">
        <v>9.27</v>
      </c>
      <c r="F52" s="60">
        <v>23.29</v>
      </c>
      <c r="G52" s="60">
        <v>86.61</v>
      </c>
      <c r="H52" s="60">
        <v>39.64</v>
      </c>
      <c r="I52" s="60">
        <v>0.68</v>
      </c>
      <c r="J52" s="60">
        <v>0.86</v>
      </c>
      <c r="K52" s="60">
        <v>145.58000000000001</v>
      </c>
      <c r="L52" s="60">
        <v>30.89</v>
      </c>
      <c r="M52" s="60">
        <v>23.58</v>
      </c>
      <c r="N52" s="60">
        <v>499.9</v>
      </c>
      <c r="O52" s="60">
        <v>0</v>
      </c>
      <c r="P52" s="60">
        <v>0.92</v>
      </c>
      <c r="Q52" s="60">
        <v>25.09</v>
      </c>
      <c r="R52" s="198"/>
      <c r="S52" s="198"/>
      <c r="T52" s="198"/>
      <c r="U52" s="198"/>
    </row>
    <row r="53" spans="1:21" s="12" customFormat="1" x14ac:dyDescent="0.25">
      <c r="A53" s="201" t="s">
        <v>2788</v>
      </c>
      <c r="B53" s="60">
        <v>0.54</v>
      </c>
      <c r="C53" s="60">
        <v>77.08</v>
      </c>
      <c r="D53" s="60">
        <v>42.97</v>
      </c>
      <c r="E53" s="60">
        <v>8.74</v>
      </c>
      <c r="F53" s="60">
        <v>21.88</v>
      </c>
      <c r="G53" s="60">
        <v>86.61</v>
      </c>
      <c r="H53" s="60">
        <v>39.64</v>
      </c>
      <c r="I53" s="60">
        <v>0.67</v>
      </c>
      <c r="J53" s="60">
        <v>0.42</v>
      </c>
      <c r="K53" s="60">
        <v>192.17</v>
      </c>
      <c r="L53" s="60">
        <v>31.72</v>
      </c>
      <c r="M53" s="60">
        <v>22.28</v>
      </c>
      <c r="N53" s="60">
        <v>498.9</v>
      </c>
      <c r="O53" s="60">
        <v>0</v>
      </c>
      <c r="P53" s="60">
        <v>0.82</v>
      </c>
      <c r="Q53" s="60">
        <v>21.28</v>
      </c>
      <c r="R53" s="198"/>
      <c r="S53" s="198"/>
      <c r="T53" s="198"/>
      <c r="U53" s="198"/>
    </row>
    <row r="54" spans="1:21" s="12" customFormat="1" x14ac:dyDescent="0.25">
      <c r="A54" s="201" t="s">
        <v>2789</v>
      </c>
      <c r="B54" s="60">
        <v>0.24</v>
      </c>
      <c r="C54" s="60">
        <v>79.099999999999994</v>
      </c>
      <c r="D54" s="60">
        <v>43.85</v>
      </c>
      <c r="E54" s="60">
        <v>5.63</v>
      </c>
      <c r="F54" s="60">
        <v>13.75</v>
      </c>
      <c r="G54" s="60">
        <v>86.61</v>
      </c>
      <c r="H54" s="60">
        <v>39.64</v>
      </c>
      <c r="I54" s="60">
        <v>0.59</v>
      </c>
      <c r="J54" s="60">
        <v>0.55000000000000004</v>
      </c>
      <c r="K54" s="60">
        <v>177.51</v>
      </c>
      <c r="L54" s="60">
        <v>32.049999999999997</v>
      </c>
      <c r="M54" s="60">
        <v>22.26</v>
      </c>
      <c r="N54" s="60">
        <v>505.5</v>
      </c>
      <c r="O54" s="60">
        <v>0</v>
      </c>
      <c r="P54" s="60">
        <v>0.81</v>
      </c>
      <c r="Q54" s="60">
        <v>20.98</v>
      </c>
      <c r="R54" s="198"/>
      <c r="S54" s="198"/>
      <c r="T54" s="198"/>
      <c r="U54" s="198"/>
    </row>
    <row r="55" spans="1:21" s="12" customFormat="1" x14ac:dyDescent="0.25">
      <c r="A55" s="201" t="s">
        <v>2790</v>
      </c>
      <c r="B55" s="60">
        <v>0.17</v>
      </c>
      <c r="C55" s="60">
        <v>72.099999999999994</v>
      </c>
      <c r="D55" s="60">
        <v>39.93</v>
      </c>
      <c r="E55" s="60">
        <v>4.8</v>
      </c>
      <c r="F55" s="60">
        <v>16.34</v>
      </c>
      <c r="G55" s="60">
        <v>71.760000000000005</v>
      </c>
      <c r="H55" s="60">
        <v>38.07</v>
      </c>
      <c r="I55" s="60">
        <v>0.55000000000000004</v>
      </c>
      <c r="J55" s="60">
        <v>0.84</v>
      </c>
      <c r="K55" s="60">
        <v>167.28</v>
      </c>
      <c r="L55" s="60">
        <v>32.18</v>
      </c>
      <c r="M55" s="60">
        <v>23.69</v>
      </c>
      <c r="N55" s="60">
        <v>509.3</v>
      </c>
      <c r="O55" s="60">
        <v>0</v>
      </c>
      <c r="P55" s="60">
        <v>0.75</v>
      </c>
      <c r="Q55" s="60">
        <v>20.27</v>
      </c>
      <c r="R55" s="198"/>
      <c r="S55" s="198"/>
      <c r="T55" s="198"/>
      <c r="U55" s="198"/>
    </row>
    <row r="56" spans="1:21" s="12" customFormat="1" x14ac:dyDescent="0.25">
      <c r="A56" s="201" t="s">
        <v>2791</v>
      </c>
      <c r="B56" s="60">
        <v>0.64</v>
      </c>
      <c r="C56" s="60">
        <v>71.22</v>
      </c>
      <c r="D56" s="60">
        <v>39.82</v>
      </c>
      <c r="E56" s="60">
        <v>2.2400000000000002</v>
      </c>
      <c r="F56" s="60">
        <v>11.03</v>
      </c>
      <c r="G56" s="60">
        <v>64.33</v>
      </c>
      <c r="H56" s="60">
        <v>37.32</v>
      </c>
      <c r="I56" s="60">
        <v>0.55000000000000004</v>
      </c>
      <c r="J56" s="60">
        <v>0.34</v>
      </c>
      <c r="K56" s="60">
        <v>359</v>
      </c>
      <c r="L56" s="60">
        <v>34.450000000000003</v>
      </c>
      <c r="M56" s="60">
        <v>21.35</v>
      </c>
      <c r="N56" s="60">
        <v>501.8</v>
      </c>
      <c r="O56" s="60">
        <v>0</v>
      </c>
      <c r="P56" s="60">
        <v>0.75</v>
      </c>
      <c r="Q56" s="60">
        <v>19.75</v>
      </c>
      <c r="R56" s="198"/>
      <c r="S56" s="198"/>
      <c r="T56" s="198"/>
      <c r="U56" s="198"/>
    </row>
    <row r="57" spans="1:21" s="12" customFormat="1" x14ac:dyDescent="0.25">
      <c r="A57" s="201" t="s">
        <v>2792</v>
      </c>
      <c r="B57" s="60">
        <v>1.75</v>
      </c>
      <c r="C57" s="60">
        <v>73.84</v>
      </c>
      <c r="D57" s="60">
        <v>42.15</v>
      </c>
      <c r="E57" s="60">
        <v>4.21</v>
      </c>
      <c r="F57" s="60">
        <v>11.38</v>
      </c>
      <c r="G57" s="60">
        <v>64.33</v>
      </c>
      <c r="H57" s="60">
        <v>37.32</v>
      </c>
      <c r="I57" s="60">
        <v>0.54</v>
      </c>
      <c r="J57" s="60">
        <v>0.21</v>
      </c>
      <c r="K57" s="60">
        <v>290.56</v>
      </c>
      <c r="L57" s="60">
        <v>34.6</v>
      </c>
      <c r="M57" s="60">
        <v>17.89</v>
      </c>
      <c r="N57" s="60">
        <v>509.9</v>
      </c>
      <c r="O57" s="60">
        <v>0</v>
      </c>
      <c r="P57" s="60">
        <v>0.75</v>
      </c>
      <c r="Q57" s="60">
        <v>19.8</v>
      </c>
      <c r="R57" s="198"/>
      <c r="S57" s="198"/>
      <c r="T57" s="198"/>
      <c r="U57" s="198"/>
    </row>
    <row r="58" spans="1:21" s="12" customFormat="1" x14ac:dyDescent="0.25">
      <c r="A58" s="201" t="s">
        <v>2793</v>
      </c>
      <c r="B58" s="60">
        <v>0.65</v>
      </c>
      <c r="C58" s="60">
        <v>72.3</v>
      </c>
      <c r="D58" s="60">
        <v>40.42</v>
      </c>
      <c r="E58" s="60">
        <v>3.71</v>
      </c>
      <c r="F58" s="60">
        <v>11.03</v>
      </c>
      <c r="G58" s="60">
        <v>64.33</v>
      </c>
      <c r="H58" s="60">
        <v>37.32</v>
      </c>
      <c r="I58" s="60">
        <v>0.54</v>
      </c>
      <c r="J58" s="60">
        <v>0.8</v>
      </c>
      <c r="K58" s="60">
        <v>139.41</v>
      </c>
      <c r="L58" s="60">
        <v>32.58</v>
      </c>
      <c r="M58" s="60">
        <v>19.940000000000001</v>
      </c>
      <c r="N58" s="60">
        <v>494.7</v>
      </c>
      <c r="O58" s="60">
        <v>0</v>
      </c>
      <c r="P58" s="60">
        <v>0.72</v>
      </c>
      <c r="Q58" s="60">
        <v>19.79</v>
      </c>
      <c r="R58" s="198"/>
      <c r="S58" s="198"/>
      <c r="T58" s="198"/>
      <c r="U58" s="198"/>
    </row>
    <row r="59" spans="1:21" s="12" customFormat="1" x14ac:dyDescent="0.25">
      <c r="A59" s="201" t="s">
        <v>2794</v>
      </c>
      <c r="B59" s="60">
        <v>0.69</v>
      </c>
      <c r="C59" s="60">
        <v>71.319999999999993</v>
      </c>
      <c r="D59" s="60">
        <v>39.909999999999997</v>
      </c>
      <c r="E59" s="60">
        <v>3.67</v>
      </c>
      <c r="F59" s="60">
        <v>10.19</v>
      </c>
      <c r="G59" s="60">
        <v>59.76</v>
      </c>
      <c r="H59" s="60">
        <v>35.4</v>
      </c>
      <c r="I59" s="60">
        <v>0.53</v>
      </c>
      <c r="J59" s="60">
        <v>0.15</v>
      </c>
      <c r="K59" s="60">
        <v>190.62</v>
      </c>
      <c r="L59" s="60">
        <v>33.54</v>
      </c>
      <c r="M59" s="60">
        <v>18.010000000000002</v>
      </c>
      <c r="N59" s="60">
        <v>477.3</v>
      </c>
      <c r="O59" s="60">
        <v>0</v>
      </c>
      <c r="P59" s="60">
        <v>0.71</v>
      </c>
      <c r="Q59" s="60">
        <v>20.14</v>
      </c>
      <c r="R59" s="198"/>
      <c r="S59" s="198"/>
      <c r="T59" s="198"/>
      <c r="U59" s="198"/>
    </row>
    <row r="60" spans="1:21" s="12" customFormat="1" x14ac:dyDescent="0.25">
      <c r="A60" s="201" t="s">
        <v>2795</v>
      </c>
      <c r="B60" s="60">
        <v>1.27</v>
      </c>
      <c r="C60" s="60">
        <v>70.7</v>
      </c>
      <c r="D60" s="60">
        <v>40.03</v>
      </c>
      <c r="E60" s="60">
        <v>4.9400000000000004</v>
      </c>
      <c r="F60" s="60">
        <v>19.5</v>
      </c>
      <c r="G60" s="60">
        <v>57.59</v>
      </c>
      <c r="H60" s="60">
        <v>34.479999999999997</v>
      </c>
      <c r="I60" s="60">
        <v>0.52</v>
      </c>
      <c r="J60" s="60">
        <v>0.34</v>
      </c>
      <c r="K60" s="60">
        <v>34.56</v>
      </c>
      <c r="L60" s="60">
        <v>34.58</v>
      </c>
      <c r="M60" s="60">
        <v>17.5</v>
      </c>
      <c r="N60" s="60">
        <v>454.1</v>
      </c>
      <c r="O60" s="60">
        <v>0</v>
      </c>
      <c r="P60" s="60">
        <v>0.66</v>
      </c>
      <c r="Q60" s="60">
        <v>20.81</v>
      </c>
      <c r="R60" s="198"/>
      <c r="S60" s="198"/>
      <c r="T60" s="198"/>
      <c r="U60" s="198"/>
    </row>
    <row r="61" spans="1:21" s="12" customFormat="1" x14ac:dyDescent="0.25">
      <c r="A61" s="201" t="s">
        <v>2796</v>
      </c>
      <c r="B61" s="60">
        <v>2.27</v>
      </c>
      <c r="C61" s="60">
        <v>74.650000000000006</v>
      </c>
      <c r="D61" s="60">
        <v>43.02</v>
      </c>
      <c r="E61" s="60">
        <v>5.78</v>
      </c>
      <c r="F61" s="60">
        <v>15.75</v>
      </c>
      <c r="G61" s="60">
        <v>57.59</v>
      </c>
      <c r="H61" s="60">
        <v>34.479999999999997</v>
      </c>
      <c r="I61" s="60">
        <v>0.52</v>
      </c>
      <c r="J61" s="60">
        <v>0.27</v>
      </c>
      <c r="K61" s="60">
        <v>359.39</v>
      </c>
      <c r="L61" s="60">
        <v>36.18</v>
      </c>
      <c r="M61" s="60">
        <v>16.829999999999998</v>
      </c>
      <c r="N61" s="60">
        <v>431.9</v>
      </c>
      <c r="O61" s="60">
        <v>0</v>
      </c>
      <c r="P61" s="60">
        <v>0.69</v>
      </c>
      <c r="Q61" s="60">
        <v>21.28</v>
      </c>
      <c r="R61" s="198"/>
      <c r="S61" s="198"/>
      <c r="T61" s="198"/>
      <c r="U61" s="198"/>
    </row>
    <row r="62" spans="1:21" s="12" customFormat="1" x14ac:dyDescent="0.25">
      <c r="A62" s="201" t="s">
        <v>2797</v>
      </c>
      <c r="B62" s="60">
        <v>1.54</v>
      </c>
      <c r="C62" s="60">
        <v>70.099999999999994</v>
      </c>
      <c r="D62" s="60">
        <v>39.92</v>
      </c>
      <c r="E62" s="60">
        <v>7.01</v>
      </c>
      <c r="F62" s="60">
        <v>17.97</v>
      </c>
      <c r="G62" s="60">
        <v>57.59</v>
      </c>
      <c r="H62" s="60">
        <v>34.479999999999997</v>
      </c>
      <c r="I62" s="60">
        <v>0.54</v>
      </c>
      <c r="J62" s="60">
        <v>0.36</v>
      </c>
      <c r="K62" s="60">
        <v>54.34</v>
      </c>
      <c r="L62" s="60">
        <v>35.33</v>
      </c>
      <c r="M62" s="60">
        <v>18.39</v>
      </c>
      <c r="N62" s="60">
        <v>422.4</v>
      </c>
      <c r="O62" s="60">
        <v>0</v>
      </c>
      <c r="P62" s="60">
        <v>0.72</v>
      </c>
      <c r="Q62" s="60">
        <v>21.45</v>
      </c>
      <c r="R62" s="198"/>
      <c r="S62" s="198"/>
      <c r="T62" s="198"/>
      <c r="U62" s="198"/>
    </row>
    <row r="63" spans="1:21" s="12" customFormat="1" x14ac:dyDescent="0.25">
      <c r="A63" s="201" t="s">
        <v>2798</v>
      </c>
      <c r="B63" s="60">
        <v>1.68</v>
      </c>
      <c r="C63" s="60">
        <v>74.39</v>
      </c>
      <c r="D63" s="60">
        <v>42.4</v>
      </c>
      <c r="E63" s="60">
        <v>2.8</v>
      </c>
      <c r="F63" s="60">
        <v>16.18</v>
      </c>
      <c r="G63" s="60">
        <v>51.95</v>
      </c>
      <c r="H63" s="60">
        <v>31.82</v>
      </c>
      <c r="I63" s="60">
        <v>0.54</v>
      </c>
      <c r="J63" s="60">
        <v>0.27</v>
      </c>
      <c r="K63" s="60">
        <v>0.16</v>
      </c>
      <c r="L63" s="60">
        <v>36.979999999999997</v>
      </c>
      <c r="M63" s="60">
        <v>16.32</v>
      </c>
      <c r="N63" s="60">
        <v>400.2</v>
      </c>
      <c r="O63" s="60">
        <v>0</v>
      </c>
      <c r="P63" s="60">
        <v>0.73</v>
      </c>
      <c r="Q63" s="60">
        <v>21.76</v>
      </c>
      <c r="R63" s="198"/>
      <c r="S63" s="198"/>
      <c r="T63" s="198"/>
      <c r="U63" s="198"/>
    </row>
    <row r="64" spans="1:21" s="12" customFormat="1" x14ac:dyDescent="0.25">
      <c r="A64" s="201" t="s">
        <v>2799</v>
      </c>
      <c r="B64" s="60">
        <v>2.67</v>
      </c>
      <c r="C64" s="60">
        <v>79.86</v>
      </c>
      <c r="D64" s="60">
        <v>46.21</v>
      </c>
      <c r="E64" s="60">
        <v>3.76</v>
      </c>
      <c r="F64" s="60">
        <v>17.78</v>
      </c>
      <c r="G64" s="60">
        <v>49.27</v>
      </c>
      <c r="H64" s="60">
        <v>30.56</v>
      </c>
      <c r="I64" s="60">
        <v>0.54</v>
      </c>
      <c r="J64" s="60">
        <v>0.88</v>
      </c>
      <c r="K64" s="60">
        <v>4.8</v>
      </c>
      <c r="L64" s="60">
        <v>37.200000000000003</v>
      </c>
      <c r="M64" s="60">
        <v>16.579999999999998</v>
      </c>
      <c r="N64" s="60">
        <v>391.9</v>
      </c>
      <c r="O64" s="60">
        <v>0</v>
      </c>
      <c r="P64" s="60">
        <v>0.76</v>
      </c>
      <c r="Q64" s="60">
        <v>22.07</v>
      </c>
      <c r="R64" s="198"/>
      <c r="S64" s="198"/>
      <c r="T64" s="198"/>
      <c r="U64" s="198"/>
    </row>
    <row r="65" spans="1:21" s="12" customFormat="1" x14ac:dyDescent="0.25">
      <c r="A65" s="201" t="s">
        <v>2800</v>
      </c>
      <c r="B65" s="60">
        <v>2.65</v>
      </c>
      <c r="C65" s="60">
        <v>76.459999999999994</v>
      </c>
      <c r="D65" s="60">
        <v>44.32</v>
      </c>
      <c r="E65" s="60">
        <v>10.08</v>
      </c>
      <c r="F65" s="60">
        <v>20.149999999999999</v>
      </c>
      <c r="G65" s="60">
        <v>49.27</v>
      </c>
      <c r="H65" s="60">
        <v>30.56</v>
      </c>
      <c r="I65" s="60">
        <v>0.54</v>
      </c>
      <c r="J65" s="60">
        <v>0.67</v>
      </c>
      <c r="K65" s="60">
        <v>174.29</v>
      </c>
      <c r="L65" s="60">
        <v>35.630000000000003</v>
      </c>
      <c r="M65" s="60">
        <v>17.12</v>
      </c>
      <c r="N65" s="60">
        <v>371.8</v>
      </c>
      <c r="O65" s="60">
        <v>0</v>
      </c>
      <c r="P65" s="60">
        <v>0.77</v>
      </c>
      <c r="Q65" s="60">
        <v>21.52</v>
      </c>
      <c r="R65" s="198"/>
      <c r="S65" s="198"/>
      <c r="T65" s="198"/>
      <c r="U65" s="198"/>
    </row>
    <row r="66" spans="1:21" s="12" customFormat="1" x14ac:dyDescent="0.25">
      <c r="A66" s="201" t="s">
        <v>2801</v>
      </c>
      <c r="B66" s="60">
        <v>1.27</v>
      </c>
      <c r="C66" s="60">
        <v>77.989999999999995</v>
      </c>
      <c r="D66" s="60">
        <v>44.06</v>
      </c>
      <c r="E66" s="60">
        <v>9.09</v>
      </c>
      <c r="F66" s="60">
        <v>20.350000000000001</v>
      </c>
      <c r="G66" s="60">
        <v>49.27</v>
      </c>
      <c r="H66" s="60">
        <v>30.56</v>
      </c>
      <c r="I66" s="60">
        <v>0.55000000000000004</v>
      </c>
      <c r="J66" s="60">
        <v>0.11</v>
      </c>
      <c r="K66" s="60">
        <v>318.58</v>
      </c>
      <c r="L66" s="60">
        <v>35</v>
      </c>
      <c r="M66" s="60">
        <v>17.13</v>
      </c>
      <c r="N66" s="60">
        <v>335.9</v>
      </c>
      <c r="O66" s="60">
        <v>0</v>
      </c>
      <c r="P66" s="60">
        <v>0.81</v>
      </c>
      <c r="Q66" s="60">
        <v>21.87</v>
      </c>
      <c r="R66" s="198"/>
      <c r="S66" s="198"/>
      <c r="T66" s="198"/>
      <c r="U66" s="198"/>
    </row>
    <row r="67" spans="1:21" s="12" customFormat="1" x14ac:dyDescent="0.25">
      <c r="A67" s="201" t="s">
        <v>2802</v>
      </c>
      <c r="B67" s="60">
        <v>1.33</v>
      </c>
      <c r="C67" s="60">
        <v>76.36</v>
      </c>
      <c r="D67" s="60">
        <v>43.21</v>
      </c>
      <c r="E67" s="60">
        <v>10.57</v>
      </c>
      <c r="F67" s="60">
        <v>19.72</v>
      </c>
      <c r="G67" s="60">
        <v>53.74</v>
      </c>
      <c r="H67" s="60">
        <v>30.87</v>
      </c>
      <c r="I67" s="60">
        <v>0.56000000000000005</v>
      </c>
      <c r="J67" s="60">
        <v>0.46</v>
      </c>
      <c r="K67" s="60">
        <v>226.7</v>
      </c>
      <c r="L67" s="60">
        <v>34.229999999999997</v>
      </c>
      <c r="M67" s="60">
        <v>17.559999999999999</v>
      </c>
      <c r="N67" s="60">
        <v>324.7</v>
      </c>
      <c r="O67" s="60">
        <v>0</v>
      </c>
      <c r="P67" s="60">
        <v>0.82</v>
      </c>
      <c r="Q67" s="60">
        <v>22.05</v>
      </c>
      <c r="R67" s="198"/>
      <c r="S67" s="198"/>
      <c r="T67" s="198"/>
      <c r="U67" s="198"/>
    </row>
    <row r="68" spans="1:21" s="12" customFormat="1" x14ac:dyDescent="0.25">
      <c r="A68" s="201" t="s">
        <v>2803</v>
      </c>
      <c r="B68" s="60">
        <v>1.2</v>
      </c>
      <c r="C68" s="60">
        <v>80.290000000000006</v>
      </c>
      <c r="D68" s="60">
        <v>45.27</v>
      </c>
      <c r="E68" s="60">
        <v>6.81</v>
      </c>
      <c r="F68" s="60">
        <v>9.8800000000000008</v>
      </c>
      <c r="G68" s="60">
        <v>55.87</v>
      </c>
      <c r="H68" s="60">
        <v>31.02</v>
      </c>
      <c r="I68" s="60">
        <v>0.56000000000000005</v>
      </c>
      <c r="J68" s="60">
        <v>0.53</v>
      </c>
      <c r="K68" s="60">
        <v>199.91</v>
      </c>
      <c r="L68" s="60">
        <v>34.36</v>
      </c>
      <c r="M68" s="60">
        <v>17.77</v>
      </c>
      <c r="N68" s="60">
        <v>306.8</v>
      </c>
      <c r="O68" s="60">
        <v>0</v>
      </c>
      <c r="P68" s="60">
        <v>0.83</v>
      </c>
      <c r="Q68" s="60">
        <v>22.69</v>
      </c>
      <c r="R68" s="198"/>
      <c r="S68" s="198"/>
      <c r="T68" s="198"/>
      <c r="U68" s="198"/>
    </row>
    <row r="69" spans="1:21" s="12" customFormat="1" x14ac:dyDescent="0.25">
      <c r="A69" s="201" t="s">
        <v>2804</v>
      </c>
      <c r="B69" s="60">
        <v>0.69</v>
      </c>
      <c r="C69" s="60">
        <v>83.99</v>
      </c>
      <c r="D69" s="60">
        <v>46.9</v>
      </c>
      <c r="E69" s="60">
        <v>4.55</v>
      </c>
      <c r="F69" s="60">
        <v>14.31</v>
      </c>
      <c r="G69" s="60">
        <v>55.87</v>
      </c>
      <c r="H69" s="60">
        <v>31.02</v>
      </c>
      <c r="I69" s="60">
        <v>0.6</v>
      </c>
      <c r="J69" s="60">
        <v>1.6</v>
      </c>
      <c r="K69" s="60">
        <v>175.24</v>
      </c>
      <c r="L69" s="60">
        <v>33.17</v>
      </c>
      <c r="M69" s="60">
        <v>18.47</v>
      </c>
      <c r="N69" s="60">
        <v>284.2</v>
      </c>
      <c r="O69" s="60">
        <v>0</v>
      </c>
      <c r="P69" s="60">
        <v>0.83</v>
      </c>
      <c r="Q69" s="60">
        <v>23.95</v>
      </c>
      <c r="R69" s="198"/>
      <c r="S69" s="198"/>
      <c r="T69" s="198"/>
      <c r="U69" s="198"/>
    </row>
    <row r="70" spans="1:21" s="12" customFormat="1" x14ac:dyDescent="0.25">
      <c r="A70" s="201" t="s">
        <v>2805</v>
      </c>
      <c r="B70" s="60">
        <v>0.3</v>
      </c>
      <c r="C70" s="60">
        <v>70.94</v>
      </c>
      <c r="D70" s="60">
        <v>39.39</v>
      </c>
      <c r="E70" s="60">
        <v>8.43</v>
      </c>
      <c r="F70" s="60">
        <v>27.21</v>
      </c>
      <c r="G70" s="60">
        <v>55.87</v>
      </c>
      <c r="H70" s="60">
        <v>31.02</v>
      </c>
      <c r="I70" s="60">
        <v>0.6</v>
      </c>
      <c r="J70" s="60">
        <v>0.61</v>
      </c>
      <c r="K70" s="60">
        <v>184.39</v>
      </c>
      <c r="L70" s="60">
        <v>33.42</v>
      </c>
      <c r="M70" s="60">
        <v>18.440000000000001</v>
      </c>
      <c r="N70" s="60">
        <v>273.8</v>
      </c>
      <c r="O70" s="60">
        <v>0</v>
      </c>
      <c r="P70" s="60">
        <v>0.81</v>
      </c>
      <c r="Q70" s="60">
        <v>24.09</v>
      </c>
      <c r="R70" s="198"/>
      <c r="S70" s="198"/>
      <c r="T70" s="198"/>
      <c r="U70" s="198"/>
    </row>
    <row r="71" spans="1:21" s="12" customFormat="1" x14ac:dyDescent="0.25">
      <c r="A71" s="201" t="s">
        <v>2806</v>
      </c>
      <c r="B71" s="60">
        <v>0.26</v>
      </c>
      <c r="C71" s="60">
        <v>74.989999999999995</v>
      </c>
      <c r="D71" s="60">
        <v>41.6</v>
      </c>
      <c r="E71" s="60">
        <v>8.16</v>
      </c>
      <c r="F71" s="60">
        <v>12.39</v>
      </c>
      <c r="G71" s="60">
        <v>56.76</v>
      </c>
      <c r="H71" s="60">
        <v>31.33</v>
      </c>
      <c r="I71" s="60">
        <v>0.56999999999999995</v>
      </c>
      <c r="J71" s="60">
        <v>0.32</v>
      </c>
      <c r="K71" s="60">
        <v>354.65</v>
      </c>
      <c r="L71" s="60">
        <v>34.42</v>
      </c>
      <c r="M71" s="60">
        <v>18.34</v>
      </c>
      <c r="N71" s="60">
        <v>235.3</v>
      </c>
      <c r="O71" s="60">
        <v>0</v>
      </c>
      <c r="P71" s="60">
        <v>0.82</v>
      </c>
      <c r="Q71" s="60">
        <v>23.67</v>
      </c>
      <c r="R71" s="198"/>
      <c r="S71" s="198"/>
      <c r="T71" s="198"/>
      <c r="U71" s="198"/>
    </row>
    <row r="72" spans="1:21" s="12" customFormat="1" x14ac:dyDescent="0.25">
      <c r="A72" s="201" t="s">
        <v>2807</v>
      </c>
      <c r="B72" s="60">
        <v>0.91</v>
      </c>
      <c r="C72" s="60">
        <v>78.459999999999994</v>
      </c>
      <c r="D72" s="60">
        <v>44.03</v>
      </c>
      <c r="E72" s="60">
        <v>8.4499999999999993</v>
      </c>
      <c r="F72" s="60">
        <v>17.2</v>
      </c>
      <c r="G72" s="60">
        <v>57.19</v>
      </c>
      <c r="H72" s="60">
        <v>31.49</v>
      </c>
      <c r="I72" s="60">
        <v>0.55000000000000004</v>
      </c>
      <c r="J72" s="60">
        <v>0.28000000000000003</v>
      </c>
      <c r="K72" s="60">
        <v>7.61</v>
      </c>
      <c r="L72" s="60">
        <v>35.24</v>
      </c>
      <c r="M72" s="60">
        <v>17.260000000000002</v>
      </c>
      <c r="N72" s="60">
        <v>157.19999999999999</v>
      </c>
      <c r="O72" s="60">
        <v>0</v>
      </c>
      <c r="P72" s="60">
        <v>0.85</v>
      </c>
      <c r="Q72" s="60">
        <v>23.54</v>
      </c>
      <c r="R72" s="198"/>
      <c r="S72" s="198"/>
      <c r="T72" s="198"/>
      <c r="U72" s="198"/>
    </row>
    <row r="73" spans="1:21" s="12" customFormat="1" x14ac:dyDescent="0.25">
      <c r="A73" s="201" t="s">
        <v>2808</v>
      </c>
      <c r="B73" s="60">
        <v>0.88</v>
      </c>
      <c r="C73" s="60">
        <v>79.819999999999993</v>
      </c>
      <c r="D73" s="60">
        <v>44.76</v>
      </c>
      <c r="E73" s="60">
        <v>6.74</v>
      </c>
      <c r="F73" s="60">
        <v>13.05</v>
      </c>
      <c r="G73" s="60">
        <v>57.19</v>
      </c>
      <c r="H73" s="60">
        <v>31.49</v>
      </c>
      <c r="I73" s="60">
        <v>0.55000000000000004</v>
      </c>
      <c r="J73" s="60">
        <v>0.23</v>
      </c>
      <c r="K73" s="60">
        <v>209</v>
      </c>
      <c r="L73" s="60">
        <v>34.01</v>
      </c>
      <c r="M73" s="60">
        <v>17.440000000000001</v>
      </c>
      <c r="N73" s="60">
        <v>123.9</v>
      </c>
      <c r="O73" s="60">
        <v>0</v>
      </c>
      <c r="P73" s="60">
        <v>0.85</v>
      </c>
      <c r="Q73" s="60">
        <v>23.86</v>
      </c>
      <c r="R73" s="198"/>
      <c r="S73" s="198"/>
      <c r="T73" s="198"/>
      <c r="U73" s="198"/>
    </row>
    <row r="74" spans="1:21" s="12" customFormat="1" x14ac:dyDescent="0.25">
      <c r="A74" s="201" t="s">
        <v>2809</v>
      </c>
      <c r="B74" s="60">
        <v>0.67</v>
      </c>
      <c r="C74" s="60">
        <v>77.73</v>
      </c>
      <c r="D74" s="60">
        <v>43.43</v>
      </c>
      <c r="E74" s="60">
        <v>6.21</v>
      </c>
      <c r="F74" s="60">
        <v>20.49</v>
      </c>
      <c r="G74" s="60">
        <v>57.19</v>
      </c>
      <c r="H74" s="60">
        <v>31.49</v>
      </c>
      <c r="I74" s="60">
        <v>0.55000000000000004</v>
      </c>
      <c r="J74" s="60">
        <v>0.33</v>
      </c>
      <c r="K74" s="60">
        <v>191.63</v>
      </c>
      <c r="L74" s="60">
        <v>33.15</v>
      </c>
      <c r="M74" s="60">
        <v>18.04</v>
      </c>
      <c r="N74" s="60">
        <v>125.2</v>
      </c>
      <c r="O74" s="60">
        <v>0</v>
      </c>
      <c r="P74" s="60">
        <v>0.84</v>
      </c>
      <c r="Q74" s="60">
        <v>23.93</v>
      </c>
      <c r="R74" s="198"/>
      <c r="S74" s="198"/>
      <c r="T74" s="198"/>
      <c r="U74" s="198"/>
    </row>
    <row r="75" spans="1:21" s="12" customFormat="1" x14ac:dyDescent="0.25">
      <c r="A75" s="201" t="s">
        <v>2810</v>
      </c>
      <c r="B75" s="60">
        <v>0.43</v>
      </c>
      <c r="C75" s="60">
        <v>66.16</v>
      </c>
      <c r="D75" s="60">
        <v>36.86</v>
      </c>
      <c r="E75" s="60">
        <v>16.5</v>
      </c>
      <c r="F75" s="60">
        <v>49.37</v>
      </c>
      <c r="G75" s="60">
        <v>59.63</v>
      </c>
      <c r="H75" s="60">
        <v>31.75</v>
      </c>
      <c r="I75" s="60">
        <v>0.55000000000000004</v>
      </c>
      <c r="J75" s="60">
        <v>0.38</v>
      </c>
      <c r="K75" s="60">
        <v>198.66</v>
      </c>
      <c r="L75" s="60">
        <v>32.799999999999997</v>
      </c>
      <c r="M75" s="60">
        <v>18.22</v>
      </c>
      <c r="N75" s="60">
        <v>89.3</v>
      </c>
      <c r="O75" s="60">
        <v>0</v>
      </c>
      <c r="P75" s="60">
        <v>0.78</v>
      </c>
      <c r="Q75" s="60">
        <v>22.54</v>
      </c>
      <c r="R75" s="198"/>
      <c r="S75" s="198"/>
      <c r="T75" s="198"/>
      <c r="U75" s="198"/>
    </row>
    <row r="76" spans="1:21" s="12" customFormat="1" x14ac:dyDescent="0.25">
      <c r="A76" s="201" t="s">
        <v>2811</v>
      </c>
      <c r="B76" s="60">
        <v>1.28</v>
      </c>
      <c r="C76" s="60">
        <v>74.150000000000006</v>
      </c>
      <c r="D76" s="60">
        <v>41.95</v>
      </c>
      <c r="E76" s="60">
        <v>17.89</v>
      </c>
      <c r="F76" s="60">
        <v>41.7</v>
      </c>
      <c r="G76" s="60">
        <v>60.8</v>
      </c>
      <c r="H76" s="60">
        <v>31.87</v>
      </c>
      <c r="I76" s="60">
        <v>0.54</v>
      </c>
      <c r="J76" s="60">
        <v>0.11</v>
      </c>
      <c r="K76" s="60">
        <v>324.67</v>
      </c>
      <c r="L76" s="60">
        <v>32.56</v>
      </c>
      <c r="M76" s="60">
        <v>19</v>
      </c>
      <c r="N76" s="60">
        <v>58.5</v>
      </c>
      <c r="O76" s="60">
        <v>0</v>
      </c>
      <c r="P76" s="60">
        <v>0.89</v>
      </c>
      <c r="Q76" s="60">
        <v>21.47</v>
      </c>
      <c r="R76" s="198"/>
      <c r="S76" s="198"/>
      <c r="T76" s="198"/>
      <c r="U76" s="198"/>
    </row>
    <row r="77" spans="1:21" s="12" customFormat="1" x14ac:dyDescent="0.25">
      <c r="A77" s="201" t="s">
        <v>2812</v>
      </c>
      <c r="B77" s="60">
        <v>4.21</v>
      </c>
      <c r="C77" s="60">
        <v>95.87</v>
      </c>
      <c r="D77" s="60">
        <v>56.28</v>
      </c>
      <c r="E77" s="60">
        <v>18.93</v>
      </c>
      <c r="F77" s="60">
        <v>33.56</v>
      </c>
      <c r="G77" s="60">
        <v>60.8</v>
      </c>
      <c r="H77" s="60">
        <v>31.87</v>
      </c>
      <c r="I77" s="60">
        <v>0.52</v>
      </c>
      <c r="J77" s="60">
        <v>0.13</v>
      </c>
      <c r="K77" s="60">
        <v>21.71</v>
      </c>
      <c r="L77" s="60">
        <v>32.33</v>
      </c>
      <c r="M77" s="60">
        <v>19.420000000000002</v>
      </c>
      <c r="N77" s="60">
        <v>41.5</v>
      </c>
      <c r="O77" s="60">
        <v>0</v>
      </c>
      <c r="P77" s="60">
        <v>1.1100000000000001</v>
      </c>
      <c r="Q77" s="60">
        <v>20.83</v>
      </c>
      <c r="R77" s="198"/>
      <c r="S77" s="198"/>
      <c r="T77" s="198"/>
      <c r="U77" s="198"/>
    </row>
    <row r="78" spans="1:21" s="12" customFormat="1" x14ac:dyDescent="0.25">
      <c r="A78" s="201" t="s">
        <v>2813</v>
      </c>
      <c r="B78" s="60">
        <v>4.92</v>
      </c>
      <c r="C78" s="60">
        <v>117.25</v>
      </c>
      <c r="D78" s="60">
        <v>68.66</v>
      </c>
      <c r="E78" s="60">
        <v>25.36</v>
      </c>
      <c r="F78" s="60">
        <v>32.630000000000003</v>
      </c>
      <c r="G78" s="60">
        <v>60.8</v>
      </c>
      <c r="H78" s="60">
        <v>31.87</v>
      </c>
      <c r="I78" s="60">
        <v>0.53</v>
      </c>
      <c r="J78" s="60">
        <v>0.14000000000000001</v>
      </c>
      <c r="K78" s="60">
        <v>9.2899999999999991</v>
      </c>
      <c r="L78" s="60">
        <v>31.92</v>
      </c>
      <c r="M78" s="60">
        <v>20.079999999999998</v>
      </c>
      <c r="N78" s="60">
        <v>28.7</v>
      </c>
      <c r="O78" s="60">
        <v>0</v>
      </c>
      <c r="P78" s="60">
        <v>1.1299999999999999</v>
      </c>
      <c r="Q78" s="60">
        <v>20.18</v>
      </c>
      <c r="R78" s="198"/>
      <c r="S78" s="198"/>
      <c r="T78" s="198"/>
      <c r="U78" s="198"/>
    </row>
    <row r="79" spans="1:21" s="12" customFormat="1" x14ac:dyDescent="0.25">
      <c r="A79" s="201" t="s">
        <v>2814</v>
      </c>
      <c r="B79" s="60">
        <v>4.01</v>
      </c>
      <c r="C79" s="60">
        <v>119.2</v>
      </c>
      <c r="D79" s="60">
        <v>69</v>
      </c>
      <c r="E79" s="60">
        <v>24.99</v>
      </c>
      <c r="F79" s="60">
        <v>32.369999999999997</v>
      </c>
      <c r="G79" s="60">
        <v>65.19</v>
      </c>
      <c r="H79" s="60">
        <v>33.119999999999997</v>
      </c>
      <c r="I79" s="60">
        <v>0.54</v>
      </c>
      <c r="J79" s="60">
        <v>0.23</v>
      </c>
      <c r="K79" s="60">
        <v>0.68</v>
      </c>
      <c r="L79" s="60">
        <v>31.05</v>
      </c>
      <c r="M79" s="60">
        <v>24.48</v>
      </c>
      <c r="N79" s="60">
        <v>17.5</v>
      </c>
      <c r="O79" s="60">
        <v>0</v>
      </c>
      <c r="P79" s="60">
        <v>1.34</v>
      </c>
      <c r="Q79" s="60">
        <v>18.940000000000001</v>
      </c>
      <c r="R79" s="198"/>
      <c r="S79" s="198"/>
      <c r="T79" s="198"/>
      <c r="U79" s="198"/>
    </row>
    <row r="80" spans="1:21" s="12" customFormat="1" x14ac:dyDescent="0.25">
      <c r="A80" s="201" t="s">
        <v>2815</v>
      </c>
      <c r="B80" s="60">
        <v>4.6500000000000004</v>
      </c>
      <c r="C80" s="60">
        <v>127.35</v>
      </c>
      <c r="D80" s="60">
        <v>74.010000000000005</v>
      </c>
      <c r="E80" s="60">
        <v>27.06</v>
      </c>
      <c r="F80" s="60">
        <v>28.21</v>
      </c>
      <c r="G80" s="60">
        <v>67.27</v>
      </c>
      <c r="H80" s="60">
        <v>33.71</v>
      </c>
      <c r="I80" s="60">
        <v>0.54</v>
      </c>
      <c r="J80" s="60">
        <v>0.09</v>
      </c>
      <c r="K80" s="60">
        <v>3.1</v>
      </c>
      <c r="L80" s="60">
        <v>30.02</v>
      </c>
      <c r="M80" s="60">
        <v>27.45</v>
      </c>
      <c r="N80" s="60">
        <v>9.1</v>
      </c>
      <c r="O80" s="60">
        <v>0</v>
      </c>
      <c r="P80" s="60">
        <v>1.67</v>
      </c>
      <c r="Q80" s="60">
        <v>19.41</v>
      </c>
      <c r="R80" s="198"/>
      <c r="S80" s="198"/>
      <c r="T80" s="198"/>
      <c r="U80" s="198"/>
    </row>
    <row r="81" spans="1:26" s="12" customFormat="1" x14ac:dyDescent="0.25">
      <c r="A81" s="201" t="s">
        <v>2816</v>
      </c>
      <c r="B81" s="60">
        <v>18.78</v>
      </c>
      <c r="C81" s="60">
        <v>143.30000000000001</v>
      </c>
      <c r="D81" s="60">
        <v>94.14</v>
      </c>
      <c r="E81" s="60">
        <v>25.13</v>
      </c>
      <c r="F81" s="60">
        <v>17.97</v>
      </c>
      <c r="G81" s="60">
        <v>67.27</v>
      </c>
      <c r="H81" s="60">
        <v>33.71</v>
      </c>
      <c r="I81" s="60">
        <v>0.59</v>
      </c>
      <c r="J81" s="60">
        <v>0.37</v>
      </c>
      <c r="K81" s="60">
        <v>15.82</v>
      </c>
      <c r="L81" s="60">
        <v>29.29</v>
      </c>
      <c r="M81" s="60">
        <v>28.59</v>
      </c>
      <c r="N81" s="60">
        <v>5</v>
      </c>
      <c r="O81" s="60">
        <v>0</v>
      </c>
      <c r="P81" s="60">
        <v>1.76</v>
      </c>
      <c r="Q81" s="60">
        <v>19.66</v>
      </c>
      <c r="R81" s="198"/>
      <c r="S81" s="198"/>
      <c r="T81" s="198"/>
      <c r="U81" s="198"/>
    </row>
    <row r="82" spans="1:26" s="12" customFormat="1" x14ac:dyDescent="0.25">
      <c r="A82" s="201" t="s">
        <v>2817</v>
      </c>
      <c r="B82" s="60">
        <v>9.08</v>
      </c>
      <c r="C82" s="60">
        <v>140.11000000000001</v>
      </c>
      <c r="D82" s="60">
        <v>84.6</v>
      </c>
      <c r="E82" s="60">
        <v>17.97</v>
      </c>
      <c r="F82" s="60">
        <v>13.24</v>
      </c>
      <c r="G82" s="60">
        <v>67.27</v>
      </c>
      <c r="H82" s="60">
        <v>33.71</v>
      </c>
      <c r="I82" s="60">
        <v>0.64</v>
      </c>
      <c r="J82" s="60">
        <v>0.09</v>
      </c>
      <c r="K82" s="60">
        <v>68.17</v>
      </c>
      <c r="L82" s="60">
        <v>28.89</v>
      </c>
      <c r="M82" s="60">
        <v>28.45</v>
      </c>
      <c r="N82" s="60">
        <v>4.5999999999999996</v>
      </c>
      <c r="O82" s="60">
        <v>0</v>
      </c>
      <c r="P82" s="60">
        <v>1.71</v>
      </c>
      <c r="Q82" s="60">
        <v>21.01</v>
      </c>
      <c r="R82" s="198"/>
      <c r="S82" s="198"/>
      <c r="T82" s="198"/>
      <c r="U82" s="198"/>
    </row>
    <row r="83" spans="1:26" s="12" customFormat="1" x14ac:dyDescent="0.25">
      <c r="A83" s="201" t="s">
        <v>2818</v>
      </c>
      <c r="B83" s="60">
        <v>16.38</v>
      </c>
      <c r="C83" s="60">
        <v>149.59</v>
      </c>
      <c r="D83" s="60">
        <v>95.7</v>
      </c>
      <c r="E83" s="60">
        <v>15.33</v>
      </c>
      <c r="F83" s="60">
        <v>7.41</v>
      </c>
      <c r="G83" s="60">
        <v>76.53</v>
      </c>
      <c r="H83" s="60">
        <v>36.14</v>
      </c>
      <c r="I83" s="60">
        <v>0.66</v>
      </c>
      <c r="J83" s="60">
        <v>0.19</v>
      </c>
      <c r="K83" s="60">
        <v>85.74</v>
      </c>
      <c r="L83" s="60">
        <v>28.73</v>
      </c>
      <c r="M83" s="60">
        <v>29.07</v>
      </c>
      <c r="N83" s="60">
        <v>4.3</v>
      </c>
      <c r="O83" s="60">
        <v>0</v>
      </c>
      <c r="P83" s="60">
        <v>1.76</v>
      </c>
      <c r="Q83" s="60">
        <v>22.28</v>
      </c>
      <c r="R83" s="198"/>
      <c r="S83" s="198"/>
      <c r="T83" s="198"/>
      <c r="U83" s="198"/>
    </row>
    <row r="84" spans="1:26" s="12" customFormat="1" x14ac:dyDescent="0.25">
      <c r="A84" s="201" t="s">
        <v>2819</v>
      </c>
      <c r="B84" s="60">
        <v>13.69</v>
      </c>
      <c r="C84" s="60">
        <v>142.19999999999999</v>
      </c>
      <c r="D84" s="60">
        <v>89.45</v>
      </c>
      <c r="E84" s="60">
        <v>9.4499999999999993</v>
      </c>
      <c r="F84" s="60">
        <v>7.9</v>
      </c>
      <c r="G84" s="60">
        <v>80.930000000000007</v>
      </c>
      <c r="H84" s="60">
        <v>37.35</v>
      </c>
      <c r="I84" s="60">
        <v>0.69</v>
      </c>
      <c r="J84" s="60">
        <v>0.33</v>
      </c>
      <c r="K84" s="60">
        <v>82.65</v>
      </c>
      <c r="L84" s="60">
        <v>27.97</v>
      </c>
      <c r="M84" s="60">
        <v>35.840000000000003</v>
      </c>
      <c r="N84" s="60">
        <v>4.3</v>
      </c>
      <c r="O84" s="60">
        <v>0</v>
      </c>
      <c r="P84" s="60">
        <v>1.84</v>
      </c>
      <c r="Q84" s="60">
        <v>23.77</v>
      </c>
      <c r="R84" s="198"/>
      <c r="S84" s="198"/>
      <c r="T84" s="198"/>
      <c r="U84" s="198"/>
    </row>
    <row r="85" spans="1:26" s="12" customFormat="1" x14ac:dyDescent="0.25">
      <c r="A85" s="201" t="s">
        <v>2820</v>
      </c>
      <c r="B85" s="60">
        <v>19.63</v>
      </c>
      <c r="C85" s="60">
        <v>148.96</v>
      </c>
      <c r="D85" s="60">
        <v>97.95</v>
      </c>
      <c r="E85" s="60">
        <v>12.37</v>
      </c>
      <c r="F85" s="60">
        <v>6.89</v>
      </c>
      <c r="G85" s="60">
        <v>80.930000000000007</v>
      </c>
      <c r="H85" s="60">
        <v>37.35</v>
      </c>
      <c r="I85" s="60">
        <v>0.73</v>
      </c>
      <c r="J85" s="60">
        <v>0.22</v>
      </c>
      <c r="K85" s="60">
        <v>81.59</v>
      </c>
      <c r="L85" s="60">
        <v>27.97</v>
      </c>
      <c r="M85" s="60">
        <v>33.44</v>
      </c>
      <c r="N85" s="60">
        <v>4</v>
      </c>
      <c r="O85" s="60">
        <v>0</v>
      </c>
      <c r="P85" s="60">
        <v>2.0699999999999998</v>
      </c>
      <c r="Q85" s="60">
        <v>24.27</v>
      </c>
      <c r="R85" s="198"/>
      <c r="S85" s="198"/>
      <c r="T85" s="198"/>
      <c r="U85" s="198"/>
    </row>
    <row r="86" spans="1:26" s="12" customFormat="1" x14ac:dyDescent="0.25">
      <c r="A86" s="201" t="s">
        <v>2821</v>
      </c>
      <c r="B86" s="60">
        <v>29.17</v>
      </c>
      <c r="C86" s="60">
        <v>157.44</v>
      </c>
      <c r="D86" s="60">
        <v>110.28</v>
      </c>
      <c r="E86" s="60">
        <v>13.09</v>
      </c>
      <c r="F86" s="60">
        <v>6.53</v>
      </c>
      <c r="G86" s="60">
        <v>80.930000000000007</v>
      </c>
      <c r="H86" s="60">
        <v>37.35</v>
      </c>
      <c r="I86" s="60">
        <v>0.8</v>
      </c>
      <c r="J86" s="60">
        <v>0.32</v>
      </c>
      <c r="K86" s="60">
        <v>86.72</v>
      </c>
      <c r="L86" s="60">
        <v>27.72</v>
      </c>
      <c r="M86" s="60">
        <v>34.75</v>
      </c>
      <c r="N86" s="60">
        <v>4</v>
      </c>
      <c r="O86" s="60">
        <v>0</v>
      </c>
      <c r="P86" s="60">
        <v>2.23</v>
      </c>
      <c r="Q86" s="60">
        <v>24.61</v>
      </c>
      <c r="R86" s="198"/>
      <c r="S86" s="198"/>
      <c r="T86" s="198"/>
      <c r="U86" s="198"/>
    </row>
    <row r="87" spans="1:26" s="12" customFormat="1" x14ac:dyDescent="0.25">
      <c r="A87" s="201" t="s">
        <v>2822</v>
      </c>
      <c r="B87" s="60">
        <v>18.73</v>
      </c>
      <c r="C87" s="60">
        <v>145.28</v>
      </c>
      <c r="D87" s="60">
        <v>95.2</v>
      </c>
      <c r="E87" s="60">
        <v>6.57</v>
      </c>
      <c r="F87" s="60">
        <v>6.07</v>
      </c>
      <c r="G87" s="60">
        <v>135.94</v>
      </c>
      <c r="H87" s="60">
        <v>42.63</v>
      </c>
      <c r="I87" s="60">
        <v>0.84</v>
      </c>
      <c r="J87" s="60">
        <v>0.52</v>
      </c>
      <c r="K87" s="60">
        <v>84.98</v>
      </c>
      <c r="L87" s="60">
        <v>27.67</v>
      </c>
      <c r="M87" s="60">
        <v>34.26</v>
      </c>
      <c r="N87" s="60">
        <v>3.3</v>
      </c>
      <c r="O87" s="60">
        <v>0</v>
      </c>
      <c r="P87" s="60">
        <v>2.09</v>
      </c>
      <c r="Q87" s="60">
        <v>25.42</v>
      </c>
      <c r="R87" s="198"/>
      <c r="S87" s="198"/>
      <c r="T87" s="198"/>
      <c r="U87" s="198"/>
    </row>
    <row r="88" spans="1:26" s="12" customFormat="1" x14ac:dyDescent="0.25">
      <c r="A88" s="201" t="s">
        <v>2823</v>
      </c>
      <c r="B88" s="60">
        <v>19.38</v>
      </c>
      <c r="C88" s="60">
        <v>147.13</v>
      </c>
      <c r="D88" s="60">
        <v>96.74</v>
      </c>
      <c r="E88" s="60">
        <v>3.32</v>
      </c>
      <c r="F88" s="60">
        <v>5.56</v>
      </c>
      <c r="G88" s="60">
        <v>162.09</v>
      </c>
      <c r="H88" s="60">
        <v>45.15</v>
      </c>
      <c r="I88" s="60">
        <v>0.88</v>
      </c>
      <c r="J88" s="60">
        <v>0.51</v>
      </c>
      <c r="K88" s="60">
        <v>36.85</v>
      </c>
      <c r="L88" s="60">
        <v>27.35</v>
      </c>
      <c r="M88" s="60">
        <v>36.03</v>
      </c>
      <c r="N88" s="60">
        <v>3.7</v>
      </c>
      <c r="O88" s="60">
        <v>0</v>
      </c>
      <c r="P88" s="60">
        <v>2.12</v>
      </c>
      <c r="Q88" s="60">
        <v>26.16</v>
      </c>
      <c r="R88" s="198"/>
      <c r="S88" s="198"/>
      <c r="T88" s="198"/>
      <c r="U88" s="198"/>
    </row>
    <row r="89" spans="1:26" s="12" customFormat="1" x14ac:dyDescent="0.25">
      <c r="A89" s="201" t="s">
        <v>2824</v>
      </c>
      <c r="B89" s="60">
        <v>31.53</v>
      </c>
      <c r="C89" s="60">
        <v>154.66999999999999</v>
      </c>
      <c r="D89" s="60">
        <v>110.64</v>
      </c>
      <c r="E89" s="60">
        <v>32.42</v>
      </c>
      <c r="F89" s="60">
        <v>7.17</v>
      </c>
      <c r="G89" s="60">
        <v>162.09</v>
      </c>
      <c r="H89" s="60">
        <v>45.15</v>
      </c>
      <c r="I89" s="60">
        <v>0.9</v>
      </c>
      <c r="J89" s="60">
        <v>0.31</v>
      </c>
      <c r="K89" s="60">
        <v>40.950000000000003</v>
      </c>
      <c r="L89" s="60">
        <v>27.33</v>
      </c>
      <c r="M89" s="60">
        <v>34.89</v>
      </c>
      <c r="N89" s="60">
        <v>4.2</v>
      </c>
      <c r="O89" s="60">
        <v>0</v>
      </c>
      <c r="P89" s="60">
        <v>2.68</v>
      </c>
      <c r="Q89" s="60">
        <v>26.1</v>
      </c>
      <c r="R89" s="198"/>
      <c r="S89" s="198"/>
      <c r="T89" s="198"/>
      <c r="U89" s="198"/>
    </row>
    <row r="90" spans="1:26" s="12" customFormat="1" x14ac:dyDescent="0.25">
      <c r="A90" s="201" t="s">
        <v>2825</v>
      </c>
      <c r="B90" s="60">
        <v>17.97</v>
      </c>
      <c r="C90" s="60">
        <v>142.46</v>
      </c>
      <c r="D90" s="60">
        <v>93.03</v>
      </c>
      <c r="E90" s="60">
        <v>33.68</v>
      </c>
      <c r="F90" s="60">
        <v>9.56</v>
      </c>
      <c r="G90" s="60">
        <v>162.09</v>
      </c>
      <c r="H90" s="60">
        <v>45.15</v>
      </c>
      <c r="I90" s="60">
        <v>0.85</v>
      </c>
      <c r="J90" s="60">
        <v>0.46</v>
      </c>
      <c r="K90" s="60">
        <v>92.21</v>
      </c>
      <c r="L90" s="60">
        <v>27.12</v>
      </c>
      <c r="M90" s="60">
        <v>36.409999999999997</v>
      </c>
      <c r="N90" s="60">
        <v>3.8</v>
      </c>
      <c r="O90" s="60">
        <v>0</v>
      </c>
      <c r="P90" s="60">
        <v>2.4</v>
      </c>
      <c r="Q90" s="60">
        <v>25.85</v>
      </c>
      <c r="R90" s="198"/>
      <c r="S90" s="198"/>
      <c r="T90" s="198"/>
      <c r="U90" s="198"/>
    </row>
    <row r="91" spans="1:26" s="12" customFormat="1" x14ac:dyDescent="0.25">
      <c r="A91" s="201" t="s">
        <v>2826</v>
      </c>
      <c r="B91" s="60">
        <v>15.35</v>
      </c>
      <c r="C91" s="60">
        <v>139.93</v>
      </c>
      <c r="D91" s="60">
        <v>89.54</v>
      </c>
      <c r="E91" s="60">
        <v>33.99</v>
      </c>
      <c r="F91" s="60">
        <v>10.95</v>
      </c>
      <c r="G91" s="60">
        <v>184.41</v>
      </c>
      <c r="H91" s="60">
        <v>54.13</v>
      </c>
      <c r="I91" s="60">
        <v>0.93</v>
      </c>
      <c r="J91" s="60">
        <v>0.6</v>
      </c>
      <c r="K91" s="60">
        <v>108.56</v>
      </c>
      <c r="L91" s="60">
        <v>27.46</v>
      </c>
      <c r="M91" s="60">
        <v>34.36</v>
      </c>
      <c r="N91" s="60">
        <v>3.5</v>
      </c>
      <c r="O91" s="60">
        <v>0</v>
      </c>
      <c r="P91" s="60">
        <v>2.38</v>
      </c>
      <c r="Q91" s="60">
        <v>26.59</v>
      </c>
      <c r="R91" s="198"/>
      <c r="S91" s="198"/>
      <c r="T91" s="198"/>
      <c r="U91" s="198"/>
    </row>
    <row r="92" spans="1:26" s="12" customFormat="1" x14ac:dyDescent="0.25">
      <c r="A92" s="201" t="s">
        <v>2827</v>
      </c>
      <c r="B92" s="60">
        <v>24.12</v>
      </c>
      <c r="C92" s="60">
        <v>142.54</v>
      </c>
      <c r="D92" s="60">
        <v>98.01</v>
      </c>
      <c r="E92" s="60">
        <v>24.1</v>
      </c>
      <c r="F92" s="60">
        <v>7.06</v>
      </c>
      <c r="G92" s="60">
        <v>195.03</v>
      </c>
      <c r="H92" s="60">
        <v>58.4</v>
      </c>
      <c r="I92" s="60">
        <v>0.91</v>
      </c>
      <c r="J92" s="60">
        <v>0.32</v>
      </c>
      <c r="K92" s="60">
        <v>358.55</v>
      </c>
      <c r="L92" s="60">
        <v>26.69</v>
      </c>
      <c r="M92" s="60">
        <v>40.200000000000003</v>
      </c>
      <c r="N92" s="60">
        <v>4.5999999999999996</v>
      </c>
      <c r="O92" s="60">
        <v>0</v>
      </c>
      <c r="P92" s="60">
        <v>2.56</v>
      </c>
      <c r="Q92" s="60">
        <v>26.82</v>
      </c>
      <c r="R92" s="198"/>
      <c r="S92" s="198"/>
      <c r="T92" s="198"/>
      <c r="U92" s="198"/>
    </row>
    <row r="93" spans="1:26" s="12" customFormat="1" x14ac:dyDescent="0.25">
      <c r="A93" s="201" t="s">
        <v>2828</v>
      </c>
      <c r="B93" s="60">
        <v>22.16</v>
      </c>
      <c r="C93" s="60">
        <v>146.63999999999999</v>
      </c>
      <c r="D93" s="60">
        <v>98.7</v>
      </c>
      <c r="E93" s="60">
        <v>40.22</v>
      </c>
      <c r="F93" s="60">
        <v>6.63</v>
      </c>
      <c r="G93" s="60">
        <v>195.03</v>
      </c>
      <c r="H93" s="60">
        <v>58.4</v>
      </c>
      <c r="I93" s="60">
        <v>0.91</v>
      </c>
      <c r="J93" s="60">
        <v>0.47</v>
      </c>
      <c r="K93" s="60">
        <v>96.02</v>
      </c>
      <c r="L93" s="60">
        <v>26.71</v>
      </c>
      <c r="M93" s="60">
        <v>37.11</v>
      </c>
      <c r="N93" s="60">
        <v>3.9</v>
      </c>
      <c r="O93" s="60">
        <v>0</v>
      </c>
      <c r="P93" s="60">
        <v>2.68</v>
      </c>
      <c r="Q93" s="60">
        <v>27.24</v>
      </c>
      <c r="R93" s="198"/>
      <c r="S93" s="198"/>
      <c r="T93" s="198"/>
      <c r="U93" s="198"/>
    </row>
    <row r="94" spans="1:26" s="12" customFormat="1" x14ac:dyDescent="0.25">
      <c r="A94" s="201" t="s">
        <v>2829</v>
      </c>
      <c r="B94" s="60">
        <v>18.850000000000001</v>
      </c>
      <c r="C94" s="60">
        <v>144.46</v>
      </c>
      <c r="D94" s="60">
        <v>94.84</v>
      </c>
      <c r="E94" s="60">
        <v>25.37</v>
      </c>
      <c r="F94" s="60">
        <v>6.91</v>
      </c>
      <c r="G94" s="60">
        <v>195.03</v>
      </c>
      <c r="H94" s="60">
        <v>58.4</v>
      </c>
      <c r="I94" s="60">
        <v>0.95</v>
      </c>
      <c r="J94" s="60">
        <v>0.47</v>
      </c>
      <c r="K94" s="60">
        <v>110.97</v>
      </c>
      <c r="L94" s="60">
        <v>26.52</v>
      </c>
      <c r="M94" s="60">
        <v>41.17</v>
      </c>
      <c r="N94" s="60">
        <v>3.9</v>
      </c>
      <c r="O94" s="60">
        <v>0</v>
      </c>
      <c r="P94" s="60">
        <v>2.64</v>
      </c>
      <c r="Q94" s="60">
        <v>27.77</v>
      </c>
      <c r="R94" s="198"/>
      <c r="S94" s="198"/>
      <c r="T94" s="198"/>
      <c r="U94" s="198"/>
    </row>
    <row r="95" spans="1:26" s="12" customFormat="1" x14ac:dyDescent="0.25">
      <c r="A95" s="201" t="s">
        <v>2830</v>
      </c>
      <c r="B95" s="60">
        <v>19.440000000000001</v>
      </c>
      <c r="C95" s="60">
        <v>139.04</v>
      </c>
      <c r="D95" s="60">
        <v>92.32</v>
      </c>
      <c r="E95" s="60">
        <v>22.91</v>
      </c>
      <c r="F95" s="60">
        <v>9.93</v>
      </c>
      <c r="G95" s="60">
        <v>194.51</v>
      </c>
      <c r="H95" s="60">
        <v>67.400000000000006</v>
      </c>
      <c r="I95" s="60">
        <v>0.98</v>
      </c>
      <c r="J95" s="60">
        <v>0.15</v>
      </c>
      <c r="K95" s="60">
        <v>77.31</v>
      </c>
      <c r="L95" s="60">
        <v>26.52</v>
      </c>
      <c r="M95" s="60">
        <v>37.75</v>
      </c>
      <c r="N95" s="60">
        <v>4.0999999999999996</v>
      </c>
      <c r="O95" s="60">
        <v>0</v>
      </c>
      <c r="P95" s="60">
        <v>2.59</v>
      </c>
      <c r="Q95" s="60">
        <v>28.44</v>
      </c>
      <c r="R95" s="198"/>
      <c r="S95" s="198"/>
      <c r="T95" s="198"/>
      <c r="U95" s="198"/>
    </row>
    <row r="96" spans="1:26" s="12" customFormat="1" x14ac:dyDescent="0.25">
      <c r="A96" s="201" t="s">
        <v>2831</v>
      </c>
      <c r="B96" s="60">
        <v>25.85</v>
      </c>
      <c r="C96" s="60">
        <v>140.66</v>
      </c>
      <c r="D96" s="60">
        <v>98.35</v>
      </c>
      <c r="E96" s="60">
        <v>11.6</v>
      </c>
      <c r="F96" s="60">
        <v>5.74</v>
      </c>
      <c r="G96" s="60">
        <v>194.26</v>
      </c>
      <c r="H96" s="60">
        <v>71.900000000000006</v>
      </c>
      <c r="I96" s="60">
        <v>0.99</v>
      </c>
      <c r="J96" s="60">
        <v>0.42</v>
      </c>
      <c r="K96" s="60">
        <v>92.29</v>
      </c>
      <c r="L96" s="60">
        <v>25.99</v>
      </c>
      <c r="M96" s="60">
        <v>39.6</v>
      </c>
      <c r="N96" s="60">
        <v>4</v>
      </c>
      <c r="O96" s="60">
        <v>0</v>
      </c>
      <c r="P96" s="60">
        <v>2.58</v>
      </c>
      <c r="Q96" s="60">
        <v>28.59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2832</v>
      </c>
      <c r="B97" s="60">
        <v>22.75</v>
      </c>
      <c r="C97" s="60">
        <v>136.99</v>
      </c>
      <c r="D97" s="60">
        <v>93.85</v>
      </c>
      <c r="E97" s="60">
        <v>6.97</v>
      </c>
      <c r="F97" s="60">
        <v>5.59</v>
      </c>
      <c r="G97" s="60">
        <v>194.26</v>
      </c>
      <c r="H97" s="60">
        <v>71.900000000000006</v>
      </c>
      <c r="I97" s="60">
        <v>1</v>
      </c>
      <c r="J97" s="60">
        <v>0.52</v>
      </c>
      <c r="K97" s="60">
        <v>95.42</v>
      </c>
      <c r="L97" s="60">
        <v>26.09</v>
      </c>
      <c r="M97" s="60">
        <v>41.2</v>
      </c>
      <c r="N97" s="60">
        <v>3.9</v>
      </c>
      <c r="O97" s="60">
        <v>0</v>
      </c>
      <c r="P97" s="60">
        <v>2.52</v>
      </c>
      <c r="Q97" s="60">
        <v>29.95</v>
      </c>
      <c r="R97" s="198"/>
      <c r="S97" s="198"/>
      <c r="T97" s="198"/>
      <c r="U97" s="198"/>
    </row>
    <row r="98" spans="1:33" s="12" customFormat="1" x14ac:dyDescent="0.25">
      <c r="A98" s="201" t="s">
        <v>2833</v>
      </c>
      <c r="B98" s="60">
        <v>21.47</v>
      </c>
      <c r="C98" s="60">
        <v>135.72</v>
      </c>
      <c r="D98" s="60">
        <v>92.12</v>
      </c>
      <c r="E98" s="60">
        <v>6.22</v>
      </c>
      <c r="F98" s="60">
        <v>6.06</v>
      </c>
      <c r="G98" s="60">
        <v>194.26</v>
      </c>
      <c r="H98" s="60">
        <v>71.900000000000006</v>
      </c>
      <c r="I98" s="60">
        <v>1.03</v>
      </c>
      <c r="J98" s="60">
        <v>0.12</v>
      </c>
      <c r="K98" s="60">
        <v>111.23</v>
      </c>
      <c r="L98" s="60">
        <v>25.4</v>
      </c>
      <c r="M98" s="60">
        <v>44.08</v>
      </c>
      <c r="N98" s="60">
        <v>4.7</v>
      </c>
      <c r="O98" s="60">
        <v>0</v>
      </c>
      <c r="P98" s="60">
        <v>2.58</v>
      </c>
      <c r="Q98" s="60">
        <v>30.48</v>
      </c>
      <c r="R98" s="198"/>
      <c r="S98" s="198"/>
      <c r="T98" s="198"/>
      <c r="U98" s="198"/>
    </row>
    <row r="99" spans="1:33" s="12" customFormat="1" x14ac:dyDescent="0.25">
      <c r="A99" s="201" t="s">
        <v>2834</v>
      </c>
      <c r="B99" s="60">
        <v>24.1</v>
      </c>
      <c r="C99" s="60">
        <v>139.28</v>
      </c>
      <c r="D99" s="60">
        <v>96.19</v>
      </c>
      <c r="E99" s="60">
        <v>5.77</v>
      </c>
      <c r="F99" s="60">
        <v>4.6900000000000004</v>
      </c>
      <c r="G99" s="60">
        <v>168.17</v>
      </c>
      <c r="H99" s="60">
        <v>68.97</v>
      </c>
      <c r="I99" s="60">
        <v>1.03</v>
      </c>
      <c r="J99" s="60">
        <v>0.41</v>
      </c>
      <c r="K99" s="60">
        <v>79.53</v>
      </c>
      <c r="L99" s="60">
        <v>25.13</v>
      </c>
      <c r="M99" s="60">
        <v>45.15</v>
      </c>
      <c r="N99" s="60">
        <v>4.0999999999999996</v>
      </c>
      <c r="O99" s="60">
        <v>0</v>
      </c>
      <c r="P99" s="60">
        <v>2.62</v>
      </c>
      <c r="Q99" s="60">
        <v>30.49</v>
      </c>
      <c r="R99" s="198"/>
      <c r="S99" s="198"/>
      <c r="T99" s="198"/>
      <c r="U99" s="198"/>
    </row>
    <row r="100" spans="1:33" s="12" customFormat="1" x14ac:dyDescent="0.25">
      <c r="A100" s="201" t="s">
        <v>2835</v>
      </c>
      <c r="B100" s="60">
        <v>24.36</v>
      </c>
      <c r="C100" s="60">
        <v>138.36000000000001</v>
      </c>
      <c r="D100" s="60">
        <v>95.89</v>
      </c>
      <c r="E100" s="60">
        <v>5.5</v>
      </c>
      <c r="F100" s="60">
        <v>4.62</v>
      </c>
      <c r="G100" s="60">
        <v>155.77000000000001</v>
      </c>
      <c r="H100" s="60">
        <v>67.58</v>
      </c>
      <c r="I100" s="60">
        <v>1.05</v>
      </c>
      <c r="J100" s="60">
        <v>0.52</v>
      </c>
      <c r="K100" s="60">
        <v>150.53</v>
      </c>
      <c r="L100" s="60">
        <v>25.55</v>
      </c>
      <c r="M100" s="60">
        <v>39.46</v>
      </c>
      <c r="N100" s="60">
        <v>2.7</v>
      </c>
      <c r="O100" s="60">
        <v>0</v>
      </c>
      <c r="P100" s="60">
        <v>2.6</v>
      </c>
      <c r="Q100" s="60">
        <v>30.69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2836</v>
      </c>
      <c r="B101" s="60">
        <v>24.45</v>
      </c>
      <c r="C101" s="60">
        <v>137.86000000000001</v>
      </c>
      <c r="D101" s="60">
        <v>95.69</v>
      </c>
      <c r="E101" s="60">
        <v>5.23</v>
      </c>
      <c r="F101" s="60">
        <v>4.7699999999999996</v>
      </c>
      <c r="G101" s="60">
        <v>155.77000000000001</v>
      </c>
      <c r="H101" s="60">
        <v>67.58</v>
      </c>
      <c r="I101" s="60">
        <v>1.07</v>
      </c>
      <c r="J101" s="60">
        <v>0.35</v>
      </c>
      <c r="K101" s="60">
        <v>84.32</v>
      </c>
      <c r="L101" s="60">
        <v>26.16</v>
      </c>
      <c r="M101" s="60">
        <v>39.770000000000003</v>
      </c>
      <c r="N101" s="60">
        <v>4.0999999999999996</v>
      </c>
      <c r="O101" s="60">
        <v>0</v>
      </c>
      <c r="P101" s="60">
        <v>2.56</v>
      </c>
      <c r="Q101" s="60">
        <v>30.64</v>
      </c>
      <c r="R101" s="198"/>
      <c r="S101" s="198"/>
      <c r="T101" s="198"/>
      <c r="U101" s="198"/>
    </row>
    <row r="102" spans="1:33" s="12" customFormat="1" x14ac:dyDescent="0.25">
      <c r="A102" s="201" t="s">
        <v>2837</v>
      </c>
      <c r="B102" s="60">
        <v>27.9</v>
      </c>
      <c r="C102" s="60">
        <v>138.69</v>
      </c>
      <c r="D102" s="60">
        <v>98.91</v>
      </c>
      <c r="E102" s="60">
        <v>4.53</v>
      </c>
      <c r="F102" s="60">
        <v>4.3</v>
      </c>
      <c r="G102" s="60">
        <v>155.77000000000001</v>
      </c>
      <c r="H102" s="60">
        <v>67.58</v>
      </c>
      <c r="I102" s="60">
        <v>1.06</v>
      </c>
      <c r="J102" s="60">
        <v>0.24</v>
      </c>
      <c r="K102" s="60">
        <v>5.32</v>
      </c>
      <c r="L102" s="60">
        <v>24.43</v>
      </c>
      <c r="M102" s="60">
        <v>48.77</v>
      </c>
      <c r="N102" s="60">
        <v>5.3</v>
      </c>
      <c r="O102" s="60">
        <v>0</v>
      </c>
      <c r="P102" s="60">
        <v>2.58</v>
      </c>
      <c r="Q102" s="60">
        <v>30.61</v>
      </c>
      <c r="R102" s="198"/>
      <c r="S102" s="198"/>
      <c r="T102" s="198"/>
      <c r="U102" s="198"/>
    </row>
    <row r="103" spans="1:33" s="12" customFormat="1" x14ac:dyDescent="0.25">
      <c r="A103" s="201" t="s">
        <v>2838</v>
      </c>
      <c r="B103" s="60">
        <v>25.29</v>
      </c>
      <c r="C103" s="60">
        <v>131.32</v>
      </c>
      <c r="D103" s="60">
        <v>92.76</v>
      </c>
      <c r="E103" s="60">
        <v>4.6399999999999997</v>
      </c>
      <c r="F103" s="60">
        <v>6.28</v>
      </c>
      <c r="G103" s="60">
        <v>144.35</v>
      </c>
      <c r="H103" s="60">
        <v>65.709999999999994</v>
      </c>
      <c r="I103" s="60">
        <v>1.05</v>
      </c>
      <c r="J103" s="60">
        <v>7.0000000000000007E-2</v>
      </c>
      <c r="K103" s="60">
        <v>137.87</v>
      </c>
      <c r="L103" s="60">
        <v>23.63</v>
      </c>
      <c r="M103" s="60">
        <v>51.14</v>
      </c>
      <c r="N103" s="60">
        <v>4.7</v>
      </c>
      <c r="O103" s="60">
        <v>0</v>
      </c>
      <c r="P103" s="60">
        <v>2.5099999999999998</v>
      </c>
      <c r="Q103" s="60">
        <v>30.47</v>
      </c>
      <c r="R103" s="198"/>
      <c r="S103" s="198"/>
      <c r="T103" s="198"/>
      <c r="U103" s="198"/>
    </row>
    <row r="104" spans="1:33" s="12" customFormat="1" x14ac:dyDescent="0.25">
      <c r="A104" s="201" t="s">
        <v>2839</v>
      </c>
      <c r="B104" s="60">
        <v>28.71</v>
      </c>
      <c r="C104" s="60">
        <v>134.29</v>
      </c>
      <c r="D104" s="60">
        <v>97.13</v>
      </c>
      <c r="E104" s="60">
        <v>2.83</v>
      </c>
      <c r="F104" s="60">
        <v>5.86</v>
      </c>
      <c r="G104" s="60">
        <v>138.93</v>
      </c>
      <c r="H104" s="60">
        <v>64.819999999999993</v>
      </c>
      <c r="I104" s="60">
        <v>1.06</v>
      </c>
      <c r="J104" s="60">
        <v>0.6</v>
      </c>
      <c r="K104" s="60">
        <v>157.76</v>
      </c>
      <c r="L104" s="60">
        <v>24.44</v>
      </c>
      <c r="M104" s="60">
        <v>44.92</v>
      </c>
      <c r="N104" s="60">
        <v>2.4</v>
      </c>
      <c r="O104" s="60">
        <v>0</v>
      </c>
      <c r="P104" s="60">
        <v>2.5099999999999998</v>
      </c>
      <c r="Q104" s="60">
        <v>30.2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0.17</v>
      </c>
      <c r="C106" s="67">
        <f>MIN(C9:C104)</f>
        <v>66.16</v>
      </c>
      <c r="D106" s="67">
        <f t="shared" ref="D106:Q106" si="0">MIN(D9:D104)</f>
        <v>36.86</v>
      </c>
      <c r="E106" s="67">
        <f t="shared" si="0"/>
        <v>2.2400000000000002</v>
      </c>
      <c r="F106" s="67">
        <f t="shared" si="0"/>
        <v>4.3</v>
      </c>
      <c r="G106" s="67">
        <f t="shared" si="0"/>
        <v>49.27</v>
      </c>
      <c r="H106" s="67">
        <f t="shared" si="0"/>
        <v>30.56</v>
      </c>
      <c r="I106" s="67">
        <f t="shared" si="0"/>
        <v>0.52</v>
      </c>
      <c r="J106" s="67">
        <f t="shared" si="0"/>
        <v>0.02</v>
      </c>
      <c r="K106" s="67">
        <f t="shared" si="0"/>
        <v>0.16</v>
      </c>
      <c r="L106" s="67">
        <f t="shared" si="0"/>
        <v>19.309999999999999</v>
      </c>
      <c r="M106" s="67">
        <f t="shared" si="0"/>
        <v>16.32</v>
      </c>
      <c r="N106" s="67">
        <f t="shared" si="0"/>
        <v>2.4</v>
      </c>
      <c r="O106" s="67">
        <f t="shared" si="0"/>
        <v>0</v>
      </c>
      <c r="P106" s="67">
        <f t="shared" si="0"/>
        <v>0.66</v>
      </c>
      <c r="Q106" s="67">
        <f t="shared" si="0"/>
        <v>18.940000000000001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72.97</v>
      </c>
      <c r="C107" s="66">
        <f t="shared" ref="C107:Q107" si="1">MAX(C9:C104)</f>
        <v>157.44</v>
      </c>
      <c r="D107" s="66">
        <f t="shared" si="1"/>
        <v>127.66</v>
      </c>
      <c r="E107" s="66">
        <f t="shared" si="1"/>
        <v>40.22</v>
      </c>
      <c r="F107" s="66">
        <f t="shared" si="1"/>
        <v>49.37</v>
      </c>
      <c r="G107" s="66">
        <f t="shared" si="1"/>
        <v>195.03</v>
      </c>
      <c r="H107" s="66">
        <f t="shared" si="1"/>
        <v>71.900000000000006</v>
      </c>
      <c r="I107" s="66">
        <f t="shared" si="1"/>
        <v>1.17</v>
      </c>
      <c r="J107" s="66">
        <f t="shared" si="1"/>
        <v>1.72</v>
      </c>
      <c r="K107" s="66">
        <f t="shared" si="1"/>
        <v>359.39</v>
      </c>
      <c r="L107" s="66">
        <f t="shared" si="1"/>
        <v>37.200000000000003</v>
      </c>
      <c r="M107" s="66">
        <f t="shared" si="1"/>
        <v>61.4</v>
      </c>
      <c r="N107" s="66">
        <f t="shared" si="1"/>
        <v>509.9</v>
      </c>
      <c r="O107" s="66">
        <f t="shared" si="1"/>
        <v>0</v>
      </c>
      <c r="P107" s="66">
        <f t="shared" si="1"/>
        <v>2.68</v>
      </c>
      <c r="Q107" s="66">
        <f t="shared" si="1"/>
        <v>34.36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24.930312499999999</v>
      </c>
      <c r="C108" s="67">
        <f t="shared" ref="C108:Q108" si="2">AVERAGE(C9:C104)</f>
        <v>110.66020833333333</v>
      </c>
      <c r="D108" s="67">
        <f t="shared" si="2"/>
        <v>81.06302083333334</v>
      </c>
      <c r="E108" s="67">
        <f t="shared" si="2"/>
        <v>8.9609375000000036</v>
      </c>
      <c r="F108" s="67">
        <f t="shared" si="2"/>
        <v>10.172604166666664</v>
      </c>
      <c r="G108" s="67">
        <f t="shared" si="2"/>
        <v>98.689479166666686</v>
      </c>
      <c r="H108" s="67">
        <f t="shared" si="2"/>
        <v>41.971249999999991</v>
      </c>
      <c r="I108" s="67">
        <f t="shared" si="2"/>
        <v>0.78656249999999972</v>
      </c>
      <c r="J108" s="67">
        <f t="shared" si="2"/>
        <v>0.37364583333333345</v>
      </c>
      <c r="K108" s="67">
        <f t="shared" si="2"/>
        <v>142.4536458333333</v>
      </c>
      <c r="L108" s="67">
        <f t="shared" si="2"/>
        <v>27.168124999999993</v>
      </c>
      <c r="M108" s="67">
        <f t="shared" si="2"/>
        <v>34.595104166666665</v>
      </c>
      <c r="N108" s="67">
        <f t="shared" si="2"/>
        <v>147.59375</v>
      </c>
      <c r="O108" s="67">
        <f t="shared" si="2"/>
        <v>0</v>
      </c>
      <c r="P108" s="67">
        <f t="shared" si="2"/>
        <v>1.5105208333333335</v>
      </c>
      <c r="Q108" s="67">
        <f t="shared" si="2"/>
        <v>27.093749999999996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20.778398573271637</v>
      </c>
      <c r="C109" s="67">
        <f t="shared" ref="C109:Q109" si="3">STDEV(C9:C104)</f>
        <v>24.704660671693471</v>
      </c>
      <c r="D109" s="67">
        <f t="shared" si="3"/>
        <v>25.819212394518271</v>
      </c>
      <c r="E109" s="67">
        <f t="shared" si="3"/>
        <v>8.0258651710218114</v>
      </c>
      <c r="F109" s="67">
        <f t="shared" si="3"/>
        <v>8.9072526622430033</v>
      </c>
      <c r="G109" s="67">
        <f t="shared" si="3"/>
        <v>42.646464143424581</v>
      </c>
      <c r="H109" s="67">
        <f t="shared" si="3"/>
        <v>11.235397751373977</v>
      </c>
      <c r="I109" s="67">
        <f t="shared" si="3"/>
        <v>0.19886429186495061</v>
      </c>
      <c r="J109" s="67">
        <f t="shared" si="3"/>
        <v>0.33299950937743727</v>
      </c>
      <c r="K109" s="67">
        <f t="shared" si="3"/>
        <v>100.24098814063088</v>
      </c>
      <c r="L109" s="67">
        <f t="shared" si="3"/>
        <v>5.0609192658834266</v>
      </c>
      <c r="M109" s="67">
        <f t="shared" si="3"/>
        <v>12.531220883502973</v>
      </c>
      <c r="N109" s="67">
        <f t="shared" si="3"/>
        <v>192.05194078823132</v>
      </c>
      <c r="O109" s="67">
        <f t="shared" si="3"/>
        <v>0</v>
      </c>
      <c r="P109" s="67">
        <f t="shared" si="3"/>
        <v>0.626200522435301</v>
      </c>
      <c r="Q109" s="67">
        <f t="shared" si="3"/>
        <v>4.4670544280496349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215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6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D103" sqref="D10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28-02-2023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97" t="s">
        <v>340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01" t="s">
        <v>2840</v>
      </c>
      <c r="B9" s="60">
        <v>25.13</v>
      </c>
      <c r="C9" s="60">
        <v>129.47</v>
      </c>
      <c r="D9" s="60">
        <v>91.6</v>
      </c>
      <c r="E9" s="60">
        <v>6.94</v>
      </c>
      <c r="F9" s="60">
        <v>6.93</v>
      </c>
      <c r="G9" s="60">
        <v>138.93</v>
      </c>
      <c r="H9" s="60">
        <v>64.819999999999993</v>
      </c>
      <c r="I9" s="60">
        <v>1.04</v>
      </c>
      <c r="J9" s="60">
        <v>0.34</v>
      </c>
      <c r="K9" s="60">
        <v>104.38</v>
      </c>
      <c r="L9" s="60">
        <v>25.31</v>
      </c>
      <c r="M9" s="60">
        <v>40.14</v>
      </c>
      <c r="N9" s="60">
        <v>3.6</v>
      </c>
      <c r="O9" s="60">
        <v>0</v>
      </c>
      <c r="P9" s="60">
        <v>2.4</v>
      </c>
      <c r="Q9" s="60">
        <v>30.05</v>
      </c>
      <c r="R9" s="198"/>
      <c r="S9" s="198"/>
      <c r="T9" s="198"/>
      <c r="U9" s="198"/>
    </row>
    <row r="10" spans="1:21" s="12" customFormat="1" x14ac:dyDescent="0.25">
      <c r="A10" s="201" t="s">
        <v>2841</v>
      </c>
      <c r="B10" s="60">
        <v>24.84</v>
      </c>
      <c r="C10" s="60">
        <v>131.51</v>
      </c>
      <c r="D10" s="60">
        <v>92.49</v>
      </c>
      <c r="E10" s="60">
        <v>7.26</v>
      </c>
      <c r="F10" s="60">
        <v>6.24</v>
      </c>
      <c r="G10" s="60">
        <v>138.93</v>
      </c>
      <c r="H10" s="60">
        <v>64.819999999999993</v>
      </c>
      <c r="I10" s="60">
        <v>0.99</v>
      </c>
      <c r="J10" s="60">
        <v>0.18</v>
      </c>
      <c r="K10" s="60">
        <v>315.87</v>
      </c>
      <c r="L10" s="60">
        <v>24.87</v>
      </c>
      <c r="M10" s="60">
        <v>42.91</v>
      </c>
      <c r="N10" s="60">
        <v>4.5</v>
      </c>
      <c r="O10" s="60">
        <v>0</v>
      </c>
      <c r="P10" s="60">
        <v>2.37</v>
      </c>
      <c r="Q10" s="60">
        <v>30.23</v>
      </c>
      <c r="R10" s="198"/>
      <c r="S10" s="198"/>
      <c r="T10" s="198"/>
      <c r="U10" s="198"/>
    </row>
    <row r="11" spans="1:21" s="12" customFormat="1" x14ac:dyDescent="0.25">
      <c r="A11" s="201" t="s">
        <v>2842</v>
      </c>
      <c r="B11" s="60">
        <v>23.32</v>
      </c>
      <c r="C11" s="60">
        <v>130.97999999999999</v>
      </c>
      <c r="D11" s="60">
        <v>90.98</v>
      </c>
      <c r="E11" s="60">
        <v>6.38</v>
      </c>
      <c r="F11" s="60">
        <v>5.59</v>
      </c>
      <c r="G11" s="60">
        <v>120.17</v>
      </c>
      <c r="H11" s="60">
        <v>57.56</v>
      </c>
      <c r="I11" s="60">
        <v>0.97</v>
      </c>
      <c r="J11" s="60">
        <v>0.09</v>
      </c>
      <c r="K11" s="60">
        <v>145.25</v>
      </c>
      <c r="L11" s="60">
        <v>23.69</v>
      </c>
      <c r="M11" s="60">
        <v>48.47</v>
      </c>
      <c r="N11" s="60">
        <v>4.8</v>
      </c>
      <c r="O11" s="60">
        <v>0</v>
      </c>
      <c r="P11" s="60">
        <v>2.33</v>
      </c>
      <c r="Q11" s="60">
        <v>30.43</v>
      </c>
      <c r="R11" s="198"/>
      <c r="S11" s="198"/>
      <c r="T11" s="198"/>
      <c r="U11" s="198"/>
    </row>
    <row r="12" spans="1:21" s="12" customFormat="1" x14ac:dyDescent="0.25">
      <c r="A12" s="201" t="s">
        <v>2843</v>
      </c>
      <c r="B12" s="60">
        <v>25.32</v>
      </c>
      <c r="C12" s="60">
        <v>130.38999999999999</v>
      </c>
      <c r="D12" s="60">
        <v>92.27</v>
      </c>
      <c r="E12" s="60">
        <v>5.94</v>
      </c>
      <c r="F12" s="60">
        <v>4.88</v>
      </c>
      <c r="G12" s="60">
        <v>111.25</v>
      </c>
      <c r="H12" s="60">
        <v>54.11</v>
      </c>
      <c r="I12" s="60">
        <v>0.96</v>
      </c>
      <c r="J12" s="60">
        <v>0.12</v>
      </c>
      <c r="K12" s="60">
        <v>310.61</v>
      </c>
      <c r="L12" s="60">
        <v>23.24</v>
      </c>
      <c r="M12" s="60">
        <v>49.13</v>
      </c>
      <c r="N12" s="60">
        <v>4.8</v>
      </c>
      <c r="O12" s="60">
        <v>0</v>
      </c>
      <c r="P12" s="60">
        <v>2.36</v>
      </c>
      <c r="Q12" s="60">
        <v>30.72</v>
      </c>
      <c r="R12" s="198"/>
      <c r="S12" s="198"/>
      <c r="T12" s="198"/>
      <c r="U12" s="198"/>
    </row>
    <row r="13" spans="1:21" s="12" customFormat="1" x14ac:dyDescent="0.25">
      <c r="A13" s="201" t="s">
        <v>2844</v>
      </c>
      <c r="B13" s="60">
        <v>24.92</v>
      </c>
      <c r="C13" s="60">
        <v>128.35</v>
      </c>
      <c r="D13" s="60">
        <v>90.82</v>
      </c>
      <c r="E13" s="60">
        <v>5.53</v>
      </c>
      <c r="F13" s="60">
        <v>4.8899999999999997</v>
      </c>
      <c r="G13" s="60">
        <v>111.25</v>
      </c>
      <c r="H13" s="60">
        <v>54.11</v>
      </c>
      <c r="I13" s="60">
        <v>1.01</v>
      </c>
      <c r="J13" s="60">
        <v>0.11</v>
      </c>
      <c r="K13" s="60">
        <v>358.23</v>
      </c>
      <c r="L13" s="60">
        <v>22.82</v>
      </c>
      <c r="M13" s="60">
        <v>51.11</v>
      </c>
      <c r="N13" s="60">
        <v>4.7</v>
      </c>
      <c r="O13" s="60">
        <v>0</v>
      </c>
      <c r="P13" s="60">
        <v>2.11</v>
      </c>
      <c r="Q13" s="60">
        <v>30.98</v>
      </c>
      <c r="R13" s="198"/>
      <c r="S13" s="198"/>
      <c r="T13" s="198"/>
      <c r="U13" s="198"/>
    </row>
    <row r="14" spans="1:21" s="12" customFormat="1" x14ac:dyDescent="0.25">
      <c r="A14" s="201" t="s">
        <v>2845</v>
      </c>
      <c r="B14" s="60">
        <v>23.07</v>
      </c>
      <c r="C14" s="60">
        <v>122.84</v>
      </c>
      <c r="D14" s="60">
        <v>86.29</v>
      </c>
      <c r="E14" s="60">
        <v>5.86</v>
      </c>
      <c r="F14" s="60">
        <v>5.69</v>
      </c>
      <c r="G14" s="60">
        <v>111.25</v>
      </c>
      <c r="H14" s="60">
        <v>54.11</v>
      </c>
      <c r="I14" s="60">
        <v>1.02</v>
      </c>
      <c r="J14" s="60">
        <v>0.03</v>
      </c>
      <c r="K14" s="60">
        <v>14.36</v>
      </c>
      <c r="L14" s="60">
        <v>22.69</v>
      </c>
      <c r="M14" s="60">
        <v>51.41</v>
      </c>
      <c r="N14" s="60">
        <v>4.3</v>
      </c>
      <c r="O14" s="60">
        <v>0</v>
      </c>
      <c r="P14" s="60">
        <v>2.14</v>
      </c>
      <c r="Q14" s="60">
        <v>31.25</v>
      </c>
      <c r="R14" s="198"/>
      <c r="S14" s="198"/>
      <c r="T14" s="198"/>
      <c r="U14" s="198"/>
    </row>
    <row r="15" spans="1:21" s="12" customFormat="1" x14ac:dyDescent="0.25">
      <c r="A15" s="201" t="s">
        <v>2846</v>
      </c>
      <c r="B15" s="60">
        <v>24.4</v>
      </c>
      <c r="C15" s="60">
        <v>123.73</v>
      </c>
      <c r="D15" s="60">
        <v>87.85</v>
      </c>
      <c r="E15" s="60">
        <v>4.54</v>
      </c>
      <c r="F15" s="60">
        <v>5.17</v>
      </c>
      <c r="G15" s="60">
        <v>106.93</v>
      </c>
      <c r="H15" s="60">
        <v>54.34</v>
      </c>
      <c r="I15" s="60">
        <v>0.99</v>
      </c>
      <c r="J15" s="60">
        <v>0.03</v>
      </c>
      <c r="K15" s="60">
        <v>16.09</v>
      </c>
      <c r="L15" s="60">
        <v>22.76</v>
      </c>
      <c r="M15" s="60">
        <v>51.51</v>
      </c>
      <c r="N15" s="60">
        <v>4.4000000000000004</v>
      </c>
      <c r="O15" s="60">
        <v>0</v>
      </c>
      <c r="P15" s="60">
        <v>2.2200000000000002</v>
      </c>
      <c r="Q15" s="60">
        <v>31.81</v>
      </c>
      <c r="R15" s="198"/>
      <c r="S15" s="198"/>
      <c r="T15" s="198"/>
      <c r="U15" s="198"/>
    </row>
    <row r="16" spans="1:21" s="12" customFormat="1" x14ac:dyDescent="0.25">
      <c r="A16" s="201" t="s">
        <v>2847</v>
      </c>
      <c r="B16" s="60">
        <v>24.74</v>
      </c>
      <c r="C16" s="60">
        <v>124.02</v>
      </c>
      <c r="D16" s="60">
        <v>88.28</v>
      </c>
      <c r="E16" s="60">
        <v>4.3899999999999997</v>
      </c>
      <c r="F16" s="60">
        <v>4.3600000000000003</v>
      </c>
      <c r="G16" s="60">
        <v>104.88</v>
      </c>
      <c r="H16" s="60">
        <v>54.45</v>
      </c>
      <c r="I16" s="60">
        <v>1.02</v>
      </c>
      <c r="J16" s="60">
        <v>0.13</v>
      </c>
      <c r="K16" s="60">
        <v>16.25</v>
      </c>
      <c r="L16" s="60">
        <v>22.5</v>
      </c>
      <c r="M16" s="60">
        <v>54.07</v>
      </c>
      <c r="N16" s="60">
        <v>4.4000000000000004</v>
      </c>
      <c r="O16" s="60">
        <v>0</v>
      </c>
      <c r="P16" s="60">
        <v>2.16</v>
      </c>
      <c r="Q16" s="60">
        <v>32.07</v>
      </c>
      <c r="R16" s="198"/>
      <c r="S16" s="198"/>
      <c r="T16" s="198"/>
      <c r="U16" s="198"/>
    </row>
    <row r="17" spans="1:21" s="12" customFormat="1" x14ac:dyDescent="0.25">
      <c r="A17" s="201" t="s">
        <v>2848</v>
      </c>
      <c r="B17" s="60">
        <v>23.41</v>
      </c>
      <c r="C17" s="60">
        <v>122.38</v>
      </c>
      <c r="D17" s="60">
        <v>86.31</v>
      </c>
      <c r="E17" s="60">
        <v>4.37</v>
      </c>
      <c r="F17" s="60">
        <v>4.3</v>
      </c>
      <c r="G17" s="60">
        <v>104.88</v>
      </c>
      <c r="H17" s="60">
        <v>54.45</v>
      </c>
      <c r="I17" s="60">
        <v>1.03</v>
      </c>
      <c r="J17" s="60">
        <v>0.37</v>
      </c>
      <c r="K17" s="60">
        <v>92.83</v>
      </c>
      <c r="L17" s="60">
        <v>22.77</v>
      </c>
      <c r="M17" s="60">
        <v>48.46</v>
      </c>
      <c r="N17" s="60">
        <v>3.3</v>
      </c>
      <c r="O17" s="60">
        <v>0</v>
      </c>
      <c r="P17" s="60">
        <v>2.1</v>
      </c>
      <c r="Q17" s="60">
        <v>32.049999999999997</v>
      </c>
      <c r="R17" s="198"/>
      <c r="S17" s="198"/>
      <c r="T17" s="198"/>
      <c r="U17" s="198"/>
    </row>
    <row r="18" spans="1:21" s="12" customFormat="1" x14ac:dyDescent="0.25">
      <c r="A18" s="201" t="s">
        <v>2849</v>
      </c>
      <c r="B18" s="60">
        <v>21.44</v>
      </c>
      <c r="C18" s="60">
        <v>120.59</v>
      </c>
      <c r="D18" s="60">
        <v>83.75</v>
      </c>
      <c r="E18" s="60">
        <v>4.51</v>
      </c>
      <c r="F18" s="60">
        <v>4.3</v>
      </c>
      <c r="G18" s="60">
        <v>104.88</v>
      </c>
      <c r="H18" s="60">
        <v>54.45</v>
      </c>
      <c r="I18" s="60">
        <v>0.99</v>
      </c>
      <c r="J18" s="60">
        <v>0.31</v>
      </c>
      <c r="K18" s="60">
        <v>219.27</v>
      </c>
      <c r="L18" s="60">
        <v>22.58</v>
      </c>
      <c r="M18" s="60">
        <v>49.36</v>
      </c>
      <c r="N18" s="60">
        <v>3.8</v>
      </c>
      <c r="O18" s="60">
        <v>0</v>
      </c>
      <c r="P18" s="60">
        <v>2.0299999999999998</v>
      </c>
      <c r="Q18" s="60">
        <v>31.73</v>
      </c>
      <c r="R18" s="198"/>
      <c r="S18" s="198"/>
      <c r="T18" s="198"/>
      <c r="U18" s="198"/>
    </row>
    <row r="19" spans="1:21" s="12" customFormat="1" x14ac:dyDescent="0.25">
      <c r="A19" s="201" t="s">
        <v>2850</v>
      </c>
      <c r="B19" s="60">
        <v>19.420000000000002</v>
      </c>
      <c r="C19" s="60">
        <v>119.51</v>
      </c>
      <c r="D19" s="60">
        <v>81.53</v>
      </c>
      <c r="E19" s="60">
        <v>4.03</v>
      </c>
      <c r="F19" s="60">
        <v>4.3</v>
      </c>
      <c r="G19" s="60">
        <v>102.16</v>
      </c>
      <c r="H19" s="60">
        <v>50.78</v>
      </c>
      <c r="I19" s="60">
        <v>0.99</v>
      </c>
      <c r="J19" s="60">
        <v>0.7</v>
      </c>
      <c r="K19" s="60">
        <v>182.62</v>
      </c>
      <c r="L19" s="60">
        <v>22.86</v>
      </c>
      <c r="M19" s="60">
        <v>48.52</v>
      </c>
      <c r="N19" s="60">
        <v>3.5</v>
      </c>
      <c r="O19" s="60">
        <v>0</v>
      </c>
      <c r="P19" s="60">
        <v>1.96</v>
      </c>
      <c r="Q19" s="60">
        <v>31.43</v>
      </c>
      <c r="R19" s="198"/>
      <c r="S19" s="198"/>
      <c r="T19" s="198"/>
      <c r="U19" s="198"/>
    </row>
    <row r="20" spans="1:21" s="12" customFormat="1" x14ac:dyDescent="0.25">
      <c r="A20" s="201" t="s">
        <v>2851</v>
      </c>
      <c r="B20" s="60">
        <v>17.739999999999998</v>
      </c>
      <c r="C20" s="60">
        <v>118.45</v>
      </c>
      <c r="D20" s="60">
        <v>79.59</v>
      </c>
      <c r="E20" s="60">
        <v>4.1500000000000004</v>
      </c>
      <c r="F20" s="60">
        <v>4.3</v>
      </c>
      <c r="G20" s="60">
        <v>100.79</v>
      </c>
      <c r="H20" s="60">
        <v>48.95</v>
      </c>
      <c r="I20" s="60">
        <v>1.01</v>
      </c>
      <c r="J20" s="60">
        <v>0.34</v>
      </c>
      <c r="K20" s="60">
        <v>242.94</v>
      </c>
      <c r="L20" s="60">
        <v>21.62</v>
      </c>
      <c r="M20" s="60">
        <v>58.26</v>
      </c>
      <c r="N20" s="60">
        <v>5.2</v>
      </c>
      <c r="O20" s="60">
        <v>0</v>
      </c>
      <c r="P20" s="60">
        <v>1.91</v>
      </c>
      <c r="Q20" s="60">
        <v>31.19</v>
      </c>
      <c r="R20" s="198"/>
      <c r="S20" s="198"/>
      <c r="T20" s="198"/>
      <c r="U20" s="198"/>
    </row>
    <row r="21" spans="1:21" s="12" customFormat="1" x14ac:dyDescent="0.25">
      <c r="A21" s="201" t="s">
        <v>2852</v>
      </c>
      <c r="B21" s="60">
        <v>16.89</v>
      </c>
      <c r="C21" s="60">
        <v>116.91</v>
      </c>
      <c r="D21" s="60">
        <v>78.069999999999993</v>
      </c>
      <c r="E21" s="60">
        <v>4.1500000000000004</v>
      </c>
      <c r="F21" s="60">
        <v>4.3</v>
      </c>
      <c r="G21" s="60">
        <v>100.79</v>
      </c>
      <c r="H21" s="60">
        <v>48.95</v>
      </c>
      <c r="I21" s="60">
        <v>0.95</v>
      </c>
      <c r="J21" s="60">
        <v>7.0000000000000007E-2</v>
      </c>
      <c r="K21" s="60">
        <v>336.4</v>
      </c>
      <c r="L21" s="60">
        <v>20.81</v>
      </c>
      <c r="M21" s="60">
        <v>62.01</v>
      </c>
      <c r="N21" s="60">
        <v>4.9000000000000004</v>
      </c>
      <c r="O21" s="60">
        <v>0</v>
      </c>
      <c r="P21" s="60">
        <v>1.88</v>
      </c>
      <c r="Q21" s="60">
        <v>30.89</v>
      </c>
      <c r="R21" s="198"/>
      <c r="S21" s="198"/>
      <c r="T21" s="198"/>
      <c r="U21" s="198"/>
    </row>
    <row r="22" spans="1:21" s="12" customFormat="1" x14ac:dyDescent="0.25">
      <c r="A22" s="201" t="s">
        <v>2853</v>
      </c>
      <c r="B22" s="60">
        <v>16.43</v>
      </c>
      <c r="C22" s="60">
        <v>114.39</v>
      </c>
      <c r="D22" s="60">
        <v>76.3</v>
      </c>
      <c r="E22" s="60">
        <v>3.71</v>
      </c>
      <c r="F22" s="60">
        <v>4.3</v>
      </c>
      <c r="G22" s="60">
        <v>100.79</v>
      </c>
      <c r="H22" s="60">
        <v>48.95</v>
      </c>
      <c r="I22" s="60">
        <v>0.9</v>
      </c>
      <c r="J22" s="60">
        <v>0.03</v>
      </c>
      <c r="K22" s="60">
        <v>26.2</v>
      </c>
      <c r="L22" s="60">
        <v>20.52</v>
      </c>
      <c r="M22" s="60">
        <v>61.35</v>
      </c>
      <c r="N22" s="60">
        <v>4.4000000000000004</v>
      </c>
      <c r="O22" s="60">
        <v>0</v>
      </c>
      <c r="P22" s="60">
        <v>1.83</v>
      </c>
      <c r="Q22" s="60">
        <v>30.08</v>
      </c>
      <c r="R22" s="198"/>
      <c r="S22" s="198"/>
      <c r="T22" s="198"/>
      <c r="U22" s="198"/>
    </row>
    <row r="23" spans="1:21" s="12" customFormat="1" x14ac:dyDescent="0.25">
      <c r="A23" s="201" t="s">
        <v>2854</v>
      </c>
      <c r="B23" s="60">
        <v>15.87</v>
      </c>
      <c r="C23" s="60">
        <v>111.74</v>
      </c>
      <c r="D23" s="60">
        <v>74.39</v>
      </c>
      <c r="E23" s="60">
        <v>4.0999999999999996</v>
      </c>
      <c r="F23" s="60">
        <v>4.3</v>
      </c>
      <c r="G23" s="60">
        <v>125.24</v>
      </c>
      <c r="H23" s="60">
        <v>52.17</v>
      </c>
      <c r="I23" s="60">
        <v>0.87</v>
      </c>
      <c r="J23" s="60">
        <v>0.28999999999999998</v>
      </c>
      <c r="K23" s="60">
        <v>41.84</v>
      </c>
      <c r="L23" s="60">
        <v>20.3</v>
      </c>
      <c r="M23" s="60">
        <v>65.17</v>
      </c>
      <c r="N23" s="60">
        <v>4</v>
      </c>
      <c r="O23" s="60">
        <v>0</v>
      </c>
      <c r="P23" s="60">
        <v>1.8</v>
      </c>
      <c r="Q23" s="60">
        <v>29.66</v>
      </c>
      <c r="R23" s="198"/>
      <c r="S23" s="198"/>
      <c r="T23" s="198"/>
      <c r="U23" s="198"/>
    </row>
    <row r="24" spans="1:21" s="12" customFormat="1" x14ac:dyDescent="0.25">
      <c r="A24" s="201" t="s">
        <v>2855</v>
      </c>
      <c r="B24" s="60">
        <v>16.46</v>
      </c>
      <c r="C24" s="60">
        <v>111.82</v>
      </c>
      <c r="D24" s="60">
        <v>74.91</v>
      </c>
      <c r="E24" s="60">
        <v>2.82</v>
      </c>
      <c r="F24" s="60">
        <v>4.3</v>
      </c>
      <c r="G24" s="60">
        <v>137.46</v>
      </c>
      <c r="H24" s="60">
        <v>53.78</v>
      </c>
      <c r="I24" s="60">
        <v>0.86</v>
      </c>
      <c r="J24" s="60">
        <v>0.14000000000000001</v>
      </c>
      <c r="K24" s="60">
        <v>350.17</v>
      </c>
      <c r="L24" s="60">
        <v>20.53</v>
      </c>
      <c r="M24" s="60">
        <v>62.55</v>
      </c>
      <c r="N24" s="60">
        <v>4.2</v>
      </c>
      <c r="O24" s="60">
        <v>0</v>
      </c>
      <c r="P24" s="60">
        <v>1.78</v>
      </c>
      <c r="Q24" s="60">
        <v>29.7</v>
      </c>
      <c r="R24" s="198"/>
      <c r="S24" s="198"/>
      <c r="T24" s="198"/>
      <c r="U24" s="198"/>
    </row>
    <row r="25" spans="1:21" s="12" customFormat="1" x14ac:dyDescent="0.25">
      <c r="A25" s="201" t="s">
        <v>2856</v>
      </c>
      <c r="B25" s="60">
        <v>17.2</v>
      </c>
      <c r="C25" s="60">
        <v>111.42</v>
      </c>
      <c r="D25" s="60">
        <v>75.28</v>
      </c>
      <c r="E25" s="60">
        <v>3.81</v>
      </c>
      <c r="F25" s="60">
        <v>4.3</v>
      </c>
      <c r="G25" s="60">
        <v>137.46</v>
      </c>
      <c r="H25" s="60">
        <v>53.78</v>
      </c>
      <c r="I25" s="60">
        <v>0.85</v>
      </c>
      <c r="J25" s="60">
        <v>0.28999999999999998</v>
      </c>
      <c r="K25" s="60">
        <v>17.07</v>
      </c>
      <c r="L25" s="60">
        <v>20.76</v>
      </c>
      <c r="M25" s="60">
        <v>60.83</v>
      </c>
      <c r="N25" s="60">
        <v>3.3</v>
      </c>
      <c r="O25" s="60">
        <v>0</v>
      </c>
      <c r="P25" s="60">
        <v>1.78</v>
      </c>
      <c r="Q25" s="60">
        <v>29.71</v>
      </c>
      <c r="R25" s="198"/>
      <c r="S25" s="198"/>
      <c r="T25" s="198"/>
      <c r="U25" s="198"/>
    </row>
    <row r="26" spans="1:21" s="12" customFormat="1" x14ac:dyDescent="0.25">
      <c r="A26" s="201" t="s">
        <v>2857</v>
      </c>
      <c r="B26" s="60">
        <v>17.309999999999999</v>
      </c>
      <c r="C26" s="60">
        <v>110.27</v>
      </c>
      <c r="D26" s="60">
        <v>74.739999999999995</v>
      </c>
      <c r="E26" s="60">
        <v>5.01</v>
      </c>
      <c r="F26" s="60">
        <v>4.3</v>
      </c>
      <c r="G26" s="60">
        <v>137.46</v>
      </c>
      <c r="H26" s="60">
        <v>53.78</v>
      </c>
      <c r="I26" s="60">
        <v>0.85</v>
      </c>
      <c r="J26" s="60">
        <v>0.17</v>
      </c>
      <c r="K26" s="60">
        <v>66.48</v>
      </c>
      <c r="L26" s="60">
        <v>20.76</v>
      </c>
      <c r="M26" s="60">
        <v>58.21</v>
      </c>
      <c r="N26" s="60">
        <v>4.4000000000000004</v>
      </c>
      <c r="O26" s="60">
        <v>0</v>
      </c>
      <c r="P26" s="60">
        <v>1.76</v>
      </c>
      <c r="Q26" s="60">
        <v>29.82</v>
      </c>
      <c r="R26" s="198"/>
      <c r="S26" s="198"/>
      <c r="T26" s="198"/>
      <c r="U26" s="198"/>
    </row>
    <row r="27" spans="1:21" s="12" customFormat="1" x14ac:dyDescent="0.25">
      <c r="A27" s="201" t="s">
        <v>2858</v>
      </c>
      <c r="B27" s="60">
        <v>17.329999999999998</v>
      </c>
      <c r="C27" s="60">
        <v>109.25</v>
      </c>
      <c r="D27" s="60">
        <v>74.19</v>
      </c>
      <c r="E27" s="60">
        <v>4.5</v>
      </c>
      <c r="F27" s="60">
        <v>4.33</v>
      </c>
      <c r="G27" s="60">
        <v>160.4</v>
      </c>
      <c r="H27" s="60">
        <v>58.03</v>
      </c>
      <c r="I27" s="60">
        <v>0.84</v>
      </c>
      <c r="J27" s="60">
        <v>0.11</v>
      </c>
      <c r="K27" s="60">
        <v>25.22</v>
      </c>
      <c r="L27" s="60">
        <v>20.74</v>
      </c>
      <c r="M27" s="60">
        <v>59.24</v>
      </c>
      <c r="N27" s="60">
        <v>4.3</v>
      </c>
      <c r="O27" s="60">
        <v>0</v>
      </c>
      <c r="P27" s="60">
        <v>1.75</v>
      </c>
      <c r="Q27" s="60">
        <v>30.04</v>
      </c>
      <c r="R27" s="198"/>
      <c r="S27" s="198"/>
      <c r="T27" s="198"/>
      <c r="U27" s="198"/>
    </row>
    <row r="28" spans="1:21" s="12" customFormat="1" x14ac:dyDescent="0.25">
      <c r="A28" s="201" t="s">
        <v>2859</v>
      </c>
      <c r="B28" s="60">
        <v>17.95</v>
      </c>
      <c r="C28" s="60">
        <v>108.75</v>
      </c>
      <c r="D28" s="60">
        <v>74.41</v>
      </c>
      <c r="E28" s="60">
        <v>4.76</v>
      </c>
      <c r="F28" s="60">
        <v>4.34</v>
      </c>
      <c r="G28" s="60">
        <v>171.87</v>
      </c>
      <c r="H28" s="60">
        <v>60.16</v>
      </c>
      <c r="I28" s="60">
        <v>0.83</v>
      </c>
      <c r="J28" s="60">
        <v>0.06</v>
      </c>
      <c r="K28" s="60">
        <v>98.16</v>
      </c>
      <c r="L28" s="60">
        <v>20.37</v>
      </c>
      <c r="M28" s="60">
        <v>60.84</v>
      </c>
      <c r="N28" s="60">
        <v>4.3</v>
      </c>
      <c r="O28" s="60">
        <v>0</v>
      </c>
      <c r="P28" s="60">
        <v>1.75</v>
      </c>
      <c r="Q28" s="60">
        <v>30.08</v>
      </c>
      <c r="R28" s="198"/>
      <c r="S28" s="198"/>
      <c r="T28" s="198"/>
      <c r="U28" s="198"/>
    </row>
    <row r="29" spans="1:21" s="12" customFormat="1" x14ac:dyDescent="0.25">
      <c r="A29" s="201" t="s">
        <v>2860</v>
      </c>
      <c r="B29" s="60">
        <v>18.7</v>
      </c>
      <c r="C29" s="60">
        <v>108.23</v>
      </c>
      <c r="D29" s="60">
        <v>74.73</v>
      </c>
      <c r="E29" s="60">
        <v>4.7</v>
      </c>
      <c r="F29" s="60">
        <v>4.3099999999999996</v>
      </c>
      <c r="G29" s="60">
        <v>171.87</v>
      </c>
      <c r="H29" s="60">
        <v>60.16</v>
      </c>
      <c r="I29" s="60">
        <v>0.83</v>
      </c>
      <c r="J29" s="60">
        <v>0.13</v>
      </c>
      <c r="K29" s="60">
        <v>348.79</v>
      </c>
      <c r="L29" s="60">
        <v>20.63</v>
      </c>
      <c r="M29" s="60">
        <v>60.61</v>
      </c>
      <c r="N29" s="60">
        <v>4.3</v>
      </c>
      <c r="O29" s="60">
        <v>0</v>
      </c>
      <c r="P29" s="60">
        <v>1.75</v>
      </c>
      <c r="Q29" s="60">
        <v>30.49</v>
      </c>
      <c r="R29" s="198"/>
      <c r="S29" s="198"/>
      <c r="T29" s="198"/>
      <c r="U29" s="198"/>
    </row>
    <row r="30" spans="1:21" s="12" customFormat="1" x14ac:dyDescent="0.25">
      <c r="A30" s="201" t="s">
        <v>2861</v>
      </c>
      <c r="B30" s="60">
        <v>20.329999999999998</v>
      </c>
      <c r="C30" s="60">
        <v>107.61</v>
      </c>
      <c r="D30" s="60">
        <v>75.69</v>
      </c>
      <c r="E30" s="60">
        <v>4.0999999999999996</v>
      </c>
      <c r="F30" s="60">
        <v>4.8</v>
      </c>
      <c r="G30" s="60">
        <v>171.87</v>
      </c>
      <c r="H30" s="60">
        <v>60.16</v>
      </c>
      <c r="I30" s="60">
        <v>0.82</v>
      </c>
      <c r="J30" s="60">
        <v>0.05</v>
      </c>
      <c r="K30" s="60">
        <v>63.96</v>
      </c>
      <c r="L30" s="60">
        <v>19.989999999999998</v>
      </c>
      <c r="M30" s="60">
        <v>64.14</v>
      </c>
      <c r="N30" s="60">
        <v>4.4000000000000004</v>
      </c>
      <c r="O30" s="60">
        <v>0</v>
      </c>
      <c r="P30" s="60">
        <v>1.76</v>
      </c>
      <c r="Q30" s="60">
        <v>31.2</v>
      </c>
      <c r="R30" s="198"/>
      <c r="S30" s="198"/>
      <c r="T30" s="198"/>
      <c r="U30" s="198"/>
    </row>
    <row r="31" spans="1:21" s="12" customFormat="1" x14ac:dyDescent="0.25">
      <c r="A31" s="201" t="s">
        <v>2862</v>
      </c>
      <c r="B31" s="60">
        <v>21.87</v>
      </c>
      <c r="C31" s="60">
        <v>107.18</v>
      </c>
      <c r="D31" s="60">
        <v>76.69</v>
      </c>
      <c r="E31" s="60">
        <v>4.71</v>
      </c>
      <c r="F31" s="60">
        <v>4.42</v>
      </c>
      <c r="G31" s="60">
        <v>168.25</v>
      </c>
      <c r="H31" s="60">
        <v>65.77</v>
      </c>
      <c r="I31" s="60">
        <v>0.81</v>
      </c>
      <c r="J31" s="60">
        <v>7.0000000000000007E-2</v>
      </c>
      <c r="K31" s="60">
        <v>234.97</v>
      </c>
      <c r="L31" s="60">
        <v>20.22</v>
      </c>
      <c r="M31" s="60">
        <v>62.21</v>
      </c>
      <c r="N31" s="60">
        <v>4.3</v>
      </c>
      <c r="O31" s="60">
        <v>0</v>
      </c>
      <c r="P31" s="60">
        <v>1.76</v>
      </c>
      <c r="Q31" s="60">
        <v>31.09</v>
      </c>
      <c r="R31" s="198"/>
      <c r="S31" s="198"/>
      <c r="T31" s="198"/>
      <c r="U31" s="198"/>
    </row>
    <row r="32" spans="1:21" s="12" customFormat="1" x14ac:dyDescent="0.25">
      <c r="A32" s="201" t="s">
        <v>2863</v>
      </c>
      <c r="B32" s="60">
        <v>24.3</v>
      </c>
      <c r="C32" s="60">
        <v>107.29</v>
      </c>
      <c r="D32" s="60">
        <v>78.7</v>
      </c>
      <c r="E32" s="60">
        <v>4.66</v>
      </c>
      <c r="F32" s="60">
        <v>4.3099999999999996</v>
      </c>
      <c r="G32" s="60">
        <v>166.44</v>
      </c>
      <c r="H32" s="60">
        <v>68.58</v>
      </c>
      <c r="I32" s="60">
        <v>0.8</v>
      </c>
      <c r="J32" s="60">
        <v>0.16</v>
      </c>
      <c r="K32" s="60">
        <v>341.64</v>
      </c>
      <c r="L32" s="60">
        <v>20.39</v>
      </c>
      <c r="M32" s="60">
        <v>63.46</v>
      </c>
      <c r="N32" s="60">
        <v>4.3</v>
      </c>
      <c r="O32" s="60">
        <v>0</v>
      </c>
      <c r="P32" s="60">
        <v>1.78</v>
      </c>
      <c r="Q32" s="60">
        <v>31.05</v>
      </c>
      <c r="R32" s="198"/>
      <c r="S32" s="198"/>
      <c r="T32" s="198"/>
      <c r="U32" s="198"/>
    </row>
    <row r="33" spans="1:21" s="12" customFormat="1" x14ac:dyDescent="0.25">
      <c r="A33" s="201" t="s">
        <v>2864</v>
      </c>
      <c r="B33" s="60">
        <v>28.27</v>
      </c>
      <c r="C33" s="60">
        <v>107.71</v>
      </c>
      <c r="D33" s="60">
        <v>82.12</v>
      </c>
      <c r="E33" s="60">
        <v>4.28</v>
      </c>
      <c r="F33" s="60">
        <v>4.3</v>
      </c>
      <c r="G33" s="60">
        <v>166.44</v>
      </c>
      <c r="H33" s="60">
        <v>68.58</v>
      </c>
      <c r="I33" s="60">
        <v>0.79</v>
      </c>
      <c r="J33" s="60">
        <v>0.4</v>
      </c>
      <c r="K33" s="60">
        <v>97.17</v>
      </c>
      <c r="L33" s="60">
        <v>20.46</v>
      </c>
      <c r="M33" s="60">
        <v>60.91</v>
      </c>
      <c r="N33" s="60">
        <v>3.9</v>
      </c>
      <c r="O33" s="60">
        <v>0</v>
      </c>
      <c r="P33" s="60">
        <v>1.79</v>
      </c>
      <c r="Q33" s="60">
        <v>31.08</v>
      </c>
      <c r="R33" s="198"/>
      <c r="S33" s="198"/>
      <c r="T33" s="198"/>
      <c r="U33" s="198"/>
    </row>
    <row r="34" spans="1:21" s="12" customFormat="1" x14ac:dyDescent="0.25">
      <c r="A34" s="201" t="s">
        <v>2865</v>
      </c>
      <c r="B34" s="60">
        <v>31.62</v>
      </c>
      <c r="C34" s="60">
        <v>108.57</v>
      </c>
      <c r="D34" s="60">
        <v>85.27</v>
      </c>
      <c r="E34" s="60">
        <v>4.3099999999999996</v>
      </c>
      <c r="F34" s="60">
        <v>4.3</v>
      </c>
      <c r="G34" s="60">
        <v>166.44</v>
      </c>
      <c r="H34" s="60">
        <v>68.58</v>
      </c>
      <c r="I34" s="60">
        <v>0.78</v>
      </c>
      <c r="J34" s="60">
        <v>0.06</v>
      </c>
      <c r="K34" s="60">
        <v>91.03</v>
      </c>
      <c r="L34" s="60">
        <v>20.66</v>
      </c>
      <c r="M34" s="60">
        <v>59.51</v>
      </c>
      <c r="N34" s="60">
        <v>8.1999999999999993</v>
      </c>
      <c r="O34" s="60">
        <v>0</v>
      </c>
      <c r="P34" s="60">
        <v>1.81</v>
      </c>
      <c r="Q34" s="60">
        <v>31.18</v>
      </c>
      <c r="R34" s="198"/>
      <c r="S34" s="198"/>
      <c r="T34" s="198"/>
      <c r="U34" s="198"/>
    </row>
    <row r="35" spans="1:21" s="12" customFormat="1" x14ac:dyDescent="0.25">
      <c r="A35" s="201" t="s">
        <v>2866</v>
      </c>
      <c r="B35" s="60">
        <v>33.869999999999997</v>
      </c>
      <c r="C35" s="60">
        <v>109.44</v>
      </c>
      <c r="D35" s="60">
        <v>87.56</v>
      </c>
      <c r="E35" s="60">
        <v>4.8099999999999996</v>
      </c>
      <c r="F35" s="60">
        <v>4.3</v>
      </c>
      <c r="G35" s="60">
        <v>179.05</v>
      </c>
      <c r="H35" s="60">
        <v>76.86</v>
      </c>
      <c r="I35" s="60">
        <v>0.77</v>
      </c>
      <c r="J35" s="60">
        <v>0.39</v>
      </c>
      <c r="K35" s="60">
        <v>49.2</v>
      </c>
      <c r="L35" s="60">
        <v>21.16</v>
      </c>
      <c r="M35" s="60">
        <v>55.81</v>
      </c>
      <c r="N35" s="60">
        <v>17.399999999999999</v>
      </c>
      <c r="O35" s="60">
        <v>0</v>
      </c>
      <c r="P35" s="60">
        <v>1.83</v>
      </c>
      <c r="Q35" s="60">
        <v>31.05</v>
      </c>
      <c r="R35" s="198"/>
      <c r="S35" s="198"/>
      <c r="T35" s="198"/>
      <c r="U35" s="198"/>
    </row>
    <row r="36" spans="1:21" s="12" customFormat="1" x14ac:dyDescent="0.25">
      <c r="A36" s="201" t="s">
        <v>2867</v>
      </c>
      <c r="B36" s="60">
        <v>34.89</v>
      </c>
      <c r="C36" s="60">
        <v>109.4</v>
      </c>
      <c r="D36" s="60">
        <v>88.35</v>
      </c>
      <c r="E36" s="60">
        <v>5.96</v>
      </c>
      <c r="F36" s="60">
        <v>4.3</v>
      </c>
      <c r="G36" s="60">
        <v>185.35</v>
      </c>
      <c r="H36" s="60">
        <v>81</v>
      </c>
      <c r="I36" s="60">
        <v>0.78</v>
      </c>
      <c r="J36" s="60">
        <v>1.05</v>
      </c>
      <c r="K36" s="60">
        <v>19.77</v>
      </c>
      <c r="L36" s="60">
        <v>21.49</v>
      </c>
      <c r="M36" s="60">
        <v>54.96</v>
      </c>
      <c r="N36" s="60">
        <v>32.9</v>
      </c>
      <c r="O36" s="60">
        <v>0</v>
      </c>
      <c r="P36" s="60">
        <v>1.86</v>
      </c>
      <c r="Q36" s="60">
        <v>30.46</v>
      </c>
      <c r="R36" s="198"/>
      <c r="S36" s="198"/>
      <c r="T36" s="198"/>
      <c r="U36" s="198"/>
    </row>
    <row r="37" spans="1:21" s="12" customFormat="1" x14ac:dyDescent="0.25">
      <c r="A37" s="201" t="s">
        <v>2868</v>
      </c>
      <c r="B37" s="60">
        <v>37.22</v>
      </c>
      <c r="C37" s="60">
        <v>109.77</v>
      </c>
      <c r="D37" s="60">
        <v>90.43</v>
      </c>
      <c r="E37" s="60">
        <v>10.47</v>
      </c>
      <c r="F37" s="60">
        <v>4.34</v>
      </c>
      <c r="G37" s="60">
        <v>185.35</v>
      </c>
      <c r="H37" s="60">
        <v>81</v>
      </c>
      <c r="I37" s="60">
        <v>0.77</v>
      </c>
      <c r="J37" s="60">
        <v>0.93</v>
      </c>
      <c r="K37" s="60">
        <v>18.48</v>
      </c>
      <c r="L37" s="60">
        <v>21.93</v>
      </c>
      <c r="M37" s="60">
        <v>53.53</v>
      </c>
      <c r="N37" s="60">
        <v>61.8</v>
      </c>
      <c r="O37" s="60">
        <v>0</v>
      </c>
      <c r="P37" s="60">
        <v>1.89</v>
      </c>
      <c r="Q37" s="60">
        <v>29.85</v>
      </c>
      <c r="R37" s="198"/>
      <c r="S37" s="198"/>
      <c r="T37" s="198"/>
      <c r="U37" s="198"/>
    </row>
    <row r="38" spans="1:21" s="12" customFormat="1" x14ac:dyDescent="0.25">
      <c r="A38" s="201" t="s">
        <v>2869</v>
      </c>
      <c r="B38" s="60">
        <v>37.520000000000003</v>
      </c>
      <c r="C38" s="60">
        <v>109.91</v>
      </c>
      <c r="D38" s="60">
        <v>90.74</v>
      </c>
      <c r="E38" s="60">
        <v>8.5500000000000007</v>
      </c>
      <c r="F38" s="60">
        <v>4.3099999999999996</v>
      </c>
      <c r="G38" s="60">
        <v>185.35</v>
      </c>
      <c r="H38" s="60">
        <v>81</v>
      </c>
      <c r="I38" s="60">
        <v>0.76</v>
      </c>
      <c r="J38" s="60">
        <v>0.35</v>
      </c>
      <c r="K38" s="60">
        <v>33.21</v>
      </c>
      <c r="L38" s="60">
        <v>22.75</v>
      </c>
      <c r="M38" s="60">
        <v>50.77</v>
      </c>
      <c r="N38" s="60">
        <v>97.2</v>
      </c>
      <c r="O38" s="60">
        <v>0</v>
      </c>
      <c r="P38" s="60">
        <v>2.02</v>
      </c>
      <c r="Q38" s="60">
        <v>29.49</v>
      </c>
      <c r="R38" s="198"/>
      <c r="S38" s="198"/>
      <c r="T38" s="198"/>
      <c r="U38" s="198"/>
    </row>
    <row r="39" spans="1:21" s="12" customFormat="1" x14ac:dyDescent="0.25">
      <c r="A39" s="201" t="s">
        <v>2870</v>
      </c>
      <c r="B39" s="60">
        <v>37.58</v>
      </c>
      <c r="C39" s="60">
        <v>109.48</v>
      </c>
      <c r="D39" s="60">
        <v>90.55</v>
      </c>
      <c r="E39" s="60">
        <v>7.16</v>
      </c>
      <c r="F39" s="60">
        <v>4.38</v>
      </c>
      <c r="G39" s="60">
        <v>185.35</v>
      </c>
      <c r="H39" s="60">
        <v>92.74</v>
      </c>
      <c r="I39" s="60">
        <v>0.76</v>
      </c>
      <c r="J39" s="60">
        <v>0.28999999999999998</v>
      </c>
      <c r="K39" s="60">
        <v>74.63</v>
      </c>
      <c r="L39" s="60">
        <v>23.85</v>
      </c>
      <c r="M39" s="60">
        <v>45.68</v>
      </c>
      <c r="N39" s="60">
        <v>134.19999999999999</v>
      </c>
      <c r="O39" s="60">
        <v>0</v>
      </c>
      <c r="P39" s="60">
        <v>2.0299999999999998</v>
      </c>
      <c r="Q39" s="60">
        <v>29.51</v>
      </c>
      <c r="R39" s="198"/>
      <c r="S39" s="198"/>
      <c r="T39" s="198"/>
      <c r="U39" s="198"/>
    </row>
    <row r="40" spans="1:21" s="12" customFormat="1" x14ac:dyDescent="0.25">
      <c r="A40" s="201" t="s">
        <v>2871</v>
      </c>
      <c r="B40" s="60">
        <v>37.9</v>
      </c>
      <c r="C40" s="60">
        <v>111.78</v>
      </c>
      <c r="D40" s="60">
        <v>92.08</v>
      </c>
      <c r="E40" s="60">
        <v>4.29</v>
      </c>
      <c r="F40" s="60">
        <v>4.53</v>
      </c>
      <c r="G40" s="60">
        <v>251.78</v>
      </c>
      <c r="H40" s="60">
        <v>98.62</v>
      </c>
      <c r="I40" s="60">
        <v>0.75</v>
      </c>
      <c r="J40" s="60">
        <v>0.27</v>
      </c>
      <c r="K40" s="60">
        <v>24.81</v>
      </c>
      <c r="L40" s="60">
        <v>24.76</v>
      </c>
      <c r="M40" s="60">
        <v>45.64</v>
      </c>
      <c r="N40" s="60">
        <v>157.19999999999999</v>
      </c>
      <c r="O40" s="60">
        <v>0</v>
      </c>
      <c r="P40" s="60">
        <v>2.0299999999999998</v>
      </c>
      <c r="Q40" s="60">
        <v>29.72</v>
      </c>
      <c r="R40" s="198"/>
      <c r="S40" s="198"/>
      <c r="T40" s="198"/>
      <c r="U40" s="198"/>
    </row>
    <row r="41" spans="1:21" s="12" customFormat="1" x14ac:dyDescent="0.25">
      <c r="A41" s="201" t="s">
        <v>2872</v>
      </c>
      <c r="B41" s="60">
        <v>38.01</v>
      </c>
      <c r="C41" s="60">
        <v>113.41</v>
      </c>
      <c r="D41" s="60">
        <v>93.07</v>
      </c>
      <c r="E41" s="60">
        <v>7.29</v>
      </c>
      <c r="F41" s="60">
        <v>4.3899999999999997</v>
      </c>
      <c r="G41" s="60">
        <v>251.78</v>
      </c>
      <c r="H41" s="60">
        <v>98.62</v>
      </c>
      <c r="I41" s="60">
        <v>0.76</v>
      </c>
      <c r="J41" s="60">
        <v>0.23</v>
      </c>
      <c r="K41" s="60">
        <v>9.7899999999999991</v>
      </c>
      <c r="L41" s="60">
        <v>25.46</v>
      </c>
      <c r="M41" s="60">
        <v>46.76</v>
      </c>
      <c r="N41" s="60">
        <v>193.3</v>
      </c>
      <c r="O41" s="60">
        <v>0</v>
      </c>
      <c r="P41" s="60">
        <v>2.0699999999999998</v>
      </c>
      <c r="Q41" s="60">
        <v>29.67</v>
      </c>
      <c r="R41" s="198"/>
      <c r="S41" s="198"/>
      <c r="T41" s="198"/>
      <c r="U41" s="198"/>
    </row>
    <row r="42" spans="1:21" s="12" customFormat="1" x14ac:dyDescent="0.25">
      <c r="A42" s="201" t="s">
        <v>2873</v>
      </c>
      <c r="B42" s="60">
        <v>38.39</v>
      </c>
      <c r="C42" s="60">
        <v>114.53</v>
      </c>
      <c r="D42" s="60">
        <v>93.99</v>
      </c>
      <c r="E42" s="60">
        <v>7.62</v>
      </c>
      <c r="F42" s="60">
        <v>4.3</v>
      </c>
      <c r="G42" s="60">
        <v>251.78</v>
      </c>
      <c r="H42" s="60">
        <v>98.62</v>
      </c>
      <c r="I42" s="60">
        <v>0.75</v>
      </c>
      <c r="J42" s="60">
        <v>0.09</v>
      </c>
      <c r="K42" s="60">
        <v>318.97000000000003</v>
      </c>
      <c r="L42" s="60">
        <v>24.85</v>
      </c>
      <c r="M42" s="60">
        <v>48.25</v>
      </c>
      <c r="N42" s="60">
        <v>218.8</v>
      </c>
      <c r="O42" s="60">
        <v>0</v>
      </c>
      <c r="P42" s="60">
        <v>2.08</v>
      </c>
      <c r="Q42" s="60">
        <v>29.72</v>
      </c>
      <c r="R42" s="198"/>
      <c r="S42" s="198"/>
      <c r="T42" s="198"/>
      <c r="U42" s="198"/>
    </row>
    <row r="43" spans="1:21" s="12" customFormat="1" x14ac:dyDescent="0.25">
      <c r="A43" s="201" t="s">
        <v>2874</v>
      </c>
      <c r="B43" s="60">
        <v>36.950000000000003</v>
      </c>
      <c r="C43" s="60">
        <v>115.52</v>
      </c>
      <c r="D43" s="60">
        <v>93.39</v>
      </c>
      <c r="E43" s="60">
        <v>8.02</v>
      </c>
      <c r="F43" s="60">
        <v>4.32</v>
      </c>
      <c r="G43" s="60">
        <v>218.48</v>
      </c>
      <c r="H43" s="60">
        <v>96.64</v>
      </c>
      <c r="I43" s="60">
        <v>0.75</v>
      </c>
      <c r="J43" s="60">
        <v>0.13</v>
      </c>
      <c r="K43" s="60">
        <v>276.68</v>
      </c>
      <c r="L43" s="60">
        <v>24.42</v>
      </c>
      <c r="M43" s="60">
        <v>48.04</v>
      </c>
      <c r="N43" s="60">
        <v>258.10000000000002</v>
      </c>
      <c r="O43" s="60">
        <v>0</v>
      </c>
      <c r="P43" s="60">
        <v>2.0699999999999998</v>
      </c>
      <c r="Q43" s="60">
        <v>29.64</v>
      </c>
      <c r="R43" s="198"/>
      <c r="S43" s="198"/>
      <c r="T43" s="198"/>
      <c r="U43" s="198"/>
    </row>
    <row r="44" spans="1:21" s="12" customFormat="1" x14ac:dyDescent="0.25">
      <c r="A44" s="201" t="s">
        <v>2875</v>
      </c>
      <c r="B44" s="60">
        <v>35.36</v>
      </c>
      <c r="C44" s="60">
        <v>116.01</v>
      </c>
      <c r="D44" s="60">
        <v>92.37</v>
      </c>
      <c r="E44" s="60">
        <v>7.1</v>
      </c>
      <c r="F44" s="60">
        <v>4.3</v>
      </c>
      <c r="G44" s="60">
        <v>218.47</v>
      </c>
      <c r="H44" s="60">
        <v>95.66</v>
      </c>
      <c r="I44" s="60">
        <v>0.74</v>
      </c>
      <c r="J44" s="60">
        <v>0.12</v>
      </c>
      <c r="K44" s="60">
        <v>16.13</v>
      </c>
      <c r="L44" s="60">
        <v>26.71</v>
      </c>
      <c r="M44" s="60">
        <v>42.35</v>
      </c>
      <c r="N44" s="60">
        <v>300.39999999999998</v>
      </c>
      <c r="O44" s="60">
        <v>0</v>
      </c>
      <c r="P44" s="60">
        <v>2.0499999999999998</v>
      </c>
      <c r="Q44" s="60">
        <v>30.26</v>
      </c>
      <c r="R44" s="198"/>
      <c r="S44" s="198"/>
      <c r="T44" s="198"/>
      <c r="U44" s="198"/>
    </row>
    <row r="45" spans="1:21" s="12" customFormat="1" x14ac:dyDescent="0.25">
      <c r="A45" s="201" t="s">
        <v>2876</v>
      </c>
      <c r="B45" s="60">
        <v>33.74</v>
      </c>
      <c r="C45" s="60">
        <v>117.47</v>
      </c>
      <c r="D45" s="60">
        <v>91.88</v>
      </c>
      <c r="E45" s="60">
        <v>7.02</v>
      </c>
      <c r="F45" s="60">
        <v>4.3</v>
      </c>
      <c r="G45" s="60">
        <v>218.47</v>
      </c>
      <c r="H45" s="60">
        <v>95.66</v>
      </c>
      <c r="I45" s="60">
        <v>0.74</v>
      </c>
      <c r="J45" s="60">
        <v>0.34</v>
      </c>
      <c r="K45" s="60">
        <v>10.44</v>
      </c>
      <c r="L45" s="60">
        <v>27.81</v>
      </c>
      <c r="M45" s="60">
        <v>39.67</v>
      </c>
      <c r="N45" s="60">
        <v>343.9</v>
      </c>
      <c r="O45" s="60">
        <v>0</v>
      </c>
      <c r="P45" s="60">
        <v>2.04</v>
      </c>
      <c r="Q45" s="60">
        <v>30.54</v>
      </c>
      <c r="R45" s="198"/>
      <c r="S45" s="198"/>
      <c r="T45" s="198"/>
      <c r="U45" s="198"/>
    </row>
    <row r="46" spans="1:21" s="12" customFormat="1" x14ac:dyDescent="0.25">
      <c r="A46" s="201" t="s">
        <v>2877</v>
      </c>
      <c r="B46" s="60">
        <v>32.409999999999997</v>
      </c>
      <c r="C46" s="60">
        <v>119.9</v>
      </c>
      <c r="D46" s="60">
        <v>92.17</v>
      </c>
      <c r="E46" s="60">
        <v>7.27</v>
      </c>
      <c r="F46" s="60">
        <v>4.3099999999999996</v>
      </c>
      <c r="G46" s="60">
        <v>218.47</v>
      </c>
      <c r="H46" s="60">
        <v>95.66</v>
      </c>
      <c r="I46" s="60">
        <v>0.72</v>
      </c>
      <c r="J46" s="60">
        <v>0.43</v>
      </c>
      <c r="K46" s="60">
        <v>31.89</v>
      </c>
      <c r="L46" s="60">
        <v>30.17</v>
      </c>
      <c r="M46" s="60">
        <v>34.78</v>
      </c>
      <c r="N46" s="60">
        <v>383.3</v>
      </c>
      <c r="O46" s="60">
        <v>0</v>
      </c>
      <c r="P46" s="60">
        <v>2.0499999999999998</v>
      </c>
      <c r="Q46" s="60">
        <v>30.6</v>
      </c>
      <c r="R46" s="198"/>
      <c r="S46" s="198"/>
      <c r="T46" s="198"/>
      <c r="U46" s="198"/>
    </row>
    <row r="47" spans="1:21" s="12" customFormat="1" x14ac:dyDescent="0.25">
      <c r="A47" s="201" t="s">
        <v>2878</v>
      </c>
      <c r="B47" s="60">
        <v>30.33</v>
      </c>
      <c r="C47" s="60">
        <v>123.18</v>
      </c>
      <c r="D47" s="60">
        <v>92.3</v>
      </c>
      <c r="E47" s="60">
        <v>7.41</v>
      </c>
      <c r="F47" s="60">
        <v>4.32</v>
      </c>
      <c r="G47" s="60">
        <v>187.8</v>
      </c>
      <c r="H47" s="60">
        <v>92.88</v>
      </c>
      <c r="I47" s="60">
        <v>0.71</v>
      </c>
      <c r="J47" s="60">
        <v>0.11</v>
      </c>
      <c r="K47" s="60">
        <v>76.2</v>
      </c>
      <c r="L47" s="60">
        <v>30.62</v>
      </c>
      <c r="M47" s="60">
        <v>34.1</v>
      </c>
      <c r="N47" s="60">
        <v>414.2</v>
      </c>
      <c r="O47" s="60">
        <v>0</v>
      </c>
      <c r="P47" s="60">
        <v>2.06</v>
      </c>
      <c r="Q47" s="60">
        <v>30.48</v>
      </c>
      <c r="R47" s="198"/>
      <c r="S47" s="198"/>
      <c r="T47" s="198"/>
      <c r="U47" s="198"/>
    </row>
    <row r="48" spans="1:21" s="12" customFormat="1" x14ac:dyDescent="0.25">
      <c r="A48" s="201" t="s">
        <v>2879</v>
      </c>
      <c r="B48" s="60">
        <v>27.32</v>
      </c>
      <c r="C48" s="60">
        <v>126.89</v>
      </c>
      <c r="D48" s="60">
        <v>91.93</v>
      </c>
      <c r="E48" s="60">
        <v>7.45</v>
      </c>
      <c r="F48" s="60">
        <v>4.3499999999999996</v>
      </c>
      <c r="G48" s="60">
        <v>173.21</v>
      </c>
      <c r="H48" s="60">
        <v>91.48</v>
      </c>
      <c r="I48" s="60">
        <v>0.71</v>
      </c>
      <c r="J48" s="60">
        <v>0.28000000000000003</v>
      </c>
      <c r="K48" s="60">
        <v>104.6</v>
      </c>
      <c r="L48" s="60">
        <v>30.65</v>
      </c>
      <c r="M48" s="60">
        <v>33.26</v>
      </c>
      <c r="N48" s="60">
        <v>437.6</v>
      </c>
      <c r="O48" s="60">
        <v>0</v>
      </c>
      <c r="P48" s="60">
        <v>2.08</v>
      </c>
      <c r="Q48" s="60">
        <v>30.52</v>
      </c>
      <c r="R48" s="198"/>
      <c r="S48" s="198"/>
      <c r="T48" s="198"/>
      <c r="U48" s="198"/>
    </row>
    <row r="49" spans="1:21" s="12" customFormat="1" x14ac:dyDescent="0.25">
      <c r="A49" s="201" t="s">
        <v>2880</v>
      </c>
      <c r="B49" s="60">
        <v>24.07</v>
      </c>
      <c r="C49" s="60">
        <v>132.44</v>
      </c>
      <c r="D49" s="60">
        <v>92.39</v>
      </c>
      <c r="E49" s="60">
        <v>7.25</v>
      </c>
      <c r="F49" s="60">
        <v>4.55</v>
      </c>
      <c r="G49" s="60">
        <v>173.21</v>
      </c>
      <c r="H49" s="60">
        <v>91.48</v>
      </c>
      <c r="I49" s="60">
        <v>0.7</v>
      </c>
      <c r="J49" s="60">
        <v>0.27</v>
      </c>
      <c r="K49" s="60">
        <v>14.66</v>
      </c>
      <c r="L49" s="60">
        <v>32.68</v>
      </c>
      <c r="M49" s="60">
        <v>29.38</v>
      </c>
      <c r="N49" s="60">
        <v>431.8</v>
      </c>
      <c r="O49" s="60">
        <v>0</v>
      </c>
      <c r="P49" s="60">
        <v>2.1</v>
      </c>
      <c r="Q49" s="60">
        <v>30.55</v>
      </c>
      <c r="R49" s="198"/>
      <c r="S49" s="198"/>
      <c r="T49" s="198"/>
      <c r="U49" s="198"/>
    </row>
    <row r="50" spans="1:21" s="12" customFormat="1" x14ac:dyDescent="0.25">
      <c r="A50" s="201" t="s">
        <v>2881</v>
      </c>
      <c r="B50" s="60">
        <v>19.82</v>
      </c>
      <c r="C50" s="60">
        <v>133.55000000000001</v>
      </c>
      <c r="D50" s="60">
        <v>89.6</v>
      </c>
      <c r="E50" s="60">
        <v>8.44</v>
      </c>
      <c r="F50" s="60">
        <v>7.54</v>
      </c>
      <c r="G50" s="60">
        <v>173.21</v>
      </c>
      <c r="H50" s="60">
        <v>91.48</v>
      </c>
      <c r="I50" s="60">
        <v>0.7</v>
      </c>
      <c r="J50" s="60">
        <v>0.56999999999999995</v>
      </c>
      <c r="K50" s="60">
        <v>106.3</v>
      </c>
      <c r="L50" s="60">
        <v>32.35</v>
      </c>
      <c r="M50" s="60">
        <v>26.59</v>
      </c>
      <c r="N50" s="60">
        <v>443.3</v>
      </c>
      <c r="O50" s="60">
        <v>0</v>
      </c>
      <c r="P50" s="60">
        <v>2.11</v>
      </c>
      <c r="Q50" s="60">
        <v>30.32</v>
      </c>
      <c r="R50" s="198"/>
      <c r="S50" s="198"/>
      <c r="T50" s="198"/>
      <c r="U50" s="198"/>
    </row>
    <row r="51" spans="1:21" s="12" customFormat="1" x14ac:dyDescent="0.25">
      <c r="A51" s="201" t="s">
        <v>2882</v>
      </c>
      <c r="B51" s="60">
        <v>7.73</v>
      </c>
      <c r="C51" s="60">
        <v>123.4</v>
      </c>
      <c r="D51" s="60">
        <v>74.3</v>
      </c>
      <c r="E51" s="60">
        <v>27.77</v>
      </c>
      <c r="F51" s="60">
        <v>25.3</v>
      </c>
      <c r="G51" s="60">
        <v>179.64</v>
      </c>
      <c r="H51" s="60">
        <v>89.95</v>
      </c>
      <c r="I51" s="60">
        <v>0.71</v>
      </c>
      <c r="J51" s="60">
        <v>0.32</v>
      </c>
      <c r="K51" s="60">
        <v>24.92</v>
      </c>
      <c r="L51" s="60">
        <v>31.98</v>
      </c>
      <c r="M51" s="60">
        <v>26.52</v>
      </c>
      <c r="N51" s="60">
        <v>450.6</v>
      </c>
      <c r="O51" s="60">
        <v>0</v>
      </c>
      <c r="P51" s="60">
        <v>1.8</v>
      </c>
      <c r="Q51" s="60">
        <v>27.45</v>
      </c>
      <c r="R51" s="198"/>
      <c r="S51" s="198"/>
      <c r="T51" s="198"/>
      <c r="U51" s="198"/>
    </row>
    <row r="52" spans="1:21" s="12" customFormat="1" x14ac:dyDescent="0.25">
      <c r="A52" s="201" t="s">
        <v>2883</v>
      </c>
      <c r="B52" s="60">
        <v>2.89</v>
      </c>
      <c r="C52" s="60">
        <v>110.36</v>
      </c>
      <c r="D52" s="60">
        <v>63.22</v>
      </c>
      <c r="E52" s="60">
        <v>30.28</v>
      </c>
      <c r="F52" s="60">
        <v>26.36</v>
      </c>
      <c r="G52" s="60">
        <v>182.7</v>
      </c>
      <c r="H52" s="60">
        <v>89.18</v>
      </c>
      <c r="I52" s="60">
        <v>0.68</v>
      </c>
      <c r="J52" s="60">
        <v>0.27</v>
      </c>
      <c r="K52" s="60">
        <v>20.89</v>
      </c>
      <c r="L52" s="60">
        <v>34.380000000000003</v>
      </c>
      <c r="M52" s="60">
        <v>23.13</v>
      </c>
      <c r="N52" s="60">
        <v>450.2</v>
      </c>
      <c r="O52" s="60">
        <v>0</v>
      </c>
      <c r="P52" s="60">
        <v>1.72</v>
      </c>
      <c r="Q52" s="60">
        <v>23.64</v>
      </c>
      <c r="R52" s="198"/>
      <c r="S52" s="198"/>
      <c r="T52" s="198"/>
      <c r="U52" s="198"/>
    </row>
    <row r="53" spans="1:21" s="12" customFormat="1" x14ac:dyDescent="0.25">
      <c r="A53" s="201" t="s">
        <v>2884</v>
      </c>
      <c r="B53" s="60">
        <v>4.09</v>
      </c>
      <c r="C53" s="60">
        <v>106.16</v>
      </c>
      <c r="D53" s="60">
        <v>61.87</v>
      </c>
      <c r="E53" s="60">
        <v>13.28</v>
      </c>
      <c r="F53" s="60">
        <v>17.62</v>
      </c>
      <c r="G53" s="60">
        <v>182.7</v>
      </c>
      <c r="H53" s="60">
        <v>89.18</v>
      </c>
      <c r="I53" s="60">
        <v>0.63</v>
      </c>
      <c r="J53" s="60">
        <v>0.31</v>
      </c>
      <c r="K53" s="60">
        <v>357.08</v>
      </c>
      <c r="L53" s="60">
        <v>35.29</v>
      </c>
      <c r="M53" s="60">
        <v>21.73</v>
      </c>
      <c r="N53" s="60">
        <v>450.9</v>
      </c>
      <c r="O53" s="60">
        <v>0</v>
      </c>
      <c r="P53" s="60">
        <v>1.79</v>
      </c>
      <c r="Q53" s="60">
        <v>22.23</v>
      </c>
      <c r="R53" s="198"/>
      <c r="S53" s="198"/>
      <c r="T53" s="198"/>
      <c r="U53" s="198"/>
    </row>
    <row r="54" spans="1:21" s="12" customFormat="1" x14ac:dyDescent="0.25">
      <c r="A54" s="201" t="s">
        <v>2885</v>
      </c>
      <c r="B54" s="60">
        <v>3.3</v>
      </c>
      <c r="C54" s="60">
        <v>93.61</v>
      </c>
      <c r="D54" s="60">
        <v>54.31</v>
      </c>
      <c r="E54" s="60">
        <v>17.39</v>
      </c>
      <c r="F54" s="60">
        <v>19.239999999999998</v>
      </c>
      <c r="G54" s="60">
        <v>182.7</v>
      </c>
      <c r="H54" s="60">
        <v>89.18</v>
      </c>
      <c r="I54" s="60">
        <v>0.66</v>
      </c>
      <c r="J54" s="60">
        <v>0.1</v>
      </c>
      <c r="K54" s="60">
        <v>25.31</v>
      </c>
      <c r="L54" s="60">
        <v>34.15</v>
      </c>
      <c r="M54" s="60">
        <v>23.14</v>
      </c>
      <c r="N54" s="60">
        <v>447.7</v>
      </c>
      <c r="O54" s="60">
        <v>0</v>
      </c>
      <c r="P54" s="60">
        <v>1.75</v>
      </c>
      <c r="Q54" s="60">
        <v>22.86</v>
      </c>
      <c r="R54" s="198"/>
      <c r="S54" s="198"/>
      <c r="T54" s="198"/>
      <c r="U54" s="198"/>
    </row>
    <row r="55" spans="1:21" s="12" customFormat="1" x14ac:dyDescent="0.25">
      <c r="A55" s="201" t="s">
        <v>2886</v>
      </c>
      <c r="B55" s="60">
        <v>5.54</v>
      </c>
      <c r="C55" s="60">
        <v>89.02</v>
      </c>
      <c r="D55" s="60">
        <v>53.57</v>
      </c>
      <c r="E55" s="60">
        <v>23.68</v>
      </c>
      <c r="F55" s="60">
        <v>18.82</v>
      </c>
      <c r="G55" s="60">
        <v>131.4</v>
      </c>
      <c r="H55" s="60">
        <v>79.989999999999995</v>
      </c>
      <c r="I55" s="60">
        <v>0.68</v>
      </c>
      <c r="J55" s="60">
        <v>0.35</v>
      </c>
      <c r="K55" s="60">
        <v>348.14</v>
      </c>
      <c r="L55" s="60">
        <v>35.9</v>
      </c>
      <c r="M55" s="60">
        <v>21.18</v>
      </c>
      <c r="N55" s="60">
        <v>459.1</v>
      </c>
      <c r="O55" s="60">
        <v>0</v>
      </c>
      <c r="P55" s="60">
        <v>1.77</v>
      </c>
      <c r="Q55" s="60">
        <v>23.37</v>
      </c>
      <c r="R55" s="198"/>
      <c r="S55" s="198"/>
      <c r="T55" s="198"/>
      <c r="U55" s="198"/>
    </row>
    <row r="56" spans="1:21" s="12" customFormat="1" x14ac:dyDescent="0.25">
      <c r="A56" s="201" t="s">
        <v>2887</v>
      </c>
      <c r="B56" s="60">
        <v>3.8</v>
      </c>
      <c r="C56" s="60">
        <v>82.52</v>
      </c>
      <c r="D56" s="60">
        <v>48.58</v>
      </c>
      <c r="E56" s="60">
        <v>4.63</v>
      </c>
      <c r="F56" s="60">
        <v>10.86</v>
      </c>
      <c r="G56" s="60">
        <v>105.75</v>
      </c>
      <c r="H56" s="60">
        <v>75.39</v>
      </c>
      <c r="I56" s="60">
        <v>0.69</v>
      </c>
      <c r="J56" s="60">
        <v>0.28000000000000003</v>
      </c>
      <c r="K56" s="60">
        <v>231.97</v>
      </c>
      <c r="L56" s="60">
        <v>34.130000000000003</v>
      </c>
      <c r="M56" s="60">
        <v>21.76</v>
      </c>
      <c r="N56" s="60">
        <v>467.8</v>
      </c>
      <c r="O56" s="60">
        <v>0</v>
      </c>
      <c r="P56" s="60">
        <v>1.74</v>
      </c>
      <c r="Q56" s="60">
        <v>23.18</v>
      </c>
      <c r="R56" s="198"/>
      <c r="S56" s="198"/>
      <c r="T56" s="198"/>
      <c r="U56" s="198"/>
    </row>
    <row r="57" spans="1:21" s="12" customFormat="1" x14ac:dyDescent="0.25">
      <c r="A57" s="201" t="s">
        <v>2888</v>
      </c>
      <c r="B57" s="60">
        <v>3.29</v>
      </c>
      <c r="C57" s="60">
        <v>75.67</v>
      </c>
      <c r="D57" s="60">
        <v>44.39</v>
      </c>
      <c r="E57" s="60">
        <v>12.89</v>
      </c>
      <c r="F57" s="60">
        <v>17.47</v>
      </c>
      <c r="G57" s="60">
        <v>105.75</v>
      </c>
      <c r="H57" s="60">
        <v>75.39</v>
      </c>
      <c r="I57" s="60">
        <v>0.69</v>
      </c>
      <c r="J57" s="60">
        <v>0.16</v>
      </c>
      <c r="K57" s="60">
        <v>312.98</v>
      </c>
      <c r="L57" s="60">
        <v>34.78</v>
      </c>
      <c r="M57" s="60">
        <v>21.03</v>
      </c>
      <c r="N57" s="60">
        <v>471.5</v>
      </c>
      <c r="O57" s="60">
        <v>0</v>
      </c>
      <c r="P57" s="60">
        <v>1.59</v>
      </c>
      <c r="Q57" s="60">
        <v>24.12</v>
      </c>
      <c r="R57" s="198"/>
      <c r="S57" s="198"/>
      <c r="T57" s="198"/>
      <c r="U57" s="198"/>
    </row>
    <row r="58" spans="1:21" s="12" customFormat="1" x14ac:dyDescent="0.25">
      <c r="A58" s="201" t="s">
        <v>2889</v>
      </c>
      <c r="B58" s="60">
        <v>1.94</v>
      </c>
      <c r="C58" s="60">
        <v>83.06</v>
      </c>
      <c r="D58" s="60">
        <v>47.39</v>
      </c>
      <c r="E58" s="60">
        <v>9.75</v>
      </c>
      <c r="F58" s="60">
        <v>9.4499999999999993</v>
      </c>
      <c r="G58" s="60">
        <v>105.75</v>
      </c>
      <c r="H58" s="60">
        <v>75.39</v>
      </c>
      <c r="I58" s="60">
        <v>0.68</v>
      </c>
      <c r="J58" s="60">
        <v>0.22</v>
      </c>
      <c r="K58" s="60">
        <v>307.41000000000003</v>
      </c>
      <c r="L58" s="60">
        <v>34.29</v>
      </c>
      <c r="M58" s="60">
        <v>22.36</v>
      </c>
      <c r="N58" s="60">
        <v>456.3</v>
      </c>
      <c r="O58" s="60">
        <v>0</v>
      </c>
      <c r="P58" s="60">
        <v>1.56</v>
      </c>
      <c r="Q58" s="60">
        <v>25.28</v>
      </c>
      <c r="R58" s="198"/>
      <c r="S58" s="198"/>
      <c r="T58" s="198"/>
      <c r="U58" s="198"/>
    </row>
    <row r="59" spans="1:21" s="12" customFormat="1" x14ac:dyDescent="0.25">
      <c r="A59" s="201" t="s">
        <v>2890</v>
      </c>
      <c r="B59" s="60">
        <v>1.18</v>
      </c>
      <c r="C59" s="60">
        <v>85.5</v>
      </c>
      <c r="D59" s="60">
        <v>48.13</v>
      </c>
      <c r="E59" s="60">
        <v>7.79</v>
      </c>
      <c r="F59" s="60">
        <v>10.69</v>
      </c>
      <c r="G59" s="60">
        <v>85.01</v>
      </c>
      <c r="H59" s="60">
        <v>67.849999999999994</v>
      </c>
      <c r="I59" s="60">
        <v>0.67</v>
      </c>
      <c r="J59" s="60">
        <v>0.55000000000000004</v>
      </c>
      <c r="K59" s="60">
        <v>355.41</v>
      </c>
      <c r="L59" s="60">
        <v>36.520000000000003</v>
      </c>
      <c r="M59" s="60">
        <v>20.05</v>
      </c>
      <c r="N59" s="60">
        <v>446.5</v>
      </c>
      <c r="O59" s="60">
        <v>0</v>
      </c>
      <c r="P59" s="60">
        <v>1.47</v>
      </c>
      <c r="Q59" s="60">
        <v>25.94</v>
      </c>
      <c r="R59" s="198"/>
      <c r="S59" s="198"/>
      <c r="T59" s="198"/>
      <c r="U59" s="198"/>
    </row>
    <row r="60" spans="1:21" s="12" customFormat="1" x14ac:dyDescent="0.25">
      <c r="A60" s="201" t="s">
        <v>2891</v>
      </c>
      <c r="B60" s="60">
        <v>1.33</v>
      </c>
      <c r="C60" s="60">
        <v>76.38</v>
      </c>
      <c r="D60" s="60">
        <v>43.22</v>
      </c>
      <c r="E60" s="60">
        <v>7.81</v>
      </c>
      <c r="F60" s="60">
        <v>11.16</v>
      </c>
      <c r="G60" s="60">
        <v>74.64</v>
      </c>
      <c r="H60" s="60">
        <v>64.08</v>
      </c>
      <c r="I60" s="60">
        <v>0.66</v>
      </c>
      <c r="J60" s="60">
        <v>0.69</v>
      </c>
      <c r="K60" s="60">
        <v>163.78</v>
      </c>
      <c r="L60" s="60">
        <v>35</v>
      </c>
      <c r="M60" s="60">
        <v>20.22</v>
      </c>
      <c r="N60" s="60">
        <v>445.3</v>
      </c>
      <c r="O60" s="60">
        <v>0</v>
      </c>
      <c r="P60" s="60">
        <v>1.41</v>
      </c>
      <c r="Q60" s="60">
        <v>25.52</v>
      </c>
      <c r="R60" s="198"/>
      <c r="S60" s="198"/>
      <c r="T60" s="198"/>
      <c r="U60" s="198"/>
    </row>
    <row r="61" spans="1:21" s="12" customFormat="1" x14ac:dyDescent="0.25">
      <c r="A61" s="201" t="s">
        <v>2892</v>
      </c>
      <c r="B61" s="60">
        <v>1.44</v>
      </c>
      <c r="C61" s="60">
        <v>73.91</v>
      </c>
      <c r="D61" s="60">
        <v>41.94</v>
      </c>
      <c r="E61" s="60">
        <v>6.6</v>
      </c>
      <c r="F61" s="60">
        <v>7.8</v>
      </c>
      <c r="G61" s="60">
        <v>74.64</v>
      </c>
      <c r="H61" s="60">
        <v>64.08</v>
      </c>
      <c r="I61" s="60">
        <v>0.64</v>
      </c>
      <c r="J61" s="60">
        <v>0.23</v>
      </c>
      <c r="K61" s="60">
        <v>201.03</v>
      </c>
      <c r="L61" s="60">
        <v>34.58</v>
      </c>
      <c r="M61" s="60">
        <v>20.329999999999998</v>
      </c>
      <c r="N61" s="60">
        <v>413.8</v>
      </c>
      <c r="O61" s="60">
        <v>0</v>
      </c>
      <c r="P61" s="60">
        <v>1.33</v>
      </c>
      <c r="Q61" s="60">
        <v>25.32</v>
      </c>
      <c r="R61" s="198"/>
      <c r="S61" s="198"/>
      <c r="T61" s="198"/>
      <c r="U61" s="198"/>
    </row>
    <row r="62" spans="1:21" s="12" customFormat="1" x14ac:dyDescent="0.25">
      <c r="A62" s="201" t="s">
        <v>2893</v>
      </c>
      <c r="B62" s="60">
        <v>1.37</v>
      </c>
      <c r="C62" s="60">
        <v>73.7</v>
      </c>
      <c r="D62" s="60">
        <v>41.77</v>
      </c>
      <c r="E62" s="60">
        <v>5.36</v>
      </c>
      <c r="F62" s="60">
        <v>8.02</v>
      </c>
      <c r="G62" s="60">
        <v>74.64</v>
      </c>
      <c r="H62" s="60">
        <v>64.08</v>
      </c>
      <c r="I62" s="60">
        <v>0.63</v>
      </c>
      <c r="J62" s="60">
        <v>1.28</v>
      </c>
      <c r="K62" s="60">
        <v>166.9</v>
      </c>
      <c r="L62" s="60">
        <v>34.1</v>
      </c>
      <c r="M62" s="60">
        <v>19.88</v>
      </c>
      <c r="N62" s="60">
        <v>414.9</v>
      </c>
      <c r="O62" s="60">
        <v>0</v>
      </c>
      <c r="P62" s="60">
        <v>1.32</v>
      </c>
      <c r="Q62" s="60">
        <v>25.54</v>
      </c>
      <c r="R62" s="198"/>
      <c r="S62" s="198"/>
      <c r="T62" s="198"/>
      <c r="U62" s="198"/>
    </row>
    <row r="63" spans="1:21" s="12" customFormat="1" x14ac:dyDescent="0.25">
      <c r="A63" s="201" t="s">
        <v>2894</v>
      </c>
      <c r="B63" s="60">
        <v>1.06</v>
      </c>
      <c r="C63" s="60">
        <v>69.84</v>
      </c>
      <c r="D63" s="60">
        <v>39.39</v>
      </c>
      <c r="E63" s="60">
        <v>5.55</v>
      </c>
      <c r="F63" s="60">
        <v>10.44</v>
      </c>
      <c r="G63" s="60">
        <v>74.09</v>
      </c>
      <c r="H63" s="60">
        <v>56.46</v>
      </c>
      <c r="I63" s="60">
        <v>0.63</v>
      </c>
      <c r="J63" s="60">
        <v>0.99</v>
      </c>
      <c r="K63" s="60">
        <v>173.8</v>
      </c>
      <c r="L63" s="60">
        <v>33.75</v>
      </c>
      <c r="M63" s="60">
        <v>18.93</v>
      </c>
      <c r="N63" s="60">
        <v>405.9</v>
      </c>
      <c r="O63" s="60">
        <v>0</v>
      </c>
      <c r="P63" s="60">
        <v>1.21</v>
      </c>
      <c r="Q63" s="60">
        <v>25.11</v>
      </c>
      <c r="R63" s="198"/>
      <c r="S63" s="198"/>
      <c r="T63" s="198"/>
      <c r="U63" s="198"/>
    </row>
    <row r="64" spans="1:21" s="12" customFormat="1" x14ac:dyDescent="0.25">
      <c r="A64" s="201" t="s">
        <v>2895</v>
      </c>
      <c r="B64" s="60">
        <v>1</v>
      </c>
      <c r="C64" s="60">
        <v>67.959999999999994</v>
      </c>
      <c r="D64" s="60">
        <v>38.31</v>
      </c>
      <c r="E64" s="60">
        <v>5.74</v>
      </c>
      <c r="F64" s="60">
        <v>12.42</v>
      </c>
      <c r="G64" s="60">
        <v>73.81</v>
      </c>
      <c r="H64" s="60">
        <v>52.65</v>
      </c>
      <c r="I64" s="60">
        <v>0.61</v>
      </c>
      <c r="J64" s="60">
        <v>0.97</v>
      </c>
      <c r="K64" s="60">
        <v>173.23</v>
      </c>
      <c r="L64" s="60">
        <v>34.130000000000003</v>
      </c>
      <c r="M64" s="60">
        <v>17.61</v>
      </c>
      <c r="N64" s="60">
        <v>392.4</v>
      </c>
      <c r="O64" s="60">
        <v>0</v>
      </c>
      <c r="P64" s="60">
        <v>1.1399999999999999</v>
      </c>
      <c r="Q64" s="60">
        <v>25.37</v>
      </c>
      <c r="R64" s="198"/>
      <c r="S64" s="198"/>
      <c r="T64" s="198"/>
      <c r="U64" s="198"/>
    </row>
    <row r="65" spans="1:21" s="12" customFormat="1" x14ac:dyDescent="0.25">
      <c r="A65" s="201" t="s">
        <v>2896</v>
      </c>
      <c r="B65" s="60">
        <v>0.39</v>
      </c>
      <c r="C65" s="60">
        <v>53.4</v>
      </c>
      <c r="D65" s="60">
        <v>29.78</v>
      </c>
      <c r="E65" s="60">
        <v>10.78</v>
      </c>
      <c r="F65" s="60">
        <v>38.270000000000003</v>
      </c>
      <c r="G65" s="60">
        <v>73.81</v>
      </c>
      <c r="H65" s="60">
        <v>52.65</v>
      </c>
      <c r="I65" s="60">
        <v>0.6</v>
      </c>
      <c r="J65" s="60">
        <v>1.08</v>
      </c>
      <c r="K65" s="60">
        <v>174.16</v>
      </c>
      <c r="L65" s="60">
        <v>34.409999999999997</v>
      </c>
      <c r="M65" s="60">
        <v>15.92</v>
      </c>
      <c r="N65" s="60">
        <v>383.9</v>
      </c>
      <c r="O65" s="60">
        <v>0</v>
      </c>
      <c r="P65" s="60">
        <v>0.85</v>
      </c>
      <c r="Q65" s="60">
        <v>24.85</v>
      </c>
      <c r="R65" s="198"/>
      <c r="S65" s="198"/>
      <c r="T65" s="198"/>
      <c r="U65" s="198"/>
    </row>
    <row r="66" spans="1:21" s="12" customFormat="1" x14ac:dyDescent="0.25">
      <c r="A66" s="201" t="s">
        <v>2897</v>
      </c>
      <c r="B66" s="60">
        <v>0.35</v>
      </c>
      <c r="C66" s="60">
        <v>44.66</v>
      </c>
      <c r="D66" s="60">
        <v>24.93</v>
      </c>
      <c r="E66" s="60">
        <v>13.31</v>
      </c>
      <c r="F66" s="60">
        <v>52</v>
      </c>
      <c r="G66" s="60">
        <v>73.81</v>
      </c>
      <c r="H66" s="60">
        <v>52.65</v>
      </c>
      <c r="I66" s="60">
        <v>0.56999999999999995</v>
      </c>
      <c r="J66" s="60">
        <v>0.41</v>
      </c>
      <c r="K66" s="60">
        <v>179.01</v>
      </c>
      <c r="L66" s="60">
        <v>34.43</v>
      </c>
      <c r="M66" s="60">
        <v>15.23</v>
      </c>
      <c r="N66" s="60">
        <v>358.2</v>
      </c>
      <c r="O66" s="60">
        <v>0</v>
      </c>
      <c r="P66" s="60">
        <v>0.63</v>
      </c>
      <c r="Q66" s="60">
        <v>20.66</v>
      </c>
      <c r="R66" s="198"/>
      <c r="S66" s="198"/>
      <c r="T66" s="198"/>
      <c r="U66" s="198"/>
    </row>
    <row r="67" spans="1:21" s="12" customFormat="1" x14ac:dyDescent="0.25">
      <c r="A67" s="201" t="s">
        <v>2898</v>
      </c>
      <c r="B67" s="60">
        <v>1.38</v>
      </c>
      <c r="C67" s="60">
        <v>36.71</v>
      </c>
      <c r="D67" s="60">
        <v>20.32</v>
      </c>
      <c r="E67" s="60">
        <v>15.04</v>
      </c>
      <c r="F67" s="60">
        <v>43.28</v>
      </c>
      <c r="G67" s="60">
        <v>45.32</v>
      </c>
      <c r="H67" s="60">
        <v>43.21</v>
      </c>
      <c r="I67" s="60">
        <v>0.54</v>
      </c>
      <c r="J67" s="60">
        <v>0.81</v>
      </c>
      <c r="K67" s="60">
        <v>151.68</v>
      </c>
      <c r="L67" s="60">
        <v>34.15</v>
      </c>
      <c r="M67" s="60">
        <v>16.98</v>
      </c>
      <c r="N67" s="60">
        <v>320.8</v>
      </c>
      <c r="O67" s="60">
        <v>0</v>
      </c>
      <c r="P67" s="60">
        <v>0.5</v>
      </c>
      <c r="Q67" s="60">
        <v>16.82</v>
      </c>
      <c r="R67" s="198"/>
      <c r="S67" s="198"/>
      <c r="T67" s="198"/>
      <c r="U67" s="198"/>
    </row>
    <row r="68" spans="1:21" s="12" customFormat="1" x14ac:dyDescent="0.25">
      <c r="A68" s="201" t="s">
        <v>2899</v>
      </c>
      <c r="B68" s="60">
        <v>3.78</v>
      </c>
      <c r="C68" s="60">
        <v>50.33</v>
      </c>
      <c r="D68" s="60">
        <v>29.77</v>
      </c>
      <c r="E68" s="60">
        <v>18.190000000000001</v>
      </c>
      <c r="F68" s="60">
        <v>47.19</v>
      </c>
      <c r="G68" s="60">
        <v>31.78</v>
      </c>
      <c r="H68" s="60">
        <v>38.49</v>
      </c>
      <c r="I68" s="60">
        <v>0.5</v>
      </c>
      <c r="J68" s="60">
        <v>0.2</v>
      </c>
      <c r="K68" s="60">
        <v>120.4</v>
      </c>
      <c r="L68" s="60">
        <v>34.61</v>
      </c>
      <c r="M68" s="60">
        <v>17.45</v>
      </c>
      <c r="N68" s="60">
        <v>304</v>
      </c>
      <c r="O68" s="60">
        <v>0</v>
      </c>
      <c r="P68" s="60">
        <v>0.59</v>
      </c>
      <c r="Q68" s="60">
        <v>16.3</v>
      </c>
      <c r="R68" s="198"/>
      <c r="S68" s="198"/>
      <c r="T68" s="198"/>
      <c r="U68" s="198"/>
    </row>
    <row r="69" spans="1:21" s="12" customFormat="1" x14ac:dyDescent="0.25">
      <c r="A69" s="201" t="s">
        <v>2900</v>
      </c>
      <c r="B69" s="60">
        <v>2.06</v>
      </c>
      <c r="C69" s="60">
        <v>47.17</v>
      </c>
      <c r="D69" s="60">
        <v>26.64</v>
      </c>
      <c r="E69" s="60">
        <v>19.2</v>
      </c>
      <c r="F69" s="60">
        <v>41.48</v>
      </c>
      <c r="G69" s="60">
        <v>31.78</v>
      </c>
      <c r="H69" s="60">
        <v>38.49</v>
      </c>
      <c r="I69" s="60">
        <v>0.49</v>
      </c>
      <c r="J69" s="60">
        <v>0.49</v>
      </c>
      <c r="K69" s="60">
        <v>185.37</v>
      </c>
      <c r="L69" s="60">
        <v>34.880000000000003</v>
      </c>
      <c r="M69" s="60">
        <v>17.2</v>
      </c>
      <c r="N69" s="60">
        <v>266.2</v>
      </c>
      <c r="O69" s="60">
        <v>0</v>
      </c>
      <c r="P69" s="60">
        <v>0.56999999999999995</v>
      </c>
      <c r="Q69" s="60">
        <v>16.61</v>
      </c>
      <c r="R69" s="198"/>
      <c r="S69" s="198"/>
      <c r="T69" s="198"/>
      <c r="U69" s="198"/>
    </row>
    <row r="70" spans="1:21" s="12" customFormat="1" x14ac:dyDescent="0.25">
      <c r="A70" s="201" t="s">
        <v>2901</v>
      </c>
      <c r="B70" s="60">
        <v>1.72</v>
      </c>
      <c r="C70" s="60">
        <v>46.7</v>
      </c>
      <c r="D70" s="60">
        <v>26.11</v>
      </c>
      <c r="E70" s="60">
        <v>13.1</v>
      </c>
      <c r="F70" s="60">
        <v>32.43</v>
      </c>
      <c r="G70" s="60">
        <v>31.78</v>
      </c>
      <c r="H70" s="60">
        <v>38.49</v>
      </c>
      <c r="I70" s="60">
        <v>0.5</v>
      </c>
      <c r="J70" s="60">
        <v>0.98</v>
      </c>
      <c r="K70" s="60">
        <v>176.57</v>
      </c>
      <c r="L70" s="60">
        <v>34.020000000000003</v>
      </c>
      <c r="M70" s="60">
        <v>18.78</v>
      </c>
      <c r="N70" s="60">
        <v>210.3</v>
      </c>
      <c r="O70" s="60">
        <v>0</v>
      </c>
      <c r="P70" s="60">
        <v>0.57999999999999996</v>
      </c>
      <c r="Q70" s="60">
        <v>17.59</v>
      </c>
      <c r="R70" s="198"/>
      <c r="S70" s="198"/>
      <c r="T70" s="198"/>
      <c r="U70" s="198"/>
    </row>
    <row r="71" spans="1:21" s="12" customFormat="1" x14ac:dyDescent="0.25">
      <c r="A71" s="201" t="s">
        <v>2902</v>
      </c>
      <c r="B71" s="60">
        <v>1.75</v>
      </c>
      <c r="C71" s="60">
        <v>49.17</v>
      </c>
      <c r="D71" s="60">
        <v>27.5</v>
      </c>
      <c r="E71" s="60">
        <v>16.73</v>
      </c>
      <c r="F71" s="60">
        <v>41.86</v>
      </c>
      <c r="G71" s="60">
        <v>56.67</v>
      </c>
      <c r="H71" s="60">
        <v>37.9</v>
      </c>
      <c r="I71" s="60">
        <v>0.51</v>
      </c>
      <c r="J71" s="60">
        <v>0.05</v>
      </c>
      <c r="K71" s="60">
        <v>201.41</v>
      </c>
      <c r="L71" s="60">
        <v>33.47</v>
      </c>
      <c r="M71" s="60">
        <v>19.510000000000002</v>
      </c>
      <c r="N71" s="60">
        <v>115.2</v>
      </c>
      <c r="O71" s="60">
        <v>0</v>
      </c>
      <c r="P71" s="60">
        <v>0.63</v>
      </c>
      <c r="Q71" s="60">
        <v>17.96</v>
      </c>
      <c r="R71" s="198"/>
      <c r="S71" s="198"/>
      <c r="T71" s="198"/>
      <c r="U71" s="198"/>
    </row>
    <row r="72" spans="1:21" s="12" customFormat="1" x14ac:dyDescent="0.25">
      <c r="A72" s="201" t="s">
        <v>2903</v>
      </c>
      <c r="B72" s="60">
        <v>1.81</v>
      </c>
      <c r="C72" s="60">
        <v>57.08</v>
      </c>
      <c r="D72" s="60">
        <v>32.049999999999997</v>
      </c>
      <c r="E72" s="60">
        <v>8.18</v>
      </c>
      <c r="F72" s="60">
        <v>24.19</v>
      </c>
      <c r="G72" s="60">
        <v>69.12</v>
      </c>
      <c r="H72" s="60">
        <v>37.6</v>
      </c>
      <c r="I72" s="60">
        <v>0.53</v>
      </c>
      <c r="J72" s="60">
        <v>0.08</v>
      </c>
      <c r="K72" s="60">
        <v>302.10000000000002</v>
      </c>
      <c r="L72" s="60">
        <v>33.369999999999997</v>
      </c>
      <c r="M72" s="60">
        <v>19.02</v>
      </c>
      <c r="N72" s="60">
        <v>112.6</v>
      </c>
      <c r="O72" s="60">
        <v>0</v>
      </c>
      <c r="P72" s="60">
        <v>0.66</v>
      </c>
      <c r="Q72" s="60">
        <v>18.57</v>
      </c>
      <c r="R72" s="198"/>
      <c r="S72" s="198"/>
      <c r="T72" s="198"/>
      <c r="U72" s="198"/>
    </row>
    <row r="73" spans="1:21" s="12" customFormat="1" x14ac:dyDescent="0.25">
      <c r="A73" s="201" t="s">
        <v>2904</v>
      </c>
      <c r="B73" s="60">
        <v>0.43</v>
      </c>
      <c r="C73" s="60">
        <v>50.2</v>
      </c>
      <c r="D73" s="60">
        <v>28.05</v>
      </c>
      <c r="E73" s="60">
        <v>12.97</v>
      </c>
      <c r="F73" s="60">
        <v>38.78</v>
      </c>
      <c r="G73" s="60">
        <v>69.12</v>
      </c>
      <c r="H73" s="60">
        <v>37.6</v>
      </c>
      <c r="I73" s="60">
        <v>0.53</v>
      </c>
      <c r="J73" s="60">
        <v>0.27</v>
      </c>
      <c r="K73" s="60">
        <v>166.06</v>
      </c>
      <c r="L73" s="60">
        <v>33.35</v>
      </c>
      <c r="M73" s="60">
        <v>18.82</v>
      </c>
      <c r="N73" s="60">
        <v>100.4</v>
      </c>
      <c r="O73" s="60">
        <v>0</v>
      </c>
      <c r="P73" s="60">
        <v>0.62</v>
      </c>
      <c r="Q73" s="60">
        <v>20.73</v>
      </c>
      <c r="R73" s="198"/>
      <c r="S73" s="198"/>
      <c r="T73" s="198"/>
      <c r="U73" s="198"/>
    </row>
    <row r="74" spans="1:21" s="12" customFormat="1" x14ac:dyDescent="0.25">
      <c r="A74" s="201" t="s">
        <v>2905</v>
      </c>
      <c r="B74" s="60">
        <v>1.63</v>
      </c>
      <c r="C74" s="60">
        <v>59.65</v>
      </c>
      <c r="D74" s="60">
        <v>34.229999999999997</v>
      </c>
      <c r="E74" s="60">
        <v>11.16</v>
      </c>
      <c r="F74" s="60">
        <v>24.2</v>
      </c>
      <c r="G74" s="60">
        <v>69.12</v>
      </c>
      <c r="H74" s="60">
        <v>37.6</v>
      </c>
      <c r="I74" s="60">
        <v>0.53</v>
      </c>
      <c r="J74" s="60">
        <v>0.11</v>
      </c>
      <c r="K74" s="60">
        <v>301.02</v>
      </c>
      <c r="L74" s="60">
        <v>33.21</v>
      </c>
      <c r="M74" s="60">
        <v>19.760000000000002</v>
      </c>
      <c r="N74" s="60">
        <v>81.8</v>
      </c>
      <c r="O74" s="60">
        <v>0</v>
      </c>
      <c r="P74" s="60">
        <v>0.73</v>
      </c>
      <c r="Q74" s="60">
        <v>21.76</v>
      </c>
      <c r="R74" s="198"/>
      <c r="S74" s="198"/>
      <c r="T74" s="198"/>
      <c r="U74" s="198"/>
    </row>
    <row r="75" spans="1:21" s="12" customFormat="1" x14ac:dyDescent="0.25">
      <c r="A75" s="201" t="s">
        <v>2906</v>
      </c>
      <c r="B75" s="60">
        <v>0.27</v>
      </c>
      <c r="C75" s="60">
        <v>53.93</v>
      </c>
      <c r="D75" s="60">
        <v>29.98</v>
      </c>
      <c r="E75" s="60">
        <v>9.93</v>
      </c>
      <c r="F75" s="60">
        <v>32.6</v>
      </c>
      <c r="G75" s="60">
        <v>59.28</v>
      </c>
      <c r="H75" s="60">
        <v>36.28</v>
      </c>
      <c r="I75" s="60">
        <v>0.52</v>
      </c>
      <c r="J75" s="60">
        <v>0.08</v>
      </c>
      <c r="K75" s="60">
        <v>270.64</v>
      </c>
      <c r="L75" s="60">
        <v>32.67</v>
      </c>
      <c r="M75" s="60">
        <v>21.5</v>
      </c>
      <c r="N75" s="60">
        <v>72.8</v>
      </c>
      <c r="O75" s="60">
        <v>0</v>
      </c>
      <c r="P75" s="60">
        <v>0.68</v>
      </c>
      <c r="Q75" s="60">
        <v>21.41</v>
      </c>
      <c r="R75" s="198"/>
      <c r="S75" s="198"/>
      <c r="T75" s="198"/>
      <c r="U75" s="198"/>
    </row>
    <row r="76" spans="1:21" s="12" customFormat="1" x14ac:dyDescent="0.25">
      <c r="A76" s="201" t="s">
        <v>2907</v>
      </c>
      <c r="B76" s="60">
        <v>0.03</v>
      </c>
      <c r="C76" s="60">
        <v>47.86</v>
      </c>
      <c r="D76" s="60">
        <v>26.41</v>
      </c>
      <c r="E76" s="60">
        <v>11.23</v>
      </c>
      <c r="F76" s="60">
        <v>39.03</v>
      </c>
      <c r="G76" s="60">
        <v>54.36</v>
      </c>
      <c r="H76" s="60">
        <v>35.619999999999997</v>
      </c>
      <c r="I76" s="60">
        <v>0.51</v>
      </c>
      <c r="J76" s="60">
        <v>0.31</v>
      </c>
      <c r="K76" s="60">
        <v>240.67</v>
      </c>
      <c r="L76" s="60">
        <v>32.33</v>
      </c>
      <c r="M76" s="60">
        <v>24.92</v>
      </c>
      <c r="N76" s="60">
        <v>58</v>
      </c>
      <c r="O76" s="60">
        <v>0</v>
      </c>
      <c r="P76" s="60">
        <v>0.7</v>
      </c>
      <c r="Q76" s="60">
        <v>19.55</v>
      </c>
      <c r="R76" s="198"/>
      <c r="S76" s="198"/>
      <c r="T76" s="198"/>
      <c r="U76" s="198"/>
    </row>
    <row r="77" spans="1:21" s="12" customFormat="1" x14ac:dyDescent="0.25">
      <c r="A77" s="201" t="s">
        <v>2908</v>
      </c>
      <c r="B77" s="60">
        <v>1.3</v>
      </c>
      <c r="C77" s="60">
        <v>46.62</v>
      </c>
      <c r="D77" s="60">
        <v>25.73</v>
      </c>
      <c r="E77" s="60">
        <v>9.11</v>
      </c>
      <c r="F77" s="60">
        <v>33.03</v>
      </c>
      <c r="G77" s="60">
        <v>54.36</v>
      </c>
      <c r="H77" s="60">
        <v>35.619999999999997</v>
      </c>
      <c r="I77" s="60">
        <v>0.5</v>
      </c>
      <c r="J77" s="60">
        <v>0.17</v>
      </c>
      <c r="K77" s="60">
        <v>243.41</v>
      </c>
      <c r="L77" s="60">
        <v>31.96</v>
      </c>
      <c r="M77" s="60">
        <v>26.13</v>
      </c>
      <c r="N77" s="60">
        <v>43.8</v>
      </c>
      <c r="O77" s="60">
        <v>0</v>
      </c>
      <c r="P77" s="60">
        <v>0.76</v>
      </c>
      <c r="Q77" s="60">
        <v>18.27</v>
      </c>
      <c r="R77" s="198"/>
      <c r="S77" s="198"/>
      <c r="T77" s="198"/>
      <c r="U77" s="198"/>
    </row>
    <row r="78" spans="1:21" s="12" customFormat="1" x14ac:dyDescent="0.25">
      <c r="A78" s="201" t="s">
        <v>2909</v>
      </c>
      <c r="B78" s="60">
        <v>1.3</v>
      </c>
      <c r="C78" s="60">
        <v>51.53</v>
      </c>
      <c r="D78" s="60">
        <v>28.44</v>
      </c>
      <c r="E78" s="60">
        <v>7.9</v>
      </c>
      <c r="F78" s="60">
        <v>22.48</v>
      </c>
      <c r="G78" s="60">
        <v>54.36</v>
      </c>
      <c r="H78" s="60">
        <v>35.619999999999997</v>
      </c>
      <c r="I78" s="60">
        <v>0.49</v>
      </c>
      <c r="J78" s="60">
        <v>0.21</v>
      </c>
      <c r="K78" s="60">
        <v>247.13</v>
      </c>
      <c r="L78" s="60">
        <v>31.57</v>
      </c>
      <c r="M78" s="60">
        <v>25.84</v>
      </c>
      <c r="N78" s="60">
        <v>28.9</v>
      </c>
      <c r="O78" s="60">
        <v>0</v>
      </c>
      <c r="P78" s="60">
        <v>0.8</v>
      </c>
      <c r="Q78" s="60">
        <v>17.91</v>
      </c>
      <c r="R78" s="198"/>
      <c r="S78" s="198"/>
      <c r="T78" s="198"/>
      <c r="U78" s="198"/>
    </row>
    <row r="79" spans="1:21" s="12" customFormat="1" x14ac:dyDescent="0.25">
      <c r="A79" s="201" t="s">
        <v>2910</v>
      </c>
      <c r="B79" s="60">
        <v>1.3</v>
      </c>
      <c r="C79" s="60">
        <v>53.91</v>
      </c>
      <c r="D79" s="60">
        <v>29.75</v>
      </c>
      <c r="E79" s="60">
        <v>11.77</v>
      </c>
      <c r="F79" s="60">
        <v>42.18</v>
      </c>
      <c r="G79" s="60">
        <v>71.53</v>
      </c>
      <c r="H79" s="60">
        <v>37.880000000000003</v>
      </c>
      <c r="I79" s="60">
        <v>0.49</v>
      </c>
      <c r="J79" s="60">
        <v>0.11</v>
      </c>
      <c r="K79" s="60">
        <v>246.46</v>
      </c>
      <c r="L79" s="60">
        <v>31.22</v>
      </c>
      <c r="M79" s="60">
        <v>25.81</v>
      </c>
      <c r="N79" s="60">
        <v>17.5</v>
      </c>
      <c r="O79" s="60">
        <v>0</v>
      </c>
      <c r="P79" s="60">
        <v>0.82</v>
      </c>
      <c r="Q79" s="60">
        <v>18.29</v>
      </c>
      <c r="R79" s="198"/>
      <c r="S79" s="198"/>
      <c r="T79" s="198"/>
      <c r="U79" s="198"/>
    </row>
    <row r="80" spans="1:21" s="12" customFormat="1" x14ac:dyDescent="0.25">
      <c r="A80" s="201" t="s">
        <v>2911</v>
      </c>
      <c r="B80" s="60">
        <v>1.38</v>
      </c>
      <c r="C80" s="60">
        <v>61.48</v>
      </c>
      <c r="D80" s="60">
        <v>33.99</v>
      </c>
      <c r="E80" s="60">
        <v>16.170000000000002</v>
      </c>
      <c r="F80" s="60">
        <v>38.06</v>
      </c>
      <c r="G80" s="60">
        <v>79.69</v>
      </c>
      <c r="H80" s="60">
        <v>39.01</v>
      </c>
      <c r="I80" s="60">
        <v>0.5</v>
      </c>
      <c r="J80" s="60">
        <v>0.23</v>
      </c>
      <c r="K80" s="60">
        <v>236.86</v>
      </c>
      <c r="L80" s="60">
        <v>30.79</v>
      </c>
      <c r="M80" s="60">
        <v>26.52</v>
      </c>
      <c r="N80" s="60">
        <v>8.6999999999999993</v>
      </c>
      <c r="O80" s="60">
        <v>0</v>
      </c>
      <c r="P80" s="60">
        <v>0.91</v>
      </c>
      <c r="Q80" s="60">
        <v>18.84</v>
      </c>
      <c r="R80" s="198"/>
      <c r="S80" s="198"/>
      <c r="T80" s="198"/>
      <c r="U80" s="198"/>
    </row>
    <row r="81" spans="1:26" s="12" customFormat="1" x14ac:dyDescent="0.25">
      <c r="A81" s="201" t="s">
        <v>2912</v>
      </c>
      <c r="B81" s="60">
        <v>14.77</v>
      </c>
      <c r="C81" s="60">
        <v>101.71</v>
      </c>
      <c r="D81" s="60">
        <v>66.94</v>
      </c>
      <c r="E81" s="60">
        <v>13.35</v>
      </c>
      <c r="F81" s="60">
        <v>15.7</v>
      </c>
      <c r="G81" s="60">
        <v>79.69</v>
      </c>
      <c r="H81" s="60">
        <v>39.01</v>
      </c>
      <c r="I81" s="60">
        <v>0.51</v>
      </c>
      <c r="J81" s="60">
        <v>0.13</v>
      </c>
      <c r="K81" s="60">
        <v>51.13</v>
      </c>
      <c r="L81" s="60">
        <v>29.85</v>
      </c>
      <c r="M81" s="60">
        <v>31.84</v>
      </c>
      <c r="N81" s="60">
        <v>6</v>
      </c>
      <c r="O81" s="60">
        <v>0</v>
      </c>
      <c r="P81" s="60">
        <v>1.31</v>
      </c>
      <c r="Q81" s="60">
        <v>18.13</v>
      </c>
      <c r="R81" s="198"/>
      <c r="S81" s="198"/>
      <c r="T81" s="198"/>
      <c r="U81" s="198"/>
    </row>
    <row r="82" spans="1:26" s="12" customFormat="1" x14ac:dyDescent="0.25">
      <c r="A82" s="201" t="s">
        <v>2913</v>
      </c>
      <c r="B82" s="60">
        <v>19.04</v>
      </c>
      <c r="C82" s="60">
        <v>115.17</v>
      </c>
      <c r="D82" s="60">
        <v>77.790000000000006</v>
      </c>
      <c r="E82" s="60">
        <v>11.65</v>
      </c>
      <c r="F82" s="60">
        <v>7</v>
      </c>
      <c r="G82" s="60">
        <v>79.69</v>
      </c>
      <c r="H82" s="60">
        <v>39.01</v>
      </c>
      <c r="I82" s="60">
        <v>0.56000000000000005</v>
      </c>
      <c r="J82" s="60">
        <v>0.36</v>
      </c>
      <c r="K82" s="60">
        <v>97.34</v>
      </c>
      <c r="L82" s="60">
        <v>28.72</v>
      </c>
      <c r="M82" s="60">
        <v>34.520000000000003</v>
      </c>
      <c r="N82" s="60">
        <v>4.5999999999999996</v>
      </c>
      <c r="O82" s="60">
        <v>0</v>
      </c>
      <c r="P82" s="60">
        <v>1.23</v>
      </c>
      <c r="Q82" s="60">
        <v>18.2</v>
      </c>
      <c r="R82" s="198"/>
      <c r="S82" s="198"/>
      <c r="T82" s="198"/>
      <c r="U82" s="198"/>
    </row>
    <row r="83" spans="1:26" s="12" customFormat="1" x14ac:dyDescent="0.25">
      <c r="A83" s="201" t="s">
        <v>2914</v>
      </c>
      <c r="B83" s="60">
        <v>9.35</v>
      </c>
      <c r="C83" s="60">
        <v>115.32</v>
      </c>
      <c r="D83" s="60">
        <v>70.099999999999994</v>
      </c>
      <c r="E83" s="60">
        <v>11.4</v>
      </c>
      <c r="F83" s="60">
        <v>8.58</v>
      </c>
      <c r="G83" s="60">
        <v>99.52</v>
      </c>
      <c r="H83" s="60">
        <v>40.89</v>
      </c>
      <c r="I83" s="60">
        <v>0.6</v>
      </c>
      <c r="J83" s="60">
        <v>0.05</v>
      </c>
      <c r="K83" s="60">
        <v>121.26</v>
      </c>
      <c r="L83" s="60">
        <v>27.84</v>
      </c>
      <c r="M83" s="60">
        <v>40.03</v>
      </c>
      <c r="N83" s="60">
        <v>4.8</v>
      </c>
      <c r="O83" s="60">
        <v>0</v>
      </c>
      <c r="P83" s="60">
        <v>1.1299999999999999</v>
      </c>
      <c r="Q83" s="60">
        <v>19.600000000000001</v>
      </c>
      <c r="R83" s="198"/>
      <c r="S83" s="198"/>
      <c r="T83" s="198"/>
      <c r="U83" s="198"/>
    </row>
    <row r="84" spans="1:26" s="12" customFormat="1" x14ac:dyDescent="0.25">
      <c r="A84" s="201" t="s">
        <v>2915</v>
      </c>
      <c r="B84" s="60">
        <v>53.16</v>
      </c>
      <c r="C84" s="60">
        <v>123.06</v>
      </c>
      <c r="D84" s="60">
        <v>109.5</v>
      </c>
      <c r="E84" s="60">
        <v>12.42</v>
      </c>
      <c r="F84" s="60">
        <v>6.34</v>
      </c>
      <c r="G84" s="60">
        <v>108.95</v>
      </c>
      <c r="H84" s="60">
        <v>41.83</v>
      </c>
      <c r="I84" s="60">
        <v>0.64</v>
      </c>
      <c r="J84" s="60">
        <v>7.0000000000000007E-2</v>
      </c>
      <c r="K84" s="60">
        <v>54.18</v>
      </c>
      <c r="L84" s="60">
        <v>27.23</v>
      </c>
      <c r="M84" s="60">
        <v>43.52</v>
      </c>
      <c r="N84" s="60">
        <v>4.5999999999999996</v>
      </c>
      <c r="O84" s="60">
        <v>0</v>
      </c>
      <c r="P84" s="60">
        <v>1.72</v>
      </c>
      <c r="Q84" s="60">
        <v>19.57</v>
      </c>
      <c r="R84" s="198"/>
      <c r="S84" s="198"/>
      <c r="T84" s="198"/>
      <c r="U84" s="198"/>
    </row>
    <row r="85" spans="1:26" s="12" customFormat="1" x14ac:dyDescent="0.25">
      <c r="A85" s="201" t="s">
        <v>2916</v>
      </c>
      <c r="B85" s="60">
        <v>25.9</v>
      </c>
      <c r="C85" s="60">
        <v>119.5</v>
      </c>
      <c r="D85" s="60">
        <v>85.68</v>
      </c>
      <c r="E85" s="60">
        <v>11.66</v>
      </c>
      <c r="F85" s="60">
        <v>5.82</v>
      </c>
      <c r="G85" s="60">
        <v>108.95</v>
      </c>
      <c r="H85" s="60">
        <v>41.83</v>
      </c>
      <c r="I85" s="60">
        <v>0.63</v>
      </c>
      <c r="J85" s="60">
        <v>0.16</v>
      </c>
      <c r="K85" s="60">
        <v>91.79</v>
      </c>
      <c r="L85" s="60">
        <v>26.85</v>
      </c>
      <c r="M85" s="60">
        <v>43.88</v>
      </c>
      <c r="N85" s="60">
        <v>4.0999999999999996</v>
      </c>
      <c r="O85" s="60">
        <v>0</v>
      </c>
      <c r="P85" s="60">
        <v>1.7</v>
      </c>
      <c r="Q85" s="60">
        <v>20.67</v>
      </c>
      <c r="R85" s="198"/>
      <c r="S85" s="198"/>
      <c r="T85" s="198"/>
      <c r="U85" s="198"/>
    </row>
    <row r="86" spans="1:26" s="12" customFormat="1" x14ac:dyDescent="0.25">
      <c r="A86" s="201" t="s">
        <v>2917</v>
      </c>
      <c r="B86" s="60">
        <v>17.57</v>
      </c>
      <c r="C86" s="60">
        <v>108.17</v>
      </c>
      <c r="D86" s="60">
        <v>72.739999999999995</v>
      </c>
      <c r="E86" s="60">
        <v>10.17</v>
      </c>
      <c r="F86" s="60">
        <v>8.7899999999999991</v>
      </c>
      <c r="G86" s="60">
        <v>108.95</v>
      </c>
      <c r="H86" s="60">
        <v>41.83</v>
      </c>
      <c r="I86" s="60">
        <v>0.73</v>
      </c>
      <c r="J86" s="60">
        <v>0.4</v>
      </c>
      <c r="K86" s="60">
        <v>76.81</v>
      </c>
      <c r="L86" s="60">
        <v>28.24</v>
      </c>
      <c r="M86" s="60">
        <v>34.880000000000003</v>
      </c>
      <c r="N86" s="60">
        <v>2.4</v>
      </c>
      <c r="O86" s="60">
        <v>0</v>
      </c>
      <c r="P86" s="60">
        <v>1.48</v>
      </c>
      <c r="Q86" s="60">
        <v>22.9</v>
      </c>
      <c r="R86" s="198"/>
      <c r="S86" s="198"/>
      <c r="T86" s="198"/>
      <c r="U86" s="198"/>
    </row>
    <row r="87" spans="1:26" s="12" customFormat="1" x14ac:dyDescent="0.25">
      <c r="A87" s="201" t="s">
        <v>2918</v>
      </c>
      <c r="B87" s="60">
        <v>15.65</v>
      </c>
      <c r="C87" s="60">
        <v>110.35</v>
      </c>
      <c r="D87" s="60">
        <v>72.41</v>
      </c>
      <c r="E87" s="60">
        <v>9.65</v>
      </c>
      <c r="F87" s="60">
        <v>7.75</v>
      </c>
      <c r="G87" s="60">
        <v>117.09</v>
      </c>
      <c r="H87" s="60">
        <v>46.26</v>
      </c>
      <c r="I87" s="60">
        <v>0.75</v>
      </c>
      <c r="J87" s="60">
        <v>0.04</v>
      </c>
      <c r="K87" s="60">
        <v>157.34</v>
      </c>
      <c r="L87" s="60">
        <v>27.69</v>
      </c>
      <c r="M87" s="60">
        <v>37.909999999999997</v>
      </c>
      <c r="N87" s="60">
        <v>4.5</v>
      </c>
      <c r="O87" s="60">
        <v>0</v>
      </c>
      <c r="P87" s="60">
        <v>1.5</v>
      </c>
      <c r="Q87" s="60">
        <v>25.11</v>
      </c>
      <c r="R87" s="198"/>
      <c r="S87" s="198"/>
      <c r="T87" s="198"/>
      <c r="U87" s="198"/>
    </row>
    <row r="88" spans="1:26" s="12" customFormat="1" x14ac:dyDescent="0.25">
      <c r="A88" s="201" t="s">
        <v>2919</v>
      </c>
      <c r="B88" s="60">
        <v>23.48</v>
      </c>
      <c r="C88" s="60">
        <v>116.76</v>
      </c>
      <c r="D88" s="60">
        <v>82.22</v>
      </c>
      <c r="E88" s="60">
        <v>3.9</v>
      </c>
      <c r="F88" s="60">
        <v>5.13</v>
      </c>
      <c r="G88" s="60">
        <v>121.16</v>
      </c>
      <c r="H88" s="60">
        <v>48.47</v>
      </c>
      <c r="I88" s="60">
        <v>0.71</v>
      </c>
      <c r="J88" s="60">
        <v>0.12</v>
      </c>
      <c r="K88" s="60">
        <v>281.60000000000002</v>
      </c>
      <c r="L88" s="60">
        <v>27.17</v>
      </c>
      <c r="M88" s="60">
        <v>37.83</v>
      </c>
      <c r="N88" s="60">
        <v>4.2</v>
      </c>
      <c r="O88" s="60">
        <v>0</v>
      </c>
      <c r="P88" s="60">
        <v>1.5</v>
      </c>
      <c r="Q88" s="60">
        <v>26.45</v>
      </c>
      <c r="R88" s="198"/>
      <c r="S88" s="198"/>
      <c r="T88" s="198"/>
      <c r="U88" s="198"/>
    </row>
    <row r="89" spans="1:26" s="12" customFormat="1" x14ac:dyDescent="0.25">
      <c r="A89" s="201" t="s">
        <v>2920</v>
      </c>
      <c r="B89" s="60">
        <v>26.15</v>
      </c>
      <c r="C89" s="60">
        <v>114.19</v>
      </c>
      <c r="D89" s="60">
        <v>82.95</v>
      </c>
      <c r="E89" s="60">
        <v>6.06</v>
      </c>
      <c r="F89" s="60">
        <v>4.54</v>
      </c>
      <c r="G89" s="60">
        <v>121.16</v>
      </c>
      <c r="H89" s="60">
        <v>48.47</v>
      </c>
      <c r="I89" s="60">
        <v>0.73</v>
      </c>
      <c r="J89" s="60">
        <v>0.16</v>
      </c>
      <c r="K89" s="60">
        <v>5.17</v>
      </c>
      <c r="L89" s="60">
        <v>26.32</v>
      </c>
      <c r="M89" s="60">
        <v>44.08</v>
      </c>
      <c r="N89" s="60">
        <v>4.9000000000000004</v>
      </c>
      <c r="O89" s="60">
        <v>0</v>
      </c>
      <c r="P89" s="60">
        <v>1.6</v>
      </c>
      <c r="Q89" s="60">
        <v>27.42</v>
      </c>
      <c r="R89" s="198"/>
      <c r="S89" s="198"/>
      <c r="T89" s="198"/>
      <c r="U89" s="198"/>
    </row>
    <row r="90" spans="1:26" s="12" customFormat="1" x14ac:dyDescent="0.25">
      <c r="A90" s="201" t="s">
        <v>2921</v>
      </c>
      <c r="B90" s="60">
        <v>29.47</v>
      </c>
      <c r="C90" s="60">
        <v>121.95</v>
      </c>
      <c r="D90" s="60">
        <v>89.89</v>
      </c>
      <c r="E90" s="60">
        <v>5.47</v>
      </c>
      <c r="F90" s="60">
        <v>4.3899999999999997</v>
      </c>
      <c r="G90" s="60">
        <v>121.16</v>
      </c>
      <c r="H90" s="60">
        <v>48.47</v>
      </c>
      <c r="I90" s="60">
        <v>0.75</v>
      </c>
      <c r="J90" s="60">
        <v>0.02</v>
      </c>
      <c r="K90" s="60">
        <v>241.78</v>
      </c>
      <c r="L90" s="60">
        <v>25.73</v>
      </c>
      <c r="M90" s="60">
        <v>47.39</v>
      </c>
      <c r="N90" s="60">
        <v>4.3</v>
      </c>
      <c r="O90" s="60">
        <v>0</v>
      </c>
      <c r="P90" s="60">
        <v>1.95</v>
      </c>
      <c r="Q90" s="60">
        <v>28.52</v>
      </c>
      <c r="R90" s="198"/>
      <c r="S90" s="198"/>
      <c r="T90" s="198"/>
      <c r="U90" s="198"/>
    </row>
    <row r="91" spans="1:26" s="12" customFormat="1" x14ac:dyDescent="0.25">
      <c r="A91" s="201" t="s">
        <v>2922</v>
      </c>
      <c r="B91" s="60">
        <v>48.48</v>
      </c>
      <c r="C91" s="60">
        <v>127.52</v>
      </c>
      <c r="D91" s="60">
        <v>108.21</v>
      </c>
      <c r="E91" s="60">
        <v>6.6</v>
      </c>
      <c r="F91" s="60">
        <v>4.3</v>
      </c>
      <c r="G91" s="60">
        <v>143.03</v>
      </c>
      <c r="H91" s="60">
        <v>53.42</v>
      </c>
      <c r="I91" s="60">
        <v>0.77</v>
      </c>
      <c r="J91" s="60">
        <v>0.05</v>
      </c>
      <c r="K91" s="60">
        <v>333.35</v>
      </c>
      <c r="L91" s="60">
        <v>26.06</v>
      </c>
      <c r="M91" s="60">
        <v>45.04</v>
      </c>
      <c r="N91" s="60">
        <v>3.8</v>
      </c>
      <c r="O91" s="60">
        <v>0</v>
      </c>
      <c r="P91" s="60">
        <v>2.4</v>
      </c>
      <c r="Q91" s="60">
        <v>28.47</v>
      </c>
      <c r="R91" s="198"/>
      <c r="S91" s="198"/>
      <c r="T91" s="198"/>
      <c r="U91" s="198"/>
    </row>
    <row r="92" spans="1:26" s="12" customFormat="1" x14ac:dyDescent="0.25">
      <c r="A92" s="201" t="s">
        <v>2923</v>
      </c>
      <c r="B92" s="60">
        <v>50.34</v>
      </c>
      <c r="C92" s="60">
        <v>129.25</v>
      </c>
      <c r="D92" s="60">
        <v>110.66</v>
      </c>
      <c r="E92" s="60">
        <v>4.95</v>
      </c>
      <c r="F92" s="60">
        <v>4.3</v>
      </c>
      <c r="G92" s="60">
        <v>153.43</v>
      </c>
      <c r="H92" s="60">
        <v>55.89</v>
      </c>
      <c r="I92" s="60">
        <v>0.95</v>
      </c>
      <c r="J92" s="60">
        <v>7.0000000000000007E-2</v>
      </c>
      <c r="K92" s="60">
        <v>134.28</v>
      </c>
      <c r="L92" s="60">
        <v>25.75</v>
      </c>
      <c r="M92" s="60">
        <v>46.53</v>
      </c>
      <c r="N92" s="60">
        <v>4.3</v>
      </c>
      <c r="O92" s="60">
        <v>0</v>
      </c>
      <c r="P92" s="60">
        <v>2.4500000000000002</v>
      </c>
      <c r="Q92" s="60">
        <v>29.59</v>
      </c>
      <c r="R92" s="198"/>
      <c r="S92" s="198"/>
      <c r="T92" s="198"/>
      <c r="U92" s="198"/>
    </row>
    <row r="93" spans="1:26" s="12" customFormat="1" x14ac:dyDescent="0.25">
      <c r="A93" s="201" t="s">
        <v>2924</v>
      </c>
      <c r="B93" s="60">
        <v>76.16</v>
      </c>
      <c r="C93" s="60">
        <v>138.36000000000001</v>
      </c>
      <c r="D93" s="60">
        <v>136.38999999999999</v>
      </c>
      <c r="E93" s="60">
        <v>5.35</v>
      </c>
      <c r="F93" s="60">
        <v>4.3099999999999996</v>
      </c>
      <c r="G93" s="60">
        <v>153.43</v>
      </c>
      <c r="H93" s="60">
        <v>55.89</v>
      </c>
      <c r="I93" s="60">
        <v>0.97</v>
      </c>
      <c r="J93" s="60">
        <v>0.32</v>
      </c>
      <c r="K93" s="60">
        <v>111.72</v>
      </c>
      <c r="L93" s="60">
        <v>25.52</v>
      </c>
      <c r="M93" s="60">
        <v>50.82</v>
      </c>
      <c r="N93" s="60">
        <v>3.7</v>
      </c>
      <c r="O93" s="60">
        <v>0</v>
      </c>
      <c r="P93" s="60">
        <v>2.81</v>
      </c>
      <c r="Q93" s="60">
        <v>28.61</v>
      </c>
      <c r="R93" s="198"/>
      <c r="S93" s="198"/>
      <c r="T93" s="198"/>
      <c r="U93" s="198"/>
    </row>
    <row r="94" spans="1:26" s="12" customFormat="1" x14ac:dyDescent="0.25">
      <c r="A94" s="201" t="s">
        <v>2925</v>
      </c>
      <c r="B94" s="60">
        <v>99.7</v>
      </c>
      <c r="C94" s="60">
        <v>142.47</v>
      </c>
      <c r="D94" s="60">
        <v>157.53</v>
      </c>
      <c r="E94" s="60">
        <v>7.29</v>
      </c>
      <c r="F94" s="60">
        <v>4.3</v>
      </c>
      <c r="G94" s="60">
        <v>153.43</v>
      </c>
      <c r="H94" s="60">
        <v>55.89</v>
      </c>
      <c r="I94" s="60">
        <v>1.08</v>
      </c>
      <c r="J94" s="60">
        <v>0.22</v>
      </c>
      <c r="K94" s="60">
        <v>64.510000000000005</v>
      </c>
      <c r="L94" s="60">
        <v>25.31</v>
      </c>
      <c r="M94" s="60">
        <v>52.36</v>
      </c>
      <c r="N94" s="60">
        <v>4.0999999999999996</v>
      </c>
      <c r="O94" s="60">
        <v>0</v>
      </c>
      <c r="P94" s="60">
        <v>3.34</v>
      </c>
      <c r="Q94" s="60">
        <v>25.81</v>
      </c>
      <c r="R94" s="198"/>
      <c r="S94" s="198"/>
      <c r="T94" s="198"/>
      <c r="U94" s="198"/>
    </row>
    <row r="95" spans="1:26" s="12" customFormat="1" x14ac:dyDescent="0.25">
      <c r="A95" s="201" t="s">
        <v>2926</v>
      </c>
      <c r="B95" s="60">
        <v>75.38</v>
      </c>
      <c r="C95" s="60">
        <v>136.66</v>
      </c>
      <c r="D95" s="60">
        <v>134.83000000000001</v>
      </c>
      <c r="E95" s="60">
        <v>6.98</v>
      </c>
      <c r="F95" s="60">
        <v>4.3099999999999996</v>
      </c>
      <c r="G95" s="60">
        <v>182.96</v>
      </c>
      <c r="H95" s="60">
        <v>63.67</v>
      </c>
      <c r="I95" s="60">
        <v>1.32</v>
      </c>
      <c r="J95" s="60">
        <v>0.12</v>
      </c>
      <c r="K95" s="60">
        <v>244.72</v>
      </c>
      <c r="L95" s="60">
        <v>25.24</v>
      </c>
      <c r="M95" s="60">
        <v>51.26</v>
      </c>
      <c r="N95" s="60">
        <v>4.0999999999999996</v>
      </c>
      <c r="O95" s="60">
        <v>0</v>
      </c>
      <c r="P95" s="60">
        <v>2.99</v>
      </c>
      <c r="Q95" s="60">
        <v>28.71</v>
      </c>
      <c r="R95" s="198"/>
      <c r="S95" s="198"/>
      <c r="T95" s="198"/>
      <c r="U95" s="198"/>
    </row>
    <row r="96" spans="1:26" s="12" customFormat="1" x14ac:dyDescent="0.25">
      <c r="A96" s="201" t="s">
        <v>2927</v>
      </c>
      <c r="B96" s="60">
        <v>82.81</v>
      </c>
      <c r="C96" s="60">
        <v>138.26</v>
      </c>
      <c r="D96" s="60">
        <v>141.66999999999999</v>
      </c>
      <c r="E96" s="60">
        <v>6.22</v>
      </c>
      <c r="F96" s="60">
        <v>4.3499999999999996</v>
      </c>
      <c r="G96" s="60">
        <v>196.99</v>
      </c>
      <c r="H96" s="60">
        <v>67.55</v>
      </c>
      <c r="I96" s="60">
        <v>1.38</v>
      </c>
      <c r="J96" s="60">
        <v>0.05</v>
      </c>
      <c r="K96" s="60">
        <v>319.75</v>
      </c>
      <c r="L96" s="60">
        <v>24.45</v>
      </c>
      <c r="M96" s="60">
        <v>54.24</v>
      </c>
      <c r="N96" s="60">
        <v>4.5</v>
      </c>
      <c r="O96" s="60">
        <v>0</v>
      </c>
      <c r="P96" s="60">
        <v>3.27</v>
      </c>
      <c r="Q96" s="60">
        <v>29.82</v>
      </c>
      <c r="R96" s="198"/>
      <c r="S96" s="198"/>
      <c r="T96" s="198"/>
      <c r="U96" s="198"/>
      <c r="Z96" s="109"/>
    </row>
    <row r="97" spans="1:33" s="12" customFormat="1" x14ac:dyDescent="0.25">
      <c r="A97" s="201" t="s">
        <v>2928</v>
      </c>
      <c r="B97" s="60">
        <v>89.32</v>
      </c>
      <c r="C97" s="60">
        <v>134.07</v>
      </c>
      <c r="D97" s="60">
        <v>144.58000000000001</v>
      </c>
      <c r="E97" s="60">
        <v>6.02</v>
      </c>
      <c r="F97" s="60">
        <v>4.3600000000000003</v>
      </c>
      <c r="G97" s="60">
        <v>196.99</v>
      </c>
      <c r="H97" s="60">
        <v>67.55</v>
      </c>
      <c r="I97" s="60">
        <v>1.38</v>
      </c>
      <c r="J97" s="60">
        <v>0.33</v>
      </c>
      <c r="K97" s="60">
        <v>214.71</v>
      </c>
      <c r="L97" s="60">
        <v>25.02</v>
      </c>
      <c r="M97" s="60">
        <v>48.51</v>
      </c>
      <c r="N97" s="60">
        <v>2.9</v>
      </c>
      <c r="O97" s="60">
        <v>0</v>
      </c>
      <c r="P97" s="60">
        <v>3.22</v>
      </c>
      <c r="Q97" s="60">
        <v>30.64</v>
      </c>
      <c r="R97" s="198"/>
      <c r="S97" s="198"/>
      <c r="T97" s="198"/>
      <c r="U97" s="198"/>
    </row>
    <row r="98" spans="1:33" s="12" customFormat="1" x14ac:dyDescent="0.25">
      <c r="A98" s="201" t="s">
        <v>2929</v>
      </c>
      <c r="B98" s="60">
        <v>96.39</v>
      </c>
      <c r="C98" s="60">
        <v>136.62</v>
      </c>
      <c r="D98" s="60">
        <v>151.65</v>
      </c>
      <c r="E98" s="60">
        <v>6.63</v>
      </c>
      <c r="F98" s="60">
        <v>4.38</v>
      </c>
      <c r="G98" s="60">
        <v>196.99</v>
      </c>
      <c r="H98" s="60">
        <v>67.55</v>
      </c>
      <c r="I98" s="60">
        <v>1.44</v>
      </c>
      <c r="J98" s="60">
        <v>0.13</v>
      </c>
      <c r="K98" s="60">
        <v>94.77</v>
      </c>
      <c r="L98" s="60">
        <v>25.02</v>
      </c>
      <c r="M98" s="60">
        <v>47.99</v>
      </c>
      <c r="N98" s="60">
        <v>4.4000000000000004</v>
      </c>
      <c r="O98" s="60">
        <v>0</v>
      </c>
      <c r="P98" s="60">
        <v>3.21</v>
      </c>
      <c r="Q98" s="60">
        <v>31.16</v>
      </c>
      <c r="R98" s="198"/>
      <c r="S98" s="198"/>
      <c r="T98" s="198"/>
      <c r="U98" s="198"/>
    </row>
    <row r="99" spans="1:33" s="12" customFormat="1" x14ac:dyDescent="0.25">
      <c r="A99" s="201" t="s">
        <v>2930</v>
      </c>
      <c r="B99" s="60">
        <v>107.89</v>
      </c>
      <c r="C99" s="60">
        <v>135.99</v>
      </c>
      <c r="D99" s="60">
        <v>160.53</v>
      </c>
      <c r="E99" s="60">
        <v>6.25</v>
      </c>
      <c r="F99" s="60">
        <v>4.3099999999999996</v>
      </c>
      <c r="G99" s="60">
        <v>186.54</v>
      </c>
      <c r="H99" s="60">
        <v>71.56</v>
      </c>
      <c r="I99" s="60">
        <v>1.45</v>
      </c>
      <c r="J99" s="60">
        <v>0.11</v>
      </c>
      <c r="K99" s="60">
        <v>311.86</v>
      </c>
      <c r="L99" s="60">
        <v>24.27</v>
      </c>
      <c r="M99" s="60">
        <v>51.32</v>
      </c>
      <c r="N99" s="60">
        <v>4.5999999999999996</v>
      </c>
      <c r="O99" s="60">
        <v>0</v>
      </c>
      <c r="P99" s="60">
        <v>3.21</v>
      </c>
      <c r="Q99" s="60">
        <v>31.77</v>
      </c>
      <c r="R99" s="198"/>
      <c r="S99" s="198"/>
      <c r="T99" s="198"/>
      <c r="U99" s="198"/>
    </row>
    <row r="100" spans="1:33" s="12" customFormat="1" x14ac:dyDescent="0.25">
      <c r="A100" s="201" t="s">
        <v>2931</v>
      </c>
      <c r="B100" s="60">
        <v>97.13</v>
      </c>
      <c r="C100" s="60">
        <v>130.26</v>
      </c>
      <c r="D100" s="60">
        <v>148.74</v>
      </c>
      <c r="E100" s="60">
        <v>5.25</v>
      </c>
      <c r="F100" s="60">
        <v>4.3</v>
      </c>
      <c r="G100" s="60">
        <v>181.57</v>
      </c>
      <c r="H100" s="60">
        <v>73.56</v>
      </c>
      <c r="I100" s="60">
        <v>1.45</v>
      </c>
      <c r="J100" s="60">
        <v>0.12</v>
      </c>
      <c r="K100" s="60">
        <v>34.979999999999997</v>
      </c>
      <c r="L100" s="60">
        <v>23.56</v>
      </c>
      <c r="M100" s="60">
        <v>56.65</v>
      </c>
      <c r="N100" s="60">
        <v>4.3</v>
      </c>
      <c r="O100" s="60">
        <v>0</v>
      </c>
      <c r="P100" s="60">
        <v>3.22</v>
      </c>
      <c r="Q100" s="60">
        <v>32.76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 t="s">
        <v>2932</v>
      </c>
      <c r="B101" s="60">
        <v>96.48</v>
      </c>
      <c r="C101" s="60">
        <v>127.92</v>
      </c>
      <c r="D101" s="60">
        <v>146.91999999999999</v>
      </c>
      <c r="E101" s="60">
        <v>5.14</v>
      </c>
      <c r="F101" s="60">
        <v>4.3099999999999996</v>
      </c>
      <c r="G101" s="60">
        <v>181.57</v>
      </c>
      <c r="H101" s="60">
        <v>73.56</v>
      </c>
      <c r="I101" s="60">
        <v>1.47</v>
      </c>
      <c r="J101" s="60">
        <v>0.06</v>
      </c>
      <c r="K101" s="60">
        <v>342.67</v>
      </c>
      <c r="L101" s="60">
        <v>23.32</v>
      </c>
      <c r="M101" s="60">
        <v>54.74</v>
      </c>
      <c r="N101" s="60">
        <v>4.7</v>
      </c>
      <c r="O101" s="60">
        <v>0</v>
      </c>
      <c r="P101" s="60">
        <v>3.2</v>
      </c>
      <c r="Q101" s="60">
        <v>34.590000000000003</v>
      </c>
      <c r="R101" s="198"/>
      <c r="S101" s="198"/>
      <c r="T101" s="198"/>
      <c r="U101" s="198"/>
    </row>
    <row r="102" spans="1:33" s="12" customFormat="1" x14ac:dyDescent="0.25">
      <c r="A102" s="201" t="s">
        <v>2933</v>
      </c>
      <c r="B102" s="60">
        <v>103.77</v>
      </c>
      <c r="C102" s="60">
        <v>128.07</v>
      </c>
      <c r="D102" s="60">
        <v>152.85</v>
      </c>
      <c r="E102" s="60">
        <v>4.75</v>
      </c>
      <c r="F102" s="60">
        <v>4.3</v>
      </c>
      <c r="G102" s="60">
        <v>181.57</v>
      </c>
      <c r="H102" s="60">
        <v>73.56</v>
      </c>
      <c r="I102" s="60">
        <v>1.47</v>
      </c>
      <c r="J102" s="60">
        <v>0.1</v>
      </c>
      <c r="K102" s="60">
        <v>280.16000000000003</v>
      </c>
      <c r="L102" s="60">
        <v>23.2</v>
      </c>
      <c r="M102" s="60">
        <v>52.58</v>
      </c>
      <c r="N102" s="60">
        <v>4.3</v>
      </c>
      <c r="O102" s="60">
        <v>0</v>
      </c>
      <c r="P102" s="60">
        <v>3.28</v>
      </c>
      <c r="Q102" s="60">
        <v>36.32</v>
      </c>
      <c r="R102" s="198"/>
      <c r="S102" s="198"/>
      <c r="T102" s="198"/>
      <c r="U102" s="198"/>
    </row>
    <row r="103" spans="1:33" s="12" customFormat="1" x14ac:dyDescent="0.25">
      <c r="A103" s="201" t="s">
        <v>2934</v>
      </c>
      <c r="B103" s="60">
        <v>107.46</v>
      </c>
      <c r="C103" s="60">
        <v>127.36</v>
      </c>
      <c r="D103" s="60">
        <v>155.41999999999999</v>
      </c>
      <c r="E103" s="60">
        <v>5.04</v>
      </c>
      <c r="F103" s="60">
        <v>4.3</v>
      </c>
      <c r="G103" s="60">
        <v>176.67</v>
      </c>
      <c r="H103" s="60">
        <v>69.150000000000006</v>
      </c>
      <c r="I103" s="60">
        <v>1.47</v>
      </c>
      <c r="J103" s="60">
        <v>0.13</v>
      </c>
      <c r="K103" s="60">
        <v>44.82</v>
      </c>
      <c r="L103" s="60">
        <v>22.74</v>
      </c>
      <c r="M103" s="60">
        <v>57.9</v>
      </c>
      <c r="N103" s="60">
        <v>4.5999999999999996</v>
      </c>
      <c r="O103" s="60">
        <v>0</v>
      </c>
      <c r="P103" s="60">
        <v>3.3</v>
      </c>
      <c r="Q103" s="60">
        <v>36.74</v>
      </c>
      <c r="R103" s="198"/>
      <c r="S103" s="198"/>
      <c r="T103" s="198"/>
      <c r="U103" s="198"/>
    </row>
    <row r="104" spans="1:33" s="12" customFormat="1" x14ac:dyDescent="0.25">
      <c r="A104" s="201" t="s">
        <v>2935</v>
      </c>
      <c r="B104" s="60">
        <v>112.13</v>
      </c>
      <c r="C104" s="60">
        <v>127.65</v>
      </c>
      <c r="D104" s="60">
        <v>159.33000000000001</v>
      </c>
      <c r="E104" s="60">
        <v>1.82</v>
      </c>
      <c r="F104" s="60">
        <v>4.3</v>
      </c>
      <c r="G104" s="60">
        <v>174.34</v>
      </c>
      <c r="H104" s="60">
        <v>66.95</v>
      </c>
      <c r="I104" s="60">
        <v>1.48</v>
      </c>
      <c r="J104" s="60">
        <v>0.18</v>
      </c>
      <c r="K104" s="60">
        <v>92.71</v>
      </c>
      <c r="L104" s="60">
        <v>22.58</v>
      </c>
      <c r="M104" s="60">
        <v>56.8</v>
      </c>
      <c r="N104" s="60">
        <v>4.0999999999999996</v>
      </c>
      <c r="O104" s="60">
        <v>0</v>
      </c>
      <c r="P104" s="60">
        <v>3.32</v>
      </c>
      <c r="Q104" s="60">
        <v>37.04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0.03</v>
      </c>
      <c r="C106" s="67">
        <f>MIN(C9:C104)</f>
        <v>36.71</v>
      </c>
      <c r="D106" s="67">
        <f t="shared" ref="D106:Q106" si="0">MIN(D9:D104)</f>
        <v>20.32</v>
      </c>
      <c r="E106" s="67">
        <f t="shared" si="0"/>
        <v>1.82</v>
      </c>
      <c r="F106" s="67">
        <f t="shared" si="0"/>
        <v>4.3</v>
      </c>
      <c r="G106" s="67">
        <f t="shared" si="0"/>
        <v>31.78</v>
      </c>
      <c r="H106" s="67">
        <f t="shared" si="0"/>
        <v>35.619999999999997</v>
      </c>
      <c r="I106" s="67">
        <f t="shared" si="0"/>
        <v>0.49</v>
      </c>
      <c r="J106" s="67">
        <f t="shared" si="0"/>
        <v>0.02</v>
      </c>
      <c r="K106" s="67">
        <f t="shared" si="0"/>
        <v>5.17</v>
      </c>
      <c r="L106" s="67">
        <f t="shared" si="0"/>
        <v>19.989999999999998</v>
      </c>
      <c r="M106" s="67">
        <f t="shared" si="0"/>
        <v>15.23</v>
      </c>
      <c r="N106" s="67">
        <f t="shared" si="0"/>
        <v>2.4</v>
      </c>
      <c r="O106" s="67">
        <f t="shared" si="0"/>
        <v>0</v>
      </c>
      <c r="P106" s="67">
        <f t="shared" si="0"/>
        <v>0.5</v>
      </c>
      <c r="Q106" s="67">
        <f t="shared" si="0"/>
        <v>16.3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112.13</v>
      </c>
      <c r="C107" s="66">
        <f t="shared" ref="C107:Q107" si="1">MAX(C9:C104)</f>
        <v>142.47</v>
      </c>
      <c r="D107" s="66">
        <f t="shared" si="1"/>
        <v>160.53</v>
      </c>
      <c r="E107" s="66">
        <f t="shared" si="1"/>
        <v>30.28</v>
      </c>
      <c r="F107" s="66">
        <f t="shared" si="1"/>
        <v>52</v>
      </c>
      <c r="G107" s="66">
        <f t="shared" si="1"/>
        <v>251.78</v>
      </c>
      <c r="H107" s="66">
        <f t="shared" si="1"/>
        <v>98.62</v>
      </c>
      <c r="I107" s="66">
        <f t="shared" si="1"/>
        <v>1.48</v>
      </c>
      <c r="J107" s="66">
        <f t="shared" si="1"/>
        <v>1.28</v>
      </c>
      <c r="K107" s="66">
        <f t="shared" si="1"/>
        <v>358.23</v>
      </c>
      <c r="L107" s="66">
        <f t="shared" si="1"/>
        <v>36.520000000000003</v>
      </c>
      <c r="M107" s="66">
        <f t="shared" si="1"/>
        <v>65.17</v>
      </c>
      <c r="N107" s="66">
        <f t="shared" si="1"/>
        <v>471.5</v>
      </c>
      <c r="O107" s="66">
        <f t="shared" si="1"/>
        <v>0</v>
      </c>
      <c r="P107" s="66">
        <f t="shared" si="1"/>
        <v>3.34</v>
      </c>
      <c r="Q107" s="66">
        <f t="shared" si="1"/>
        <v>37.04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27.421666666666667</v>
      </c>
      <c r="C108" s="67">
        <f t="shared" ref="C108:Q108" si="2">AVERAGE(C9:C104)</f>
        <v>103.58510416666667</v>
      </c>
      <c r="D108" s="67">
        <f t="shared" si="2"/>
        <v>78.788020833333306</v>
      </c>
      <c r="E108" s="67">
        <f t="shared" si="2"/>
        <v>8.3014583333333309</v>
      </c>
      <c r="F108" s="67">
        <f t="shared" si="2"/>
        <v>11.72791666666666</v>
      </c>
      <c r="G108" s="67">
        <f t="shared" si="2"/>
        <v>133.13677083333343</v>
      </c>
      <c r="H108" s="67">
        <f t="shared" si="2"/>
        <v>62.157916666666686</v>
      </c>
      <c r="I108" s="67">
        <f t="shared" si="2"/>
        <v>0.81177083333333344</v>
      </c>
      <c r="J108" s="67">
        <f t="shared" si="2"/>
        <v>0.27541666666666648</v>
      </c>
      <c r="K108" s="67">
        <f t="shared" si="2"/>
        <v>160.96635416666666</v>
      </c>
      <c r="L108" s="67">
        <f t="shared" si="2"/>
        <v>27.266770833333325</v>
      </c>
      <c r="M108" s="67">
        <f t="shared" si="2"/>
        <v>40.560833333333356</v>
      </c>
      <c r="N108" s="67">
        <f t="shared" si="2"/>
        <v>133.31979166666665</v>
      </c>
      <c r="O108" s="67">
        <f t="shared" si="2"/>
        <v>0</v>
      </c>
      <c r="P108" s="67">
        <f t="shared" si="2"/>
        <v>1.816770833333333</v>
      </c>
      <c r="Q108" s="67">
        <f t="shared" si="2"/>
        <v>27.104583333333327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29.25988609060342</v>
      </c>
      <c r="C109" s="67">
        <f t="shared" ref="C109:Q109" si="3">STDEV(C9:C104)</f>
        <v>28.548057653341456</v>
      </c>
      <c r="D109" s="67">
        <f t="shared" si="3"/>
        <v>35.753703926484654</v>
      </c>
      <c r="E109" s="67">
        <f t="shared" si="3"/>
        <v>5.0395246181751112</v>
      </c>
      <c r="F109" s="67">
        <f t="shared" si="3"/>
        <v>12.572012016393836</v>
      </c>
      <c r="G109" s="67">
        <f t="shared" si="3"/>
        <v>53.85915604112914</v>
      </c>
      <c r="H109" s="67">
        <f t="shared" si="3"/>
        <v>18.5792785490585</v>
      </c>
      <c r="I109" s="67">
        <f t="shared" si="3"/>
        <v>0.26251012929495954</v>
      </c>
      <c r="J109" s="67">
        <f t="shared" si="3"/>
        <v>0.26703406708219124</v>
      </c>
      <c r="K109" s="67">
        <f t="shared" si="3"/>
        <v>114.37442605315674</v>
      </c>
      <c r="L109" s="67">
        <f t="shared" si="3"/>
        <v>5.1976181781541273</v>
      </c>
      <c r="M109" s="67">
        <f t="shared" si="3"/>
        <v>15.518123168304355</v>
      </c>
      <c r="N109" s="67">
        <f t="shared" si="3"/>
        <v>176.97197674076847</v>
      </c>
      <c r="O109" s="67">
        <f t="shared" si="3"/>
        <v>0</v>
      </c>
      <c r="P109" s="67">
        <f t="shared" si="3"/>
        <v>0.72740272605840195</v>
      </c>
      <c r="Q109" s="67">
        <f t="shared" si="3"/>
        <v>5.1257327931396262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7" t="s">
        <v>215</v>
      </c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2"/>
  <sheetViews>
    <sheetView zoomScale="85" zoomScaleNormal="85" workbookViewId="0">
      <pane xSplit="1" ySplit="8" topLeftCell="B33" activePane="bottomRight" state="frozen"/>
      <selection activeCell="B2" sqref="B2"/>
      <selection pane="topRight" activeCell="B2" sqref="B2"/>
      <selection pane="bottomLeft" activeCell="B2" sqref="B2"/>
      <selection pane="bottomRight" activeCell="G46" sqref="G46"/>
    </sheetView>
  </sheetViews>
  <sheetFormatPr defaultColWidth="8.85546875" defaultRowHeight="15" x14ac:dyDescent="0.25"/>
  <cols>
    <col min="1" max="1" width="15.85546875" style="96" bestFit="1" customWidth="1"/>
    <col min="2" max="2" width="16.7109375" style="12" customWidth="1"/>
    <col min="3" max="3" width="9.85546875" style="12" customWidth="1"/>
    <col min="4" max="4" width="10.28515625" style="12" customWidth="1"/>
    <col min="5" max="5" width="10.5703125" style="12" customWidth="1"/>
    <col min="6" max="6" width="8.85546875" style="12"/>
    <col min="7" max="7" width="10.7109375" style="12" customWidth="1"/>
    <col min="8" max="8" width="12.28515625" style="12" customWidth="1"/>
    <col min="9" max="9" width="10.42578125" style="12" customWidth="1"/>
    <col min="10" max="10" width="8.85546875" style="12"/>
    <col min="11" max="11" width="9.5703125" style="12" customWidth="1"/>
    <col min="12" max="12" width="10.42578125" style="12" customWidth="1"/>
    <col min="13" max="13" width="10" style="12" customWidth="1"/>
    <col min="14" max="16" width="8.85546875" style="12"/>
    <col min="17" max="17" width="9.7109375" style="12" customWidth="1"/>
    <col min="18" max="19" width="8.85546875" style="12"/>
    <col min="20" max="20" width="10.28515625" style="12" customWidth="1"/>
    <col min="21" max="16384" width="8.85546875" style="12"/>
  </cols>
  <sheetData>
    <row r="1" spans="1:21" s="54" customFormat="1" ht="26.25" x14ac:dyDescent="0.25">
      <c r="A1" s="94" t="s">
        <v>30</v>
      </c>
      <c r="B1" s="57" t="s">
        <v>221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54" customFormat="1" x14ac:dyDescent="0.25">
      <c r="A2" s="94" t="s">
        <v>0</v>
      </c>
      <c r="B2" s="108" t="str">
        <f>$A$9</f>
        <v>01-02-2023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P2" s="104" t="s">
        <v>35</v>
      </c>
      <c r="Q2" s="13"/>
      <c r="R2" s="9" t="s">
        <v>36</v>
      </c>
      <c r="S2" s="12"/>
      <c r="T2" s="12"/>
      <c r="U2" s="12"/>
    </row>
    <row r="3" spans="1:21" s="54" customFormat="1" x14ac:dyDescent="0.25">
      <c r="A3" s="94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94"/>
      <c r="J3" s="28"/>
      <c r="K3" s="12"/>
      <c r="L3" s="11" t="s">
        <v>41</v>
      </c>
      <c r="M3" s="13"/>
      <c r="N3" s="6" t="s">
        <v>42</v>
      </c>
      <c r="O3" s="13"/>
      <c r="P3" s="106" t="s">
        <v>43</v>
      </c>
      <c r="Q3" s="13"/>
      <c r="R3" s="10" t="s">
        <v>43</v>
      </c>
      <c r="S3" s="12"/>
      <c r="T3" s="12"/>
      <c r="U3" s="12"/>
    </row>
    <row r="4" spans="1:21" s="54" customFormat="1" x14ac:dyDescent="0.25">
      <c r="A4" s="94" t="s">
        <v>44</v>
      </c>
      <c r="B4" s="13" t="s">
        <v>66</v>
      </c>
      <c r="C4" s="12"/>
      <c r="D4" s="11" t="s">
        <v>46</v>
      </c>
      <c r="E4" s="11"/>
      <c r="F4" s="11"/>
      <c r="G4" s="5" t="s">
        <v>47</v>
      </c>
      <c r="H4" s="28"/>
      <c r="I4" s="94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s="54" customFormat="1" x14ac:dyDescent="0.25">
      <c r="A5" s="94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54" customFormat="1" x14ac:dyDescent="0.25">
      <c r="A6" s="94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54" customFormat="1" x14ac:dyDescent="0.25">
      <c r="A7" s="95" t="s">
        <v>50</v>
      </c>
      <c r="B7" s="198" t="s">
        <v>222</v>
      </c>
      <c r="C7" s="198" t="s">
        <v>223</v>
      </c>
      <c r="D7" s="198" t="s">
        <v>224</v>
      </c>
      <c r="E7" s="198" t="s">
        <v>225</v>
      </c>
      <c r="F7" s="198" t="s">
        <v>226</v>
      </c>
      <c r="G7" s="198" t="s">
        <v>227</v>
      </c>
      <c r="H7" s="198" t="s">
        <v>228</v>
      </c>
      <c r="I7" s="198" t="s">
        <v>229</v>
      </c>
      <c r="J7" s="198" t="s">
        <v>230</v>
      </c>
      <c r="K7" s="198" t="s">
        <v>231</v>
      </c>
      <c r="L7" s="198" t="s">
        <v>232</v>
      </c>
      <c r="M7" s="198" t="s">
        <v>233</v>
      </c>
      <c r="N7" s="198" t="s">
        <v>234</v>
      </c>
      <c r="O7" s="198" t="s">
        <v>235</v>
      </c>
      <c r="P7" s="198" t="s">
        <v>236</v>
      </c>
      <c r="Q7" s="198" t="s">
        <v>237</v>
      </c>
      <c r="R7" s="196"/>
      <c r="S7" s="197"/>
      <c r="T7" s="196"/>
      <c r="U7" s="196"/>
    </row>
    <row r="8" spans="1:21" s="54" customFormat="1" x14ac:dyDescent="0.25">
      <c r="A8" s="95"/>
      <c r="B8" s="13" t="s">
        <v>51</v>
      </c>
      <c r="C8" s="13" t="s">
        <v>51</v>
      </c>
      <c r="D8" s="197" t="s">
        <v>340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38" t="s">
        <v>51</v>
      </c>
      <c r="R8" s="196"/>
      <c r="S8" s="197"/>
      <c r="T8" s="196"/>
      <c r="U8" s="196"/>
    </row>
    <row r="9" spans="1:21" x14ac:dyDescent="0.25">
      <c r="A9" s="94" t="str">
        <f>'01'!$B$2</f>
        <v>01-02-2023 00:15</v>
      </c>
      <c r="B9" s="61">
        <f>'01'!B108</f>
        <v>30.025729166666665</v>
      </c>
      <c r="C9" s="61">
        <f>'01'!C108</f>
        <v>93.192812500000016</v>
      </c>
      <c r="D9" s="61">
        <f>'01'!D108</f>
        <v>75.924062499999991</v>
      </c>
      <c r="E9" s="61">
        <f>'01'!E108</f>
        <v>6.6593750000000007</v>
      </c>
      <c r="F9" s="61">
        <f>'01'!F108</f>
        <v>5.5387499999999976</v>
      </c>
      <c r="G9" s="99">
        <f>'01'!$G$108</f>
        <v>67.020645161290346</v>
      </c>
      <c r="H9" s="61">
        <f>'01'!H108</f>
        <v>26.356559139784938</v>
      </c>
      <c r="I9" s="210" t="s">
        <v>36</v>
      </c>
      <c r="J9" s="61">
        <f>'01'!J108</f>
        <v>0.8222105263157895</v>
      </c>
      <c r="K9" s="61">
        <f>'01'!K108</f>
        <v>62.137916666666676</v>
      </c>
      <c r="L9" s="61">
        <f>'01'!L108</f>
        <v>23.818749999999994</v>
      </c>
      <c r="M9" s="61">
        <f>'01'!M108</f>
        <v>43.9375</v>
      </c>
      <c r="N9" s="61">
        <f>'01'!N108</f>
        <v>155.54583333333329</v>
      </c>
      <c r="O9" s="61">
        <f>'01'!O108</f>
        <v>0</v>
      </c>
      <c r="P9" s="202">
        <f>'01'!P108</f>
        <v>1.0539583333333331</v>
      </c>
      <c r="Q9" s="61">
        <f>'01'!Q108</f>
        <v>31.123125000000016</v>
      </c>
      <c r="R9" s="118"/>
      <c r="S9" s="118"/>
      <c r="T9" s="118"/>
      <c r="U9" s="118"/>
    </row>
    <row r="10" spans="1:21" x14ac:dyDescent="0.25">
      <c r="A10" s="94" t="str">
        <f>'02'!$B$2</f>
        <v>02-02-2023 00:15</v>
      </c>
      <c r="B10" s="61">
        <f>'02'!B108</f>
        <v>57.548124999999992</v>
      </c>
      <c r="C10" s="61">
        <f>'02'!C108</f>
        <v>109.65645833333333</v>
      </c>
      <c r="D10" s="61">
        <f>'02'!D108</f>
        <v>107.08093749999996</v>
      </c>
      <c r="E10" s="61">
        <f>'02'!E108</f>
        <v>7.8265625000000005</v>
      </c>
      <c r="F10" s="61">
        <f>'02'!F108</f>
        <v>4.1801041666666672</v>
      </c>
      <c r="G10" s="61">
        <f>'02'!G108</f>
        <v>98.808020833333387</v>
      </c>
      <c r="H10" s="61">
        <f>'02'!H108</f>
        <v>39.066145833333344</v>
      </c>
      <c r="I10" s="210" t="s">
        <v>36</v>
      </c>
      <c r="J10" s="61">
        <f>'02'!J108</f>
        <v>0.5078125</v>
      </c>
      <c r="K10" s="61">
        <f>'02'!K108</f>
        <v>98.167812499999968</v>
      </c>
      <c r="L10" s="61">
        <f>'02'!L108</f>
        <v>22.16333333333333</v>
      </c>
      <c r="M10" s="61">
        <f>'02'!M108</f>
        <v>32.96875</v>
      </c>
      <c r="N10" s="61">
        <f>'02'!N108</f>
        <v>176.81145833333326</v>
      </c>
      <c r="O10" s="61">
        <f>'02'!O108</f>
        <v>0</v>
      </c>
      <c r="P10" s="202">
        <f>'02'!P108</f>
        <v>1.5507291666666658</v>
      </c>
      <c r="Q10" s="61">
        <f>'02'!Q108</f>
        <v>32.355833333333344</v>
      </c>
      <c r="R10" s="118"/>
      <c r="S10" s="118"/>
      <c r="T10" s="118"/>
      <c r="U10" s="118"/>
    </row>
    <row r="11" spans="1:21" x14ac:dyDescent="0.25">
      <c r="A11" s="94" t="str">
        <f>'03'!$B$2</f>
        <v>03-02-2023 00:15</v>
      </c>
      <c r="B11" s="61">
        <f>'03'!B108</f>
        <v>101.45895833333333</v>
      </c>
      <c r="C11" s="61">
        <f>'03'!C108</f>
        <v>120.27750000000003</v>
      </c>
      <c r="D11" s="61">
        <f>'03'!D108</f>
        <v>147.37041666666664</v>
      </c>
      <c r="E11" s="61">
        <f>'03'!E108</f>
        <v>8.7329166666666662</v>
      </c>
      <c r="F11" s="61">
        <f>'03'!F108</f>
        <v>6.6878124999999962</v>
      </c>
      <c r="G11" s="61">
        <f>'03'!G108</f>
        <v>127.59537634408605</v>
      </c>
      <c r="H11" s="61">
        <f>'03'!H108</f>
        <v>48.527634408602168</v>
      </c>
      <c r="I11" s="61">
        <f>'03'!I108</f>
        <v>0.92234042553191475</v>
      </c>
      <c r="J11" s="61">
        <f>'03'!J108</f>
        <v>0.47302083333333328</v>
      </c>
      <c r="K11" s="61">
        <f>'03'!K108</f>
        <v>127.72552083333336</v>
      </c>
      <c r="L11" s="61">
        <f>'03'!L108</f>
        <v>21.893437500000008</v>
      </c>
      <c r="M11" s="61">
        <f>'03'!M108</f>
        <v>35.78125</v>
      </c>
      <c r="N11" s="61">
        <f>'03'!N108</f>
        <v>177.13958333333335</v>
      </c>
      <c r="O11" s="61">
        <f>'03'!O108</f>
        <v>0</v>
      </c>
      <c r="P11" s="202">
        <f>'03'!P108</f>
        <v>2.0345833333333334</v>
      </c>
      <c r="Q11" s="61">
        <f>'03'!Q108</f>
        <v>30.646979166666668</v>
      </c>
      <c r="R11" s="118"/>
      <c r="S11" s="118"/>
      <c r="T11" s="118"/>
      <c r="U11" s="118"/>
    </row>
    <row r="12" spans="1:21" x14ac:dyDescent="0.25">
      <c r="A12" s="94" t="str">
        <f>'04'!$B$2</f>
        <v>04-02-2023 00:15</v>
      </c>
      <c r="B12" s="61">
        <f>'04'!B108</f>
        <v>112.11937500000003</v>
      </c>
      <c r="C12" s="61">
        <f>'04'!C108</f>
        <v>135.57083333333333</v>
      </c>
      <c r="D12" s="61">
        <f>'04'!D108</f>
        <v>163.54104166666664</v>
      </c>
      <c r="E12" s="61">
        <f>'04'!E108</f>
        <v>7.6429166666666619</v>
      </c>
      <c r="F12" s="61">
        <f>'04'!F108</f>
        <v>4.3439583333333358</v>
      </c>
      <c r="G12" s="61">
        <f>'04'!G108</f>
        <v>136.23645833333333</v>
      </c>
      <c r="H12" s="61">
        <f>'04'!H108</f>
        <v>54.587604166666665</v>
      </c>
      <c r="I12" s="61">
        <f>'04'!I108</f>
        <v>1.1934782608695647</v>
      </c>
      <c r="J12" s="61">
        <f>'04'!J108</f>
        <v>0.32718750000000002</v>
      </c>
      <c r="K12" s="61">
        <f>'04'!K108</f>
        <v>204.30395833333341</v>
      </c>
      <c r="L12" s="61">
        <f>'04'!L108</f>
        <v>21.96781249999999</v>
      </c>
      <c r="M12" s="61">
        <f>'04'!M108</f>
        <v>40.572916666666664</v>
      </c>
      <c r="N12" s="61">
        <f>'04'!N108</f>
        <v>164.9739583333334</v>
      </c>
      <c r="O12" s="61">
        <f>'04'!O108</f>
        <v>0</v>
      </c>
      <c r="P12" s="202">
        <f>'04'!P108</f>
        <v>2.0894791666666661</v>
      </c>
      <c r="Q12" s="61">
        <f>'04'!Q108</f>
        <v>36.92135416666666</v>
      </c>
      <c r="R12" s="118"/>
      <c r="S12" s="118"/>
      <c r="T12" s="118"/>
      <c r="U12" s="118"/>
    </row>
    <row r="13" spans="1:21" x14ac:dyDescent="0.25">
      <c r="A13" s="94" t="str">
        <f>'05'!$B$2</f>
        <v>05-02-2023 00:15</v>
      </c>
      <c r="B13" s="61">
        <f>'05'!B108</f>
        <v>80.595937499999962</v>
      </c>
      <c r="C13" s="61">
        <f>'05'!C108</f>
        <v>127.2667708333333</v>
      </c>
      <c r="D13" s="61">
        <f>'05'!D108</f>
        <v>133.67812500000005</v>
      </c>
      <c r="E13" s="61">
        <f>'05'!E108</f>
        <v>7.5608333333333304</v>
      </c>
      <c r="F13" s="61">
        <f>'05'!F108</f>
        <v>4.9156250000000004</v>
      </c>
      <c r="G13" s="61">
        <f>'05'!G108</f>
        <v>107.54302083333334</v>
      </c>
      <c r="H13" s="61">
        <f>'05'!H108</f>
        <v>46.159270833333373</v>
      </c>
      <c r="I13" s="61">
        <f>'05'!I108</f>
        <v>1.3111538461538461</v>
      </c>
      <c r="J13" s="61">
        <f>'05'!J108</f>
        <v>0.26520833333333332</v>
      </c>
      <c r="K13" s="61">
        <f>'05'!K108</f>
        <v>201.94312500000004</v>
      </c>
      <c r="L13" s="61">
        <f>'05'!L108</f>
        <v>22.111770833333328</v>
      </c>
      <c r="M13" s="61">
        <f>'05'!M108</f>
        <v>41.520833333333336</v>
      </c>
      <c r="N13" s="61">
        <f>'05'!N108</f>
        <v>164.55833333333325</v>
      </c>
      <c r="O13" s="61">
        <f>'05'!O108</f>
        <v>0</v>
      </c>
      <c r="P13" s="202">
        <f>'05'!P108</f>
        <v>1.8317708333333329</v>
      </c>
      <c r="Q13" s="61">
        <f>'05'!Q108</f>
        <v>35.451354166666647</v>
      </c>
      <c r="R13" s="118"/>
      <c r="S13" s="118"/>
      <c r="T13" s="118"/>
      <c r="U13" s="118"/>
    </row>
    <row r="14" spans="1:21" x14ac:dyDescent="0.25">
      <c r="A14" s="94" t="str">
        <f>'06'!$B$2</f>
        <v>06-02-2023 00:15</v>
      </c>
      <c r="B14" s="61">
        <f>'06'!B108</f>
        <v>75.591875000000044</v>
      </c>
      <c r="C14" s="61">
        <f>'06'!C108</f>
        <v>107.67958333333333</v>
      </c>
      <c r="D14" s="61">
        <f>'06'!D108</f>
        <v>118.85614583333337</v>
      </c>
      <c r="E14" s="61">
        <f>'06'!E108</f>
        <v>8.6504166666666684</v>
      </c>
      <c r="F14" s="61">
        <f>'06'!F108</f>
        <v>8.7204166666666687</v>
      </c>
      <c r="G14" s="61">
        <f>'06'!G108</f>
        <v>133.01583333333323</v>
      </c>
      <c r="H14" s="61">
        <f>'06'!H108</f>
        <v>56.382395833333312</v>
      </c>
      <c r="I14" s="61">
        <f>'06'!I108</f>
        <v>0.68941176470588228</v>
      </c>
      <c r="J14" s="61">
        <f>'06'!J108</f>
        <v>0.260625</v>
      </c>
      <c r="K14" s="61">
        <f>'06'!K108</f>
        <v>168.00020833333335</v>
      </c>
      <c r="L14" s="61">
        <f>'06'!L108</f>
        <v>23.381458333333331</v>
      </c>
      <c r="M14" s="61">
        <f>'06'!M108</f>
        <v>42.854166666666664</v>
      </c>
      <c r="N14" s="61">
        <f>'06'!N108</f>
        <v>131.35208333333335</v>
      </c>
      <c r="O14" s="61">
        <f>'06'!O108</f>
        <v>0</v>
      </c>
      <c r="P14" s="202">
        <f>'06'!P108</f>
        <v>2.0383333333333336</v>
      </c>
      <c r="Q14" s="61">
        <f>'06'!Q108</f>
        <v>31.688229166666655</v>
      </c>
      <c r="R14" s="118"/>
      <c r="S14" s="118"/>
      <c r="T14" s="118"/>
      <c r="U14" s="118"/>
    </row>
    <row r="15" spans="1:21" x14ac:dyDescent="0.25">
      <c r="A15" s="94" t="str">
        <f>'07'!$B$2</f>
        <v>07-02-2023 00:15</v>
      </c>
      <c r="B15" s="61">
        <f>'07'!B108</f>
        <v>49.773645833333326</v>
      </c>
      <c r="C15" s="61">
        <f>'07'!C108</f>
        <v>75.855520833333358</v>
      </c>
      <c r="D15" s="61">
        <f>'07'!D108</f>
        <v>80.588854166666621</v>
      </c>
      <c r="E15" s="61">
        <f>'07'!E108</f>
        <v>6.2870833333333316</v>
      </c>
      <c r="F15" s="61">
        <f>'07'!F108</f>
        <v>5.1331250000000015</v>
      </c>
      <c r="G15" s="100">
        <f>'07'!$G$108</f>
        <v>90.799021739130453</v>
      </c>
      <c r="H15" s="61">
        <f>'07'!H108</f>
        <v>42.619166666666658</v>
      </c>
      <c r="I15" s="61">
        <f>'07'!I108</f>
        <v>0.65</v>
      </c>
      <c r="J15" s="61">
        <f>'07'!J108</f>
        <v>0.1889583333333332</v>
      </c>
      <c r="K15" s="61">
        <f>'07'!K108</f>
        <v>211.51145833333337</v>
      </c>
      <c r="L15" s="61">
        <f>'07'!L108</f>
        <v>24.211666666666673</v>
      </c>
      <c r="M15" s="61">
        <f>'07'!M108</f>
        <v>42.952916666666674</v>
      </c>
      <c r="N15" s="61">
        <f>'07'!N108</f>
        <v>148.6854166666667</v>
      </c>
      <c r="O15" s="61">
        <f>'07'!O108</f>
        <v>0</v>
      </c>
      <c r="P15" s="202">
        <f>'07'!P108</f>
        <v>1.5166666666666668</v>
      </c>
      <c r="Q15" s="61">
        <f>'07'!Q108</f>
        <v>33.501041666666673</v>
      </c>
      <c r="R15" s="118"/>
      <c r="S15" s="118"/>
      <c r="T15" s="118"/>
      <c r="U15" s="118"/>
    </row>
    <row r="16" spans="1:21" x14ac:dyDescent="0.25">
      <c r="A16" s="94" t="str">
        <f>'08'!$B$2</f>
        <v>08-02-2023 00:15</v>
      </c>
      <c r="B16" s="61">
        <f>'08'!B108</f>
        <v>27.921860465116271</v>
      </c>
      <c r="C16" s="61">
        <f>'08'!C108</f>
        <v>62.753372093023273</v>
      </c>
      <c r="D16" s="61">
        <f>'08'!D108</f>
        <v>55.834069767441846</v>
      </c>
      <c r="E16" s="61">
        <f>'08'!E108</f>
        <v>7.9502352941176486</v>
      </c>
      <c r="F16" s="61">
        <f>'08'!F108</f>
        <v>9.3729545454545509</v>
      </c>
      <c r="G16" s="100">
        <f>'08'!$G$108</f>
        <v>75.976941176470589</v>
      </c>
      <c r="H16" s="61">
        <f>'08'!H108</f>
        <v>31.873176470588248</v>
      </c>
      <c r="I16" s="61">
        <f>'08'!I108</f>
        <v>0.67410256410256386</v>
      </c>
      <c r="J16" s="61">
        <f>'08'!J108</f>
        <v>0.44863636363636378</v>
      </c>
      <c r="K16" s="61">
        <f>'08'!K108</f>
        <v>196.40488636363636</v>
      </c>
      <c r="L16" s="61">
        <f>'08'!L108</f>
        <v>24.287272727272725</v>
      </c>
      <c r="M16" s="61">
        <f>'08'!M108</f>
        <v>38.897386363636365</v>
      </c>
      <c r="N16" s="61">
        <f>'08'!N108</f>
        <v>135.1329545454546</v>
      </c>
      <c r="O16" s="61">
        <f>'08'!O108</f>
        <v>0</v>
      </c>
      <c r="P16" s="202">
        <f>'08'!P108</f>
        <v>1.1603448275862072</v>
      </c>
      <c r="Q16" s="61">
        <f>'08'!Q108</f>
        <v>24.046285714285716</v>
      </c>
      <c r="R16" s="118"/>
      <c r="S16" s="118"/>
      <c r="T16" s="118"/>
      <c r="U16" s="118"/>
    </row>
    <row r="17" spans="1:21" x14ac:dyDescent="0.25">
      <c r="A17" s="94" t="str">
        <f>'09'!$B$2</f>
        <v>09-02-2023 00:15</v>
      </c>
      <c r="B17" s="61">
        <f>'09'!B108</f>
        <v>40.998750000000001</v>
      </c>
      <c r="C17" s="61">
        <f>'09'!C108</f>
        <v>61.445833333333304</v>
      </c>
      <c r="D17" s="61">
        <f>'09'!D108</f>
        <v>65.599166666666648</v>
      </c>
      <c r="E17" s="61">
        <f>'09'!E108</f>
        <v>7.7935416666666653</v>
      </c>
      <c r="F17" s="61">
        <f>'09'!F108</f>
        <v>6.1477083333333313</v>
      </c>
      <c r="G17" s="100">
        <f>'09'!$G$108</f>
        <v>103.55666666666663</v>
      </c>
      <c r="H17" s="61">
        <f>'09'!H108</f>
        <v>41.516145833333333</v>
      </c>
      <c r="I17" s="61">
        <f>'09'!I108</f>
        <v>0.82645569620253168</v>
      </c>
      <c r="J17" s="61">
        <f>'09'!J108</f>
        <v>0.33125000000000004</v>
      </c>
      <c r="K17" s="61">
        <f>'09'!K108</f>
        <v>159.71062499999996</v>
      </c>
      <c r="L17" s="61">
        <f>'09'!L108</f>
        <v>23.350208333333331</v>
      </c>
      <c r="M17" s="61">
        <f>'09'!M108</f>
        <v>39.603333333333318</v>
      </c>
      <c r="N17" s="61">
        <f>'09'!N108</f>
        <v>166.53333333333339</v>
      </c>
      <c r="O17" s="61">
        <f>'09'!O108</f>
        <v>0</v>
      </c>
      <c r="P17" s="202">
        <f>'09'!P108</f>
        <v>1.3819791666666665</v>
      </c>
      <c r="Q17" s="61">
        <f>'09'!Q108</f>
        <v>18.663541666666667</v>
      </c>
      <c r="R17" s="118"/>
      <c r="S17" s="118"/>
      <c r="T17" s="118"/>
      <c r="U17" s="118"/>
    </row>
    <row r="18" spans="1:21" x14ac:dyDescent="0.25">
      <c r="A18" s="94" t="str">
        <f>'10'!$B$2</f>
        <v>10-02-2023 00:15</v>
      </c>
      <c r="B18" s="61">
        <f>'10'!B108</f>
        <v>71.677708333333314</v>
      </c>
      <c r="C18" s="61">
        <f>'10'!C108</f>
        <v>78.224270833333321</v>
      </c>
      <c r="D18" s="61">
        <f>'10'!D108</f>
        <v>100.2442708333333</v>
      </c>
      <c r="E18" s="61">
        <f>'10'!E108</f>
        <v>5.8978125000000032</v>
      </c>
      <c r="F18" s="61">
        <f>'10'!F108</f>
        <v>7.1710416666666665</v>
      </c>
      <c r="G18" s="101">
        <f>'10'!$G$108</f>
        <v>92.077395833333298</v>
      </c>
      <c r="H18" s="61">
        <f>'10'!H108</f>
        <v>38.754374999999996</v>
      </c>
      <c r="I18" s="61">
        <f>'10'!I108</f>
        <v>0.92072916666666649</v>
      </c>
      <c r="J18" s="61">
        <f>'10'!J108</f>
        <v>0.29479166666666662</v>
      </c>
      <c r="K18" s="61">
        <f>'10'!K108</f>
        <v>208.57270833333337</v>
      </c>
      <c r="L18" s="61">
        <f>'10'!L108</f>
        <v>24.756770833333331</v>
      </c>
      <c r="M18" s="61">
        <f>'10'!M108</f>
        <v>43.072499999999998</v>
      </c>
      <c r="N18" s="61">
        <f>'10'!N108</f>
        <v>165.2583333333333</v>
      </c>
      <c r="O18" s="61">
        <f>'10'!O108</f>
        <v>0</v>
      </c>
      <c r="P18" s="202">
        <f>'10'!P108</f>
        <v>1.6134375000000001</v>
      </c>
      <c r="Q18" s="61">
        <f>'10'!Q108</f>
        <v>22.323578947368425</v>
      </c>
      <c r="R18" s="118"/>
      <c r="S18" s="118"/>
      <c r="T18" s="118"/>
      <c r="U18" s="118"/>
    </row>
    <row r="19" spans="1:21" x14ac:dyDescent="0.25">
      <c r="A19" s="94" t="str">
        <f>'11'!$B$2</f>
        <v>11-02-2023 00:15</v>
      </c>
      <c r="B19" s="61">
        <f>'11'!B108</f>
        <v>22.711458333333326</v>
      </c>
      <c r="C19" s="61">
        <f>'11'!C108</f>
        <v>88.910416666666663</v>
      </c>
      <c r="D19" s="61">
        <f>'11'!D108</f>
        <v>67.280729166666688</v>
      </c>
      <c r="E19" s="61">
        <f>'11'!E108</f>
        <v>7.0992708333333363</v>
      </c>
      <c r="F19" s="61">
        <f>'11'!F108</f>
        <v>6.0761458333333325</v>
      </c>
      <c r="G19" s="99">
        <f>'11'!$G$108</f>
        <v>59.014895833333355</v>
      </c>
      <c r="H19" s="61">
        <f>'11'!H108</f>
        <v>27.335312500000004</v>
      </c>
      <c r="I19" s="61">
        <f>'11'!I108</f>
        <v>0.69125000000000025</v>
      </c>
      <c r="J19" s="61">
        <f>'11'!J108</f>
        <v>0.38663157894736844</v>
      </c>
      <c r="K19" s="61">
        <f>'11'!K108</f>
        <v>222.87218750000011</v>
      </c>
      <c r="L19" s="61">
        <f>'11'!L108</f>
        <v>26.286354166666673</v>
      </c>
      <c r="M19" s="61">
        <f>'11'!M108</f>
        <v>35.055312499999992</v>
      </c>
      <c r="N19" s="61">
        <f>'11'!N108</f>
        <v>163.23645833333327</v>
      </c>
      <c r="O19" s="61">
        <f>'11'!O108</f>
        <v>0</v>
      </c>
      <c r="P19" s="202">
        <f>'11'!P108</f>
        <v>1.1127083333333332</v>
      </c>
      <c r="Q19" s="61">
        <f>'11'!Q108</f>
        <v>27.728124999999991</v>
      </c>
      <c r="R19" s="118"/>
      <c r="S19" s="118"/>
      <c r="T19" s="118"/>
      <c r="U19" s="118"/>
    </row>
    <row r="20" spans="1:21" x14ac:dyDescent="0.25">
      <c r="A20" s="94" t="str">
        <f>'12'!$B$2</f>
        <v>12-02-2023 00:15</v>
      </c>
      <c r="B20" s="61">
        <f>'12'!B108</f>
        <v>17.657916666666669</v>
      </c>
      <c r="C20" s="61">
        <f>'12'!C108</f>
        <v>87.497395833333314</v>
      </c>
      <c r="D20" s="61">
        <f>'12'!D108</f>
        <v>62.448437500000004</v>
      </c>
      <c r="E20" s="61">
        <f>'12'!E108</f>
        <v>8.0983333333333309</v>
      </c>
      <c r="F20" s="61">
        <f>'12'!F108</f>
        <v>5.8427083333333334</v>
      </c>
      <c r="G20" s="101">
        <f>'12'!$G$108</f>
        <v>76.761875000000018</v>
      </c>
      <c r="H20" s="61">
        <f>'12'!H108</f>
        <v>30.216458333333311</v>
      </c>
      <c r="I20" s="61">
        <f>'12'!I108</f>
        <v>0.65229166666666671</v>
      </c>
      <c r="J20" s="61">
        <f>'12'!J108</f>
        <v>0.84249999999999969</v>
      </c>
      <c r="K20" s="61">
        <f>'12'!K108</f>
        <v>126.66072916666668</v>
      </c>
      <c r="L20" s="61">
        <f>'12'!L108</f>
        <v>25.445416666666677</v>
      </c>
      <c r="M20" s="61">
        <f>'12'!M108</f>
        <v>33.863854166666677</v>
      </c>
      <c r="N20" s="61">
        <f>'12'!N108</f>
        <v>164.42708333333334</v>
      </c>
      <c r="O20" s="61">
        <f>'12'!O108</f>
        <v>0</v>
      </c>
      <c r="P20" s="202">
        <f>'12'!P108</f>
        <v>1.0358333333333332</v>
      </c>
      <c r="Q20" s="61">
        <f>'12'!Q108</f>
        <v>27.274166666666659</v>
      </c>
      <c r="R20" s="118"/>
      <c r="S20" s="118"/>
      <c r="T20" s="118"/>
      <c r="U20" s="118"/>
    </row>
    <row r="21" spans="1:21" s="89" customFormat="1" x14ac:dyDescent="0.25">
      <c r="A21" s="94" t="str">
        <f>'13'!$B$2</f>
        <v>13-02-2023 00:15</v>
      </c>
      <c r="B21" s="91">
        <f>'13'!B108</f>
        <v>15.359062499999999</v>
      </c>
      <c r="C21" s="91">
        <f>'13'!C108</f>
        <v>83.06145833333332</v>
      </c>
      <c r="D21" s="91">
        <f>'13'!D108</f>
        <v>58.156041666666681</v>
      </c>
      <c r="E21" s="91">
        <f>'13'!E108</f>
        <v>7.0734374999999972</v>
      </c>
      <c r="F21" s="91">
        <f>'13'!F108</f>
        <v>5.2985416666666678</v>
      </c>
      <c r="G21" s="100">
        <f>'13'!$G$108</f>
        <v>65.75083333333329</v>
      </c>
      <c r="H21" s="91">
        <f>'13'!H108</f>
        <v>30.927291666666672</v>
      </c>
      <c r="I21" s="91">
        <f>'13'!I108</f>
        <v>0.62333333333333296</v>
      </c>
      <c r="J21" s="91">
        <f>'13'!J108</f>
        <v>0.5356249999999998</v>
      </c>
      <c r="K21" s="91">
        <f>'13'!K108</f>
        <v>172.43302083333336</v>
      </c>
      <c r="L21" s="91">
        <f>'13'!L108</f>
        <v>23.935625000000012</v>
      </c>
      <c r="M21" s="91">
        <f>'13'!M108</f>
        <v>28.03104166666667</v>
      </c>
      <c r="N21" s="91">
        <f>'13'!N108</f>
        <v>176.37812499999998</v>
      </c>
      <c r="O21" s="91">
        <f>'13'!O108</f>
        <v>0</v>
      </c>
      <c r="P21" s="203">
        <f>'13'!P108</f>
        <v>0.98354166666666609</v>
      </c>
      <c r="Q21" s="91">
        <f>'13'!Q108</f>
        <v>25.073645833333345</v>
      </c>
      <c r="R21" s="205"/>
      <c r="S21" s="205"/>
      <c r="T21" s="205"/>
      <c r="U21" s="205"/>
    </row>
    <row r="22" spans="1:21" s="89" customFormat="1" x14ac:dyDescent="0.25">
      <c r="A22" s="94" t="str">
        <f>'14'!$B$2</f>
        <v>14-02-2023 00:15</v>
      </c>
      <c r="B22" s="90">
        <f>'14'!B108</f>
        <v>19.898020833333334</v>
      </c>
      <c r="C22" s="90">
        <f>'14'!C108</f>
        <v>87.14354166666665</v>
      </c>
      <c r="D22" s="90">
        <f>'14'!D108</f>
        <v>64.049375000000012</v>
      </c>
      <c r="E22" s="90">
        <f>'14'!E108</f>
        <v>12.558437500000009</v>
      </c>
      <c r="F22" s="90">
        <f>'14'!F108</f>
        <v>7.1460416666666626</v>
      </c>
      <c r="G22" s="100">
        <f>'14'!$G$108</f>
        <v>78.167604166666678</v>
      </c>
      <c r="H22" s="100">
        <f>'14'!$G$108</f>
        <v>78.167604166666678</v>
      </c>
      <c r="I22" s="90">
        <f>'14'!I108</f>
        <v>0.64364583333333314</v>
      </c>
      <c r="J22" s="90">
        <f>'14'!J108</f>
        <v>0.41677083333333304</v>
      </c>
      <c r="K22" s="90">
        <f>'14'!K108</f>
        <v>170.51326315789478</v>
      </c>
      <c r="L22" s="90">
        <f>'14'!L108</f>
        <v>23.320520833333337</v>
      </c>
      <c r="M22" s="90">
        <f>'14'!M108</f>
        <v>26.967500000000005</v>
      </c>
      <c r="N22" s="90">
        <f>'14'!N108</f>
        <v>165.74687500000002</v>
      </c>
      <c r="O22" s="90">
        <f>'14'!O108</f>
        <v>0</v>
      </c>
      <c r="P22" s="204">
        <f>'14'!P108</f>
        <v>1.0422916666666666</v>
      </c>
      <c r="Q22" s="90">
        <f>'14'!Q108</f>
        <v>22.317578947368418</v>
      </c>
      <c r="R22" s="206"/>
      <c r="S22" s="206"/>
      <c r="T22" s="206"/>
      <c r="U22" s="206"/>
    </row>
    <row r="23" spans="1:21" x14ac:dyDescent="0.25">
      <c r="A23" s="94" t="str">
        <f>'15'!$B$2</f>
        <v>15-02-2023 00:15</v>
      </c>
      <c r="B23" s="61">
        <f>'15'!B108</f>
        <v>24.580729166666654</v>
      </c>
      <c r="C23" s="61">
        <f>'15'!C108</f>
        <v>99.679062499999972</v>
      </c>
      <c r="D23" s="61">
        <f>'15'!D108</f>
        <v>74.722395833333337</v>
      </c>
      <c r="E23" s="61">
        <f>'15'!E108</f>
        <v>8.2980208333333341</v>
      </c>
      <c r="F23" s="61">
        <f>'15'!F108</f>
        <v>5.7411458333333352</v>
      </c>
      <c r="G23" s="100">
        <f>'15'!$G$108</f>
        <v>83.690937500000004</v>
      </c>
      <c r="H23" s="61">
        <f>'15'!H108</f>
        <v>34.868333333333347</v>
      </c>
      <c r="I23" s="61">
        <f>'15'!I108</f>
        <v>0.72687500000000005</v>
      </c>
      <c r="J23" s="61">
        <f>'15'!J108</f>
        <v>0.4713541666666668</v>
      </c>
      <c r="K23" s="61">
        <f>'15'!K108</f>
        <v>154.71343749999997</v>
      </c>
      <c r="L23" s="61">
        <f>'15'!L108</f>
        <v>25.157708333333336</v>
      </c>
      <c r="M23" s="61">
        <f>'15'!M108</f>
        <v>31.117187500000014</v>
      </c>
      <c r="N23" s="61">
        <f>'15'!N108</f>
        <v>159.50833333333333</v>
      </c>
      <c r="O23" s="61">
        <f>'15'!O108</f>
        <v>0</v>
      </c>
      <c r="P23" s="202">
        <f>'15'!P108</f>
        <v>1.2647916666666668</v>
      </c>
      <c r="Q23" s="61">
        <f>'15'!Q108</f>
        <v>28.30927083333334</v>
      </c>
      <c r="R23" s="118"/>
      <c r="S23" s="118"/>
      <c r="T23" s="118"/>
      <c r="U23" s="118"/>
    </row>
    <row r="24" spans="1:21" x14ac:dyDescent="0.25">
      <c r="A24" s="94" t="str">
        <f>'16'!$B$2</f>
        <v>16-02-2023 00:15</v>
      </c>
      <c r="B24" s="61">
        <f>'16'!B108</f>
        <v>27.378645833333337</v>
      </c>
      <c r="C24" s="61">
        <f>'16'!C108</f>
        <v>91.534062499999962</v>
      </c>
      <c r="D24" s="61">
        <f>'16'!D108</f>
        <v>72.470625000000013</v>
      </c>
      <c r="E24" s="61">
        <f>'16'!E108</f>
        <v>9.3457291666666631</v>
      </c>
      <c r="F24" s="61">
        <f>'16'!F108</f>
        <v>4.5856250000000012</v>
      </c>
      <c r="G24" s="100">
        <f>'16'!$G$108</f>
        <v>102.00752688172045</v>
      </c>
      <c r="H24" s="61">
        <f>'16'!H108</f>
        <v>40.663010752688173</v>
      </c>
      <c r="I24" s="61">
        <f>'16'!I108</f>
        <v>0.68166666666666709</v>
      </c>
      <c r="J24" s="61">
        <f>'16'!J108</f>
        <v>0.61906249999999996</v>
      </c>
      <c r="K24" s="61">
        <f>'16'!K108</f>
        <v>130.30958333333334</v>
      </c>
      <c r="L24" s="61">
        <f>'16'!L108</f>
        <v>26.285416666666666</v>
      </c>
      <c r="M24" s="61">
        <f>'16'!M108</f>
        <v>33.973020833333322</v>
      </c>
      <c r="N24" s="61">
        <f>'16'!N108</f>
        <v>163.24166666666665</v>
      </c>
      <c r="O24" s="61">
        <f>'16'!O108</f>
        <v>0</v>
      </c>
      <c r="P24" s="202">
        <f>'16'!P108</f>
        <v>1.2530208333333335</v>
      </c>
      <c r="Q24" s="61">
        <f>'16'!Q108</f>
        <v>25.694166666666671</v>
      </c>
      <c r="R24" s="118"/>
      <c r="S24" s="118"/>
      <c r="T24" s="118"/>
      <c r="U24" s="118"/>
    </row>
    <row r="25" spans="1:21" x14ac:dyDescent="0.25">
      <c r="A25" s="94" t="str">
        <f>'17'!$B$2</f>
        <v>17-02-2023 00:15</v>
      </c>
      <c r="B25" s="61">
        <f>'17'!B108</f>
        <v>13.557395833333333</v>
      </c>
      <c r="C25" s="61">
        <f>'17'!C108</f>
        <v>105.87020833333334</v>
      </c>
      <c r="D25" s="61">
        <f>'17'!D108</f>
        <v>69.299479166666657</v>
      </c>
      <c r="E25" s="61">
        <f>'17'!E108</f>
        <v>8.0538541666666656</v>
      </c>
      <c r="F25" s="61">
        <f>'17'!F108</f>
        <v>3.4765625000000022</v>
      </c>
      <c r="G25" s="101">
        <f>'17'!$G$108</f>
        <v>100.88916666666667</v>
      </c>
      <c r="H25" s="61">
        <f>'17'!H108</f>
        <v>42.108750000000008</v>
      </c>
      <c r="I25" s="61">
        <f>'17'!I108</f>
        <v>0.72416666666666674</v>
      </c>
      <c r="J25" s="61">
        <f>'17'!J108</f>
        <v>0.58125000000000004</v>
      </c>
      <c r="K25" s="61">
        <f>'17'!K108</f>
        <v>78.531770833333312</v>
      </c>
      <c r="L25" s="61">
        <f>'17'!L108</f>
        <v>25.657604166666669</v>
      </c>
      <c r="M25" s="61">
        <f>'17'!M108</f>
        <v>37.466250000000009</v>
      </c>
      <c r="N25" s="61">
        <f>'17'!N108</f>
        <v>157.00937499999995</v>
      </c>
      <c r="O25" s="61">
        <f>'17'!O108</f>
        <v>0</v>
      </c>
      <c r="P25" s="202">
        <f>'17'!P108</f>
        <v>1.5213541666666677</v>
      </c>
      <c r="Q25" s="61">
        <f>'17'!Q108</f>
        <v>28.637708333333347</v>
      </c>
      <c r="R25" s="118"/>
      <c r="S25" s="118"/>
      <c r="T25" s="118"/>
      <c r="U25" s="118"/>
    </row>
    <row r="26" spans="1:21" x14ac:dyDescent="0.25">
      <c r="A26" s="94" t="str">
        <f>'18'!$B$2</f>
        <v>18-02-2023 00:15</v>
      </c>
      <c r="B26" s="61">
        <f>'18'!B108</f>
        <v>9.2724999999999991</v>
      </c>
      <c r="C26" s="61">
        <f>'18'!C108</f>
        <v>94.28197916666663</v>
      </c>
      <c r="D26" s="61">
        <f>'18'!D108</f>
        <v>59.468124999999986</v>
      </c>
      <c r="E26" s="61">
        <f>'18'!E108</f>
        <v>10.0759375</v>
      </c>
      <c r="F26" s="61">
        <f>'18'!F108</f>
        <v>8.326666666666668</v>
      </c>
      <c r="G26" s="99">
        <f>'18'!$G$108</f>
        <v>104.40999999999997</v>
      </c>
      <c r="H26" s="61">
        <f>'18'!H108</f>
        <v>53.610312499999971</v>
      </c>
      <c r="I26" s="61">
        <f>'18'!I108</f>
        <v>0.75187500000000007</v>
      </c>
      <c r="J26" s="61">
        <f>'18'!J108</f>
        <v>0.57385416666666667</v>
      </c>
      <c r="K26" s="61">
        <f>'18'!K108</f>
        <v>89.331145833333323</v>
      </c>
      <c r="L26" s="61">
        <f>'18'!L108</f>
        <v>25.611458333333342</v>
      </c>
      <c r="M26" s="61">
        <f>'18'!M108</f>
        <v>41.839062499999997</v>
      </c>
      <c r="N26" s="61">
        <f>'18'!N108</f>
        <v>152.85208333333335</v>
      </c>
      <c r="O26" s="61">
        <f>'18'!O108</f>
        <v>0</v>
      </c>
      <c r="P26" s="202">
        <f>'18'!P108</f>
        <v>1.680625</v>
      </c>
      <c r="Q26" s="61">
        <f>'18'!Q108</f>
        <v>26.864479166666666</v>
      </c>
      <c r="R26" s="118"/>
      <c r="S26" s="118"/>
      <c r="T26" s="118"/>
      <c r="U26" s="118"/>
    </row>
    <row r="27" spans="1:21" x14ac:dyDescent="0.25">
      <c r="A27" s="94" t="str">
        <f>'19'!$B$2</f>
        <v>19-02-2023 00:15</v>
      </c>
      <c r="B27" s="61">
        <f>'19'!B108</f>
        <v>25.286562499999999</v>
      </c>
      <c r="C27" s="61">
        <f>'19'!C108</f>
        <v>110.02916666666664</v>
      </c>
      <c r="D27" s="61">
        <f>'19'!D108</f>
        <v>81.00052083333334</v>
      </c>
      <c r="E27" s="61">
        <f>'19'!E108</f>
        <v>6.3307291666666643</v>
      </c>
      <c r="F27" s="61">
        <f>'19'!F108</f>
        <v>5.0974999999999984</v>
      </c>
      <c r="G27" s="61">
        <f>'19'!G108</f>
        <v>148.64250000000001</v>
      </c>
      <c r="H27" s="61">
        <f>'19'!H108</f>
        <v>70.544895833333342</v>
      </c>
      <c r="I27" s="61">
        <f>'19'!I108</f>
        <v>0.95427083333333396</v>
      </c>
      <c r="J27" s="61">
        <f>'19'!J108</f>
        <v>0.31093750000000003</v>
      </c>
      <c r="K27" s="61">
        <f>'19'!K108</f>
        <v>149.01937499999994</v>
      </c>
      <c r="L27" s="61">
        <f>'19'!L108</f>
        <v>26.027916666666666</v>
      </c>
      <c r="M27" s="61">
        <f>'19'!M108</f>
        <v>48.385520833333345</v>
      </c>
      <c r="N27" s="61">
        <f>'19'!N108</f>
        <v>148.8729166666667</v>
      </c>
      <c r="O27" s="61">
        <f>'19'!O108</f>
        <v>0</v>
      </c>
      <c r="P27" s="202">
        <f>'19'!P108</f>
        <v>2.1673958333333334</v>
      </c>
      <c r="Q27" s="61">
        <f>'19'!Q108</f>
        <v>33.080312500000012</v>
      </c>
      <c r="R27" s="118"/>
      <c r="S27" s="118"/>
      <c r="T27" s="118"/>
      <c r="U27" s="118"/>
    </row>
    <row r="28" spans="1:21" x14ac:dyDescent="0.25">
      <c r="A28" s="94" t="str">
        <f>'20'!$B$2</f>
        <v>20-02-2023 00:15</v>
      </c>
      <c r="B28" s="61">
        <f>'20'!B108</f>
        <v>52.933125000000011</v>
      </c>
      <c r="C28" s="61">
        <f>'20'!C108</f>
        <v>109.441875</v>
      </c>
      <c r="D28" s="61">
        <f>'20'!D108</f>
        <v>103.14500000000002</v>
      </c>
      <c r="E28" s="61">
        <f>'20'!E108</f>
        <v>5.2716666666666647</v>
      </c>
      <c r="F28" s="61">
        <f>'20'!F108</f>
        <v>6.054270833333331</v>
      </c>
      <c r="G28" s="61">
        <f>'20'!G108</f>
        <v>105.64083333333333</v>
      </c>
      <c r="H28" s="61">
        <f>'20'!H108</f>
        <v>47.056458333333332</v>
      </c>
      <c r="I28" s="61">
        <f>'20'!I108</f>
        <v>0.82822916666666668</v>
      </c>
      <c r="J28" s="61">
        <f>'20'!J108</f>
        <v>0.37177083333333338</v>
      </c>
      <c r="K28" s="61">
        <f>'20'!K108</f>
        <v>132.49854166666668</v>
      </c>
      <c r="L28" s="61">
        <f>'20'!L108</f>
        <v>26.470208333333328</v>
      </c>
      <c r="M28" s="61">
        <f>'20'!M108</f>
        <v>38.40604166666666</v>
      </c>
      <c r="N28" s="61">
        <f>'20'!N108</f>
        <v>162.5385416666667</v>
      </c>
      <c r="O28" s="61">
        <f>'20'!O108</f>
        <v>0</v>
      </c>
      <c r="P28" s="202">
        <f>'20'!P108</f>
        <v>1.5687500000000003</v>
      </c>
      <c r="Q28" s="61">
        <f>'20'!Q108</f>
        <v>29.361874999999998</v>
      </c>
      <c r="R28" s="118"/>
      <c r="S28" s="118"/>
      <c r="T28" s="118"/>
      <c r="U28" s="118"/>
    </row>
    <row r="29" spans="1:21" x14ac:dyDescent="0.25">
      <c r="A29" s="94" t="str">
        <f>'21'!$B$2</f>
        <v>21-02-2023 00:15</v>
      </c>
      <c r="B29" s="61">
        <f>'21'!B108</f>
        <v>73.759166666666673</v>
      </c>
      <c r="C29" s="61">
        <f>'21'!C108</f>
        <v>102.94562500000001</v>
      </c>
      <c r="D29" s="61">
        <f>'21'!D108</f>
        <v>115.96302083333332</v>
      </c>
      <c r="E29" s="61">
        <f>'21'!E108</f>
        <v>15.245520833333337</v>
      </c>
      <c r="F29" s="61">
        <f>'21'!F108</f>
        <v>16.842210526315796</v>
      </c>
      <c r="G29" s="61">
        <f>'21'!G108</f>
        <v>112.93172043010755</v>
      </c>
      <c r="H29" s="61">
        <f>'21'!H108</f>
        <v>46.163636363636357</v>
      </c>
      <c r="I29" s="61">
        <f>'21'!I108</f>
        <v>0.83189473684210524</v>
      </c>
      <c r="J29" s="61">
        <f>'21'!J108</f>
        <v>0.23770833333333338</v>
      </c>
      <c r="K29" s="61">
        <f>'21'!K108</f>
        <v>201.29302083333332</v>
      </c>
      <c r="L29" s="61">
        <f>'21'!L108</f>
        <v>26.285520833333333</v>
      </c>
      <c r="M29" s="61">
        <f>'21'!M108</f>
        <v>40.266458333333333</v>
      </c>
      <c r="N29" s="61">
        <f>'21'!N108</f>
        <v>168.11041666666679</v>
      </c>
      <c r="O29" s="61">
        <f>'21'!O108</f>
        <v>0</v>
      </c>
      <c r="P29" s="202">
        <f>'21'!P108</f>
        <v>1.6118749999999997</v>
      </c>
      <c r="Q29" s="61">
        <f>'21'!Q108</f>
        <v>23.744791666666661</v>
      </c>
      <c r="R29" s="118"/>
      <c r="S29" s="118"/>
      <c r="T29" s="118"/>
      <c r="U29" s="118"/>
    </row>
    <row r="30" spans="1:21" x14ac:dyDescent="0.25">
      <c r="A30" s="94" t="str">
        <f>'22'!$B$2</f>
        <v>22-02-2023 00:15</v>
      </c>
      <c r="B30" s="61">
        <f>'22'!B108</f>
        <v>47.483854166666674</v>
      </c>
      <c r="C30" s="61">
        <f>'22'!C108</f>
        <v>102.05739583333327</v>
      </c>
      <c r="D30" s="61">
        <f>'22'!D108</f>
        <v>94.401250000000019</v>
      </c>
      <c r="E30" s="61">
        <f>'22'!E108</f>
        <v>6.1464583333333316</v>
      </c>
      <c r="F30" s="61">
        <f>'22'!F108</f>
        <v>4.2973493975903612</v>
      </c>
      <c r="G30" s="61">
        <f>'22'!G108</f>
        <v>84.28614583333335</v>
      </c>
      <c r="H30" s="61">
        <f>'22'!H108</f>
        <v>38.061041666666675</v>
      </c>
      <c r="I30" s="61">
        <f>'22'!I108</f>
        <v>0.765625</v>
      </c>
      <c r="J30" s="61">
        <f>'22'!J108</f>
        <v>0.35645833333333338</v>
      </c>
      <c r="K30" s="61">
        <f>'22'!K108</f>
        <v>180.80624999999995</v>
      </c>
      <c r="L30" s="61">
        <f>'22'!L108</f>
        <v>26.838020833333328</v>
      </c>
      <c r="M30" s="61">
        <f>'22'!M108</f>
        <v>37.672604166666666</v>
      </c>
      <c r="N30" s="61">
        <f>'22'!N108</f>
        <v>157.01041666666669</v>
      </c>
      <c r="O30" s="61">
        <f>'22'!O108</f>
        <v>0</v>
      </c>
      <c r="P30" s="202">
        <f>'22'!P108</f>
        <v>1.4501041666666665</v>
      </c>
      <c r="Q30" s="61">
        <f>'22'!Q108</f>
        <v>26.802604166666651</v>
      </c>
      <c r="R30" s="118"/>
      <c r="S30" s="118"/>
      <c r="T30" s="118"/>
      <c r="U30" s="118"/>
    </row>
    <row r="31" spans="1:21" x14ac:dyDescent="0.25">
      <c r="A31" s="94" t="str">
        <f>'23'!$B$2</f>
        <v>23-02-2023 00:15</v>
      </c>
      <c r="B31" s="61">
        <f>'23'!B108</f>
        <v>45.944375000000001</v>
      </c>
      <c r="C31" s="61">
        <f>'23'!C108</f>
        <v>106.31614583333338</v>
      </c>
      <c r="D31" s="61">
        <f>'23'!D108</f>
        <v>95.517604166666715</v>
      </c>
      <c r="E31" s="61">
        <f>'23'!E108</f>
        <v>4.1842708333333327</v>
      </c>
      <c r="F31" s="61">
        <f>'23'!F108</f>
        <v>1.7773417721518998</v>
      </c>
      <c r="G31" s="61">
        <f>'23'!G108</f>
        <v>84.889374999999987</v>
      </c>
      <c r="H31" s="61">
        <f>'23'!H108</f>
        <v>35.267812500000005</v>
      </c>
      <c r="I31" s="61">
        <f>'23'!I108</f>
        <v>0.75791666666666646</v>
      </c>
      <c r="J31" s="61">
        <f>'23'!J108</f>
        <v>0.40593750000000001</v>
      </c>
      <c r="K31" s="61">
        <f>'23'!K108</f>
        <v>179.39895833333341</v>
      </c>
      <c r="L31" s="61">
        <f>'23'!L108</f>
        <v>27.053125000000005</v>
      </c>
      <c r="M31" s="61">
        <f>'23'!M108</f>
        <v>35.310416666666669</v>
      </c>
      <c r="N31" s="61">
        <f>'23'!N108</f>
        <v>167.64270833333333</v>
      </c>
      <c r="O31" s="61">
        <f>'23'!O108</f>
        <v>0</v>
      </c>
      <c r="P31" s="202">
        <f>'23'!P108</f>
        <v>1.2766666666666666</v>
      </c>
      <c r="Q31" s="61">
        <f>'23'!Q108</f>
        <v>29.114583333333332</v>
      </c>
      <c r="R31" s="118"/>
      <c r="S31" s="207"/>
      <c r="T31" s="118"/>
      <c r="U31" s="118"/>
    </row>
    <row r="32" spans="1:21" x14ac:dyDescent="0.25">
      <c r="A32" s="94" t="str">
        <f>'24'!$B$2</f>
        <v>24-02-2023 00:15</v>
      </c>
      <c r="B32" s="61">
        <f>'24'!B108</f>
        <v>50.598229166666698</v>
      </c>
      <c r="C32" s="61">
        <f>'24'!C108</f>
        <v>109.72989583333333</v>
      </c>
      <c r="D32" s="61">
        <f>'24'!D108</f>
        <v>101.13281250000001</v>
      </c>
      <c r="E32" s="61">
        <f>'24'!E108</f>
        <v>5.8315624999999969</v>
      </c>
      <c r="F32" s="61">
        <f>'24'!F108</f>
        <v>5.9512658227848103</v>
      </c>
      <c r="G32" s="61">
        <f>'24'!G108</f>
        <v>94.625520833333326</v>
      </c>
      <c r="H32" s="61">
        <f>'24'!H108</f>
        <v>36.837187499999978</v>
      </c>
      <c r="I32" s="61">
        <f>'24'!I108</f>
        <v>0.80947916666666642</v>
      </c>
      <c r="J32" s="61">
        <f>'24'!J108</f>
        <v>0.41187499999999999</v>
      </c>
      <c r="K32" s="61">
        <f>'24'!K108</f>
        <v>134.90666666666672</v>
      </c>
      <c r="L32" s="61">
        <f>'24'!L108</f>
        <v>26.959583333333342</v>
      </c>
      <c r="M32" s="61">
        <f>'24'!M108</f>
        <v>37.7659375</v>
      </c>
      <c r="N32" s="61">
        <f>'24'!N108</f>
        <v>165.63541666666671</v>
      </c>
      <c r="O32" s="61">
        <f>'24'!O108</f>
        <v>0</v>
      </c>
      <c r="P32" s="202">
        <f>'24'!P108</f>
        <v>1.2937499999999997</v>
      </c>
      <c r="Q32" s="61">
        <f>'24'!Q108</f>
        <v>31.231874999999999</v>
      </c>
      <c r="R32" s="118"/>
      <c r="S32" s="118"/>
      <c r="T32" s="118"/>
      <c r="U32" s="118"/>
    </row>
    <row r="33" spans="1:21" x14ac:dyDescent="0.25">
      <c r="A33" s="94" t="str">
        <f>'25'!$B$2</f>
        <v>25-02-2023 00:15</v>
      </c>
      <c r="B33" s="61">
        <f>'25'!B108</f>
        <v>41.793645833333322</v>
      </c>
      <c r="C33" s="61">
        <f>'25'!C108</f>
        <v>97.838749999999962</v>
      </c>
      <c r="D33" s="61">
        <f>'25'!D108</f>
        <v>87.510833333333323</v>
      </c>
      <c r="E33" s="61">
        <f>'25'!E108</f>
        <v>10.128333333333329</v>
      </c>
      <c r="F33" s="61">
        <f>'25'!F108</f>
        <v>11.780520833333332</v>
      </c>
      <c r="G33" s="61">
        <f>'25'!G108</f>
        <v>94.302499999999938</v>
      </c>
      <c r="H33" s="61">
        <f>'25'!H108</f>
        <v>40.534791666666656</v>
      </c>
      <c r="I33" s="61">
        <f>'25'!I108</f>
        <v>0.78281250000000002</v>
      </c>
      <c r="J33" s="61">
        <f>'25'!J108</f>
        <v>0.61431578947368426</v>
      </c>
      <c r="K33" s="61">
        <f>'25'!K108</f>
        <v>98.584479166666668</v>
      </c>
      <c r="L33" s="61">
        <f>'25'!L108</f>
        <v>26.916562500000001</v>
      </c>
      <c r="M33" s="61">
        <f>'25'!M108</f>
        <v>33.856666666666676</v>
      </c>
      <c r="N33" s="61">
        <f>'25'!N108</f>
        <v>164.40416666666667</v>
      </c>
      <c r="O33" s="61">
        <f>'25'!O108</f>
        <v>0</v>
      </c>
      <c r="P33" s="202">
        <f>'25'!P108</f>
        <v>1.363645833333333</v>
      </c>
      <c r="Q33" s="61">
        <f>'25'!Q108</f>
        <v>26.064374999999998</v>
      </c>
      <c r="R33" s="118"/>
      <c r="S33" s="207"/>
      <c r="T33" s="118"/>
      <c r="U33" s="118"/>
    </row>
    <row r="34" spans="1:21" x14ac:dyDescent="0.25">
      <c r="A34" s="94" t="str">
        <f>'26'!$B$2</f>
        <v>26-02-2023 00:15</v>
      </c>
      <c r="B34" s="61">
        <f>'26'!B108</f>
        <v>49.655312500000001</v>
      </c>
      <c r="C34" s="61">
        <f>'26'!C108</f>
        <v>110.53197916666669</v>
      </c>
      <c r="D34" s="61">
        <f>'26'!D108</f>
        <v>100.81999999999998</v>
      </c>
      <c r="E34" s="61">
        <f>'26'!E108</f>
        <v>7.2228124999999999</v>
      </c>
      <c r="F34" s="61">
        <f>'26'!F108</f>
        <v>8.2371875000000028</v>
      </c>
      <c r="G34" s="61">
        <f>'26'!G108</f>
        <v>114.96354166666679</v>
      </c>
      <c r="H34" s="61">
        <f>'26'!H108</f>
        <v>48.444479166666618</v>
      </c>
      <c r="I34" s="61">
        <f>'26'!I108</f>
        <v>0.96572916666666675</v>
      </c>
      <c r="J34" s="61">
        <f>'26'!J108</f>
        <v>0.40062500000000001</v>
      </c>
      <c r="K34" s="61">
        <f>'26'!K108</f>
        <v>129.31520833333329</v>
      </c>
      <c r="L34" s="61">
        <f>'26'!L108</f>
        <v>27.312291666666667</v>
      </c>
      <c r="M34" s="61">
        <f>'26'!M108</f>
        <v>33.162812500000008</v>
      </c>
      <c r="N34" s="61">
        <f>'26'!N108</f>
        <v>155.13541666666669</v>
      </c>
      <c r="O34" s="61">
        <f>'26'!O108</f>
        <v>0</v>
      </c>
      <c r="P34" s="202">
        <f>'26'!P108</f>
        <v>1.8576041666666658</v>
      </c>
      <c r="Q34" s="61">
        <f>'26'!Q108</f>
        <v>30.377604166666671</v>
      </c>
      <c r="R34" s="118"/>
      <c r="S34" s="118"/>
      <c r="T34" s="118"/>
      <c r="U34" s="118"/>
    </row>
    <row r="35" spans="1:21" x14ac:dyDescent="0.25">
      <c r="A35" s="94" t="str">
        <f>'27'!$B$2</f>
        <v>27-02-2023 00:15</v>
      </c>
      <c r="B35" s="61">
        <f>'27'!B108</f>
        <v>24.930312499999999</v>
      </c>
      <c r="C35" s="61">
        <f>'27'!C108</f>
        <v>110.66020833333333</v>
      </c>
      <c r="D35" s="61">
        <f>'27'!D108</f>
        <v>81.06302083333334</v>
      </c>
      <c r="E35" s="61">
        <f>'27'!E108</f>
        <v>8.9609375000000036</v>
      </c>
      <c r="F35" s="61">
        <f>'27'!F108</f>
        <v>10.172604166666664</v>
      </c>
      <c r="G35" s="61">
        <f>'27'!G108</f>
        <v>98.689479166666686</v>
      </c>
      <c r="H35" s="61">
        <f>'27'!H108</f>
        <v>41.971249999999991</v>
      </c>
      <c r="I35" s="61">
        <f>'27'!I108</f>
        <v>0.78656249999999972</v>
      </c>
      <c r="J35" s="61">
        <f>'27'!J108</f>
        <v>0.37364583333333345</v>
      </c>
      <c r="K35" s="61">
        <f>'27'!K108</f>
        <v>142.4536458333333</v>
      </c>
      <c r="L35" s="61">
        <f>'27'!L108</f>
        <v>27.168124999999993</v>
      </c>
      <c r="M35" s="61">
        <f>'27'!M108</f>
        <v>34.595104166666665</v>
      </c>
      <c r="N35" s="61">
        <f>'27'!N108</f>
        <v>147.59375</v>
      </c>
      <c r="O35" s="61">
        <f>'27'!O108</f>
        <v>0</v>
      </c>
      <c r="P35" s="202">
        <f>'27'!P108</f>
        <v>1.5105208333333335</v>
      </c>
      <c r="Q35" s="61">
        <f>'27'!Q108</f>
        <v>27.093749999999996</v>
      </c>
      <c r="R35" s="118"/>
      <c r="S35" s="118"/>
      <c r="T35" s="118"/>
      <c r="U35" s="118"/>
    </row>
    <row r="36" spans="1:21" x14ac:dyDescent="0.25">
      <c r="A36" s="94" t="str">
        <f>'28'!$B$2</f>
        <v>28-02-2023 00:15</v>
      </c>
      <c r="B36" s="61">
        <f>'28'!B108</f>
        <v>27.421666666666667</v>
      </c>
      <c r="C36" s="61">
        <f>'28'!C108</f>
        <v>103.58510416666667</v>
      </c>
      <c r="D36" s="61">
        <f>'28'!D108</f>
        <v>78.788020833333306</v>
      </c>
      <c r="E36" s="61">
        <f>'28'!E108</f>
        <v>8.3014583333333309</v>
      </c>
      <c r="F36" s="61">
        <f>'28'!F108</f>
        <v>11.72791666666666</v>
      </c>
      <c r="G36" s="61">
        <f>'28'!G108</f>
        <v>133.13677083333343</v>
      </c>
      <c r="H36" s="61">
        <f>'28'!H108</f>
        <v>62.157916666666686</v>
      </c>
      <c r="I36" s="61">
        <f>'28'!I108</f>
        <v>0.81177083333333344</v>
      </c>
      <c r="J36" s="61">
        <f>'28'!J108</f>
        <v>0.27541666666666648</v>
      </c>
      <c r="K36" s="61">
        <f>'28'!K108</f>
        <v>160.96635416666666</v>
      </c>
      <c r="L36" s="61">
        <f>'28'!L108</f>
        <v>27.266770833333325</v>
      </c>
      <c r="M36" s="61">
        <f>'28'!M108</f>
        <v>40.560833333333356</v>
      </c>
      <c r="N36" s="61">
        <f>'28'!N108</f>
        <v>133.31979166666665</v>
      </c>
      <c r="O36" s="61">
        <f>'28'!O108</f>
        <v>0</v>
      </c>
      <c r="P36" s="202">
        <f>'28'!P108</f>
        <v>1.816770833333333</v>
      </c>
      <c r="Q36" s="61">
        <f>'28'!Q108</f>
        <v>27.104583333333327</v>
      </c>
      <c r="R36" s="118"/>
      <c r="S36" s="118"/>
      <c r="T36" s="118"/>
      <c r="U36" s="118"/>
    </row>
    <row r="37" spans="1:21" s="54" customFormat="1" x14ac:dyDescent="0.25">
      <c r="A37" s="94"/>
      <c r="B37" s="118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</row>
    <row r="38" spans="1:21" s="54" customFormat="1" x14ac:dyDescent="0.25">
      <c r="A38" s="94" t="s">
        <v>59</v>
      </c>
      <c r="B38" s="16">
        <f t="shared" ref="B38:Q38" si="0">MIN(B9:B36)</f>
        <v>9.2724999999999991</v>
      </c>
      <c r="C38" s="16">
        <f t="shared" si="0"/>
        <v>61.445833333333304</v>
      </c>
      <c r="D38" s="16">
        <f t="shared" si="0"/>
        <v>55.834069767441846</v>
      </c>
      <c r="E38" s="16">
        <f t="shared" si="0"/>
        <v>4.1842708333333327</v>
      </c>
      <c r="F38" s="16">
        <f t="shared" si="0"/>
        <v>1.7773417721518998</v>
      </c>
      <c r="G38" s="16">
        <f t="shared" si="0"/>
        <v>59.014895833333355</v>
      </c>
      <c r="H38" s="16">
        <f t="shared" si="0"/>
        <v>26.356559139784938</v>
      </c>
      <c r="I38" s="16">
        <f t="shared" si="0"/>
        <v>0.62333333333333296</v>
      </c>
      <c r="J38" s="16">
        <f t="shared" si="0"/>
        <v>0.1889583333333332</v>
      </c>
      <c r="K38" s="16">
        <f t="shared" si="0"/>
        <v>62.137916666666676</v>
      </c>
      <c r="L38" s="16">
        <f t="shared" si="0"/>
        <v>21.893437500000008</v>
      </c>
      <c r="M38" s="16">
        <f t="shared" si="0"/>
        <v>26.967500000000005</v>
      </c>
      <c r="N38" s="16">
        <f t="shared" si="0"/>
        <v>131.35208333333335</v>
      </c>
      <c r="O38" s="16">
        <f t="shared" si="0"/>
        <v>0</v>
      </c>
      <c r="P38" s="16">
        <f t="shared" si="0"/>
        <v>0.98354166666666609</v>
      </c>
      <c r="Q38" s="16">
        <f t="shared" si="0"/>
        <v>18.663541666666667</v>
      </c>
      <c r="R38" s="16"/>
      <c r="S38" s="16"/>
      <c r="T38" s="16"/>
      <c r="U38" s="16"/>
    </row>
    <row r="39" spans="1:21" s="54" customFormat="1" x14ac:dyDescent="0.25">
      <c r="A39" s="94" t="s">
        <v>60</v>
      </c>
      <c r="B39" s="16">
        <f t="shared" ref="B39:Q39" si="1">MAX(B9:B36)</f>
        <v>112.11937500000003</v>
      </c>
      <c r="C39" s="16">
        <f t="shared" si="1"/>
        <v>135.57083333333333</v>
      </c>
      <c r="D39" s="16">
        <f t="shared" si="1"/>
        <v>163.54104166666664</v>
      </c>
      <c r="E39" s="16">
        <f t="shared" si="1"/>
        <v>15.245520833333337</v>
      </c>
      <c r="F39" s="16">
        <f t="shared" si="1"/>
        <v>16.842210526315796</v>
      </c>
      <c r="G39" s="16">
        <f t="shared" si="1"/>
        <v>148.64250000000001</v>
      </c>
      <c r="H39" s="16">
        <f t="shared" si="1"/>
        <v>78.167604166666678</v>
      </c>
      <c r="I39" s="16">
        <f t="shared" si="1"/>
        <v>1.3111538461538461</v>
      </c>
      <c r="J39" s="16">
        <f t="shared" si="1"/>
        <v>0.84249999999999969</v>
      </c>
      <c r="K39" s="16">
        <f t="shared" si="1"/>
        <v>222.87218750000011</v>
      </c>
      <c r="L39" s="16">
        <f t="shared" si="1"/>
        <v>27.312291666666667</v>
      </c>
      <c r="M39" s="16">
        <f t="shared" si="1"/>
        <v>48.385520833333345</v>
      </c>
      <c r="N39" s="16">
        <f t="shared" si="1"/>
        <v>177.13958333333335</v>
      </c>
      <c r="O39" s="16">
        <f t="shared" si="1"/>
        <v>0</v>
      </c>
      <c r="P39" s="16">
        <f t="shared" si="1"/>
        <v>2.1673958333333334</v>
      </c>
      <c r="Q39" s="16">
        <f t="shared" si="1"/>
        <v>36.92135416666666</v>
      </c>
      <c r="R39" s="16"/>
      <c r="S39" s="16"/>
      <c r="T39" s="16"/>
      <c r="U39" s="16"/>
    </row>
    <row r="40" spans="1:21" s="54" customFormat="1" x14ac:dyDescent="0.25">
      <c r="A40" s="94" t="s">
        <v>61</v>
      </c>
      <c r="B40" s="16">
        <f t="shared" ref="B40:Q40" si="2">AVERAGE(B9:B36)</f>
        <v>44.211926564230339</v>
      </c>
      <c r="C40" s="16">
        <f t="shared" si="2"/>
        <v>99.037043794988904</v>
      </c>
      <c r="D40" s="16">
        <f t="shared" si="2"/>
        <v>89.855513652408632</v>
      </c>
      <c r="E40" s="16">
        <f t="shared" si="2"/>
        <v>7.9724451593137244</v>
      </c>
      <c r="F40" s="16">
        <f t="shared" si="2"/>
        <v>6.808682186820147</v>
      </c>
      <c r="G40" s="16">
        <f t="shared" si="2"/>
        <v>99.122521669028757</v>
      </c>
      <c r="H40" s="16">
        <f t="shared" si="2"/>
        <v>43.956393469117863</v>
      </c>
      <c r="I40" s="16">
        <f t="shared" si="2"/>
        <v>0.80681024850288741</v>
      </c>
      <c r="J40" s="16">
        <f t="shared" si="2"/>
        <v>0.43233714613237634</v>
      </c>
      <c r="K40" s="16">
        <f t="shared" si="2"/>
        <v>153.32449492338804</v>
      </c>
      <c r="L40" s="16">
        <f t="shared" si="2"/>
        <v>25.069311079545461</v>
      </c>
      <c r="M40" s="16">
        <f t="shared" si="2"/>
        <v>37.516327786796531</v>
      </c>
      <c r="N40" s="16">
        <f t="shared" si="2"/>
        <v>159.2376724837662</v>
      </c>
      <c r="O40" s="16">
        <f t="shared" si="2"/>
        <v>0</v>
      </c>
      <c r="P40" s="16">
        <f t="shared" si="2"/>
        <v>1.5029475831280787</v>
      </c>
      <c r="Q40" s="16">
        <f t="shared" si="2"/>
        <v>28.30702923603652</v>
      </c>
      <c r="R40" s="16"/>
      <c r="S40" s="16"/>
      <c r="T40" s="16"/>
      <c r="U40" s="16"/>
    </row>
    <row r="41" spans="1:21" s="54" customFormat="1" x14ac:dyDescent="0.25">
      <c r="A41" s="94" t="s">
        <v>77</v>
      </c>
      <c r="B41" s="16">
        <f t="shared" ref="B41:Q41" si="3">STDEV(B9:B36)</f>
        <v>26.602989867981577</v>
      </c>
      <c r="C41" s="16">
        <f t="shared" si="3"/>
        <v>17.184326566781024</v>
      </c>
      <c r="D41" s="16">
        <f t="shared" si="3"/>
        <v>27.338899160634778</v>
      </c>
      <c r="E41" s="16">
        <f t="shared" si="3"/>
        <v>2.200417466299831</v>
      </c>
      <c r="F41" s="16">
        <f t="shared" si="3"/>
        <v>3.0668726911398414</v>
      </c>
      <c r="G41" s="16">
        <f t="shared" si="3"/>
        <v>22.452689078224125</v>
      </c>
      <c r="H41" s="16">
        <f t="shared" si="3"/>
        <v>12.25102054592492</v>
      </c>
      <c r="I41" s="16">
        <f t="shared" si="3"/>
        <v>0.16360632131101596</v>
      </c>
      <c r="J41" s="16">
        <f t="shared" si="3"/>
        <v>0.16120348052099687</v>
      </c>
      <c r="K41" s="16">
        <f t="shared" si="3"/>
        <v>43.132702021757005</v>
      </c>
      <c r="L41" s="16">
        <f t="shared" si="3"/>
        <v>1.7896589255168571</v>
      </c>
      <c r="M41" s="16">
        <f t="shared" si="3"/>
        <v>4.9438253912377208</v>
      </c>
      <c r="N41" s="16">
        <f t="shared" si="3"/>
        <v>11.970619940660438</v>
      </c>
      <c r="O41" s="16">
        <f t="shared" si="3"/>
        <v>0</v>
      </c>
      <c r="P41" s="16">
        <f t="shared" si="3"/>
        <v>0.34277905698582523</v>
      </c>
      <c r="Q41" s="16">
        <f t="shared" si="3"/>
        <v>4.1525211966547984</v>
      </c>
      <c r="R41" s="16"/>
      <c r="S41" s="16"/>
      <c r="T41" s="16"/>
      <c r="U41" s="16"/>
    </row>
    <row r="42" spans="1:21" s="54" customFormat="1" x14ac:dyDescent="0.25">
      <c r="A42" s="94" t="s">
        <v>62</v>
      </c>
      <c r="B42" s="13">
        <f t="shared" ref="B42:H42" si="4">COUNT(B9:B36)</f>
        <v>28</v>
      </c>
      <c r="C42" s="13">
        <f t="shared" si="4"/>
        <v>28</v>
      </c>
      <c r="D42" s="13">
        <f t="shared" si="4"/>
        <v>28</v>
      </c>
      <c r="E42" s="13">
        <f t="shared" si="4"/>
        <v>28</v>
      </c>
      <c r="F42" s="13">
        <f t="shared" si="4"/>
        <v>28</v>
      </c>
      <c r="G42" s="13">
        <f t="shared" si="4"/>
        <v>28</v>
      </c>
      <c r="H42" s="13">
        <f t="shared" si="4"/>
        <v>28</v>
      </c>
      <c r="I42" s="13">
        <f>COUNT(I9:I36)+2</f>
        <v>28</v>
      </c>
      <c r="J42" s="13">
        <f t="shared" ref="J42:Q42" si="5">COUNT(J9:J36)</f>
        <v>28</v>
      </c>
      <c r="K42" s="13">
        <f t="shared" si="5"/>
        <v>28</v>
      </c>
      <c r="L42" s="13">
        <f t="shared" si="5"/>
        <v>28</v>
      </c>
      <c r="M42" s="13">
        <f t="shared" si="5"/>
        <v>28</v>
      </c>
      <c r="N42" s="13">
        <f t="shared" si="5"/>
        <v>28</v>
      </c>
      <c r="O42" s="13">
        <f t="shared" si="5"/>
        <v>28</v>
      </c>
      <c r="P42" s="13">
        <f t="shared" si="5"/>
        <v>28</v>
      </c>
      <c r="Q42" s="13">
        <f t="shared" si="5"/>
        <v>28</v>
      </c>
      <c r="R42" s="13"/>
      <c r="S42" s="13"/>
      <c r="T42" s="13"/>
      <c r="U42" s="13"/>
    </row>
    <row r="43" spans="1:21" s="54" customFormat="1" x14ac:dyDescent="0.25">
      <c r="A43" s="94" t="s">
        <v>63</v>
      </c>
      <c r="B43" s="13" t="str">
        <f>IF(B42&gt;=28,"&gt;90%",IF(B42&lt;=28,"&lt;90%"))</f>
        <v>&gt;90%</v>
      </c>
      <c r="C43" s="13" t="str">
        <f t="shared" ref="C43:Q43" si="6">IF(C42&gt;=28,"&gt;90%",IF(C42&lt;=28,"&lt;90%"))</f>
        <v>&gt;90%</v>
      </c>
      <c r="D43" s="13" t="str">
        <f t="shared" si="6"/>
        <v>&gt;90%</v>
      </c>
      <c r="E43" s="13" t="str">
        <f t="shared" si="6"/>
        <v>&gt;90%</v>
      </c>
      <c r="F43" s="13" t="str">
        <f t="shared" si="6"/>
        <v>&gt;90%</v>
      </c>
      <c r="G43" s="13" t="str">
        <f t="shared" si="6"/>
        <v>&gt;90%</v>
      </c>
      <c r="H43" s="13" t="str">
        <f t="shared" si="6"/>
        <v>&gt;90%</v>
      </c>
      <c r="I43" s="13" t="str">
        <f t="shared" si="6"/>
        <v>&gt;90%</v>
      </c>
      <c r="J43" s="13" t="str">
        <f t="shared" si="6"/>
        <v>&gt;90%</v>
      </c>
      <c r="K43" s="13" t="str">
        <f t="shared" si="6"/>
        <v>&gt;90%</v>
      </c>
      <c r="L43" s="13" t="str">
        <f t="shared" si="6"/>
        <v>&gt;90%</v>
      </c>
      <c r="M43" s="13" t="str">
        <f t="shared" si="6"/>
        <v>&gt;90%</v>
      </c>
      <c r="N43" s="13" t="str">
        <f t="shared" si="6"/>
        <v>&gt;90%</v>
      </c>
      <c r="O43" s="13" t="str">
        <f t="shared" si="6"/>
        <v>&gt;90%</v>
      </c>
      <c r="P43" s="13" t="str">
        <f t="shared" si="6"/>
        <v>&gt;90%</v>
      </c>
      <c r="Q43" s="13" t="str">
        <f t="shared" si="6"/>
        <v>&gt;90%</v>
      </c>
      <c r="R43" s="13"/>
      <c r="S43" s="13"/>
      <c r="T43" s="13"/>
      <c r="U43" s="13"/>
    </row>
    <row r="44" spans="1:21" x14ac:dyDescent="0.25">
      <c r="A44" s="94" t="s">
        <v>5</v>
      </c>
      <c r="B44" s="13" t="str">
        <f>IF(B42&gt;=28,"OK",IF(B42&lt;=28,"LESS"))</f>
        <v>OK</v>
      </c>
      <c r="C44" s="13" t="str">
        <f t="shared" ref="C44:Q44" si="7">IF(C42&gt;=28,"OK",IF(C42&lt;=28,"LESS"))</f>
        <v>OK</v>
      </c>
      <c r="D44" s="13" t="str">
        <f t="shared" si="7"/>
        <v>OK</v>
      </c>
      <c r="E44" s="13" t="str">
        <f t="shared" si="7"/>
        <v>OK</v>
      </c>
      <c r="F44" s="13" t="str">
        <f t="shared" si="7"/>
        <v>OK</v>
      </c>
      <c r="G44" s="13" t="str">
        <f t="shared" si="7"/>
        <v>OK</v>
      </c>
      <c r="H44" s="13" t="str">
        <f t="shared" si="7"/>
        <v>OK</v>
      </c>
      <c r="I44" s="13" t="str">
        <f t="shared" si="7"/>
        <v>OK</v>
      </c>
      <c r="J44" s="13" t="str">
        <f t="shared" si="7"/>
        <v>OK</v>
      </c>
      <c r="K44" s="13" t="str">
        <f t="shared" si="7"/>
        <v>OK</v>
      </c>
      <c r="L44" s="13" t="str">
        <f t="shared" si="7"/>
        <v>OK</v>
      </c>
      <c r="M44" s="13" t="str">
        <f t="shared" si="7"/>
        <v>OK</v>
      </c>
      <c r="N44" s="13" t="str">
        <f t="shared" si="7"/>
        <v>OK</v>
      </c>
      <c r="O44" s="13" t="str">
        <f t="shared" si="7"/>
        <v>OK</v>
      </c>
      <c r="P44" s="13" t="str">
        <f t="shared" si="7"/>
        <v>OK</v>
      </c>
      <c r="Q44" s="13" t="str">
        <f t="shared" si="7"/>
        <v>OK</v>
      </c>
      <c r="R44" s="13"/>
      <c r="S44" s="13"/>
      <c r="T44" s="13"/>
      <c r="U44" s="13"/>
    </row>
    <row r="45" spans="1:21" x14ac:dyDescent="0.25"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7" spans="1:21" x14ac:dyDescent="0.25">
      <c r="A47" s="94" t="s">
        <v>64</v>
      </c>
      <c r="B47" s="107" t="s">
        <v>215</v>
      </c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</row>
    <row r="48" spans="1:21" x14ac:dyDescent="0.25">
      <c r="A48" s="97"/>
      <c r="B48" s="54"/>
      <c r="C48" s="54"/>
      <c r="D48" s="2"/>
      <c r="E48" s="2"/>
      <c r="F48" s="2"/>
      <c r="G48" s="2"/>
      <c r="H48" s="2"/>
      <c r="I48" s="2"/>
      <c r="J48" s="54"/>
      <c r="K48" s="54"/>
      <c r="L48" s="54"/>
      <c r="M48" s="54"/>
      <c r="N48" s="54"/>
      <c r="O48" s="54"/>
      <c r="P48" s="54"/>
    </row>
    <row r="49" spans="1:16" ht="15.75" x14ac:dyDescent="0.25">
      <c r="A49" s="98" t="s">
        <v>65</v>
      </c>
      <c r="B49" s="219"/>
      <c r="C49" s="219"/>
      <c r="D49" s="219"/>
      <c r="E49" s="219"/>
      <c r="F49" s="219"/>
      <c r="G49" s="219"/>
      <c r="H49" s="219"/>
      <c r="I49" s="219"/>
      <c r="J49" s="219"/>
      <c r="K49" s="219"/>
      <c r="L49" s="219"/>
      <c r="M49" s="219"/>
      <c r="N49" s="219"/>
      <c r="O49" s="219"/>
      <c r="P49" s="219"/>
    </row>
    <row r="50" spans="1:16" x14ac:dyDescent="0.25">
      <c r="A50" s="97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</row>
    <row r="51" spans="1:16" x14ac:dyDescent="0.25">
      <c r="A51" s="97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</row>
    <row r="52" spans="1:16" x14ac:dyDescent="0.25">
      <c r="A52" s="97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</row>
  </sheetData>
  <mergeCells count="1">
    <mergeCell ref="B49:P49"/>
  </mergeCells>
  <pageMargins left="0.17" right="0.17" top="0.19" bottom="0.16" header="0.17" footer="0.16"/>
  <pageSetup paperSize="9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9"/>
  <sheetViews>
    <sheetView tabSelected="1" zoomScale="85" zoomScaleNormal="85" workbookViewId="0">
      <selection activeCell="H3" sqref="H3"/>
    </sheetView>
  </sheetViews>
  <sheetFormatPr defaultColWidth="8.85546875" defaultRowHeight="15" x14ac:dyDescent="0.25"/>
  <cols>
    <col min="1" max="1" width="4.5703125" style="24" customWidth="1"/>
    <col min="2" max="2" width="16.140625" style="1" bestFit="1" customWidth="1"/>
    <col min="3" max="3" width="10.28515625" style="19" customWidth="1"/>
    <col min="4" max="7" width="9.140625" style="19" customWidth="1"/>
    <col min="8" max="8" width="9.140625" style="22" customWidth="1"/>
    <col min="9" max="12" width="9.140625" style="19" customWidth="1"/>
    <col min="13" max="13" width="13.28515625" style="19" customWidth="1"/>
    <col min="14" max="14" width="5.7109375" style="19" customWidth="1"/>
    <col min="15" max="15" width="16.140625" style="25" bestFit="1" customWidth="1"/>
    <col min="16" max="16" width="10.85546875" style="25" bestFit="1" customWidth="1"/>
    <col min="17" max="17" width="15.42578125" style="25" customWidth="1"/>
    <col min="18" max="18" width="13.42578125" style="25" customWidth="1"/>
    <col min="19" max="19" width="16.85546875" style="84" customWidth="1"/>
    <col min="20" max="20" width="10" style="84" customWidth="1"/>
    <col min="21" max="21" width="12.85546875" style="25" customWidth="1"/>
    <col min="22" max="22" width="10.7109375" style="25" bestFit="1" customWidth="1"/>
    <col min="23" max="23" width="8.85546875" style="19"/>
    <col min="24" max="24" width="10.85546875" style="19" customWidth="1"/>
    <col min="25" max="16384" width="8.85546875" style="19"/>
  </cols>
  <sheetData>
    <row r="1" spans="2:24" ht="24" customHeight="1" thickBot="1" x14ac:dyDescent="0.3">
      <c r="B1" s="54"/>
      <c r="C1" s="111" t="s">
        <v>9</v>
      </c>
      <c r="D1" s="220" t="s">
        <v>242</v>
      </c>
      <c r="E1" s="220"/>
      <c r="F1" s="220"/>
      <c r="G1" s="220"/>
      <c r="H1" s="220"/>
      <c r="I1" s="220"/>
      <c r="J1" s="221"/>
    </row>
    <row r="2" spans="2:24" ht="22.5" customHeight="1" thickBot="1" x14ac:dyDescent="0.3">
      <c r="B2" s="54"/>
      <c r="C2" s="111" t="s">
        <v>0</v>
      </c>
      <c r="D2" s="112" t="s">
        <v>2936</v>
      </c>
      <c r="E2" s="113"/>
      <c r="F2" s="113"/>
      <c r="G2" s="114"/>
      <c r="H2" s="115"/>
      <c r="I2" s="115"/>
      <c r="J2" s="116"/>
    </row>
    <row r="4" spans="2:24" ht="15.75" thickBot="1" x14ac:dyDescent="0.3">
      <c r="S4" s="25"/>
      <c r="T4" s="25"/>
      <c r="U4" s="84"/>
      <c r="V4" s="84"/>
      <c r="W4" s="25"/>
      <c r="X4" s="25"/>
    </row>
    <row r="5" spans="2:24" x14ac:dyDescent="0.25">
      <c r="B5" s="49"/>
      <c r="C5" s="40"/>
      <c r="D5" s="40"/>
      <c r="E5" s="40"/>
      <c r="F5" s="40"/>
      <c r="G5" s="224" t="s">
        <v>1</v>
      </c>
      <c r="H5" s="224"/>
      <c r="I5" s="40"/>
      <c r="J5" s="40"/>
      <c r="K5" s="40"/>
      <c r="L5" s="40"/>
      <c r="M5" s="41"/>
      <c r="O5" s="68"/>
      <c r="P5" s="69"/>
      <c r="Q5" s="69"/>
      <c r="R5" s="69"/>
      <c r="S5" s="208" t="s">
        <v>239</v>
      </c>
      <c r="T5" s="69"/>
      <c r="U5" s="85"/>
      <c r="V5" s="85"/>
      <c r="W5" s="69"/>
      <c r="X5" s="70"/>
    </row>
    <row r="6" spans="2:24" x14ac:dyDescent="0.25">
      <c r="B6" s="43"/>
      <c r="C6" s="37"/>
      <c r="D6" s="37"/>
      <c r="E6" s="37"/>
      <c r="F6" s="37"/>
      <c r="G6" s="37"/>
      <c r="H6" s="61"/>
      <c r="I6" s="37"/>
      <c r="J6" s="37"/>
      <c r="K6" s="37"/>
      <c r="L6" s="37"/>
      <c r="M6" s="42"/>
      <c r="O6" s="71"/>
      <c r="P6" s="64"/>
      <c r="Q6" s="64"/>
      <c r="R6" s="64"/>
      <c r="S6" s="64"/>
      <c r="T6" s="64"/>
      <c r="U6" s="86"/>
      <c r="V6" s="86"/>
      <c r="W6" s="64"/>
      <c r="X6" s="72"/>
    </row>
    <row r="7" spans="2:24" ht="15.75" x14ac:dyDescent="0.3">
      <c r="B7" s="92" t="s">
        <v>10</v>
      </c>
      <c r="C7" s="38" t="s">
        <v>11</v>
      </c>
      <c r="D7" s="38" t="s">
        <v>12</v>
      </c>
      <c r="E7" s="38" t="s">
        <v>13</v>
      </c>
      <c r="F7" s="38" t="s">
        <v>14</v>
      </c>
      <c r="G7" s="38" t="s">
        <v>15</v>
      </c>
      <c r="H7" s="102" t="s">
        <v>16</v>
      </c>
      <c r="I7" s="38" t="s">
        <v>17</v>
      </c>
      <c r="J7" s="38" t="s">
        <v>18</v>
      </c>
      <c r="K7" s="38" t="s">
        <v>19</v>
      </c>
      <c r="L7" s="38" t="s">
        <v>5</v>
      </c>
      <c r="M7" s="29" t="s">
        <v>20</v>
      </c>
      <c r="O7" s="73" t="s">
        <v>10</v>
      </c>
      <c r="P7" s="74" t="s">
        <v>11</v>
      </c>
      <c r="Q7" s="74" t="s">
        <v>76</v>
      </c>
      <c r="R7" s="74" t="s">
        <v>39</v>
      </c>
      <c r="S7" s="74" t="s">
        <v>72</v>
      </c>
      <c r="T7" s="74" t="s">
        <v>73</v>
      </c>
      <c r="U7" s="87" t="s">
        <v>74</v>
      </c>
      <c r="V7" s="87" t="s">
        <v>75</v>
      </c>
      <c r="W7" s="74" t="s">
        <v>5</v>
      </c>
      <c r="X7" s="75" t="s">
        <v>20</v>
      </c>
    </row>
    <row r="8" spans="2:24" ht="15.75" x14ac:dyDescent="0.25">
      <c r="B8" s="63" t="s">
        <v>1495</v>
      </c>
      <c r="C8" s="60" t="s">
        <v>1</v>
      </c>
      <c r="D8" s="60" t="s">
        <v>51</v>
      </c>
      <c r="E8" s="60">
        <v>0</v>
      </c>
      <c r="F8" s="60">
        <v>200</v>
      </c>
      <c r="G8" s="60">
        <v>0</v>
      </c>
      <c r="H8" s="61">
        <v>199.2</v>
      </c>
      <c r="I8" s="60">
        <v>0</v>
      </c>
      <c r="J8" s="61">
        <f>F8/H8</f>
        <v>1.0040160642570282</v>
      </c>
      <c r="K8" s="61">
        <f>(H8-F8)*100/F8</f>
        <v>-0.40000000000000568</v>
      </c>
      <c r="L8" s="60" t="s">
        <v>67</v>
      </c>
      <c r="M8" s="78" t="s">
        <v>215</v>
      </c>
      <c r="O8" s="63">
        <v>44965.486111111109</v>
      </c>
      <c r="P8" s="64" t="s">
        <v>70</v>
      </c>
      <c r="Q8" s="64">
        <v>4754.26</v>
      </c>
      <c r="R8" s="64">
        <v>3604.64</v>
      </c>
      <c r="S8" s="77" t="s">
        <v>1494</v>
      </c>
      <c r="T8" s="77">
        <v>844.48</v>
      </c>
      <c r="U8" s="86">
        <v>0.89419999999999999</v>
      </c>
      <c r="V8" s="86">
        <v>0.8841</v>
      </c>
      <c r="W8" s="60" t="s">
        <v>67</v>
      </c>
      <c r="X8" s="78" t="s">
        <v>215</v>
      </c>
    </row>
    <row r="9" spans="2:24" ht="15.75" x14ac:dyDescent="0.25">
      <c r="B9" s="63">
        <v>44973.506944444445</v>
      </c>
      <c r="C9" s="60" t="s">
        <v>1</v>
      </c>
      <c r="D9" s="60" t="s">
        <v>51</v>
      </c>
      <c r="E9" s="60">
        <v>0</v>
      </c>
      <c r="F9" s="60">
        <v>200</v>
      </c>
      <c r="G9" s="60">
        <v>0</v>
      </c>
      <c r="H9" s="61">
        <v>195</v>
      </c>
      <c r="I9" s="60">
        <v>0</v>
      </c>
      <c r="J9" s="61">
        <f t="shared" ref="J9:J14" si="0">F9/H9</f>
        <v>1.0256410256410255</v>
      </c>
      <c r="K9" s="61">
        <f t="shared" ref="K9:K14" si="1">(H9-F9)*100/F9</f>
        <v>-2.5</v>
      </c>
      <c r="L9" s="60" t="s">
        <v>67</v>
      </c>
      <c r="M9" s="62" t="s">
        <v>215</v>
      </c>
      <c r="O9" s="63">
        <v>44973.475694444445</v>
      </c>
      <c r="P9" s="64" t="s">
        <v>70</v>
      </c>
      <c r="Q9" s="64">
        <v>5163.87</v>
      </c>
      <c r="R9" s="64">
        <v>3924.04</v>
      </c>
      <c r="S9" s="77" t="s">
        <v>1494</v>
      </c>
      <c r="T9" s="77">
        <v>827.97</v>
      </c>
      <c r="U9" s="86">
        <v>0.8841</v>
      </c>
      <c r="V9" s="86">
        <v>0.89159999999999995</v>
      </c>
      <c r="W9" s="60" t="s">
        <v>67</v>
      </c>
      <c r="X9" s="62" t="s">
        <v>215</v>
      </c>
    </row>
    <row r="10" spans="2:24" ht="15.75" x14ac:dyDescent="0.25">
      <c r="B10" s="63">
        <v>44978.479166666664</v>
      </c>
      <c r="C10" s="60" t="s">
        <v>1</v>
      </c>
      <c r="D10" s="60" t="s">
        <v>51</v>
      </c>
      <c r="E10" s="60">
        <v>0</v>
      </c>
      <c r="F10" s="60">
        <v>200</v>
      </c>
      <c r="G10" s="60">
        <v>0</v>
      </c>
      <c r="H10" s="61">
        <v>205.5</v>
      </c>
      <c r="I10" s="60">
        <v>0</v>
      </c>
      <c r="J10" s="61">
        <f t="shared" si="0"/>
        <v>0.97323600973236013</v>
      </c>
      <c r="K10" s="61">
        <f t="shared" si="1"/>
        <v>2.75</v>
      </c>
      <c r="L10" s="60" t="s">
        <v>67</v>
      </c>
      <c r="M10" s="62" t="s">
        <v>215</v>
      </c>
      <c r="O10" s="63">
        <v>44978.482638888891</v>
      </c>
      <c r="P10" s="64" t="s">
        <v>70</v>
      </c>
      <c r="Q10" s="64">
        <v>5026.6099999999997</v>
      </c>
      <c r="R10" s="64">
        <v>3817.22</v>
      </c>
      <c r="S10" s="77" t="s">
        <v>1494</v>
      </c>
      <c r="T10" s="77">
        <v>834.41</v>
      </c>
      <c r="U10" s="86">
        <v>0.89159999999999995</v>
      </c>
      <c r="V10" s="86">
        <v>0.89229999999999998</v>
      </c>
      <c r="W10" s="60" t="s">
        <v>67</v>
      </c>
      <c r="X10" s="62" t="s">
        <v>215</v>
      </c>
    </row>
    <row r="11" spans="2:24" ht="15.75" x14ac:dyDescent="0.25">
      <c r="B11" s="63"/>
      <c r="C11" s="60" t="s">
        <v>1</v>
      </c>
      <c r="D11" s="60" t="s">
        <v>51</v>
      </c>
      <c r="E11" s="60">
        <v>0</v>
      </c>
      <c r="F11" s="60">
        <v>200</v>
      </c>
      <c r="G11" s="60">
        <v>0</v>
      </c>
      <c r="H11" s="61"/>
      <c r="I11" s="60">
        <v>0</v>
      </c>
      <c r="J11" s="61" t="e">
        <f t="shared" si="0"/>
        <v>#DIV/0!</v>
      </c>
      <c r="K11" s="61">
        <f t="shared" si="1"/>
        <v>-100</v>
      </c>
      <c r="L11" s="60" t="s">
        <v>67</v>
      </c>
      <c r="M11" s="62" t="s">
        <v>215</v>
      </c>
      <c r="O11" s="63"/>
      <c r="P11" s="64" t="s">
        <v>70</v>
      </c>
      <c r="Q11" s="64"/>
      <c r="R11" s="64"/>
      <c r="S11" s="77" t="s">
        <v>1494</v>
      </c>
      <c r="T11" s="77"/>
      <c r="U11" s="86"/>
      <c r="V11" s="86"/>
      <c r="W11" s="60" t="s">
        <v>67</v>
      </c>
      <c r="X11" s="62"/>
    </row>
    <row r="12" spans="2:24" ht="15.75" x14ac:dyDescent="0.25">
      <c r="B12" s="63"/>
      <c r="C12" s="60" t="s">
        <v>1</v>
      </c>
      <c r="D12" s="60" t="s">
        <v>51</v>
      </c>
      <c r="E12" s="60">
        <v>0</v>
      </c>
      <c r="F12" s="60">
        <v>100</v>
      </c>
      <c r="G12" s="60">
        <v>0</v>
      </c>
      <c r="H12" s="61"/>
      <c r="I12" s="60">
        <v>0</v>
      </c>
      <c r="J12" s="61" t="e">
        <f t="shared" si="0"/>
        <v>#DIV/0!</v>
      </c>
      <c r="K12" s="61">
        <f t="shared" si="1"/>
        <v>-100</v>
      </c>
      <c r="L12" s="60" t="s">
        <v>67</v>
      </c>
      <c r="M12" s="62"/>
      <c r="O12" s="63"/>
      <c r="P12" s="64" t="s">
        <v>70</v>
      </c>
      <c r="Q12" s="64"/>
      <c r="R12" s="64"/>
      <c r="S12" s="77"/>
      <c r="T12" s="77"/>
      <c r="U12" s="86"/>
      <c r="V12" s="86"/>
      <c r="W12" s="60" t="s">
        <v>67</v>
      </c>
      <c r="X12" s="62"/>
    </row>
    <row r="13" spans="2:24" ht="15.75" x14ac:dyDescent="0.25">
      <c r="B13" s="63"/>
      <c r="C13" s="60" t="s">
        <v>1</v>
      </c>
      <c r="D13" s="60" t="s">
        <v>51</v>
      </c>
      <c r="E13" s="60">
        <v>0</v>
      </c>
      <c r="F13" s="60">
        <v>100</v>
      </c>
      <c r="G13" s="60">
        <v>0</v>
      </c>
      <c r="H13" s="61"/>
      <c r="I13" s="60">
        <v>0</v>
      </c>
      <c r="J13" s="61" t="e">
        <f t="shared" si="0"/>
        <v>#DIV/0!</v>
      </c>
      <c r="K13" s="61">
        <f t="shared" si="1"/>
        <v>-100</v>
      </c>
      <c r="L13" s="60" t="s">
        <v>67</v>
      </c>
      <c r="M13" s="62"/>
      <c r="O13" s="63"/>
      <c r="P13" s="64" t="s">
        <v>70</v>
      </c>
      <c r="Q13" s="64"/>
      <c r="R13" s="64"/>
      <c r="S13" s="77"/>
      <c r="T13" s="77"/>
      <c r="U13" s="86"/>
      <c r="V13" s="86"/>
      <c r="W13" s="60" t="s">
        <v>67</v>
      </c>
      <c r="X13" s="62"/>
    </row>
    <row r="14" spans="2:24" ht="15.75" x14ac:dyDescent="0.25">
      <c r="B14" s="63"/>
      <c r="C14" s="60" t="s">
        <v>1</v>
      </c>
      <c r="D14" s="60" t="s">
        <v>51</v>
      </c>
      <c r="E14" s="60">
        <v>0</v>
      </c>
      <c r="F14" s="60">
        <v>100</v>
      </c>
      <c r="G14" s="60">
        <v>0</v>
      </c>
      <c r="H14" s="61"/>
      <c r="I14" s="60">
        <v>0</v>
      </c>
      <c r="J14" s="61" t="e">
        <f t="shared" si="0"/>
        <v>#DIV/0!</v>
      </c>
      <c r="K14" s="61">
        <f t="shared" si="1"/>
        <v>-100</v>
      </c>
      <c r="L14" s="60" t="s">
        <v>67</v>
      </c>
      <c r="M14" s="62"/>
      <c r="O14" s="63"/>
      <c r="P14" s="64" t="s">
        <v>70</v>
      </c>
      <c r="Q14" s="64"/>
      <c r="R14" s="64"/>
      <c r="S14" s="77"/>
      <c r="T14" s="77"/>
      <c r="U14" s="86"/>
      <c r="V14" s="86"/>
      <c r="W14" s="60" t="s">
        <v>67</v>
      </c>
      <c r="X14" s="78"/>
    </row>
    <row r="15" spans="2:24" ht="15.75" x14ac:dyDescent="0.25">
      <c r="B15" s="63"/>
      <c r="C15" s="60"/>
      <c r="D15" s="60"/>
      <c r="E15" s="60"/>
      <c r="F15" s="60"/>
      <c r="G15" s="60"/>
      <c r="H15" s="61"/>
      <c r="I15" s="60"/>
      <c r="J15" s="61"/>
      <c r="K15" s="61"/>
      <c r="L15" s="60"/>
      <c r="M15" s="62"/>
      <c r="O15" s="63"/>
      <c r="P15" s="64" t="s">
        <v>70</v>
      </c>
      <c r="Q15" s="64"/>
      <c r="R15" s="64"/>
      <c r="S15" s="77"/>
      <c r="T15" s="77"/>
      <c r="U15" s="86"/>
      <c r="V15" s="86"/>
      <c r="W15" s="60" t="s">
        <v>67</v>
      </c>
      <c r="X15" s="78"/>
    </row>
    <row r="16" spans="2:24" ht="15.75" x14ac:dyDescent="0.25">
      <c r="B16" s="63"/>
      <c r="C16" s="60"/>
      <c r="D16" s="60"/>
      <c r="E16" s="60"/>
      <c r="F16" s="60"/>
      <c r="G16" s="37"/>
      <c r="H16" s="61"/>
      <c r="I16" s="60"/>
      <c r="J16" s="61"/>
      <c r="K16" s="61"/>
      <c r="L16" s="60"/>
      <c r="M16" s="62"/>
      <c r="O16" s="63"/>
      <c r="P16" s="64" t="s">
        <v>70</v>
      </c>
      <c r="Q16" s="64"/>
      <c r="R16" s="64"/>
      <c r="S16" s="77"/>
      <c r="T16" s="77"/>
      <c r="U16" s="86"/>
      <c r="V16" s="86"/>
      <c r="W16" s="60" t="s">
        <v>67</v>
      </c>
      <c r="X16" s="78"/>
    </row>
    <row r="17" spans="2:24" ht="15.75" x14ac:dyDescent="0.25">
      <c r="B17" s="63"/>
      <c r="C17" s="60"/>
      <c r="D17" s="60"/>
      <c r="E17" s="60"/>
      <c r="F17" s="60"/>
      <c r="G17" s="60"/>
      <c r="H17" s="61"/>
      <c r="I17" s="60"/>
      <c r="J17" s="61"/>
      <c r="K17" s="61"/>
      <c r="L17" s="60"/>
      <c r="M17" s="62"/>
      <c r="O17" s="63"/>
      <c r="P17" s="64" t="s">
        <v>70</v>
      </c>
      <c r="Q17" s="64"/>
      <c r="R17" s="64"/>
      <c r="S17" s="77"/>
      <c r="T17" s="77"/>
      <c r="U17" s="86"/>
      <c r="V17" s="86"/>
      <c r="W17" s="60"/>
      <c r="X17" s="78"/>
    </row>
    <row r="18" spans="2:24" ht="15.75" x14ac:dyDescent="0.25">
      <c r="B18" s="59"/>
      <c r="C18" s="60"/>
      <c r="D18" s="60"/>
      <c r="E18" s="60"/>
      <c r="F18" s="60"/>
      <c r="G18" s="37"/>
      <c r="H18" s="61"/>
      <c r="I18" s="60"/>
      <c r="J18" s="61"/>
      <c r="K18" s="61"/>
      <c r="L18" s="60"/>
      <c r="M18" s="62"/>
      <c r="O18" s="76"/>
      <c r="P18" s="64"/>
      <c r="Q18" s="64"/>
      <c r="R18" s="64"/>
      <c r="S18" s="77"/>
      <c r="T18" s="77"/>
      <c r="U18" s="86"/>
      <c r="V18" s="86"/>
      <c r="W18" s="60"/>
      <c r="X18" s="78"/>
    </row>
    <row r="19" spans="2:24" ht="15.75" x14ac:dyDescent="0.25">
      <c r="B19" s="59"/>
      <c r="C19" s="60"/>
      <c r="D19" s="60"/>
      <c r="E19" s="60"/>
      <c r="F19" s="60"/>
      <c r="G19" s="37"/>
      <c r="H19" s="61"/>
      <c r="I19" s="60"/>
      <c r="J19" s="61"/>
      <c r="K19" s="61"/>
      <c r="L19" s="60"/>
      <c r="M19" s="62"/>
      <c r="O19" s="79"/>
      <c r="P19" s="64"/>
      <c r="Q19" s="64"/>
      <c r="R19" s="64"/>
      <c r="S19" s="77"/>
      <c r="T19" s="77"/>
      <c r="U19" s="86"/>
      <c r="V19" s="86"/>
      <c r="W19" s="60"/>
      <c r="X19" s="78"/>
    </row>
    <row r="20" spans="2:24" ht="15.75" x14ac:dyDescent="0.25">
      <c r="B20" s="59"/>
      <c r="C20" s="60"/>
      <c r="D20" s="60"/>
      <c r="E20" s="60"/>
      <c r="F20" s="60"/>
      <c r="G20" s="37"/>
      <c r="H20" s="61"/>
      <c r="I20" s="60"/>
      <c r="J20" s="61"/>
      <c r="K20" s="61"/>
      <c r="L20" s="60"/>
      <c r="M20" s="62"/>
      <c r="O20" s="79"/>
      <c r="P20" s="64"/>
      <c r="Q20" s="64"/>
      <c r="R20" s="64"/>
      <c r="S20" s="77"/>
      <c r="T20" s="77"/>
      <c r="U20" s="86"/>
      <c r="V20" s="86"/>
      <c r="W20" s="60"/>
      <c r="X20" s="78"/>
    </row>
    <row r="21" spans="2:24" ht="15.75" thickBot="1" x14ac:dyDescent="0.3">
      <c r="B21" s="44"/>
      <c r="C21" s="223" t="s">
        <v>25</v>
      </c>
      <c r="D21" s="223"/>
      <c r="E21" s="223"/>
      <c r="F21" s="223"/>
      <c r="G21" s="223"/>
      <c r="H21" s="223"/>
      <c r="I21" s="45">
        <f>COUNT(B8:B20)</f>
        <v>2</v>
      </c>
      <c r="J21" s="46"/>
      <c r="K21" s="46"/>
      <c r="L21" s="47"/>
      <c r="M21" s="48"/>
      <c r="O21" s="80"/>
      <c r="P21" s="225" t="s">
        <v>84</v>
      </c>
      <c r="Q21" s="225"/>
      <c r="R21" s="225"/>
      <c r="S21" s="225"/>
      <c r="T21" s="81">
        <f>COUNT(O8:O20)</f>
        <v>3</v>
      </c>
      <c r="U21" s="88"/>
      <c r="V21" s="88"/>
      <c r="W21" s="82"/>
      <c r="X21" s="83"/>
    </row>
    <row r="22" spans="2:24" x14ac:dyDescent="0.25">
      <c r="C22" s="23"/>
      <c r="D22" s="23"/>
      <c r="E22" s="23"/>
      <c r="F22" s="23"/>
      <c r="G22" s="23"/>
      <c r="H22" s="103"/>
      <c r="J22" s="22"/>
      <c r="K22" s="22"/>
      <c r="S22" s="25"/>
      <c r="T22" s="25"/>
      <c r="U22" s="84"/>
      <c r="V22" s="84"/>
      <c r="W22" s="25"/>
      <c r="X22" s="25"/>
    </row>
    <row r="23" spans="2:24" ht="15.75" thickBot="1" x14ac:dyDescent="0.3">
      <c r="J23" s="22"/>
      <c r="K23" s="22"/>
      <c r="S23" s="25"/>
      <c r="T23" s="25"/>
      <c r="U23" s="84"/>
      <c r="V23" s="84"/>
      <c r="W23" s="25"/>
      <c r="X23" s="25"/>
    </row>
    <row r="24" spans="2:24" s="24" customFormat="1" x14ac:dyDescent="0.25">
      <c r="B24" s="49"/>
      <c r="C24" s="50"/>
      <c r="D24" s="50"/>
      <c r="E24" s="50"/>
      <c r="F24" s="50"/>
      <c r="G24" s="222" t="s">
        <v>2</v>
      </c>
      <c r="H24" s="222"/>
      <c r="I24" s="40"/>
      <c r="J24" s="51"/>
      <c r="K24" s="51"/>
      <c r="L24" s="40"/>
      <c r="M24" s="41"/>
      <c r="O24" s="68"/>
      <c r="P24" s="69"/>
      <c r="Q24" s="69"/>
      <c r="R24" s="69"/>
      <c r="S24" s="208"/>
      <c r="T24" s="69"/>
      <c r="U24" s="85"/>
      <c r="V24" s="85"/>
      <c r="W24" s="69"/>
      <c r="X24" s="70"/>
    </row>
    <row r="25" spans="2:24" s="54" customFormat="1" x14ac:dyDescent="0.25">
      <c r="B25" s="119"/>
      <c r="C25" s="120"/>
      <c r="D25" s="120"/>
      <c r="E25" s="120"/>
      <c r="F25" s="120"/>
      <c r="G25" s="121"/>
      <c r="H25" s="121"/>
      <c r="I25" s="121"/>
      <c r="J25" s="122"/>
      <c r="K25" s="122"/>
      <c r="L25" s="121"/>
      <c r="M25" s="123"/>
      <c r="O25" s="71"/>
      <c r="P25" s="64"/>
      <c r="Q25" s="64"/>
      <c r="R25" s="64"/>
      <c r="S25" s="64"/>
      <c r="T25" s="64"/>
      <c r="U25" s="86"/>
      <c r="V25" s="86"/>
      <c r="W25" s="64"/>
      <c r="X25" s="72"/>
    </row>
    <row r="26" spans="2:24" s="24" customFormat="1" ht="15.75" x14ac:dyDescent="0.3">
      <c r="B26" s="92" t="s">
        <v>10</v>
      </c>
      <c r="C26" s="38" t="s">
        <v>11</v>
      </c>
      <c r="D26" s="38" t="s">
        <v>12</v>
      </c>
      <c r="E26" s="38" t="s">
        <v>13</v>
      </c>
      <c r="F26" s="38" t="s">
        <v>14</v>
      </c>
      <c r="G26" s="38" t="s">
        <v>15</v>
      </c>
      <c r="H26" s="102" t="s">
        <v>16</v>
      </c>
      <c r="I26" s="38" t="s">
        <v>17</v>
      </c>
      <c r="J26" s="38" t="s">
        <v>18</v>
      </c>
      <c r="K26" s="38" t="s">
        <v>19</v>
      </c>
      <c r="L26" s="38" t="s">
        <v>5</v>
      </c>
      <c r="M26" s="29" t="s">
        <v>20</v>
      </c>
      <c r="O26" s="73" t="s">
        <v>10</v>
      </c>
      <c r="P26" s="74" t="s">
        <v>11</v>
      </c>
      <c r="Q26" s="74" t="s">
        <v>76</v>
      </c>
      <c r="R26" s="74" t="s">
        <v>39</v>
      </c>
      <c r="S26" s="74" t="s">
        <v>72</v>
      </c>
      <c r="T26" s="74" t="s">
        <v>73</v>
      </c>
      <c r="U26" s="87" t="s">
        <v>74</v>
      </c>
      <c r="V26" s="87" t="s">
        <v>75</v>
      </c>
      <c r="W26" s="74" t="s">
        <v>5</v>
      </c>
      <c r="X26" s="75" t="s">
        <v>20</v>
      </c>
    </row>
    <row r="27" spans="2:24" s="24" customFormat="1" ht="15.75" x14ac:dyDescent="0.25">
      <c r="B27" s="63">
        <v>44965.520833333336</v>
      </c>
      <c r="C27" s="60" t="s">
        <v>68</v>
      </c>
      <c r="D27" s="60" t="s">
        <v>51</v>
      </c>
      <c r="E27" s="60">
        <v>0</v>
      </c>
      <c r="F27" s="60">
        <v>200</v>
      </c>
      <c r="G27" s="60">
        <v>0.8</v>
      </c>
      <c r="H27" s="61">
        <v>207.6</v>
      </c>
      <c r="I27" s="60">
        <v>0</v>
      </c>
      <c r="J27" s="61">
        <f>F27/H27</f>
        <v>0.96339113680154143</v>
      </c>
      <c r="K27" s="61">
        <f>(H27-F27)*100/F27</f>
        <v>3.7999999999999972</v>
      </c>
      <c r="L27" s="60" t="s">
        <v>67</v>
      </c>
      <c r="M27" s="78" t="s">
        <v>215</v>
      </c>
      <c r="O27" s="63">
        <v>44965.486111111109</v>
      </c>
      <c r="P27" s="64" t="s">
        <v>71</v>
      </c>
      <c r="Q27" s="64">
        <v>4633.76</v>
      </c>
      <c r="R27" s="64">
        <v>3618.94</v>
      </c>
      <c r="S27" s="77" t="s">
        <v>1493</v>
      </c>
      <c r="T27" s="77">
        <v>849.34</v>
      </c>
      <c r="U27" s="86">
        <v>1.0083</v>
      </c>
      <c r="V27" s="86">
        <v>1.0055000000000001</v>
      </c>
      <c r="W27" s="60" t="s">
        <v>67</v>
      </c>
      <c r="X27" s="78" t="s">
        <v>215</v>
      </c>
    </row>
    <row r="28" spans="2:24" s="24" customFormat="1" ht="15.75" x14ac:dyDescent="0.25">
      <c r="B28" s="63">
        <v>44973.46875</v>
      </c>
      <c r="C28" s="60" t="s">
        <v>68</v>
      </c>
      <c r="D28" s="60" t="s">
        <v>51</v>
      </c>
      <c r="E28" s="60">
        <v>0</v>
      </c>
      <c r="F28" s="60">
        <v>200</v>
      </c>
      <c r="G28" s="60">
        <v>1.2</v>
      </c>
      <c r="H28" s="61">
        <v>200.78</v>
      </c>
      <c r="I28" s="60">
        <v>0</v>
      </c>
      <c r="J28" s="61">
        <f t="shared" ref="J28:J33" si="2">F28/H28</f>
        <v>0.99611515091144531</v>
      </c>
      <c r="K28" s="61">
        <f t="shared" ref="K28:K33" si="3">(H28-F28)*100/F28</f>
        <v>0.39000000000000057</v>
      </c>
      <c r="L28" s="60" t="s">
        <v>67</v>
      </c>
      <c r="M28" s="62" t="s">
        <v>240</v>
      </c>
      <c r="O28" s="63">
        <v>44973.475694444445</v>
      </c>
      <c r="P28" s="64" t="s">
        <v>71</v>
      </c>
      <c r="Q28" s="64">
        <v>4455.72</v>
      </c>
      <c r="R28" s="64">
        <v>3476.34</v>
      </c>
      <c r="S28" s="77" t="s">
        <v>1493</v>
      </c>
      <c r="T28" s="77">
        <v>852.66</v>
      </c>
      <c r="U28" s="86">
        <v>1.0055000000000001</v>
      </c>
      <c r="V28" s="86">
        <v>0.99880000000000002</v>
      </c>
      <c r="W28" s="60" t="s">
        <v>67</v>
      </c>
      <c r="X28" s="62" t="s">
        <v>215</v>
      </c>
    </row>
    <row r="29" spans="2:24" s="24" customFormat="1" ht="15.75" x14ac:dyDescent="0.25">
      <c r="B29" s="63"/>
      <c r="C29" s="60" t="s">
        <v>68</v>
      </c>
      <c r="D29" s="60" t="s">
        <v>51</v>
      </c>
      <c r="E29" s="60">
        <v>0</v>
      </c>
      <c r="F29" s="60">
        <v>200</v>
      </c>
      <c r="G29" s="60">
        <v>1.4</v>
      </c>
      <c r="H29" s="61"/>
      <c r="I29" s="60">
        <v>0</v>
      </c>
      <c r="J29" s="61" t="e">
        <f t="shared" si="2"/>
        <v>#DIV/0!</v>
      </c>
      <c r="K29" s="61">
        <f t="shared" si="3"/>
        <v>-100</v>
      </c>
      <c r="L29" s="60" t="s">
        <v>67</v>
      </c>
      <c r="M29" s="62" t="s">
        <v>241</v>
      </c>
      <c r="O29" s="63">
        <v>44978.482638888891</v>
      </c>
      <c r="P29" s="64" t="s">
        <v>71</v>
      </c>
      <c r="Q29" s="64">
        <v>4262.38</v>
      </c>
      <c r="R29" s="64">
        <v>3314.07</v>
      </c>
      <c r="S29" s="77" t="s">
        <v>1493</v>
      </c>
      <c r="T29" s="77">
        <v>556.04999999999995</v>
      </c>
      <c r="U29" s="86">
        <v>0.99880000000000002</v>
      </c>
      <c r="V29" s="86">
        <v>0.98829999999999996</v>
      </c>
      <c r="W29" s="60" t="s">
        <v>67</v>
      </c>
      <c r="X29" s="62" t="s">
        <v>215</v>
      </c>
    </row>
    <row r="30" spans="2:24" s="24" customFormat="1" ht="15.75" x14ac:dyDescent="0.25">
      <c r="B30" s="63"/>
      <c r="C30" s="60" t="s">
        <v>68</v>
      </c>
      <c r="D30" s="60" t="s">
        <v>51</v>
      </c>
      <c r="E30" s="60">
        <v>0</v>
      </c>
      <c r="F30" s="60">
        <v>200</v>
      </c>
      <c r="G30" s="60">
        <v>1</v>
      </c>
      <c r="H30" s="61"/>
      <c r="I30" s="60">
        <v>0</v>
      </c>
      <c r="J30" s="61" t="e">
        <f t="shared" si="2"/>
        <v>#DIV/0!</v>
      </c>
      <c r="K30" s="61">
        <f t="shared" si="3"/>
        <v>-100</v>
      </c>
      <c r="L30" s="60" t="s">
        <v>67</v>
      </c>
      <c r="M30" s="62" t="s">
        <v>241</v>
      </c>
      <c r="O30" s="63"/>
      <c r="P30" s="64" t="s">
        <v>71</v>
      </c>
      <c r="Q30" s="64"/>
      <c r="R30" s="64"/>
      <c r="S30" s="77" t="s">
        <v>1493</v>
      </c>
      <c r="T30" s="77"/>
      <c r="U30" s="86"/>
      <c r="V30" s="86"/>
      <c r="W30" s="60" t="s">
        <v>67</v>
      </c>
      <c r="X30" s="62"/>
    </row>
    <row r="31" spans="2:24" s="24" customFormat="1" ht="15.75" x14ac:dyDescent="0.25">
      <c r="B31" s="63"/>
      <c r="C31" s="60" t="s">
        <v>68</v>
      </c>
      <c r="D31" s="60" t="s">
        <v>51</v>
      </c>
      <c r="E31" s="60">
        <v>0</v>
      </c>
      <c r="F31" s="60">
        <v>200</v>
      </c>
      <c r="G31" s="60">
        <v>1.2</v>
      </c>
      <c r="H31" s="61"/>
      <c r="I31" s="60">
        <v>0</v>
      </c>
      <c r="J31" s="61" t="e">
        <f t="shared" si="2"/>
        <v>#DIV/0!</v>
      </c>
      <c r="K31" s="61">
        <f t="shared" si="3"/>
        <v>-100</v>
      </c>
      <c r="L31" s="60" t="s">
        <v>67</v>
      </c>
      <c r="M31" s="62"/>
      <c r="O31" s="63"/>
      <c r="P31" s="64" t="s">
        <v>71</v>
      </c>
      <c r="Q31" s="64"/>
      <c r="R31" s="64"/>
      <c r="S31" s="77" t="s">
        <v>216</v>
      </c>
      <c r="T31" s="77"/>
      <c r="U31" s="86"/>
      <c r="V31" s="86"/>
      <c r="W31" s="60" t="s">
        <v>67</v>
      </c>
      <c r="X31" s="62"/>
    </row>
    <row r="32" spans="2:24" s="24" customFormat="1" ht="15.75" x14ac:dyDescent="0.25">
      <c r="B32" s="63"/>
      <c r="C32" s="60" t="s">
        <v>68</v>
      </c>
      <c r="D32" s="60" t="s">
        <v>51</v>
      </c>
      <c r="E32" s="60">
        <v>0</v>
      </c>
      <c r="F32" s="60">
        <v>200</v>
      </c>
      <c r="G32" s="60">
        <v>1</v>
      </c>
      <c r="H32" s="61"/>
      <c r="I32" s="60">
        <v>0</v>
      </c>
      <c r="J32" s="61" t="e">
        <f t="shared" si="2"/>
        <v>#DIV/0!</v>
      </c>
      <c r="K32" s="61">
        <f t="shared" si="3"/>
        <v>-100</v>
      </c>
      <c r="L32" s="60" t="s">
        <v>67</v>
      </c>
      <c r="M32" s="62"/>
      <c r="O32" s="63"/>
      <c r="P32" s="64" t="s">
        <v>71</v>
      </c>
      <c r="Q32" s="64"/>
      <c r="R32" s="64"/>
      <c r="S32" s="77"/>
      <c r="T32" s="77"/>
      <c r="U32" s="86"/>
      <c r="V32" s="86"/>
      <c r="W32" s="60" t="s">
        <v>67</v>
      </c>
      <c r="X32" s="62"/>
    </row>
    <row r="33" spans="2:24" s="24" customFormat="1" ht="15.75" x14ac:dyDescent="0.25">
      <c r="B33" s="63"/>
      <c r="C33" s="60" t="s">
        <v>68</v>
      </c>
      <c r="D33" s="60" t="s">
        <v>51</v>
      </c>
      <c r="E33" s="60">
        <v>0</v>
      </c>
      <c r="F33" s="60"/>
      <c r="G33" s="60"/>
      <c r="H33" s="61"/>
      <c r="I33" s="60">
        <v>0</v>
      </c>
      <c r="J33" s="61" t="e">
        <f t="shared" si="2"/>
        <v>#DIV/0!</v>
      </c>
      <c r="K33" s="61" t="e">
        <f t="shared" si="3"/>
        <v>#DIV/0!</v>
      </c>
      <c r="L33" s="60" t="s">
        <v>67</v>
      </c>
      <c r="M33" s="62"/>
      <c r="O33" s="63"/>
      <c r="P33" s="64" t="s">
        <v>71</v>
      </c>
      <c r="Q33" s="64"/>
      <c r="R33" s="64"/>
      <c r="S33" s="77"/>
      <c r="T33" s="77"/>
      <c r="U33" s="86"/>
      <c r="V33" s="86"/>
      <c r="W33" s="60" t="s">
        <v>67</v>
      </c>
      <c r="X33" s="78"/>
    </row>
    <row r="34" spans="2:24" s="24" customFormat="1" ht="15.75" x14ac:dyDescent="0.25">
      <c r="B34" s="63"/>
      <c r="C34" s="60"/>
      <c r="D34" s="60"/>
      <c r="E34" s="60"/>
      <c r="F34" s="60"/>
      <c r="G34" s="60"/>
      <c r="H34" s="61"/>
      <c r="I34" s="60"/>
      <c r="J34" s="61"/>
      <c r="K34" s="61"/>
      <c r="L34" s="60"/>
      <c r="M34" s="62"/>
      <c r="N34" s="54"/>
      <c r="O34" s="63"/>
      <c r="P34" s="64" t="s">
        <v>71</v>
      </c>
      <c r="Q34" s="64"/>
      <c r="R34" s="64"/>
      <c r="S34" s="77"/>
      <c r="T34" s="77"/>
      <c r="U34" s="86"/>
      <c r="V34" s="86"/>
      <c r="W34" s="60" t="s">
        <v>67</v>
      </c>
      <c r="X34" s="78"/>
    </row>
    <row r="35" spans="2:24" s="24" customFormat="1" ht="15.75" x14ac:dyDescent="0.25">
      <c r="B35" s="63"/>
      <c r="C35" s="60"/>
      <c r="D35" s="60"/>
      <c r="E35" s="60"/>
      <c r="F35" s="60"/>
      <c r="G35" s="37"/>
      <c r="H35" s="61"/>
      <c r="I35" s="60"/>
      <c r="J35" s="61"/>
      <c r="K35" s="61"/>
      <c r="L35" s="60"/>
      <c r="M35" s="62"/>
      <c r="O35" s="63"/>
      <c r="P35" s="64" t="s">
        <v>71</v>
      </c>
      <c r="Q35" s="64"/>
      <c r="R35" s="64"/>
      <c r="S35" s="77"/>
      <c r="T35" s="77"/>
      <c r="U35" s="86"/>
      <c r="V35" s="86"/>
      <c r="W35" s="60" t="s">
        <v>67</v>
      </c>
      <c r="X35" s="78"/>
    </row>
    <row r="36" spans="2:24" s="24" customFormat="1" ht="15.75" x14ac:dyDescent="0.25">
      <c r="B36" s="63"/>
      <c r="C36" s="60"/>
      <c r="D36" s="60"/>
      <c r="E36" s="60"/>
      <c r="F36" s="60"/>
      <c r="G36" s="60"/>
      <c r="H36" s="61"/>
      <c r="I36" s="60"/>
      <c r="J36" s="61"/>
      <c r="K36" s="61"/>
      <c r="L36" s="60"/>
      <c r="M36" s="62"/>
      <c r="O36" s="63"/>
      <c r="P36" s="64" t="s">
        <v>71</v>
      </c>
      <c r="Q36" s="64"/>
      <c r="R36" s="64"/>
      <c r="S36" s="77"/>
      <c r="T36" s="77"/>
      <c r="U36" s="86"/>
      <c r="V36" s="86"/>
      <c r="W36" s="60"/>
      <c r="X36" s="78"/>
    </row>
    <row r="37" spans="2:24" s="24" customFormat="1" ht="15.75" x14ac:dyDescent="0.25">
      <c r="B37" s="59"/>
      <c r="C37" s="60"/>
      <c r="D37" s="60"/>
      <c r="E37" s="60"/>
      <c r="F37" s="60"/>
      <c r="G37" s="37"/>
      <c r="H37" s="61"/>
      <c r="I37" s="60"/>
      <c r="J37" s="61"/>
      <c r="K37" s="61"/>
      <c r="L37" s="60"/>
      <c r="M37" s="62"/>
      <c r="O37" s="76"/>
      <c r="P37" s="64" t="s">
        <v>71</v>
      </c>
      <c r="Q37" s="64"/>
      <c r="R37" s="64"/>
      <c r="S37" s="77"/>
      <c r="T37" s="77"/>
      <c r="U37" s="86"/>
      <c r="V37" s="86"/>
      <c r="W37" s="60"/>
      <c r="X37" s="78"/>
    </row>
    <row r="38" spans="2:24" s="24" customFormat="1" ht="15.75" x14ac:dyDescent="0.25">
      <c r="B38" s="59"/>
      <c r="C38" s="60"/>
      <c r="D38" s="60"/>
      <c r="E38" s="60"/>
      <c r="F38" s="60"/>
      <c r="G38" s="37"/>
      <c r="H38" s="61"/>
      <c r="I38" s="60"/>
      <c r="J38" s="61"/>
      <c r="K38" s="61"/>
      <c r="L38" s="60"/>
      <c r="M38" s="62"/>
      <c r="O38" s="79"/>
      <c r="P38" s="64"/>
      <c r="Q38" s="64"/>
      <c r="R38" s="64"/>
      <c r="S38" s="77"/>
      <c r="T38" s="77"/>
      <c r="U38" s="86"/>
      <c r="V38" s="86"/>
      <c r="W38" s="60"/>
      <c r="X38" s="78"/>
    </row>
    <row r="39" spans="2:24" s="24" customFormat="1" ht="15.75" x14ac:dyDescent="0.25">
      <c r="B39" s="59"/>
      <c r="C39" s="60"/>
      <c r="D39" s="60"/>
      <c r="E39" s="60"/>
      <c r="F39" s="60"/>
      <c r="G39" s="37"/>
      <c r="H39" s="61"/>
      <c r="I39" s="60"/>
      <c r="J39" s="61"/>
      <c r="K39" s="61"/>
      <c r="L39" s="60"/>
      <c r="M39" s="62"/>
      <c r="O39" s="79"/>
      <c r="P39" s="64"/>
      <c r="Q39" s="64"/>
      <c r="R39" s="64"/>
      <c r="S39" s="77"/>
      <c r="T39" s="77"/>
      <c r="U39" s="86"/>
      <c r="V39" s="86"/>
      <c r="W39" s="60"/>
      <c r="X39" s="78"/>
    </row>
    <row r="40" spans="2:24" s="24" customFormat="1" ht="16.5" thickBot="1" x14ac:dyDescent="0.3">
      <c r="B40" s="43"/>
      <c r="C40" s="60"/>
      <c r="D40" s="60"/>
      <c r="E40" s="60"/>
      <c r="F40" s="60"/>
      <c r="G40" s="37"/>
      <c r="H40" s="61"/>
      <c r="I40" s="60"/>
      <c r="J40" s="61"/>
      <c r="K40" s="61"/>
      <c r="L40" s="60"/>
      <c r="M40" s="62"/>
      <c r="O40" s="80"/>
      <c r="P40" s="225" t="s">
        <v>85</v>
      </c>
      <c r="Q40" s="225"/>
      <c r="R40" s="225"/>
      <c r="S40" s="225"/>
      <c r="T40" s="81">
        <f>COUNT(O27:O39)</f>
        <v>3</v>
      </c>
      <c r="U40" s="88"/>
      <c r="V40" s="88"/>
      <c r="W40" s="82"/>
      <c r="X40" s="83"/>
    </row>
    <row r="41" spans="2:24" s="24" customFormat="1" ht="15.75" thickBot="1" x14ac:dyDescent="0.3">
      <c r="B41" s="44"/>
      <c r="C41" s="47"/>
      <c r="D41" s="223" t="s">
        <v>26</v>
      </c>
      <c r="E41" s="223"/>
      <c r="F41" s="223"/>
      <c r="G41" s="223"/>
      <c r="H41" s="223"/>
      <c r="I41" s="223"/>
      <c r="J41" s="52">
        <f>COUNT(B27:B39)</f>
        <v>2</v>
      </c>
      <c r="K41" s="46"/>
      <c r="L41" s="47"/>
      <c r="M41" s="48"/>
      <c r="O41" s="25"/>
      <c r="P41" s="25"/>
      <c r="Q41" s="25"/>
      <c r="R41" s="25"/>
      <c r="S41" s="25"/>
      <c r="T41" s="25"/>
      <c r="U41" s="84"/>
      <c r="V41" s="84"/>
      <c r="W41" s="25"/>
      <c r="X41" s="25"/>
    </row>
    <row r="42" spans="2:24" s="24" customFormat="1" x14ac:dyDescent="0.25">
      <c r="B42" s="1"/>
      <c r="C42" s="19"/>
      <c r="D42" s="19"/>
      <c r="E42" s="19"/>
      <c r="F42" s="19"/>
      <c r="G42" s="19"/>
      <c r="H42" s="22"/>
      <c r="I42" s="19"/>
      <c r="J42" s="19"/>
      <c r="K42" s="19"/>
      <c r="L42" s="19"/>
      <c r="M42" s="19"/>
      <c r="O42" s="25"/>
      <c r="P42" s="25"/>
      <c r="Q42" s="25"/>
      <c r="R42" s="25"/>
      <c r="S42" s="84"/>
      <c r="T42" s="84"/>
      <c r="U42" s="25"/>
      <c r="V42" s="25"/>
    </row>
    <row r="43" spans="2:24" ht="15.75" thickBot="1" x14ac:dyDescent="0.3"/>
    <row r="44" spans="2:24" x14ac:dyDescent="0.25">
      <c r="B44" s="49"/>
      <c r="C44" s="50"/>
      <c r="D44" s="50"/>
      <c r="E44" s="50"/>
      <c r="F44" s="50"/>
      <c r="G44" s="222" t="s">
        <v>23</v>
      </c>
      <c r="H44" s="222"/>
      <c r="I44" s="40"/>
      <c r="J44" s="51"/>
      <c r="K44" s="51"/>
      <c r="L44" s="40"/>
      <c r="M44" s="41"/>
    </row>
    <row r="45" spans="2:24" s="24" customFormat="1" x14ac:dyDescent="0.25">
      <c r="B45" s="43"/>
      <c r="C45" s="37"/>
      <c r="D45" s="37"/>
      <c r="E45" s="37"/>
      <c r="F45" s="37"/>
      <c r="G45" s="37"/>
      <c r="H45" s="61"/>
      <c r="I45" s="37"/>
      <c r="J45" s="39"/>
      <c r="K45" s="39"/>
      <c r="L45" s="37"/>
      <c r="M45" s="42"/>
      <c r="O45" s="25"/>
      <c r="P45" s="25"/>
      <c r="Q45" s="25"/>
      <c r="R45" s="25"/>
      <c r="S45" s="84"/>
      <c r="T45" s="84"/>
      <c r="U45" s="25"/>
      <c r="V45" s="25"/>
    </row>
    <row r="46" spans="2:24" s="24" customFormat="1" ht="15.75" x14ac:dyDescent="0.3">
      <c r="B46" s="92" t="s">
        <v>10</v>
      </c>
      <c r="C46" s="38" t="s">
        <v>11</v>
      </c>
      <c r="D46" s="38" t="s">
        <v>12</v>
      </c>
      <c r="E46" s="38" t="s">
        <v>13</v>
      </c>
      <c r="F46" s="38" t="s">
        <v>14</v>
      </c>
      <c r="G46" s="38" t="s">
        <v>15</v>
      </c>
      <c r="H46" s="102" t="s">
        <v>16</v>
      </c>
      <c r="I46" s="38" t="s">
        <v>17</v>
      </c>
      <c r="J46" s="38" t="s">
        <v>18</v>
      </c>
      <c r="K46" s="38" t="s">
        <v>19</v>
      </c>
      <c r="L46" s="38" t="s">
        <v>5</v>
      </c>
      <c r="M46" s="29" t="s">
        <v>20</v>
      </c>
      <c r="O46" s="25"/>
      <c r="P46" s="25"/>
      <c r="Q46" s="25"/>
      <c r="R46" s="25"/>
      <c r="S46" s="84"/>
      <c r="T46" s="84"/>
      <c r="U46" s="25"/>
      <c r="V46" s="25"/>
    </row>
    <row r="47" spans="2:24" s="24" customFormat="1" ht="15.75" x14ac:dyDescent="0.25">
      <c r="B47" s="63"/>
      <c r="C47" s="60" t="s">
        <v>23</v>
      </c>
      <c r="D47" s="60" t="s">
        <v>51</v>
      </c>
      <c r="E47" s="60">
        <v>0</v>
      </c>
      <c r="F47" s="60">
        <v>300</v>
      </c>
      <c r="G47" s="60">
        <v>0</v>
      </c>
      <c r="H47" s="61"/>
      <c r="I47" s="60">
        <v>0</v>
      </c>
      <c r="J47" s="61" t="e">
        <f>F47/H47</f>
        <v>#DIV/0!</v>
      </c>
      <c r="K47" s="61">
        <f>(H47-F47)*100/F47</f>
        <v>-100</v>
      </c>
      <c r="L47" s="60" t="s">
        <v>67</v>
      </c>
      <c r="M47" s="62" t="s">
        <v>240</v>
      </c>
      <c r="O47" s="25"/>
      <c r="P47" s="25"/>
      <c r="Q47" s="25"/>
      <c r="R47" s="25"/>
      <c r="S47" s="84"/>
      <c r="T47" s="84"/>
      <c r="U47" s="25"/>
      <c r="V47" s="25"/>
    </row>
    <row r="48" spans="2:24" s="24" customFormat="1" ht="15.75" x14ac:dyDescent="0.25">
      <c r="B48" s="63"/>
      <c r="C48" s="60" t="s">
        <v>23</v>
      </c>
      <c r="D48" s="60" t="s">
        <v>51</v>
      </c>
      <c r="E48" s="60">
        <v>0</v>
      </c>
      <c r="F48" s="60">
        <v>300</v>
      </c>
      <c r="G48" s="60">
        <v>1.2</v>
      </c>
      <c r="H48" s="61"/>
      <c r="I48" s="60">
        <v>0</v>
      </c>
      <c r="J48" s="61" t="e">
        <f>F48/H48</f>
        <v>#DIV/0!</v>
      </c>
      <c r="K48" s="61">
        <f>(H48-F48)*100/F48</f>
        <v>-100</v>
      </c>
      <c r="L48" s="60" t="s">
        <v>67</v>
      </c>
      <c r="M48" s="62"/>
      <c r="O48" s="25"/>
      <c r="P48" s="25"/>
      <c r="Q48" s="25"/>
      <c r="R48" s="25"/>
      <c r="S48" s="84"/>
      <c r="T48" s="84"/>
      <c r="U48" s="25"/>
      <c r="V48" s="25"/>
    </row>
    <row r="49" spans="2:22" s="24" customFormat="1" ht="15.75" x14ac:dyDescent="0.25">
      <c r="B49" s="63"/>
      <c r="C49" s="60" t="s">
        <v>23</v>
      </c>
      <c r="D49" s="60" t="s">
        <v>51</v>
      </c>
      <c r="E49" s="60">
        <v>0</v>
      </c>
      <c r="F49" s="60"/>
      <c r="G49" s="60">
        <v>0</v>
      </c>
      <c r="H49" s="61"/>
      <c r="I49" s="60">
        <v>0</v>
      </c>
      <c r="J49" s="61" t="e">
        <f>F49/H49</f>
        <v>#DIV/0!</v>
      </c>
      <c r="K49" s="61" t="e">
        <f>(H49-F49)*100/F49</f>
        <v>#DIV/0!</v>
      </c>
      <c r="L49" s="60" t="s">
        <v>67</v>
      </c>
      <c r="M49" s="62"/>
      <c r="O49" s="25"/>
      <c r="P49" s="25"/>
      <c r="Q49" s="25"/>
      <c r="R49" s="25"/>
      <c r="S49" s="84"/>
      <c r="T49" s="84"/>
      <c r="U49" s="25"/>
      <c r="V49" s="25"/>
    </row>
    <row r="50" spans="2:22" s="24" customFormat="1" ht="15.75" x14ac:dyDescent="0.25">
      <c r="B50" s="63"/>
      <c r="C50" s="60" t="s">
        <v>23</v>
      </c>
      <c r="D50" s="60" t="s">
        <v>51</v>
      </c>
      <c r="E50" s="60">
        <v>0</v>
      </c>
      <c r="F50" s="60"/>
      <c r="G50" s="60">
        <v>0</v>
      </c>
      <c r="H50" s="61"/>
      <c r="I50" s="60">
        <v>0</v>
      </c>
      <c r="J50" s="61" t="e">
        <f>F50/H50</f>
        <v>#DIV/0!</v>
      </c>
      <c r="K50" s="61" t="e">
        <f>(H50-F50)*100/F50</f>
        <v>#DIV/0!</v>
      </c>
      <c r="L50" s="60" t="s">
        <v>67</v>
      </c>
      <c r="M50" s="62"/>
      <c r="O50" s="25"/>
      <c r="P50" s="25"/>
      <c r="Q50" s="25"/>
      <c r="R50" s="25"/>
      <c r="S50" s="84"/>
      <c r="T50" s="84"/>
      <c r="U50" s="25"/>
      <c r="V50" s="25"/>
    </row>
    <row r="51" spans="2:22" s="24" customFormat="1" ht="15.75" x14ac:dyDescent="0.25">
      <c r="B51" s="63"/>
      <c r="C51" s="60" t="s">
        <v>23</v>
      </c>
      <c r="D51" s="60" t="s">
        <v>51</v>
      </c>
      <c r="E51" s="60">
        <v>0</v>
      </c>
      <c r="F51" s="60"/>
      <c r="G51" s="60">
        <v>0</v>
      </c>
      <c r="H51" s="61"/>
      <c r="I51" s="60">
        <v>0</v>
      </c>
      <c r="J51" s="61" t="e">
        <f>F51/H51</f>
        <v>#DIV/0!</v>
      </c>
      <c r="K51" s="61" t="e">
        <f>(H51-F51)*100/F51</f>
        <v>#DIV/0!</v>
      </c>
      <c r="L51" s="60" t="s">
        <v>67</v>
      </c>
      <c r="M51" s="62"/>
      <c r="O51" s="25"/>
      <c r="P51" s="25"/>
      <c r="Q51" s="25"/>
      <c r="R51" s="25"/>
      <c r="S51" s="84"/>
      <c r="T51" s="84"/>
      <c r="U51" s="25"/>
      <c r="V51" s="25"/>
    </row>
    <row r="52" spans="2:22" s="24" customFormat="1" ht="15.75" x14ac:dyDescent="0.25">
      <c r="B52" s="59"/>
      <c r="C52" s="60"/>
      <c r="D52" s="60"/>
      <c r="E52" s="60"/>
      <c r="F52" s="60"/>
      <c r="G52" s="60"/>
      <c r="H52" s="61"/>
      <c r="I52" s="60"/>
      <c r="J52" s="61"/>
      <c r="K52" s="61"/>
      <c r="L52" s="60"/>
      <c r="M52" s="62"/>
      <c r="O52" s="25"/>
      <c r="P52" s="25"/>
      <c r="Q52" s="25"/>
      <c r="R52" s="25"/>
      <c r="S52" s="84"/>
      <c r="T52" s="84"/>
      <c r="U52" s="25"/>
      <c r="V52" s="25"/>
    </row>
    <row r="53" spans="2:22" s="24" customFormat="1" ht="15.75" x14ac:dyDescent="0.25">
      <c r="B53" s="59"/>
      <c r="C53" s="60"/>
      <c r="D53" s="60"/>
      <c r="E53" s="60"/>
      <c r="F53" s="60"/>
      <c r="G53" s="60"/>
      <c r="H53" s="61"/>
      <c r="I53" s="60"/>
      <c r="J53" s="61"/>
      <c r="K53" s="61"/>
      <c r="L53" s="60"/>
      <c r="M53" s="62"/>
      <c r="O53" s="25"/>
      <c r="P53" s="25"/>
      <c r="Q53" s="25"/>
      <c r="R53" s="25"/>
      <c r="S53" s="84"/>
      <c r="T53" s="84"/>
      <c r="U53" s="25"/>
      <c r="V53" s="25"/>
    </row>
    <row r="54" spans="2:22" s="24" customFormat="1" ht="15.75" x14ac:dyDescent="0.25">
      <c r="B54" s="59"/>
      <c r="C54" s="60"/>
      <c r="D54" s="60"/>
      <c r="E54" s="60"/>
      <c r="F54" s="60"/>
      <c r="G54" s="60"/>
      <c r="H54" s="61"/>
      <c r="I54" s="60"/>
      <c r="J54" s="61"/>
      <c r="K54" s="61"/>
      <c r="L54" s="60"/>
      <c r="M54" s="62"/>
      <c r="O54" s="25"/>
      <c r="P54" s="25"/>
      <c r="Q54" s="25"/>
      <c r="R54" s="25"/>
      <c r="S54" s="84"/>
      <c r="T54" s="84"/>
      <c r="U54" s="25"/>
      <c r="V54" s="25"/>
    </row>
    <row r="55" spans="2:22" s="24" customFormat="1" ht="15.75" x14ac:dyDescent="0.25">
      <c r="B55" s="59"/>
      <c r="C55" s="60"/>
      <c r="D55" s="60"/>
      <c r="E55" s="60"/>
      <c r="F55" s="60"/>
      <c r="G55" s="37"/>
      <c r="H55" s="61"/>
      <c r="I55" s="60"/>
      <c r="J55" s="61"/>
      <c r="K55" s="61"/>
      <c r="L55" s="60"/>
      <c r="M55" s="62"/>
      <c r="O55" s="25"/>
      <c r="P55" s="25"/>
      <c r="Q55" s="25"/>
      <c r="R55" s="25"/>
      <c r="S55" s="84"/>
      <c r="T55" s="84"/>
      <c r="U55" s="25"/>
      <c r="V55" s="25"/>
    </row>
    <row r="56" spans="2:22" s="24" customFormat="1" ht="15.75" x14ac:dyDescent="0.25">
      <c r="B56" s="59"/>
      <c r="C56" s="60"/>
      <c r="D56" s="60"/>
      <c r="E56" s="60"/>
      <c r="F56" s="60"/>
      <c r="G56" s="37"/>
      <c r="H56" s="61"/>
      <c r="I56" s="60"/>
      <c r="J56" s="61"/>
      <c r="K56" s="61"/>
      <c r="L56" s="60"/>
      <c r="M56" s="62"/>
      <c r="O56" s="25"/>
      <c r="P56" s="25"/>
      <c r="Q56" s="25"/>
      <c r="R56" s="25"/>
      <c r="S56" s="84"/>
      <c r="T56" s="84"/>
      <c r="U56" s="25"/>
      <c r="V56" s="25"/>
    </row>
    <row r="57" spans="2:22" s="24" customFormat="1" ht="15.75" x14ac:dyDescent="0.25">
      <c r="B57" s="59"/>
      <c r="C57" s="60"/>
      <c r="D57" s="60"/>
      <c r="E57" s="60"/>
      <c r="F57" s="60"/>
      <c r="G57" s="37"/>
      <c r="H57" s="61"/>
      <c r="I57" s="60"/>
      <c r="J57" s="61"/>
      <c r="K57" s="61"/>
      <c r="L57" s="60"/>
      <c r="M57" s="62"/>
      <c r="O57" s="25"/>
      <c r="P57" s="25"/>
      <c r="Q57" s="25"/>
      <c r="R57" s="25"/>
      <c r="S57" s="84"/>
      <c r="T57" s="84"/>
      <c r="U57" s="25"/>
      <c r="V57" s="25"/>
    </row>
    <row r="58" spans="2:22" s="24" customFormat="1" ht="15.75" x14ac:dyDescent="0.25">
      <c r="B58" s="59"/>
      <c r="C58" s="60"/>
      <c r="D58" s="60"/>
      <c r="E58" s="60"/>
      <c r="F58" s="60"/>
      <c r="G58" s="37"/>
      <c r="H58" s="61"/>
      <c r="I58" s="60"/>
      <c r="J58" s="61"/>
      <c r="K58" s="61"/>
      <c r="L58" s="60"/>
      <c r="M58" s="62"/>
      <c r="O58" s="25"/>
      <c r="P58" s="25"/>
      <c r="Q58" s="25"/>
      <c r="R58" s="25"/>
      <c r="S58" s="84"/>
      <c r="T58" s="84"/>
      <c r="U58" s="25"/>
      <c r="V58" s="25"/>
    </row>
    <row r="59" spans="2:22" s="24" customFormat="1" ht="15.75" x14ac:dyDescent="0.25">
      <c r="B59" s="59"/>
      <c r="C59" s="60"/>
      <c r="D59" s="60"/>
      <c r="E59" s="60"/>
      <c r="F59" s="60"/>
      <c r="G59" s="37"/>
      <c r="H59" s="61"/>
      <c r="I59" s="60"/>
      <c r="J59" s="61"/>
      <c r="K59" s="61"/>
      <c r="L59" s="60"/>
      <c r="M59" s="62"/>
      <c r="O59" s="25"/>
      <c r="P59" s="25"/>
      <c r="Q59" s="25"/>
      <c r="R59" s="25"/>
      <c r="S59" s="84"/>
      <c r="T59" s="84"/>
      <c r="U59" s="25"/>
      <c r="V59" s="25"/>
    </row>
    <row r="60" spans="2:22" s="24" customFormat="1" ht="15.75" x14ac:dyDescent="0.25">
      <c r="B60" s="43"/>
      <c r="C60" s="60"/>
      <c r="D60" s="60"/>
      <c r="E60" s="60"/>
      <c r="F60" s="60"/>
      <c r="G60" s="37"/>
      <c r="H60" s="61"/>
      <c r="I60" s="60"/>
      <c r="J60" s="61"/>
      <c r="K60" s="61"/>
      <c r="L60" s="60"/>
      <c r="M60" s="62"/>
      <c r="O60" s="25"/>
      <c r="P60" s="25"/>
      <c r="Q60" s="25"/>
      <c r="R60" s="25"/>
      <c r="S60" s="84"/>
      <c r="T60" s="84"/>
      <c r="U60" s="25"/>
      <c r="V60" s="25"/>
    </row>
    <row r="61" spans="2:22" s="24" customFormat="1" ht="15.75" thickBot="1" x14ac:dyDescent="0.3">
      <c r="B61" s="44"/>
      <c r="C61" s="47"/>
      <c r="D61" s="223" t="s">
        <v>27</v>
      </c>
      <c r="E61" s="223"/>
      <c r="F61" s="223"/>
      <c r="G61" s="223"/>
      <c r="H61" s="223"/>
      <c r="I61" s="223"/>
      <c r="J61" s="52">
        <f>COUNT(B47:B59)</f>
        <v>0</v>
      </c>
      <c r="K61" s="46"/>
      <c r="L61" s="47"/>
      <c r="M61" s="48"/>
      <c r="O61" s="25"/>
      <c r="P61" s="25"/>
      <c r="Q61" s="25"/>
      <c r="R61" s="25"/>
      <c r="S61" s="84"/>
      <c r="T61" s="84"/>
      <c r="U61" s="25"/>
      <c r="V61" s="25"/>
    </row>
    <row r="62" spans="2:22" s="24" customFormat="1" x14ac:dyDescent="0.25">
      <c r="B62" s="1"/>
      <c r="C62" s="19"/>
      <c r="D62" s="19"/>
      <c r="E62" s="19"/>
      <c r="F62" s="19"/>
      <c r="G62" s="19"/>
      <c r="H62" s="22"/>
      <c r="I62" s="19"/>
      <c r="J62" s="19"/>
      <c r="K62" s="19"/>
      <c r="L62" s="19"/>
      <c r="M62" s="19"/>
      <c r="O62" s="25"/>
      <c r="P62" s="25"/>
      <c r="Q62" s="25"/>
      <c r="R62" s="25"/>
      <c r="S62" s="84"/>
      <c r="T62" s="84"/>
      <c r="U62" s="25"/>
      <c r="V62" s="25"/>
    </row>
    <row r="63" spans="2:22" ht="15.75" thickBot="1" x14ac:dyDescent="0.3"/>
    <row r="64" spans="2:22" x14ac:dyDescent="0.25">
      <c r="B64" s="49"/>
      <c r="C64" s="50"/>
      <c r="D64" s="50"/>
      <c r="E64" s="50"/>
      <c r="F64" s="50"/>
      <c r="G64" s="222" t="s">
        <v>3</v>
      </c>
      <c r="H64" s="222"/>
      <c r="I64" s="40"/>
      <c r="J64" s="51"/>
      <c r="K64" s="51"/>
      <c r="L64" s="40"/>
      <c r="M64" s="41"/>
    </row>
    <row r="65" spans="2:13" x14ac:dyDescent="0.25">
      <c r="B65" s="43"/>
      <c r="C65" s="37"/>
      <c r="D65" s="37"/>
      <c r="E65" s="37"/>
      <c r="F65" s="37"/>
      <c r="G65" s="37"/>
      <c r="H65" s="61"/>
      <c r="I65" s="37"/>
      <c r="J65" s="39"/>
      <c r="K65" s="39"/>
      <c r="L65" s="37"/>
      <c r="M65" s="42"/>
    </row>
    <row r="66" spans="2:13" ht="15.75" x14ac:dyDescent="0.3">
      <c r="B66" s="92" t="s">
        <v>10</v>
      </c>
      <c r="C66" s="38" t="s">
        <v>11</v>
      </c>
      <c r="D66" s="38" t="s">
        <v>12</v>
      </c>
      <c r="E66" s="38" t="s">
        <v>13</v>
      </c>
      <c r="F66" s="38" t="s">
        <v>14</v>
      </c>
      <c r="G66" s="38" t="s">
        <v>15</v>
      </c>
      <c r="H66" s="102" t="s">
        <v>16</v>
      </c>
      <c r="I66" s="38" t="s">
        <v>17</v>
      </c>
      <c r="J66" s="38" t="s">
        <v>18</v>
      </c>
      <c r="K66" s="38" t="s">
        <v>19</v>
      </c>
      <c r="L66" s="38" t="s">
        <v>5</v>
      </c>
      <c r="M66" s="29" t="s">
        <v>20</v>
      </c>
    </row>
    <row r="67" spans="2:13" ht="15.75" x14ac:dyDescent="0.25">
      <c r="B67" s="63">
        <v>44965.46875</v>
      </c>
      <c r="C67" s="60" t="s">
        <v>3</v>
      </c>
      <c r="D67" s="60" t="s">
        <v>52</v>
      </c>
      <c r="E67" s="60">
        <v>0</v>
      </c>
      <c r="F67" s="60">
        <v>5</v>
      </c>
      <c r="G67" s="60"/>
      <c r="H67" s="117">
        <v>5.0999999999999996</v>
      </c>
      <c r="I67" s="60">
        <v>0</v>
      </c>
      <c r="J67" s="61">
        <f>F67/H67</f>
        <v>0.98039215686274517</v>
      </c>
      <c r="K67" s="61">
        <f>(H67-F67)*100/F67</f>
        <v>1.9999999999999929</v>
      </c>
      <c r="L67" s="60" t="s">
        <v>67</v>
      </c>
      <c r="M67" s="78" t="s">
        <v>240</v>
      </c>
    </row>
    <row r="68" spans="2:13" ht="15.75" x14ac:dyDescent="0.25">
      <c r="B68" s="63">
        <v>44973.520833333336</v>
      </c>
      <c r="C68" s="60" t="s">
        <v>3</v>
      </c>
      <c r="D68" s="60" t="s">
        <v>52</v>
      </c>
      <c r="E68" s="60">
        <v>0</v>
      </c>
      <c r="F68" s="60">
        <v>5</v>
      </c>
      <c r="G68" s="60">
        <v>0</v>
      </c>
      <c r="H68" s="61">
        <v>5.0030000000000001</v>
      </c>
      <c r="I68" s="60">
        <v>0</v>
      </c>
      <c r="J68" s="61">
        <f t="shared" ref="J68:J73" si="4">F68/H68</f>
        <v>0.99940035978412955</v>
      </c>
      <c r="K68" s="61">
        <f t="shared" ref="K68:K73" si="5">(H68-F68)*100/F68</f>
        <v>6.0000000000002274E-2</v>
      </c>
      <c r="L68" s="60" t="s">
        <v>67</v>
      </c>
      <c r="M68" s="62" t="s">
        <v>241</v>
      </c>
    </row>
    <row r="69" spans="2:13" ht="15.75" x14ac:dyDescent="0.25">
      <c r="B69" s="63">
        <v>44978.5</v>
      </c>
      <c r="C69" s="60" t="s">
        <v>3</v>
      </c>
      <c r="D69" s="60" t="s">
        <v>52</v>
      </c>
      <c r="E69" s="60">
        <v>0</v>
      </c>
      <c r="F69" s="60">
        <v>5</v>
      </c>
      <c r="G69" s="60">
        <v>0</v>
      </c>
      <c r="H69" s="61">
        <v>5.3559999999999999</v>
      </c>
      <c r="I69" s="60">
        <v>0</v>
      </c>
      <c r="J69" s="61">
        <f t="shared" si="4"/>
        <v>0.93353248693054525</v>
      </c>
      <c r="K69" s="61">
        <f t="shared" si="5"/>
        <v>7.1199999999999974</v>
      </c>
      <c r="L69" s="60" t="s">
        <v>67</v>
      </c>
      <c r="M69" s="62" t="s">
        <v>241</v>
      </c>
    </row>
    <row r="70" spans="2:13" ht="15.75" x14ac:dyDescent="0.25">
      <c r="B70" s="63"/>
      <c r="C70" s="60" t="s">
        <v>3</v>
      </c>
      <c r="D70" s="60" t="s">
        <v>52</v>
      </c>
      <c r="E70" s="60">
        <v>0</v>
      </c>
      <c r="F70" s="60">
        <v>5</v>
      </c>
      <c r="G70" s="60">
        <v>0</v>
      </c>
      <c r="H70" s="61"/>
      <c r="I70" s="60">
        <v>0</v>
      </c>
      <c r="J70" s="61" t="e">
        <f t="shared" si="4"/>
        <v>#DIV/0!</v>
      </c>
      <c r="K70" s="61">
        <f t="shared" si="5"/>
        <v>-100</v>
      </c>
      <c r="L70" s="60" t="s">
        <v>67</v>
      </c>
      <c r="M70" s="62" t="s">
        <v>241</v>
      </c>
    </row>
    <row r="71" spans="2:13" ht="15.75" x14ac:dyDescent="0.25">
      <c r="B71" s="63"/>
      <c r="C71" s="60" t="s">
        <v>3</v>
      </c>
      <c r="D71" s="60" t="s">
        <v>52</v>
      </c>
      <c r="E71" s="60">
        <v>0</v>
      </c>
      <c r="F71" s="60">
        <v>6</v>
      </c>
      <c r="G71" s="60">
        <v>0</v>
      </c>
      <c r="H71" s="117"/>
      <c r="I71" s="60">
        <v>0</v>
      </c>
      <c r="J71" s="61" t="e">
        <f t="shared" si="4"/>
        <v>#DIV/0!</v>
      </c>
      <c r="K71" s="61">
        <f t="shared" si="5"/>
        <v>-100</v>
      </c>
      <c r="L71" s="60" t="s">
        <v>67</v>
      </c>
      <c r="M71" s="62"/>
    </row>
    <row r="72" spans="2:13" ht="15.75" x14ac:dyDescent="0.25">
      <c r="B72" s="63"/>
      <c r="C72" s="60" t="s">
        <v>3</v>
      </c>
      <c r="D72" s="60" t="s">
        <v>52</v>
      </c>
      <c r="E72" s="60">
        <v>0</v>
      </c>
      <c r="F72" s="60"/>
      <c r="G72" s="60">
        <v>0</v>
      </c>
      <c r="H72" s="117"/>
      <c r="I72" s="60">
        <v>0</v>
      </c>
      <c r="J72" s="61" t="e">
        <f t="shared" si="4"/>
        <v>#DIV/0!</v>
      </c>
      <c r="K72" s="61" t="e">
        <f t="shared" si="5"/>
        <v>#DIV/0!</v>
      </c>
      <c r="L72" s="60" t="s">
        <v>67</v>
      </c>
      <c r="M72" s="62"/>
    </row>
    <row r="73" spans="2:13" ht="15.75" x14ac:dyDescent="0.25">
      <c r="B73" s="63"/>
      <c r="C73" s="60" t="s">
        <v>3</v>
      </c>
      <c r="D73" s="60" t="s">
        <v>52</v>
      </c>
      <c r="E73" s="60">
        <v>0</v>
      </c>
      <c r="F73" s="60"/>
      <c r="G73" s="60">
        <v>0</v>
      </c>
      <c r="H73" s="117"/>
      <c r="I73" s="60">
        <v>0</v>
      </c>
      <c r="J73" s="61" t="e">
        <f t="shared" si="4"/>
        <v>#DIV/0!</v>
      </c>
      <c r="K73" s="61" t="e">
        <f t="shared" si="5"/>
        <v>#DIV/0!</v>
      </c>
      <c r="L73" s="60" t="s">
        <v>67</v>
      </c>
      <c r="M73" s="62"/>
    </row>
    <row r="74" spans="2:13" ht="15.75" x14ac:dyDescent="0.25">
      <c r="B74" s="63"/>
      <c r="C74" s="60"/>
      <c r="D74" s="60"/>
      <c r="E74" s="60"/>
      <c r="F74" s="60"/>
      <c r="G74" s="60"/>
      <c r="H74" s="117"/>
      <c r="I74" s="60"/>
      <c r="J74" s="61"/>
      <c r="K74" s="61"/>
      <c r="L74" s="60"/>
      <c r="M74" s="62"/>
    </row>
    <row r="75" spans="2:13" ht="15.75" x14ac:dyDescent="0.25">
      <c r="B75" s="63"/>
      <c r="C75" s="60"/>
      <c r="D75" s="60"/>
      <c r="E75" s="60"/>
      <c r="F75" s="60"/>
      <c r="G75" s="60"/>
      <c r="H75" s="117"/>
      <c r="I75" s="60"/>
      <c r="J75" s="61"/>
      <c r="K75" s="61"/>
      <c r="L75" s="60"/>
      <c r="M75" s="62"/>
    </row>
    <row r="76" spans="2:13" ht="15.75" x14ac:dyDescent="0.25">
      <c r="B76" s="63"/>
      <c r="C76" s="60"/>
      <c r="D76" s="60"/>
      <c r="E76" s="60"/>
      <c r="F76" s="60"/>
      <c r="G76" s="60"/>
      <c r="H76" s="117"/>
      <c r="I76" s="60"/>
      <c r="J76" s="61"/>
      <c r="K76" s="61"/>
      <c r="L76" s="60"/>
      <c r="M76" s="62"/>
    </row>
    <row r="77" spans="2:13" ht="15.75" x14ac:dyDescent="0.25">
      <c r="B77" s="59"/>
      <c r="C77" s="60"/>
      <c r="D77" s="60"/>
      <c r="E77" s="60"/>
      <c r="F77" s="60"/>
      <c r="G77" s="37"/>
      <c r="H77" s="117"/>
      <c r="I77" s="60"/>
      <c r="J77" s="61"/>
      <c r="K77" s="61"/>
      <c r="L77" s="60"/>
      <c r="M77" s="58"/>
    </row>
    <row r="78" spans="2:13" ht="15.75" x14ac:dyDescent="0.25">
      <c r="B78" s="59"/>
      <c r="C78" s="60"/>
      <c r="D78" s="60"/>
      <c r="E78" s="60"/>
      <c r="F78" s="60"/>
      <c r="G78" s="37"/>
      <c r="H78" s="117"/>
      <c r="I78" s="60"/>
      <c r="J78" s="61"/>
      <c r="K78" s="61"/>
      <c r="L78" s="60"/>
      <c r="M78" s="58"/>
    </row>
    <row r="79" spans="2:13" ht="15.75" x14ac:dyDescent="0.25">
      <c r="B79" s="59"/>
      <c r="C79" s="60"/>
      <c r="D79" s="60"/>
      <c r="E79" s="60"/>
      <c r="F79" s="60"/>
      <c r="G79" s="37"/>
      <c r="H79" s="117"/>
      <c r="I79" s="60"/>
      <c r="J79" s="61"/>
      <c r="K79" s="61"/>
      <c r="L79" s="60"/>
      <c r="M79" s="58"/>
    </row>
    <row r="80" spans="2:13" ht="15.75" x14ac:dyDescent="0.25">
      <c r="B80" s="43"/>
      <c r="C80" s="60"/>
      <c r="D80" s="60"/>
      <c r="E80" s="60"/>
      <c r="F80" s="60"/>
      <c r="G80" s="37"/>
      <c r="H80" s="117"/>
      <c r="I80" s="60"/>
      <c r="J80" s="61"/>
      <c r="K80" s="61"/>
      <c r="L80" s="60"/>
      <c r="M80" s="62"/>
    </row>
    <row r="81" spans="2:13" ht="15.75" thickBot="1" x14ac:dyDescent="0.3">
      <c r="B81" s="44"/>
      <c r="C81" s="47"/>
      <c r="D81" s="223" t="s">
        <v>28</v>
      </c>
      <c r="E81" s="223"/>
      <c r="F81" s="223"/>
      <c r="G81" s="223"/>
      <c r="H81" s="223"/>
      <c r="I81" s="223"/>
      <c r="J81" s="52">
        <f>COUNT(B67:B79)</f>
        <v>3</v>
      </c>
      <c r="K81" s="46"/>
      <c r="L81" s="47"/>
      <c r="M81" s="48"/>
    </row>
    <row r="83" spans="2:13" ht="15.75" thickBot="1" x14ac:dyDescent="0.3"/>
    <row r="84" spans="2:13" x14ac:dyDescent="0.25">
      <c r="B84" s="49"/>
      <c r="C84" s="50"/>
      <c r="D84" s="50"/>
      <c r="E84" s="50"/>
      <c r="F84" s="50"/>
      <c r="G84" s="222" t="s">
        <v>24</v>
      </c>
      <c r="H84" s="222"/>
      <c r="I84" s="40"/>
      <c r="J84" s="51"/>
      <c r="K84" s="51"/>
      <c r="L84" s="40"/>
      <c r="M84" s="41"/>
    </row>
    <row r="85" spans="2:13" x14ac:dyDescent="0.25">
      <c r="B85" s="43"/>
      <c r="C85" s="37"/>
      <c r="D85" s="37"/>
      <c r="E85" s="37"/>
      <c r="F85" s="37"/>
      <c r="G85" s="37"/>
      <c r="H85" s="61"/>
      <c r="I85" s="37"/>
      <c r="J85" s="39"/>
      <c r="K85" s="39"/>
      <c r="L85" s="37"/>
      <c r="M85" s="42"/>
    </row>
    <row r="86" spans="2:13" ht="15.75" x14ac:dyDescent="0.3">
      <c r="B86" s="92" t="s">
        <v>10</v>
      </c>
      <c r="C86" s="38" t="s">
        <v>11</v>
      </c>
      <c r="D86" s="38" t="s">
        <v>12</v>
      </c>
      <c r="E86" s="38" t="s">
        <v>13</v>
      </c>
      <c r="F86" s="38" t="s">
        <v>14</v>
      </c>
      <c r="G86" s="38" t="s">
        <v>15</v>
      </c>
      <c r="H86" s="102" t="s">
        <v>16</v>
      </c>
      <c r="I86" s="38" t="s">
        <v>17</v>
      </c>
      <c r="J86" s="38" t="s">
        <v>18</v>
      </c>
      <c r="K86" s="38" t="s">
        <v>19</v>
      </c>
      <c r="L86" s="38" t="s">
        <v>5</v>
      </c>
      <c r="M86" s="29" t="s">
        <v>20</v>
      </c>
    </row>
    <row r="87" spans="2:13" ht="15.75" x14ac:dyDescent="0.25">
      <c r="B87" s="63"/>
      <c r="C87" s="60" t="s">
        <v>24</v>
      </c>
      <c r="D87" s="60" t="s">
        <v>51</v>
      </c>
      <c r="E87" s="60">
        <v>0</v>
      </c>
      <c r="F87" s="60">
        <v>60</v>
      </c>
      <c r="G87" s="60">
        <v>0</v>
      </c>
      <c r="H87" s="61"/>
      <c r="I87" s="60">
        <v>0</v>
      </c>
      <c r="J87" s="61" t="e">
        <f t="shared" ref="J87:J92" si="6">F87/H87</f>
        <v>#DIV/0!</v>
      </c>
      <c r="K87" s="61">
        <f t="shared" ref="K87:K92" si="7">(H87-F87)*100/F87</f>
        <v>-100</v>
      </c>
      <c r="L87" s="60" t="s">
        <v>67</v>
      </c>
      <c r="M87" s="62"/>
    </row>
    <row r="88" spans="2:13" ht="15.75" x14ac:dyDescent="0.25">
      <c r="B88" s="63"/>
      <c r="C88" s="60" t="s">
        <v>24</v>
      </c>
      <c r="D88" s="60" t="s">
        <v>51</v>
      </c>
      <c r="E88" s="60">
        <v>0</v>
      </c>
      <c r="F88" s="60">
        <v>60</v>
      </c>
      <c r="G88" s="60">
        <v>0</v>
      </c>
      <c r="H88" s="61"/>
      <c r="I88" s="60">
        <v>0</v>
      </c>
      <c r="J88" s="61" t="e">
        <f t="shared" si="6"/>
        <v>#DIV/0!</v>
      </c>
      <c r="K88" s="61">
        <f t="shared" si="7"/>
        <v>-100</v>
      </c>
      <c r="L88" s="60" t="s">
        <v>67</v>
      </c>
      <c r="M88" s="62"/>
    </row>
    <row r="89" spans="2:13" ht="15.75" x14ac:dyDescent="0.25">
      <c r="B89" s="63"/>
      <c r="C89" s="60" t="s">
        <v>24</v>
      </c>
      <c r="D89" s="60" t="s">
        <v>51</v>
      </c>
      <c r="E89" s="60">
        <v>0</v>
      </c>
      <c r="F89" s="60"/>
      <c r="G89" s="60">
        <v>0</v>
      </c>
      <c r="H89" s="61"/>
      <c r="I89" s="60">
        <v>0</v>
      </c>
      <c r="J89" s="61" t="e">
        <f t="shared" si="6"/>
        <v>#DIV/0!</v>
      </c>
      <c r="K89" s="61" t="e">
        <f t="shared" si="7"/>
        <v>#DIV/0!</v>
      </c>
      <c r="L89" s="60" t="s">
        <v>67</v>
      </c>
      <c r="M89" s="62"/>
    </row>
    <row r="90" spans="2:13" ht="15.75" x14ac:dyDescent="0.25">
      <c r="B90" s="63"/>
      <c r="C90" s="60" t="s">
        <v>24</v>
      </c>
      <c r="D90" s="60" t="s">
        <v>51</v>
      </c>
      <c r="E90" s="60">
        <v>0</v>
      </c>
      <c r="F90" s="60"/>
      <c r="G90" s="60">
        <v>0</v>
      </c>
      <c r="H90" s="61"/>
      <c r="I90" s="60">
        <v>0</v>
      </c>
      <c r="J90" s="61" t="e">
        <f t="shared" si="6"/>
        <v>#DIV/0!</v>
      </c>
      <c r="K90" s="61" t="e">
        <f t="shared" si="7"/>
        <v>#DIV/0!</v>
      </c>
      <c r="L90" s="60" t="s">
        <v>67</v>
      </c>
      <c r="M90" s="62"/>
    </row>
    <row r="91" spans="2:13" ht="15.75" x14ac:dyDescent="0.25">
      <c r="B91" s="63"/>
      <c r="C91" s="60" t="s">
        <v>24</v>
      </c>
      <c r="D91" s="60" t="s">
        <v>51</v>
      </c>
      <c r="E91" s="60">
        <v>0</v>
      </c>
      <c r="F91" s="60"/>
      <c r="G91" s="60">
        <v>0</v>
      </c>
      <c r="H91" s="61"/>
      <c r="I91" s="60">
        <v>0</v>
      </c>
      <c r="J91" s="61" t="e">
        <f t="shared" si="6"/>
        <v>#DIV/0!</v>
      </c>
      <c r="K91" s="61" t="e">
        <f t="shared" si="7"/>
        <v>#DIV/0!</v>
      </c>
      <c r="L91" s="60" t="s">
        <v>67</v>
      </c>
      <c r="M91" s="62"/>
    </row>
    <row r="92" spans="2:13" ht="15.75" x14ac:dyDescent="0.25">
      <c r="B92" s="63"/>
      <c r="C92" s="60" t="s">
        <v>24</v>
      </c>
      <c r="D92" s="60" t="s">
        <v>51</v>
      </c>
      <c r="E92" s="60">
        <v>0</v>
      </c>
      <c r="F92" s="60"/>
      <c r="G92" s="60">
        <v>0</v>
      </c>
      <c r="H92" s="61"/>
      <c r="I92" s="60">
        <v>0</v>
      </c>
      <c r="J92" s="61" t="e">
        <f t="shared" si="6"/>
        <v>#DIV/0!</v>
      </c>
      <c r="K92" s="61" t="e">
        <f t="shared" si="7"/>
        <v>#DIV/0!</v>
      </c>
      <c r="L92" s="60" t="s">
        <v>67</v>
      </c>
      <c r="M92" s="62"/>
    </row>
    <row r="93" spans="2:13" ht="15.75" x14ac:dyDescent="0.25">
      <c r="B93" s="59"/>
      <c r="C93" s="60"/>
      <c r="D93" s="60"/>
      <c r="E93" s="60"/>
      <c r="F93" s="60"/>
      <c r="G93" s="60"/>
      <c r="H93" s="61"/>
      <c r="I93" s="60"/>
      <c r="J93" s="61"/>
      <c r="K93" s="61"/>
      <c r="L93" s="60"/>
      <c r="M93" s="62"/>
    </row>
    <row r="94" spans="2:13" ht="15.75" x14ac:dyDescent="0.25">
      <c r="B94" s="59"/>
      <c r="C94" s="60"/>
      <c r="D94" s="60"/>
      <c r="E94" s="60"/>
      <c r="F94" s="60"/>
      <c r="G94" s="60"/>
      <c r="H94" s="61"/>
      <c r="I94" s="60"/>
      <c r="J94" s="61"/>
      <c r="K94" s="61"/>
      <c r="L94" s="60"/>
      <c r="M94" s="62"/>
    </row>
    <row r="95" spans="2:13" ht="15.75" x14ac:dyDescent="0.25">
      <c r="B95" s="59"/>
      <c r="C95" s="60"/>
      <c r="D95" s="60"/>
      <c r="E95" s="60"/>
      <c r="F95" s="60"/>
      <c r="G95" s="60"/>
      <c r="H95" s="61"/>
      <c r="I95" s="60"/>
      <c r="J95" s="61"/>
      <c r="K95" s="61"/>
      <c r="L95" s="60"/>
      <c r="M95" s="58"/>
    </row>
    <row r="96" spans="2:13" ht="15.75" x14ac:dyDescent="0.25">
      <c r="B96" s="59"/>
      <c r="C96" s="60"/>
      <c r="D96" s="60"/>
      <c r="E96" s="60"/>
      <c r="F96" s="60"/>
      <c r="G96" s="60"/>
      <c r="H96" s="61"/>
      <c r="I96" s="60"/>
      <c r="J96" s="61"/>
      <c r="K96" s="61"/>
      <c r="L96" s="60"/>
      <c r="M96" s="58"/>
    </row>
    <row r="97" spans="2:13" ht="15.75" x14ac:dyDescent="0.25">
      <c r="B97" s="59"/>
      <c r="C97" s="60"/>
      <c r="D97" s="60"/>
      <c r="E97" s="60"/>
      <c r="F97" s="60"/>
      <c r="G97" s="60"/>
      <c r="H97" s="61"/>
      <c r="I97" s="60"/>
      <c r="J97" s="61"/>
      <c r="K97" s="61"/>
      <c r="L97" s="60"/>
      <c r="M97" s="58"/>
    </row>
    <row r="98" spans="2:13" ht="15.75" x14ac:dyDescent="0.25">
      <c r="B98" s="59"/>
      <c r="C98" s="60"/>
      <c r="D98" s="60"/>
      <c r="E98" s="60"/>
      <c r="F98" s="60"/>
      <c r="G98" s="60"/>
      <c r="H98" s="61"/>
      <c r="I98" s="60"/>
      <c r="J98" s="61"/>
      <c r="K98" s="61"/>
      <c r="L98" s="60"/>
      <c r="M98" s="58"/>
    </row>
    <row r="99" spans="2:13" ht="15.75" x14ac:dyDescent="0.25">
      <c r="B99" s="59"/>
      <c r="C99" s="60"/>
      <c r="D99" s="60"/>
      <c r="E99" s="60"/>
      <c r="F99" s="60"/>
      <c r="G99" s="60"/>
      <c r="H99" s="61"/>
      <c r="I99" s="60"/>
      <c r="J99" s="61"/>
      <c r="K99" s="61"/>
      <c r="L99" s="60"/>
      <c r="M99" s="58"/>
    </row>
    <row r="100" spans="2:13" ht="15.75" x14ac:dyDescent="0.25">
      <c r="B100" s="43"/>
      <c r="C100" s="60"/>
      <c r="D100" s="60"/>
      <c r="E100" s="60"/>
      <c r="F100" s="60"/>
      <c r="G100" s="60"/>
      <c r="H100" s="61"/>
      <c r="I100" s="60"/>
      <c r="J100" s="61"/>
      <c r="K100" s="61"/>
      <c r="L100" s="60"/>
      <c r="M100" s="62"/>
    </row>
    <row r="101" spans="2:13" ht="15.75" thickBot="1" x14ac:dyDescent="0.3">
      <c r="B101" s="44"/>
      <c r="C101" s="47"/>
      <c r="D101" s="223" t="s">
        <v>29</v>
      </c>
      <c r="E101" s="223"/>
      <c r="F101" s="223"/>
      <c r="G101" s="223"/>
      <c r="H101" s="223"/>
      <c r="I101" s="223"/>
      <c r="J101" s="52">
        <f>COUNT(B87:B99)</f>
        <v>0</v>
      </c>
      <c r="K101" s="46"/>
      <c r="L101" s="47"/>
      <c r="M101" s="48"/>
    </row>
    <row r="103" spans="2:13" ht="15.75" thickBot="1" x14ac:dyDescent="0.3"/>
    <row r="104" spans="2:13" x14ac:dyDescent="0.25">
      <c r="B104" s="49"/>
      <c r="C104" s="40"/>
      <c r="D104" s="40"/>
      <c r="E104" s="40"/>
      <c r="F104" s="40"/>
      <c r="G104" s="224" t="s">
        <v>4</v>
      </c>
      <c r="H104" s="224"/>
      <c r="I104" s="40"/>
      <c r="J104" s="40"/>
      <c r="K104" s="40"/>
      <c r="L104" s="40"/>
      <c r="M104" s="41"/>
    </row>
    <row r="105" spans="2:13" x14ac:dyDescent="0.25">
      <c r="B105" s="43"/>
      <c r="C105" s="37"/>
      <c r="D105" s="37"/>
      <c r="E105" s="37"/>
      <c r="F105" s="37"/>
      <c r="G105" s="37"/>
      <c r="H105" s="61"/>
      <c r="I105" s="37"/>
      <c r="J105" s="37"/>
      <c r="K105" s="37"/>
      <c r="L105" s="37"/>
      <c r="M105" s="42"/>
    </row>
    <row r="106" spans="2:13" ht="15.75" x14ac:dyDescent="0.3">
      <c r="B106" s="93" t="s">
        <v>10</v>
      </c>
      <c r="C106" s="38" t="s">
        <v>11</v>
      </c>
      <c r="D106" s="38" t="s">
        <v>12</v>
      </c>
      <c r="E106" s="38" t="s">
        <v>13</v>
      </c>
      <c r="F106" s="38" t="s">
        <v>14</v>
      </c>
      <c r="G106" s="38" t="s">
        <v>15</v>
      </c>
      <c r="H106" s="102" t="s">
        <v>16</v>
      </c>
      <c r="I106" s="38" t="s">
        <v>17</v>
      </c>
      <c r="J106" s="38" t="s">
        <v>18</v>
      </c>
      <c r="K106" s="38" t="s">
        <v>19</v>
      </c>
      <c r="L106" s="38" t="s">
        <v>5</v>
      </c>
      <c r="M106" s="27" t="s">
        <v>20</v>
      </c>
    </row>
    <row r="107" spans="2:13" ht="15.75" x14ac:dyDescent="0.25">
      <c r="B107" s="63">
        <v>44965.055555555555</v>
      </c>
      <c r="C107" s="60" t="s">
        <v>4</v>
      </c>
      <c r="D107" s="60" t="s">
        <v>51</v>
      </c>
      <c r="E107" s="60">
        <v>0</v>
      </c>
      <c r="F107" s="60">
        <v>320</v>
      </c>
      <c r="G107" s="60">
        <v>0</v>
      </c>
      <c r="H107" s="61">
        <v>316.10000000000002</v>
      </c>
      <c r="I107" s="60">
        <f>G107-E107</f>
        <v>0</v>
      </c>
      <c r="J107" s="61">
        <f>F107/H107</f>
        <v>1.0123378677633659</v>
      </c>
      <c r="K107" s="61">
        <f>(H107-F107)*100/F107</f>
        <v>-1.2187499999999929</v>
      </c>
      <c r="L107" s="60" t="s">
        <v>67</v>
      </c>
      <c r="M107" s="62" t="s">
        <v>240</v>
      </c>
    </row>
    <row r="108" spans="2:13" ht="15.75" x14ac:dyDescent="0.25">
      <c r="B108" s="63">
        <v>44973.447916666664</v>
      </c>
      <c r="C108" s="60" t="s">
        <v>4</v>
      </c>
      <c r="D108" s="60" t="s">
        <v>51</v>
      </c>
      <c r="E108" s="60">
        <v>0</v>
      </c>
      <c r="F108" s="60">
        <v>320</v>
      </c>
      <c r="G108" s="60">
        <v>0</v>
      </c>
      <c r="H108" s="61">
        <v>325.3</v>
      </c>
      <c r="I108" s="60">
        <f>G108-E108</f>
        <v>0</v>
      </c>
      <c r="J108" s="61">
        <f>F108/H108</f>
        <v>0.98370734706424834</v>
      </c>
      <c r="K108" s="61">
        <f>(H108-F108)*100/F108</f>
        <v>1.6562500000000036</v>
      </c>
      <c r="L108" s="60" t="s">
        <v>67</v>
      </c>
      <c r="M108" s="62" t="s">
        <v>241</v>
      </c>
    </row>
    <row r="109" spans="2:13" ht="15.75" x14ac:dyDescent="0.25">
      <c r="B109" s="63">
        <v>44978.46875</v>
      </c>
      <c r="C109" s="60" t="s">
        <v>4</v>
      </c>
      <c r="D109" s="60" t="s">
        <v>51</v>
      </c>
      <c r="E109" s="60">
        <v>0</v>
      </c>
      <c r="F109" s="60">
        <v>320</v>
      </c>
      <c r="G109" s="60">
        <v>0</v>
      </c>
      <c r="H109" s="61">
        <v>319.42</v>
      </c>
      <c r="I109" s="60">
        <f t="shared" ref="I109:I114" si="8">G109-E109</f>
        <v>0</v>
      </c>
      <c r="J109" s="61">
        <f t="shared" ref="J109:J114" si="9">F109/H109</f>
        <v>1.0018157911214074</v>
      </c>
      <c r="K109" s="61">
        <f t="shared" ref="K109:K114" si="10">(H109-F109)*100/F109</f>
        <v>-0.18124999999999503</v>
      </c>
      <c r="L109" s="60" t="s">
        <v>67</v>
      </c>
      <c r="M109" s="62" t="s">
        <v>241</v>
      </c>
    </row>
    <row r="110" spans="2:13" ht="15.75" x14ac:dyDescent="0.25">
      <c r="B110" s="63"/>
      <c r="C110" s="60" t="s">
        <v>4</v>
      </c>
      <c r="D110" s="60" t="s">
        <v>51</v>
      </c>
      <c r="E110" s="60">
        <v>0</v>
      </c>
      <c r="F110" s="60">
        <v>320</v>
      </c>
      <c r="G110" s="60">
        <v>0</v>
      </c>
      <c r="H110" s="61"/>
      <c r="I110" s="60">
        <f t="shared" si="8"/>
        <v>0</v>
      </c>
      <c r="J110" s="61" t="e">
        <f t="shared" si="9"/>
        <v>#DIV/0!</v>
      </c>
      <c r="K110" s="61">
        <f t="shared" si="10"/>
        <v>-100</v>
      </c>
      <c r="L110" s="60" t="s">
        <v>67</v>
      </c>
      <c r="M110" s="62" t="s">
        <v>241</v>
      </c>
    </row>
    <row r="111" spans="2:13" ht="15.75" x14ac:dyDescent="0.25">
      <c r="B111" s="63"/>
      <c r="C111" s="60" t="s">
        <v>4</v>
      </c>
      <c r="D111" s="60" t="s">
        <v>51</v>
      </c>
      <c r="E111" s="60">
        <v>0</v>
      </c>
      <c r="F111" s="60">
        <v>320</v>
      </c>
      <c r="G111" s="60">
        <v>0</v>
      </c>
      <c r="H111" s="61"/>
      <c r="I111" s="60">
        <f t="shared" si="8"/>
        <v>0</v>
      </c>
      <c r="J111" s="61" t="e">
        <f t="shared" si="9"/>
        <v>#DIV/0!</v>
      </c>
      <c r="K111" s="61">
        <f t="shared" si="10"/>
        <v>-100</v>
      </c>
      <c r="L111" s="60" t="s">
        <v>67</v>
      </c>
      <c r="M111" s="62"/>
    </row>
    <row r="112" spans="2:13" ht="15.75" x14ac:dyDescent="0.25">
      <c r="B112" s="63"/>
      <c r="C112" s="60" t="s">
        <v>4</v>
      </c>
      <c r="D112" s="60" t="s">
        <v>51</v>
      </c>
      <c r="E112" s="60">
        <v>0</v>
      </c>
      <c r="F112" s="60">
        <v>320</v>
      </c>
      <c r="G112" s="37">
        <v>0</v>
      </c>
      <c r="H112" s="61"/>
      <c r="I112" s="60">
        <f t="shared" si="8"/>
        <v>0</v>
      </c>
      <c r="J112" s="61" t="e">
        <f t="shared" si="9"/>
        <v>#DIV/0!</v>
      </c>
      <c r="K112" s="61">
        <f t="shared" si="10"/>
        <v>-100</v>
      </c>
      <c r="L112" s="60" t="s">
        <v>67</v>
      </c>
      <c r="M112" s="62"/>
    </row>
    <row r="113" spans="2:13" ht="15.75" x14ac:dyDescent="0.25">
      <c r="B113" s="63"/>
      <c r="C113" s="60" t="s">
        <v>4</v>
      </c>
      <c r="D113" s="60" t="s">
        <v>51</v>
      </c>
      <c r="E113" s="60">
        <v>0</v>
      </c>
      <c r="F113" s="60">
        <v>320</v>
      </c>
      <c r="G113" s="37">
        <v>0</v>
      </c>
      <c r="H113" s="61"/>
      <c r="I113" s="60">
        <f t="shared" si="8"/>
        <v>0</v>
      </c>
      <c r="J113" s="61" t="e">
        <f t="shared" si="9"/>
        <v>#DIV/0!</v>
      </c>
      <c r="K113" s="61">
        <f t="shared" si="10"/>
        <v>-100</v>
      </c>
      <c r="L113" s="60" t="s">
        <v>67</v>
      </c>
      <c r="M113" s="62"/>
    </row>
    <row r="114" spans="2:13" ht="15.75" x14ac:dyDescent="0.25">
      <c r="B114" s="63"/>
      <c r="C114" s="60" t="s">
        <v>4</v>
      </c>
      <c r="D114" s="60" t="s">
        <v>51</v>
      </c>
      <c r="E114" s="60">
        <v>0</v>
      </c>
      <c r="F114" s="60">
        <v>320</v>
      </c>
      <c r="G114" s="37">
        <v>0</v>
      </c>
      <c r="H114" s="61"/>
      <c r="I114" s="60">
        <f t="shared" si="8"/>
        <v>0</v>
      </c>
      <c r="J114" s="61" t="e">
        <f t="shared" si="9"/>
        <v>#DIV/0!</v>
      </c>
      <c r="K114" s="61">
        <f t="shared" si="10"/>
        <v>-100</v>
      </c>
      <c r="L114" s="60" t="s">
        <v>67</v>
      </c>
      <c r="M114" s="62"/>
    </row>
    <row r="115" spans="2:13" ht="15.75" x14ac:dyDescent="0.25">
      <c r="B115" s="63"/>
      <c r="C115" s="60" t="s">
        <v>4</v>
      </c>
      <c r="D115" s="60" t="s">
        <v>51</v>
      </c>
      <c r="E115" s="60">
        <v>0</v>
      </c>
      <c r="F115" s="60">
        <v>320</v>
      </c>
      <c r="G115" s="60">
        <v>0</v>
      </c>
      <c r="H115" s="61"/>
      <c r="I115" s="60">
        <f>G115-E115</f>
        <v>0</v>
      </c>
      <c r="J115" s="61" t="e">
        <f>F115/H115</f>
        <v>#DIV/0!</v>
      </c>
      <c r="K115" s="61">
        <f>(H115-F115)*100/F115</f>
        <v>-100</v>
      </c>
      <c r="L115" s="60" t="s">
        <v>67</v>
      </c>
      <c r="M115" s="62"/>
    </row>
    <row r="116" spans="2:13" ht="15.75" x14ac:dyDescent="0.25">
      <c r="B116" s="59"/>
      <c r="C116" s="60"/>
      <c r="D116" s="60"/>
      <c r="E116" s="60"/>
      <c r="F116" s="60"/>
      <c r="G116" s="37"/>
      <c r="H116" s="61"/>
      <c r="I116" s="60"/>
      <c r="J116" s="61"/>
      <c r="K116" s="61"/>
      <c r="L116" s="60"/>
      <c r="M116" s="62"/>
    </row>
    <row r="117" spans="2:13" ht="15.75" x14ac:dyDescent="0.25">
      <c r="B117" s="59"/>
      <c r="C117" s="60"/>
      <c r="D117" s="60"/>
      <c r="E117" s="60"/>
      <c r="F117" s="60"/>
      <c r="G117" s="37"/>
      <c r="H117" s="61"/>
      <c r="I117" s="60"/>
      <c r="J117" s="61"/>
      <c r="K117" s="61"/>
      <c r="L117" s="60"/>
      <c r="M117" s="62"/>
    </row>
    <row r="118" spans="2:13" ht="15.75" x14ac:dyDescent="0.25">
      <c r="B118" s="43"/>
      <c r="C118" s="60"/>
      <c r="D118" s="60"/>
      <c r="E118" s="60"/>
      <c r="F118" s="60"/>
      <c r="G118" s="37"/>
      <c r="H118" s="61"/>
      <c r="I118" s="60"/>
      <c r="J118" s="61"/>
      <c r="K118" s="61"/>
      <c r="L118" s="60"/>
      <c r="M118" s="62"/>
    </row>
    <row r="119" spans="2:13" ht="15.75" thickBot="1" x14ac:dyDescent="0.3">
      <c r="B119" s="44"/>
      <c r="C119" s="223" t="s">
        <v>69</v>
      </c>
      <c r="D119" s="223"/>
      <c r="E119" s="223"/>
      <c r="F119" s="223"/>
      <c r="G119" s="223"/>
      <c r="H119" s="223"/>
      <c r="I119" s="52">
        <f>COUNT(B107:B118)</f>
        <v>3</v>
      </c>
      <c r="J119" s="46"/>
      <c r="K119" s="46"/>
      <c r="L119" s="47"/>
      <c r="M119" s="48"/>
    </row>
  </sheetData>
  <mergeCells count="15">
    <mergeCell ref="C119:H119"/>
    <mergeCell ref="G64:H64"/>
    <mergeCell ref="D81:I81"/>
    <mergeCell ref="G84:H84"/>
    <mergeCell ref="D101:I101"/>
    <mergeCell ref="G104:H104"/>
    <mergeCell ref="D61:I61"/>
    <mergeCell ref="P21:S21"/>
    <mergeCell ref="P40:S40"/>
    <mergeCell ref="D41:I41"/>
    <mergeCell ref="D1:J1"/>
    <mergeCell ref="G44:H44"/>
    <mergeCell ref="C21:H21"/>
    <mergeCell ref="G5:H5"/>
    <mergeCell ref="G24:H24"/>
  </mergeCells>
  <pageMargins left="0.7" right="0.7" top="0.75" bottom="0.75" header="0.3" footer="0.3"/>
  <pageSetup paperSize="9" orientation="portrait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6"/>
  <sheetViews>
    <sheetView workbookViewId="0">
      <selection activeCell="C8" sqref="C8"/>
    </sheetView>
  </sheetViews>
  <sheetFormatPr defaultRowHeight="15" x14ac:dyDescent="0.25"/>
  <cols>
    <col min="1" max="1" width="9.140625" style="12" customWidth="1"/>
    <col min="2" max="2" width="28.28515625" customWidth="1"/>
    <col min="3" max="3" width="30" customWidth="1"/>
    <col min="4" max="4" width="27.85546875" customWidth="1"/>
  </cols>
  <sheetData>
    <row r="2" spans="1:5" x14ac:dyDescent="0.25">
      <c r="B2" s="226" t="s">
        <v>243</v>
      </c>
      <c r="C2" s="226"/>
      <c r="D2" s="227" t="str">
        <f>'MONTHLY '!$B$2</f>
        <v>01-02-2023 00:15</v>
      </c>
      <c r="E2" s="227"/>
    </row>
    <row r="3" spans="1:5" x14ac:dyDescent="0.25">
      <c r="B3" s="226" t="s">
        <v>21</v>
      </c>
      <c r="C3" s="226"/>
      <c r="D3" s="227"/>
      <c r="E3" s="227"/>
    </row>
    <row r="7" spans="1:5" s="19" customFormat="1" x14ac:dyDescent="0.25">
      <c r="A7" s="53"/>
      <c r="B7" s="30" t="s">
        <v>6</v>
      </c>
      <c r="C7" s="30" t="s">
        <v>7</v>
      </c>
      <c r="D7" s="31" t="s">
        <v>8</v>
      </c>
    </row>
    <row r="8" spans="1:5" s="24" customFormat="1" x14ac:dyDescent="0.25">
      <c r="A8" s="53"/>
      <c r="B8" s="201"/>
      <c r="C8" s="201"/>
      <c r="D8" s="33">
        <f t="shared" ref="D8:D13" si="0">C8-B8</f>
        <v>0</v>
      </c>
    </row>
    <row r="9" spans="1:5" s="24" customFormat="1" x14ac:dyDescent="0.25">
      <c r="A9" s="53"/>
      <c r="B9" s="56"/>
      <c r="C9" s="56"/>
      <c r="D9" s="33">
        <f t="shared" si="0"/>
        <v>0</v>
      </c>
    </row>
    <row r="10" spans="1:5" s="24" customFormat="1" x14ac:dyDescent="0.25">
      <c r="A10" s="53"/>
      <c r="B10" s="32"/>
      <c r="C10" s="32"/>
      <c r="D10" s="33">
        <f t="shared" si="0"/>
        <v>0</v>
      </c>
    </row>
    <row r="11" spans="1:5" s="19" customFormat="1" x14ac:dyDescent="0.25">
      <c r="A11" s="53"/>
      <c r="B11" s="34"/>
      <c r="C11" s="34"/>
      <c r="D11" s="33">
        <f t="shared" si="0"/>
        <v>0</v>
      </c>
    </row>
    <row r="12" spans="1:5" x14ac:dyDescent="0.25">
      <c r="B12" s="34"/>
      <c r="C12" s="34"/>
      <c r="D12" s="33">
        <f t="shared" si="0"/>
        <v>0</v>
      </c>
    </row>
    <row r="13" spans="1:5" x14ac:dyDescent="0.25">
      <c r="B13" s="34"/>
      <c r="C13" s="34"/>
      <c r="D13" s="33">
        <f t="shared" si="0"/>
        <v>0</v>
      </c>
    </row>
    <row r="14" spans="1:5" s="12" customFormat="1" x14ac:dyDescent="0.25">
      <c r="B14" s="34"/>
      <c r="C14" s="34"/>
      <c r="D14" s="33">
        <f t="shared" ref="D14:D23" si="1">C14-B14</f>
        <v>0</v>
      </c>
    </row>
    <row r="15" spans="1:5" s="12" customFormat="1" x14ac:dyDescent="0.25">
      <c r="B15" s="32"/>
      <c r="C15" s="32"/>
      <c r="D15" s="33">
        <f t="shared" si="1"/>
        <v>0</v>
      </c>
    </row>
    <row r="16" spans="1:5" s="12" customFormat="1" x14ac:dyDescent="0.25">
      <c r="B16" s="32"/>
      <c r="C16" s="32"/>
      <c r="D16" s="33">
        <f t="shared" si="1"/>
        <v>0</v>
      </c>
    </row>
    <row r="17" spans="2:4" x14ac:dyDescent="0.25">
      <c r="B17" s="32"/>
      <c r="C17" s="32"/>
      <c r="D17" s="33">
        <f t="shared" si="1"/>
        <v>0</v>
      </c>
    </row>
    <row r="18" spans="2:4" x14ac:dyDescent="0.25">
      <c r="B18" s="32"/>
      <c r="C18" s="32"/>
      <c r="D18" s="33">
        <f t="shared" si="1"/>
        <v>0</v>
      </c>
    </row>
    <row r="19" spans="2:4" x14ac:dyDescent="0.25">
      <c r="B19" s="34"/>
      <c r="C19" s="32"/>
      <c r="D19" s="33">
        <f t="shared" si="1"/>
        <v>0</v>
      </c>
    </row>
    <row r="20" spans="2:4" x14ac:dyDescent="0.25">
      <c r="B20" s="34"/>
      <c r="C20" s="32"/>
      <c r="D20" s="33">
        <f t="shared" si="1"/>
        <v>0</v>
      </c>
    </row>
    <row r="21" spans="2:4" x14ac:dyDescent="0.25">
      <c r="B21" s="34"/>
      <c r="C21" s="32"/>
      <c r="D21" s="33">
        <f t="shared" si="1"/>
        <v>0</v>
      </c>
    </row>
    <row r="22" spans="2:4" s="12" customFormat="1" x14ac:dyDescent="0.25">
      <c r="B22" s="34"/>
      <c r="C22" s="32"/>
      <c r="D22" s="33">
        <f t="shared" si="1"/>
        <v>0</v>
      </c>
    </row>
    <row r="23" spans="2:4" s="12" customFormat="1" x14ac:dyDescent="0.25">
      <c r="B23" s="34"/>
      <c r="C23" s="32"/>
      <c r="D23" s="33">
        <f t="shared" si="1"/>
        <v>0</v>
      </c>
    </row>
    <row r="24" spans="2:4" s="12" customFormat="1" x14ac:dyDescent="0.25">
      <c r="B24" s="36" t="s">
        <v>22</v>
      </c>
      <c r="C24" s="32"/>
      <c r="D24" s="35">
        <f>SUM(D7:D23)</f>
        <v>0</v>
      </c>
    </row>
    <row r="25" spans="2:4" s="12" customFormat="1" x14ac:dyDescent="0.25">
      <c r="B25" s="21"/>
      <c r="C25" s="1"/>
      <c r="D25" s="20"/>
    </row>
    <row r="26" spans="2:4" s="12" customFormat="1" x14ac:dyDescent="0.25">
      <c r="B26" s="21"/>
      <c r="C26" s="1"/>
      <c r="D26" s="20"/>
    </row>
    <row r="27" spans="2:4" s="12" customFormat="1" x14ac:dyDescent="0.25">
      <c r="B27" s="21"/>
      <c r="C27" s="1"/>
      <c r="D27" s="20"/>
    </row>
    <row r="28" spans="2:4" s="12" customFormat="1" x14ac:dyDescent="0.25">
      <c r="B28" s="21"/>
      <c r="C28" s="1"/>
      <c r="D28" s="20"/>
    </row>
    <row r="29" spans="2:4" s="12" customFormat="1" x14ac:dyDescent="0.25">
      <c r="B29" s="21"/>
      <c r="C29" s="1"/>
      <c r="D29" s="20"/>
    </row>
    <row r="30" spans="2:4" s="12" customFormat="1" x14ac:dyDescent="0.25">
      <c r="B30" s="21"/>
      <c r="C30" s="1"/>
      <c r="D30" s="20"/>
    </row>
    <row r="31" spans="2:4" s="12" customFormat="1" x14ac:dyDescent="0.25">
      <c r="B31" s="21"/>
      <c r="C31" s="1"/>
      <c r="D31" s="20"/>
    </row>
    <row r="32" spans="2:4" s="12" customFormat="1" x14ac:dyDescent="0.25">
      <c r="B32" s="21"/>
      <c r="C32" s="1"/>
      <c r="D32" s="20"/>
    </row>
    <row r="33" spans="2:4" s="12" customFormat="1" x14ac:dyDescent="0.25">
      <c r="B33" s="21"/>
      <c r="C33" s="1"/>
      <c r="D33" s="20"/>
    </row>
    <row r="34" spans="2:4" s="12" customFormat="1" x14ac:dyDescent="0.25">
      <c r="B34" s="21"/>
      <c r="C34" s="1"/>
      <c r="D34" s="20"/>
    </row>
    <row r="35" spans="2:4" s="12" customFormat="1" x14ac:dyDescent="0.25">
      <c r="B35" s="21"/>
      <c r="C35" s="1"/>
      <c r="D35" s="20"/>
    </row>
    <row r="36" spans="2:4" s="12" customFormat="1" x14ac:dyDescent="0.25">
      <c r="B36" s="21"/>
      <c r="C36" s="1"/>
      <c r="D36" s="20"/>
    </row>
    <row r="37" spans="2:4" s="12" customFormat="1" x14ac:dyDescent="0.25">
      <c r="B37" s="21"/>
      <c r="C37" s="1"/>
      <c r="D37" s="20"/>
    </row>
    <row r="38" spans="2:4" s="12" customFormat="1" x14ac:dyDescent="0.25">
      <c r="B38" s="21"/>
      <c r="C38" s="1"/>
      <c r="D38" s="20"/>
    </row>
    <row r="39" spans="2:4" s="12" customFormat="1" x14ac:dyDescent="0.25">
      <c r="B39" s="21"/>
      <c r="C39" s="1"/>
      <c r="D39" s="20"/>
    </row>
    <row r="40" spans="2:4" s="12" customFormat="1" x14ac:dyDescent="0.25">
      <c r="B40" s="21"/>
      <c r="C40" s="1"/>
      <c r="D40" s="20"/>
    </row>
    <row r="41" spans="2:4" s="12" customFormat="1" x14ac:dyDescent="0.25">
      <c r="B41" s="21"/>
      <c r="C41" s="1"/>
      <c r="D41" s="20"/>
    </row>
    <row r="42" spans="2:4" s="12" customFormat="1" x14ac:dyDescent="0.25">
      <c r="B42" s="21"/>
      <c r="C42" s="1"/>
      <c r="D42" s="20"/>
    </row>
    <row r="43" spans="2:4" s="12" customFormat="1" x14ac:dyDescent="0.25">
      <c r="B43" s="21"/>
      <c r="C43" s="1"/>
      <c r="D43" s="20"/>
    </row>
    <row r="44" spans="2:4" s="12" customFormat="1" ht="15.75" x14ac:dyDescent="0.25">
      <c r="B44" s="228" t="s">
        <v>22</v>
      </c>
      <c r="C44" s="228"/>
      <c r="D44" s="20">
        <f>SUM(D11:D42)</f>
        <v>0</v>
      </c>
    </row>
    <row r="45" spans="2:4" s="12" customFormat="1" x14ac:dyDescent="0.25">
      <c r="B45" s="21"/>
      <c r="C45" s="1"/>
      <c r="D45" s="20"/>
    </row>
    <row r="46" spans="2:4" s="12" customFormat="1" x14ac:dyDescent="0.25">
      <c r="B46" s="1"/>
      <c r="C46" s="1"/>
      <c r="D46" s="20"/>
    </row>
    <row r="47" spans="2:4" x14ac:dyDescent="0.25">
      <c r="B47" s="1"/>
      <c r="C47" s="1"/>
      <c r="D47" s="20"/>
    </row>
    <row r="48" spans="2:4" x14ac:dyDescent="0.25">
      <c r="B48" s="1"/>
      <c r="C48" s="1"/>
      <c r="D48" s="20"/>
    </row>
    <row r="49" spans="2:4" s="12" customFormat="1" x14ac:dyDescent="0.25">
      <c r="B49" s="1"/>
      <c r="C49" s="1"/>
      <c r="D49" s="20"/>
    </row>
    <row r="50" spans="2:4" s="12" customFormat="1" x14ac:dyDescent="0.25">
      <c r="B50" s="21"/>
      <c r="C50" s="1"/>
      <c r="D50" s="20"/>
    </row>
    <row r="51" spans="2:4" s="12" customFormat="1" x14ac:dyDescent="0.25">
      <c r="B51" s="21"/>
      <c r="C51" s="1"/>
      <c r="D51" s="20"/>
    </row>
    <row r="52" spans="2:4" s="12" customFormat="1" x14ac:dyDescent="0.25">
      <c r="B52" s="21"/>
      <c r="C52" s="1"/>
      <c r="D52" s="20"/>
    </row>
    <row r="53" spans="2:4" s="12" customFormat="1" x14ac:dyDescent="0.25">
      <c r="B53" s="21"/>
      <c r="C53" s="1"/>
      <c r="D53" s="20"/>
    </row>
    <row r="54" spans="2:4" s="12" customFormat="1" x14ac:dyDescent="0.25">
      <c r="B54" s="1"/>
      <c r="C54" s="1"/>
      <c r="D54" s="20"/>
    </row>
    <row r="55" spans="2:4" x14ac:dyDescent="0.25">
      <c r="D55" s="20"/>
    </row>
    <row r="56" spans="2:4" x14ac:dyDescent="0.25">
      <c r="D56" s="20"/>
    </row>
  </sheetData>
  <mergeCells count="4">
    <mergeCell ref="B2:C2"/>
    <mergeCell ref="B3:C3"/>
    <mergeCell ref="D2:E3"/>
    <mergeCell ref="B44:C44"/>
  </mergeCells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86"/>
  <sheetViews>
    <sheetView topLeftCell="A49" zoomScaleNormal="100" workbookViewId="0">
      <selection activeCell="C25" sqref="C25:R25"/>
    </sheetView>
  </sheetViews>
  <sheetFormatPr defaultRowHeight="15" x14ac:dyDescent="0.25"/>
  <cols>
    <col min="1" max="1" width="7" style="54" customWidth="1"/>
    <col min="2" max="2" width="13.42578125" style="54" customWidth="1"/>
    <col min="3" max="3" width="14" style="54" customWidth="1"/>
    <col min="4" max="4" width="14.140625" style="54" bestFit="1" customWidth="1"/>
    <col min="5" max="5" width="18" style="54" customWidth="1"/>
    <col min="6" max="6" width="12.5703125" style="54" bestFit="1" customWidth="1"/>
    <col min="7" max="8" width="12" style="54" bestFit="1" customWidth="1"/>
    <col min="9" max="9" width="12.5703125" style="54" bestFit="1" customWidth="1"/>
    <col min="10" max="10" width="12" style="54" bestFit="1" customWidth="1"/>
    <col min="11" max="11" width="13.140625" style="54" bestFit="1" customWidth="1"/>
    <col min="12" max="12" width="12.5703125" style="54" bestFit="1" customWidth="1"/>
    <col min="13" max="13" width="12" style="54" bestFit="1" customWidth="1"/>
    <col min="14" max="14" width="14" style="54" bestFit="1" customWidth="1"/>
    <col min="15" max="15" width="14.5703125" style="54" bestFit="1" customWidth="1"/>
    <col min="16" max="16" width="11.140625" style="54" customWidth="1"/>
    <col min="17" max="17" width="11.7109375" style="54" customWidth="1"/>
    <col min="18" max="18" width="11.85546875" style="54" customWidth="1"/>
    <col min="19" max="19" width="12.5703125" style="54" bestFit="1" customWidth="1"/>
    <col min="20" max="20" width="12" style="54" bestFit="1" customWidth="1"/>
    <col min="21" max="21" width="14" style="54" customWidth="1"/>
    <col min="22" max="22" width="14.5703125" style="54" bestFit="1" customWidth="1"/>
    <col min="23" max="23" width="9.140625" style="54"/>
    <col min="24" max="24" width="12.28515625" style="54" customWidth="1"/>
    <col min="25" max="25" width="11.7109375" style="54" customWidth="1"/>
    <col min="26" max="16384" width="9.140625" style="54"/>
  </cols>
  <sheetData>
    <row r="2" spans="2:24" s="12" customFormat="1" ht="15" customHeight="1" x14ac:dyDescent="0.25">
      <c r="B2" s="229" t="s">
        <v>220</v>
      </c>
      <c r="C2" s="229"/>
      <c r="D2" s="229"/>
      <c r="E2" s="229"/>
      <c r="F2" s="230">
        <v>44713</v>
      </c>
      <c r="G2" s="231"/>
      <c r="H2" s="231"/>
    </row>
    <row r="3" spans="2:24" s="12" customFormat="1" ht="15" customHeight="1" x14ac:dyDescent="0.25">
      <c r="B3" s="229"/>
      <c r="C3" s="229"/>
      <c r="D3" s="229"/>
      <c r="E3" s="229"/>
      <c r="F3" s="231"/>
      <c r="G3" s="231"/>
      <c r="H3" s="231"/>
    </row>
    <row r="8" spans="2:24" x14ac:dyDescent="0.25">
      <c r="J8" s="14"/>
      <c r="K8" s="14"/>
      <c r="L8" s="14"/>
      <c r="U8" s="125"/>
    </row>
    <row r="9" spans="2:24" ht="15.75" x14ac:dyDescent="0.25">
      <c r="J9" s="126"/>
      <c r="K9" s="126"/>
      <c r="L9" s="14"/>
      <c r="U9" s="125"/>
    </row>
    <row r="10" spans="2:24" x14ac:dyDescent="0.25">
      <c r="U10" s="125"/>
    </row>
    <row r="11" spans="2:24" ht="15.75" thickBot="1" x14ac:dyDescent="0.3">
      <c r="U11" s="125"/>
    </row>
    <row r="12" spans="2:24" ht="15.75" customHeight="1" thickBot="1" x14ac:dyDescent="0.3">
      <c r="B12" s="232" t="s">
        <v>4</v>
      </c>
      <c r="C12" s="234" t="s">
        <v>133</v>
      </c>
      <c r="D12" s="235"/>
      <c r="E12" s="235"/>
      <c r="F12" s="235"/>
      <c r="G12" s="235"/>
      <c r="H12" s="235"/>
      <c r="I12" s="235"/>
      <c r="J12" s="235"/>
      <c r="K12" s="235"/>
      <c r="L12" s="235"/>
      <c r="M12" s="235"/>
      <c r="N12" s="235"/>
      <c r="O12" s="235"/>
      <c r="P12" s="235"/>
      <c r="Q12" s="235"/>
      <c r="R12" s="127"/>
      <c r="U12" s="125"/>
    </row>
    <row r="13" spans="2:24" ht="15" customHeight="1" x14ac:dyDescent="0.25">
      <c r="B13" s="233"/>
      <c r="C13" s="128" t="s">
        <v>78</v>
      </c>
      <c r="D13" s="129" t="s">
        <v>83</v>
      </c>
      <c r="E13" s="129" t="s">
        <v>134</v>
      </c>
      <c r="F13" s="129" t="s">
        <v>217</v>
      </c>
      <c r="G13" s="129" t="s">
        <v>136</v>
      </c>
      <c r="H13" s="129" t="s">
        <v>137</v>
      </c>
      <c r="I13" s="129" t="s">
        <v>138</v>
      </c>
      <c r="J13" s="129" t="s">
        <v>139</v>
      </c>
      <c r="K13" s="129" t="s">
        <v>140</v>
      </c>
      <c r="L13" s="129" t="s">
        <v>141</v>
      </c>
      <c r="M13" s="129" t="s">
        <v>142</v>
      </c>
      <c r="N13" s="129" t="s">
        <v>143</v>
      </c>
      <c r="O13" s="129" t="s">
        <v>144</v>
      </c>
      <c r="P13" s="130" t="s">
        <v>145</v>
      </c>
      <c r="Q13" s="129" t="s">
        <v>146</v>
      </c>
      <c r="R13" s="131"/>
      <c r="U13" s="125"/>
    </row>
    <row r="14" spans="2:24" ht="15" customHeight="1" x14ac:dyDescent="0.25">
      <c r="B14" s="233"/>
      <c r="C14" s="124">
        <v>44718</v>
      </c>
      <c r="D14" s="60">
        <v>24.1</v>
      </c>
      <c r="E14" s="60">
        <v>5</v>
      </c>
      <c r="F14" s="60">
        <v>4035.5</v>
      </c>
      <c r="G14" s="60">
        <v>1</v>
      </c>
      <c r="H14" s="60">
        <v>11.9</v>
      </c>
      <c r="I14" s="60">
        <v>5</v>
      </c>
      <c r="J14" s="60">
        <v>3.3</v>
      </c>
      <c r="K14" s="195">
        <v>2423398912</v>
      </c>
      <c r="L14" s="195">
        <v>2513913600</v>
      </c>
      <c r="M14" s="60">
        <v>1498.4</v>
      </c>
      <c r="N14" s="60">
        <v>18.899999999999999</v>
      </c>
      <c r="O14" s="60">
        <v>77.849999999999994</v>
      </c>
      <c r="P14" s="60">
        <v>77.98</v>
      </c>
      <c r="Q14" s="60">
        <v>37.11</v>
      </c>
      <c r="R14" s="60"/>
      <c r="X14" s="11"/>
    </row>
    <row r="15" spans="2:24" ht="15" customHeight="1" x14ac:dyDescent="0.3">
      <c r="B15" s="233"/>
      <c r="C15" s="132" t="s">
        <v>147</v>
      </c>
      <c r="D15" s="133" t="s">
        <v>148</v>
      </c>
      <c r="E15" s="133" t="s">
        <v>149</v>
      </c>
      <c r="F15" s="133" t="s">
        <v>150</v>
      </c>
      <c r="G15" s="133" t="s">
        <v>151</v>
      </c>
      <c r="H15" s="133" t="s">
        <v>152</v>
      </c>
      <c r="I15" s="133" t="s">
        <v>153</v>
      </c>
      <c r="J15" s="133" t="s">
        <v>154</v>
      </c>
      <c r="K15" s="133" t="s">
        <v>155</v>
      </c>
      <c r="L15" s="133" t="s">
        <v>156</v>
      </c>
      <c r="M15" s="133" t="s">
        <v>157</v>
      </c>
      <c r="N15" s="133" t="s">
        <v>158</v>
      </c>
      <c r="O15" s="133" t="s">
        <v>159</v>
      </c>
      <c r="P15" s="134" t="s">
        <v>160</v>
      </c>
      <c r="Q15" s="133" t="s">
        <v>161</v>
      </c>
      <c r="R15" s="135" t="s">
        <v>20</v>
      </c>
      <c r="X15" s="11"/>
    </row>
    <row r="16" spans="2:24" ht="15.75" customHeight="1" x14ac:dyDescent="0.25">
      <c r="B16" s="233"/>
      <c r="C16" s="195">
        <v>2425504512</v>
      </c>
      <c r="D16" s="195">
        <v>2513962496</v>
      </c>
      <c r="E16" s="60">
        <v>1445.7</v>
      </c>
      <c r="F16" s="60" t="s">
        <v>218</v>
      </c>
      <c r="G16" s="60">
        <v>81.489999999999995</v>
      </c>
      <c r="H16" s="60">
        <v>76.53</v>
      </c>
      <c r="I16" s="60">
        <v>943</v>
      </c>
      <c r="J16" s="60">
        <v>0</v>
      </c>
      <c r="K16" s="60" t="s">
        <v>218</v>
      </c>
      <c r="L16" s="60" t="s">
        <v>219</v>
      </c>
      <c r="M16" s="60">
        <v>485</v>
      </c>
      <c r="N16" s="60" t="s">
        <v>219</v>
      </c>
      <c r="O16" s="60">
        <v>30</v>
      </c>
      <c r="P16" s="60">
        <v>49.5</v>
      </c>
      <c r="Q16" s="60">
        <v>50</v>
      </c>
      <c r="R16" s="150" t="s">
        <v>215</v>
      </c>
      <c r="X16" s="11"/>
    </row>
    <row r="17" spans="2:28" ht="15.75" customHeight="1" x14ac:dyDescent="0.25">
      <c r="B17" s="233"/>
      <c r="C17" s="138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40"/>
      <c r="Q17" s="140"/>
      <c r="R17" s="141"/>
      <c r="X17" s="11"/>
    </row>
    <row r="18" spans="2:28" ht="15.75" customHeight="1" x14ac:dyDescent="0.25">
      <c r="B18" s="233"/>
      <c r="C18" s="142" t="s">
        <v>78</v>
      </c>
      <c r="D18" s="142" t="s">
        <v>83</v>
      </c>
      <c r="E18" s="142" t="s">
        <v>134</v>
      </c>
      <c r="F18" s="142" t="s">
        <v>135</v>
      </c>
      <c r="G18" s="142" t="s">
        <v>136</v>
      </c>
      <c r="H18" s="142" t="s">
        <v>137</v>
      </c>
      <c r="I18" s="142" t="s">
        <v>138</v>
      </c>
      <c r="J18" s="142" t="s">
        <v>139</v>
      </c>
      <c r="K18" s="142" t="s">
        <v>140</v>
      </c>
      <c r="L18" s="142" t="s">
        <v>141</v>
      </c>
      <c r="M18" s="142" t="s">
        <v>142</v>
      </c>
      <c r="N18" s="142" t="s">
        <v>143</v>
      </c>
      <c r="O18" s="142" t="s">
        <v>144</v>
      </c>
      <c r="P18" s="143" t="s">
        <v>145</v>
      </c>
      <c r="Q18" s="142" t="s">
        <v>146</v>
      </c>
      <c r="R18" s="141"/>
    </row>
    <row r="19" spans="2:28" ht="15.75" x14ac:dyDescent="0.25">
      <c r="B19" s="144"/>
      <c r="C19" s="124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41"/>
    </row>
    <row r="20" spans="2:28" ht="15.75" x14ac:dyDescent="0.3">
      <c r="B20" s="144"/>
      <c r="C20" s="142" t="s">
        <v>147</v>
      </c>
      <c r="D20" s="133" t="s">
        <v>148</v>
      </c>
      <c r="E20" s="133" t="s">
        <v>149</v>
      </c>
      <c r="F20" s="133" t="s">
        <v>150</v>
      </c>
      <c r="G20" s="133" t="s">
        <v>151</v>
      </c>
      <c r="H20" s="133" t="s">
        <v>152</v>
      </c>
      <c r="I20" s="133" t="s">
        <v>153</v>
      </c>
      <c r="J20" s="133" t="s">
        <v>154</v>
      </c>
      <c r="K20" s="133" t="s">
        <v>155</v>
      </c>
      <c r="L20" s="133" t="s">
        <v>156</v>
      </c>
      <c r="M20" s="133" t="s">
        <v>157</v>
      </c>
      <c r="N20" s="133" t="s">
        <v>158</v>
      </c>
      <c r="O20" s="133" t="s">
        <v>159</v>
      </c>
      <c r="P20" s="134" t="s">
        <v>160</v>
      </c>
      <c r="Q20" s="133" t="s">
        <v>161</v>
      </c>
      <c r="R20" s="145" t="s">
        <v>20</v>
      </c>
    </row>
    <row r="21" spans="2:28" ht="16.5" thickBot="1" x14ac:dyDescent="0.3">
      <c r="B21" s="146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136"/>
      <c r="R21" s="147"/>
      <c r="S21" s="148"/>
    </row>
    <row r="22" spans="2:28" x14ac:dyDescent="0.25">
      <c r="J22" s="14"/>
    </row>
    <row r="23" spans="2:28" s="149" customFormat="1" ht="15.75" customHeight="1" x14ac:dyDescent="0.25">
      <c r="B23" s="54"/>
      <c r="C23" s="54"/>
      <c r="D23" s="54"/>
      <c r="E23" s="54"/>
      <c r="F23" s="54"/>
      <c r="G23" s="54"/>
      <c r="H23" s="54"/>
      <c r="I23" s="54"/>
      <c r="J23" s="14"/>
      <c r="K23" s="54"/>
      <c r="L23" s="54"/>
      <c r="M23" s="54"/>
      <c r="N23" s="54"/>
      <c r="O23" s="54"/>
      <c r="P23" s="54"/>
      <c r="Q23" s="54"/>
      <c r="R23" s="54"/>
      <c r="Z23" s="54"/>
      <c r="AA23" s="54"/>
    </row>
    <row r="24" spans="2:28" ht="15" customHeight="1" x14ac:dyDescent="0.25">
      <c r="J24" s="14"/>
    </row>
    <row r="25" spans="2:28" ht="15" customHeight="1" x14ac:dyDescent="0.25">
      <c r="B25" s="236" t="s">
        <v>2</v>
      </c>
      <c r="C25" s="238" t="s">
        <v>133</v>
      </c>
      <c r="D25" s="239"/>
      <c r="E25" s="239"/>
      <c r="F25" s="239"/>
      <c r="G25" s="239"/>
      <c r="H25" s="239"/>
      <c r="I25" s="239"/>
      <c r="J25" s="239"/>
      <c r="K25" s="239"/>
      <c r="L25" s="239"/>
      <c r="M25" s="239"/>
      <c r="N25" s="239"/>
      <c r="O25" s="239"/>
      <c r="P25" s="239"/>
      <c r="Q25" s="239"/>
      <c r="R25" s="240"/>
      <c r="S25" s="188"/>
      <c r="T25" s="189"/>
    </row>
    <row r="26" spans="2:28" ht="15" customHeight="1" x14ac:dyDescent="0.3">
      <c r="B26" s="236"/>
      <c r="C26" s="190" t="s">
        <v>78</v>
      </c>
      <c r="D26" s="179" t="s">
        <v>87</v>
      </c>
      <c r="E26" s="179" t="s">
        <v>86</v>
      </c>
      <c r="F26" s="179" t="s">
        <v>121</v>
      </c>
      <c r="G26" s="179" t="s">
        <v>122</v>
      </c>
      <c r="H26" s="179" t="s">
        <v>123</v>
      </c>
      <c r="I26" s="179" t="s">
        <v>124</v>
      </c>
      <c r="J26" s="179" t="s">
        <v>125</v>
      </c>
      <c r="K26" s="179" t="s">
        <v>126</v>
      </c>
      <c r="L26" s="179" t="s">
        <v>127</v>
      </c>
      <c r="M26" s="179" t="s">
        <v>128</v>
      </c>
      <c r="N26" s="179" t="s">
        <v>129</v>
      </c>
      <c r="O26" s="179" t="s">
        <v>130</v>
      </c>
      <c r="P26" s="179" t="s">
        <v>131</v>
      </c>
      <c r="Q26" s="179" t="s">
        <v>132</v>
      </c>
      <c r="R26" s="179" t="s">
        <v>213</v>
      </c>
      <c r="S26" s="179" t="s">
        <v>214</v>
      </c>
      <c r="T26" s="170" t="s">
        <v>20</v>
      </c>
      <c r="Z26" s="149"/>
      <c r="AA26" s="149"/>
      <c r="AB26" s="149"/>
    </row>
    <row r="27" spans="2:28" ht="15.75" customHeight="1" x14ac:dyDescent="0.25">
      <c r="B27" s="236"/>
      <c r="C27" s="124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187"/>
    </row>
    <row r="28" spans="2:28" ht="15" customHeight="1" x14ac:dyDescent="0.25">
      <c r="B28" s="236"/>
      <c r="C28" s="191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R28" s="192"/>
      <c r="S28" s="193"/>
      <c r="T28" s="193"/>
    </row>
    <row r="29" spans="2:28" ht="15.75" customHeight="1" x14ac:dyDescent="0.3">
      <c r="B29" s="237"/>
      <c r="C29" s="194" t="s">
        <v>78</v>
      </c>
      <c r="D29" s="184" t="s">
        <v>87</v>
      </c>
      <c r="E29" s="184" t="s">
        <v>86</v>
      </c>
      <c r="F29" s="184" t="s">
        <v>121</v>
      </c>
      <c r="G29" s="184" t="s">
        <v>122</v>
      </c>
      <c r="H29" s="184" t="s">
        <v>123</v>
      </c>
      <c r="I29" s="184" t="s">
        <v>124</v>
      </c>
      <c r="J29" s="184" t="s">
        <v>125</v>
      </c>
      <c r="K29" s="184" t="s">
        <v>126</v>
      </c>
      <c r="L29" s="184" t="s">
        <v>127</v>
      </c>
      <c r="M29" s="184" t="s">
        <v>128</v>
      </c>
      <c r="N29" s="184" t="s">
        <v>129</v>
      </c>
      <c r="O29" s="184" t="s">
        <v>130</v>
      </c>
      <c r="P29" s="184" t="s">
        <v>131</v>
      </c>
      <c r="Q29" s="184" t="s">
        <v>132</v>
      </c>
      <c r="R29" s="184" t="s">
        <v>213</v>
      </c>
      <c r="S29" s="184" t="s">
        <v>214</v>
      </c>
      <c r="T29" s="175" t="s">
        <v>20</v>
      </c>
    </row>
    <row r="30" spans="2:28" x14ac:dyDescent="0.25">
      <c r="B30" s="176"/>
      <c r="C30" s="124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187"/>
    </row>
    <row r="31" spans="2:28" x14ac:dyDescent="0.25">
      <c r="C31" s="151"/>
    </row>
    <row r="32" spans="2:28" x14ac:dyDescent="0.25">
      <c r="C32" s="151"/>
    </row>
    <row r="33" spans="2:25" ht="15" customHeight="1" x14ac:dyDescent="0.25">
      <c r="C33" s="151"/>
    </row>
    <row r="34" spans="2:25" ht="15.75" customHeight="1" x14ac:dyDescent="0.25"/>
    <row r="35" spans="2:25" ht="15" customHeight="1" thickBot="1" x14ac:dyDescent="0.3"/>
    <row r="36" spans="2:25" ht="15.75" customHeight="1" x14ac:dyDescent="0.25">
      <c r="B36" s="244" t="s">
        <v>3</v>
      </c>
      <c r="C36" s="246" t="s">
        <v>133</v>
      </c>
      <c r="D36" s="246"/>
      <c r="E36" s="246"/>
      <c r="F36" s="246"/>
      <c r="G36" s="246"/>
      <c r="H36" s="246"/>
      <c r="I36" s="246"/>
      <c r="J36" s="246"/>
      <c r="K36" s="246"/>
      <c r="L36" s="246"/>
      <c r="M36" s="246"/>
      <c r="N36" s="246"/>
      <c r="O36" s="247"/>
    </row>
    <row r="37" spans="2:25" ht="15.75" customHeight="1" x14ac:dyDescent="0.25">
      <c r="B37" s="245"/>
      <c r="C37" s="152" t="s">
        <v>78</v>
      </c>
      <c r="D37" s="142" t="s">
        <v>87</v>
      </c>
      <c r="E37" s="142" t="s">
        <v>86</v>
      </c>
      <c r="F37" s="142" t="s">
        <v>88</v>
      </c>
      <c r="G37" s="142" t="s">
        <v>89</v>
      </c>
      <c r="H37" s="142" t="s">
        <v>90</v>
      </c>
      <c r="I37" s="142" t="s">
        <v>91</v>
      </c>
      <c r="J37" s="142" t="s">
        <v>92</v>
      </c>
      <c r="K37" s="142" t="s">
        <v>93</v>
      </c>
      <c r="L37" s="142" t="s">
        <v>94</v>
      </c>
      <c r="M37" s="142" t="s">
        <v>95</v>
      </c>
      <c r="N37" s="142" t="s">
        <v>96</v>
      </c>
      <c r="O37" s="153" t="s">
        <v>97</v>
      </c>
    </row>
    <row r="38" spans="2:25" x14ac:dyDescent="0.25">
      <c r="B38" s="245"/>
      <c r="C38" s="124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W38" s="149"/>
      <c r="X38" s="149"/>
      <c r="Y38" s="149"/>
    </row>
    <row r="39" spans="2:25" ht="15.75" x14ac:dyDescent="0.3">
      <c r="B39" s="245"/>
      <c r="C39" s="152" t="s">
        <v>98</v>
      </c>
      <c r="D39" s="142" t="s">
        <v>99</v>
      </c>
      <c r="E39" s="142" t="s">
        <v>100</v>
      </c>
      <c r="F39" s="142" t="s">
        <v>101</v>
      </c>
      <c r="G39" s="133" t="s">
        <v>102</v>
      </c>
      <c r="H39" s="133" t="s">
        <v>103</v>
      </c>
      <c r="I39" s="133" t="s">
        <v>104</v>
      </c>
      <c r="J39" s="133" t="s">
        <v>105</v>
      </c>
      <c r="K39" s="133" t="s">
        <v>106</v>
      </c>
      <c r="L39" s="133" t="s">
        <v>107</v>
      </c>
      <c r="M39" s="133" t="s">
        <v>108</v>
      </c>
      <c r="N39" s="133" t="s">
        <v>82</v>
      </c>
      <c r="O39" s="29" t="s">
        <v>20</v>
      </c>
      <c r="W39" s="149"/>
      <c r="X39" s="149"/>
      <c r="Y39" s="149"/>
    </row>
    <row r="40" spans="2:25" x14ac:dyDescent="0.25">
      <c r="B40" s="245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187"/>
      <c r="W40" s="149"/>
      <c r="X40" s="149"/>
      <c r="Y40" s="149"/>
    </row>
    <row r="41" spans="2:25" x14ac:dyDescent="0.25">
      <c r="B41" s="154"/>
      <c r="C41" s="155"/>
      <c r="D41" s="139"/>
      <c r="E41" s="139"/>
      <c r="F41" s="139"/>
      <c r="G41" s="139"/>
      <c r="H41" s="139"/>
      <c r="I41" s="139"/>
      <c r="J41" s="156"/>
      <c r="K41" s="139"/>
      <c r="L41" s="139"/>
      <c r="M41" s="139"/>
      <c r="N41" s="139"/>
      <c r="O41" s="157"/>
    </row>
    <row r="42" spans="2:25" ht="15.75" customHeight="1" x14ac:dyDescent="0.25">
      <c r="B42" s="154"/>
      <c r="C42" s="152" t="s">
        <v>78</v>
      </c>
      <c r="D42" s="142" t="s">
        <v>87</v>
      </c>
      <c r="E42" s="142" t="s">
        <v>86</v>
      </c>
      <c r="F42" s="142" t="s">
        <v>88</v>
      </c>
      <c r="G42" s="142" t="s">
        <v>89</v>
      </c>
      <c r="H42" s="142" t="s">
        <v>90</v>
      </c>
      <c r="I42" s="142" t="s">
        <v>91</v>
      </c>
      <c r="J42" s="142" t="s">
        <v>92</v>
      </c>
      <c r="K42" s="142" t="s">
        <v>93</v>
      </c>
      <c r="L42" s="142" t="s">
        <v>94</v>
      </c>
      <c r="M42" s="142" t="s">
        <v>95</v>
      </c>
      <c r="N42" s="142" t="s">
        <v>96</v>
      </c>
      <c r="O42" s="153" t="s">
        <v>97</v>
      </c>
    </row>
    <row r="43" spans="2:25" ht="15" customHeight="1" x14ac:dyDescent="0.25">
      <c r="B43" s="154"/>
      <c r="C43" s="124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</row>
    <row r="44" spans="2:25" ht="15" customHeight="1" x14ac:dyDescent="0.3">
      <c r="B44" s="154"/>
      <c r="C44" s="152" t="s">
        <v>98</v>
      </c>
      <c r="D44" s="142" t="s">
        <v>99</v>
      </c>
      <c r="E44" s="142" t="s">
        <v>100</v>
      </c>
      <c r="F44" s="142" t="s">
        <v>101</v>
      </c>
      <c r="G44" s="133" t="s">
        <v>102</v>
      </c>
      <c r="H44" s="133" t="s">
        <v>103</v>
      </c>
      <c r="I44" s="133" t="s">
        <v>104</v>
      </c>
      <c r="J44" s="133" t="s">
        <v>105</v>
      </c>
      <c r="K44" s="133" t="s">
        <v>106</v>
      </c>
      <c r="L44" s="133" t="s">
        <v>107</v>
      </c>
      <c r="M44" s="133" t="s">
        <v>108</v>
      </c>
      <c r="N44" s="133" t="s">
        <v>82</v>
      </c>
      <c r="O44" s="29" t="s">
        <v>20</v>
      </c>
      <c r="R44" s="158"/>
    </row>
    <row r="45" spans="2:25" ht="15" customHeight="1" thickBot="1" x14ac:dyDescent="0.3">
      <c r="B45" s="159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137"/>
      <c r="R45" s="160"/>
    </row>
    <row r="46" spans="2:25" ht="15.75" customHeight="1" x14ac:dyDescent="0.25">
      <c r="J46" s="161"/>
      <c r="R46" s="162"/>
      <c r="Y46" s="149"/>
    </row>
    <row r="47" spans="2:25" ht="16.5" thickBot="1" x14ac:dyDescent="0.3">
      <c r="J47" s="161"/>
      <c r="R47" s="160"/>
    </row>
    <row r="48" spans="2:25" x14ac:dyDescent="0.25">
      <c r="B48" s="248" t="s">
        <v>1</v>
      </c>
      <c r="C48" s="163" t="s">
        <v>133</v>
      </c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5"/>
      <c r="R48" s="162"/>
    </row>
    <row r="49" spans="2:20" x14ac:dyDescent="0.25">
      <c r="B49" s="249"/>
      <c r="C49" s="152" t="s">
        <v>78</v>
      </c>
      <c r="D49" s="142" t="s">
        <v>154</v>
      </c>
      <c r="E49" s="142" t="s">
        <v>163</v>
      </c>
      <c r="F49" s="142" t="s">
        <v>164</v>
      </c>
      <c r="G49" s="142" t="s">
        <v>165</v>
      </c>
      <c r="H49" s="142" t="s">
        <v>166</v>
      </c>
      <c r="I49" s="142" t="s">
        <v>167</v>
      </c>
      <c r="J49" s="142" t="s">
        <v>139</v>
      </c>
      <c r="K49" s="142" t="s">
        <v>168</v>
      </c>
      <c r="L49" s="142" t="s">
        <v>169</v>
      </c>
      <c r="M49" s="142" t="s">
        <v>170</v>
      </c>
      <c r="N49" s="142" t="s">
        <v>171</v>
      </c>
      <c r="O49" s="142" t="s">
        <v>172</v>
      </c>
      <c r="P49" s="142" t="s">
        <v>79</v>
      </c>
      <c r="Q49" s="153" t="s">
        <v>173</v>
      </c>
    </row>
    <row r="50" spans="2:20" x14ac:dyDescent="0.25">
      <c r="B50" s="249"/>
      <c r="C50" s="124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</row>
    <row r="51" spans="2:20" ht="15.75" x14ac:dyDescent="0.3">
      <c r="B51" s="249"/>
      <c r="C51" s="152" t="s">
        <v>80</v>
      </c>
      <c r="D51" s="142" t="s">
        <v>174</v>
      </c>
      <c r="E51" s="142" t="s">
        <v>175</v>
      </c>
      <c r="F51" s="142" t="s">
        <v>176</v>
      </c>
      <c r="G51" s="142" t="s">
        <v>177</v>
      </c>
      <c r="H51" s="142" t="s">
        <v>178</v>
      </c>
      <c r="I51" s="133" t="s">
        <v>81</v>
      </c>
      <c r="J51" s="133" t="s">
        <v>179</v>
      </c>
      <c r="K51" s="133" t="s">
        <v>180</v>
      </c>
      <c r="L51" s="133" t="s">
        <v>86</v>
      </c>
      <c r="M51" s="133" t="s">
        <v>181</v>
      </c>
      <c r="N51" s="133" t="s">
        <v>160</v>
      </c>
      <c r="O51" s="133" t="s">
        <v>182</v>
      </c>
      <c r="P51" s="133" t="s">
        <v>183</v>
      </c>
      <c r="Q51" s="29" t="s">
        <v>20</v>
      </c>
    </row>
    <row r="52" spans="2:20" ht="15.75" x14ac:dyDescent="0.25">
      <c r="B52" s="249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137"/>
    </row>
    <row r="53" spans="2:20" x14ac:dyDescent="0.25">
      <c r="B53" s="154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57"/>
    </row>
    <row r="54" spans="2:20" x14ac:dyDescent="0.25">
      <c r="B54" s="154"/>
      <c r="C54" s="152" t="s">
        <v>78</v>
      </c>
      <c r="D54" s="142" t="s">
        <v>154</v>
      </c>
      <c r="E54" s="142" t="s">
        <v>163</v>
      </c>
      <c r="F54" s="142" t="s">
        <v>164</v>
      </c>
      <c r="G54" s="142" t="s">
        <v>165</v>
      </c>
      <c r="H54" s="142" t="s">
        <v>166</v>
      </c>
      <c r="I54" s="142" t="s">
        <v>167</v>
      </c>
      <c r="J54" s="142" t="s">
        <v>139</v>
      </c>
      <c r="K54" s="142" t="s">
        <v>168</v>
      </c>
      <c r="L54" s="142" t="s">
        <v>169</v>
      </c>
      <c r="M54" s="142" t="s">
        <v>170</v>
      </c>
      <c r="N54" s="142" t="s">
        <v>171</v>
      </c>
      <c r="O54" s="142" t="s">
        <v>172</v>
      </c>
      <c r="P54" s="142" t="s">
        <v>79</v>
      </c>
      <c r="Q54" s="153" t="s">
        <v>173</v>
      </c>
    </row>
    <row r="55" spans="2:20" x14ac:dyDescent="0.25">
      <c r="B55" s="154"/>
      <c r="C55" s="124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</row>
    <row r="56" spans="2:20" ht="15.75" x14ac:dyDescent="0.3">
      <c r="B56" s="154"/>
      <c r="C56" s="152" t="s">
        <v>80</v>
      </c>
      <c r="D56" s="142" t="s">
        <v>174</v>
      </c>
      <c r="E56" s="142" t="s">
        <v>175</v>
      </c>
      <c r="F56" s="142" t="s">
        <v>176</v>
      </c>
      <c r="G56" s="142" t="s">
        <v>177</v>
      </c>
      <c r="H56" s="142" t="s">
        <v>178</v>
      </c>
      <c r="I56" s="133" t="s">
        <v>81</v>
      </c>
      <c r="J56" s="133" t="s">
        <v>179</v>
      </c>
      <c r="K56" s="133" t="s">
        <v>180</v>
      </c>
      <c r="L56" s="133" t="s">
        <v>86</v>
      </c>
      <c r="M56" s="133" t="s">
        <v>181</v>
      </c>
      <c r="N56" s="133" t="s">
        <v>160</v>
      </c>
      <c r="O56" s="133" t="s">
        <v>182</v>
      </c>
      <c r="P56" s="133" t="s">
        <v>183</v>
      </c>
      <c r="Q56" s="29" t="s">
        <v>20</v>
      </c>
    </row>
    <row r="57" spans="2:20" ht="16.5" thickBot="1" x14ac:dyDescent="0.3">
      <c r="B57" s="146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137"/>
    </row>
    <row r="61" spans="2:20" x14ac:dyDescent="0.25">
      <c r="B61" s="236" t="s">
        <v>184</v>
      </c>
      <c r="C61" s="238" t="s">
        <v>133</v>
      </c>
      <c r="D61" s="239"/>
      <c r="E61" s="239"/>
      <c r="F61" s="239"/>
      <c r="G61" s="239"/>
      <c r="H61" s="239"/>
      <c r="I61" s="239"/>
      <c r="J61" s="239"/>
      <c r="K61" s="239"/>
      <c r="L61" s="239"/>
      <c r="M61" s="239"/>
      <c r="N61" s="239"/>
      <c r="O61" s="239"/>
      <c r="P61" s="239"/>
      <c r="Q61" s="239"/>
      <c r="R61" s="240"/>
      <c r="S61" s="166"/>
      <c r="T61" s="167"/>
    </row>
    <row r="62" spans="2:20" ht="15.75" x14ac:dyDescent="0.3">
      <c r="B62" s="236"/>
      <c r="C62" s="168" t="s">
        <v>78</v>
      </c>
      <c r="D62" s="168" t="s">
        <v>185</v>
      </c>
      <c r="E62" s="168" t="s">
        <v>186</v>
      </c>
      <c r="F62" s="168" t="s">
        <v>187</v>
      </c>
      <c r="G62" s="168" t="s">
        <v>188</v>
      </c>
      <c r="H62" s="168" t="s">
        <v>189</v>
      </c>
      <c r="I62" s="168" t="s">
        <v>190</v>
      </c>
      <c r="J62" s="168" t="s">
        <v>191</v>
      </c>
      <c r="K62" s="168" t="s">
        <v>192</v>
      </c>
      <c r="L62" s="168" t="s">
        <v>193</v>
      </c>
      <c r="M62" s="168" t="s">
        <v>194</v>
      </c>
      <c r="N62" s="168" t="s">
        <v>195</v>
      </c>
      <c r="O62" s="168" t="s">
        <v>196</v>
      </c>
      <c r="P62" s="168" t="s">
        <v>197</v>
      </c>
      <c r="Q62" s="168" t="s">
        <v>198</v>
      </c>
      <c r="R62" s="168" t="s">
        <v>199</v>
      </c>
      <c r="S62" s="169" t="s">
        <v>200</v>
      </c>
      <c r="T62" s="170" t="s">
        <v>20</v>
      </c>
    </row>
    <row r="63" spans="2:20" ht="15.75" x14ac:dyDescent="0.25">
      <c r="B63" s="250"/>
      <c r="C63" s="124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137"/>
    </row>
    <row r="64" spans="2:20" x14ac:dyDescent="0.25">
      <c r="B64" s="250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2"/>
      <c r="T64" s="172"/>
    </row>
    <row r="65" spans="2:20" ht="15.75" x14ac:dyDescent="0.3">
      <c r="B65" s="237"/>
      <c r="C65" s="173" t="s">
        <v>78</v>
      </c>
      <c r="D65" s="173" t="s">
        <v>185</v>
      </c>
      <c r="E65" s="173" t="s">
        <v>186</v>
      </c>
      <c r="F65" s="173" t="s">
        <v>187</v>
      </c>
      <c r="G65" s="173" t="s">
        <v>188</v>
      </c>
      <c r="H65" s="173" t="s">
        <v>189</v>
      </c>
      <c r="I65" s="173" t="s">
        <v>190</v>
      </c>
      <c r="J65" s="173" t="s">
        <v>191</v>
      </c>
      <c r="K65" s="173" t="s">
        <v>192</v>
      </c>
      <c r="L65" s="173" t="s">
        <v>193</v>
      </c>
      <c r="M65" s="173" t="s">
        <v>194</v>
      </c>
      <c r="N65" s="173" t="s">
        <v>195</v>
      </c>
      <c r="O65" s="173" t="s">
        <v>196</v>
      </c>
      <c r="P65" s="173" t="s">
        <v>197</v>
      </c>
      <c r="Q65" s="173" t="s">
        <v>198</v>
      </c>
      <c r="R65" s="173" t="s">
        <v>199</v>
      </c>
      <c r="S65" s="174" t="s">
        <v>200</v>
      </c>
      <c r="T65" s="175" t="s">
        <v>20</v>
      </c>
    </row>
    <row r="66" spans="2:20" ht="15.75" x14ac:dyDescent="0.25">
      <c r="B66" s="176"/>
      <c r="C66" s="124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137"/>
    </row>
    <row r="69" spans="2:20" x14ac:dyDescent="0.25">
      <c r="B69" s="236" t="s">
        <v>201</v>
      </c>
      <c r="C69" s="238" t="s">
        <v>133</v>
      </c>
      <c r="D69" s="239"/>
      <c r="E69" s="239"/>
      <c r="F69" s="239"/>
      <c r="G69" s="239"/>
      <c r="H69" s="239"/>
      <c r="I69" s="239"/>
      <c r="J69" s="239"/>
      <c r="K69" s="239"/>
      <c r="L69" s="239"/>
      <c r="M69" s="239"/>
      <c r="N69" s="239"/>
      <c r="O69" s="239"/>
      <c r="P69" s="239"/>
      <c r="Q69" s="239"/>
      <c r="R69" s="240"/>
      <c r="S69" s="166"/>
      <c r="T69" s="167"/>
    </row>
    <row r="70" spans="2:20" ht="15.75" x14ac:dyDescent="0.3">
      <c r="B70" s="236"/>
      <c r="C70" s="173" t="s">
        <v>78</v>
      </c>
      <c r="D70" s="173" t="s">
        <v>185</v>
      </c>
      <c r="E70" s="173" t="s">
        <v>186</v>
      </c>
      <c r="F70" s="173" t="s">
        <v>187</v>
      </c>
      <c r="G70" s="173" t="s">
        <v>188</v>
      </c>
      <c r="H70" s="173" t="s">
        <v>189</v>
      </c>
      <c r="I70" s="173" t="s">
        <v>190</v>
      </c>
      <c r="J70" s="173" t="s">
        <v>191</v>
      </c>
      <c r="K70" s="173" t="s">
        <v>192</v>
      </c>
      <c r="L70" s="173" t="s">
        <v>193</v>
      </c>
      <c r="M70" s="173" t="s">
        <v>194</v>
      </c>
      <c r="N70" s="173" t="s">
        <v>195</v>
      </c>
      <c r="O70" s="173" t="s">
        <v>196</v>
      </c>
      <c r="P70" s="173" t="s">
        <v>197</v>
      </c>
      <c r="Q70" s="173" t="s">
        <v>198</v>
      </c>
      <c r="R70" s="173" t="s">
        <v>199</v>
      </c>
      <c r="S70" s="174" t="s">
        <v>200</v>
      </c>
      <c r="T70" s="175" t="s">
        <v>20</v>
      </c>
    </row>
    <row r="71" spans="2:20" ht="15.75" x14ac:dyDescent="0.25">
      <c r="B71" s="236"/>
      <c r="C71" s="124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137"/>
    </row>
    <row r="72" spans="2:20" x14ac:dyDescent="0.25">
      <c r="B72" s="250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2"/>
      <c r="T72" s="172"/>
    </row>
    <row r="73" spans="2:20" ht="15.75" x14ac:dyDescent="0.3">
      <c r="B73" s="237"/>
      <c r="C73" s="173" t="s">
        <v>78</v>
      </c>
      <c r="D73" s="173" t="s">
        <v>185</v>
      </c>
      <c r="E73" s="173" t="s">
        <v>186</v>
      </c>
      <c r="F73" s="173" t="s">
        <v>187</v>
      </c>
      <c r="G73" s="173" t="s">
        <v>188</v>
      </c>
      <c r="H73" s="173" t="s">
        <v>189</v>
      </c>
      <c r="I73" s="173" t="s">
        <v>190</v>
      </c>
      <c r="J73" s="173" t="s">
        <v>191</v>
      </c>
      <c r="K73" s="173" t="s">
        <v>192</v>
      </c>
      <c r="L73" s="173" t="s">
        <v>193</v>
      </c>
      <c r="M73" s="173" t="s">
        <v>194</v>
      </c>
      <c r="N73" s="173" t="s">
        <v>195</v>
      </c>
      <c r="O73" s="173" t="s">
        <v>196</v>
      </c>
      <c r="P73" s="173" t="s">
        <v>197</v>
      </c>
      <c r="Q73" s="173" t="s">
        <v>198</v>
      </c>
      <c r="R73" s="173" t="s">
        <v>199</v>
      </c>
      <c r="S73" s="174" t="s">
        <v>200</v>
      </c>
      <c r="T73" s="175" t="s">
        <v>20</v>
      </c>
    </row>
    <row r="74" spans="2:20" ht="15.75" x14ac:dyDescent="0.25">
      <c r="B74" s="176"/>
      <c r="C74" s="124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137"/>
    </row>
    <row r="77" spans="2:20" x14ac:dyDescent="0.25">
      <c r="B77" s="241" t="s">
        <v>24</v>
      </c>
      <c r="C77" s="240" t="s">
        <v>133</v>
      </c>
      <c r="D77" s="243"/>
      <c r="E77" s="243"/>
      <c r="F77" s="243"/>
      <c r="G77" s="243"/>
      <c r="H77" s="243"/>
      <c r="I77" s="243"/>
      <c r="J77" s="243"/>
      <c r="K77" s="243"/>
      <c r="L77" s="243"/>
      <c r="M77" s="243"/>
      <c r="N77" s="243"/>
      <c r="O77" s="243"/>
      <c r="P77" s="243"/>
      <c r="Q77" s="243"/>
      <c r="R77" s="177"/>
      <c r="S77" s="177"/>
      <c r="T77" s="178"/>
    </row>
    <row r="78" spans="2:20" x14ac:dyDescent="0.25">
      <c r="B78" s="242"/>
      <c r="C78" s="179" t="s">
        <v>78</v>
      </c>
      <c r="D78" s="179" t="s">
        <v>202</v>
      </c>
      <c r="E78" s="179" t="s">
        <v>203</v>
      </c>
      <c r="F78" s="179" t="s">
        <v>109</v>
      </c>
      <c r="G78" s="179" t="s">
        <v>110</v>
      </c>
      <c r="H78" s="180" t="s">
        <v>111</v>
      </c>
      <c r="I78" s="180" t="s">
        <v>112</v>
      </c>
      <c r="J78" s="180" t="s">
        <v>113</v>
      </c>
      <c r="K78" s="180" t="s">
        <v>114</v>
      </c>
      <c r="L78" s="180" t="s">
        <v>87</v>
      </c>
      <c r="M78" s="179" t="s">
        <v>115</v>
      </c>
      <c r="N78" s="180" t="s">
        <v>204</v>
      </c>
      <c r="O78" s="180" t="s">
        <v>203</v>
      </c>
      <c r="P78" s="180" t="s">
        <v>116</v>
      </c>
      <c r="Q78" s="180" t="s">
        <v>205</v>
      </c>
      <c r="R78" s="180" t="s">
        <v>203</v>
      </c>
      <c r="S78" s="180" t="s">
        <v>206</v>
      </c>
      <c r="T78" s="173" t="s">
        <v>203</v>
      </c>
    </row>
    <row r="79" spans="2:20" x14ac:dyDescent="0.25">
      <c r="B79" s="242"/>
      <c r="C79" s="124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</row>
    <row r="80" spans="2:20" ht="15.75" x14ac:dyDescent="0.3">
      <c r="B80" s="242"/>
      <c r="C80" s="173" t="s">
        <v>117</v>
      </c>
      <c r="D80" s="173" t="s">
        <v>118</v>
      </c>
      <c r="E80" s="173" t="s">
        <v>207</v>
      </c>
      <c r="F80" s="173" t="s">
        <v>203</v>
      </c>
      <c r="G80" s="173" t="s">
        <v>116</v>
      </c>
      <c r="H80" s="173" t="s">
        <v>208</v>
      </c>
      <c r="I80" s="173" t="s">
        <v>203</v>
      </c>
      <c r="J80" s="173" t="s">
        <v>119</v>
      </c>
      <c r="K80" s="173" t="s">
        <v>120</v>
      </c>
      <c r="L80" s="173" t="s">
        <v>209</v>
      </c>
      <c r="M80" s="173" t="s">
        <v>203</v>
      </c>
      <c r="N80" s="173" t="s">
        <v>210</v>
      </c>
      <c r="O80" s="174" t="s">
        <v>203</v>
      </c>
      <c r="P80" s="174" t="s">
        <v>211</v>
      </c>
      <c r="Q80" s="174" t="s">
        <v>203</v>
      </c>
      <c r="R80" s="174" t="s">
        <v>212</v>
      </c>
      <c r="S80" s="174" t="s">
        <v>203</v>
      </c>
      <c r="T80" s="175" t="s">
        <v>20</v>
      </c>
    </row>
    <row r="81" spans="2:20" ht="15.75" x14ac:dyDescent="0.25">
      <c r="B81" s="242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137" t="s">
        <v>162</v>
      </c>
    </row>
    <row r="82" spans="2:20" x14ac:dyDescent="0.25">
      <c r="B82" s="242"/>
      <c r="C82" s="181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1"/>
      <c r="Q82" s="171"/>
      <c r="R82" s="182"/>
      <c r="S82" s="172"/>
      <c r="T82" s="183"/>
    </row>
    <row r="83" spans="2:20" x14ac:dyDescent="0.25">
      <c r="B83" s="242"/>
      <c r="C83" s="184" t="s">
        <v>78</v>
      </c>
      <c r="D83" s="184" t="s">
        <v>202</v>
      </c>
      <c r="E83" s="184" t="s">
        <v>203</v>
      </c>
      <c r="F83" s="184" t="s">
        <v>109</v>
      </c>
      <c r="G83" s="184" t="s">
        <v>110</v>
      </c>
      <c r="H83" s="173" t="s">
        <v>111</v>
      </c>
      <c r="I83" s="173" t="s">
        <v>112</v>
      </c>
      <c r="J83" s="173" t="s">
        <v>113</v>
      </c>
      <c r="K83" s="173" t="s">
        <v>114</v>
      </c>
      <c r="L83" s="173" t="s">
        <v>87</v>
      </c>
      <c r="M83" s="184" t="s">
        <v>115</v>
      </c>
      <c r="N83" s="173" t="s">
        <v>204</v>
      </c>
      <c r="O83" s="173" t="s">
        <v>203</v>
      </c>
      <c r="P83" s="173" t="s">
        <v>116</v>
      </c>
      <c r="Q83" s="173" t="s">
        <v>205</v>
      </c>
      <c r="R83" s="173" t="s">
        <v>203</v>
      </c>
      <c r="S83" s="173" t="s">
        <v>206</v>
      </c>
      <c r="T83" s="173" t="s">
        <v>203</v>
      </c>
    </row>
    <row r="84" spans="2:20" x14ac:dyDescent="0.25">
      <c r="B84" s="185"/>
      <c r="C84" s="124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</row>
    <row r="85" spans="2:20" ht="15.75" x14ac:dyDescent="0.3">
      <c r="B85" s="185"/>
      <c r="C85" s="173" t="s">
        <v>117</v>
      </c>
      <c r="D85" s="173" t="s">
        <v>118</v>
      </c>
      <c r="E85" s="173" t="s">
        <v>207</v>
      </c>
      <c r="F85" s="173" t="s">
        <v>203</v>
      </c>
      <c r="G85" s="173" t="s">
        <v>116</v>
      </c>
      <c r="H85" s="173" t="s">
        <v>208</v>
      </c>
      <c r="I85" s="173" t="s">
        <v>203</v>
      </c>
      <c r="J85" s="173" t="s">
        <v>119</v>
      </c>
      <c r="K85" s="173" t="s">
        <v>120</v>
      </c>
      <c r="L85" s="173" t="s">
        <v>209</v>
      </c>
      <c r="M85" s="173" t="s">
        <v>203</v>
      </c>
      <c r="N85" s="173" t="s">
        <v>210</v>
      </c>
      <c r="O85" s="174" t="s">
        <v>203</v>
      </c>
      <c r="P85" s="174" t="s">
        <v>211</v>
      </c>
      <c r="Q85" s="174" t="s">
        <v>203</v>
      </c>
      <c r="R85" s="174" t="s">
        <v>212</v>
      </c>
      <c r="S85" s="174" t="s">
        <v>203</v>
      </c>
      <c r="T85" s="170" t="s">
        <v>20</v>
      </c>
    </row>
    <row r="86" spans="2:20" ht="15.75" x14ac:dyDescent="0.25">
      <c r="B86" s="186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137"/>
    </row>
  </sheetData>
  <mergeCells count="15">
    <mergeCell ref="B77:B83"/>
    <mergeCell ref="C77:Q77"/>
    <mergeCell ref="B36:B40"/>
    <mergeCell ref="C36:O36"/>
    <mergeCell ref="B48:B52"/>
    <mergeCell ref="B61:B65"/>
    <mergeCell ref="C61:R61"/>
    <mergeCell ref="B69:B73"/>
    <mergeCell ref="C69:R69"/>
    <mergeCell ref="B2:E3"/>
    <mergeCell ref="F2:H3"/>
    <mergeCell ref="B12:B18"/>
    <mergeCell ref="C12:Q12"/>
    <mergeCell ref="B25:B29"/>
    <mergeCell ref="C25:R25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selection sqref="A1:IV6553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x14ac:dyDescent="0.25">
      <c r="A1" s="15"/>
      <c r="B1" s="57"/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/>
      <c r="B2" s="108"/>
      <c r="C2" s="12"/>
      <c r="D2" s="11"/>
      <c r="E2" s="11"/>
      <c r="F2" s="11"/>
      <c r="G2" s="4"/>
      <c r="H2" s="28"/>
      <c r="I2" s="28"/>
      <c r="J2" s="28"/>
      <c r="K2" s="13"/>
      <c r="L2" s="11"/>
      <c r="M2" s="13"/>
      <c r="N2" s="8"/>
      <c r="O2" s="104"/>
      <c r="P2" s="105"/>
      <c r="Q2" s="104"/>
      <c r="R2" s="9"/>
      <c r="S2" s="12"/>
      <c r="T2" s="12"/>
      <c r="U2" s="12"/>
    </row>
    <row r="3" spans="1:21" x14ac:dyDescent="0.25">
      <c r="A3" s="15"/>
      <c r="B3" s="13"/>
      <c r="C3" s="12"/>
      <c r="D3" s="11"/>
      <c r="E3" s="11"/>
      <c r="F3" s="11"/>
      <c r="G3" s="26"/>
      <c r="H3" s="28"/>
      <c r="I3" s="28"/>
      <c r="J3" s="28"/>
      <c r="K3" s="12"/>
      <c r="L3" s="11"/>
      <c r="M3" s="13"/>
      <c r="N3" s="6"/>
      <c r="O3" s="13"/>
      <c r="P3" s="105"/>
      <c r="Q3" s="13"/>
      <c r="R3" s="10"/>
      <c r="S3" s="12"/>
      <c r="T3" s="12"/>
      <c r="U3" s="12"/>
    </row>
    <row r="4" spans="1:21" x14ac:dyDescent="0.25">
      <c r="A4" s="15"/>
      <c r="B4" s="13"/>
      <c r="C4" s="12"/>
      <c r="D4" s="11"/>
      <c r="E4" s="11"/>
      <c r="F4" s="11"/>
      <c r="G4" s="5"/>
      <c r="H4" s="28"/>
      <c r="I4" s="28"/>
      <c r="J4" s="28"/>
      <c r="K4" s="3"/>
      <c r="L4" s="11"/>
      <c r="M4" s="13"/>
      <c r="N4" s="7"/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/>
      <c r="B7" s="198"/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198"/>
      <c r="Q7" s="198"/>
      <c r="R7" s="196"/>
      <c r="S7" s="197"/>
      <c r="T7" s="196"/>
      <c r="U7" s="196"/>
    </row>
    <row r="8" spans="1:21" x14ac:dyDescent="0.25">
      <c r="A8" s="15"/>
      <c r="B8" s="13"/>
      <c r="C8" s="13"/>
      <c r="D8" s="13"/>
      <c r="E8" s="13"/>
      <c r="F8" s="13"/>
      <c r="G8" s="13"/>
      <c r="H8" s="13"/>
      <c r="I8" s="13"/>
      <c r="J8" s="13"/>
      <c r="K8" s="13"/>
      <c r="L8" s="15"/>
      <c r="M8" s="13"/>
      <c r="N8" s="13"/>
      <c r="O8" s="15"/>
      <c r="P8" s="13"/>
      <c r="Q8" s="209"/>
      <c r="R8" s="196"/>
      <c r="S8" s="197"/>
      <c r="T8" s="196"/>
      <c r="U8" s="196"/>
    </row>
    <row r="9" spans="1:21" s="12" customFormat="1" x14ac:dyDescent="0.25">
      <c r="A9" s="201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198"/>
      <c r="S9" s="198"/>
      <c r="T9" s="198"/>
      <c r="U9" s="198"/>
    </row>
    <row r="10" spans="1:21" s="12" customFormat="1" x14ac:dyDescent="0.25">
      <c r="A10" s="201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198"/>
      <c r="S10" s="198"/>
      <c r="T10" s="198"/>
      <c r="U10" s="198"/>
    </row>
    <row r="11" spans="1:21" s="12" customFormat="1" x14ac:dyDescent="0.25">
      <c r="A11" s="201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198"/>
      <c r="S11" s="198"/>
      <c r="T11" s="198"/>
      <c r="U11" s="198"/>
    </row>
    <row r="12" spans="1:21" s="12" customFormat="1" x14ac:dyDescent="0.25">
      <c r="A12" s="201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198"/>
      <c r="S12" s="198"/>
      <c r="T12" s="198"/>
      <c r="U12" s="198"/>
    </row>
    <row r="13" spans="1:21" s="12" customFormat="1" x14ac:dyDescent="0.25">
      <c r="A13" s="201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198"/>
      <c r="S13" s="198"/>
      <c r="T13" s="198"/>
      <c r="U13" s="198"/>
    </row>
    <row r="14" spans="1:21" s="12" customFormat="1" x14ac:dyDescent="0.25">
      <c r="A14" s="201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198"/>
      <c r="S14" s="198"/>
      <c r="T14" s="198"/>
      <c r="U14" s="198"/>
    </row>
    <row r="15" spans="1:21" s="12" customFormat="1" x14ac:dyDescent="0.25">
      <c r="A15" s="201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198"/>
      <c r="S15" s="198"/>
      <c r="T15" s="198"/>
      <c r="U15" s="198"/>
    </row>
    <row r="16" spans="1:21" s="12" customFormat="1" x14ac:dyDescent="0.25">
      <c r="A16" s="201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198"/>
      <c r="S16" s="198"/>
      <c r="T16" s="198"/>
      <c r="U16" s="198"/>
    </row>
    <row r="17" spans="1:21" s="12" customFormat="1" x14ac:dyDescent="0.25">
      <c r="A17" s="201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198"/>
      <c r="S17" s="198"/>
      <c r="T17" s="198"/>
      <c r="U17" s="198"/>
    </row>
    <row r="18" spans="1:21" s="12" customFormat="1" x14ac:dyDescent="0.25">
      <c r="A18" s="201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198"/>
      <c r="S18" s="198"/>
      <c r="T18" s="198"/>
      <c r="U18" s="198"/>
    </row>
    <row r="19" spans="1:21" s="12" customFormat="1" x14ac:dyDescent="0.25">
      <c r="A19" s="201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98"/>
      <c r="S19" s="198"/>
      <c r="T19" s="198"/>
      <c r="U19" s="198"/>
    </row>
    <row r="20" spans="1:21" s="12" customFormat="1" x14ac:dyDescent="0.25">
      <c r="A20" s="201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198"/>
      <c r="S20" s="198"/>
      <c r="T20" s="198"/>
      <c r="U20" s="198"/>
    </row>
    <row r="21" spans="1:21" s="12" customFormat="1" x14ac:dyDescent="0.25">
      <c r="A21" s="201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198"/>
      <c r="S21" s="198"/>
      <c r="T21" s="198"/>
      <c r="U21" s="198"/>
    </row>
    <row r="22" spans="1:21" s="12" customFormat="1" x14ac:dyDescent="0.25">
      <c r="A22" s="201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198"/>
      <c r="S22" s="198"/>
      <c r="T22" s="198"/>
      <c r="U22" s="198"/>
    </row>
    <row r="23" spans="1:21" s="12" customFormat="1" x14ac:dyDescent="0.25">
      <c r="A23" s="201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198"/>
      <c r="S23" s="198"/>
      <c r="T23" s="198"/>
      <c r="U23" s="198"/>
    </row>
    <row r="24" spans="1:21" s="12" customFormat="1" x14ac:dyDescent="0.25">
      <c r="A24" s="201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198"/>
      <c r="S24" s="198"/>
      <c r="T24" s="198"/>
      <c r="U24" s="198"/>
    </row>
    <row r="25" spans="1:21" s="12" customFormat="1" x14ac:dyDescent="0.25">
      <c r="A25" s="201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198"/>
      <c r="S25" s="198"/>
      <c r="T25" s="198"/>
      <c r="U25" s="198"/>
    </row>
    <row r="26" spans="1:21" s="12" customFormat="1" x14ac:dyDescent="0.25">
      <c r="A26" s="201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198"/>
      <c r="S26" s="198"/>
      <c r="T26" s="198"/>
      <c r="U26" s="198"/>
    </row>
    <row r="27" spans="1:21" s="12" customFormat="1" x14ac:dyDescent="0.25">
      <c r="A27" s="201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198"/>
      <c r="S27" s="198"/>
      <c r="T27" s="198"/>
      <c r="U27" s="198"/>
    </row>
    <row r="28" spans="1:21" s="12" customFormat="1" x14ac:dyDescent="0.25">
      <c r="A28" s="201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198"/>
      <c r="S28" s="198"/>
      <c r="T28" s="198"/>
      <c r="U28" s="198"/>
    </row>
    <row r="29" spans="1:21" s="12" customFormat="1" x14ac:dyDescent="0.25">
      <c r="A29" s="201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198"/>
      <c r="S29" s="198"/>
      <c r="T29" s="198"/>
      <c r="U29" s="198"/>
    </row>
    <row r="30" spans="1:21" s="12" customFormat="1" x14ac:dyDescent="0.25">
      <c r="A30" s="201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198"/>
      <c r="S30" s="198"/>
      <c r="T30" s="198"/>
      <c r="U30" s="198"/>
    </row>
    <row r="31" spans="1:21" s="12" customFormat="1" x14ac:dyDescent="0.25">
      <c r="A31" s="201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198"/>
      <c r="S31" s="198"/>
      <c r="T31" s="198"/>
      <c r="U31" s="198"/>
    </row>
    <row r="32" spans="1:21" s="12" customFormat="1" x14ac:dyDescent="0.25">
      <c r="A32" s="201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198"/>
      <c r="S32" s="198"/>
      <c r="T32" s="198"/>
      <c r="U32" s="198"/>
    </row>
    <row r="33" spans="1:21" s="12" customFormat="1" x14ac:dyDescent="0.25">
      <c r="A33" s="201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198"/>
      <c r="S33" s="198"/>
      <c r="T33" s="198"/>
      <c r="U33" s="198"/>
    </row>
    <row r="34" spans="1:21" s="12" customFormat="1" x14ac:dyDescent="0.25">
      <c r="A34" s="201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198"/>
      <c r="S34" s="198"/>
      <c r="T34" s="198"/>
      <c r="U34" s="198"/>
    </row>
    <row r="35" spans="1:21" s="12" customFormat="1" x14ac:dyDescent="0.25">
      <c r="A35" s="201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198"/>
      <c r="S35" s="198"/>
      <c r="T35" s="198"/>
      <c r="U35" s="198"/>
    </row>
    <row r="36" spans="1:21" s="12" customFormat="1" x14ac:dyDescent="0.25">
      <c r="A36" s="201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198"/>
      <c r="S36" s="198"/>
      <c r="T36" s="198"/>
      <c r="U36" s="198"/>
    </row>
    <row r="37" spans="1:21" s="12" customFormat="1" x14ac:dyDescent="0.25">
      <c r="A37" s="201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198"/>
      <c r="S37" s="198"/>
      <c r="T37" s="198"/>
      <c r="U37" s="198"/>
    </row>
    <row r="38" spans="1:21" s="12" customFormat="1" x14ac:dyDescent="0.25">
      <c r="A38" s="201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198"/>
      <c r="S38" s="198"/>
      <c r="T38" s="198"/>
      <c r="U38" s="198"/>
    </row>
    <row r="39" spans="1:21" s="12" customFormat="1" x14ac:dyDescent="0.25">
      <c r="A39" s="201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198"/>
      <c r="S39" s="198"/>
      <c r="T39" s="198"/>
      <c r="U39" s="198"/>
    </row>
    <row r="40" spans="1:21" s="12" customFormat="1" x14ac:dyDescent="0.25">
      <c r="A40" s="201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198"/>
      <c r="S40" s="198"/>
      <c r="T40" s="198"/>
      <c r="U40" s="198"/>
    </row>
    <row r="41" spans="1:21" s="12" customFormat="1" x14ac:dyDescent="0.25">
      <c r="A41" s="201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198"/>
      <c r="S41" s="198"/>
      <c r="T41" s="198"/>
      <c r="U41" s="198"/>
    </row>
    <row r="42" spans="1:21" s="12" customFormat="1" x14ac:dyDescent="0.25">
      <c r="A42" s="201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198"/>
      <c r="S42" s="198"/>
      <c r="T42" s="198"/>
      <c r="U42" s="198"/>
    </row>
    <row r="43" spans="1:21" s="12" customFormat="1" x14ac:dyDescent="0.25">
      <c r="A43" s="201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198"/>
      <c r="S43" s="198"/>
      <c r="T43" s="198"/>
      <c r="U43" s="198"/>
    </row>
    <row r="44" spans="1:21" s="12" customFormat="1" x14ac:dyDescent="0.25">
      <c r="A44" s="201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198"/>
      <c r="S44" s="198"/>
      <c r="T44" s="198"/>
      <c r="U44" s="198"/>
    </row>
    <row r="45" spans="1:21" s="12" customFormat="1" x14ac:dyDescent="0.25">
      <c r="A45" s="201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198"/>
      <c r="S45" s="198"/>
      <c r="T45" s="198"/>
      <c r="U45" s="198"/>
    </row>
    <row r="46" spans="1:21" s="12" customFormat="1" x14ac:dyDescent="0.25">
      <c r="A46" s="201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198"/>
      <c r="S46" s="198"/>
      <c r="T46" s="198"/>
      <c r="U46" s="198"/>
    </row>
    <row r="47" spans="1:21" s="12" customFormat="1" x14ac:dyDescent="0.25">
      <c r="A47" s="201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198"/>
      <c r="S47" s="198"/>
      <c r="T47" s="198"/>
      <c r="U47" s="198"/>
    </row>
    <row r="48" spans="1:21" s="12" customFormat="1" x14ac:dyDescent="0.25">
      <c r="A48" s="201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198"/>
      <c r="S48" s="198"/>
      <c r="T48" s="198"/>
      <c r="U48" s="198"/>
    </row>
    <row r="49" spans="1:21" s="12" customFormat="1" x14ac:dyDescent="0.25">
      <c r="A49" s="201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198"/>
      <c r="S49" s="198"/>
      <c r="T49" s="198"/>
      <c r="U49" s="198"/>
    </row>
    <row r="50" spans="1:21" s="12" customFormat="1" x14ac:dyDescent="0.25">
      <c r="A50" s="201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198"/>
      <c r="S50" s="198"/>
      <c r="T50" s="198"/>
      <c r="U50" s="198"/>
    </row>
    <row r="51" spans="1:21" s="12" customFormat="1" x14ac:dyDescent="0.25">
      <c r="A51" s="201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198"/>
      <c r="S51" s="198"/>
      <c r="T51" s="198"/>
      <c r="U51" s="198"/>
    </row>
    <row r="52" spans="1:21" s="12" customFormat="1" x14ac:dyDescent="0.25">
      <c r="A52" s="201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198"/>
      <c r="S52" s="198"/>
      <c r="T52" s="198"/>
      <c r="U52" s="198"/>
    </row>
    <row r="53" spans="1:21" s="12" customFormat="1" x14ac:dyDescent="0.25">
      <c r="A53" s="201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198"/>
      <c r="S53" s="198"/>
      <c r="T53" s="198"/>
      <c r="U53" s="198"/>
    </row>
    <row r="54" spans="1:21" s="12" customFormat="1" x14ac:dyDescent="0.25">
      <c r="A54" s="201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198"/>
      <c r="S54" s="198"/>
      <c r="T54" s="198"/>
      <c r="U54" s="198"/>
    </row>
    <row r="55" spans="1:21" s="12" customFormat="1" x14ac:dyDescent="0.25">
      <c r="A55" s="201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198"/>
      <c r="S55" s="198"/>
      <c r="T55" s="198"/>
      <c r="U55" s="198"/>
    </row>
    <row r="56" spans="1:21" s="12" customFormat="1" x14ac:dyDescent="0.25">
      <c r="A56" s="201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198"/>
      <c r="S56" s="198"/>
      <c r="T56" s="198"/>
      <c r="U56" s="198"/>
    </row>
    <row r="57" spans="1:21" s="12" customFormat="1" x14ac:dyDescent="0.25">
      <c r="A57" s="201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198"/>
      <c r="S57" s="198"/>
      <c r="T57" s="198"/>
      <c r="U57" s="198"/>
    </row>
    <row r="58" spans="1:21" s="12" customFormat="1" x14ac:dyDescent="0.25">
      <c r="A58" s="201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198"/>
      <c r="S58" s="198"/>
      <c r="T58" s="198"/>
      <c r="U58" s="198"/>
    </row>
    <row r="59" spans="1:21" s="12" customFormat="1" x14ac:dyDescent="0.25">
      <c r="A59" s="201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198"/>
      <c r="S59" s="198"/>
      <c r="T59" s="198"/>
      <c r="U59" s="198"/>
    </row>
    <row r="60" spans="1:21" s="12" customFormat="1" x14ac:dyDescent="0.25">
      <c r="A60" s="201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198"/>
      <c r="S60" s="198"/>
      <c r="T60" s="198"/>
      <c r="U60" s="198"/>
    </row>
    <row r="61" spans="1:21" s="12" customFormat="1" x14ac:dyDescent="0.25">
      <c r="A61" s="201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198"/>
      <c r="S61" s="198"/>
      <c r="T61" s="198"/>
      <c r="U61" s="198"/>
    </row>
    <row r="62" spans="1:21" s="12" customFormat="1" x14ac:dyDescent="0.25">
      <c r="A62" s="201"/>
      <c r="B62" s="60"/>
      <c r="C62" s="60"/>
      <c r="D62" s="60"/>
      <c r="E62" s="60"/>
      <c r="F62" s="60"/>
      <c r="G62" s="60"/>
      <c r="H62" s="60"/>
      <c r="I62" s="9"/>
      <c r="J62" s="60"/>
      <c r="K62" s="60"/>
      <c r="L62" s="60"/>
      <c r="M62" s="60"/>
      <c r="N62" s="60"/>
      <c r="O62" s="60"/>
      <c r="P62" s="60"/>
      <c r="Q62" s="60"/>
      <c r="R62" s="198"/>
      <c r="S62" s="198"/>
      <c r="T62" s="198"/>
      <c r="U62" s="198"/>
    </row>
    <row r="63" spans="1:21" s="12" customFormat="1" x14ac:dyDescent="0.25">
      <c r="A63" s="201"/>
      <c r="B63" s="60"/>
      <c r="C63" s="60"/>
      <c r="D63" s="60"/>
      <c r="E63" s="60"/>
      <c r="F63" s="60"/>
      <c r="G63" s="60"/>
      <c r="H63" s="60"/>
      <c r="I63" s="9"/>
      <c r="J63" s="60"/>
      <c r="K63" s="60"/>
      <c r="L63" s="60"/>
      <c r="M63" s="60"/>
      <c r="N63" s="60"/>
      <c r="O63" s="60"/>
      <c r="P63" s="60"/>
      <c r="Q63" s="60"/>
      <c r="R63" s="198"/>
      <c r="S63" s="198"/>
      <c r="T63" s="198"/>
      <c r="U63" s="198"/>
    </row>
    <row r="64" spans="1:21" s="12" customFormat="1" x14ac:dyDescent="0.25">
      <c r="A64" s="201"/>
      <c r="B64" s="60"/>
      <c r="C64" s="60"/>
      <c r="D64" s="60"/>
      <c r="E64" s="60"/>
      <c r="F64" s="60"/>
      <c r="G64" s="60"/>
      <c r="H64" s="60"/>
      <c r="I64" s="9"/>
      <c r="J64" s="60"/>
      <c r="K64" s="60"/>
      <c r="L64" s="60"/>
      <c r="M64" s="60"/>
      <c r="N64" s="60"/>
      <c r="O64" s="60"/>
      <c r="P64" s="60"/>
      <c r="Q64" s="60"/>
      <c r="R64" s="198"/>
      <c r="S64" s="198"/>
      <c r="T64" s="198"/>
      <c r="U64" s="198"/>
    </row>
    <row r="65" spans="1:21" s="12" customFormat="1" x14ac:dyDescent="0.25">
      <c r="A65" s="201"/>
      <c r="B65" s="60"/>
      <c r="C65" s="60"/>
      <c r="D65" s="60"/>
      <c r="E65" s="60"/>
      <c r="F65" s="60"/>
      <c r="G65" s="60"/>
      <c r="H65" s="60"/>
      <c r="I65" s="9"/>
      <c r="J65" s="60"/>
      <c r="K65" s="60"/>
      <c r="L65" s="60"/>
      <c r="M65" s="60"/>
      <c r="N65" s="60"/>
      <c r="O65" s="60"/>
      <c r="P65" s="60"/>
      <c r="Q65" s="60"/>
      <c r="R65" s="198"/>
      <c r="S65" s="198"/>
      <c r="T65" s="198"/>
      <c r="U65" s="198"/>
    </row>
    <row r="66" spans="1:21" s="12" customFormat="1" x14ac:dyDescent="0.25">
      <c r="A66" s="201"/>
      <c r="B66" s="60"/>
      <c r="C66" s="60"/>
      <c r="D66" s="60"/>
      <c r="E66" s="60"/>
      <c r="F66" s="60"/>
      <c r="G66" s="60"/>
      <c r="H66" s="60"/>
      <c r="I66" s="9"/>
      <c r="J66" s="60"/>
      <c r="K66" s="60"/>
      <c r="L66" s="60"/>
      <c r="M66" s="60"/>
      <c r="N66" s="60"/>
      <c r="O66" s="60"/>
      <c r="P66" s="60"/>
      <c r="Q66" s="60"/>
      <c r="R66" s="198"/>
      <c r="S66" s="198"/>
      <c r="T66" s="198"/>
      <c r="U66" s="198"/>
    </row>
    <row r="67" spans="1:21" s="12" customFormat="1" x14ac:dyDescent="0.25">
      <c r="A67" s="201"/>
      <c r="B67" s="60"/>
      <c r="C67" s="60"/>
      <c r="D67" s="60"/>
      <c r="E67" s="60"/>
      <c r="F67" s="60"/>
      <c r="G67" s="60"/>
      <c r="H67" s="60"/>
      <c r="I67" s="9"/>
      <c r="J67" s="60"/>
      <c r="K67" s="60"/>
      <c r="L67" s="60"/>
      <c r="M67" s="60"/>
      <c r="N67" s="60"/>
      <c r="O67" s="60"/>
      <c r="P67" s="60"/>
      <c r="Q67" s="60"/>
      <c r="R67" s="198"/>
      <c r="S67" s="198"/>
      <c r="T67" s="198"/>
      <c r="U67" s="198"/>
    </row>
    <row r="68" spans="1:21" s="12" customFormat="1" x14ac:dyDescent="0.25">
      <c r="A68" s="201"/>
      <c r="B68" s="60"/>
      <c r="C68" s="60"/>
      <c r="D68" s="60"/>
      <c r="E68" s="60"/>
      <c r="F68" s="60"/>
      <c r="G68" s="60"/>
      <c r="H68" s="60"/>
      <c r="I68" s="9"/>
      <c r="J68" s="60"/>
      <c r="K68" s="60"/>
      <c r="L68" s="60"/>
      <c r="M68" s="60"/>
      <c r="N68" s="60"/>
      <c r="O68" s="60"/>
      <c r="P68" s="60"/>
      <c r="Q68" s="60"/>
      <c r="R68" s="198"/>
      <c r="S68" s="198"/>
      <c r="T68" s="198"/>
      <c r="U68" s="198"/>
    </row>
    <row r="69" spans="1:21" s="12" customFormat="1" x14ac:dyDescent="0.25">
      <c r="A69" s="201"/>
      <c r="B69" s="60"/>
      <c r="C69" s="60"/>
      <c r="D69" s="60"/>
      <c r="E69" s="60"/>
      <c r="F69" s="60"/>
      <c r="G69" s="60"/>
      <c r="H69" s="60"/>
      <c r="I69" s="9"/>
      <c r="J69" s="60"/>
      <c r="K69" s="60"/>
      <c r="L69" s="60"/>
      <c r="M69" s="60"/>
      <c r="N69" s="60"/>
      <c r="O69" s="60"/>
      <c r="P69" s="60"/>
      <c r="Q69" s="60"/>
      <c r="R69" s="198"/>
      <c r="S69" s="198"/>
      <c r="T69" s="198"/>
      <c r="U69" s="198"/>
    </row>
    <row r="70" spans="1:21" s="12" customFormat="1" x14ac:dyDescent="0.25">
      <c r="A70" s="201"/>
      <c r="B70" s="60"/>
      <c r="C70" s="60"/>
      <c r="D70" s="60"/>
      <c r="E70" s="60"/>
      <c r="F70" s="60"/>
      <c r="G70" s="60"/>
      <c r="H70" s="60"/>
      <c r="I70" s="9"/>
      <c r="J70" s="60"/>
      <c r="K70" s="60"/>
      <c r="L70" s="60"/>
      <c r="M70" s="60"/>
      <c r="N70" s="60"/>
      <c r="O70" s="60"/>
      <c r="P70" s="60"/>
      <c r="Q70" s="60"/>
      <c r="R70" s="198"/>
      <c r="S70" s="198"/>
      <c r="T70" s="198"/>
      <c r="U70" s="198"/>
    </row>
    <row r="71" spans="1:21" s="12" customFormat="1" x14ac:dyDescent="0.25">
      <c r="A71" s="201"/>
      <c r="B71" s="60"/>
      <c r="C71" s="60"/>
      <c r="D71" s="60"/>
      <c r="E71" s="60"/>
      <c r="F71" s="60"/>
      <c r="G71" s="60"/>
      <c r="H71" s="60"/>
      <c r="I71" s="9"/>
      <c r="J71" s="60"/>
      <c r="K71" s="60"/>
      <c r="L71" s="60"/>
      <c r="M71" s="60"/>
      <c r="N71" s="60"/>
      <c r="O71" s="60"/>
      <c r="P71" s="60"/>
      <c r="Q71" s="60"/>
      <c r="R71" s="198"/>
      <c r="S71" s="198"/>
      <c r="T71" s="198"/>
      <c r="U71" s="198"/>
    </row>
    <row r="72" spans="1:21" s="12" customFormat="1" x14ac:dyDescent="0.25">
      <c r="A72" s="201"/>
      <c r="B72" s="60"/>
      <c r="C72" s="60"/>
      <c r="D72" s="60"/>
      <c r="E72" s="60"/>
      <c r="F72" s="60"/>
      <c r="G72" s="60"/>
      <c r="H72" s="60"/>
      <c r="I72" s="9"/>
      <c r="J72" s="60"/>
      <c r="K72" s="60"/>
      <c r="L72" s="60"/>
      <c r="M72" s="60"/>
      <c r="N72" s="60"/>
      <c r="O72" s="60"/>
      <c r="P72" s="60"/>
      <c r="Q72" s="60"/>
      <c r="R72" s="198"/>
      <c r="S72" s="198"/>
      <c r="T72" s="198"/>
      <c r="U72" s="198"/>
    </row>
    <row r="73" spans="1:21" s="12" customFormat="1" x14ac:dyDescent="0.25">
      <c r="A73" s="201"/>
      <c r="B73" s="60"/>
      <c r="C73" s="60"/>
      <c r="D73" s="60"/>
      <c r="E73" s="60"/>
      <c r="F73" s="60"/>
      <c r="G73" s="60"/>
      <c r="H73" s="60"/>
      <c r="I73" s="9"/>
      <c r="J73" s="60"/>
      <c r="K73" s="60"/>
      <c r="L73" s="60"/>
      <c r="M73" s="60"/>
      <c r="N73" s="60"/>
      <c r="O73" s="60"/>
      <c r="P73" s="60"/>
      <c r="Q73" s="60"/>
      <c r="R73" s="198"/>
      <c r="S73" s="198"/>
      <c r="T73" s="198"/>
      <c r="U73" s="198"/>
    </row>
    <row r="74" spans="1:21" s="12" customFormat="1" x14ac:dyDescent="0.25">
      <c r="A74" s="201"/>
      <c r="B74" s="60"/>
      <c r="C74" s="60"/>
      <c r="D74" s="60"/>
      <c r="E74" s="60"/>
      <c r="F74" s="60"/>
      <c r="G74" s="60"/>
      <c r="H74" s="60"/>
      <c r="I74" s="9"/>
      <c r="J74" s="60"/>
      <c r="K74" s="60"/>
      <c r="L74" s="60"/>
      <c r="M74" s="60"/>
      <c r="N74" s="60"/>
      <c r="O74" s="60"/>
      <c r="P74" s="60"/>
      <c r="Q74" s="60"/>
      <c r="R74" s="198"/>
      <c r="S74" s="198"/>
      <c r="T74" s="198"/>
      <c r="U74" s="198"/>
    </row>
    <row r="75" spans="1:21" s="12" customFormat="1" x14ac:dyDescent="0.25">
      <c r="A75" s="201"/>
      <c r="B75" s="60"/>
      <c r="C75" s="60"/>
      <c r="D75" s="60"/>
      <c r="E75" s="60"/>
      <c r="F75" s="60"/>
      <c r="G75" s="60"/>
      <c r="H75" s="60"/>
      <c r="I75" s="9"/>
      <c r="J75" s="60"/>
      <c r="K75" s="60"/>
      <c r="L75" s="60"/>
      <c r="M75" s="60"/>
      <c r="N75" s="60"/>
      <c r="O75" s="60"/>
      <c r="P75" s="60"/>
      <c r="Q75" s="60"/>
      <c r="R75" s="198"/>
      <c r="S75" s="198"/>
      <c r="T75" s="198"/>
      <c r="U75" s="198"/>
    </row>
    <row r="76" spans="1:21" s="12" customFormat="1" x14ac:dyDescent="0.25">
      <c r="A76" s="201"/>
      <c r="B76" s="60"/>
      <c r="C76" s="60"/>
      <c r="D76" s="60"/>
      <c r="E76" s="60"/>
      <c r="F76" s="60"/>
      <c r="G76" s="60"/>
      <c r="H76" s="60"/>
      <c r="I76" s="9"/>
      <c r="J76" s="60"/>
      <c r="K76" s="60"/>
      <c r="L76" s="60"/>
      <c r="M76" s="60"/>
      <c r="N76" s="60"/>
      <c r="O76" s="60"/>
      <c r="P76" s="60"/>
      <c r="Q76" s="60"/>
      <c r="R76" s="198"/>
      <c r="S76" s="198"/>
      <c r="T76" s="198"/>
      <c r="U76" s="198"/>
    </row>
    <row r="77" spans="1:21" s="12" customFormat="1" x14ac:dyDescent="0.25">
      <c r="A77" s="201"/>
      <c r="B77" s="60"/>
      <c r="C77" s="60"/>
      <c r="D77" s="60"/>
      <c r="E77" s="60"/>
      <c r="F77" s="60"/>
      <c r="G77" s="60"/>
      <c r="H77" s="60"/>
      <c r="I77" s="9"/>
      <c r="J77" s="60"/>
      <c r="K77" s="60"/>
      <c r="L77" s="60"/>
      <c r="M77" s="60"/>
      <c r="N77" s="60"/>
      <c r="O77" s="60"/>
      <c r="P77" s="60"/>
      <c r="Q77" s="60"/>
      <c r="R77" s="198"/>
      <c r="S77" s="198"/>
      <c r="T77" s="198"/>
      <c r="U77" s="198"/>
    </row>
    <row r="78" spans="1:21" s="12" customFormat="1" x14ac:dyDescent="0.25">
      <c r="A78" s="201"/>
      <c r="B78" s="60"/>
      <c r="C78" s="60"/>
      <c r="D78" s="60"/>
      <c r="E78" s="60"/>
      <c r="F78" s="60"/>
      <c r="G78" s="60"/>
      <c r="H78" s="60"/>
      <c r="I78" s="9"/>
      <c r="J78" s="60"/>
      <c r="K78" s="60"/>
      <c r="L78" s="60"/>
      <c r="M78" s="60"/>
      <c r="N78" s="60"/>
      <c r="O78" s="60"/>
      <c r="P78" s="60"/>
      <c r="Q78" s="60"/>
      <c r="R78" s="198"/>
      <c r="S78" s="198"/>
      <c r="T78" s="198"/>
      <c r="U78" s="198"/>
    </row>
    <row r="79" spans="1:21" s="12" customFormat="1" x14ac:dyDescent="0.25">
      <c r="A79" s="201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198"/>
      <c r="S79" s="198"/>
      <c r="T79" s="198"/>
      <c r="U79" s="198"/>
    </row>
    <row r="80" spans="1:21" s="12" customFormat="1" x14ac:dyDescent="0.25">
      <c r="A80" s="201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198"/>
      <c r="S80" s="198"/>
      <c r="T80" s="198"/>
      <c r="U80" s="198"/>
    </row>
    <row r="81" spans="1:26" s="12" customFormat="1" x14ac:dyDescent="0.25">
      <c r="A81" s="201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198"/>
      <c r="S81" s="198"/>
      <c r="T81" s="198"/>
      <c r="U81" s="198"/>
    </row>
    <row r="82" spans="1:26" s="12" customFormat="1" x14ac:dyDescent="0.25">
      <c r="A82" s="201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198"/>
      <c r="S82" s="198"/>
      <c r="T82" s="198"/>
      <c r="U82" s="198"/>
    </row>
    <row r="83" spans="1:26" s="12" customFormat="1" x14ac:dyDescent="0.25">
      <c r="A83" s="201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198"/>
      <c r="S83" s="198"/>
      <c r="T83" s="198"/>
      <c r="U83" s="198"/>
    </row>
    <row r="84" spans="1:26" s="12" customFormat="1" x14ac:dyDescent="0.25">
      <c r="A84" s="201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198"/>
      <c r="S84" s="198"/>
      <c r="T84" s="198"/>
      <c r="U84" s="198"/>
    </row>
    <row r="85" spans="1:26" s="12" customFormat="1" x14ac:dyDescent="0.25">
      <c r="A85" s="201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198"/>
      <c r="S85" s="198"/>
      <c r="T85" s="198"/>
      <c r="U85" s="198"/>
    </row>
    <row r="86" spans="1:26" s="12" customFormat="1" x14ac:dyDescent="0.25">
      <c r="A86" s="201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198"/>
      <c r="S86" s="198"/>
      <c r="T86" s="198"/>
      <c r="U86" s="198"/>
    </row>
    <row r="87" spans="1:26" s="12" customFormat="1" x14ac:dyDescent="0.25">
      <c r="A87" s="201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198"/>
      <c r="S87" s="198"/>
      <c r="T87" s="198"/>
      <c r="U87" s="198"/>
    </row>
    <row r="88" spans="1:26" s="12" customFormat="1" x14ac:dyDescent="0.25">
      <c r="A88" s="201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198"/>
      <c r="S88" s="198"/>
      <c r="T88" s="198"/>
      <c r="U88" s="198"/>
    </row>
    <row r="89" spans="1:26" s="12" customFormat="1" x14ac:dyDescent="0.25">
      <c r="A89" s="201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198"/>
      <c r="S89" s="198"/>
      <c r="T89" s="198"/>
      <c r="U89" s="198"/>
    </row>
    <row r="90" spans="1:26" s="12" customFormat="1" x14ac:dyDescent="0.25">
      <c r="A90" s="201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198"/>
      <c r="S90" s="198"/>
      <c r="T90" s="198"/>
      <c r="U90" s="198"/>
    </row>
    <row r="91" spans="1:26" s="12" customFormat="1" x14ac:dyDescent="0.25">
      <c r="A91" s="201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198"/>
      <c r="S91" s="198"/>
      <c r="T91" s="198"/>
      <c r="U91" s="198"/>
    </row>
    <row r="92" spans="1:26" s="12" customFormat="1" x14ac:dyDescent="0.25">
      <c r="A92" s="201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198"/>
      <c r="S92" s="198"/>
      <c r="T92" s="198"/>
      <c r="U92" s="198"/>
    </row>
    <row r="93" spans="1:26" s="12" customFormat="1" x14ac:dyDescent="0.25">
      <c r="A93" s="201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198"/>
      <c r="S93" s="198"/>
      <c r="T93" s="198"/>
      <c r="U93" s="198"/>
    </row>
    <row r="94" spans="1:26" s="12" customFormat="1" x14ac:dyDescent="0.25">
      <c r="A94" s="201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198"/>
      <c r="S94" s="198"/>
      <c r="T94" s="198"/>
      <c r="U94" s="198"/>
    </row>
    <row r="95" spans="1:26" s="12" customFormat="1" x14ac:dyDescent="0.25">
      <c r="A95" s="201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198"/>
      <c r="S95" s="198"/>
      <c r="T95" s="198"/>
      <c r="U95" s="198"/>
    </row>
    <row r="96" spans="1:26" s="12" customFormat="1" x14ac:dyDescent="0.25">
      <c r="A96" s="201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198"/>
      <c r="S96" s="198"/>
      <c r="T96" s="198"/>
      <c r="U96" s="198"/>
      <c r="Z96" s="109"/>
    </row>
    <row r="97" spans="1:33" s="12" customFormat="1" x14ac:dyDescent="0.25">
      <c r="A97" s="201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198"/>
      <c r="S97" s="198"/>
      <c r="T97" s="198"/>
      <c r="U97" s="198"/>
    </row>
    <row r="98" spans="1:33" s="12" customFormat="1" x14ac:dyDescent="0.25">
      <c r="A98" s="201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198"/>
      <c r="S98" s="198"/>
      <c r="T98" s="198"/>
      <c r="U98" s="198"/>
    </row>
    <row r="99" spans="1:33" s="12" customFormat="1" x14ac:dyDescent="0.25">
      <c r="A99" s="201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198"/>
      <c r="S99" s="198"/>
      <c r="T99" s="198"/>
      <c r="U99" s="198"/>
    </row>
    <row r="100" spans="1:33" s="12" customFormat="1" x14ac:dyDescent="0.25">
      <c r="A100" s="201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198"/>
      <c r="S101" s="198"/>
      <c r="T101" s="198"/>
      <c r="U101" s="198"/>
    </row>
    <row r="102" spans="1:33" s="12" customFormat="1" x14ac:dyDescent="0.25">
      <c r="A102" s="201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198"/>
      <c r="S102" s="198"/>
      <c r="T102" s="198"/>
      <c r="U102" s="198"/>
    </row>
    <row r="103" spans="1:33" s="12" customFormat="1" x14ac:dyDescent="0.25">
      <c r="A103" s="201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198"/>
      <c r="S103" s="198"/>
      <c r="T103" s="198"/>
      <c r="U103" s="198"/>
    </row>
    <row r="104" spans="1:33" s="12" customFormat="1" x14ac:dyDescent="0.25">
      <c r="A104" s="201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199"/>
      <c r="S106" s="199"/>
      <c r="T106" s="199"/>
      <c r="U106" s="199"/>
    </row>
    <row r="107" spans="1:33" x14ac:dyDescent="0.25">
      <c r="A107" s="65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200"/>
      <c r="S107" s="200"/>
      <c r="T107" s="200"/>
      <c r="U107" s="200"/>
    </row>
    <row r="108" spans="1:33" x14ac:dyDescent="0.25">
      <c r="A108" s="65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199"/>
      <c r="S108" s="199"/>
      <c r="T108" s="199"/>
      <c r="U108" s="199"/>
    </row>
    <row r="109" spans="1:33" x14ac:dyDescent="0.25">
      <c r="A109" s="65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199"/>
      <c r="S109" s="199"/>
      <c r="T109" s="199"/>
      <c r="U109" s="199"/>
    </row>
    <row r="110" spans="1:33" x14ac:dyDescent="0.25">
      <c r="A110" s="65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200"/>
      <c r="S110" s="200"/>
      <c r="T110" s="200"/>
      <c r="U110" s="200"/>
      <c r="V110" s="66"/>
    </row>
    <row r="111" spans="1:33" x14ac:dyDescent="0.25">
      <c r="A111" s="15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97"/>
      <c r="S111" s="197"/>
      <c r="T111" s="197"/>
      <c r="U111" s="197"/>
    </row>
    <row r="112" spans="1:33" x14ac:dyDescent="0.25">
      <c r="A112" s="15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/>
      <c r="B115" s="217"/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/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ySplit="8" topLeftCell="A9" activePane="bottomLeft" state="frozen"/>
      <selection activeCell="N106" sqref="N106:P109"/>
      <selection pane="bottomLeft" sqref="A1:IV6553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x14ac:dyDescent="0.25">
      <c r="A1" s="15"/>
      <c r="B1" s="57"/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/>
      <c r="B2" s="108"/>
      <c r="C2" s="12"/>
      <c r="D2" s="11"/>
      <c r="E2" s="11"/>
      <c r="F2" s="11"/>
      <c r="G2" s="4"/>
      <c r="H2" s="28"/>
      <c r="I2" s="28"/>
      <c r="J2" s="28"/>
      <c r="K2" s="13"/>
      <c r="L2" s="11"/>
      <c r="M2" s="13"/>
      <c r="N2" s="8"/>
      <c r="O2" s="104"/>
      <c r="P2" s="105"/>
      <c r="Q2" s="104"/>
      <c r="R2" s="9"/>
      <c r="S2" s="12"/>
      <c r="T2" s="12"/>
      <c r="U2" s="12"/>
    </row>
    <row r="3" spans="1:21" x14ac:dyDescent="0.25">
      <c r="A3" s="15"/>
      <c r="B3" s="13"/>
      <c r="C3" s="12"/>
      <c r="D3" s="11"/>
      <c r="E3" s="11"/>
      <c r="F3" s="11"/>
      <c r="G3" s="26"/>
      <c r="H3" s="28"/>
      <c r="I3" s="28"/>
      <c r="J3" s="28"/>
      <c r="K3" s="12"/>
      <c r="L3" s="11"/>
      <c r="M3" s="13"/>
      <c r="N3" s="6"/>
      <c r="O3" s="13"/>
      <c r="P3" s="105"/>
      <c r="Q3" s="13"/>
      <c r="R3" s="10"/>
      <c r="S3" s="12"/>
      <c r="T3" s="12"/>
      <c r="U3" s="12"/>
    </row>
    <row r="4" spans="1:21" x14ac:dyDescent="0.25">
      <c r="A4" s="15"/>
      <c r="B4" s="13"/>
      <c r="C4" s="12"/>
      <c r="D4" s="11"/>
      <c r="E4" s="11"/>
      <c r="F4" s="11"/>
      <c r="G4" s="5"/>
      <c r="H4" s="28"/>
      <c r="I4" s="28"/>
      <c r="J4" s="28"/>
      <c r="K4" s="3"/>
      <c r="L4" s="11"/>
      <c r="M4" s="13"/>
      <c r="N4" s="7"/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/>
      <c r="B7" s="198"/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198"/>
      <c r="Q7" s="198"/>
      <c r="R7" s="196"/>
      <c r="S7" s="197"/>
      <c r="T7" s="196"/>
      <c r="U7" s="196"/>
    </row>
    <row r="8" spans="1:21" x14ac:dyDescent="0.25">
      <c r="A8" s="15"/>
      <c r="B8" s="13"/>
      <c r="C8" s="13"/>
      <c r="D8" s="13"/>
      <c r="E8" s="13"/>
      <c r="F8" s="13"/>
      <c r="G8" s="13"/>
      <c r="H8" s="13"/>
      <c r="I8" s="13"/>
      <c r="J8" s="13"/>
      <c r="K8" s="13"/>
      <c r="L8" s="15"/>
      <c r="M8" s="13"/>
      <c r="N8" s="13"/>
      <c r="O8" s="15"/>
      <c r="P8" s="13"/>
      <c r="Q8" s="209"/>
      <c r="R8" s="196"/>
      <c r="S8" s="197"/>
      <c r="T8" s="196"/>
      <c r="U8" s="196"/>
    </row>
    <row r="9" spans="1:21" s="12" customFormat="1" x14ac:dyDescent="0.25">
      <c r="A9" s="201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198"/>
      <c r="S9" s="198"/>
      <c r="T9" s="198"/>
      <c r="U9" s="198"/>
    </row>
    <row r="10" spans="1:21" s="12" customFormat="1" x14ac:dyDescent="0.25">
      <c r="A10" s="201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198"/>
      <c r="S10" s="198"/>
      <c r="T10" s="198"/>
      <c r="U10" s="198"/>
    </row>
    <row r="11" spans="1:21" s="12" customFormat="1" x14ac:dyDescent="0.25">
      <c r="A11" s="201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198"/>
      <c r="S11" s="198"/>
      <c r="T11" s="198"/>
      <c r="U11" s="198"/>
    </row>
    <row r="12" spans="1:21" s="12" customFormat="1" x14ac:dyDescent="0.25">
      <c r="A12" s="201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198"/>
      <c r="S12" s="198"/>
      <c r="T12" s="198"/>
      <c r="U12" s="198"/>
    </row>
    <row r="13" spans="1:21" s="12" customFormat="1" x14ac:dyDescent="0.25">
      <c r="A13" s="201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198"/>
      <c r="S13" s="198"/>
      <c r="T13" s="198"/>
      <c r="U13" s="198"/>
    </row>
    <row r="14" spans="1:21" s="12" customFormat="1" x14ac:dyDescent="0.25">
      <c r="A14" s="201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198"/>
      <c r="S14" s="198"/>
      <c r="T14" s="198"/>
      <c r="U14" s="198"/>
    </row>
    <row r="15" spans="1:21" s="12" customFormat="1" x14ac:dyDescent="0.25">
      <c r="A15" s="201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198"/>
      <c r="S15" s="198"/>
      <c r="T15" s="198"/>
      <c r="U15" s="198"/>
    </row>
    <row r="16" spans="1:21" s="12" customFormat="1" x14ac:dyDescent="0.25">
      <c r="A16" s="201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198"/>
      <c r="S16" s="198"/>
      <c r="T16" s="198"/>
      <c r="U16" s="198"/>
    </row>
    <row r="17" spans="1:21" s="12" customFormat="1" x14ac:dyDescent="0.25">
      <c r="A17" s="201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198"/>
      <c r="S17" s="198"/>
      <c r="T17" s="198"/>
      <c r="U17" s="198"/>
    </row>
    <row r="18" spans="1:21" s="12" customFormat="1" x14ac:dyDescent="0.25">
      <c r="A18" s="201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198"/>
      <c r="S18" s="198"/>
      <c r="T18" s="198"/>
      <c r="U18" s="198"/>
    </row>
    <row r="19" spans="1:21" s="12" customFormat="1" x14ac:dyDescent="0.25">
      <c r="A19" s="201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98"/>
      <c r="S19" s="198"/>
      <c r="T19" s="198"/>
      <c r="U19" s="198"/>
    </row>
    <row r="20" spans="1:21" s="12" customFormat="1" x14ac:dyDescent="0.25">
      <c r="A20" s="201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198"/>
      <c r="S20" s="198"/>
      <c r="T20" s="198"/>
      <c r="U20" s="198"/>
    </row>
    <row r="21" spans="1:21" s="12" customFormat="1" x14ac:dyDescent="0.25">
      <c r="A21" s="201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198"/>
      <c r="S21" s="198"/>
      <c r="T21" s="198"/>
      <c r="U21" s="198"/>
    </row>
    <row r="22" spans="1:21" s="12" customFormat="1" x14ac:dyDescent="0.25">
      <c r="A22" s="201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198"/>
      <c r="S22" s="198"/>
      <c r="T22" s="198"/>
      <c r="U22" s="198"/>
    </row>
    <row r="23" spans="1:21" s="12" customFormat="1" x14ac:dyDescent="0.25">
      <c r="A23" s="201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198"/>
      <c r="S23" s="198"/>
      <c r="T23" s="198"/>
      <c r="U23" s="198"/>
    </row>
    <row r="24" spans="1:21" s="12" customFormat="1" x14ac:dyDescent="0.25">
      <c r="A24" s="201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198"/>
      <c r="S24" s="198"/>
      <c r="T24" s="198"/>
      <c r="U24" s="198"/>
    </row>
    <row r="25" spans="1:21" s="12" customFormat="1" x14ac:dyDescent="0.25">
      <c r="A25" s="201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198"/>
      <c r="S25" s="198"/>
      <c r="T25" s="198"/>
      <c r="U25" s="198"/>
    </row>
    <row r="26" spans="1:21" s="12" customFormat="1" x14ac:dyDescent="0.25">
      <c r="A26" s="201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198"/>
      <c r="S26" s="198"/>
      <c r="T26" s="198"/>
      <c r="U26" s="198"/>
    </row>
    <row r="27" spans="1:21" s="12" customFormat="1" x14ac:dyDescent="0.25">
      <c r="A27" s="201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198"/>
      <c r="S27" s="198"/>
      <c r="T27" s="198"/>
      <c r="U27" s="198"/>
    </row>
    <row r="28" spans="1:21" s="12" customFormat="1" x14ac:dyDescent="0.25">
      <c r="A28" s="201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198"/>
      <c r="S28" s="198"/>
      <c r="T28" s="198"/>
      <c r="U28" s="198"/>
    </row>
    <row r="29" spans="1:21" s="12" customFormat="1" x14ac:dyDescent="0.25">
      <c r="A29" s="201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198"/>
      <c r="S29" s="198"/>
      <c r="T29" s="198"/>
      <c r="U29" s="198"/>
    </row>
    <row r="30" spans="1:21" s="12" customFormat="1" x14ac:dyDescent="0.25">
      <c r="A30" s="201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198"/>
      <c r="S30" s="198"/>
      <c r="T30" s="198"/>
      <c r="U30" s="198"/>
    </row>
    <row r="31" spans="1:21" s="12" customFormat="1" x14ac:dyDescent="0.25">
      <c r="A31" s="201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198"/>
      <c r="S31" s="198"/>
      <c r="T31" s="198"/>
      <c r="U31" s="198"/>
    </row>
    <row r="32" spans="1:21" s="12" customFormat="1" x14ac:dyDescent="0.25">
      <c r="A32" s="201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198"/>
      <c r="S32" s="198"/>
      <c r="T32" s="198"/>
      <c r="U32" s="198"/>
    </row>
    <row r="33" spans="1:21" s="12" customFormat="1" x14ac:dyDescent="0.25">
      <c r="A33" s="201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198"/>
      <c r="S33" s="198"/>
      <c r="T33" s="198"/>
      <c r="U33" s="198"/>
    </row>
    <row r="34" spans="1:21" s="12" customFormat="1" x14ac:dyDescent="0.25">
      <c r="A34" s="201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198"/>
      <c r="S34" s="198"/>
      <c r="T34" s="198"/>
      <c r="U34" s="198"/>
    </row>
    <row r="35" spans="1:21" s="12" customFormat="1" x14ac:dyDescent="0.25">
      <c r="A35" s="201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198"/>
      <c r="S35" s="198"/>
      <c r="T35" s="198"/>
      <c r="U35" s="198"/>
    </row>
    <row r="36" spans="1:21" s="12" customFormat="1" x14ac:dyDescent="0.25">
      <c r="A36" s="201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198"/>
      <c r="S36" s="198"/>
      <c r="T36" s="198"/>
      <c r="U36" s="198"/>
    </row>
    <row r="37" spans="1:21" s="12" customFormat="1" x14ac:dyDescent="0.25">
      <c r="A37" s="201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198"/>
      <c r="S37" s="198"/>
      <c r="T37" s="198"/>
      <c r="U37" s="198"/>
    </row>
    <row r="38" spans="1:21" s="12" customFormat="1" x14ac:dyDescent="0.25">
      <c r="A38" s="201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198"/>
      <c r="S38" s="198"/>
      <c r="T38" s="198"/>
      <c r="U38" s="198"/>
    </row>
    <row r="39" spans="1:21" s="12" customFormat="1" x14ac:dyDescent="0.25">
      <c r="A39" s="201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198"/>
      <c r="S39" s="198"/>
      <c r="T39" s="198"/>
      <c r="U39" s="198"/>
    </row>
    <row r="40" spans="1:21" s="12" customFormat="1" x14ac:dyDescent="0.25">
      <c r="A40" s="201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198"/>
      <c r="S40" s="198"/>
      <c r="T40" s="198"/>
      <c r="U40" s="198"/>
    </row>
    <row r="41" spans="1:21" s="12" customFormat="1" x14ac:dyDescent="0.25">
      <c r="A41" s="201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198"/>
      <c r="S41" s="198"/>
      <c r="T41" s="198"/>
      <c r="U41" s="198"/>
    </row>
    <row r="42" spans="1:21" s="12" customFormat="1" x14ac:dyDescent="0.25">
      <c r="A42" s="201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198"/>
      <c r="S42" s="198"/>
      <c r="T42" s="198"/>
      <c r="U42" s="198"/>
    </row>
    <row r="43" spans="1:21" s="12" customFormat="1" x14ac:dyDescent="0.25">
      <c r="A43" s="201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198"/>
      <c r="S43" s="198"/>
      <c r="T43" s="198"/>
      <c r="U43" s="198"/>
    </row>
    <row r="44" spans="1:21" s="12" customFormat="1" x14ac:dyDescent="0.25">
      <c r="A44" s="201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198"/>
      <c r="S44" s="198"/>
      <c r="T44" s="198"/>
      <c r="U44" s="198"/>
    </row>
    <row r="45" spans="1:21" s="12" customFormat="1" x14ac:dyDescent="0.25">
      <c r="A45" s="201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198"/>
      <c r="S45" s="198"/>
      <c r="T45" s="198"/>
      <c r="U45" s="198"/>
    </row>
    <row r="46" spans="1:21" s="12" customFormat="1" x14ac:dyDescent="0.25">
      <c r="A46" s="201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198"/>
      <c r="S46" s="198"/>
      <c r="T46" s="198"/>
      <c r="U46" s="198"/>
    </row>
    <row r="47" spans="1:21" s="12" customFormat="1" x14ac:dyDescent="0.25">
      <c r="A47" s="201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198"/>
      <c r="S47" s="198"/>
      <c r="T47" s="198"/>
      <c r="U47" s="198"/>
    </row>
    <row r="48" spans="1:21" s="12" customFormat="1" x14ac:dyDescent="0.25">
      <c r="A48" s="201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198"/>
      <c r="S48" s="198"/>
      <c r="T48" s="198"/>
      <c r="U48" s="198"/>
    </row>
    <row r="49" spans="1:21" s="12" customFormat="1" x14ac:dyDescent="0.25">
      <c r="A49" s="201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198"/>
      <c r="S49" s="198"/>
      <c r="T49" s="198"/>
      <c r="U49" s="198"/>
    </row>
    <row r="50" spans="1:21" s="12" customFormat="1" x14ac:dyDescent="0.25">
      <c r="A50" s="201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198"/>
      <c r="S50" s="198"/>
      <c r="T50" s="198"/>
      <c r="U50" s="198"/>
    </row>
    <row r="51" spans="1:21" s="12" customFormat="1" x14ac:dyDescent="0.25">
      <c r="A51" s="201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198"/>
      <c r="S51" s="198"/>
      <c r="T51" s="198"/>
      <c r="U51" s="198"/>
    </row>
    <row r="52" spans="1:21" s="12" customFormat="1" x14ac:dyDescent="0.25">
      <c r="A52" s="201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198"/>
      <c r="S52" s="198"/>
      <c r="T52" s="198"/>
      <c r="U52" s="198"/>
    </row>
    <row r="53" spans="1:21" s="12" customFormat="1" x14ac:dyDescent="0.25">
      <c r="A53" s="201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198"/>
      <c r="S53" s="198"/>
      <c r="T53" s="198"/>
      <c r="U53" s="198"/>
    </row>
    <row r="54" spans="1:21" s="12" customFormat="1" x14ac:dyDescent="0.25">
      <c r="A54" s="201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198"/>
      <c r="S54" s="198"/>
      <c r="T54" s="198"/>
      <c r="U54" s="198"/>
    </row>
    <row r="55" spans="1:21" s="12" customFormat="1" x14ac:dyDescent="0.25">
      <c r="A55" s="201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198"/>
      <c r="S55" s="198"/>
      <c r="T55" s="198"/>
      <c r="U55" s="198"/>
    </row>
    <row r="56" spans="1:21" s="12" customFormat="1" x14ac:dyDescent="0.25">
      <c r="A56" s="201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198"/>
      <c r="S56" s="198"/>
      <c r="T56" s="198"/>
      <c r="U56" s="198"/>
    </row>
    <row r="57" spans="1:21" s="12" customFormat="1" x14ac:dyDescent="0.25">
      <c r="A57" s="201"/>
      <c r="B57" s="60"/>
      <c r="C57" s="60"/>
      <c r="D57" s="60"/>
      <c r="E57" s="60"/>
      <c r="F57" s="60"/>
      <c r="G57" s="60"/>
      <c r="H57" s="60"/>
      <c r="I57" s="210"/>
      <c r="J57" s="60"/>
      <c r="K57" s="60"/>
      <c r="L57" s="60"/>
      <c r="M57" s="60"/>
      <c r="N57" s="60"/>
      <c r="O57" s="60"/>
      <c r="P57" s="60"/>
      <c r="Q57" s="60"/>
      <c r="R57" s="198"/>
      <c r="S57" s="198"/>
      <c r="T57" s="198"/>
      <c r="U57" s="198"/>
    </row>
    <row r="58" spans="1:21" s="12" customFormat="1" x14ac:dyDescent="0.25">
      <c r="A58" s="201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198"/>
      <c r="S58" s="198"/>
      <c r="T58" s="198"/>
      <c r="U58" s="198"/>
    </row>
    <row r="59" spans="1:21" s="12" customFormat="1" x14ac:dyDescent="0.25">
      <c r="A59" s="201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198"/>
      <c r="S59" s="198"/>
      <c r="T59" s="198"/>
      <c r="U59" s="198"/>
    </row>
    <row r="60" spans="1:21" s="12" customFormat="1" x14ac:dyDescent="0.25">
      <c r="A60" s="201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198"/>
      <c r="S60" s="198"/>
      <c r="T60" s="198"/>
      <c r="U60" s="198"/>
    </row>
    <row r="61" spans="1:21" s="12" customFormat="1" x14ac:dyDescent="0.25">
      <c r="A61" s="201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198"/>
      <c r="S61" s="198"/>
      <c r="T61" s="198"/>
      <c r="U61" s="198"/>
    </row>
    <row r="62" spans="1:21" s="12" customFormat="1" x14ac:dyDescent="0.25">
      <c r="A62" s="201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198"/>
      <c r="S62" s="198"/>
      <c r="T62" s="198"/>
      <c r="U62" s="198"/>
    </row>
    <row r="63" spans="1:21" s="12" customFormat="1" x14ac:dyDescent="0.25">
      <c r="A63" s="201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198"/>
      <c r="S63" s="198"/>
      <c r="T63" s="198"/>
      <c r="U63" s="198"/>
    </row>
    <row r="64" spans="1:21" s="12" customFormat="1" x14ac:dyDescent="0.25">
      <c r="A64" s="201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198"/>
      <c r="S64" s="198"/>
      <c r="T64" s="198"/>
      <c r="U64" s="198"/>
    </row>
    <row r="65" spans="1:21" s="12" customFormat="1" x14ac:dyDescent="0.25">
      <c r="A65" s="201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198"/>
      <c r="S65" s="198"/>
      <c r="T65" s="198"/>
      <c r="U65" s="198"/>
    </row>
    <row r="66" spans="1:21" s="12" customFormat="1" x14ac:dyDescent="0.25">
      <c r="A66" s="201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198"/>
      <c r="S66" s="198"/>
      <c r="T66" s="198"/>
      <c r="U66" s="198"/>
    </row>
    <row r="67" spans="1:21" s="12" customFormat="1" x14ac:dyDescent="0.25">
      <c r="A67" s="201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198"/>
      <c r="S67" s="198"/>
      <c r="T67" s="198"/>
      <c r="U67" s="198"/>
    </row>
    <row r="68" spans="1:21" s="12" customFormat="1" x14ac:dyDescent="0.25">
      <c r="A68" s="201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198"/>
      <c r="S68" s="198"/>
      <c r="T68" s="198"/>
      <c r="U68" s="198"/>
    </row>
    <row r="69" spans="1:21" s="12" customFormat="1" x14ac:dyDescent="0.25">
      <c r="A69" s="201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198"/>
      <c r="S69" s="198"/>
      <c r="T69" s="198"/>
      <c r="U69" s="198"/>
    </row>
    <row r="70" spans="1:21" s="12" customFormat="1" x14ac:dyDescent="0.25">
      <c r="A70" s="201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198"/>
      <c r="S70" s="198"/>
      <c r="T70" s="198"/>
      <c r="U70" s="198"/>
    </row>
    <row r="71" spans="1:21" s="12" customFormat="1" x14ac:dyDescent="0.25">
      <c r="A71" s="201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198"/>
      <c r="S71" s="198"/>
      <c r="T71" s="198"/>
      <c r="U71" s="198"/>
    </row>
    <row r="72" spans="1:21" s="12" customFormat="1" x14ac:dyDescent="0.25">
      <c r="A72" s="201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198"/>
      <c r="S72" s="198"/>
      <c r="T72" s="198"/>
      <c r="U72" s="198"/>
    </row>
    <row r="73" spans="1:21" s="12" customFormat="1" x14ac:dyDescent="0.25">
      <c r="A73" s="201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198"/>
      <c r="S73" s="198"/>
      <c r="T73" s="198"/>
      <c r="U73" s="198"/>
    </row>
    <row r="74" spans="1:21" s="12" customFormat="1" x14ac:dyDescent="0.25">
      <c r="A74" s="201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198"/>
      <c r="S74" s="198"/>
      <c r="T74" s="198"/>
      <c r="U74" s="198"/>
    </row>
    <row r="75" spans="1:21" s="12" customFormat="1" x14ac:dyDescent="0.25">
      <c r="A75" s="201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198"/>
      <c r="S75" s="198"/>
      <c r="T75" s="198"/>
      <c r="U75" s="198"/>
    </row>
    <row r="76" spans="1:21" s="12" customFormat="1" x14ac:dyDescent="0.25">
      <c r="A76" s="201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198"/>
      <c r="S76" s="198"/>
      <c r="T76" s="198"/>
      <c r="U76" s="198"/>
    </row>
    <row r="77" spans="1:21" s="12" customFormat="1" x14ac:dyDescent="0.25">
      <c r="A77" s="201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198"/>
      <c r="S77" s="198"/>
      <c r="T77" s="198"/>
      <c r="U77" s="198"/>
    </row>
    <row r="78" spans="1:21" s="12" customFormat="1" x14ac:dyDescent="0.25">
      <c r="A78" s="201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198"/>
      <c r="S78" s="198"/>
      <c r="T78" s="198"/>
      <c r="U78" s="198"/>
    </row>
    <row r="79" spans="1:21" s="12" customFormat="1" x14ac:dyDescent="0.25">
      <c r="A79" s="201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198"/>
      <c r="S79" s="198"/>
      <c r="T79" s="198"/>
      <c r="U79" s="198"/>
    </row>
    <row r="80" spans="1:21" s="12" customFormat="1" x14ac:dyDescent="0.25">
      <c r="A80" s="201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198"/>
      <c r="S80" s="198"/>
      <c r="T80" s="198"/>
      <c r="U80" s="198"/>
    </row>
    <row r="81" spans="1:26" s="12" customFormat="1" x14ac:dyDescent="0.25">
      <c r="A81" s="201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198"/>
      <c r="S81" s="198"/>
      <c r="T81" s="198"/>
      <c r="U81" s="198"/>
    </row>
    <row r="82" spans="1:26" s="12" customFormat="1" x14ac:dyDescent="0.25">
      <c r="A82" s="201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211"/>
      <c r="R82" s="198"/>
      <c r="S82" s="198"/>
      <c r="T82" s="198"/>
      <c r="U82" s="198"/>
    </row>
    <row r="83" spans="1:26" s="12" customFormat="1" x14ac:dyDescent="0.25">
      <c r="A83" s="201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198"/>
      <c r="S83" s="198"/>
      <c r="T83" s="198"/>
      <c r="U83" s="198"/>
    </row>
    <row r="84" spans="1:26" s="12" customFormat="1" x14ac:dyDescent="0.25">
      <c r="A84" s="201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211"/>
      <c r="R84" s="198"/>
      <c r="S84" s="198"/>
      <c r="T84" s="198"/>
      <c r="U84" s="198"/>
    </row>
    <row r="85" spans="1:26" s="12" customFormat="1" x14ac:dyDescent="0.25">
      <c r="A85" s="201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211"/>
      <c r="R85" s="198"/>
      <c r="S85" s="198"/>
      <c r="T85" s="198"/>
      <c r="U85" s="198"/>
    </row>
    <row r="86" spans="1:26" s="12" customFormat="1" x14ac:dyDescent="0.25">
      <c r="A86" s="201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198"/>
      <c r="S86" s="198"/>
      <c r="T86" s="198"/>
      <c r="U86" s="198"/>
    </row>
    <row r="87" spans="1:26" s="12" customFormat="1" x14ac:dyDescent="0.25">
      <c r="A87" s="201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198"/>
      <c r="S87" s="198"/>
      <c r="T87" s="198"/>
      <c r="U87" s="198"/>
    </row>
    <row r="88" spans="1:26" s="12" customFormat="1" x14ac:dyDescent="0.25">
      <c r="A88" s="201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198"/>
      <c r="S88" s="198"/>
      <c r="T88" s="198"/>
      <c r="U88" s="198"/>
    </row>
    <row r="89" spans="1:26" s="12" customFormat="1" x14ac:dyDescent="0.25">
      <c r="A89" s="201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198"/>
      <c r="S89" s="198"/>
      <c r="T89" s="198"/>
      <c r="U89" s="198"/>
    </row>
    <row r="90" spans="1:26" s="12" customFormat="1" x14ac:dyDescent="0.25">
      <c r="A90" s="201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198"/>
      <c r="S90" s="198"/>
      <c r="T90" s="198"/>
      <c r="U90" s="198"/>
    </row>
    <row r="91" spans="1:26" s="12" customFormat="1" x14ac:dyDescent="0.25">
      <c r="A91" s="201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198"/>
      <c r="S91" s="198"/>
      <c r="T91" s="198"/>
      <c r="U91" s="198"/>
    </row>
    <row r="92" spans="1:26" s="12" customFormat="1" x14ac:dyDescent="0.25">
      <c r="A92" s="201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198"/>
      <c r="S92" s="198"/>
      <c r="T92" s="198"/>
      <c r="U92" s="198"/>
    </row>
    <row r="93" spans="1:26" s="12" customFormat="1" x14ac:dyDescent="0.25">
      <c r="A93" s="201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198"/>
      <c r="S93" s="198"/>
      <c r="T93" s="198"/>
      <c r="U93" s="198"/>
    </row>
    <row r="94" spans="1:26" s="12" customFormat="1" x14ac:dyDescent="0.25">
      <c r="A94" s="201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198"/>
      <c r="S94" s="198"/>
      <c r="T94" s="198"/>
      <c r="U94" s="198"/>
    </row>
    <row r="95" spans="1:26" s="12" customFormat="1" x14ac:dyDescent="0.25">
      <c r="A95" s="201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211"/>
      <c r="R95" s="198"/>
      <c r="S95" s="198"/>
      <c r="T95" s="198"/>
      <c r="U95" s="198"/>
    </row>
    <row r="96" spans="1:26" s="12" customFormat="1" x14ac:dyDescent="0.25">
      <c r="A96" s="201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211"/>
      <c r="R96" s="198"/>
      <c r="S96" s="198"/>
      <c r="T96" s="216"/>
      <c r="U96" s="198"/>
      <c r="Z96" s="109"/>
    </row>
    <row r="97" spans="1:33" s="12" customFormat="1" x14ac:dyDescent="0.25">
      <c r="A97" s="201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211"/>
      <c r="R97" s="198"/>
      <c r="S97" s="198"/>
      <c r="T97" s="198"/>
      <c r="U97" s="198"/>
    </row>
    <row r="98" spans="1:33" s="12" customFormat="1" x14ac:dyDescent="0.25">
      <c r="A98" s="201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211"/>
      <c r="R98" s="198"/>
      <c r="S98" s="198"/>
      <c r="T98" s="198"/>
      <c r="U98" s="198"/>
    </row>
    <row r="99" spans="1:33" s="12" customFormat="1" x14ac:dyDescent="0.25">
      <c r="A99" s="201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211"/>
      <c r="R99" s="198"/>
      <c r="S99" s="198"/>
      <c r="T99" s="198"/>
      <c r="U99" s="198"/>
    </row>
    <row r="100" spans="1:33" s="12" customFormat="1" x14ac:dyDescent="0.25">
      <c r="A100" s="201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211"/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01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198"/>
      <c r="S101" s="198"/>
      <c r="T101" s="198"/>
      <c r="U101" s="198"/>
    </row>
    <row r="102" spans="1:33" s="12" customFormat="1" x14ac:dyDescent="0.25">
      <c r="A102" s="201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198"/>
      <c r="S102" s="198"/>
      <c r="T102" s="198"/>
      <c r="U102" s="198"/>
    </row>
    <row r="103" spans="1:33" s="12" customFormat="1" x14ac:dyDescent="0.25">
      <c r="A103" s="201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198"/>
      <c r="S103" s="198"/>
      <c r="T103" s="198"/>
      <c r="U103" s="198"/>
    </row>
    <row r="104" spans="1:33" s="12" customFormat="1" x14ac:dyDescent="0.25">
      <c r="A104" s="201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199"/>
      <c r="S106" s="199"/>
      <c r="T106" s="199"/>
      <c r="U106" s="199"/>
    </row>
    <row r="107" spans="1:33" x14ac:dyDescent="0.25">
      <c r="A107" s="65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200"/>
      <c r="S107" s="200"/>
      <c r="T107" s="200"/>
      <c r="U107" s="200"/>
    </row>
    <row r="108" spans="1:33" x14ac:dyDescent="0.25">
      <c r="A108" s="65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199"/>
      <c r="S108" s="199"/>
      <c r="T108" s="199"/>
      <c r="U108" s="199"/>
    </row>
    <row r="109" spans="1:33" x14ac:dyDescent="0.25">
      <c r="A109" s="65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199"/>
      <c r="S109" s="199"/>
      <c r="T109" s="199"/>
      <c r="U109" s="199"/>
    </row>
    <row r="110" spans="1:33" x14ac:dyDescent="0.25">
      <c r="A110" s="65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200"/>
      <c r="S110" s="200"/>
      <c r="T110" s="200"/>
      <c r="U110" s="200"/>
      <c r="V110" s="66"/>
    </row>
    <row r="111" spans="1:33" x14ac:dyDescent="0.25">
      <c r="A111" s="15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97"/>
      <c r="S111" s="197"/>
      <c r="T111" s="197"/>
      <c r="U111" s="197"/>
    </row>
    <row r="112" spans="1:33" x14ac:dyDescent="0.25">
      <c r="A112" s="15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/>
      <c r="B115" s="217"/>
      <c r="C115" s="217"/>
      <c r="D115" s="217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/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MONTHLY </vt:lpstr>
      <vt:lpstr>CALIBRATION REPORT</vt:lpstr>
      <vt:lpstr>POWER OFF</vt:lpstr>
      <vt:lpstr>MUX SIGNALS</vt:lpstr>
      <vt:lpstr>Sheet</vt:lpstr>
      <vt:lpstr>Sheet2</vt:lpstr>
      <vt:lpstr>Sheet1</vt:lpstr>
    </vt:vector>
  </TitlesOfParts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2018-05-18T12:00:47Z</cp:lastPrinted>
  <dcterms:created xsi:type="dcterms:W3CDTF">2013-08-23T16:44:31Z</dcterms:created>
  <dcterms:modified xsi:type="dcterms:W3CDTF">2024-08-28T14:08:18Z</dcterms:modified>
</cp:coreProperties>
</file>